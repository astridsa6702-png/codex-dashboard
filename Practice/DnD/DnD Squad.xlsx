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d.docs.live.net/e3a493edff0b5f7e/Documents/Practice/"/>
    </mc:Choice>
  </mc:AlternateContent>
  <xr:revisionPtr revIDLastSave="866" documentId="13_ncr:1_{08D50F46-89C6-4404-99D1-FC30920DE9E2}" xr6:coauthVersionLast="47" xr6:coauthVersionMax="47" xr10:uidLastSave="{6A190579-E597-490F-B0DB-DC9ED2439C93}"/>
  <bookViews>
    <workbookView xWindow="11424" yWindow="0" windowWidth="11712" windowHeight="12336" firstSheet="2" activeTab="2" xr2:uid="{AE436668-184B-4D41-AEB9-2B6E520E8245}"/>
  </bookViews>
  <sheets>
    <sheet name="characters" sheetId="2" r:id="rId1"/>
    <sheet name="battlesetup" sheetId="8" r:id="rId2"/>
    <sheet name="battlefield" sheetId="9" r:id="rId3"/>
    <sheet name="stats" sheetId="6" r:id="rId4"/>
    <sheet name="skills" sheetId="4" r:id="rId5"/>
  </sheets>
  <definedNames>
    <definedName name="ExternalData_1" localSheetId="0" hidden="1">'characters'!$A$1:$P$25</definedName>
    <definedName name="ExternalData_1" localSheetId="4" hidden="1">skills!$A$1:$E$145</definedName>
    <definedName name="ExternalData_1" localSheetId="3" hidden="1">stats!$A$1:$I$25</definedName>
    <definedName name="ExternalData_2" localSheetId="4" hidden="1">skills!$F$1:$G$145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0" i="9" l="1"/>
  <c r="R25" i="2"/>
  <c r="R24" i="2"/>
  <c r="R23" i="2"/>
  <c r="R22" i="2"/>
  <c r="R21" i="2"/>
  <c r="R20" i="2"/>
  <c r="R19" i="2"/>
  <c r="R18" i="2"/>
  <c r="R17" i="2"/>
  <c r="R16" i="2"/>
  <c r="R15" i="2"/>
  <c r="R14" i="2"/>
  <c r="R13" i="2"/>
  <c r="R12" i="2"/>
  <c r="R11" i="2"/>
  <c r="R10" i="2"/>
  <c r="R9" i="2"/>
  <c r="R8" i="2"/>
  <c r="R7" i="2"/>
  <c r="E13" i="8" s="1"/>
  <c r="R6" i="2"/>
  <c r="E12" i="8" s="1"/>
  <c r="R5" i="2"/>
  <c r="E11" i="8" s="1"/>
  <c r="R4" i="2"/>
  <c r="E9" i="8" s="1"/>
  <c r="R3" i="2"/>
  <c r="R2" i="2"/>
  <c r="E7" i="8" s="1"/>
  <c r="C19" i="9"/>
  <c r="E18" i="9"/>
  <c r="K13" i="9"/>
  <c r="K14" i="9"/>
  <c r="K12" i="9"/>
  <c r="I13" i="9"/>
  <c r="I14" i="9"/>
  <c r="I12" i="9"/>
  <c r="E13" i="9"/>
  <c r="E14" i="9"/>
  <c r="E12" i="9"/>
  <c r="C13" i="9"/>
  <c r="C14" i="9"/>
  <c r="C12" i="9"/>
  <c r="I8" i="9"/>
  <c r="I7" i="9"/>
  <c r="I5" i="9"/>
  <c r="I6" i="9" s="1"/>
  <c r="C8" i="9"/>
  <c r="C7" i="9"/>
  <c r="C5" i="9"/>
  <c r="C6" i="9" s="1"/>
  <c r="C2" i="9"/>
  <c r="C1" i="9"/>
  <c r="C12" i="8"/>
  <c r="D12" i="8"/>
  <c r="C13" i="8"/>
  <c r="C11" i="8"/>
  <c r="B12" i="8"/>
  <c r="B13" i="8"/>
  <c r="B11" i="8"/>
  <c r="C8" i="8"/>
  <c r="E8" i="8"/>
  <c r="C9" i="8"/>
  <c r="C7" i="8"/>
  <c r="B8" i="8"/>
  <c r="B9" i="8"/>
  <c r="B7" i="8"/>
  <c r="Y2" i="2"/>
  <c r="K7" i="8" s="1"/>
  <c r="Y3" i="2"/>
  <c r="K8" i="8" s="1"/>
  <c r="Y4" i="2"/>
  <c r="K9" i="8" s="1"/>
  <c r="Y5" i="2"/>
  <c r="K11" i="8" s="1"/>
  <c r="Y6" i="2"/>
  <c r="K12" i="8" s="1"/>
  <c r="Y7" i="2"/>
  <c r="K13" i="8" s="1"/>
  <c r="Y8" i="2"/>
  <c r="Y9" i="2"/>
  <c r="Y10" i="2"/>
  <c r="Y11" i="2"/>
  <c r="Y12" i="2"/>
  <c r="Y13" i="2"/>
  <c r="Y14" i="2"/>
  <c r="Y15" i="2"/>
  <c r="Y16" i="2"/>
  <c r="Y17" i="2"/>
  <c r="Y18" i="2"/>
  <c r="Y19" i="2"/>
  <c r="Y20" i="2"/>
  <c r="Y21" i="2"/>
  <c r="Y22" i="2"/>
  <c r="Y23" i="2"/>
  <c r="Y24" i="2"/>
  <c r="Y25" i="2"/>
  <c r="Z2" i="2"/>
  <c r="Z3" i="2"/>
  <c r="Z4" i="2"/>
  <c r="Z5" i="2"/>
  <c r="Z6" i="2"/>
  <c r="Z7" i="2"/>
  <c r="Z8" i="2"/>
  <c r="Z9" i="2"/>
  <c r="Z10" i="2"/>
  <c r="Z11" i="2"/>
  <c r="Z12" i="2"/>
  <c r="Z13" i="2"/>
  <c r="Z14" i="2"/>
  <c r="Z15" i="2"/>
  <c r="Z16" i="2"/>
  <c r="Z17" i="2"/>
  <c r="Z18" i="2"/>
  <c r="Z19" i="2"/>
  <c r="Z20" i="2"/>
  <c r="Z21" i="2"/>
  <c r="Z22" i="2"/>
  <c r="Z23" i="2"/>
  <c r="Z24" i="2"/>
  <c r="Z25" i="2"/>
  <c r="X2" i="2"/>
  <c r="X3" i="2"/>
  <c r="X4" i="2"/>
  <c r="X5" i="2"/>
  <c r="X6" i="2"/>
  <c r="X7" i="2"/>
  <c r="X8" i="2"/>
  <c r="X9" i="2"/>
  <c r="X10" i="2"/>
  <c r="X11" i="2"/>
  <c r="X12" i="2"/>
  <c r="X13" i="2"/>
  <c r="X14" i="2"/>
  <c r="X15" i="2"/>
  <c r="X16" i="2"/>
  <c r="X17" i="2"/>
  <c r="X18" i="2"/>
  <c r="X19" i="2"/>
  <c r="X20" i="2"/>
  <c r="X21" i="2"/>
  <c r="X22" i="2"/>
  <c r="X23" i="2"/>
  <c r="X24" i="2"/>
  <c r="X25" i="2"/>
  <c r="W2" i="2"/>
  <c r="J7" i="8" s="1"/>
  <c r="W3" i="2"/>
  <c r="J8" i="8" s="1"/>
  <c r="W4" i="2"/>
  <c r="J9" i="8" s="1"/>
  <c r="W5" i="2"/>
  <c r="J11" i="8" s="1"/>
  <c r="W6" i="2"/>
  <c r="J12" i="8" s="1"/>
  <c r="W7" i="2"/>
  <c r="J13" i="8" s="1"/>
  <c r="W8" i="2"/>
  <c r="W9" i="2"/>
  <c r="W10" i="2"/>
  <c r="W11" i="2"/>
  <c r="W12" i="2"/>
  <c r="W13" i="2"/>
  <c r="W14" i="2"/>
  <c r="W15" i="2"/>
  <c r="W16" i="2"/>
  <c r="W17" i="2"/>
  <c r="W18" i="2"/>
  <c r="W19" i="2"/>
  <c r="W20" i="2"/>
  <c r="W21" i="2"/>
  <c r="W22" i="2"/>
  <c r="W23" i="2"/>
  <c r="W24" i="2"/>
  <c r="W25" i="2"/>
  <c r="V2" i="2"/>
  <c r="I7" i="8" s="1"/>
  <c r="V3" i="2"/>
  <c r="I8" i="8" s="1"/>
  <c r="V4" i="2"/>
  <c r="I9" i="8" s="1"/>
  <c r="V5" i="2"/>
  <c r="I11" i="8" s="1"/>
  <c r="V6" i="2"/>
  <c r="I12" i="8" s="1"/>
  <c r="V7" i="2"/>
  <c r="I13" i="8" s="1"/>
  <c r="V8" i="2"/>
  <c r="V9" i="2"/>
  <c r="V10" i="2"/>
  <c r="V11" i="2"/>
  <c r="V12" i="2"/>
  <c r="V13" i="2"/>
  <c r="V14" i="2"/>
  <c r="V15" i="2"/>
  <c r="V16" i="2"/>
  <c r="V17" i="2"/>
  <c r="V18" i="2"/>
  <c r="V19" i="2"/>
  <c r="V20" i="2"/>
  <c r="V21" i="2"/>
  <c r="V22" i="2"/>
  <c r="V23" i="2"/>
  <c r="V24" i="2"/>
  <c r="V25" i="2"/>
  <c r="U2" i="2"/>
  <c r="H7" i="8" s="1"/>
  <c r="U3" i="2"/>
  <c r="H8" i="8" s="1"/>
  <c r="U4" i="2"/>
  <c r="H9" i="8" s="1"/>
  <c r="U5" i="2"/>
  <c r="H11" i="8" s="1"/>
  <c r="U6" i="2"/>
  <c r="H12" i="8" s="1"/>
  <c r="U7" i="2"/>
  <c r="H13" i="8" s="1"/>
  <c r="U8" i="2"/>
  <c r="U9" i="2"/>
  <c r="U10" i="2"/>
  <c r="U11" i="2"/>
  <c r="U12" i="2"/>
  <c r="U13" i="2"/>
  <c r="U14" i="2"/>
  <c r="U15" i="2"/>
  <c r="U16" i="2"/>
  <c r="U17" i="2"/>
  <c r="U18" i="2"/>
  <c r="U19" i="2"/>
  <c r="U20" i="2"/>
  <c r="U21" i="2"/>
  <c r="U22" i="2"/>
  <c r="U23" i="2"/>
  <c r="U24" i="2"/>
  <c r="U25" i="2"/>
  <c r="T2" i="2"/>
  <c r="G7" i="8" s="1"/>
  <c r="T3" i="2"/>
  <c r="G8" i="8" s="1"/>
  <c r="T4" i="2"/>
  <c r="G9" i="8" s="1"/>
  <c r="T5" i="2"/>
  <c r="G11" i="8" s="1"/>
  <c r="T6" i="2"/>
  <c r="G12" i="8" s="1"/>
  <c r="T7" i="2"/>
  <c r="G13" i="8" s="1"/>
  <c r="T8" i="2"/>
  <c r="T9" i="2"/>
  <c r="T10" i="2"/>
  <c r="T11" i="2"/>
  <c r="T12" i="2"/>
  <c r="T13" i="2"/>
  <c r="T14" i="2"/>
  <c r="T15" i="2"/>
  <c r="T16" i="2"/>
  <c r="T17" i="2"/>
  <c r="T18" i="2"/>
  <c r="T19" i="2"/>
  <c r="T20" i="2"/>
  <c r="T21" i="2"/>
  <c r="T22" i="2"/>
  <c r="T23" i="2"/>
  <c r="T24" i="2"/>
  <c r="T25" i="2"/>
  <c r="S2" i="2"/>
  <c r="F7" i="8" s="1"/>
  <c r="S3" i="2"/>
  <c r="F8" i="8" s="1"/>
  <c r="S4" i="2"/>
  <c r="F9" i="8" s="1"/>
  <c r="S5" i="2"/>
  <c r="F11" i="8" s="1"/>
  <c r="S6" i="2"/>
  <c r="F12" i="8" s="1"/>
  <c r="S7" i="2"/>
  <c r="F13" i="8" s="1"/>
  <c r="S8" i="2"/>
  <c r="S9" i="2"/>
  <c r="S10" i="2"/>
  <c r="S11" i="2"/>
  <c r="S12" i="2"/>
  <c r="S13" i="2"/>
  <c r="S14" i="2"/>
  <c r="S15" i="2"/>
  <c r="S16" i="2"/>
  <c r="S17" i="2"/>
  <c r="S18" i="2"/>
  <c r="S19" i="2"/>
  <c r="S20" i="2"/>
  <c r="S21" i="2"/>
  <c r="S22" i="2"/>
  <c r="S23" i="2"/>
  <c r="S24" i="2"/>
  <c r="S25" i="2"/>
  <c r="Q2" i="2"/>
  <c r="D7" i="8" s="1"/>
  <c r="Q3" i="2"/>
  <c r="D8" i="8" s="1"/>
  <c r="Q4" i="2"/>
  <c r="D9" i="8" s="1"/>
  <c r="Q5" i="2"/>
  <c r="D11" i="8" s="1"/>
  <c r="Q6" i="2"/>
  <c r="Q7" i="2"/>
  <c r="D13" i="8" s="1"/>
  <c r="Q8" i="2"/>
  <c r="Q9" i="2"/>
  <c r="Q10" i="2"/>
  <c r="Q11" i="2"/>
  <c r="Q12" i="2"/>
  <c r="Q13" i="2"/>
  <c r="Q14" i="2"/>
  <c r="Q15" i="2"/>
  <c r="Q16" i="2"/>
  <c r="Q17" i="2"/>
  <c r="Q18" i="2"/>
  <c r="Q19" i="2"/>
  <c r="Q20" i="2"/>
  <c r="Q21" i="2"/>
  <c r="Q22" i="2"/>
  <c r="Q23" i="2"/>
  <c r="Q24" i="2"/>
  <c r="Q2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2AD8C11-A62F-4141-AD49-9F7FDB1CD9DB}" keepAlive="1" name="Query - characters_csv" description="Connection to the 'characters_csv' query in the workbook." type="5" refreshedVersion="8" background="1" saveData="1">
    <dbPr connection="Provider=Microsoft.Mashup.OleDb.1;Data Source=$Workbook$;Location=characters_csv;Extended Properties=&quot;&quot;" command="SELECT * FROM [characters_csv]"/>
  </connection>
  <connection id="2" xr16:uid="{8D9E38FB-6DEE-4958-BDB8-4B346FC7CB08}" keepAlive="1" name="Query - class_stats_csv" description="Connection to the 'class_stats_csv' query in the workbook." type="5" refreshedVersion="8" background="1" saveData="1">
    <dbPr connection="Provider=Microsoft.Mashup.OleDb.1;Data Source=$Workbook$;Location=class_stats_csv;Extended Properties=&quot;&quot;" command="SELECT * FROM [class_stats_csv]"/>
  </connection>
  <connection id="3" xr16:uid="{59E08E99-8466-48E0-93D6-565FC8DF9934}" keepAlive="1" name="Query - skills_csv" description="Connection to the 'skills_csv' query in the workbook." type="5" refreshedVersion="8" background="1" saveData="1">
    <dbPr connection="Provider=Microsoft.Mashup.OleDb.1;Data Source=$Workbook$;Location=skills_csv;Extended Properties=&quot;&quot;" command="SELECT * FROM [skills_csv]"/>
  </connection>
  <connection id="4" xr16:uid="{D537F6F2-2E22-4CFE-B4C4-42551B036E38}" keepAlive="1" name="Query - skills_tags_csv" description="Connection to the 'skills_tags_csv' query in the workbook." type="5" refreshedVersion="0" background="1" saveData="1">
    <dbPr connection="Provider=Microsoft.Mashup.OleDb.1;Data Source=$Workbook$;Location=skills_tags_csv;Extended Properties=&quot;&quot;" command="SELECT * FROM [skills_tags_csv]"/>
  </connection>
  <connection id="5" xr16:uid="{4FF64003-8F84-46A2-B96D-C37082C41D32}" keepAlive="1" name="Query - skills_tags_csv (2)" description="Connection to the 'skills_tags_csv (2)' query in the workbook." type="5" refreshedVersion="8" background="1" saveData="1">
    <dbPr connection="Provider=Microsoft.Mashup.OleDb.1;Data Source=$Workbook$;Location=&quot;skills_tags_csv (2)&quot;;Extended Properties=&quot;&quot;" command="SELECT * FROM [skills_tags_csv (2)]"/>
  </connection>
</connections>
</file>

<file path=xl/sharedStrings.xml><?xml version="1.0" encoding="utf-8"?>
<sst xmlns="http://schemas.openxmlformats.org/spreadsheetml/2006/main" count="1374" uniqueCount="655">
  <si>
    <t>Name</t>
  </si>
  <si>
    <t>Pronouns</t>
  </si>
  <si>
    <t>Gender</t>
  </si>
  <si>
    <t>Birthday</t>
  </si>
  <si>
    <t>Class</t>
  </si>
  <si>
    <t>House</t>
  </si>
  <si>
    <t>Height (cm)</t>
  </si>
  <si>
    <t>Skin</t>
  </si>
  <si>
    <t>Hair</t>
  </si>
  <si>
    <t>Eyes</t>
  </si>
  <si>
    <t>Best Friends</t>
  </si>
  <si>
    <t>Close Friends</t>
  </si>
  <si>
    <t>Frenemies/Rivals</t>
  </si>
  <si>
    <t>Romantic Interest</t>
  </si>
  <si>
    <t>Personality Strengths</t>
  </si>
  <si>
    <t>Personality Weaknesses</t>
  </si>
  <si>
    <t>Liam Reed</t>
  </si>
  <si>
    <t>he/they</t>
  </si>
  <si>
    <t>Demiboy</t>
  </si>
  <si>
    <t>Swashbuckler</t>
  </si>
  <si>
    <t>Gryffindor</t>
  </si>
  <si>
    <t>Pale</t>
  </si>
  <si>
    <t>Silver short mullet</t>
  </si>
  <si>
    <t>Blue</t>
  </si>
  <si>
    <t>Rowan, Jae</t>
  </si>
  <si>
    <t>Ben, Jacob, Skye, Orion</t>
  </si>
  <si>
    <t>Merula</t>
  </si>
  <si>
    <t>Rowan or Merula</t>
  </si>
  <si>
    <t>Adventurous, Charismatic, Energetic, Open-minded, Optimistic, Spontaneous, Curious, Persuasive, High-energy, Non-traditional</t>
  </si>
  <si>
    <t>Impulsive, Reckless, Attention-seeking, Inconsiderate, Restless</t>
  </si>
  <si>
    <t>Rowan Khanna</t>
  </si>
  <si>
    <t>they/them</t>
  </si>
  <si>
    <t>Non-binary</t>
  </si>
  <si>
    <t>Wizard</t>
  </si>
  <si>
    <t>Dark brown</t>
  </si>
  <si>
    <t>Short black with glasses</t>
  </si>
  <si>
    <t>Liam, Ben</t>
  </si>
  <si>
    <t>Jae, Badeea</t>
  </si>
  <si>
    <t>Talbott / Liam (healthy rival)</t>
  </si>
  <si>
    <t>Liam or Ben</t>
  </si>
  <si>
    <t>Strategic, Quick-thinking, Independent, Practical, Dependable, Observant, Calculating, Focused, Private</t>
  </si>
  <si>
    <t>Over-analytical, Stubborn, Detached, Cynical, Manipulative, Critical</t>
  </si>
  <si>
    <t>Ben Copper</t>
  </si>
  <si>
    <t>Oracle</t>
  </si>
  <si>
    <t>Medium</t>
  </si>
  <si>
    <t>Short sandy blonde</t>
  </si>
  <si>
    <t>Brown</t>
  </si>
  <si>
    <t>Rowan</t>
  </si>
  <si>
    <t>Liam, Jae, Barnaby</t>
  </si>
  <si>
    <t>-</t>
  </si>
  <si>
    <t>Rowan or Barnaby</t>
  </si>
  <si>
    <t>Insightful, Detail-oriented, Observant, Cautious, Thorough, Methodical, Skeptical, Introspective</t>
  </si>
  <si>
    <t>Overthinker, Paranoid, Pessimistic, Distrustful, Aloof, Calculating, Reticent</t>
  </si>
  <si>
    <t>Jae Kim</t>
  </si>
  <si>
    <t>he/him</t>
  </si>
  <si>
    <t>Cis male</t>
  </si>
  <si>
    <t>Rogue</t>
  </si>
  <si>
    <t>Fair</t>
  </si>
  <si>
    <t>Messy short black</t>
  </si>
  <si>
    <t>Liam</t>
  </si>
  <si>
    <t>Ben, Rowan, Penny, Diego</t>
  </si>
  <si>
    <t>Liam or Merula</t>
  </si>
  <si>
    <t>Humorous, Charismatic, Optimistic, Playful, Supportive, Light-hearted, Entertaining</t>
  </si>
  <si>
    <t>Sarcastic, Dismissive, Distraction-prone, Insensitive, Avoidant, Impulsive, Jittery, Unpredictable</t>
  </si>
  <si>
    <t>Penny Haywood</t>
  </si>
  <si>
    <t>she/her</t>
  </si>
  <si>
    <t>Cis female</t>
  </si>
  <si>
    <t>Alchemist</t>
  </si>
  <si>
    <t>Hufflepuff</t>
  </si>
  <si>
    <t>Blonde braids</t>
  </si>
  <si>
    <t>Mayumi</t>
  </si>
  <si>
    <t>Chiara, Jae, Barnaby</t>
  </si>
  <si>
    <t>Mayumi or Barnaby</t>
  </si>
  <si>
    <t>Charming, Sociable, Empathetic, Persuasive, Supportive, Collaborative, Energetic, Flirtatious, Resourceful, Adaptable</t>
  </si>
  <si>
    <t>Manipulative, Superficial, Over-involved, Shallow, Opportunistic</t>
  </si>
  <si>
    <t>Mayumi Sasaki</t>
  </si>
  <si>
    <t>Ninja</t>
  </si>
  <si>
    <t>Long straight grey</t>
  </si>
  <si>
    <t>Penny, Chiara</t>
  </si>
  <si>
    <t>Barnaby, Hayami, Viktor, Alanza</t>
  </si>
  <si>
    <t>Penny or Chiara</t>
  </si>
  <si>
    <t>Thoughtful, Insightful, Brave, Humble, Loyal, Observant, Reserved, Unassuming, Sensitive</t>
  </si>
  <si>
    <t>Introverted, Hesitant, Overly self-critical, Easily overlooked, Timid</t>
  </si>
  <si>
    <t>Chiara Lobosca</t>
  </si>
  <si>
    <t>Cleric</t>
  </si>
  <si>
    <t>White bob</t>
  </si>
  <si>
    <t>Yellow</t>
  </si>
  <si>
    <t>Penny, Barnaby, Viktor, Alanza</t>
  </si>
  <si>
    <t>Compassionate, Patient, Generous, Understanding, Caring, Sensitive, Protective, Dependable, Soft-spoken, Warm-hearted</t>
  </si>
  <si>
    <t>Overbearing, Self-sacrificing, Overly emotional, Easily drained, Codependent</t>
  </si>
  <si>
    <t>Tulip Karasu</t>
  </si>
  <si>
    <t>she/they</t>
  </si>
  <si>
    <t>Demigirl</t>
  </si>
  <si>
    <t>Arcane Trickster</t>
  </si>
  <si>
    <t>Ravenclaw</t>
  </si>
  <si>
    <t>Red butterfly cut</t>
  </si>
  <si>
    <t>Hazel</t>
  </si>
  <si>
    <t>Hayami</t>
  </si>
  <si>
    <t>Andre, Talbott, Orion, Skye</t>
  </si>
  <si>
    <t>Merula (dislike) / Hayami (healthy rival)</t>
  </si>
  <si>
    <t>Independent, Bold, Innovative, Confident, Visionary, Unconventional, Provocative, Headstrong</t>
  </si>
  <si>
    <t>Rebellious, Defiant, Arrogant, Disrespectful, Impulsive, Disruptive, Uncompromising</t>
  </si>
  <si>
    <t>Hayami Amamiya</t>
  </si>
  <si>
    <t>she/he/they</t>
  </si>
  <si>
    <t>Agender</t>
  </si>
  <si>
    <t>Druid</t>
  </si>
  <si>
    <t>Short blonde wolf cut</t>
  </si>
  <si>
    <t>Green</t>
  </si>
  <si>
    <t>Tulip</t>
  </si>
  <si>
    <t>Talbott, Andre, Mayumi, Orion, Skye</t>
  </si>
  <si>
    <t>Merula (dislike) / Tulip (healthy rival)</t>
  </si>
  <si>
    <t>Loyal, Honest, Protective, Insightful, Independent, Reserved, Analytical, Witty</t>
  </si>
  <si>
    <t>Cynical, Sarcastic, Distrustful, Jaded, Blunt, Skeptical</t>
  </si>
  <si>
    <t>Talbott Winger</t>
  </si>
  <si>
    <t>Ranger</t>
  </si>
  <si>
    <t>Slick back brown short</t>
  </si>
  <si>
    <t>Andre</t>
  </si>
  <si>
    <t>Hayami, Tulip, Orion, Viktor</t>
  </si>
  <si>
    <t>Rowan (healthy rival)</t>
  </si>
  <si>
    <t>Observant, Intuitive, Perceptive, Wise, Empathetic, Introverted, Mysterious, Subtle, Discreet, Reserved</t>
  </si>
  <si>
    <t>Secretive, Distrustful, Detached, Overly cautious, Overthinking</t>
  </si>
  <si>
    <t>Andre Egwu</t>
  </si>
  <si>
    <t>Bard</t>
  </si>
  <si>
    <t>Buzz cut</t>
  </si>
  <si>
    <t>Talbott</t>
  </si>
  <si>
    <t>Tulip, Hayami</t>
  </si>
  <si>
    <t>Romantic, Compassionate, Inspiring, Optimistic, Caring, Dreamy, Hopeful, Soft-spoken, Sensitive</t>
  </si>
  <si>
    <t>Naïve, Over-emotional, Unrealistic, Idealistic to a fault, Overly sentimental, Impressionable</t>
  </si>
  <si>
    <t>Barnaby Lee</t>
  </si>
  <si>
    <t>Fighter</t>
  </si>
  <si>
    <t>Slytherin</t>
  </si>
  <si>
    <t>Short brown</t>
  </si>
  <si>
    <t>Liz, Alanza</t>
  </si>
  <si>
    <t>Mayumi, Chiara, Penny, Badeea</t>
  </si>
  <si>
    <t>Ben or Penny</t>
  </si>
  <si>
    <t>Mediator, Diplomatic, Empathetic, Patient, Harmonious, Tactful, Calm, Adaptable, Sensitive to others</t>
  </si>
  <si>
    <t>Avoidant, People-pleasing, Passive, Indecisive, Conflict-averse, Non-confrontational</t>
  </si>
  <si>
    <t>Merula Snyde</t>
  </si>
  <si>
    <t>Sorcerer</t>
  </si>
  <si>
    <t>Brown short layered</t>
  </si>
  <si>
    <t>Ismelda</t>
  </si>
  <si>
    <t>Pretty much everyone</t>
  </si>
  <si>
    <t>Liam or Jae</t>
  </si>
  <si>
    <t>Spontaneous, Creative, Fun-loving, Unique, Adventurous, Unconventional, Whimsical, Playful</t>
  </si>
  <si>
    <t>Erratic, Unreliable, Impulsive, Prideful, Disruptive, Unpredictable, Unfocused</t>
  </si>
  <si>
    <t>Jacob Quinn</t>
  </si>
  <si>
    <t>Gunslinger</t>
  </si>
  <si>
    <t>Dark</t>
  </si>
  <si>
    <t>Unknown</t>
  </si>
  <si>
    <t>Ambitious, Intelligent, Resourceful, Charismatic, Loyal, Adventurous, Independent, Determined, Persuasive</t>
  </si>
  <si>
    <t>Reckless, Rule-breaking, Defiant, Secretive, Curious</t>
  </si>
  <si>
    <t>Viktor Ketsueki</t>
  </si>
  <si>
    <t>Assassin</t>
  </si>
  <si>
    <t>Very pale</t>
  </si>
  <si>
    <t>Slick back black</t>
  </si>
  <si>
    <t>Talbott, Mayumi, Chiara</t>
  </si>
  <si>
    <t>Intelligent, Loyal, Calm, Dedicated, Protective, Mischievous, Humorous, Observant</t>
  </si>
  <si>
    <t>Emotionally guarded, Very selective, Rebellious, Very secretive, Self-isolating, Mysterious</t>
  </si>
  <si>
    <t>Emily Tyler</t>
  </si>
  <si>
    <t>Anti-Paladin</t>
  </si>
  <si>
    <t>Long dark brown ponytail</t>
  </si>
  <si>
    <t>Erika</t>
  </si>
  <si>
    <t>Liam, Penny (frenemies)</t>
  </si>
  <si>
    <t>Brave, Bold, Confident, Assertive, Resilient, Ambitious, Strategic, Independent, Competitive</t>
  </si>
  <si>
    <t>Haughty, Elitist, Intimidating, Controlling, Cocky, Image-conscious</t>
  </si>
  <si>
    <t>Ismelda Mulk</t>
  </si>
  <si>
    <t>Blood Hunter</t>
  </si>
  <si>
    <t>Shoulder-length black with blue dyed ends</t>
  </si>
  <si>
    <t>Golden</t>
  </si>
  <si>
    <t>Barnaby</t>
  </si>
  <si>
    <t>Determined, Courageous, Loyal, Mentoring, Driven, Intense, Athletic, Growth-oriented</t>
  </si>
  <si>
    <t>Impulsive, Overcompetitive, Quick to judge, Self-doubting, Inconsistent, Legacy-focused, Emotionally reactive</t>
  </si>
  <si>
    <t>Skye Parkin</t>
  </si>
  <si>
    <t>she/them</t>
  </si>
  <si>
    <t>Barbarian</t>
  </si>
  <si>
    <t>Long straight black (bang over eye)</t>
  </si>
  <si>
    <t>Orion</t>
  </si>
  <si>
    <t>Liam, Tulip, Hayami</t>
  </si>
  <si>
    <t>Liam, Erika (frenemies)</t>
  </si>
  <si>
    <t>Determined, Resilient, Perceptive, Driven, Emotionally intense</t>
  </si>
  <si>
    <t>Antagonistic, Ruthless, Insecure, Attention-seeking, Savage, Power-hungry, Emotionally guarded, Defiant, Intimidating, Reactive</t>
  </si>
  <si>
    <t>Orion Amari</t>
  </si>
  <si>
    <t>he/them</t>
  </si>
  <si>
    <t>Shaman</t>
  </si>
  <si>
    <t>Wavy messy shoulder-length brown</t>
  </si>
  <si>
    <t>Skye</t>
  </si>
  <si>
    <t>Talbott, Andre, Liam, Badeea</t>
  </si>
  <si>
    <t>Badeea</t>
  </si>
  <si>
    <t>Calm, Selfless, Insightful, Inspiring, Patient, Spiritual, Introspective, Philosophical, Vision-focused</t>
  </si>
  <si>
    <t>Eccentric, Emotionally distant, Indirect, Conflict-avoidant, Understated, Unconventional</t>
  </si>
  <si>
    <t>Liz Tuttle</t>
  </si>
  <si>
    <t>Witch</t>
  </si>
  <si>
    <t>Brown afro ponytail</t>
  </si>
  <si>
    <t>Barnaby, Alanza</t>
  </si>
  <si>
    <t>Ben, Chiara</t>
  </si>
  <si>
    <t>Compassionate, Passionate, Principled, Persevering, Inspiring, Quiet, Unconventional, Observant, Heart-led</t>
  </si>
  <si>
    <t>Awkward, Overly trusting, Conflict-averse, Self-effacing, Emotionally vulnerable, Single-minded</t>
  </si>
  <si>
    <t>Erika Rath</t>
  </si>
  <si>
    <t>Paladin</t>
  </si>
  <si>
    <t>Long straight blonde (bang slicked back)</t>
  </si>
  <si>
    <t>Emily</t>
  </si>
  <si>
    <t>Skye, Liam, Hayami (frenemies)</t>
  </si>
  <si>
    <t>Skilled, Confident, Determined, Loyal (to the worthy), Disciplined, Competitive, Selective, Intensity-focused, Respect-oriented</t>
  </si>
  <si>
    <t>Arrogant, Confrontational, Intolerant to weakness, Emotionally closed-off, Domineering, Pride-driven</t>
  </si>
  <si>
    <t>Diego Caplan</t>
  </si>
  <si>
    <t>Monk</t>
  </si>
  <si>
    <t>Shaggy brown (covers nape)</t>
  </si>
  <si>
    <t>Jae</t>
  </si>
  <si>
    <t>Barnaby, Andre, Penny</t>
  </si>
  <si>
    <t>Liam, Hayami, Merula (frenemies)</t>
  </si>
  <si>
    <t>Enthusiastic, Brave, Supportive, Respectful, Motivating, Adventurous, Challenge-driven, Action-oriented, Storyteller, High-energy</t>
  </si>
  <si>
    <t>Overcompetitive, Impulsive, Overconfident, Restless, Flirtatious</t>
  </si>
  <si>
    <t>Badeea Ali</t>
  </si>
  <si>
    <t>Necromancer</t>
  </si>
  <si>
    <t>Black (covered by hijab)</t>
  </si>
  <si>
    <t>Talbott, Orion</t>
  </si>
  <si>
    <t>Creative, Imaginative, Calm, Inspiring, Innovative, Art-driven, Unconventional, Visual thinker, Expressive, Aesthetic-focused</t>
  </si>
  <si>
    <t>Withdrawn, Overly introspective, Sensitive to criticism, Perfectionistic, Conflict-avoidant</t>
  </si>
  <si>
    <t>Alanza Alves</t>
  </si>
  <si>
    <t>Warlock</t>
  </si>
  <si>
    <t>Long straight brown (middle part)</t>
  </si>
  <si>
    <t>Liz, Barnaby</t>
  </si>
  <si>
    <t>Chiara, Ben</t>
  </si>
  <si>
    <t>Gifted, Adaptable, Warm-hearted, Resilient, Empathetic, Mysterious, Distinct, Observant, Adventure-linked, Bond-oriented</t>
  </si>
  <si>
    <t>Secretive, Elusive, Burdened, Overprotective, Cautious to trust</t>
  </si>
  <si>
    <t>Skill Name</t>
  </si>
  <si>
    <t>Skill Type</t>
  </si>
  <si>
    <t>Skill Category</t>
  </si>
  <si>
    <t>Description</t>
  </si>
  <si>
    <t>Shadow Step</t>
  </si>
  <si>
    <t>Active</t>
  </si>
  <si>
    <t>Mobility</t>
  </si>
  <si>
    <t>Instantly vanish and reappear behind a target or chosen location within 30 feet. Next basic attack within 2 seconds is a guaranteed Sneak Attack dealing massive bonus physical damage.</t>
  </si>
  <si>
    <t>Vanish</t>
  </si>
  <si>
    <t>Defensive/Stealth</t>
  </si>
  <si>
    <t>Throw a smoke pellet and enter Improved Invisibility for 5 seconds. Does not break on minor damage allowing safe repositioning.</t>
  </si>
  <si>
    <t>Lock-Pick Lunge</t>
  </si>
  <si>
    <t>Utility/Damage</t>
  </si>
  <si>
    <t>Strike a target's armor at its weakest point ignoring 100% physical armor and applying Sunder debuff reducing armor for all allies for 6 seconds.</t>
  </si>
  <si>
    <t>Crippling Toss</t>
  </si>
  <si>
    <t>Ranged/Control</t>
  </si>
  <si>
    <t>Hurl a dagger at an enemy's leg dealing moderate damage and Crippling them (70% movement speed reduction for 3 seconds). Roots them if already slowed.</t>
  </si>
  <si>
    <t>Thousand Cuts</t>
  </si>
  <si>
    <t>Ultimate</t>
  </si>
  <si>
    <t>Dash between all enemies in an area striking each up to three times. Untargetable during skill. Each strike has high chance to apply Bleed scaling with target's missing health.</t>
  </si>
  <si>
    <t>Opportunist's Edge</t>
  </si>
  <si>
    <t>Passive</t>
  </si>
  <si>
    <t>Deal 25% increased damage against Crowd Controlled enemies or targets focused on an ally. Footsteps are naturally silent reducing enemy detection range by 50%.</t>
  </si>
  <si>
    <t>Tactical Strike</t>
  </si>
  <si>
    <t>Melee/Buff</t>
  </si>
  <si>
    <t>Precise blow that resets cooldown of defensive abilities on hit. Grants Combat Advantage increasing next two basic attacks' damage for 4 seconds.</t>
  </si>
  <si>
    <t>Shield Bash</t>
  </si>
  <si>
    <t>Control/Defense</t>
  </si>
  <si>
    <t>Slam shield into enemy dealing blunt damage and Stunning for 2 seconds. Can interrupt spellcasting or push enemies away from allies.</t>
  </si>
  <si>
    <t>Challenging Shout</t>
  </si>
  <si>
    <t>Taunt/Debuff</t>
  </si>
  <si>
    <t>Force all nearby enemies to attack the Fighter for 4 seconds. While active take 30% reduced damage from all sources.</t>
  </si>
  <si>
    <t>Second Wind</t>
  </si>
  <si>
    <t>Sustain</t>
  </si>
  <si>
    <t>Instantly heal for a percentage of max health. Clears Exhaustion and movement-impairing effects.</t>
  </si>
  <si>
    <t>Bladestorm</t>
  </si>
  <si>
    <t>Spin weapons in a wide radius dealing massive physical damage every 0.5 seconds. Move freely at 50% speed and pull nearby enemies toward the vortex center.</t>
  </si>
  <si>
    <t>Battle Hardened</t>
  </si>
  <si>
    <t>Gain Adrenaline stacks every 5 seconds in combat or when hit. Each stack increases Armor and Health Regeneration. At max stacks become Unstoppable (immune to knockback and interrupts).</t>
  </si>
  <si>
    <t>Magic Missile</t>
  </si>
  <si>
    <t>Precision Damage</t>
  </si>
  <si>
    <t>Launch three magically guided bolts that cannot miss. If all three hit one enemy creates a Force Echo dealing minor damage to nearby foes.</t>
  </si>
  <si>
    <t>Frost Nova</t>
  </si>
  <si>
    <t>Crowd Control</t>
  </si>
  <si>
    <t>Release a ring of freezing energy Freezing nearby enemies for 2 seconds then Chilling them (half speed) for an additional 4 seconds.</t>
  </si>
  <si>
    <t>Mirror Image</t>
  </si>
  <si>
    <t>Defensive/Illusion</t>
  </si>
  <si>
    <t>Create three illusory duplicates. Incoming direct attacks have 75% chance to hit an image instead. Each destroyed image dazes the attacker.</t>
  </si>
  <si>
    <t>Fireball</t>
  </si>
  <si>
    <t>Area of Effect</t>
  </si>
  <si>
    <t>Hurl a bead of fire that explodes in a 20-foot radius dealing heavy fire damage. Leaves Seared ground dealing continuous fire damage.</t>
  </si>
  <si>
    <t>Meteor Swarm</t>
  </si>
  <si>
    <t>Summon four massive meteors from the sky each striking a designated area with colossal physical and fire damage. Final meteor Stuns survivors and permanently reduces their fire resistance.</t>
  </si>
  <si>
    <t>Arcane Scholar</t>
  </si>
  <si>
    <t>Gain Insight stacks per spell cast. At 5 stacks next active skill costs no mana and has 50% increased range. Gain bonus magic resistance for every unspent mana point.</t>
  </si>
  <si>
    <t>Mark of the Hunter</t>
  </si>
  <si>
    <t>Debuff/Focus</t>
  </si>
  <si>
    <t>Mark a target revealing them through walls. All attacks against marked target deal bonus piercing damage. On marked target death recover stamina and immediately mark a new target.</t>
  </si>
  <si>
    <t>Volley of Thorns</t>
  </si>
  <si>
    <t>Fire an arrow that explodes into magical wooden shards. Enemies take immediate damage and are Lacerated (bleed). Ground becomes Overgrown slowing movement.</t>
  </si>
  <si>
    <t>Bestial Command</t>
  </si>
  <si>
    <t>Summon/Utility</t>
  </si>
  <si>
    <t>Summon a loyal animal companion for 10 seconds to attack the current target and reduce their attack speed. Companion attempts to intercept blows aimed at the Ranger.</t>
  </si>
  <si>
    <t>Trapper's Ambush</t>
  </si>
  <si>
    <t>Control/Defensive</t>
  </si>
  <si>
    <t>Set a concealed pressure-plate trap. First enemy to trigger it is Rooted for 3 seconds and takes significant physical damage.</t>
  </si>
  <si>
    <t>Sun-Piercing Shot</t>
  </si>
  <si>
    <t>Charge a single glowing arrow that passes through all enemies and obstacles. Each enemy hit takes massive radiant damage and is Blinded for 4 seconds.</t>
  </si>
  <si>
    <t>Wilderness Stalker</t>
  </si>
  <si>
    <t>Permanent 15% movement speed bonus in natural environments. Standing still for 2 seconds grants Camouflage (nearly invisible beyond 30 feet). First attack from Camouflage deals 20% bonus damage with higher chance to hit vitals.</t>
  </si>
  <si>
    <t>Reckless Swing</t>
  </si>
  <si>
    <t>Melee/Burst</t>
  </si>
  <si>
    <t>Massive overhead strike with greatly increased critical hit chance but leaves Barbarian Vulnerable (reduced defense) for 2 seconds. Killing blow instantly generates 20 Fury.</t>
  </si>
  <si>
    <t>Primal Rage</t>
  </si>
  <si>
    <t>Buff/Self</t>
  </si>
  <si>
    <t>Enter intense combat focus for 8 seconds. Increased damage and immunity to Fear and Stun. Every basic attack heals for a small portion of max health.</t>
  </si>
  <si>
    <t>Earth-Shaking Slam</t>
  </si>
  <si>
    <t>Control/AoE</t>
  </si>
  <si>
    <t>Leap and slam weapons into the ground creating a tremor that deals physical damage and knocks down all nearby enemies for 1.5 seconds.</t>
  </si>
  <si>
    <t>Bloody Cleave</t>
  </si>
  <si>
    <t>Multi-Target</t>
  </si>
  <si>
    <t>Swing axes in a 180-degree arc hitting all enemies in front. Inflicts Gash causing bleed for physical damage over 5 seconds.</t>
  </si>
  <si>
    <t>Ancestral Avatar</t>
  </si>
  <si>
    <t>Double size and reach for 12 seconds. Attacks deal splash damage and radiate Terrifying Presence slowing attack speed of nearby foes.</t>
  </si>
  <si>
    <t>Unbridled Fury</t>
  </si>
  <si>
    <t>Uses Fury instead of mana generated by dealing and taking damage. Every 10 Fury grants 2% bonus movement speed and physical damage. Below 30% health gain Ancient Resilience reducing incoming physical damage.</t>
  </si>
  <si>
    <t>Wild Shape: Infinite Forms</t>
  </si>
  <si>
    <t>Transformation</t>
  </si>
  <si>
    <t>Instantly transform into any animal or beast. Full-body transformation grants the creature's unique traits such as flight echolocation or extreme physical strength.</t>
  </si>
  <si>
    <t>Elemental Cataclysm</t>
  </si>
  <si>
    <t>Omni-Element Control</t>
  </si>
  <si>
    <t>Command every element at once. Damage type automatically shifts to match target's greatest weakness representing total understanding of elemental balance.</t>
  </si>
  <si>
    <t>Verdant Domain</t>
  </si>
  <si>
    <t>Botany/Control</t>
  </si>
  <si>
    <t>Force the immediate area into a hyper-accelerated ecosystem. All plant types burst from the ground healing and hiding allies while trapping and poisoning enemies.</t>
  </si>
  <si>
    <t>Gaea's Respiration</t>
  </si>
  <si>
    <t>Healing/Life Magic</t>
  </si>
  <si>
    <t>Breathe pure essence of life affecting all living things in a massive radius. Can accelerate ally growth or revert enemies to a younger weaker state.</t>
  </si>
  <si>
    <t>Wrath of the Living World</t>
  </si>
  <si>
    <t>Channel the planet's collective spirit for its duration. Cycle through dozens of transformations per second becoming an unstoppable avatar causing earthquakes with every step and storms with every breath.</t>
  </si>
  <si>
    <t>One with the All</t>
  </si>
  <si>
    <t>Immune to all natural poisons and environmental hazards. Mana replaced by Essence which generates faster when in contact with soil water or living plants.</t>
  </si>
  <si>
    <t>Discordant Blast</t>
  </si>
  <si>
    <t>Damage/Control</t>
  </si>
  <si>
    <t>Strike a dissonant chord releasing a wave of sonic damage in a wide cone. 50% chance to Disorient enemies causing them to stumble and cancel channeled spells.</t>
  </si>
  <si>
    <t>Song of Valor</t>
  </si>
  <si>
    <t>Buff/Aura</t>
  </si>
  <si>
    <t>Play a rhythmic melody granting all allies within earshot Heroic Inspiration (increased physical damage and temporary health that refreshes with each pulse).</t>
  </si>
  <si>
    <t>Lullaby of the Abyss</t>
  </si>
  <si>
    <t>Play a haunting tune causing affected enemies to fall into Magical Slumber for 6 seconds. Enemies woken by damage become Sluggish (40% reduced movement and attack speed).</t>
  </si>
  <si>
    <t>Satire of the Fool</t>
  </si>
  <si>
    <t>Debuff/Taunt</t>
  </si>
  <si>
    <t>Insult a target making them Enraged (reduced armor and focus) causing them to rush the Bard. Enraged target takes increased damage from all allies.</t>
  </si>
  <si>
    <t>Symphony of the Spheres</t>
  </si>
  <si>
    <t>Musical notes fly off the instrument and orbit the party as magical turrets for 10 seconds. At the climax heals all allies to full health and stuns every enemy on the battlefield.</t>
  </si>
  <si>
    <t>Harmonic Resonance</t>
  </si>
  <si>
    <t>Generate Vibration stacks from active spells and notes. Each stack grants 2% bonus spell power and attack speed to Bard and allies. Can detect invisible enemies and hidden traps by sensing subtle vibrations.</t>
  </si>
  <si>
    <t>Hallowed Ground</t>
  </si>
  <si>
    <t>Area Support</t>
  </si>
  <si>
    <t>Sanctify a 15-foot circle. Allies inside receive continuous healing and Fear immunity. Undead and demonic enemies take radiant damage and have movement speed reduced by 50%.</t>
  </si>
  <si>
    <t>Shield of Faith</t>
  </si>
  <si>
    <t>Buff/Defense</t>
  </si>
  <si>
    <t>Manifest spectral barriers around an ally absorbing massive incoming damage for 6 seconds. If destroyed detonates in a Holy Nova healing nearby allies for a portion of damage absorbed.</t>
  </si>
  <si>
    <t>Guiding Bolt</t>
  </si>
  <si>
    <t>Ranged/Support</t>
  </si>
  <si>
    <t>Fire a beam of golden light dealing radiant damage and Illuminating the target. The next ally to attack the illuminated target gains 100% accuracy and a guaranteed critical hit.</t>
  </si>
  <si>
    <t>Purge Wickedness</t>
  </si>
  <si>
    <t>Control/Damage</t>
  </si>
  <si>
    <t>Release a blinding flash of celestial energy Blinding enemies facing the Cleric for 3 seconds. Evil-aligned or undead targets are also Stunned.</t>
  </si>
  <si>
    <t>Resurrection &amp; Redemption</t>
  </si>
  <si>
    <t>Instantly revive all fallen allies within range at 50% health. For 10 seconds all living allies become Invulnerable as the Cleric absorbs all damage meant for the party.</t>
  </si>
  <si>
    <t>Divine Aegis</t>
  </si>
  <si>
    <t>Constant aura grants permanent 10% reduction to incoming shadow and necrotic damage. Each healing spell cast grants a temporary block chance that reflects a portion of physical damage back at the attacker.</t>
  </si>
  <si>
    <t>Arcane Surge</t>
  </si>
  <si>
    <t>Burst Damage</t>
  </si>
  <si>
    <t>Release a concentrated blast of pure energy scaling with current mana level. The more mana the Sorcerer has the more explosive the surge.</t>
  </si>
  <si>
    <t>Chaos Bolt</t>
  </si>
  <si>
    <t>Projectile</t>
  </si>
  <si>
    <t>Hurl a flickering orb that deals random elemental damage (Fire Frost Lightning or Acid) on impact. Chance to leap to a second nearby target repeating the chaotic effect.</t>
  </si>
  <si>
    <t>Enchanting Mists</t>
  </si>
  <si>
    <t>Control</t>
  </si>
  <si>
    <t>Surround self in hypnotic mist. Enemies entering the mist become Charmed wandering toward the Sorcerer without attacking for 4 seconds.</t>
  </si>
  <si>
    <t>Tides of Chaos</t>
  </si>
  <si>
    <t>Buff/Reactive</t>
  </si>
  <si>
    <t>Tap into unstable bloodline to gain Advantage on next action ensuring it cannot fail or be dodged. Triggers a Wild Magic Surge causing a random beneficial or chaotic effect.</t>
  </si>
  <si>
    <t>Elemental Overload</t>
  </si>
  <si>
    <t>Erupt with full internal power for 12 seconds. Every spell cast is Twinned (hits two targets) and mana costs are removed as energy flows directly from the soul.</t>
  </si>
  <si>
    <t>Metamagic Flux</t>
  </si>
  <si>
    <t>Gain Sorcery Points per spell cast. Points can be spent to modify the next ability such as doubling its range making it hit twice or changing its elemental type.</t>
  </si>
  <si>
    <t>Flurry of Blows</t>
  </si>
  <si>
    <t>Spend Ki to unleash three rapid unarmed strikes dealing blunt damage. Can be targeted at different enemies within reach.</t>
  </si>
  <si>
    <t>Stunning Strike</t>
  </si>
  <si>
    <t>Strike a specific pressure point disrupting internal energy flow. Target must succeed a constitution check or be Stunned for 2 seconds.</t>
  </si>
  <si>
    <t>Step of the Wind</t>
  </si>
  <si>
    <t>Focus Ki into feet allowing Dash or Disengage as a swift action. For 4 seconds run across vertical surfaces or liquids and take no falling damage.</t>
  </si>
  <si>
    <t>Patient Defense</t>
  </si>
  <si>
    <t>Reactive/Defense</t>
  </si>
  <si>
    <t>Enter deep focus for 3 seconds. All incoming melee attacks have 50% chance to be parried or redirected back at attacker. Can catch and hurl back ranged projectiles with increased force.</t>
  </si>
  <si>
    <t>Quivering Palm</t>
  </si>
  <si>
    <t>Deliver a light touch sending lethal vibrations through the target. Can trigger the vibration at any time within 10 seconds to deal massive internal damage. Instantly incapacitates target if their health is below a certain threshold.</t>
  </si>
  <si>
    <t>Unarmored Defense &amp; Flow</t>
  </si>
  <si>
    <t>Add spiritual focus to physical agility granting permanent bonus to Armor and Dodge Chance without heavy armor. Each successful basic strike generates Ki increasing movement speed by 2% per point up to 10 stacks.</t>
  </si>
  <si>
    <t>Divine Smite</t>
  </si>
  <si>
    <t>Expend divine energy on a melee hit to cause the strike to erupt in radiant light. Damage doubled against undead or fiends.</t>
  </si>
  <si>
    <t>Righteous Bolt</t>
  </si>
  <si>
    <t>Ranged/Justice</t>
  </si>
  <si>
    <t>Fire a bolt infused with Scales of Justice. If target dealt damage to an ally in the last 5 seconds the bolt deals increased damage and Snares the target (50% slow).</t>
  </si>
  <si>
    <t>Lay on Hands</t>
  </si>
  <si>
    <t>Healing/Sustain</t>
  </si>
  <si>
    <t>Touch a creature to instantly restore health from a pool of divine healing power. Can also instantly neutralize poisons or cure non-magical diseases.</t>
  </si>
  <si>
    <t>Vow of Enmity</t>
  </si>
  <si>
    <t>Point at a single foe and utter a sacred vow. For 10 seconds gain Advantage on all attack rolls against that target.</t>
  </si>
  <si>
    <t>Guardian of Ancient Kings</t>
  </si>
  <si>
    <t>Become an avatar of justice for 15 seconds gaining a massive shield of light. Every basic attack auto-triggers Divine Smite without mana cost. Nearby allies are healed for 10% of all damage dealt.</t>
  </si>
  <si>
    <t>Aura of Protection</t>
  </si>
  <si>
    <t>Radiate a 10-foot field of divine conviction. Nearby allies gain bonus to saving throws against magical effects and cannot be Frightened. Heavy plate armor reduces critical hit damage taken from evil-aligned enemies.</t>
  </si>
  <si>
    <t>Eldritch Blast</t>
  </si>
  <si>
    <t>Signature Ranged</t>
  </si>
  <si>
    <t>Fire beams of crackling purple energy. Number of beams increases with power level. Can be infused with Invocations to knock enemies back or pull them closer.</t>
  </si>
  <si>
    <t>Eye of the Patron</t>
  </si>
  <si>
    <t>Utility/Debuff</t>
  </si>
  <si>
    <t>Manifest the lidless eye above a target Revealing them (cannot hide or go invisible) and increasing damage they take from the Warlock's attacks.</t>
  </si>
  <si>
    <t>Hunger of Hadar</t>
  </si>
  <si>
    <t>Area Control</t>
  </si>
  <si>
    <t>Open a gateway summoning a sphere of absolute darkness and cold. Enemies inside are Blinded slowed by 60% and take continuous acid and cold damage from unseen tentacles.</t>
  </si>
  <si>
    <t>Misty Escape</t>
  </si>
  <si>
    <t>Defensive/Mobility</t>
  </si>
  <si>
    <t>Upon taking damage vanish in acrid smoke teleporting 20 feet away and becoming invisible for 2 seconds.</t>
  </si>
  <si>
    <t>Hurl Through Hell</t>
  </si>
  <si>
    <t>On a successful hit instantly transport the target through the lower planes for 3 seconds. On return they take massive psychic damage and are Terrified for 5 seconds.</t>
  </si>
  <si>
    <t>Eldritch Soul</t>
  </si>
  <si>
    <t>Spell power increases as current mana decreases. Enemies that die under a Warlock spell grant a Soul Fragment restoring a small portion of health and mana.</t>
  </si>
  <si>
    <t>Volatile Concoction</t>
  </si>
  <si>
    <t>Offensive/AoE</t>
  </si>
  <si>
    <t>Hurl a glass sphere of unstable fluid exploding in a 15-foot radius of fire. Initial blast deals high damage while the resulting pool deals continuous Burn damage.</t>
  </si>
  <si>
    <t>Rejuvenating Mist</t>
  </si>
  <si>
    <t>Healing/Support</t>
  </si>
  <si>
    <t>Shatter a pressurized vial creating a soothing vapor cloud. Allies inside regenerate health per second and receive Cleanse removing one negative status effect.</t>
  </si>
  <si>
    <t>Transmutation Bomb</t>
  </si>
  <si>
    <t>Control/Debuff</t>
  </si>
  <si>
    <t>Throw a flask of heavy silver liquid that hardens into lead-like weights on enemies. Significantly reduces movement and attack speed of all affected targets.</t>
  </si>
  <si>
    <t>Noxious Fumes</t>
  </si>
  <si>
    <t>Damage over Time</t>
  </si>
  <si>
    <t>Vent thick purple gas in a frontal cone obscuring vision and inflicting Corrode (lowered physical armor) on any enemy that breathes it.</t>
  </si>
  <si>
    <t>Philosopher's Overdrive</t>
  </si>
  <si>
    <t>Buff/Ultimate</t>
  </si>
  <si>
    <t>Consume a concentrated elixir entering hyper-focus for 10 seconds. All skill cooldowns reduced by 50% and basic attacks are infused with random elemental properties (Fire Ice or Acid).</t>
  </si>
  <si>
    <t>Experimental Catalyst</t>
  </si>
  <si>
    <t>Active skills leave Chemical Residue on the battlefield for 3 seconds. Allies moving through it gain a movement speed burst. Enemies moving through it take minor acid damage over time.</t>
  </si>
  <si>
    <t>Crimson Rite</t>
  </si>
  <si>
    <t>Weapon Buff</t>
  </si>
  <si>
    <t>Slice palm across blade imbuing it with elemental energy (Fire Ice or Lightning). Every melee strike deals additional elemental damage for a moderate duration. Each activation costs health.</t>
  </si>
  <si>
    <t>Blood Curse of Binding</t>
  </si>
  <si>
    <t>Manifest ethereal chains of hardened blood Rooting an enemy for several seconds. Amplifying by sacrificing more health also deals necrotic damage each second while bound.</t>
  </si>
  <si>
    <t>Grim Psychometry</t>
  </si>
  <si>
    <t>Utility/Detection</t>
  </si>
  <si>
    <t>Enter heightened awareness by tasting blood or touching a footprint. See enemy outlines through walls and track wounded foes. Increases critical hit chance against tracked targets.</t>
  </si>
  <si>
    <t>Vengeful Hemorrhage</t>
  </si>
  <si>
    <t>Debuff/DoT</t>
  </si>
  <si>
    <t>Fling magically-charged blood at a group of enemies. Those hit suffer internal hemorrhaging taking damage every time they take any action (moving attacking or casting).</t>
  </si>
  <si>
    <t>Brand of Castigation</t>
  </si>
  <si>
    <t>Strike a target with a permanent magical brand. Always know the branded target's location. Whenever the branded target deals damage to the Blood Hunter or allies the target receives massive psychic backlash.</t>
  </si>
  <si>
    <t>Sanguine Tithe</t>
  </si>
  <si>
    <t>Active skills consume a percentage of current Health instead of mana. Every enemy killed within short range heals the Blood Hunter for a portion of damage dealt.</t>
  </si>
  <si>
    <t>Raise Lesser Undead</t>
  </si>
  <si>
    <t>Summon</t>
  </si>
  <si>
    <t>Reanimate a corpse as a Skeleton Warrior or Shambling Zombie. Without a corpse sacrifice health to create a Bone Horror. Summons act as meat shields drawing aggression and dealing steady damage.</t>
  </si>
  <si>
    <t>Grave Chill</t>
  </si>
  <si>
    <t>Crowd Control/Damage</t>
  </si>
  <si>
    <t>Release supernatural cold Chilling enemies (reduced movement and attack speed). If target is already debuffed deals double damage and has high chance to Freeze them for 2 seconds.</t>
  </si>
  <si>
    <t>Corpse Explosion</t>
  </si>
  <si>
    <t>Target a fallen foe or active summon causing the body to detonate in a burst of bone shrapnel and necrotic gas dealing massive physical and poison damage to all nearby enemies.</t>
  </si>
  <si>
    <t>Life Tap</t>
  </si>
  <si>
    <t>Debuff/Sustain</t>
  </si>
  <si>
    <t>Place a dark hex on a target for 8 seconds. Any damage dealt to the target by the Necromancer or their summons heals the attacker for a percentage of the damage done.</t>
  </si>
  <si>
    <t>Army of the Dead</t>
  </si>
  <si>
    <t>Tear open a rift to the underworld for 12 seconds. A horde of spectral spirits and skeletal arms continuously roots enemies and deals heavy necrotic damage. Necromancer becomes untargetable merging with the shadows.</t>
  </si>
  <si>
    <t>Soul Harvest</t>
  </si>
  <si>
    <t>Enemies that die nearby leave visible soul essences restoring health and mana. Each active summon grants a stacking bonus to Magic Resistance as spirits deflect incoming magical energy.</t>
  </si>
  <si>
    <t>Trick Shot</t>
  </si>
  <si>
    <t>Ricochet/Precision</t>
  </si>
  <si>
    <t>Fire a high-velocity round that bounces off walls or objects. Post-ricochet hit deals 50% extra damage and automatically targets the head for a guaranteed critical hit.</t>
  </si>
  <si>
    <t>Flash-Powder Fan</t>
  </si>
  <si>
    <t>Close Quarters/Disorient</t>
  </si>
  <si>
    <t>Fire a blank loaded with magnesium powder in a short-range cone. Blinds all enemies hit for 3 seconds and knocks the Gunslinger backward creating distance from melee attackers.</t>
  </si>
  <si>
    <t>Dead-Eye Focus</t>
  </si>
  <si>
    <t>Buff/Stance</t>
  </si>
  <si>
    <t>Enter heightened concentration for 5 seconds slowing movement but greatly increasing range and zoom. Shots ignore 100% physical armor and have high chance to Maim (80% movement speed reduction).</t>
  </si>
  <si>
    <t>Grappling Harpoon</t>
  </si>
  <si>
    <t>Utility/Mobility</t>
  </si>
  <si>
    <t>Fire a tethered hook. Hits terrain: zip to that location. Hits enemy: pull them closer while dealing minor damage allowing a follow-up execution shot.</t>
  </si>
  <si>
    <t>Showdown</t>
  </si>
  <si>
    <t>Mark up to 6 enemies then unleash a flurry of shots hitting each with a lethal bullet. Killing a target with Showdown instantly refills ammunition and reduces cooldowns.</t>
  </si>
  <si>
    <t>Quick Draw &amp; Chamber</t>
  </si>
  <si>
    <t>Uses Ammunition instead of mana. Must Reload every 6 shots (1.5 seconds). A perfectly timed button press during reload performs a Perfect Chamber granting 20% increased armor penetration and resetting movement speed.</t>
  </si>
  <si>
    <t>Hallucinatory Decoy</t>
  </si>
  <si>
    <t>Illusion/Distraction</t>
  </si>
  <si>
    <t>Snap fingers to leave a perfect magical duplicate while becoming invisible for 3 seconds. Decoy taunts enemies. If destroyed it explodes in a flash Stunning everyone nearby.</t>
  </si>
  <si>
    <t>Spectral Dagger</t>
  </si>
  <si>
    <t>Projectile/Debuff</t>
  </si>
  <si>
    <t>Hurl a conjured blade of pure shadow that passes through physical shields and armor dealing direct spirit damage. On impact target becomes Confused occasionally attacking their own allies for 5 seconds.</t>
  </si>
  <si>
    <t>Switcheroo</t>
  </si>
  <si>
    <t>Mobility/Tactical</t>
  </si>
  <si>
    <t>Mark a target (ally or enemy) and instantly swap positions. Enemy: left disoriented and vulnerable. Ally: pulls teammate out of danger while positioning the Trickster for a backstab.</t>
  </si>
  <si>
    <t>Mind-Sunder</t>
  </si>
  <si>
    <t>Control/DoT</t>
  </si>
  <si>
    <t>Invade a foe's mind with terrifying whispers dealing steady psychic damage over time. If the target dies while affected the infection spreads to the nearest enemy refreshing and increasing in damage.</t>
  </si>
  <si>
    <t>Grand Masquerade</t>
  </si>
  <si>
    <t>Cast a massive illusionary dome over the battlefield. Enemies see the area as empty or obscured. Allies appear as copies of the Trickster. Grants all allies massive bonus to dodge chance and movement speed.</t>
  </si>
  <si>
    <t>Unseen Hand</t>
  </si>
  <si>
    <t>A permanent invisible Mage Hand automatically loots fallen enemies and has 15% chance to disarm attacking enemies. Attacking from stealth or invisibility grants Sneak Attack bonus dealing massive bonus psychic damage.</t>
  </si>
  <si>
    <t>Bramble Hex</t>
  </si>
  <si>
    <t>Cause thorny blackened vines to erupt under an enemy's feet. Bleeding effect deals more damage the further they move. Target is eventually Rooted if they stay still.</t>
  </si>
  <si>
    <t>Coven's Brew</t>
  </si>
  <si>
    <t>Support/Buff</t>
  </si>
  <si>
    <t>Toss a cauldron-jar that shatters into shimmering dust. Allies who touch it receive Witch-Sight (see invisible enemies and chance to inflict Ailments on every hit).</t>
  </si>
  <si>
    <t>Nightmare Screech</t>
  </si>
  <si>
    <t>Disorient/Fear</t>
  </si>
  <si>
    <t>Unleash a harrowing magical scream in a wide arc dealing psychic damage and inflicting Fear causing enemies to flee uncontrollably away from the Witch for 3 seconds.</t>
  </si>
  <si>
    <t>Transmogrify</t>
  </si>
  <si>
    <t>Temporarily transform a powerful enemy into a harmless creature such as a toad or black cat. While transformed the enemy cannot attack or use spells.</t>
  </si>
  <si>
    <t>Ritual of the Blood Moon</t>
  </si>
  <si>
    <t>Turn the sky crimson for 10 seconds permanently activating the Full Moon passive. All enemies are marked with Ill Fate causing a bolt of lunar energy to strike them from above each time they take any damage.</t>
  </si>
  <si>
    <t>Lunar Phases</t>
  </si>
  <si>
    <t>Abilities cycle through three lunar states every 30 seconds: Waxing (increased attack speed and projectile count) Full (maximum AoE size and damage) and Waning (increased mana regeneration and defensive shields).</t>
  </si>
  <si>
    <t>Abyssal Smite</t>
  </si>
  <si>
    <t>Imbue weapon with dark crackling energy. Next melee attack deals massive necrotic damage and releases a shockwave behind the target. Damage doubled against Holy or Light-aligned beings.</t>
  </si>
  <si>
    <t>Iron Bindings</t>
  </si>
  <si>
    <t>Slam fist into earth causing spiked chains to erupt around the Anti-Paladin latching onto nearby enemies pulling them in and preventing movement for 4 seconds.</t>
  </si>
  <si>
    <t>Vengeful Rebuke</t>
  </si>
  <si>
    <t>Defensive/Counter</t>
  </si>
  <si>
    <t>Enter defensive stance for 2 seconds mitigating 50% of melee damage taken. Immediately performs a lightning-fast counter-strike dealing damage equal to the amount mitigated.</t>
  </si>
  <si>
    <t>Dreadful Aspect</t>
  </si>
  <si>
    <t>Fear/Debuff</t>
  </si>
  <si>
    <t>Reveal true monstrous nature through visor. All nearby enemies are struck with Terror (drop weapons for 2 seconds and reduced movement speed). Terrified enemies take increased damage from Aura of Despair.</t>
  </si>
  <si>
    <t>Cataclysmic Ruin</t>
  </si>
  <si>
    <t>Leap and crash down with colossal force dealing enormous physical damage. Leaves the earth Blighted for 10 seconds. While on Blighted ground gain crowd control immunity and 30% Life Steal.</t>
  </si>
  <si>
    <t>Aura of Despair</t>
  </si>
  <si>
    <t>Radiate an oppressive presence in a 10-foot radius reducing enemy physical armor and mental resistance by 15%. Enemies that die within the aura grant a Malice Stack increasing the damage of the next active skill by 5%.</t>
  </si>
  <si>
    <t>Lunge &amp; Riposte</t>
  </si>
  <si>
    <t>Melee/Parry</t>
  </si>
  <si>
    <t>Long-reaching rapier thrust. If used immediately after an enemy misses performs a Riposte dealing a guaranteed critical hit and resetting cooldowns of movement abilities.</t>
  </si>
  <si>
    <t>Blinding Flourish</t>
  </si>
  <si>
    <t>Disorient</t>
  </si>
  <si>
    <t>Disorient all enemies in a small cone with a dramatic swirl or reflected light. Affected targets are Dazzled causing their next two attacks to automatically miss. Generates large amounts of Threat.</t>
  </si>
  <si>
    <t>Acrobatic Vault</t>
  </si>
  <si>
    <t>Catapult over an enemy's head using the environment or rapier. Completely untargetable while in the air. Landing behind the enemy deals Backstab damage ignoring a portion of physical armor.</t>
  </si>
  <si>
    <t>Charming Taunt</t>
  </si>
  <si>
    <t>Debuff/Control</t>
  </si>
  <si>
    <t>Mark a single target as Duel Partner for 6 seconds. Target deals 30% less damage to anyone except the Swashbuckler. Successfully dodging the partner's attack makes them Frustrated taking increased damage from all sources.</t>
  </si>
  <si>
    <t>Blade Dance</t>
  </si>
  <si>
    <t>Dash between every enemy within a 20-foot radius striking each multiple times with bleeding wounds. Dodge chance increased to 90% for the duration. Returns to starting position at the end.</t>
  </si>
  <si>
    <t>Fancy Footwork</t>
  </si>
  <si>
    <t>Gain Momentum stacks for every 5 feet moved or every successful dodge. Each stack increases Critical Hit Chance and Movement Speed by 2%. All stacks lost if standing still for more than 2 seconds.</t>
  </si>
  <si>
    <t>Earthbind Totem</t>
  </si>
  <si>
    <t>Place a totem that pulses every 2 seconds slowing nearby enemies by 40% and preventing Blink or Teleport abilities.</t>
  </si>
  <si>
    <t>Chain Lightning</t>
  </si>
  <si>
    <t>Multi-Target Damage</t>
  </si>
  <si>
    <t>Call down a bolt of elemental energy striking a primary target then jumping to up to three additional nearby enemies. Has high chance to Stun all targets if primary target is in water or Chilled.</t>
  </si>
  <si>
    <t>Ancestral Healing</t>
  </si>
  <si>
    <t>Restoration</t>
  </si>
  <si>
    <t>Targeted heal-over-time spell that follows an ally. If the ally takes damage while the heal is active the Spirit Bond passive triggers an immediate Burst Heal to prevent critical health.</t>
  </si>
  <si>
    <t>Spirit Walk</t>
  </si>
  <si>
    <t>Mobility/Utility</t>
  </si>
  <si>
    <t>Partially enter the spirit realm becoming translucent for 4 seconds with 50% movement speed boost. Can pass through physical objects and enemies. Immune to physical damage but vulnerable to magical attacks.</t>
  </si>
  <si>
    <t>Wrath of the Elements</t>
  </si>
  <si>
    <t>Enter a deep trance summoning a localized storm for 10 seconds. Fire rains from the sky earth erupts with stone spikes and freezing winds swirl dealing Tri-Elemental damage (Fire Earth Cold) to all nearby enemies.</t>
  </si>
  <si>
    <t>Spirit Bond</t>
  </si>
  <si>
    <t>Accompanied by an invisible Ancestral Guardian. Above 50% health: increases Magic Power. Below 50% health: Guardian manifests as a spectral shield absorbing flat damage every 10 seconds. Totems gain a portion of the Shaman's defensive stats.</t>
  </si>
  <si>
    <t>Shuriken Fan</t>
  </si>
  <si>
    <t>Ranged/Multi-target</t>
  </si>
  <si>
    <t>Quickly throw five enchanted throwing stars in a wide arc. Enemies hit by more than one star are Lacerated (bleed reducing healing received by 50% for 4 seconds).</t>
  </si>
  <si>
    <t>Smokescreen Vanish</t>
  </si>
  <si>
    <t>Stealth/Mobility</t>
  </si>
  <si>
    <t>Slam a pellet into the ground creating a thick smoke cloud in a 10-foot radius. Become invisible for 4 seconds even if being targeted. Enemies inside the smoke are Disoriented wandering aimlessly.</t>
  </si>
  <si>
    <t>Substitution Jutsu</t>
  </si>
  <si>
    <t>Enter counter-stance for 1.5 seconds. If hit teleport behind the attacker leaving a wooden log to take the blow. Next basic attack after teleport is a guaranteed Critical Strike dealing bonus internal damage.</t>
  </si>
  <si>
    <t>Ki Strike: Palm of Balance</t>
  </si>
  <si>
    <t>Control/Burst</t>
  </si>
  <si>
    <t>Deliver a powerful palm strike infused with Yin or Yang energy. Yin (target has more health): high damage and reduces target's attack power. Yang (target has less health): Stuns for 3 seconds.</t>
  </si>
  <si>
    <t>Shadow Clone Blitz</t>
  </si>
  <si>
    <t>Create four shadow clones that dash toward nearest enemies mimicking basic attacks and skills at 40% potency for 8 seconds. Can reactivate at any time to instantly swap places with any active clone.</t>
  </si>
  <si>
    <t>Way of the Shadow</t>
  </si>
  <si>
    <t>Permanent bonus to movement speed and jump height. While in shadows or near walls become Partially Obscured (ranged enemies 20% more likely to miss). Heightened senses allow parrying attacks from any direction with equal efficiency.</t>
  </si>
  <si>
    <t>Envenomed Blade</t>
  </si>
  <si>
    <t>Buff/Poison</t>
  </si>
  <si>
    <t>Coat daggers in necrotic toxin for the next 3 attacks dealing bonus poison damage. If all three hits land on the same target the poison Metastasizes dealing massive burst damage and slowing movement by 60%.</t>
  </si>
  <si>
    <t>Cloak of Shadows</t>
  </si>
  <si>
    <t>Stealth/Utility</t>
  </si>
  <si>
    <t>Wrap self in magical darkness becoming completely invisible for 6 seconds. Moving does not break stealth but attacking does. Attacking from this state is a guaranteed Critical Strike.</t>
  </si>
  <si>
    <t>Garrote Wire</t>
  </si>
  <si>
    <t>Control/Silence</t>
  </si>
  <si>
    <t>Lunge forward with a thin wire. If hitting an enemy from behind the target is Strangled for 3 seconds (Silenced and taking continuous damage). If the target dies while strangled Cloak of Shadows cooldown is instantly reset.</t>
  </si>
  <si>
    <t>Throwing Needle: Paralytic</t>
  </si>
  <si>
    <t>Debuff/Ranged</t>
  </si>
  <si>
    <t>Flick a tiny needle at a target's neck dealing negligible damage but applying Neural Shock (Stuns for 1.5 seconds). Perfect for interrupting powerful spells or stopping a fleeing target.</t>
  </si>
  <si>
    <t>Mark for Death</t>
  </si>
  <si>
    <t>Place a ghostly skull over a target's head. For 10 seconds the target takes 20% increased damage from all sources. If target falls below 25% health while marked teleport to them and perform an instant Execution.</t>
  </si>
  <si>
    <t>Anatomical Precision</t>
  </si>
  <si>
    <t>All attacks against enemies above 90% health or below 20% health deal 40% increased damage. Basic attacks have a permanent Lethal Edge granting 2% stacking Critical Hit chance every second out of combat up to 50%.</t>
  </si>
  <si>
    <t>Glimpse of the Future</t>
  </si>
  <si>
    <t>Buff/Utility</t>
  </si>
  <si>
    <t>Touch an ally granting a flash of foresight for 6 seconds. Ally gains massive bonus to Dodge Chance and Accuracy moving a split-second ahead of enemies.</t>
  </si>
  <si>
    <t>Celestial Alignment</t>
  </si>
  <si>
    <t>Damage/Debuff</t>
  </si>
  <si>
    <t>Strike an enemy with a beam of pure lunar energy dealing Radiant damage and Illuminating them. For 8 seconds all ally attacks against this target cannot miss and the target's stealth abilities are disabled.</t>
  </si>
  <si>
    <t>Temporal Anchor</t>
  </si>
  <si>
    <t>Control/Support</t>
  </si>
  <si>
    <t>Mark a 10-foot area recording all allies' current health and mana as a Fixed Point in Time. After 4 seconds all allies who were inside are instantly restored to their recorded health and mana levels.</t>
  </si>
  <si>
    <t>Curse of the Inevitable</t>
  </si>
  <si>
    <t>Whisper a doom onto a target dealing increasing Cosmic damage every second. Cannot be mitigated by armor or magic resistance. If the target attempts to heal the healing is converted into additional damage instead.</t>
  </si>
  <si>
    <t>Fate's Weaver</t>
  </si>
  <si>
    <t>Cover the battlefield in golden threads for 10 seconds. Every ally attack is treated as a maximum damage roll and every enemy attack as a minimum damage roll. Any ally who would take lethal damage is left at 1 HP instead.</t>
  </si>
  <si>
    <t>Prophetic Sight</t>
  </si>
  <si>
    <t>Every 15 seconds divine two random numbers (1-20) displayed on the UI. The next attack or saving throw by the Oracle or a nearby ally can spend one of these numbers to replace the result turning a miss into a critical hit or a fatal blow into a graze.</t>
  </si>
  <si>
    <t>Tier</t>
  </si>
  <si>
    <t>HP</t>
  </si>
  <si>
    <t>DEF</t>
  </si>
  <si>
    <t>ATK</t>
  </si>
  <si>
    <t>MAG</t>
  </si>
  <si>
    <t>AGI</t>
  </si>
  <si>
    <t>INT</t>
  </si>
  <si>
    <t>Total</t>
  </si>
  <si>
    <t>S</t>
  </si>
  <si>
    <t>A</t>
  </si>
  <si>
    <t>B</t>
  </si>
  <si>
    <t>C</t>
  </si>
  <si>
    <t>Damage Type</t>
  </si>
  <si>
    <t>Mana Cost</t>
  </si>
  <si>
    <t>Physical</t>
  </si>
  <si>
    <t>None</t>
  </si>
  <si>
    <t>Magical</t>
  </si>
  <si>
    <t>Max Mana</t>
  </si>
  <si>
    <t>Mana Regen</t>
  </si>
  <si>
    <t>Player 2</t>
  </si>
  <si>
    <t>Player 1</t>
  </si>
  <si>
    <t>Slot 1</t>
  </si>
  <si>
    <t>Slot 2</t>
  </si>
  <si>
    <t>Slot 3</t>
  </si>
  <si>
    <t>P1 Slot 1</t>
  </si>
  <si>
    <t>P1 Slot 2</t>
  </si>
  <si>
    <t>P1 Slot 3</t>
  </si>
  <si>
    <t>P2 Slot 1</t>
  </si>
  <si>
    <t>P2 Slot 2</t>
  </si>
  <si>
    <t>P2 Slot 3</t>
  </si>
  <si>
    <t>Active Player</t>
  </si>
  <si>
    <t>Character</t>
  </si>
  <si>
    <t>Mana</t>
  </si>
  <si>
    <t>PARTY STATUS</t>
  </si>
  <si>
    <t>TURN</t>
  </si>
  <si>
    <t>ACTIVE PLAYER</t>
  </si>
  <si>
    <t>SKILL PICKER</t>
  </si>
  <si>
    <t>Select Skill</t>
  </si>
  <si>
    <t>P1 Active Slot</t>
  </si>
  <si>
    <t>P2 Active Slot</t>
  </si>
  <si>
    <t>Turn Number</t>
  </si>
  <si>
    <t>P1 Slot1 HP</t>
  </si>
  <si>
    <t>P2 Slot2 HP</t>
  </si>
  <si>
    <t>P1 Slot2 HP</t>
  </si>
  <si>
    <t>P1 Slot3 HP</t>
  </si>
  <si>
    <t>P2 Slot1 HP</t>
  </si>
  <si>
    <t>P2 Slot3 HP</t>
  </si>
  <si>
    <t>P1 Slot1 Mana</t>
  </si>
  <si>
    <t>P1 Slot2 Mana</t>
  </si>
  <si>
    <t>P1 Slot3 Mana</t>
  </si>
  <si>
    <t>P2 Slot1 Mana</t>
  </si>
  <si>
    <t>P2 Slot2 Mana</t>
  </si>
  <si>
    <t>P2 Slot3 Mana</t>
  </si>
  <si>
    <t>Active Skills</t>
  </si>
  <si>
    <t xml:space="preserve">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</si>
</sst>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9.5"/>
      <color theme="1"/>
      <name val="Comic Sans MS"/>
      <family val="4"/>
    </font>
    <font>
      <sz val="8"/>
      <name val="Calibri"/>
      <family val="2"/>
      <scheme val="minor"/>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s>
  <cellStyleXfs count="1">
    <xf numFmtId="0" fontId="0" fillId="0" borderId="0"/>
  </cellStyleXfs>
  <cellXfs count="35">
    <xf numFmtId="0" fontId="0" fillId="0" borderId="0" xfId="0"/>
    <xf numFmtId="14" fontId="0" fillId="0" borderId="0" xfId="0" applyNumberFormat="1"/>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Alignment="1">
      <alignment wrapText="1"/>
    </xf>
    <xf numFmtId="0" fontId="1" fillId="0" borderId="4" xfId="0" applyFont="1" applyBorder="1" applyAlignment="1">
      <alignment horizontal="center" vertical="center" wrapText="1"/>
    </xf>
    <xf numFmtId="0" fontId="1" fillId="0" borderId="6" xfId="0" applyFont="1" applyBorder="1" applyAlignment="1">
      <alignment horizontal="center" vertical="center" wrapText="1"/>
    </xf>
    <xf numFmtId="0" fontId="1" fillId="0" borderId="9" xfId="0" applyFont="1" applyBorder="1" applyAlignment="1">
      <alignment horizontal="center" vertical="center" wrapText="1"/>
    </xf>
    <xf numFmtId="14" fontId="1" fillId="0" borderId="3" xfId="0" applyNumberFormat="1" applyFont="1" applyBorder="1" applyAlignment="1">
      <alignment horizontal="center" vertical="center"/>
    </xf>
    <xf numFmtId="0" fontId="1" fillId="0" borderId="6" xfId="0" applyFont="1" applyBorder="1" applyAlignment="1">
      <alignment horizontal="center" vertical="center"/>
    </xf>
    <xf numFmtId="0" fontId="1" fillId="0" borderId="9" xfId="0" applyFont="1" applyBorder="1" applyAlignment="1">
      <alignment horizontal="center"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0" fillId="0" borderId="0" xfId="0" applyAlignment="1">
      <alignment horizontal="left"/>
    </xf>
    <xf numFmtId="0" fontId="1" fillId="0" borderId="1" xfId="0" applyNumberFormat="1" applyFont="1" applyBorder="1" applyAlignment="1">
      <alignment horizontal="center" vertical="center"/>
    </xf>
    <xf numFmtId="0" fontId="1" fillId="0" borderId="5" xfId="0" applyNumberFormat="1"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1" fillId="0" borderId="5" xfId="0" applyNumberFormat="1" applyFont="1" applyBorder="1" applyAlignment="1">
      <alignment horizontal="center" vertical="center" wrapText="1"/>
    </xf>
    <xf numFmtId="0" fontId="1" fillId="0" borderId="7" xfId="0" applyNumberFormat="1" applyFont="1" applyBorder="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xf>
    <xf numFmtId="0" fontId="1" fillId="0" borderId="1" xfId="0" applyFont="1" applyBorder="1" applyAlignment="1">
      <alignment horizontal="center" vertical="center"/>
    </xf>
    <xf numFmtId="0" fontId="1" fillId="0" borderId="6" xfId="0" applyNumberFormat="1" applyFont="1" applyBorder="1" applyAlignment="1">
      <alignment horizontal="center" vertical="center"/>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3" xfId="0" applyFont="1" applyBorder="1" applyAlignment="1">
      <alignment horizontal="center" vertical="center"/>
    </xf>
  </cellXfs>
  <cellStyles count="1">
    <cellStyle name="Normal" xfId="0" builtinId="0"/>
  </cellStyles>
  <dxfs count="62">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19" formatCode="m/d/yy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5"/>
        <color theme="1"/>
        <name val="Comic Sans MS"/>
        <family val="4"/>
        <scheme val="none"/>
      </font>
      <alignment horizontal="center" vertical="center" textRotation="0" wrapText="1" indent="0" justifyLastLine="0" shrinkToFit="0" readingOrder="0"/>
    </dxf>
    <dxf>
      <font>
        <strike val="0"/>
        <outline val="0"/>
        <shadow val="0"/>
        <u val="none"/>
        <vertAlign val="baseline"/>
        <sz val="9.5"/>
        <color theme="1"/>
        <name val="Comic Sans MS"/>
        <family val="4"/>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9.5"/>
        <color theme="1"/>
        <name val="Comic Sans MS"/>
        <family val="4"/>
        <scheme val="none"/>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dxf>
    <dxf>
      <border>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numFmt numFmtId="0" formatCode="Genera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dxf>
    <dxf>
      <border>
        <bottom style="thin">
          <color indexed="64"/>
        </bottom>
      </border>
    </dxf>
    <dxf>
      <font>
        <strike val="0"/>
        <outline val="0"/>
        <shadow val="0"/>
        <u val="none"/>
        <vertAlign val="baseline"/>
        <sz val="9.5"/>
        <color theme="1"/>
        <name val="Comic Sans MS"/>
        <family val="4"/>
        <scheme val="none"/>
      </font>
      <alignment horizontal="left" vertical="center" textRotation="0" wrapText="0" indent="0" justifyLastLine="0" shrinkToFit="0" readingOrder="0"/>
      <border diagonalUp="0" diagonalDown="0" outline="0">
        <left style="thin">
          <color indexed="64"/>
        </left>
        <right style="thin">
          <color indexed="64"/>
        </right>
        <top/>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dxf>
    <dxf>
      <border>
        <bottom style="thin">
          <color indexed="64"/>
        </bottom>
      </border>
    </dxf>
    <dxf>
      <font>
        <strike val="0"/>
        <outline val="0"/>
        <shadow val="0"/>
        <u val="none"/>
        <vertAlign val="baseline"/>
        <sz val="9.5"/>
        <color theme="1"/>
        <name val="Comic Sans MS"/>
        <family val="4"/>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327660</xdr:colOff>
          <xdr:row>3</xdr:row>
          <xdr:rowOff>182880</xdr:rowOff>
        </xdr:from>
        <xdr:to>
          <xdr:col>4</xdr:col>
          <xdr:colOff>365760</xdr:colOff>
          <xdr:row>5</xdr:row>
          <xdr:rowOff>106680</xdr:rowOff>
        </xdr:to>
        <xdr:sp macro="" textlink="">
          <xdr:nvSpPr>
            <xdr:cNvPr id="6157" name="Button 13" hidden="1">
              <a:extLst>
                <a:ext uri="{63B3BB69-23CF-44E3-9099-C40C66FF867C}">
                  <a14:compatExt spid="_x0000_s6157"/>
                </a:ext>
                <a:ext uri="{FF2B5EF4-FFF2-40B4-BE49-F238E27FC236}">
                  <a16:creationId xmlns:a16="http://schemas.microsoft.com/office/drawing/2014/main" id="{00000000-0008-0000-0200-00000D1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Start Battle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350520</xdr:colOff>
          <xdr:row>6</xdr:row>
          <xdr:rowOff>38100</xdr:rowOff>
        </xdr:from>
        <xdr:to>
          <xdr:col>4</xdr:col>
          <xdr:colOff>350520</xdr:colOff>
          <xdr:row>7</xdr:row>
          <xdr:rowOff>137160</xdr:rowOff>
        </xdr:to>
        <xdr:sp macro="" textlink="">
          <xdr:nvSpPr>
            <xdr:cNvPr id="6158" name="Button 14" hidden="1">
              <a:extLst>
                <a:ext uri="{63B3BB69-23CF-44E3-9099-C40C66FF867C}">
                  <a14:compatExt spid="_x0000_s6158"/>
                </a:ext>
                <a:ext uri="{FF2B5EF4-FFF2-40B4-BE49-F238E27FC236}">
                  <a16:creationId xmlns:a16="http://schemas.microsoft.com/office/drawing/2014/main" id="{00000000-0008-0000-0200-00000E18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US" sz="1100" b="0" i="0" u="none" strike="noStrike" baseline="0">
                  <a:solidFill>
                    <a:srgbClr val="000000"/>
                  </a:solidFill>
                  <a:latin typeface="Calibri"/>
                  <a:ea typeface="Calibri"/>
                  <a:cs typeface="Calibri"/>
                </a:rPr>
                <a:t>Execute Skill</a:t>
              </a:r>
            </a:p>
          </xdr:txBody>
        </xdr:sp>
        <xdr:clientData fPrintsWithSheet="0"/>
      </xdr:twoCellAnchor>
    </mc:Choice>
    <mc:Fallback/>
  </mc:AlternateContent>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C52A319-E68C-461E-AC0E-41C9CCFA9949}" autoFormatId="16" applyNumberFormats="0" applyBorderFormats="0" applyFontFormats="0" applyPatternFormats="0" applyAlignmentFormats="0" applyWidthHeightFormats="0">
  <queryTableRefresh nextId="35" unboundColumnsRight="10">
    <queryTableFields count="26">
      <queryTableField id="1" name="Name" tableColumnId="1"/>
      <queryTableField id="2" name="Pronouns" tableColumnId="2"/>
      <queryTableField id="3" name="Gender" tableColumnId="3"/>
      <queryTableField id="4" name="Birthday" tableColumnId="4"/>
      <queryTableField id="5" name="Class" tableColumnId="5"/>
      <queryTableField id="6" name="House" tableColumnId="6"/>
      <queryTableField id="7" name="Height (cm)" tableColumnId="7"/>
      <queryTableField id="8" name="Skin" tableColumnId="8"/>
      <queryTableField id="9" name="Hair" tableColumnId="9"/>
      <queryTableField id="10" name="Eyes" tableColumnId="10"/>
      <queryTableField id="11" name="Best Friends" tableColumnId="11"/>
      <queryTableField id="12" name="Close Friends" tableColumnId="12"/>
      <queryTableField id="13" name="Frenemies/Rivals" tableColumnId="13"/>
      <queryTableField id="14" name="Romantic Interest" tableColumnId="14"/>
      <queryTableField id="15" name="Personality Strengths" tableColumnId="15"/>
      <queryTableField id="16" name="Personality Weaknesses" tableColumnId="16"/>
      <queryTableField id="25" dataBound="0" tableColumnId="25"/>
      <queryTableField id="26" dataBound="0" tableColumnId="26"/>
      <queryTableField id="27" dataBound="0" tableColumnId="27"/>
      <queryTableField id="28" dataBound="0" tableColumnId="28"/>
      <queryTableField id="29" dataBound="0" tableColumnId="29"/>
      <queryTableField id="30" dataBound="0" tableColumnId="30"/>
      <queryTableField id="31" dataBound="0" tableColumnId="31"/>
      <queryTableField id="32" dataBound="0" tableColumnId="32"/>
      <queryTableField id="33" dataBound="0" tableColumnId="33"/>
      <queryTableField id="34" dataBound="0" tableColumnId="3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62B92700-382F-4406-81C7-DC86B5D4813E}" autoFormatId="16" applyNumberFormats="0" applyBorderFormats="0" applyFontFormats="0" applyPatternFormats="0" applyAlignmentFormats="0" applyWidthHeightFormats="0">
  <queryTableRefresh nextId="10">
    <queryTableFields count="9">
      <queryTableField id="1" name="Class" tableColumnId="1"/>
      <queryTableField id="2" name="Tier" tableColumnId="2"/>
      <queryTableField id="3" name="HP" tableColumnId="3"/>
      <queryTableField id="4" name="DEF" tableColumnId="4"/>
      <queryTableField id="5" name="ATK" tableColumnId="5"/>
      <queryTableField id="6" name="MAG" tableColumnId="6"/>
      <queryTableField id="7" name="AGI" tableColumnId="7"/>
      <queryTableField id="8" name="INT" tableColumnId="8"/>
      <queryTableField id="9" name="Total"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3265FB62-D464-4A81-812E-85E808E7D855}" autoFormatId="16" applyNumberFormats="0" applyBorderFormats="0" applyFontFormats="0" applyPatternFormats="0" applyAlignmentFormats="0" applyWidthHeightFormats="0">
  <queryTableRefresh nextId="8">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AC02D3E8-72F3-4D83-BF54-1E4A4BDCD263}" autoFormatId="16" applyNumberFormats="0" applyBorderFormats="0" applyFontFormats="0" applyPatternFormats="0" applyAlignmentFormats="0" applyWidthHeightFormats="0">
  <queryTableRefresh nextId="3">
    <queryTableFields count="2">
      <queryTableField id="1" name="Damage Type" tableColumnId="1"/>
      <queryTableField id="2" name="Mana Cost"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CA0475-96BA-48BA-90B9-410920A06B1F}" name="characters" displayName="characters" ref="A1:Z25" tableType="queryTable" totalsRowShown="0" headerRowDxfId="61" dataDxfId="59" headerRowBorderDxfId="60" tableBorderDxfId="58" totalsRowBorderDxfId="57">
  <autoFilter ref="A1:Z25" xr:uid="{9CCA0475-96BA-48BA-90B9-410920A06B1F}"/>
  <sortState xmlns:xlrd2="http://schemas.microsoft.com/office/spreadsheetml/2017/richdata2" ref="A2:P25">
    <sortCondition ref="A1:A25"/>
  </sortState>
  <tableColumns count="26">
    <tableColumn id="1" xr3:uid="{9521A186-AF01-4C4E-9406-A2054044CD0F}" uniqueName="1" name="Name" queryTableFieldId="1" dataDxfId="28"/>
    <tableColumn id="2" xr3:uid="{98EB33AC-A8B3-493A-A789-752D6E20E1E8}" uniqueName="2" name="Pronouns" queryTableFieldId="2" dataDxfId="27"/>
    <tableColumn id="3" xr3:uid="{D14E2D71-0F74-482D-ADA0-784513E5B480}" uniqueName="3" name="Gender" queryTableFieldId="3" dataDxfId="26"/>
    <tableColumn id="4" xr3:uid="{D8CA263E-62D3-4F8B-B700-8565AAC140E4}" uniqueName="4" name="Birthday" queryTableFieldId="4" dataDxfId="25"/>
    <tableColumn id="5" xr3:uid="{FFAA86F9-2278-4318-8678-C75DBAD48E84}" uniqueName="5" name="Class" queryTableFieldId="5" dataDxfId="24"/>
    <tableColumn id="6" xr3:uid="{EB42AAFD-08BF-4FC3-BCCD-953DA9810F92}" uniqueName="6" name="House" queryTableFieldId="6" dataDxfId="23"/>
    <tableColumn id="7" xr3:uid="{7E084BBA-6535-423D-98EB-0ED1085728BF}" uniqueName="7" name="Height (cm)" queryTableFieldId="7" dataDxfId="22"/>
    <tableColumn id="8" xr3:uid="{80DFE185-F65B-4500-9075-BA0A66E4CBE0}" uniqueName="8" name="Skin" queryTableFieldId="8" dataDxfId="21"/>
    <tableColumn id="9" xr3:uid="{8BEB7024-1DE9-45EF-B4C4-C563E8342A01}" uniqueName="9" name="Hair" queryTableFieldId="9" dataDxfId="20"/>
    <tableColumn id="10" xr3:uid="{274C6930-6B42-4078-9EC9-8F9AC336E89E}" uniqueName="10" name="Eyes" queryTableFieldId="10" dataDxfId="19"/>
    <tableColumn id="11" xr3:uid="{8751DE52-9FC2-48C1-A08C-FEEBE8F411BB}" uniqueName="11" name="Best Friends" queryTableFieldId="11" dataDxfId="18"/>
    <tableColumn id="12" xr3:uid="{1381D37A-29C5-4AA7-9D4E-697C5062254E}" uniqueName="12" name="Close Friends" queryTableFieldId="12" dataDxfId="17"/>
    <tableColumn id="13" xr3:uid="{EE31E9CD-1E2B-4E7F-98FC-0FECA24CDB62}" uniqueName="13" name="Frenemies/Rivals" queryTableFieldId="13" dataDxfId="16"/>
    <tableColumn id="14" xr3:uid="{89F5A7E3-D809-4174-B681-15AF38244A10}" uniqueName="14" name="Romantic Interest" queryTableFieldId="14" dataDxfId="15"/>
    <tableColumn id="15" xr3:uid="{28919D05-A523-4895-A4B1-CF781FE4F21A}" uniqueName="15" name="Personality Strengths" queryTableFieldId="15" dataDxfId="14"/>
    <tableColumn id="16" xr3:uid="{97BFB224-35F2-4DF0-8D59-4875BB40139A}" uniqueName="16" name="Personality Weaknesses" queryTableFieldId="16" dataDxfId="13"/>
    <tableColumn id="25" xr3:uid="{23C039DB-6467-4D7A-B23D-3A703CD732E5}" uniqueName="25" name="Tier" queryTableFieldId="25" dataDxfId="12">
      <calculatedColumnFormula>VLOOKUP(characters[[#This Row],[Class]],stats!$A:$I,2,FALSE)</calculatedColumnFormula>
    </tableColumn>
    <tableColumn id="26" xr3:uid="{EB2E4357-59F8-4E28-8D43-75E0BF1B0AE3}" uniqueName="26" name="HP" queryTableFieldId="26" dataDxfId="3">
      <calculatedColumnFormula>(VLOOKUP(characters[[#This Row],[Class]],stats!$A:$I,3,FALSE))*10</calculatedColumnFormula>
    </tableColumn>
    <tableColumn id="27" xr3:uid="{32196045-996C-4582-8563-9D329D0BB7A0}" uniqueName="27" name="DEF" queryTableFieldId="27" dataDxfId="11">
      <calculatedColumnFormula>VLOOKUP(characters[[#This Row],[Class]],stats!$A:$I,4,FALSE)</calculatedColumnFormula>
    </tableColumn>
    <tableColumn id="28" xr3:uid="{D579C4E8-BD40-4A82-B2EC-B679028296C4}" uniqueName="28" name="ATK" queryTableFieldId="28" dataDxfId="10">
      <calculatedColumnFormula>VLOOKUP(characters[[#This Row],[Class]],stats!$A:$I,5,FALSE)</calculatedColumnFormula>
    </tableColumn>
    <tableColumn id="29" xr3:uid="{BB70F083-2908-4961-A9BA-AFD401CAB878}" uniqueName="29" name="MAG" queryTableFieldId="29" dataDxfId="9">
      <calculatedColumnFormula>VLOOKUP(characters[[#This Row],[Class]],stats!$A:$I,6,FALSE)</calculatedColumnFormula>
    </tableColumn>
    <tableColumn id="30" xr3:uid="{1D25313A-3BF9-4683-A762-68468FF7F2A3}" uniqueName="30" name="AGI" queryTableFieldId="30" dataDxfId="8">
      <calculatedColumnFormula>VLOOKUP(characters[[#This Row],[Class]],stats!$A:$I,7,FALSE)</calculatedColumnFormula>
    </tableColumn>
    <tableColumn id="31" xr3:uid="{EAF3BF61-E67A-4451-A9C2-C9AD67BB346D}" uniqueName="31" name="INT" queryTableFieldId="31" dataDxfId="7">
      <calculatedColumnFormula>VLOOKUP(characters[[#This Row],[Class]],stats!$A:$I,8,FALSE)</calculatedColumnFormula>
    </tableColumn>
    <tableColumn id="32" xr3:uid="{BF8077D7-6FE9-49D8-AD0D-52DED73E91CD}" uniqueName="32" name="Total" queryTableFieldId="32" dataDxfId="6">
      <calculatedColumnFormula>VLOOKUP(characters[[#This Row],[Class]],stats!$A:$I,9,FALSE)</calculatedColumnFormula>
    </tableColumn>
    <tableColumn id="33" xr3:uid="{7C9C07F4-8F6B-409B-9CB1-BFA1FD961572}" uniqueName="33" name="Max Mana" queryTableFieldId="33" dataDxfId="4">
      <calculatedColumnFormula>ROUND(50+(VLOOKUP(E2,stats!$A:$I,8,0)*0.5),0)</calculatedColumnFormula>
    </tableColumn>
    <tableColumn id="34" xr3:uid="{BC5913C6-417E-4A66-B088-BEF8938B6BF1}" uniqueName="34" name="Mana Regen" queryTableFieldId="34" dataDxfId="5">
      <calculatedColumnFormula>ROUND(VLOOKUP(E2,stats!$A:$I,8,0)*0.1,0)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537D69-54F7-4F4F-AA3E-4CB3729BBD23}" name="stats" displayName="stats" ref="A1:I25" tableType="queryTable" totalsRowShown="0" headerRowDxfId="56" dataDxfId="54" headerRowBorderDxfId="55" tableBorderDxfId="53" totalsRowBorderDxfId="52">
  <autoFilter ref="A1:I25" xr:uid="{D0537D69-54F7-4F4F-AA3E-4CB3729BBD23}"/>
  <sortState xmlns:xlrd2="http://schemas.microsoft.com/office/spreadsheetml/2017/richdata2" ref="A2:I25">
    <sortCondition ref="A1:A25"/>
  </sortState>
  <tableColumns count="9">
    <tableColumn id="1" xr3:uid="{AE059BAA-E971-4A22-8712-5BF06A97862A}" uniqueName="1" name="Class" queryTableFieldId="1" dataDxfId="51"/>
    <tableColumn id="2" xr3:uid="{EC4C1A6A-A578-413C-80F7-4408CA5858B2}" uniqueName="2" name="Tier" queryTableFieldId="2" dataDxfId="1"/>
    <tableColumn id="3" xr3:uid="{651B17E2-5DE9-4DC0-A3BB-6161B26C00DC}" uniqueName="3" name="HP" queryTableFieldId="3" dataDxfId="2"/>
    <tableColumn id="4" xr3:uid="{DF4A1F8E-C9E8-47DB-B01A-7B70AC19B84D}" uniqueName="4" name="DEF" queryTableFieldId="4" dataDxfId="0"/>
    <tableColumn id="5" xr3:uid="{089C205D-8FF6-4BAF-8CCB-98154B18B589}" uniqueName="5" name="ATK" queryTableFieldId="5" dataDxfId="50"/>
    <tableColumn id="6" xr3:uid="{0B43D78B-F68F-4519-B1DB-742E4F6C2A76}" uniqueName="6" name="MAG" queryTableFieldId="6" dataDxfId="49"/>
    <tableColumn id="7" xr3:uid="{001CE496-444D-40AD-ABDC-92F2E80937F2}" uniqueName="7" name="AGI" queryTableFieldId="7" dataDxfId="48"/>
    <tableColumn id="8" xr3:uid="{E55F3FF2-425C-43CB-81CA-715BF383FCE3}" uniqueName="8" name="INT" queryTableFieldId="8" dataDxfId="47"/>
    <tableColumn id="9" xr3:uid="{C828155D-F850-4E5A-B936-84804587AFE5}" uniqueName="9" name="Total" queryTableFieldId="9" dataDxfId="4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02549D-E1D0-484A-91E2-10A39B8351E1}" name="skills" displayName="skills" ref="A1:E145" tableType="queryTable" totalsRowShown="0" headerRowDxfId="45" dataDxfId="43" headerRowBorderDxfId="44" tableBorderDxfId="42" totalsRowBorderDxfId="41">
  <autoFilter ref="A1:E145" xr:uid="{BA02549D-E1D0-484A-91E2-10A39B8351E1}"/>
  <sortState xmlns:xlrd2="http://schemas.microsoft.com/office/spreadsheetml/2017/richdata2" ref="A68:E73">
    <sortCondition ref="A1:A145"/>
  </sortState>
  <tableColumns count="5">
    <tableColumn id="1" xr3:uid="{49937302-AAA5-44CA-9339-C39A307FD113}" uniqueName="1" name="Class" queryTableFieldId="1" dataDxfId="40"/>
    <tableColumn id="2" xr3:uid="{2BE7B5A8-CDB7-43B7-875A-604C3133C443}" uniqueName="2" name="Skill Name" queryTableFieldId="2" dataDxfId="39"/>
    <tableColumn id="3" xr3:uid="{DC460C96-FF97-4AD4-9199-9CF36E723C19}" uniqueName="3" name="Skill Type" queryTableFieldId="3" dataDxfId="38"/>
    <tableColumn id="4" xr3:uid="{F283FA92-A785-44A7-BDFC-70707724A606}" uniqueName="4" name="Skill Category" queryTableFieldId="4" dataDxfId="37"/>
    <tableColumn id="5" xr3:uid="{EC0C0F5C-516F-45E4-AC72-82002E122F07}" uniqueName="5" name="Description" queryTableFieldId="5" dataDxfId="3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C5FA287-2C2C-4BB3-BD7B-D5FADFF59ACC}" name="skills_tags_csv6" displayName="skills_tags_csv6" ref="F1:G145" tableType="queryTable" totalsRowShown="0" headerRowDxfId="30" dataDxfId="29" headerRowBorderDxfId="34" tableBorderDxfId="35" totalsRowBorderDxfId="33">
  <autoFilter ref="F1:G145" xr:uid="{EC5FA287-2C2C-4BB3-BD7B-D5FADFF59ACC}"/>
  <tableColumns count="2">
    <tableColumn id="1" xr3:uid="{76EEA7D8-2DD1-4522-90E9-F592D28405F1}" uniqueName="1" name="Damage Type" queryTableFieldId="1" dataDxfId="32"/>
    <tableColumn id="2" xr3:uid="{27D14E67-B62E-4094-A2B9-8719A1F6F142}" uniqueName="2" name="Mana Cost" queryTableFieldId="2" dataDxfId="3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C4F9D-B460-42DD-85D6-055580856289}">
  <sheetPr codeName="Sheet1"/>
  <dimension ref="A1:AB25"/>
  <sheetViews>
    <sheetView zoomScale="91" zoomScaleNormal="100" workbookViewId="0">
      <pane xSplit="1" topLeftCell="R1" activePane="topRight" state="frozen"/>
      <selection pane="topRight" activeCell="R2" sqref="R2"/>
    </sheetView>
  </sheetViews>
  <sheetFormatPr defaultRowHeight="15.6" x14ac:dyDescent="0.3"/>
  <cols>
    <col min="1" max="1" width="15.21875" bestFit="1" customWidth="1"/>
    <col min="2" max="2" width="11.33203125" bestFit="1" customWidth="1"/>
    <col min="3" max="3" width="10.109375" bestFit="1" customWidth="1"/>
    <col min="4" max="4" width="12.6640625" style="1" bestFit="1" customWidth="1"/>
    <col min="5" max="5" width="15.77734375" customWidth="1"/>
    <col min="6" max="6" width="11" customWidth="1"/>
    <col min="7" max="7" width="8.88671875" customWidth="1"/>
    <col min="8" max="8" width="10.44140625" bestFit="1" customWidth="1"/>
    <col min="9" max="9" width="17.21875" style="11" customWidth="1"/>
    <col min="10" max="10" width="10.44140625" bestFit="1" customWidth="1"/>
    <col min="11" max="11" width="14" bestFit="1" customWidth="1"/>
    <col min="12" max="12" width="22.33203125" style="11" customWidth="1"/>
    <col min="13" max="13" width="19.109375" style="11" customWidth="1"/>
    <col min="14" max="14" width="18.21875" bestFit="1" customWidth="1"/>
    <col min="15" max="15" width="45.77734375" style="11" customWidth="1"/>
    <col min="16" max="16" width="46.44140625" style="11" customWidth="1"/>
    <col min="18" max="18" width="8.88671875" style="5"/>
    <col min="25" max="26" width="8.88671875" style="11"/>
  </cols>
  <sheetData>
    <row r="1" spans="1:28" ht="31.2" x14ac:dyDescent="0.3">
      <c r="A1" s="2" t="s">
        <v>0</v>
      </c>
      <c r="B1" s="3" t="s">
        <v>1</v>
      </c>
      <c r="C1" s="3" t="s">
        <v>2</v>
      </c>
      <c r="D1" s="15" t="s">
        <v>3</v>
      </c>
      <c r="E1" s="3" t="s">
        <v>4</v>
      </c>
      <c r="F1" s="3" t="s">
        <v>5</v>
      </c>
      <c r="G1" s="9" t="s">
        <v>6</v>
      </c>
      <c r="H1" s="3" t="s">
        <v>7</v>
      </c>
      <c r="I1" s="9" t="s">
        <v>8</v>
      </c>
      <c r="J1" s="3" t="s">
        <v>9</v>
      </c>
      <c r="K1" s="3" t="s">
        <v>10</v>
      </c>
      <c r="L1" s="9" t="s">
        <v>11</v>
      </c>
      <c r="M1" s="9" t="s">
        <v>12</v>
      </c>
      <c r="N1" s="3" t="s">
        <v>13</v>
      </c>
      <c r="O1" s="9" t="s">
        <v>14</v>
      </c>
      <c r="P1" s="12" t="s">
        <v>15</v>
      </c>
      <c r="Q1" s="24" t="s">
        <v>600</v>
      </c>
      <c r="R1" s="5" t="s">
        <v>601</v>
      </c>
      <c r="S1" s="2" t="s">
        <v>602</v>
      </c>
      <c r="T1" s="3" t="s">
        <v>603</v>
      </c>
      <c r="U1" s="3" t="s">
        <v>604</v>
      </c>
      <c r="V1" s="3" t="s">
        <v>605</v>
      </c>
      <c r="W1" s="3" t="s">
        <v>606</v>
      </c>
      <c r="X1" s="3" t="s">
        <v>607</v>
      </c>
      <c r="Y1" s="9" t="s">
        <v>617</v>
      </c>
      <c r="Z1" s="9" t="s">
        <v>618</v>
      </c>
    </row>
    <row r="2" spans="1:28" ht="46.8" x14ac:dyDescent="0.3">
      <c r="A2" s="5" t="s">
        <v>218</v>
      </c>
      <c r="B2" s="5" t="s">
        <v>65</v>
      </c>
      <c r="C2" s="5" t="s">
        <v>66</v>
      </c>
      <c r="D2" s="6">
        <v>37409</v>
      </c>
      <c r="E2" s="5" t="s">
        <v>219</v>
      </c>
      <c r="F2" s="5" t="s">
        <v>68</v>
      </c>
      <c r="G2" s="5">
        <v>170</v>
      </c>
      <c r="H2" s="5" t="s">
        <v>34</v>
      </c>
      <c r="I2" s="10" t="s">
        <v>220</v>
      </c>
      <c r="J2" s="5" t="s">
        <v>46</v>
      </c>
      <c r="K2" s="5" t="s">
        <v>221</v>
      </c>
      <c r="L2" s="10" t="s">
        <v>222</v>
      </c>
      <c r="M2" s="10" t="s">
        <v>49</v>
      </c>
      <c r="N2" s="5" t="s">
        <v>148</v>
      </c>
      <c r="O2" s="10" t="s">
        <v>223</v>
      </c>
      <c r="P2" s="10" t="s">
        <v>224</v>
      </c>
      <c r="Q2" s="31" t="str">
        <f>VLOOKUP(characters[[#This Row],[Class]],stats!$A:$I,2,FALSE)</f>
        <v>A</v>
      </c>
      <c r="R2" s="5">
        <f>(VLOOKUP(characters[[#This Row],[Class]],stats!$A:$I,3,FALSE))*10</f>
        <v>550</v>
      </c>
      <c r="S2" s="23">
        <f>VLOOKUP(characters[[#This Row],[Class]],stats!$A:$I,4,FALSE)</f>
        <v>40</v>
      </c>
      <c r="T2" s="22">
        <f>VLOOKUP(characters[[#This Row],[Class]],stats!$A:$I,5,FALSE)</f>
        <v>30</v>
      </c>
      <c r="U2" s="22">
        <f>VLOOKUP(characters[[#This Row],[Class]],stats!$A:$I,6,FALSE)</f>
        <v>90</v>
      </c>
      <c r="V2" s="22">
        <f>VLOOKUP(characters[[#This Row],[Class]],stats!$A:$I,7,FALSE)</f>
        <v>65</v>
      </c>
      <c r="W2" s="22">
        <f>VLOOKUP(characters[[#This Row],[Class]],stats!$A:$I,8,FALSE)</f>
        <v>75</v>
      </c>
      <c r="X2" s="22">
        <f>VLOOKUP(characters[[#This Row],[Class]],stats!$A:$I,9,FALSE)</f>
        <v>355</v>
      </c>
      <c r="Y2" s="10">
        <f>ROUND(50+(VLOOKUP(E2,stats!$A:$I,8,0)*0.5),0)</f>
        <v>88</v>
      </c>
      <c r="Z2" s="10">
        <f>ROUND(VLOOKUP(E2,stats!$A:$I,8,0)*0.1,0)</f>
        <v>8</v>
      </c>
      <c r="AB2">
        <v>10</v>
      </c>
    </row>
    <row r="3" spans="1:28" ht="31.2" x14ac:dyDescent="0.3">
      <c r="A3" s="5" t="s">
        <v>121</v>
      </c>
      <c r="B3" s="5" t="s">
        <v>17</v>
      </c>
      <c r="C3" s="5" t="s">
        <v>18</v>
      </c>
      <c r="D3" s="6">
        <v>36692</v>
      </c>
      <c r="E3" s="5" t="s">
        <v>122</v>
      </c>
      <c r="F3" s="5" t="s">
        <v>94</v>
      </c>
      <c r="G3" s="5">
        <v>171</v>
      </c>
      <c r="H3" s="5" t="s">
        <v>34</v>
      </c>
      <c r="I3" s="10" t="s">
        <v>123</v>
      </c>
      <c r="J3" s="5" t="s">
        <v>46</v>
      </c>
      <c r="K3" s="5" t="s">
        <v>124</v>
      </c>
      <c r="L3" s="10" t="s">
        <v>125</v>
      </c>
      <c r="M3" s="10" t="s">
        <v>49</v>
      </c>
      <c r="N3" s="5" t="s">
        <v>124</v>
      </c>
      <c r="O3" s="10" t="s">
        <v>126</v>
      </c>
      <c r="P3" s="10" t="s">
        <v>127</v>
      </c>
      <c r="Q3" s="31" t="str">
        <f>VLOOKUP(characters[[#This Row],[Class]],stats!$A:$I,2,FALSE)</f>
        <v>C</v>
      </c>
      <c r="R3" s="5">
        <f>(VLOOKUP(characters[[#This Row],[Class]],stats!$A:$I,3,FALSE))*10</f>
        <v>600</v>
      </c>
      <c r="S3" s="4">
        <f>VLOOKUP(characters[[#This Row],[Class]],stats!$A:$I,4,FALSE)</f>
        <v>45</v>
      </c>
      <c r="T3" s="5">
        <f>VLOOKUP(characters[[#This Row],[Class]],stats!$A:$I,5,FALSE)</f>
        <v>30</v>
      </c>
      <c r="U3" s="5">
        <f>VLOOKUP(characters[[#This Row],[Class]],stats!$A:$I,6,FALSE)</f>
        <v>80</v>
      </c>
      <c r="V3" s="5">
        <f>VLOOKUP(characters[[#This Row],[Class]],stats!$A:$I,7,FALSE)</f>
        <v>55</v>
      </c>
      <c r="W3" s="5">
        <f>VLOOKUP(characters[[#This Row],[Class]],stats!$A:$I,8,FALSE)</f>
        <v>85</v>
      </c>
      <c r="X3" s="5">
        <f>VLOOKUP(characters[[#This Row],[Class]],stats!$A:$I,9,FALSE)</f>
        <v>355</v>
      </c>
      <c r="Y3" s="10">
        <f>ROUND(50+(VLOOKUP(E3,stats!$A:$I,8,0)*0.5),0)</f>
        <v>93</v>
      </c>
      <c r="Z3" s="10">
        <f>ROUND(VLOOKUP(E3,stats!$A:$I,8,0)*0.1,0)</f>
        <v>9</v>
      </c>
    </row>
    <row r="4" spans="1:28" ht="46.8" x14ac:dyDescent="0.3">
      <c r="A4" s="5" t="s">
        <v>212</v>
      </c>
      <c r="B4" s="5" t="s">
        <v>65</v>
      </c>
      <c r="C4" s="5" t="s">
        <v>66</v>
      </c>
      <c r="D4" s="6">
        <v>37176</v>
      </c>
      <c r="E4" s="5" t="s">
        <v>213</v>
      </c>
      <c r="F4" s="5" t="s">
        <v>94</v>
      </c>
      <c r="G4" s="5">
        <v>169</v>
      </c>
      <c r="H4" s="5" t="s">
        <v>21</v>
      </c>
      <c r="I4" s="10" t="s">
        <v>214</v>
      </c>
      <c r="J4" s="5" t="s">
        <v>46</v>
      </c>
      <c r="K4" s="5" t="s">
        <v>47</v>
      </c>
      <c r="L4" s="10" t="s">
        <v>215</v>
      </c>
      <c r="M4" s="10" t="s">
        <v>49</v>
      </c>
      <c r="N4" s="5" t="s">
        <v>176</v>
      </c>
      <c r="O4" s="10" t="s">
        <v>216</v>
      </c>
      <c r="P4" s="10" t="s">
        <v>217</v>
      </c>
      <c r="Q4" s="31" t="str">
        <f>VLOOKUP(characters[[#This Row],[Class]],stats!$A:$I,2,FALSE)</f>
        <v>A</v>
      </c>
      <c r="R4" s="5">
        <f>(VLOOKUP(characters[[#This Row],[Class]],stats!$A:$I,3,FALSE))*10</f>
        <v>550</v>
      </c>
      <c r="S4" s="4">
        <f>VLOOKUP(characters[[#This Row],[Class]],stats!$A:$I,4,FALSE)</f>
        <v>40</v>
      </c>
      <c r="T4" s="5">
        <f>VLOOKUP(characters[[#This Row],[Class]],stats!$A:$I,5,FALSE)</f>
        <v>25</v>
      </c>
      <c r="U4" s="5">
        <f>VLOOKUP(characters[[#This Row],[Class]],stats!$A:$I,6,FALSE)</f>
        <v>90</v>
      </c>
      <c r="V4" s="5">
        <f>VLOOKUP(characters[[#This Row],[Class]],stats!$A:$I,7,FALSE)</f>
        <v>45</v>
      </c>
      <c r="W4" s="5">
        <f>VLOOKUP(characters[[#This Row],[Class]],stats!$A:$I,8,FALSE)</f>
        <v>95</v>
      </c>
      <c r="X4" s="5">
        <f>VLOOKUP(characters[[#This Row],[Class]],stats!$A:$I,9,FALSE)</f>
        <v>350</v>
      </c>
      <c r="Y4" s="10">
        <f>ROUND(50+(VLOOKUP(E4,stats!$A:$I,8,0)*0.5),0)</f>
        <v>98</v>
      </c>
      <c r="Z4" s="10">
        <f>ROUND(VLOOKUP(E4,stats!$A:$I,8,0)*0.1,0)</f>
        <v>10</v>
      </c>
    </row>
    <row r="5" spans="1:28" ht="46.8" x14ac:dyDescent="0.3">
      <c r="A5" s="5" t="s">
        <v>128</v>
      </c>
      <c r="B5" s="5" t="s">
        <v>54</v>
      </c>
      <c r="C5" s="5" t="s">
        <v>55</v>
      </c>
      <c r="D5" s="6">
        <v>36933</v>
      </c>
      <c r="E5" s="5" t="s">
        <v>129</v>
      </c>
      <c r="F5" s="5" t="s">
        <v>130</v>
      </c>
      <c r="G5" s="5">
        <v>176</v>
      </c>
      <c r="H5" s="5" t="s">
        <v>57</v>
      </c>
      <c r="I5" s="10" t="s">
        <v>131</v>
      </c>
      <c r="J5" s="5" t="s">
        <v>107</v>
      </c>
      <c r="K5" s="5" t="s">
        <v>132</v>
      </c>
      <c r="L5" s="10" t="s">
        <v>133</v>
      </c>
      <c r="M5" s="10" t="s">
        <v>49</v>
      </c>
      <c r="N5" s="5" t="s">
        <v>134</v>
      </c>
      <c r="O5" s="10" t="s">
        <v>135</v>
      </c>
      <c r="P5" s="10" t="s">
        <v>136</v>
      </c>
      <c r="Q5" s="31" t="str">
        <f>VLOOKUP(characters[[#This Row],[Class]],stats!$A:$I,2,FALSE)</f>
        <v>B</v>
      </c>
      <c r="R5" s="5">
        <f>(VLOOKUP(characters[[#This Row],[Class]],stats!$A:$I,3,FALSE))*10</f>
        <v>900</v>
      </c>
      <c r="S5" s="4">
        <f>VLOOKUP(characters[[#This Row],[Class]],stats!$A:$I,4,FALSE)</f>
        <v>85</v>
      </c>
      <c r="T5" s="5">
        <f>VLOOKUP(characters[[#This Row],[Class]],stats!$A:$I,5,FALSE)</f>
        <v>80</v>
      </c>
      <c r="U5" s="5">
        <f>VLOOKUP(characters[[#This Row],[Class]],stats!$A:$I,6,FALSE)</f>
        <v>15</v>
      </c>
      <c r="V5" s="5">
        <f>VLOOKUP(characters[[#This Row],[Class]],stats!$A:$I,7,FALSE)</f>
        <v>45</v>
      </c>
      <c r="W5" s="5">
        <f>VLOOKUP(characters[[#This Row],[Class]],stats!$A:$I,8,FALSE)</f>
        <v>35</v>
      </c>
      <c r="X5" s="5">
        <f>VLOOKUP(characters[[#This Row],[Class]],stats!$A:$I,9,FALSE)</f>
        <v>350</v>
      </c>
      <c r="Y5" s="10">
        <f>ROUND(50+(VLOOKUP(E5,stats!$A:$I,8,0)*0.5),0)</f>
        <v>68</v>
      </c>
      <c r="Z5" s="10">
        <f>ROUND(VLOOKUP(E5,stats!$A:$I,8,0)*0.1,0)</f>
        <v>4</v>
      </c>
    </row>
    <row r="6" spans="1:28" ht="31.2" x14ac:dyDescent="0.3">
      <c r="A6" s="5" t="s">
        <v>42</v>
      </c>
      <c r="B6" s="5" t="s">
        <v>17</v>
      </c>
      <c r="C6" s="5" t="s">
        <v>18</v>
      </c>
      <c r="D6" s="6">
        <v>37166</v>
      </c>
      <c r="E6" s="5" t="s">
        <v>43</v>
      </c>
      <c r="F6" s="5" t="s">
        <v>20</v>
      </c>
      <c r="G6" s="5">
        <v>169</v>
      </c>
      <c r="H6" s="5" t="s">
        <v>44</v>
      </c>
      <c r="I6" s="10" t="s">
        <v>45</v>
      </c>
      <c r="J6" s="5" t="s">
        <v>46</v>
      </c>
      <c r="K6" s="5" t="s">
        <v>47</v>
      </c>
      <c r="L6" s="10" t="s">
        <v>48</v>
      </c>
      <c r="M6" s="10" t="s">
        <v>49</v>
      </c>
      <c r="N6" s="5" t="s">
        <v>50</v>
      </c>
      <c r="O6" s="10" t="s">
        <v>51</v>
      </c>
      <c r="P6" s="10" t="s">
        <v>52</v>
      </c>
      <c r="Q6" s="31" t="str">
        <f>VLOOKUP(characters[[#This Row],[Class]],stats!$A:$I,2,FALSE)</f>
        <v>B</v>
      </c>
      <c r="R6" s="5">
        <f>(VLOOKUP(characters[[#This Row],[Class]],stats!$A:$I,3,FALSE))*10</f>
        <v>550</v>
      </c>
      <c r="S6" s="4">
        <f>VLOOKUP(characters[[#This Row],[Class]],stats!$A:$I,4,FALSE)</f>
        <v>45</v>
      </c>
      <c r="T6" s="5">
        <f>VLOOKUP(characters[[#This Row],[Class]],stats!$A:$I,5,FALSE)</f>
        <v>20</v>
      </c>
      <c r="U6" s="5">
        <f>VLOOKUP(characters[[#This Row],[Class]],stats!$A:$I,6,FALSE)</f>
        <v>70</v>
      </c>
      <c r="V6" s="5">
        <f>VLOOKUP(characters[[#This Row],[Class]],stats!$A:$I,7,FALSE)</f>
        <v>50</v>
      </c>
      <c r="W6" s="5">
        <f>VLOOKUP(characters[[#This Row],[Class]],stats!$A:$I,8,FALSE)</f>
        <v>90</v>
      </c>
      <c r="X6" s="5">
        <f>VLOOKUP(characters[[#This Row],[Class]],stats!$A:$I,9,FALSE)</f>
        <v>330</v>
      </c>
      <c r="Y6" s="10">
        <f>ROUND(50+(VLOOKUP(E6,stats!$A:$I,8,0)*0.5),0)</f>
        <v>95</v>
      </c>
      <c r="Z6" s="10">
        <f>ROUND(VLOOKUP(E6,stats!$A:$I,8,0)*0.1,0)</f>
        <v>9</v>
      </c>
    </row>
    <row r="7" spans="1:28" ht="46.8" x14ac:dyDescent="0.3">
      <c r="A7" s="5" t="s">
        <v>83</v>
      </c>
      <c r="B7" s="5" t="s">
        <v>65</v>
      </c>
      <c r="C7" s="5" t="s">
        <v>66</v>
      </c>
      <c r="D7" s="6">
        <v>37237</v>
      </c>
      <c r="E7" s="5" t="s">
        <v>84</v>
      </c>
      <c r="F7" s="5" t="s">
        <v>68</v>
      </c>
      <c r="G7" s="5">
        <v>163</v>
      </c>
      <c r="H7" s="5" t="s">
        <v>21</v>
      </c>
      <c r="I7" s="10" t="s">
        <v>85</v>
      </c>
      <c r="J7" s="5" t="s">
        <v>86</v>
      </c>
      <c r="K7" s="5" t="s">
        <v>70</v>
      </c>
      <c r="L7" s="10" t="s">
        <v>87</v>
      </c>
      <c r="M7" s="10" t="s">
        <v>49</v>
      </c>
      <c r="N7" s="5" t="s">
        <v>70</v>
      </c>
      <c r="O7" s="10" t="s">
        <v>88</v>
      </c>
      <c r="P7" s="10" t="s">
        <v>89</v>
      </c>
      <c r="Q7" s="31" t="str">
        <f>VLOOKUP(characters[[#This Row],[Class]],stats!$A:$I,2,FALSE)</f>
        <v>B</v>
      </c>
      <c r="R7" s="5">
        <f>(VLOOKUP(characters[[#This Row],[Class]],stats!$A:$I,3,FALSE))*10</f>
        <v>700</v>
      </c>
      <c r="S7" s="4">
        <f>VLOOKUP(characters[[#This Row],[Class]],stats!$A:$I,4,FALSE)</f>
        <v>65</v>
      </c>
      <c r="T7" s="5">
        <f>VLOOKUP(characters[[#This Row],[Class]],stats!$A:$I,5,FALSE)</f>
        <v>40</v>
      </c>
      <c r="U7" s="5">
        <f>VLOOKUP(characters[[#This Row],[Class]],stats!$A:$I,6,FALSE)</f>
        <v>80</v>
      </c>
      <c r="V7" s="5">
        <f>VLOOKUP(characters[[#This Row],[Class]],stats!$A:$I,7,FALSE)</f>
        <v>40</v>
      </c>
      <c r="W7" s="5">
        <f>VLOOKUP(characters[[#This Row],[Class]],stats!$A:$I,8,FALSE)</f>
        <v>60</v>
      </c>
      <c r="X7" s="5">
        <f>VLOOKUP(characters[[#This Row],[Class]],stats!$A:$I,9,FALSE)</f>
        <v>355</v>
      </c>
      <c r="Y7" s="10">
        <f>ROUND(50+(VLOOKUP(E7,stats!$A:$I,8,0)*0.5),0)</f>
        <v>80</v>
      </c>
      <c r="Z7" s="10">
        <f>ROUND(VLOOKUP(E7,stats!$A:$I,8,0)*0.1,0)</f>
        <v>6</v>
      </c>
    </row>
    <row r="8" spans="1:28" ht="46.8" x14ac:dyDescent="0.3">
      <c r="A8" s="5" t="s">
        <v>204</v>
      </c>
      <c r="B8" s="5" t="s">
        <v>54</v>
      </c>
      <c r="C8" s="5" t="s">
        <v>55</v>
      </c>
      <c r="D8" s="6">
        <v>36776</v>
      </c>
      <c r="E8" s="5" t="s">
        <v>205</v>
      </c>
      <c r="F8" s="5" t="s">
        <v>68</v>
      </c>
      <c r="G8" s="5">
        <v>173</v>
      </c>
      <c r="H8" s="5" t="s">
        <v>44</v>
      </c>
      <c r="I8" s="10" t="s">
        <v>206</v>
      </c>
      <c r="J8" s="5" t="s">
        <v>46</v>
      </c>
      <c r="K8" s="5" t="s">
        <v>207</v>
      </c>
      <c r="L8" s="10" t="s">
        <v>208</v>
      </c>
      <c r="M8" s="10" t="s">
        <v>209</v>
      </c>
      <c r="N8" s="5" t="s">
        <v>148</v>
      </c>
      <c r="O8" s="10" t="s">
        <v>210</v>
      </c>
      <c r="P8" s="10" t="s">
        <v>211</v>
      </c>
      <c r="Q8" s="31" t="str">
        <f>VLOOKUP(characters[[#This Row],[Class]],stats!$A:$I,2,FALSE)</f>
        <v>C</v>
      </c>
      <c r="R8" s="5">
        <f>(VLOOKUP(characters[[#This Row],[Class]],stats!$A:$I,3,FALSE))*10</f>
        <v>700</v>
      </c>
      <c r="S8" s="4">
        <f>VLOOKUP(characters[[#This Row],[Class]],stats!$A:$I,4,FALSE)</f>
        <v>60</v>
      </c>
      <c r="T8" s="5">
        <f>VLOOKUP(characters[[#This Row],[Class]],stats!$A:$I,5,FALSE)</f>
        <v>80</v>
      </c>
      <c r="U8" s="5">
        <f>VLOOKUP(characters[[#This Row],[Class]],stats!$A:$I,6,FALSE)</f>
        <v>25</v>
      </c>
      <c r="V8" s="5">
        <f>VLOOKUP(characters[[#This Row],[Class]],stats!$A:$I,7,FALSE)</f>
        <v>85</v>
      </c>
      <c r="W8" s="5">
        <f>VLOOKUP(characters[[#This Row],[Class]],stats!$A:$I,8,FALSE)</f>
        <v>30</v>
      </c>
      <c r="X8" s="5">
        <f>VLOOKUP(characters[[#This Row],[Class]],stats!$A:$I,9,FALSE)</f>
        <v>350</v>
      </c>
      <c r="Y8" s="10">
        <f>ROUND(50+(VLOOKUP(E8,stats!$A:$I,8,0)*0.5),0)</f>
        <v>65</v>
      </c>
      <c r="Z8" s="10">
        <f>ROUND(VLOOKUP(E8,stats!$A:$I,8,0)*0.1,0)</f>
        <v>3</v>
      </c>
    </row>
    <row r="9" spans="1:28" ht="31.2" x14ac:dyDescent="0.3">
      <c r="A9" s="5" t="s">
        <v>158</v>
      </c>
      <c r="B9" s="5" t="s">
        <v>65</v>
      </c>
      <c r="C9" s="5" t="s">
        <v>66</v>
      </c>
      <c r="D9" s="6">
        <v>36220</v>
      </c>
      <c r="E9" s="5" t="s">
        <v>159</v>
      </c>
      <c r="F9" s="5" t="s">
        <v>20</v>
      </c>
      <c r="G9" s="5">
        <v>168</v>
      </c>
      <c r="H9" s="5" t="s">
        <v>57</v>
      </c>
      <c r="I9" s="10" t="s">
        <v>160</v>
      </c>
      <c r="J9" s="5" t="s">
        <v>34</v>
      </c>
      <c r="K9" s="5" t="s">
        <v>49</v>
      </c>
      <c r="L9" s="10" t="s">
        <v>161</v>
      </c>
      <c r="M9" s="10" t="s">
        <v>162</v>
      </c>
      <c r="N9" s="5" t="s">
        <v>148</v>
      </c>
      <c r="O9" s="10" t="s">
        <v>163</v>
      </c>
      <c r="P9" s="10" t="s">
        <v>164</v>
      </c>
      <c r="Q9" s="31" t="str">
        <f>VLOOKUP(characters[[#This Row],[Class]],stats!$A:$I,2,FALSE)</f>
        <v>B</v>
      </c>
      <c r="R9" s="5">
        <f>(VLOOKUP(characters[[#This Row],[Class]],stats!$A:$I,3,FALSE))*10</f>
        <v>800</v>
      </c>
      <c r="S9" s="4">
        <f>VLOOKUP(characters[[#This Row],[Class]],stats!$A:$I,4,FALSE)</f>
        <v>75</v>
      </c>
      <c r="T9" s="5">
        <f>VLOOKUP(characters[[#This Row],[Class]],stats!$A:$I,5,FALSE)</f>
        <v>85</v>
      </c>
      <c r="U9" s="5">
        <f>VLOOKUP(characters[[#This Row],[Class]],stats!$A:$I,6,FALSE)</f>
        <v>35</v>
      </c>
      <c r="V9" s="5">
        <f>VLOOKUP(characters[[#This Row],[Class]],stats!$A:$I,7,FALSE)</f>
        <v>35</v>
      </c>
      <c r="W9" s="5">
        <f>VLOOKUP(characters[[#This Row],[Class]],stats!$A:$I,8,FALSE)</f>
        <v>50</v>
      </c>
      <c r="X9" s="5">
        <f>VLOOKUP(characters[[#This Row],[Class]],stats!$A:$I,9,FALSE)</f>
        <v>355</v>
      </c>
      <c r="Y9" s="10">
        <f>ROUND(50+(VLOOKUP(E9,stats!$A:$I,8,0)*0.5),0)</f>
        <v>75</v>
      </c>
      <c r="Z9" s="10">
        <f>ROUND(VLOOKUP(E9,stats!$A:$I,8,0)*0.1,0)</f>
        <v>5</v>
      </c>
    </row>
    <row r="10" spans="1:28" ht="46.8" x14ac:dyDescent="0.3">
      <c r="A10" s="5" t="s">
        <v>197</v>
      </c>
      <c r="B10" s="5" t="s">
        <v>65</v>
      </c>
      <c r="C10" s="5" t="s">
        <v>66</v>
      </c>
      <c r="D10" s="6">
        <v>36388</v>
      </c>
      <c r="E10" s="5" t="s">
        <v>198</v>
      </c>
      <c r="F10" s="5" t="s">
        <v>130</v>
      </c>
      <c r="G10" s="5">
        <v>169</v>
      </c>
      <c r="H10" s="5" t="s">
        <v>21</v>
      </c>
      <c r="I10" s="10" t="s">
        <v>199</v>
      </c>
      <c r="J10" s="5" t="s">
        <v>23</v>
      </c>
      <c r="K10" s="5" t="s">
        <v>49</v>
      </c>
      <c r="L10" s="10" t="s">
        <v>200</v>
      </c>
      <c r="M10" s="10" t="s">
        <v>201</v>
      </c>
      <c r="N10" s="5" t="s">
        <v>148</v>
      </c>
      <c r="O10" s="10" t="s">
        <v>202</v>
      </c>
      <c r="P10" s="10" t="s">
        <v>203</v>
      </c>
      <c r="Q10" s="31" t="str">
        <f>VLOOKUP(characters[[#This Row],[Class]],stats!$A:$I,2,FALSE)</f>
        <v>B</v>
      </c>
      <c r="R10" s="5">
        <f>(VLOOKUP(characters[[#This Row],[Class]],stats!$A:$I,3,FALSE))*10</f>
        <v>800</v>
      </c>
      <c r="S10" s="4">
        <f>VLOOKUP(characters[[#This Row],[Class]],stats!$A:$I,4,FALSE)</f>
        <v>90</v>
      </c>
      <c r="T10" s="5">
        <f>VLOOKUP(characters[[#This Row],[Class]],stats!$A:$I,5,FALSE)</f>
        <v>80</v>
      </c>
      <c r="U10" s="5">
        <f>VLOOKUP(characters[[#This Row],[Class]],stats!$A:$I,6,FALSE)</f>
        <v>55</v>
      </c>
      <c r="V10" s="5">
        <f>VLOOKUP(characters[[#This Row],[Class]],stats!$A:$I,7,FALSE)</f>
        <v>35</v>
      </c>
      <c r="W10" s="5">
        <f>VLOOKUP(characters[[#This Row],[Class]],stats!$A:$I,8,FALSE)</f>
        <v>45</v>
      </c>
      <c r="X10" s="5">
        <f>VLOOKUP(characters[[#This Row],[Class]],stats!$A:$I,9,FALSE)</f>
        <v>360</v>
      </c>
      <c r="Y10" s="10">
        <f>ROUND(50+(VLOOKUP(E10,stats!$A:$I,8,0)*0.5),0)</f>
        <v>73</v>
      </c>
      <c r="Z10" s="10">
        <f>ROUND(VLOOKUP(E10,stats!$A:$I,8,0)*0.1,0)</f>
        <v>5</v>
      </c>
    </row>
    <row r="11" spans="1:28" ht="31.2" x14ac:dyDescent="0.3">
      <c r="A11" s="5" t="s">
        <v>102</v>
      </c>
      <c r="B11" s="5" t="s">
        <v>103</v>
      </c>
      <c r="C11" s="5" t="s">
        <v>104</v>
      </c>
      <c r="D11" s="6">
        <v>37336</v>
      </c>
      <c r="E11" s="5" t="s">
        <v>105</v>
      </c>
      <c r="F11" s="5" t="s">
        <v>94</v>
      </c>
      <c r="G11" s="5">
        <v>173</v>
      </c>
      <c r="H11" s="5" t="s">
        <v>21</v>
      </c>
      <c r="I11" s="10" t="s">
        <v>106</v>
      </c>
      <c r="J11" s="5" t="s">
        <v>107</v>
      </c>
      <c r="K11" s="5" t="s">
        <v>108</v>
      </c>
      <c r="L11" s="10" t="s">
        <v>109</v>
      </c>
      <c r="M11" s="10" t="s">
        <v>110</v>
      </c>
      <c r="N11" s="5" t="s">
        <v>108</v>
      </c>
      <c r="O11" s="10" t="s">
        <v>111</v>
      </c>
      <c r="P11" s="10" t="s">
        <v>112</v>
      </c>
      <c r="Q11" s="31" t="str">
        <f>VLOOKUP(characters[[#This Row],[Class]],stats!$A:$I,2,FALSE)</f>
        <v>S</v>
      </c>
      <c r="R11" s="5">
        <f>(VLOOKUP(characters[[#This Row],[Class]],stats!$A:$I,3,FALSE))*10</f>
        <v>900</v>
      </c>
      <c r="S11" s="4">
        <f>VLOOKUP(characters[[#This Row],[Class]],stats!$A:$I,4,FALSE)</f>
        <v>90</v>
      </c>
      <c r="T11" s="5">
        <f>VLOOKUP(characters[[#This Row],[Class]],stats!$A:$I,5,FALSE)</f>
        <v>93</v>
      </c>
      <c r="U11" s="5">
        <f>VLOOKUP(characters[[#This Row],[Class]],stats!$A:$I,6,FALSE)</f>
        <v>95</v>
      </c>
      <c r="V11" s="5">
        <f>VLOOKUP(characters[[#This Row],[Class]],stats!$A:$I,7,FALSE)</f>
        <v>95</v>
      </c>
      <c r="W11" s="5">
        <f>VLOOKUP(characters[[#This Row],[Class]],stats!$A:$I,8,FALSE)</f>
        <v>95</v>
      </c>
      <c r="X11" s="5">
        <f>VLOOKUP(characters[[#This Row],[Class]],stats!$A:$I,9,FALSE)</f>
        <v>565</v>
      </c>
      <c r="Y11" s="10">
        <f>ROUND(50+(VLOOKUP(E11,stats!$A:$I,8,0)*0.5),0)</f>
        <v>98</v>
      </c>
      <c r="Z11" s="10">
        <f>ROUND(VLOOKUP(E11,stats!$A:$I,8,0)*0.1,0)</f>
        <v>10</v>
      </c>
    </row>
    <row r="12" spans="1:28" ht="46.8" x14ac:dyDescent="0.3">
      <c r="A12" s="5" t="s">
        <v>165</v>
      </c>
      <c r="B12" s="5" t="s">
        <v>65</v>
      </c>
      <c r="C12" s="5" t="s">
        <v>66</v>
      </c>
      <c r="D12" s="6">
        <v>36949</v>
      </c>
      <c r="E12" s="5" t="s">
        <v>166</v>
      </c>
      <c r="F12" s="5" t="s">
        <v>130</v>
      </c>
      <c r="G12" s="5">
        <v>166</v>
      </c>
      <c r="H12" s="5" t="s">
        <v>21</v>
      </c>
      <c r="I12" s="10" t="s">
        <v>167</v>
      </c>
      <c r="J12" s="5" t="s">
        <v>168</v>
      </c>
      <c r="K12" s="5" t="s">
        <v>26</v>
      </c>
      <c r="L12" s="10" t="s">
        <v>169</v>
      </c>
      <c r="M12" s="10" t="s">
        <v>49</v>
      </c>
      <c r="N12" s="5" t="s">
        <v>148</v>
      </c>
      <c r="O12" s="10" t="s">
        <v>170</v>
      </c>
      <c r="P12" s="10" t="s">
        <v>171</v>
      </c>
      <c r="Q12" s="31" t="str">
        <f>VLOOKUP(characters[[#This Row],[Class]],stats!$A:$I,2,FALSE)</f>
        <v>A</v>
      </c>
      <c r="R12" s="5">
        <f>(VLOOKUP(characters[[#This Row],[Class]],stats!$A:$I,3,FALSE))*10</f>
        <v>750</v>
      </c>
      <c r="S12" s="4">
        <f>VLOOKUP(characters[[#This Row],[Class]],stats!$A:$I,4,FALSE)</f>
        <v>60</v>
      </c>
      <c r="T12" s="5">
        <f>VLOOKUP(characters[[#This Row],[Class]],stats!$A:$I,5,FALSE)</f>
        <v>88</v>
      </c>
      <c r="U12" s="5">
        <f>VLOOKUP(characters[[#This Row],[Class]],stats!$A:$I,6,FALSE)</f>
        <v>45</v>
      </c>
      <c r="V12" s="5">
        <f>VLOOKUP(characters[[#This Row],[Class]],stats!$A:$I,7,FALSE)</f>
        <v>65</v>
      </c>
      <c r="W12" s="5">
        <f>VLOOKUP(characters[[#This Row],[Class]],stats!$A:$I,8,FALSE)</f>
        <v>70</v>
      </c>
      <c r="X12" s="5">
        <f>VLOOKUP(characters[[#This Row],[Class]],stats!$A:$I,9,FALSE)</f>
        <v>388</v>
      </c>
      <c r="Y12" s="10">
        <f>ROUND(50+(VLOOKUP(E12,stats!$A:$I,8,0)*0.5),0)</f>
        <v>85</v>
      </c>
      <c r="Z12" s="10">
        <f>ROUND(VLOOKUP(E12,stats!$A:$I,8,0)*0.1,0)</f>
        <v>7</v>
      </c>
    </row>
    <row r="13" spans="1:28" ht="46.8" x14ac:dyDescent="0.3">
      <c r="A13" s="5" t="s">
        <v>145</v>
      </c>
      <c r="B13" s="5" t="s">
        <v>54</v>
      </c>
      <c r="C13" s="5" t="s">
        <v>55</v>
      </c>
      <c r="D13" s="6">
        <v>36405</v>
      </c>
      <c r="E13" s="5" t="s">
        <v>146</v>
      </c>
      <c r="F13" s="5" t="s">
        <v>20</v>
      </c>
      <c r="G13" s="5">
        <v>177</v>
      </c>
      <c r="H13" s="5" t="s">
        <v>147</v>
      </c>
      <c r="I13" s="10" t="s">
        <v>123</v>
      </c>
      <c r="J13" s="5" t="s">
        <v>23</v>
      </c>
      <c r="K13" s="5" t="s">
        <v>59</v>
      </c>
      <c r="L13" s="10" t="s">
        <v>49</v>
      </c>
      <c r="M13" s="10" t="s">
        <v>49</v>
      </c>
      <c r="N13" s="5" t="s">
        <v>148</v>
      </c>
      <c r="O13" s="10" t="s">
        <v>149</v>
      </c>
      <c r="P13" s="10" t="s">
        <v>150</v>
      </c>
      <c r="Q13" s="31" t="str">
        <f>VLOOKUP(characters[[#This Row],[Class]],stats!$A:$I,2,FALSE)</f>
        <v>C</v>
      </c>
      <c r="R13" s="5">
        <f>(VLOOKUP(characters[[#This Row],[Class]],stats!$A:$I,3,FALSE))*10</f>
        <v>600</v>
      </c>
      <c r="S13" s="4">
        <f>VLOOKUP(characters[[#This Row],[Class]],stats!$A:$I,4,FALSE)</f>
        <v>45</v>
      </c>
      <c r="T13" s="5">
        <f>VLOOKUP(characters[[#This Row],[Class]],stats!$A:$I,5,FALSE)</f>
        <v>85</v>
      </c>
      <c r="U13" s="5">
        <f>VLOOKUP(characters[[#This Row],[Class]],stats!$A:$I,6,FALSE)</f>
        <v>20</v>
      </c>
      <c r="V13" s="5">
        <f>VLOOKUP(characters[[#This Row],[Class]],stats!$A:$I,7,FALSE)</f>
        <v>85</v>
      </c>
      <c r="W13" s="5">
        <f>VLOOKUP(characters[[#This Row],[Class]],stats!$A:$I,8,FALSE)</f>
        <v>60</v>
      </c>
      <c r="X13" s="5">
        <f>VLOOKUP(characters[[#This Row],[Class]],stats!$A:$I,9,FALSE)</f>
        <v>355</v>
      </c>
      <c r="Y13" s="10">
        <f>ROUND(50+(VLOOKUP(E13,stats!$A:$I,8,0)*0.5),0)</f>
        <v>80</v>
      </c>
      <c r="Z13" s="10">
        <f>ROUND(VLOOKUP(E13,stats!$A:$I,8,0)*0.1,0)</f>
        <v>6</v>
      </c>
    </row>
    <row r="14" spans="1:28" ht="31.2" x14ac:dyDescent="0.3">
      <c r="A14" s="5" t="s">
        <v>53</v>
      </c>
      <c r="B14" s="5" t="s">
        <v>54</v>
      </c>
      <c r="C14" s="5" t="s">
        <v>55</v>
      </c>
      <c r="D14" s="6">
        <v>37080</v>
      </c>
      <c r="E14" s="5" t="s">
        <v>56</v>
      </c>
      <c r="F14" s="5" t="s">
        <v>20</v>
      </c>
      <c r="G14" s="5">
        <v>171</v>
      </c>
      <c r="H14" s="5" t="s">
        <v>57</v>
      </c>
      <c r="I14" s="10" t="s">
        <v>58</v>
      </c>
      <c r="J14" s="5" t="s">
        <v>46</v>
      </c>
      <c r="K14" s="5" t="s">
        <v>59</v>
      </c>
      <c r="L14" s="10" t="s">
        <v>60</v>
      </c>
      <c r="M14" s="10" t="s">
        <v>26</v>
      </c>
      <c r="N14" s="5" t="s">
        <v>61</v>
      </c>
      <c r="O14" s="10" t="s">
        <v>62</v>
      </c>
      <c r="P14" s="10" t="s">
        <v>63</v>
      </c>
      <c r="Q14" s="31" t="str">
        <f>VLOOKUP(characters[[#This Row],[Class]],stats!$A:$I,2,FALSE)</f>
        <v>C</v>
      </c>
      <c r="R14" s="5">
        <f>(VLOOKUP(characters[[#This Row],[Class]],stats!$A:$I,3,FALSE))*10</f>
        <v>600</v>
      </c>
      <c r="S14" s="4">
        <f>VLOOKUP(characters[[#This Row],[Class]],stats!$A:$I,4,FALSE)</f>
        <v>45</v>
      </c>
      <c r="T14" s="5">
        <f>VLOOKUP(characters[[#This Row],[Class]],stats!$A:$I,5,FALSE)</f>
        <v>80</v>
      </c>
      <c r="U14" s="5">
        <f>VLOOKUP(characters[[#This Row],[Class]],stats!$A:$I,6,FALSE)</f>
        <v>20</v>
      </c>
      <c r="V14" s="5">
        <f>VLOOKUP(characters[[#This Row],[Class]],stats!$A:$I,7,FALSE)</f>
        <v>90</v>
      </c>
      <c r="W14" s="5">
        <f>VLOOKUP(characters[[#This Row],[Class]],stats!$A:$I,8,FALSE)</f>
        <v>55</v>
      </c>
      <c r="X14" s="5">
        <f>VLOOKUP(characters[[#This Row],[Class]],stats!$A:$I,9,FALSE)</f>
        <v>350</v>
      </c>
      <c r="Y14" s="10">
        <f>ROUND(50+(VLOOKUP(E14,stats!$A:$I,8,0)*0.5),0)</f>
        <v>78</v>
      </c>
      <c r="Z14" s="10">
        <f>ROUND(VLOOKUP(E14,stats!$A:$I,8,0)*0.1,0)</f>
        <v>6</v>
      </c>
    </row>
    <row r="15" spans="1:28" ht="46.8" x14ac:dyDescent="0.3">
      <c r="A15" s="5" t="s">
        <v>16</v>
      </c>
      <c r="B15" s="5" t="s">
        <v>17</v>
      </c>
      <c r="C15" s="5" t="s">
        <v>18</v>
      </c>
      <c r="D15" s="6">
        <v>36963</v>
      </c>
      <c r="E15" s="5" t="s">
        <v>19</v>
      </c>
      <c r="F15" s="5" t="s">
        <v>20</v>
      </c>
      <c r="G15" s="5">
        <v>171</v>
      </c>
      <c r="H15" s="5" t="s">
        <v>21</v>
      </c>
      <c r="I15" s="10" t="s">
        <v>22</v>
      </c>
      <c r="J15" s="5" t="s">
        <v>23</v>
      </c>
      <c r="K15" s="5" t="s">
        <v>24</v>
      </c>
      <c r="L15" s="10" t="s">
        <v>25</v>
      </c>
      <c r="M15" s="10" t="s">
        <v>26</v>
      </c>
      <c r="N15" s="5" t="s">
        <v>27</v>
      </c>
      <c r="O15" s="10" t="s">
        <v>28</v>
      </c>
      <c r="P15" s="10" t="s">
        <v>29</v>
      </c>
      <c r="Q15" s="31" t="str">
        <f>VLOOKUP(characters[[#This Row],[Class]],stats!$A:$I,2,FALSE)</f>
        <v>C</v>
      </c>
      <c r="R15" s="5">
        <f>(VLOOKUP(characters[[#This Row],[Class]],stats!$A:$I,3,FALSE))*10</f>
        <v>600</v>
      </c>
      <c r="S15" s="4">
        <f>VLOOKUP(characters[[#This Row],[Class]],stats!$A:$I,4,FALSE)</f>
        <v>50</v>
      </c>
      <c r="T15" s="5">
        <f>VLOOKUP(characters[[#This Row],[Class]],stats!$A:$I,5,FALSE)</f>
        <v>80</v>
      </c>
      <c r="U15" s="5">
        <f>VLOOKUP(characters[[#This Row],[Class]],stats!$A:$I,6,FALSE)</f>
        <v>15</v>
      </c>
      <c r="V15" s="5">
        <f>VLOOKUP(characters[[#This Row],[Class]],stats!$A:$I,7,FALSE)</f>
        <v>95</v>
      </c>
      <c r="W15" s="5">
        <f>VLOOKUP(characters[[#This Row],[Class]],stats!$A:$I,8,FALSE)</f>
        <v>50</v>
      </c>
      <c r="X15" s="5">
        <f>VLOOKUP(characters[[#This Row],[Class]],stats!$A:$I,9,FALSE)</f>
        <v>350</v>
      </c>
      <c r="Y15" s="10">
        <f>ROUND(50+(VLOOKUP(E15,stats!$A:$I,8,0)*0.5),0)</f>
        <v>75</v>
      </c>
      <c r="Z15" s="10">
        <f>ROUND(VLOOKUP(E15,stats!$A:$I,8,0)*0.1,0)</f>
        <v>5</v>
      </c>
    </row>
    <row r="16" spans="1:28" ht="46.8" x14ac:dyDescent="0.3">
      <c r="A16" s="5" t="s">
        <v>190</v>
      </c>
      <c r="B16" s="5" t="s">
        <v>65</v>
      </c>
      <c r="C16" s="5" t="s">
        <v>66</v>
      </c>
      <c r="D16" s="6">
        <v>37463</v>
      </c>
      <c r="E16" s="5" t="s">
        <v>191</v>
      </c>
      <c r="F16" s="5" t="s">
        <v>130</v>
      </c>
      <c r="G16" s="5">
        <v>166</v>
      </c>
      <c r="H16" s="5" t="s">
        <v>34</v>
      </c>
      <c r="I16" s="10" t="s">
        <v>192</v>
      </c>
      <c r="J16" s="5" t="s">
        <v>46</v>
      </c>
      <c r="K16" s="5" t="s">
        <v>193</v>
      </c>
      <c r="L16" s="10" t="s">
        <v>194</v>
      </c>
      <c r="M16" s="10" t="s">
        <v>49</v>
      </c>
      <c r="N16" s="5" t="s">
        <v>148</v>
      </c>
      <c r="O16" s="10" t="s">
        <v>195</v>
      </c>
      <c r="P16" s="10" t="s">
        <v>196</v>
      </c>
      <c r="Q16" s="31" t="str">
        <f>VLOOKUP(characters[[#This Row],[Class]],stats!$A:$I,2,FALSE)</f>
        <v>C</v>
      </c>
      <c r="R16" s="5">
        <f>(VLOOKUP(characters[[#This Row],[Class]],stats!$A:$I,3,FALSE))*10</f>
        <v>550</v>
      </c>
      <c r="S16" s="4">
        <f>VLOOKUP(characters[[#This Row],[Class]],stats!$A:$I,4,FALSE)</f>
        <v>45</v>
      </c>
      <c r="T16" s="5">
        <f>VLOOKUP(characters[[#This Row],[Class]],stats!$A:$I,5,FALSE)</f>
        <v>25</v>
      </c>
      <c r="U16" s="5">
        <f>VLOOKUP(characters[[#This Row],[Class]],stats!$A:$I,6,FALSE)</f>
        <v>85</v>
      </c>
      <c r="V16" s="5">
        <f>VLOOKUP(characters[[#This Row],[Class]],stats!$A:$I,7,FALSE)</f>
        <v>55</v>
      </c>
      <c r="W16" s="5">
        <f>VLOOKUP(characters[[#This Row],[Class]],stats!$A:$I,8,FALSE)</f>
        <v>85</v>
      </c>
      <c r="X16" s="5">
        <f>VLOOKUP(characters[[#This Row],[Class]],stats!$A:$I,9,FALSE)</f>
        <v>350</v>
      </c>
      <c r="Y16" s="10">
        <f>ROUND(50+(VLOOKUP(E16,stats!$A:$I,8,0)*0.5),0)</f>
        <v>93</v>
      </c>
      <c r="Z16" s="10">
        <f>ROUND(VLOOKUP(E16,stats!$A:$I,8,0)*0.1,0)</f>
        <v>9</v>
      </c>
    </row>
    <row r="17" spans="1:26" ht="31.2" x14ac:dyDescent="0.3">
      <c r="A17" s="5" t="s">
        <v>75</v>
      </c>
      <c r="B17" s="5" t="s">
        <v>65</v>
      </c>
      <c r="C17" s="5" t="s">
        <v>66</v>
      </c>
      <c r="D17" s="6">
        <v>36896</v>
      </c>
      <c r="E17" s="5" t="s">
        <v>76</v>
      </c>
      <c r="F17" s="5" t="s">
        <v>68</v>
      </c>
      <c r="G17" s="5">
        <v>165</v>
      </c>
      <c r="H17" s="5" t="s">
        <v>57</v>
      </c>
      <c r="I17" s="10" t="s">
        <v>77</v>
      </c>
      <c r="J17" s="5" t="s">
        <v>23</v>
      </c>
      <c r="K17" s="5" t="s">
        <v>78</v>
      </c>
      <c r="L17" s="10" t="s">
        <v>79</v>
      </c>
      <c r="M17" s="10" t="s">
        <v>49</v>
      </c>
      <c r="N17" s="5" t="s">
        <v>80</v>
      </c>
      <c r="O17" s="10" t="s">
        <v>81</v>
      </c>
      <c r="P17" s="10" t="s">
        <v>82</v>
      </c>
      <c r="Q17" s="31" t="str">
        <f>VLOOKUP(characters[[#This Row],[Class]],stats!$A:$I,2,FALSE)</f>
        <v>A</v>
      </c>
      <c r="R17" s="5">
        <f>(VLOOKUP(characters[[#This Row],[Class]],stats!$A:$I,3,FALSE))*10</f>
        <v>700</v>
      </c>
      <c r="S17" s="4">
        <f>VLOOKUP(characters[[#This Row],[Class]],stats!$A:$I,4,FALSE)</f>
        <v>75</v>
      </c>
      <c r="T17" s="5">
        <f>VLOOKUP(characters[[#This Row],[Class]],stats!$A:$I,5,FALSE)</f>
        <v>90</v>
      </c>
      <c r="U17" s="5">
        <f>VLOOKUP(characters[[#This Row],[Class]],stats!$A:$I,6,FALSE)</f>
        <v>30</v>
      </c>
      <c r="V17" s="5">
        <f>VLOOKUP(characters[[#This Row],[Class]],stats!$A:$I,7,FALSE)</f>
        <v>98</v>
      </c>
      <c r="W17" s="5">
        <f>VLOOKUP(characters[[#This Row],[Class]],stats!$A:$I,8,FALSE)</f>
        <v>85</v>
      </c>
      <c r="X17" s="5">
        <f>VLOOKUP(characters[[#This Row],[Class]],stats!$A:$I,9,FALSE)</f>
        <v>403</v>
      </c>
      <c r="Y17" s="10">
        <f>ROUND(50+(VLOOKUP(E17,stats!$A:$I,8,0)*0.5),0)</f>
        <v>93</v>
      </c>
      <c r="Z17" s="10">
        <f>ROUND(VLOOKUP(E17,stats!$A:$I,8,0)*0.1,0)</f>
        <v>9</v>
      </c>
    </row>
    <row r="18" spans="1:26" ht="31.2" x14ac:dyDescent="0.3">
      <c r="A18" s="5" t="s">
        <v>137</v>
      </c>
      <c r="B18" s="5" t="s">
        <v>65</v>
      </c>
      <c r="C18" s="5" t="s">
        <v>66</v>
      </c>
      <c r="D18" s="6">
        <v>37109</v>
      </c>
      <c r="E18" s="5" t="s">
        <v>138</v>
      </c>
      <c r="F18" s="5" t="s">
        <v>130</v>
      </c>
      <c r="G18" s="5">
        <v>167</v>
      </c>
      <c r="H18" s="5" t="s">
        <v>44</v>
      </c>
      <c r="I18" s="10" t="s">
        <v>139</v>
      </c>
      <c r="J18" s="5" t="s">
        <v>46</v>
      </c>
      <c r="K18" s="5" t="s">
        <v>140</v>
      </c>
      <c r="L18" s="10" t="s">
        <v>49</v>
      </c>
      <c r="M18" s="10" t="s">
        <v>141</v>
      </c>
      <c r="N18" s="5" t="s">
        <v>142</v>
      </c>
      <c r="O18" s="10" t="s">
        <v>143</v>
      </c>
      <c r="P18" s="10" t="s">
        <v>144</v>
      </c>
      <c r="Q18" s="31" t="str">
        <f>VLOOKUP(characters[[#This Row],[Class]],stats!$A:$I,2,FALSE)</f>
        <v>A</v>
      </c>
      <c r="R18" s="5">
        <f>(VLOOKUP(characters[[#This Row],[Class]],stats!$A:$I,3,FALSE))*10</f>
        <v>550</v>
      </c>
      <c r="S18" s="4">
        <f>VLOOKUP(characters[[#This Row],[Class]],stats!$A:$I,4,FALSE)</f>
        <v>40</v>
      </c>
      <c r="T18" s="5">
        <f>VLOOKUP(characters[[#This Row],[Class]],stats!$A:$I,5,FALSE)</f>
        <v>30</v>
      </c>
      <c r="U18" s="5">
        <f>VLOOKUP(characters[[#This Row],[Class]],stats!$A:$I,6,FALSE)</f>
        <v>95</v>
      </c>
      <c r="V18" s="5">
        <f>VLOOKUP(characters[[#This Row],[Class]],stats!$A:$I,7,FALSE)</f>
        <v>60</v>
      </c>
      <c r="W18" s="5">
        <f>VLOOKUP(characters[[#This Row],[Class]],stats!$A:$I,8,FALSE)</f>
        <v>75</v>
      </c>
      <c r="X18" s="5">
        <f>VLOOKUP(characters[[#This Row],[Class]],stats!$A:$I,9,FALSE)</f>
        <v>355</v>
      </c>
      <c r="Y18" s="10">
        <f>ROUND(50+(VLOOKUP(E18,stats!$A:$I,8,0)*0.5),0)</f>
        <v>88</v>
      </c>
      <c r="Z18" s="10">
        <f>ROUND(VLOOKUP(E18,stats!$A:$I,8,0)*0.1,0)</f>
        <v>8</v>
      </c>
    </row>
    <row r="19" spans="1:26" ht="46.8" x14ac:dyDescent="0.3">
      <c r="A19" s="5" t="s">
        <v>181</v>
      </c>
      <c r="B19" s="5" t="s">
        <v>182</v>
      </c>
      <c r="C19" s="5" t="s">
        <v>18</v>
      </c>
      <c r="D19" s="6">
        <v>36846</v>
      </c>
      <c r="E19" s="5" t="s">
        <v>183</v>
      </c>
      <c r="F19" s="5" t="s">
        <v>94</v>
      </c>
      <c r="G19" s="5">
        <v>172</v>
      </c>
      <c r="H19" s="5" t="s">
        <v>44</v>
      </c>
      <c r="I19" s="10" t="s">
        <v>184</v>
      </c>
      <c r="J19" s="5" t="s">
        <v>34</v>
      </c>
      <c r="K19" s="5" t="s">
        <v>185</v>
      </c>
      <c r="L19" s="10" t="s">
        <v>186</v>
      </c>
      <c r="M19" s="10" t="s">
        <v>49</v>
      </c>
      <c r="N19" s="5" t="s">
        <v>187</v>
      </c>
      <c r="O19" s="10" t="s">
        <v>188</v>
      </c>
      <c r="P19" s="10" t="s">
        <v>189</v>
      </c>
      <c r="Q19" s="31" t="str">
        <f>VLOOKUP(characters[[#This Row],[Class]],stats!$A:$I,2,FALSE)</f>
        <v>B</v>
      </c>
      <c r="R19" s="5">
        <f>(VLOOKUP(characters[[#This Row],[Class]],stats!$A:$I,3,FALSE))*10</f>
        <v>650</v>
      </c>
      <c r="S19" s="4">
        <f>VLOOKUP(characters[[#This Row],[Class]],stats!$A:$I,4,FALSE)</f>
        <v>55</v>
      </c>
      <c r="T19" s="5">
        <f>VLOOKUP(characters[[#This Row],[Class]],stats!$A:$I,5,FALSE)</f>
        <v>35</v>
      </c>
      <c r="U19" s="5">
        <f>VLOOKUP(characters[[#This Row],[Class]],stats!$A:$I,6,FALSE)</f>
        <v>85</v>
      </c>
      <c r="V19" s="5">
        <f>VLOOKUP(characters[[#This Row],[Class]],stats!$A:$I,7,FALSE)</f>
        <v>45</v>
      </c>
      <c r="W19" s="5">
        <f>VLOOKUP(characters[[#This Row],[Class]],stats!$A:$I,8,FALSE)</f>
        <v>70</v>
      </c>
      <c r="X19" s="5">
        <f>VLOOKUP(characters[[#This Row],[Class]],stats!$A:$I,9,FALSE)</f>
        <v>355</v>
      </c>
      <c r="Y19" s="10">
        <f>ROUND(50+(VLOOKUP(E19,stats!$A:$I,8,0)*0.5),0)</f>
        <v>85</v>
      </c>
      <c r="Z19" s="10">
        <f>ROUND(VLOOKUP(E19,stats!$A:$I,8,0)*0.1,0)</f>
        <v>7</v>
      </c>
    </row>
    <row r="20" spans="1:26" ht="46.8" x14ac:dyDescent="0.3">
      <c r="A20" s="5" t="s">
        <v>64</v>
      </c>
      <c r="B20" s="5" t="s">
        <v>65</v>
      </c>
      <c r="C20" s="5" t="s">
        <v>66</v>
      </c>
      <c r="D20" s="6">
        <v>37378</v>
      </c>
      <c r="E20" s="5" t="s">
        <v>67</v>
      </c>
      <c r="F20" s="5" t="s">
        <v>68</v>
      </c>
      <c r="G20" s="5">
        <v>165</v>
      </c>
      <c r="H20" s="5" t="s">
        <v>21</v>
      </c>
      <c r="I20" s="10" t="s">
        <v>69</v>
      </c>
      <c r="J20" s="5" t="s">
        <v>23</v>
      </c>
      <c r="K20" s="5" t="s">
        <v>70</v>
      </c>
      <c r="L20" s="10" t="s">
        <v>71</v>
      </c>
      <c r="M20" s="10" t="s">
        <v>49</v>
      </c>
      <c r="N20" s="5" t="s">
        <v>72</v>
      </c>
      <c r="O20" s="10" t="s">
        <v>73</v>
      </c>
      <c r="P20" s="10" t="s">
        <v>74</v>
      </c>
      <c r="Q20" s="31" t="str">
        <f>VLOOKUP(characters[[#This Row],[Class]],stats!$A:$I,2,FALSE)</f>
        <v>C</v>
      </c>
      <c r="R20" s="5">
        <f>(VLOOKUP(characters[[#This Row],[Class]],stats!$A:$I,3,FALSE))*10</f>
        <v>600</v>
      </c>
      <c r="S20" s="4">
        <f>VLOOKUP(characters[[#This Row],[Class]],stats!$A:$I,4,FALSE)</f>
        <v>50</v>
      </c>
      <c r="T20" s="5">
        <f>VLOOKUP(characters[[#This Row],[Class]],stats!$A:$I,5,FALSE)</f>
        <v>45</v>
      </c>
      <c r="U20" s="5">
        <f>VLOOKUP(characters[[#This Row],[Class]],stats!$A:$I,6,FALSE)</f>
        <v>70</v>
      </c>
      <c r="V20" s="5">
        <f>VLOOKUP(characters[[#This Row],[Class]],stats!$A:$I,7,FALSE)</f>
        <v>55</v>
      </c>
      <c r="W20" s="5">
        <f>VLOOKUP(characters[[#This Row],[Class]],stats!$A:$I,8,FALSE)</f>
        <v>75</v>
      </c>
      <c r="X20" s="5">
        <f>VLOOKUP(characters[[#This Row],[Class]],stats!$A:$I,9,FALSE)</f>
        <v>355</v>
      </c>
      <c r="Y20" s="10">
        <f>ROUND(50+(VLOOKUP(E20,stats!$A:$I,8,0)*0.5),0)</f>
        <v>88</v>
      </c>
      <c r="Z20" s="10">
        <f>ROUND(VLOOKUP(E20,stats!$A:$I,8,0)*0.1,0)</f>
        <v>8</v>
      </c>
    </row>
    <row r="21" spans="1:26" ht="31.2" x14ac:dyDescent="0.3">
      <c r="A21" s="5" t="s">
        <v>30</v>
      </c>
      <c r="B21" s="5" t="s">
        <v>31</v>
      </c>
      <c r="C21" s="5" t="s">
        <v>32</v>
      </c>
      <c r="D21" s="6">
        <v>36984</v>
      </c>
      <c r="E21" s="5" t="s">
        <v>33</v>
      </c>
      <c r="F21" s="5" t="s">
        <v>20</v>
      </c>
      <c r="G21" s="5">
        <v>170</v>
      </c>
      <c r="H21" s="5" t="s">
        <v>34</v>
      </c>
      <c r="I21" s="10" t="s">
        <v>35</v>
      </c>
      <c r="J21" s="5" t="s">
        <v>23</v>
      </c>
      <c r="K21" s="5" t="s">
        <v>36</v>
      </c>
      <c r="L21" s="10" t="s">
        <v>37</v>
      </c>
      <c r="M21" s="10" t="s">
        <v>38</v>
      </c>
      <c r="N21" s="5" t="s">
        <v>39</v>
      </c>
      <c r="O21" s="10" t="s">
        <v>40</v>
      </c>
      <c r="P21" s="10" t="s">
        <v>41</v>
      </c>
      <c r="Q21" s="31" t="str">
        <f>VLOOKUP(characters[[#This Row],[Class]],stats!$A:$I,2,FALSE)</f>
        <v>B</v>
      </c>
      <c r="R21" s="5">
        <f>(VLOOKUP(characters[[#This Row],[Class]],stats!$A:$I,3,FALSE))*10</f>
        <v>550</v>
      </c>
      <c r="S21" s="4">
        <f>VLOOKUP(characters[[#This Row],[Class]],stats!$A:$I,4,FALSE)</f>
        <v>45</v>
      </c>
      <c r="T21" s="5">
        <f>VLOOKUP(characters[[#This Row],[Class]],stats!$A:$I,5,FALSE)</f>
        <v>30</v>
      </c>
      <c r="U21" s="5">
        <f>VLOOKUP(characters[[#This Row],[Class]],stats!$A:$I,6,FALSE)</f>
        <v>90</v>
      </c>
      <c r="V21" s="5">
        <f>VLOOKUP(characters[[#This Row],[Class]],stats!$A:$I,7,FALSE)</f>
        <v>55</v>
      </c>
      <c r="W21" s="5">
        <f>VLOOKUP(characters[[#This Row],[Class]],stats!$A:$I,8,FALSE)</f>
        <v>90</v>
      </c>
      <c r="X21" s="5">
        <f>VLOOKUP(characters[[#This Row],[Class]],stats!$A:$I,9,FALSE)</f>
        <v>365</v>
      </c>
      <c r="Y21" s="10">
        <f>ROUND(50+(VLOOKUP(E21,stats!$A:$I,8,0)*0.5),0)</f>
        <v>95</v>
      </c>
      <c r="Z21" s="10">
        <f>ROUND(VLOOKUP(E21,stats!$A:$I,8,0)*0.1,0)</f>
        <v>9</v>
      </c>
    </row>
    <row r="22" spans="1:26" ht="46.8" x14ac:dyDescent="0.3">
      <c r="A22" s="5" t="s">
        <v>172</v>
      </c>
      <c r="B22" s="5" t="s">
        <v>173</v>
      </c>
      <c r="C22" s="5" t="s">
        <v>92</v>
      </c>
      <c r="D22" s="6">
        <v>37211</v>
      </c>
      <c r="E22" s="5" t="s">
        <v>174</v>
      </c>
      <c r="F22" s="5" t="s">
        <v>20</v>
      </c>
      <c r="G22" s="5">
        <v>166</v>
      </c>
      <c r="H22" s="5" t="s">
        <v>21</v>
      </c>
      <c r="I22" s="10" t="s">
        <v>175</v>
      </c>
      <c r="J22" s="5" t="s">
        <v>34</v>
      </c>
      <c r="K22" s="5" t="s">
        <v>176</v>
      </c>
      <c r="L22" s="10" t="s">
        <v>177</v>
      </c>
      <c r="M22" s="10" t="s">
        <v>178</v>
      </c>
      <c r="N22" s="5" t="s">
        <v>148</v>
      </c>
      <c r="O22" s="10" t="s">
        <v>179</v>
      </c>
      <c r="P22" s="10" t="s">
        <v>180</v>
      </c>
      <c r="Q22" s="31" t="str">
        <f>VLOOKUP(characters[[#This Row],[Class]],stats!$A:$I,2,FALSE)</f>
        <v>B</v>
      </c>
      <c r="R22" s="5">
        <f>(VLOOKUP(characters[[#This Row],[Class]],stats!$A:$I,3,FALSE))*10</f>
        <v>950</v>
      </c>
      <c r="S22" s="4">
        <f>VLOOKUP(characters[[#This Row],[Class]],stats!$A:$I,4,FALSE)</f>
        <v>75</v>
      </c>
      <c r="T22" s="5">
        <f>VLOOKUP(characters[[#This Row],[Class]],stats!$A:$I,5,FALSE)</f>
        <v>90</v>
      </c>
      <c r="U22" s="5">
        <f>VLOOKUP(characters[[#This Row],[Class]],stats!$A:$I,6,FALSE)</f>
        <v>10</v>
      </c>
      <c r="V22" s="5">
        <f>VLOOKUP(characters[[#This Row],[Class]],stats!$A:$I,7,FALSE)</f>
        <v>60</v>
      </c>
      <c r="W22" s="5">
        <f>VLOOKUP(characters[[#This Row],[Class]],stats!$A:$I,8,FALSE)</f>
        <v>30</v>
      </c>
      <c r="X22" s="5">
        <f>VLOOKUP(characters[[#This Row],[Class]],stats!$A:$I,9,FALSE)</f>
        <v>360</v>
      </c>
      <c r="Y22" s="10">
        <f>ROUND(50+(VLOOKUP(E22,stats!$A:$I,8,0)*0.5),0)</f>
        <v>65</v>
      </c>
      <c r="Z22" s="10">
        <f>ROUND(VLOOKUP(E22,stats!$A:$I,8,0)*0.1,0)</f>
        <v>3</v>
      </c>
    </row>
    <row r="23" spans="1:26" ht="31.2" x14ac:dyDescent="0.3">
      <c r="A23" s="5" t="s">
        <v>113</v>
      </c>
      <c r="B23" s="5" t="s">
        <v>54</v>
      </c>
      <c r="C23" s="5" t="s">
        <v>55</v>
      </c>
      <c r="D23" s="6">
        <v>36829</v>
      </c>
      <c r="E23" s="5" t="s">
        <v>114</v>
      </c>
      <c r="F23" s="5" t="s">
        <v>94</v>
      </c>
      <c r="G23" s="5">
        <v>175</v>
      </c>
      <c r="H23" s="5" t="s">
        <v>34</v>
      </c>
      <c r="I23" s="10" t="s">
        <v>115</v>
      </c>
      <c r="J23" s="5" t="s">
        <v>46</v>
      </c>
      <c r="K23" s="5" t="s">
        <v>116</v>
      </c>
      <c r="L23" s="10" t="s">
        <v>117</v>
      </c>
      <c r="M23" s="10" t="s">
        <v>118</v>
      </c>
      <c r="N23" s="5" t="s">
        <v>116</v>
      </c>
      <c r="O23" s="10" t="s">
        <v>119</v>
      </c>
      <c r="P23" s="10" t="s">
        <v>120</v>
      </c>
      <c r="Q23" s="31" t="str">
        <f>VLOOKUP(characters[[#This Row],[Class]],stats!$A:$I,2,FALSE)</f>
        <v>C</v>
      </c>
      <c r="R23" s="5">
        <f>(VLOOKUP(characters[[#This Row],[Class]],stats!$A:$I,3,FALSE))*10</f>
        <v>650</v>
      </c>
      <c r="S23" s="4">
        <f>VLOOKUP(characters[[#This Row],[Class]],stats!$A:$I,4,FALSE)</f>
        <v>55</v>
      </c>
      <c r="T23" s="5">
        <f>VLOOKUP(characters[[#This Row],[Class]],stats!$A:$I,5,FALSE)</f>
        <v>75</v>
      </c>
      <c r="U23" s="5">
        <f>VLOOKUP(characters[[#This Row],[Class]],stats!$A:$I,6,FALSE)</f>
        <v>30</v>
      </c>
      <c r="V23" s="5">
        <f>VLOOKUP(characters[[#This Row],[Class]],stats!$A:$I,7,FALSE)</f>
        <v>80</v>
      </c>
      <c r="W23" s="5">
        <f>VLOOKUP(characters[[#This Row],[Class]],stats!$A:$I,8,FALSE)</f>
        <v>50</v>
      </c>
      <c r="X23" s="5">
        <f>VLOOKUP(characters[[#This Row],[Class]],stats!$A:$I,9,FALSE)</f>
        <v>355</v>
      </c>
      <c r="Y23" s="10">
        <f>ROUND(50+(VLOOKUP(E23,stats!$A:$I,8,0)*0.5),0)</f>
        <v>75</v>
      </c>
      <c r="Z23" s="10">
        <f>ROUND(VLOOKUP(E23,stats!$A:$I,8,0)*0.1,0)</f>
        <v>5</v>
      </c>
    </row>
    <row r="24" spans="1:26" ht="46.8" x14ac:dyDescent="0.3">
      <c r="A24" s="5" t="s">
        <v>90</v>
      </c>
      <c r="B24" s="5" t="s">
        <v>91</v>
      </c>
      <c r="C24" s="5" t="s">
        <v>92</v>
      </c>
      <c r="D24" s="6">
        <v>36998</v>
      </c>
      <c r="E24" s="5" t="s">
        <v>93</v>
      </c>
      <c r="F24" s="5" t="s">
        <v>94</v>
      </c>
      <c r="G24" s="5">
        <v>170</v>
      </c>
      <c r="H24" s="5" t="s">
        <v>57</v>
      </c>
      <c r="I24" s="10" t="s">
        <v>95</v>
      </c>
      <c r="J24" s="5" t="s">
        <v>96</v>
      </c>
      <c r="K24" s="5" t="s">
        <v>97</v>
      </c>
      <c r="L24" s="10" t="s">
        <v>98</v>
      </c>
      <c r="M24" s="10" t="s">
        <v>99</v>
      </c>
      <c r="N24" s="5" t="s">
        <v>97</v>
      </c>
      <c r="O24" s="10" t="s">
        <v>100</v>
      </c>
      <c r="P24" s="10" t="s">
        <v>101</v>
      </c>
      <c r="Q24" s="31" t="str">
        <f>VLOOKUP(characters[[#This Row],[Class]],stats!$A:$I,2,FALSE)</f>
        <v>A</v>
      </c>
      <c r="R24" s="5">
        <f>(VLOOKUP(characters[[#This Row],[Class]],stats!$A:$I,3,FALSE))*10</f>
        <v>750</v>
      </c>
      <c r="S24" s="4">
        <f>VLOOKUP(characters[[#This Row],[Class]],stats!$A:$I,4,FALSE)</f>
        <v>65</v>
      </c>
      <c r="T24" s="5">
        <f>VLOOKUP(characters[[#This Row],[Class]],stats!$A:$I,5,FALSE)</f>
        <v>70</v>
      </c>
      <c r="U24" s="5">
        <f>VLOOKUP(characters[[#This Row],[Class]],stats!$A:$I,6,FALSE)</f>
        <v>80</v>
      </c>
      <c r="V24" s="5">
        <f>VLOOKUP(characters[[#This Row],[Class]],stats!$A:$I,7,FALSE)</f>
        <v>90</v>
      </c>
      <c r="W24" s="5">
        <f>VLOOKUP(characters[[#This Row],[Class]],stats!$A:$I,8,FALSE)</f>
        <v>80</v>
      </c>
      <c r="X24" s="5">
        <f>VLOOKUP(characters[[#This Row],[Class]],stats!$A:$I,9,FALSE)</f>
        <v>425</v>
      </c>
      <c r="Y24" s="10">
        <f>ROUND(50+(VLOOKUP(E24,stats!$A:$I,8,0)*0.5),0)</f>
        <v>90</v>
      </c>
      <c r="Z24" s="10">
        <f>ROUND(VLOOKUP(E24,stats!$A:$I,8,0)*0.1,0)</f>
        <v>8</v>
      </c>
    </row>
    <row r="25" spans="1:26" ht="31.2" x14ac:dyDescent="0.3">
      <c r="A25" s="5" t="s">
        <v>151</v>
      </c>
      <c r="B25" s="5" t="s">
        <v>54</v>
      </c>
      <c r="C25" s="5" t="s">
        <v>55</v>
      </c>
      <c r="D25" s="6">
        <v>36798</v>
      </c>
      <c r="E25" s="5" t="s">
        <v>152</v>
      </c>
      <c r="F25" s="5" t="s">
        <v>130</v>
      </c>
      <c r="G25" s="5">
        <v>173</v>
      </c>
      <c r="H25" s="5" t="s">
        <v>153</v>
      </c>
      <c r="I25" s="10" t="s">
        <v>154</v>
      </c>
      <c r="J25" s="5" t="s">
        <v>34</v>
      </c>
      <c r="K25" s="5" t="s">
        <v>49</v>
      </c>
      <c r="L25" s="10" t="s">
        <v>155</v>
      </c>
      <c r="M25" s="10" t="s">
        <v>49</v>
      </c>
      <c r="N25" s="5" t="s">
        <v>148</v>
      </c>
      <c r="O25" s="10" t="s">
        <v>156</v>
      </c>
      <c r="P25" s="10" t="s">
        <v>157</v>
      </c>
      <c r="Q25" s="31" t="str">
        <f>VLOOKUP(characters[[#This Row],[Class]],stats!$A:$I,2,FALSE)</f>
        <v>B</v>
      </c>
      <c r="R25" s="5">
        <f>(VLOOKUP(characters[[#This Row],[Class]],stats!$A:$I,3,FALSE))*10</f>
        <v>650</v>
      </c>
      <c r="S25" s="4">
        <f>VLOOKUP(characters[[#This Row],[Class]],stats!$A:$I,4,FALSE)</f>
        <v>55</v>
      </c>
      <c r="T25" s="5">
        <f>VLOOKUP(characters[[#This Row],[Class]],stats!$A:$I,5,FALSE)</f>
        <v>90</v>
      </c>
      <c r="U25" s="5">
        <f>VLOOKUP(characters[[#This Row],[Class]],stats!$A:$I,6,FALSE)</f>
        <v>20</v>
      </c>
      <c r="V25" s="5">
        <f>VLOOKUP(characters[[#This Row],[Class]],stats!$A:$I,7,FALSE)</f>
        <v>92</v>
      </c>
      <c r="W25" s="5">
        <f>VLOOKUP(characters[[#This Row],[Class]],stats!$A:$I,8,FALSE)</f>
        <v>65</v>
      </c>
      <c r="X25" s="5">
        <f>VLOOKUP(characters[[#This Row],[Class]],stats!$A:$I,9,FALSE)</f>
        <v>387</v>
      </c>
      <c r="Y25" s="10">
        <f>ROUND(50+(VLOOKUP(E25,stats!$A:$I,8,0)*0.5),0)</f>
        <v>83</v>
      </c>
      <c r="Z25" s="10">
        <f>ROUND(VLOOKUP(E25,stats!$A:$I,8,0)*0.1,0)</f>
        <v>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54BE3-1972-4857-9A0B-5A7E69F67BA6}">
  <sheetPr codeName="Sheet2"/>
  <dimension ref="A1:K13"/>
  <sheetViews>
    <sheetView topLeftCell="B1" workbookViewId="0">
      <selection activeCell="C8" sqref="C8"/>
    </sheetView>
  </sheetViews>
  <sheetFormatPr defaultRowHeight="15.6" x14ac:dyDescent="0.3"/>
  <cols>
    <col min="1" max="2" width="8.88671875" style="28"/>
    <col min="3" max="3" width="13.21875" style="28" customWidth="1"/>
    <col min="4" max="5" width="8.88671875" style="28"/>
    <col min="6" max="6" width="13.21875" style="28" customWidth="1"/>
    <col min="7" max="10" width="8.88671875" style="28"/>
    <col min="11" max="11" width="10.5546875" style="28" customWidth="1"/>
    <col min="12" max="16384" width="8.88671875" style="28"/>
  </cols>
  <sheetData>
    <row r="1" spans="1:11" x14ac:dyDescent="0.3">
      <c r="B1" s="28" t="s">
        <v>620</v>
      </c>
      <c r="E1" s="28" t="s">
        <v>619</v>
      </c>
    </row>
    <row r="2" spans="1:11" x14ac:dyDescent="0.3">
      <c r="B2" s="28" t="s">
        <v>621</v>
      </c>
      <c r="C2" s="28" t="s">
        <v>218</v>
      </c>
      <c r="E2" s="28" t="s">
        <v>621</v>
      </c>
      <c r="F2" s="28" t="s">
        <v>128</v>
      </c>
    </row>
    <row r="3" spans="1:11" x14ac:dyDescent="0.3">
      <c r="B3" s="28" t="s">
        <v>622</v>
      </c>
      <c r="C3" s="28" t="s">
        <v>121</v>
      </c>
      <c r="E3" s="28" t="s">
        <v>622</v>
      </c>
      <c r="F3" s="28" t="s">
        <v>42</v>
      </c>
    </row>
    <row r="4" spans="1:11" x14ac:dyDescent="0.3">
      <c r="B4" s="28" t="s">
        <v>623</v>
      </c>
      <c r="C4" s="28" t="s">
        <v>212</v>
      </c>
      <c r="E4" s="28" t="s">
        <v>623</v>
      </c>
      <c r="F4" s="28" t="s">
        <v>83</v>
      </c>
    </row>
    <row r="6" spans="1:11" x14ac:dyDescent="0.3">
      <c r="A6" s="5"/>
      <c r="B6" s="5" t="s">
        <v>0</v>
      </c>
      <c r="C6" s="5" t="s">
        <v>4</v>
      </c>
      <c r="D6" s="5" t="s">
        <v>600</v>
      </c>
      <c r="E6" s="5" t="s">
        <v>601</v>
      </c>
      <c r="F6" s="5" t="s">
        <v>602</v>
      </c>
      <c r="G6" s="5" t="s">
        <v>603</v>
      </c>
      <c r="H6" s="5" t="s">
        <v>604</v>
      </c>
      <c r="I6" s="5" t="s">
        <v>605</v>
      </c>
      <c r="J6" s="5" t="s">
        <v>606</v>
      </c>
      <c r="K6" s="5" t="s">
        <v>617</v>
      </c>
    </row>
    <row r="7" spans="1:11" ht="31.2" x14ac:dyDescent="0.3">
      <c r="A7" s="5" t="s">
        <v>624</v>
      </c>
      <c r="B7" s="10" t="str">
        <f>IF(C2="","",C2)</f>
        <v>Alanza Alves</v>
      </c>
      <c r="C7" s="5" t="str">
        <f>IF(C2="","",VLOOKUP(C2,'characters'!$A:$Z,5,0))</f>
        <v>Warlock</v>
      </c>
      <c r="D7" s="5" t="str">
        <f>IF(C2="","",VLOOKUP(C2,'characters'!$A:$Z,17,0))</f>
        <v>A</v>
      </c>
      <c r="E7" s="5">
        <f>IF(C2="","",VLOOKUP(C2,'characters'!$A:$Z,18,0))</f>
        <v>550</v>
      </c>
      <c r="F7" s="5">
        <f>IF(C2="","",VLOOKUP(C2,'characters'!$A:$Z,19,0))</f>
        <v>40</v>
      </c>
      <c r="G7" s="5">
        <f>IF(C2="","",VLOOKUP(C2,'characters'!$A:$Z,20,0))</f>
        <v>30</v>
      </c>
      <c r="H7" s="5">
        <f>IF(C2="","",VLOOKUP(C2,'characters'!$A:$Z,21,0))</f>
        <v>90</v>
      </c>
      <c r="I7" s="5">
        <f>IF(C2="","",VLOOKUP(C2,'characters'!$A:$Z,22,0))</f>
        <v>65</v>
      </c>
      <c r="J7" s="5">
        <f>IF(C2="","",VLOOKUP(C2,'characters'!$A:$Z,23,0))</f>
        <v>75</v>
      </c>
      <c r="K7" s="5">
        <f>IF(C2="","",VLOOKUP(C2,'characters'!$A:$Z,25,0))</f>
        <v>88</v>
      </c>
    </row>
    <row r="8" spans="1:11" ht="31.2" x14ac:dyDescent="0.3">
      <c r="A8" s="5" t="s">
        <v>625</v>
      </c>
      <c r="B8" s="10" t="str">
        <f t="shared" ref="B8:B9" si="0">IF(C3="","",C3)</f>
        <v>Andre Egwu</v>
      </c>
      <c r="C8" s="5" t="str">
        <f>IF(C3="","",VLOOKUP(C3,'characters'!$A:$Z,5,0))</f>
        <v>Bard</v>
      </c>
      <c r="D8" s="5" t="str">
        <f>IF(C3="","",VLOOKUP(C3,'characters'!$A:$Z,17,0))</f>
        <v>C</v>
      </c>
      <c r="E8" s="5">
        <f>IF(C3="","",VLOOKUP(C3,'characters'!$A:$Z,18,0))</f>
        <v>600</v>
      </c>
      <c r="F8" s="5">
        <f>IF(C3="","",VLOOKUP(C3,'characters'!$A:$Z,19,0))</f>
        <v>45</v>
      </c>
      <c r="G8" s="5">
        <f>IF(C3="","",VLOOKUP(C3,'characters'!$A:$Z,20,0))</f>
        <v>30</v>
      </c>
      <c r="H8" s="5">
        <f>IF(C3="","",VLOOKUP(C3,'characters'!$A:$Z,21,0))</f>
        <v>80</v>
      </c>
      <c r="I8" s="5">
        <f>IF(C3="","",VLOOKUP(C3,'characters'!$A:$Z,22,0))</f>
        <v>55</v>
      </c>
      <c r="J8" s="5">
        <f>IF(C3="","",VLOOKUP(C3,'characters'!$A:$Z,23,0))</f>
        <v>85</v>
      </c>
      <c r="K8" s="5">
        <f>IF(C3="","",VLOOKUP(C3,'characters'!$A:$Z,25,0))</f>
        <v>93</v>
      </c>
    </row>
    <row r="9" spans="1:11" ht="31.2" x14ac:dyDescent="0.3">
      <c r="A9" s="5" t="s">
        <v>626</v>
      </c>
      <c r="B9" s="10" t="str">
        <f t="shared" si="0"/>
        <v>Badeea Ali</v>
      </c>
      <c r="C9" s="5" t="str">
        <f>IF(C4="","",VLOOKUP(C4,'characters'!$A:$Z,5,0))</f>
        <v>Necromancer</v>
      </c>
      <c r="D9" s="5" t="str">
        <f>IF(C4="","",VLOOKUP(C4,'characters'!$A:$Z,17,0))</f>
        <v>A</v>
      </c>
      <c r="E9" s="5">
        <f>IF(C4="","",VLOOKUP(C4,'characters'!$A:$Z,18,0))</f>
        <v>550</v>
      </c>
      <c r="F9" s="5">
        <f>IF(C4="","",VLOOKUP(C4,'characters'!$A:$Z,19,0))</f>
        <v>40</v>
      </c>
      <c r="G9" s="5">
        <f>IF(C4="","",VLOOKUP(C4,'characters'!$A:$Z,20,0))</f>
        <v>25</v>
      </c>
      <c r="H9" s="5">
        <f>IF(C4="","",VLOOKUP(C4,'characters'!$A:$Z,21,0))</f>
        <v>90</v>
      </c>
      <c r="I9" s="5">
        <f>IF(C4="","",VLOOKUP(C4,'characters'!$A:$Z,22,0))</f>
        <v>45</v>
      </c>
      <c r="J9" s="5">
        <f>IF(C4="","",VLOOKUP(C4,'characters'!$A:$Z,23,0))</f>
        <v>95</v>
      </c>
      <c r="K9" s="5">
        <f>IF(C4="","",VLOOKUP(C4,'characters'!$A:$Z,25,0))</f>
        <v>98</v>
      </c>
    </row>
    <row r="10" spans="1:11" x14ac:dyDescent="0.3">
      <c r="A10" s="30"/>
      <c r="B10" s="30"/>
      <c r="C10" s="30"/>
      <c r="D10" s="30"/>
      <c r="E10" s="30"/>
      <c r="F10" s="30"/>
      <c r="G10" s="30"/>
      <c r="H10" s="30"/>
      <c r="I10" s="30"/>
      <c r="J10" s="30"/>
      <c r="K10" s="30"/>
    </row>
    <row r="11" spans="1:11" ht="31.2" x14ac:dyDescent="0.3">
      <c r="A11" s="5" t="s">
        <v>627</v>
      </c>
      <c r="B11" s="10" t="str">
        <f>IF(F2="","",F2)</f>
        <v>Barnaby Lee</v>
      </c>
      <c r="C11" s="5" t="str">
        <f>IF(F2="","",VLOOKUP(F2,'characters'!$A:$Z,5,0))</f>
        <v>Fighter</v>
      </c>
      <c r="D11" s="5" t="str">
        <f>IF(F2="","",VLOOKUP(F2,'characters'!$A:$Z,17,0))</f>
        <v>B</v>
      </c>
      <c r="E11" s="5">
        <f>IF(F2="","",VLOOKUP(F2,'characters'!$A:$Z,18,0))</f>
        <v>900</v>
      </c>
      <c r="F11" s="5">
        <f>IF(F2="","",VLOOKUP(F2,'characters'!$A:$Z,19,0))</f>
        <v>85</v>
      </c>
      <c r="G11" s="5">
        <f>IF(F2="","",VLOOKUP(F2,'characters'!$A:$Z,20,0))</f>
        <v>80</v>
      </c>
      <c r="H11" s="5">
        <f>IF(F2="","",VLOOKUP(F2,'characters'!$A:$Z,21,0))</f>
        <v>15</v>
      </c>
      <c r="I11" s="5">
        <f>IF(F2="","",VLOOKUP(F2,'characters'!$A:$Z,22,0))</f>
        <v>45</v>
      </c>
      <c r="J11" s="5">
        <f>IF(F2="","",VLOOKUP(F2,'characters'!$A:$Z,23,0))</f>
        <v>35</v>
      </c>
      <c r="K11" s="5">
        <f>IF(F2="","",VLOOKUP(F2,'characters'!$A:$Z,25,0))</f>
        <v>68</v>
      </c>
    </row>
    <row r="12" spans="1:11" ht="31.2" x14ac:dyDescent="0.3">
      <c r="A12" s="5" t="s">
        <v>628</v>
      </c>
      <c r="B12" s="10" t="str">
        <f t="shared" ref="B12:B13" si="1">IF(F3="","",F3)</f>
        <v>Ben Copper</v>
      </c>
      <c r="C12" s="5" t="str">
        <f>IF(F3="","",VLOOKUP(F3,'characters'!$A:$Z,5,0))</f>
        <v>Oracle</v>
      </c>
      <c r="D12" s="5" t="str">
        <f>IF(F3="","",VLOOKUP(F3,'characters'!$A:$Z,17,0))</f>
        <v>B</v>
      </c>
      <c r="E12" s="5">
        <f>IF(F3="","",VLOOKUP(F3,'characters'!$A:$Z,18,0))</f>
        <v>550</v>
      </c>
      <c r="F12" s="5">
        <f>IF(F3="","",VLOOKUP(F3,'characters'!$A:$Z,19,0))</f>
        <v>45</v>
      </c>
      <c r="G12" s="5">
        <f>IF(F3="","",VLOOKUP(F3,'characters'!$A:$Z,20,0))</f>
        <v>20</v>
      </c>
      <c r="H12" s="5">
        <f>IF(F3="","",VLOOKUP(F3,'characters'!$A:$Z,21,0))</f>
        <v>70</v>
      </c>
      <c r="I12" s="5">
        <f>IF(F3="","",VLOOKUP(F3,'characters'!$A:$Z,22,0))</f>
        <v>50</v>
      </c>
      <c r="J12" s="5">
        <f>IF(F3="","",VLOOKUP(F3,'characters'!$A:$Z,23,0))</f>
        <v>90</v>
      </c>
      <c r="K12" s="5">
        <f>IF(F3="","",VLOOKUP(F3,'characters'!$A:$Z,25,0))</f>
        <v>95</v>
      </c>
    </row>
    <row r="13" spans="1:11" ht="31.2" x14ac:dyDescent="0.3">
      <c r="A13" s="5" t="s">
        <v>629</v>
      </c>
      <c r="B13" s="10" t="str">
        <f t="shared" si="1"/>
        <v>Chiara Lobosca</v>
      </c>
      <c r="C13" s="5" t="str">
        <f>IF(F4="","",VLOOKUP(F4,'characters'!$A:$Z,5,0))</f>
        <v>Cleric</v>
      </c>
      <c r="D13" s="5" t="str">
        <f>IF(F4="","",VLOOKUP(F4,'characters'!$A:$Z,17,0))</f>
        <v>B</v>
      </c>
      <c r="E13" s="5">
        <f>IF(F4="","",VLOOKUP(F4,'characters'!$A:$Z,18,0))</f>
        <v>700</v>
      </c>
      <c r="F13" s="5">
        <f>IF(F4="","",VLOOKUP(F4,'characters'!$A:$Z,19,0))</f>
        <v>65</v>
      </c>
      <c r="G13" s="5">
        <f>IF(F4="","",VLOOKUP(F4,'characters'!$A:$Z,20,0))</f>
        <v>40</v>
      </c>
      <c r="H13" s="5">
        <f>IF(F4="","",VLOOKUP(F4,'characters'!$A:$Z,21,0))</f>
        <v>80</v>
      </c>
      <c r="I13" s="5">
        <f>IF(F4="","",VLOOKUP(F4,'characters'!$A:$Z,22,0))</f>
        <v>40</v>
      </c>
      <c r="J13" s="5">
        <f>IF(F4="","",VLOOKUP(F4,'characters'!$A:$Z,23,0))</f>
        <v>60</v>
      </c>
      <c r="K13" s="5">
        <f>IF(F4="","",VLOOKUP(F4,'characters'!$A:$Z,25,0))</f>
        <v>80</v>
      </c>
    </row>
  </sheetData>
  <mergeCells count="1">
    <mergeCell ref="A10:K10"/>
  </mergeCells>
  <phoneticPr fontId="2"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9BBE42B-17A2-4650-8434-10913D952218}">
          <x14:formula1>
            <xm:f>'characters'!$A$2:$A$25</xm:f>
          </x14:formula1>
          <xm:sqref>C2:C4 F2:F4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11D72-1D47-45FD-A66B-717A3D0DBA5C}">
  <sheetPr codeName="Sheet3"/>
  <dimension ref="B1:P115"/>
  <sheetViews>
    <sheetView tabSelected="1" zoomScale="81" workbookViewId="0">
      <selection activeCell="H21" sqref="H21"/>
    </sheetView>
  </sheetViews>
  <sheetFormatPr defaultRowHeight="15.6" x14ac:dyDescent="0.3"/>
  <cols>
    <col min="1" max="1" width="8.88671875" style="28"/>
    <col min="2" max="2" width="16.6640625" style="28" customWidth="1"/>
    <col min="3" max="3" width="19.6640625" style="28" customWidth="1"/>
    <col min="4" max="4" width="13.44140625" style="28" customWidth="1"/>
    <col min="5" max="5" width="6.109375" style="28" customWidth="1"/>
    <col min="6" max="7" width="2.21875" style="28" customWidth="1"/>
    <col min="8" max="8" width="16.6640625" style="28" customWidth="1"/>
    <col min="9" max="9" width="19.6640625" style="28" customWidth="1"/>
    <col min="10" max="10" width="8.88671875" style="28"/>
    <col min="11" max="11" width="6.109375" style="28" customWidth="1"/>
    <col min="12" max="12" width="5" style="28" customWidth="1"/>
    <col min="13" max="13" width="16.21875" style="28" customWidth="1"/>
    <col min="14" max="16384" width="8.88671875" style="28"/>
  </cols>
  <sheetData>
    <row r="1" spans="2:16" x14ac:dyDescent="0.3">
      <c r="B1" s="5" t="s">
        <v>634</v>
      </c>
      <c r="C1" s="5">
        <f>N3</f>
        <v>1</v>
      </c>
      <c r="M1" s="5" t="s">
        <v>638</v>
      </c>
      <c r="N1" s="5">
        <v>1</v>
      </c>
      <c r="P1" s="28" t="s">
        <v>653</v>
      </c>
    </row>
    <row r="2" spans="2:16" x14ac:dyDescent="0.3">
      <c r="B2" s="5" t="s">
        <v>635</v>
      </c>
      <c r="C2" s="5" t="str">
        <f>IF(N4=1,"Player 1", "Player 2")</f>
        <v>Player 1</v>
      </c>
      <c r="M2" s="5" t="s">
        <v>639</v>
      </c>
      <c r="N2" s="5">
        <v>1</v>
      </c>
      <c r="P2" s="28" t="s">
        <v>401</v>
      </c>
    </row>
    <row r="3" spans="2:16" x14ac:dyDescent="0.3">
      <c r="M3" s="5" t="s">
        <v>640</v>
      </c>
      <c r="N3" s="5">
        <v>1</v>
      </c>
      <c r="P3" s="28" t="s">
        <v>404</v>
      </c>
    </row>
    <row r="4" spans="2:16" x14ac:dyDescent="0.3">
      <c r="B4" s="28" t="s">
        <v>620</v>
      </c>
      <c r="H4" s="28" t="s">
        <v>619</v>
      </c>
      <c r="M4" s="5" t="s">
        <v>630</v>
      </c>
      <c r="N4" s="5">
        <v>1</v>
      </c>
      <c r="P4" s="28" t="s">
        <v>407</v>
      </c>
    </row>
    <row r="5" spans="2:16" x14ac:dyDescent="0.3">
      <c r="B5" s="5" t="s">
        <v>631</v>
      </c>
      <c r="C5" s="5" t="str">
        <f>IF(N1=1,battlesetup!C2,IF(N1=2,battlesetup!C3,battlesetup!C4))</f>
        <v>Alanza Alves</v>
      </c>
      <c r="H5" s="5" t="s">
        <v>631</v>
      </c>
      <c r="I5" s="5" t="str">
        <f>IF(N2=1,battlesetup!F2,IF(N2=2,battlesetup!F3,battlesetup!F4))</f>
        <v>Barnaby Lee</v>
      </c>
      <c r="M5" s="5" t="s">
        <v>641</v>
      </c>
      <c r="N5" s="5">
        <v>550</v>
      </c>
      <c r="P5" s="28" t="s">
        <v>410</v>
      </c>
    </row>
    <row r="6" spans="2:16" x14ac:dyDescent="0.3">
      <c r="B6" s="5" t="s">
        <v>4</v>
      </c>
      <c r="C6" s="5" t="str">
        <f>IF(C5="","",VLOOKUP(C5,'characters'!$A:$Z,5,0))</f>
        <v>Warlock</v>
      </c>
      <c r="H6" s="5" t="s">
        <v>4</v>
      </c>
      <c r="I6" s="5" t="str">
        <f>IF(I5="","",VLOOKUP(I5,'characters'!$A:$Z,5,0))</f>
        <v>Fighter</v>
      </c>
      <c r="M6" s="5" t="s">
        <v>643</v>
      </c>
      <c r="N6" s="5">
        <v>600</v>
      </c>
      <c r="P6" s="28" t="s">
        <v>413</v>
      </c>
    </row>
    <row r="7" spans="2:16" x14ac:dyDescent="0.3">
      <c r="B7" s="5" t="s">
        <v>601</v>
      </c>
      <c r="C7" s="5">
        <f>IF(N1=1,N5,IF(N1=2,N6,N7))</f>
        <v>550</v>
      </c>
      <c r="H7" s="5" t="s">
        <v>601</v>
      </c>
      <c r="I7" s="5">
        <f>IF(N2=1,N8,IF(N2=2,N9,N10))</f>
        <v>900</v>
      </c>
      <c r="M7" s="5" t="s">
        <v>644</v>
      </c>
      <c r="N7" s="5">
        <v>550</v>
      </c>
    </row>
    <row r="8" spans="2:16" x14ac:dyDescent="0.3">
      <c r="B8" s="5" t="s">
        <v>632</v>
      </c>
      <c r="C8" s="5">
        <f>IF(N1=1,N11, IF(N1=2,N12,N13))</f>
        <v>88</v>
      </c>
      <c r="H8" s="5" t="s">
        <v>632</v>
      </c>
      <c r="I8" s="5">
        <f>IF(N2=1,N14,IF(N2=2,N15,N16))</f>
        <v>68</v>
      </c>
      <c r="M8" s="5" t="s">
        <v>645</v>
      </c>
      <c r="N8" s="5">
        <v>900</v>
      </c>
    </row>
    <row r="9" spans="2:16" x14ac:dyDescent="0.3">
      <c r="M9" s="5" t="s">
        <v>642</v>
      </c>
      <c r="N9" s="5">
        <v>550</v>
      </c>
    </row>
    <row r="10" spans="2:16" x14ac:dyDescent="0.3">
      <c r="M10" s="5" t="s">
        <v>646</v>
      </c>
      <c r="N10" s="5">
        <v>700</v>
      </c>
    </row>
    <row r="11" spans="2:16" x14ac:dyDescent="0.3">
      <c r="B11" s="28" t="s">
        <v>633</v>
      </c>
      <c r="H11" s="28" t="s">
        <v>633</v>
      </c>
      <c r="M11" s="5" t="s">
        <v>647</v>
      </c>
      <c r="N11" s="5">
        <v>88</v>
      </c>
    </row>
    <row r="12" spans="2:16" x14ac:dyDescent="0.3">
      <c r="B12" s="5" t="s">
        <v>621</v>
      </c>
      <c r="C12" s="5" t="str">
        <f>battlesetup!C2</f>
        <v>Alanza Alves</v>
      </c>
      <c r="D12" s="5" t="s">
        <v>601</v>
      </c>
      <c r="E12" s="5">
        <f>N5</f>
        <v>550</v>
      </c>
      <c r="H12" s="5" t="s">
        <v>621</v>
      </c>
      <c r="I12" s="5" t="str">
        <f>battlesetup!F2</f>
        <v>Barnaby Lee</v>
      </c>
      <c r="J12" s="5" t="s">
        <v>601</v>
      </c>
      <c r="K12" s="5">
        <f>N8</f>
        <v>900</v>
      </c>
      <c r="M12" s="5" t="s">
        <v>648</v>
      </c>
      <c r="N12" s="5">
        <v>93</v>
      </c>
    </row>
    <row r="13" spans="2:16" x14ac:dyDescent="0.3">
      <c r="B13" s="5" t="s">
        <v>622</v>
      </c>
      <c r="C13" s="5" t="str">
        <f>battlesetup!C3</f>
        <v>Andre Egwu</v>
      </c>
      <c r="D13" s="5" t="s">
        <v>601</v>
      </c>
      <c r="E13" s="5">
        <f t="shared" ref="E13:E14" si="0">N6</f>
        <v>600</v>
      </c>
      <c r="H13" s="5" t="s">
        <v>622</v>
      </c>
      <c r="I13" s="5" t="str">
        <f>battlesetup!F3</f>
        <v>Ben Copper</v>
      </c>
      <c r="J13" s="5" t="s">
        <v>601</v>
      </c>
      <c r="K13" s="5">
        <f t="shared" ref="K13:K14" si="1">N9</f>
        <v>550</v>
      </c>
      <c r="M13" s="5" t="s">
        <v>649</v>
      </c>
      <c r="N13" s="5">
        <v>98</v>
      </c>
    </row>
    <row r="14" spans="2:16" x14ac:dyDescent="0.3">
      <c r="B14" s="5" t="s">
        <v>623</v>
      </c>
      <c r="C14" s="5" t="str">
        <f>battlesetup!C4</f>
        <v>Badeea Ali</v>
      </c>
      <c r="D14" s="5" t="s">
        <v>601</v>
      </c>
      <c r="E14" s="5">
        <f t="shared" si="0"/>
        <v>550</v>
      </c>
      <c r="H14" s="5" t="s">
        <v>623</v>
      </c>
      <c r="I14" s="5" t="str">
        <f>battlesetup!F4</f>
        <v>Chiara Lobosca</v>
      </c>
      <c r="J14" s="5" t="s">
        <v>601</v>
      </c>
      <c r="K14" s="5">
        <f t="shared" si="1"/>
        <v>700</v>
      </c>
      <c r="M14" s="5" t="s">
        <v>650</v>
      </c>
      <c r="N14" s="5">
        <v>68</v>
      </c>
    </row>
    <row r="15" spans="2:16" x14ac:dyDescent="0.3">
      <c r="M15" s="5" t="s">
        <v>651</v>
      </c>
      <c r="N15" s="5">
        <v>95</v>
      </c>
    </row>
    <row r="16" spans="2:16" x14ac:dyDescent="0.3">
      <c r="M16" s="5" t="s">
        <v>652</v>
      </c>
      <c r="N16" s="5">
        <v>80</v>
      </c>
    </row>
    <row r="17" spans="2:8" x14ac:dyDescent="0.3">
      <c r="B17" s="28" t="s">
        <v>636</v>
      </c>
    </row>
    <row r="18" spans="2:8" x14ac:dyDescent="0.3">
      <c r="B18" s="5" t="s">
        <v>637</v>
      </c>
      <c r="C18" s="10"/>
      <c r="D18" s="32" t="s">
        <v>613</v>
      </c>
      <c r="E18" s="32" t="str">
        <f>IF(C18="","",VLOOKUP(C18,skills!$B:$G,6,0))</f>
        <v/>
      </c>
    </row>
    <row r="19" spans="2:8" x14ac:dyDescent="0.3">
      <c r="B19" s="5" t="s">
        <v>612</v>
      </c>
      <c r="C19" s="5" t="str">
        <f>IF(C18="","",VLOOKUP(C18,skills!$B:$F,5,0))</f>
        <v/>
      </c>
      <c r="D19" s="33"/>
      <c r="E19" s="33"/>
    </row>
    <row r="20" spans="2:8" ht="31.2" x14ac:dyDescent="0.3">
      <c r="B20" s="5" t="s">
        <v>227</v>
      </c>
      <c r="C20" s="10" t="str">
        <f>IF(C18="","",VLOOKUP(C18,skills!$B:$F,3,0))</f>
        <v/>
      </c>
      <c r="D20" s="34"/>
      <c r="E20" s="34"/>
    </row>
    <row r="21" spans="2:8" x14ac:dyDescent="0.3">
      <c r="B21" s="29"/>
      <c r="H21" s="28" t="s">
        <v>654</v>
      </c>
    </row>
    <row r="22" spans="2:8" x14ac:dyDescent="0.3">
      <c r="B22" s="29"/>
    </row>
    <row r="23" spans="2:8" x14ac:dyDescent="0.3">
      <c r="B23" s="29"/>
    </row>
    <row r="24" spans="2:8" x14ac:dyDescent="0.3">
      <c r="B24" s="29"/>
    </row>
    <row r="25" spans="2:8" x14ac:dyDescent="0.3">
      <c r="B25" s="29"/>
    </row>
    <row r="26" spans="2:8" x14ac:dyDescent="0.3">
      <c r="B26" s="29"/>
    </row>
    <row r="27" spans="2:8" x14ac:dyDescent="0.3">
      <c r="B27" s="29"/>
    </row>
    <row r="28" spans="2:8" x14ac:dyDescent="0.3">
      <c r="B28" s="29"/>
    </row>
    <row r="29" spans="2:8" x14ac:dyDescent="0.3">
      <c r="B29" s="29"/>
    </row>
    <row r="30" spans="2:8" x14ac:dyDescent="0.3">
      <c r="B30" s="29"/>
    </row>
    <row r="31" spans="2:8" x14ac:dyDescent="0.3">
      <c r="B31" s="29"/>
    </row>
    <row r="32" spans="2:8" x14ac:dyDescent="0.3">
      <c r="B32" s="29"/>
    </row>
    <row r="33" spans="2:2" x14ac:dyDescent="0.3">
      <c r="B33" s="29"/>
    </row>
    <row r="34" spans="2:2" x14ac:dyDescent="0.3">
      <c r="B34" s="29"/>
    </row>
    <row r="35" spans="2:2" x14ac:dyDescent="0.3">
      <c r="B35" s="29"/>
    </row>
    <row r="36" spans="2:2" x14ac:dyDescent="0.3">
      <c r="B36" s="29"/>
    </row>
    <row r="37" spans="2:2" x14ac:dyDescent="0.3">
      <c r="B37" s="29"/>
    </row>
    <row r="38" spans="2:2" x14ac:dyDescent="0.3">
      <c r="B38" s="29"/>
    </row>
    <row r="39" spans="2:2" x14ac:dyDescent="0.3">
      <c r="B39" s="29"/>
    </row>
    <row r="40" spans="2:2" x14ac:dyDescent="0.3">
      <c r="B40" s="29"/>
    </row>
    <row r="41" spans="2:2" x14ac:dyDescent="0.3">
      <c r="B41" s="29"/>
    </row>
    <row r="42" spans="2:2" x14ac:dyDescent="0.3">
      <c r="B42" s="29"/>
    </row>
    <row r="43" spans="2:2" x14ac:dyDescent="0.3">
      <c r="B43" s="29"/>
    </row>
    <row r="44" spans="2:2" x14ac:dyDescent="0.3">
      <c r="B44" s="29"/>
    </row>
    <row r="45" spans="2:2" x14ac:dyDescent="0.3">
      <c r="B45" s="29"/>
    </row>
    <row r="46" spans="2:2" x14ac:dyDescent="0.3">
      <c r="B46" s="29"/>
    </row>
    <row r="47" spans="2:2" x14ac:dyDescent="0.3">
      <c r="B47" s="29"/>
    </row>
    <row r="48" spans="2:2" x14ac:dyDescent="0.3">
      <c r="B48" s="29"/>
    </row>
    <row r="49" spans="2:2" x14ac:dyDescent="0.3">
      <c r="B49" s="29"/>
    </row>
    <row r="50" spans="2:2" x14ac:dyDescent="0.3">
      <c r="B50" s="29"/>
    </row>
    <row r="51" spans="2:2" x14ac:dyDescent="0.3">
      <c r="B51" s="29"/>
    </row>
    <row r="52" spans="2:2" x14ac:dyDescent="0.3">
      <c r="B52" s="29"/>
    </row>
    <row r="53" spans="2:2" x14ac:dyDescent="0.3">
      <c r="B53" s="29"/>
    </row>
    <row r="54" spans="2:2" x14ac:dyDescent="0.3">
      <c r="B54" s="29"/>
    </row>
    <row r="55" spans="2:2" x14ac:dyDescent="0.3">
      <c r="B55" s="29"/>
    </row>
    <row r="56" spans="2:2" x14ac:dyDescent="0.3">
      <c r="B56" s="29"/>
    </row>
    <row r="57" spans="2:2" x14ac:dyDescent="0.3">
      <c r="B57" s="29"/>
    </row>
    <row r="58" spans="2:2" x14ac:dyDescent="0.3">
      <c r="B58" s="29"/>
    </row>
    <row r="59" spans="2:2" x14ac:dyDescent="0.3">
      <c r="B59" s="29"/>
    </row>
    <row r="60" spans="2:2" x14ac:dyDescent="0.3">
      <c r="B60" s="29"/>
    </row>
    <row r="61" spans="2:2" x14ac:dyDescent="0.3">
      <c r="B61" s="29"/>
    </row>
    <row r="62" spans="2:2" x14ac:dyDescent="0.3">
      <c r="B62" s="29"/>
    </row>
    <row r="63" spans="2:2" x14ac:dyDescent="0.3">
      <c r="B63" s="29"/>
    </row>
    <row r="64" spans="2:2" x14ac:dyDescent="0.3">
      <c r="B64" s="29"/>
    </row>
    <row r="65" spans="2:2" x14ac:dyDescent="0.3">
      <c r="B65" s="29"/>
    </row>
    <row r="66" spans="2:2" x14ac:dyDescent="0.3">
      <c r="B66" s="29"/>
    </row>
    <row r="67" spans="2:2" x14ac:dyDescent="0.3">
      <c r="B67" s="29"/>
    </row>
    <row r="68" spans="2:2" x14ac:dyDescent="0.3">
      <c r="B68" s="29"/>
    </row>
    <row r="69" spans="2:2" x14ac:dyDescent="0.3">
      <c r="B69" s="29"/>
    </row>
    <row r="70" spans="2:2" x14ac:dyDescent="0.3">
      <c r="B70" s="29"/>
    </row>
    <row r="71" spans="2:2" x14ac:dyDescent="0.3">
      <c r="B71" s="29"/>
    </row>
    <row r="72" spans="2:2" x14ac:dyDescent="0.3">
      <c r="B72" s="29"/>
    </row>
    <row r="73" spans="2:2" x14ac:dyDescent="0.3">
      <c r="B73" s="29"/>
    </row>
    <row r="74" spans="2:2" x14ac:dyDescent="0.3">
      <c r="B74" s="29"/>
    </row>
    <row r="75" spans="2:2" x14ac:dyDescent="0.3">
      <c r="B75" s="29"/>
    </row>
    <row r="76" spans="2:2" x14ac:dyDescent="0.3">
      <c r="B76" s="29"/>
    </row>
    <row r="77" spans="2:2" x14ac:dyDescent="0.3">
      <c r="B77" s="29"/>
    </row>
    <row r="78" spans="2:2" x14ac:dyDescent="0.3">
      <c r="B78" s="29"/>
    </row>
    <row r="79" spans="2:2" x14ac:dyDescent="0.3">
      <c r="B79" s="29"/>
    </row>
    <row r="80" spans="2:2" x14ac:dyDescent="0.3">
      <c r="B80" s="29"/>
    </row>
    <row r="81" spans="2:2" x14ac:dyDescent="0.3">
      <c r="B81" s="29"/>
    </row>
    <row r="82" spans="2:2" x14ac:dyDescent="0.3">
      <c r="B82" s="29"/>
    </row>
    <row r="83" spans="2:2" x14ac:dyDescent="0.3">
      <c r="B83" s="29"/>
    </row>
    <row r="84" spans="2:2" x14ac:dyDescent="0.3">
      <c r="B84" s="29"/>
    </row>
    <row r="85" spans="2:2" x14ac:dyDescent="0.3">
      <c r="B85" s="29"/>
    </row>
    <row r="86" spans="2:2" x14ac:dyDescent="0.3">
      <c r="B86" s="29"/>
    </row>
    <row r="87" spans="2:2" x14ac:dyDescent="0.3">
      <c r="B87" s="29"/>
    </row>
    <row r="88" spans="2:2" x14ac:dyDescent="0.3">
      <c r="B88" s="29"/>
    </row>
    <row r="89" spans="2:2" x14ac:dyDescent="0.3">
      <c r="B89" s="29"/>
    </row>
    <row r="90" spans="2:2" x14ac:dyDescent="0.3">
      <c r="B90" s="29"/>
    </row>
    <row r="91" spans="2:2" x14ac:dyDescent="0.3">
      <c r="B91" s="29"/>
    </row>
    <row r="92" spans="2:2" x14ac:dyDescent="0.3">
      <c r="B92" s="29"/>
    </row>
    <row r="93" spans="2:2" x14ac:dyDescent="0.3">
      <c r="B93" s="29"/>
    </row>
    <row r="94" spans="2:2" x14ac:dyDescent="0.3">
      <c r="B94" s="29"/>
    </row>
    <row r="95" spans="2:2" x14ac:dyDescent="0.3">
      <c r="B95" s="29"/>
    </row>
    <row r="96" spans="2:2" x14ac:dyDescent="0.3">
      <c r="B96" s="29"/>
    </row>
    <row r="97" spans="2:2" x14ac:dyDescent="0.3">
      <c r="B97" s="29"/>
    </row>
    <row r="98" spans="2:2" x14ac:dyDescent="0.3">
      <c r="B98" s="29"/>
    </row>
    <row r="99" spans="2:2" x14ac:dyDescent="0.3">
      <c r="B99" s="29"/>
    </row>
    <row r="100" spans="2:2" x14ac:dyDescent="0.3">
      <c r="B100" s="29"/>
    </row>
    <row r="101" spans="2:2" x14ac:dyDescent="0.3">
      <c r="B101" s="29"/>
    </row>
    <row r="102" spans="2:2" x14ac:dyDescent="0.3">
      <c r="B102" s="29"/>
    </row>
    <row r="103" spans="2:2" x14ac:dyDescent="0.3">
      <c r="B103" s="29"/>
    </row>
    <row r="104" spans="2:2" x14ac:dyDescent="0.3">
      <c r="B104" s="29"/>
    </row>
    <row r="105" spans="2:2" x14ac:dyDescent="0.3">
      <c r="B105" s="29"/>
    </row>
    <row r="106" spans="2:2" x14ac:dyDescent="0.3">
      <c r="B106" s="29"/>
    </row>
    <row r="107" spans="2:2" x14ac:dyDescent="0.3">
      <c r="B107" s="29"/>
    </row>
    <row r="108" spans="2:2" x14ac:dyDescent="0.3">
      <c r="B108" s="29"/>
    </row>
    <row r="109" spans="2:2" x14ac:dyDescent="0.3">
      <c r="B109" s="29"/>
    </row>
    <row r="110" spans="2:2" x14ac:dyDescent="0.3">
      <c r="B110" s="29"/>
    </row>
    <row r="111" spans="2:2" x14ac:dyDescent="0.3">
      <c r="B111" s="29"/>
    </row>
    <row r="112" spans="2:2" x14ac:dyDescent="0.3">
      <c r="B112" s="29"/>
    </row>
    <row r="113" spans="2:2" x14ac:dyDescent="0.3">
      <c r="B113" s="29"/>
    </row>
    <row r="114" spans="2:2" x14ac:dyDescent="0.3">
      <c r="B114" s="29"/>
    </row>
    <row r="115" spans="2:2" x14ac:dyDescent="0.3">
      <c r="B115" s="29"/>
    </row>
  </sheetData>
  <mergeCells count="2">
    <mergeCell ref="E18:E20"/>
    <mergeCell ref="D18:D20"/>
  </mergeCells>
  <phoneticPr fontId="2" type="noConversion"/>
  <dataValidations count="1">
    <dataValidation type="list" allowBlank="1" showInputMessage="1" showErrorMessage="1" sqref="C18" xr:uid="{3095D7EC-7C49-4E69-8454-BC445C932F6E}">
      <formula1>$P$2:$P$6</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6157" r:id="rId3" name="Button 13">
              <controlPr defaultSize="0" print="0" autoFill="0" autoPict="0" macro="[0]!InitBattle">
                <anchor moveWithCells="1" sizeWithCells="1">
                  <from>
                    <xdr:col>3</xdr:col>
                    <xdr:colOff>327660</xdr:colOff>
                    <xdr:row>3</xdr:row>
                    <xdr:rowOff>182880</xdr:rowOff>
                  </from>
                  <to>
                    <xdr:col>4</xdr:col>
                    <xdr:colOff>365760</xdr:colOff>
                    <xdr:row>5</xdr:row>
                    <xdr:rowOff>106680</xdr:rowOff>
                  </to>
                </anchor>
              </controlPr>
            </control>
          </mc:Choice>
        </mc:AlternateContent>
        <mc:AlternateContent xmlns:mc="http://schemas.openxmlformats.org/markup-compatibility/2006">
          <mc:Choice Requires="x14">
            <control shapeId="6158" r:id="rId4" name="Button 14">
              <controlPr defaultSize="0" print="0" autoFill="0" autoPict="0" macro="[0]!ExecuteSkill">
                <anchor moveWithCells="1" sizeWithCells="1">
                  <from>
                    <xdr:col>3</xdr:col>
                    <xdr:colOff>350520</xdr:colOff>
                    <xdr:row>6</xdr:row>
                    <xdr:rowOff>38100</xdr:rowOff>
                  </from>
                  <to>
                    <xdr:col>4</xdr:col>
                    <xdr:colOff>350520</xdr:colOff>
                    <xdr:row>7</xdr:row>
                    <xdr:rowOff>137160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F00B7-04E0-4796-8965-ACBDE9A0314C}">
  <sheetPr codeName="Sheet4"/>
  <dimension ref="A1:K25"/>
  <sheetViews>
    <sheetView zoomScale="102" workbookViewId="0">
      <selection activeCell="C2" sqref="C2:C25"/>
    </sheetView>
  </sheetViews>
  <sheetFormatPr defaultRowHeight="14.4" x14ac:dyDescent="0.3"/>
  <cols>
    <col min="1" max="1" width="14.21875" bestFit="1" customWidth="1"/>
    <col min="2" max="2" width="7.44140625" customWidth="1"/>
    <col min="3" max="3" width="5.5546875" customWidth="1"/>
    <col min="4" max="4" width="7.6640625" customWidth="1"/>
    <col min="5" max="5" width="7.77734375" customWidth="1"/>
    <col min="6" max="6" width="7.44140625" bestFit="1" customWidth="1"/>
    <col min="7" max="7" width="6.6640625" customWidth="1"/>
    <col min="8" max="8" width="7.44140625" customWidth="1"/>
    <col min="9" max="9" width="8.21875" customWidth="1"/>
  </cols>
  <sheetData>
    <row r="1" spans="1:11" s="21" customFormat="1" ht="15.6" x14ac:dyDescent="0.3">
      <c r="A1" s="18" t="s">
        <v>4</v>
      </c>
      <c r="B1" s="19" t="s">
        <v>600</v>
      </c>
      <c r="C1" s="19" t="s">
        <v>601</v>
      </c>
      <c r="D1" s="19" t="s">
        <v>602</v>
      </c>
      <c r="E1" s="19" t="s">
        <v>603</v>
      </c>
      <c r="F1" s="19" t="s">
        <v>604</v>
      </c>
      <c r="G1" s="19" t="s">
        <v>605</v>
      </c>
      <c r="H1" s="19" t="s">
        <v>606</v>
      </c>
      <c r="I1" s="20" t="s">
        <v>607</v>
      </c>
    </row>
    <row r="2" spans="1:11" ht="15.6" x14ac:dyDescent="0.3">
      <c r="A2" s="4" t="s">
        <v>67</v>
      </c>
      <c r="B2" s="5" t="s">
        <v>611</v>
      </c>
      <c r="C2" s="5">
        <v>60</v>
      </c>
      <c r="D2" s="5">
        <v>50</v>
      </c>
      <c r="E2" s="5">
        <v>45</v>
      </c>
      <c r="F2" s="5">
        <v>70</v>
      </c>
      <c r="G2" s="5">
        <v>55</v>
      </c>
      <c r="H2" s="5">
        <v>75</v>
      </c>
      <c r="I2" s="16">
        <v>355</v>
      </c>
    </row>
    <row r="3" spans="1:11" ht="15.6" x14ac:dyDescent="0.3">
      <c r="A3" s="4" t="s">
        <v>159</v>
      </c>
      <c r="B3" s="5" t="s">
        <v>610</v>
      </c>
      <c r="C3" s="5">
        <v>80</v>
      </c>
      <c r="D3" s="5">
        <v>75</v>
      </c>
      <c r="E3" s="5">
        <v>85</v>
      </c>
      <c r="F3" s="5">
        <v>35</v>
      </c>
      <c r="G3" s="5">
        <v>35</v>
      </c>
      <c r="H3" s="5">
        <v>50</v>
      </c>
      <c r="I3" s="16">
        <v>355</v>
      </c>
      <c r="K3">
        <v>10</v>
      </c>
    </row>
    <row r="4" spans="1:11" ht="15.6" x14ac:dyDescent="0.3">
      <c r="A4" s="4" t="s">
        <v>93</v>
      </c>
      <c r="B4" s="5" t="s">
        <v>609</v>
      </c>
      <c r="C4" s="5">
        <v>75</v>
      </c>
      <c r="D4" s="5">
        <v>65</v>
      </c>
      <c r="E4" s="5">
        <v>70</v>
      </c>
      <c r="F4" s="5">
        <v>80</v>
      </c>
      <c r="G4" s="5">
        <v>90</v>
      </c>
      <c r="H4" s="5">
        <v>80</v>
      </c>
      <c r="I4" s="16">
        <v>425</v>
      </c>
    </row>
    <row r="5" spans="1:11" ht="15.6" x14ac:dyDescent="0.3">
      <c r="A5" s="4" t="s">
        <v>152</v>
      </c>
      <c r="B5" s="5" t="s">
        <v>610</v>
      </c>
      <c r="C5" s="5">
        <v>65</v>
      </c>
      <c r="D5" s="5">
        <v>55</v>
      </c>
      <c r="E5" s="5">
        <v>90</v>
      </c>
      <c r="F5" s="5">
        <v>20</v>
      </c>
      <c r="G5" s="5">
        <v>92</v>
      </c>
      <c r="H5" s="5">
        <v>65</v>
      </c>
      <c r="I5" s="16">
        <v>387</v>
      </c>
    </row>
    <row r="6" spans="1:11" ht="15.6" x14ac:dyDescent="0.3">
      <c r="A6" s="4" t="s">
        <v>174</v>
      </c>
      <c r="B6" s="5" t="s">
        <v>610</v>
      </c>
      <c r="C6" s="5">
        <v>95</v>
      </c>
      <c r="D6" s="5">
        <v>75</v>
      </c>
      <c r="E6" s="5">
        <v>90</v>
      </c>
      <c r="F6" s="5">
        <v>10</v>
      </c>
      <c r="G6" s="5">
        <v>60</v>
      </c>
      <c r="H6" s="5">
        <v>30</v>
      </c>
      <c r="I6" s="16">
        <v>360</v>
      </c>
    </row>
    <row r="7" spans="1:11" ht="15.6" x14ac:dyDescent="0.3">
      <c r="A7" s="4" t="s">
        <v>122</v>
      </c>
      <c r="B7" s="5" t="s">
        <v>611</v>
      </c>
      <c r="C7" s="5">
        <v>60</v>
      </c>
      <c r="D7" s="5">
        <v>45</v>
      </c>
      <c r="E7" s="5">
        <v>30</v>
      </c>
      <c r="F7" s="5">
        <v>80</v>
      </c>
      <c r="G7" s="5">
        <v>55</v>
      </c>
      <c r="H7" s="5">
        <v>85</v>
      </c>
      <c r="I7" s="16">
        <v>355</v>
      </c>
    </row>
    <row r="8" spans="1:11" ht="15.6" x14ac:dyDescent="0.3">
      <c r="A8" s="4" t="s">
        <v>166</v>
      </c>
      <c r="B8" s="5" t="s">
        <v>609</v>
      </c>
      <c r="C8" s="5">
        <v>75</v>
      </c>
      <c r="D8" s="5">
        <v>60</v>
      </c>
      <c r="E8" s="5">
        <v>88</v>
      </c>
      <c r="F8" s="5">
        <v>45</v>
      </c>
      <c r="G8" s="5">
        <v>65</v>
      </c>
      <c r="H8" s="5">
        <v>70</v>
      </c>
      <c r="I8" s="16">
        <v>388</v>
      </c>
    </row>
    <row r="9" spans="1:11" ht="15.6" x14ac:dyDescent="0.3">
      <c r="A9" s="4" t="s">
        <v>84</v>
      </c>
      <c r="B9" s="5" t="s">
        <v>610</v>
      </c>
      <c r="C9" s="5">
        <v>70</v>
      </c>
      <c r="D9" s="5">
        <v>65</v>
      </c>
      <c r="E9" s="5">
        <v>40</v>
      </c>
      <c r="F9" s="5">
        <v>80</v>
      </c>
      <c r="G9" s="5">
        <v>40</v>
      </c>
      <c r="H9" s="5">
        <v>60</v>
      </c>
      <c r="I9" s="16">
        <v>355</v>
      </c>
    </row>
    <row r="10" spans="1:11" ht="15.6" x14ac:dyDescent="0.3">
      <c r="A10" s="4" t="s">
        <v>105</v>
      </c>
      <c r="B10" s="5" t="s">
        <v>608</v>
      </c>
      <c r="C10" s="5">
        <v>90</v>
      </c>
      <c r="D10" s="5">
        <v>90</v>
      </c>
      <c r="E10" s="5">
        <v>93</v>
      </c>
      <c r="F10" s="5">
        <v>95</v>
      </c>
      <c r="G10" s="5">
        <v>95</v>
      </c>
      <c r="H10" s="5">
        <v>95</v>
      </c>
      <c r="I10" s="16">
        <v>565</v>
      </c>
    </row>
    <row r="11" spans="1:11" ht="15.6" x14ac:dyDescent="0.3">
      <c r="A11" s="4" t="s">
        <v>129</v>
      </c>
      <c r="B11" s="5" t="s">
        <v>610</v>
      </c>
      <c r="C11" s="5">
        <v>90</v>
      </c>
      <c r="D11" s="5">
        <v>85</v>
      </c>
      <c r="E11" s="5">
        <v>80</v>
      </c>
      <c r="F11" s="5">
        <v>15</v>
      </c>
      <c r="G11" s="5">
        <v>45</v>
      </c>
      <c r="H11" s="5">
        <v>35</v>
      </c>
      <c r="I11" s="16">
        <v>350</v>
      </c>
    </row>
    <row r="12" spans="1:11" ht="15.6" x14ac:dyDescent="0.3">
      <c r="A12" s="4" t="s">
        <v>146</v>
      </c>
      <c r="B12" s="5" t="s">
        <v>611</v>
      </c>
      <c r="C12" s="5">
        <v>60</v>
      </c>
      <c r="D12" s="5">
        <v>45</v>
      </c>
      <c r="E12" s="5">
        <v>85</v>
      </c>
      <c r="F12" s="5">
        <v>20</v>
      </c>
      <c r="G12" s="5">
        <v>85</v>
      </c>
      <c r="H12" s="5">
        <v>60</v>
      </c>
      <c r="I12" s="16">
        <v>355</v>
      </c>
    </row>
    <row r="13" spans="1:11" ht="15.6" x14ac:dyDescent="0.3">
      <c r="A13" s="4" t="s">
        <v>205</v>
      </c>
      <c r="B13" s="5" t="s">
        <v>611</v>
      </c>
      <c r="C13" s="5">
        <v>70</v>
      </c>
      <c r="D13" s="5">
        <v>60</v>
      </c>
      <c r="E13" s="5">
        <v>80</v>
      </c>
      <c r="F13" s="5">
        <v>25</v>
      </c>
      <c r="G13" s="5">
        <v>85</v>
      </c>
      <c r="H13" s="5">
        <v>30</v>
      </c>
      <c r="I13" s="16">
        <v>350</v>
      </c>
    </row>
    <row r="14" spans="1:11" ht="15.6" x14ac:dyDescent="0.3">
      <c r="A14" s="4" t="s">
        <v>213</v>
      </c>
      <c r="B14" s="5" t="s">
        <v>609</v>
      </c>
      <c r="C14" s="5">
        <v>55</v>
      </c>
      <c r="D14" s="5">
        <v>40</v>
      </c>
      <c r="E14" s="5">
        <v>25</v>
      </c>
      <c r="F14" s="5">
        <v>90</v>
      </c>
      <c r="G14" s="5">
        <v>45</v>
      </c>
      <c r="H14" s="5">
        <v>95</v>
      </c>
      <c r="I14" s="16">
        <v>350</v>
      </c>
    </row>
    <row r="15" spans="1:11" ht="15.6" x14ac:dyDescent="0.3">
      <c r="A15" s="4" t="s">
        <v>76</v>
      </c>
      <c r="B15" s="5" t="s">
        <v>609</v>
      </c>
      <c r="C15" s="5">
        <v>70</v>
      </c>
      <c r="D15" s="5">
        <v>75</v>
      </c>
      <c r="E15" s="5">
        <v>90</v>
      </c>
      <c r="F15" s="5">
        <v>30</v>
      </c>
      <c r="G15" s="5">
        <v>98</v>
      </c>
      <c r="H15" s="5">
        <v>85</v>
      </c>
      <c r="I15" s="16">
        <v>403</v>
      </c>
    </row>
    <row r="16" spans="1:11" ht="15.6" x14ac:dyDescent="0.3">
      <c r="A16" s="4" t="s">
        <v>43</v>
      </c>
      <c r="B16" s="5" t="s">
        <v>610</v>
      </c>
      <c r="C16" s="5">
        <v>55</v>
      </c>
      <c r="D16" s="5">
        <v>45</v>
      </c>
      <c r="E16" s="5">
        <v>20</v>
      </c>
      <c r="F16" s="5">
        <v>70</v>
      </c>
      <c r="G16" s="5">
        <v>50</v>
      </c>
      <c r="H16" s="5">
        <v>90</v>
      </c>
      <c r="I16" s="16">
        <v>330</v>
      </c>
    </row>
    <row r="17" spans="1:9" ht="15.6" x14ac:dyDescent="0.3">
      <c r="A17" s="4" t="s">
        <v>198</v>
      </c>
      <c r="B17" s="5" t="s">
        <v>610</v>
      </c>
      <c r="C17" s="5">
        <v>80</v>
      </c>
      <c r="D17" s="5">
        <v>90</v>
      </c>
      <c r="E17" s="5">
        <v>80</v>
      </c>
      <c r="F17" s="5">
        <v>55</v>
      </c>
      <c r="G17" s="5">
        <v>35</v>
      </c>
      <c r="H17" s="5">
        <v>45</v>
      </c>
      <c r="I17" s="16">
        <v>360</v>
      </c>
    </row>
    <row r="18" spans="1:9" ht="15.6" x14ac:dyDescent="0.3">
      <c r="A18" s="4" t="s">
        <v>114</v>
      </c>
      <c r="B18" s="5" t="s">
        <v>611</v>
      </c>
      <c r="C18" s="5">
        <v>65</v>
      </c>
      <c r="D18" s="5">
        <v>55</v>
      </c>
      <c r="E18" s="5">
        <v>75</v>
      </c>
      <c r="F18" s="5">
        <v>30</v>
      </c>
      <c r="G18" s="5">
        <v>80</v>
      </c>
      <c r="H18" s="5">
        <v>50</v>
      </c>
      <c r="I18" s="16">
        <v>355</v>
      </c>
    </row>
    <row r="19" spans="1:9" ht="15.6" x14ac:dyDescent="0.3">
      <c r="A19" s="4" t="s">
        <v>56</v>
      </c>
      <c r="B19" s="5" t="s">
        <v>611</v>
      </c>
      <c r="C19" s="5">
        <v>60</v>
      </c>
      <c r="D19" s="5">
        <v>45</v>
      </c>
      <c r="E19" s="5">
        <v>80</v>
      </c>
      <c r="F19" s="5">
        <v>20</v>
      </c>
      <c r="G19" s="5">
        <v>90</v>
      </c>
      <c r="H19" s="5">
        <v>55</v>
      </c>
      <c r="I19" s="16">
        <v>350</v>
      </c>
    </row>
    <row r="20" spans="1:9" ht="15.6" x14ac:dyDescent="0.3">
      <c r="A20" s="4" t="s">
        <v>183</v>
      </c>
      <c r="B20" s="5" t="s">
        <v>610</v>
      </c>
      <c r="C20" s="5">
        <v>65</v>
      </c>
      <c r="D20" s="5">
        <v>55</v>
      </c>
      <c r="E20" s="5">
        <v>35</v>
      </c>
      <c r="F20" s="5">
        <v>85</v>
      </c>
      <c r="G20" s="5">
        <v>45</v>
      </c>
      <c r="H20" s="5">
        <v>70</v>
      </c>
      <c r="I20" s="16">
        <v>355</v>
      </c>
    </row>
    <row r="21" spans="1:9" ht="15.6" x14ac:dyDescent="0.3">
      <c r="A21" s="4" t="s">
        <v>138</v>
      </c>
      <c r="B21" s="5" t="s">
        <v>609</v>
      </c>
      <c r="C21" s="5">
        <v>55</v>
      </c>
      <c r="D21" s="5">
        <v>40</v>
      </c>
      <c r="E21" s="5">
        <v>30</v>
      </c>
      <c r="F21" s="5">
        <v>95</v>
      </c>
      <c r="G21" s="5">
        <v>60</v>
      </c>
      <c r="H21" s="5">
        <v>75</v>
      </c>
      <c r="I21" s="16">
        <v>355</v>
      </c>
    </row>
    <row r="22" spans="1:9" ht="15.6" x14ac:dyDescent="0.3">
      <c r="A22" s="4" t="s">
        <v>19</v>
      </c>
      <c r="B22" s="5" t="s">
        <v>611</v>
      </c>
      <c r="C22" s="5">
        <v>60</v>
      </c>
      <c r="D22" s="5">
        <v>50</v>
      </c>
      <c r="E22" s="5">
        <v>80</v>
      </c>
      <c r="F22" s="5">
        <v>15</v>
      </c>
      <c r="G22" s="5">
        <v>95</v>
      </c>
      <c r="H22" s="5">
        <v>50</v>
      </c>
      <c r="I22" s="16">
        <v>350</v>
      </c>
    </row>
    <row r="23" spans="1:9" ht="15.6" x14ac:dyDescent="0.3">
      <c r="A23" s="4" t="s">
        <v>219</v>
      </c>
      <c r="B23" s="5" t="s">
        <v>609</v>
      </c>
      <c r="C23" s="5">
        <v>55</v>
      </c>
      <c r="D23" s="5">
        <v>40</v>
      </c>
      <c r="E23" s="5">
        <v>30</v>
      </c>
      <c r="F23" s="5">
        <v>90</v>
      </c>
      <c r="G23" s="5">
        <v>65</v>
      </c>
      <c r="H23" s="5">
        <v>75</v>
      </c>
      <c r="I23" s="16">
        <v>355</v>
      </c>
    </row>
    <row r="24" spans="1:9" ht="15.6" x14ac:dyDescent="0.3">
      <c r="A24" s="4" t="s">
        <v>191</v>
      </c>
      <c r="B24" s="5" t="s">
        <v>611</v>
      </c>
      <c r="C24" s="5">
        <v>55</v>
      </c>
      <c r="D24" s="5">
        <v>45</v>
      </c>
      <c r="E24" s="5">
        <v>25</v>
      </c>
      <c r="F24" s="5">
        <v>85</v>
      </c>
      <c r="G24" s="5">
        <v>55</v>
      </c>
      <c r="H24" s="5">
        <v>85</v>
      </c>
      <c r="I24" s="16">
        <v>350</v>
      </c>
    </row>
    <row r="25" spans="1:9" ht="15.6" x14ac:dyDescent="0.3">
      <c r="A25" s="7" t="s">
        <v>33</v>
      </c>
      <c r="B25" s="8" t="s">
        <v>610</v>
      </c>
      <c r="C25" s="8">
        <v>55</v>
      </c>
      <c r="D25" s="8">
        <v>45</v>
      </c>
      <c r="E25" s="8">
        <v>30</v>
      </c>
      <c r="F25" s="8">
        <v>90</v>
      </c>
      <c r="G25" s="8">
        <v>55</v>
      </c>
      <c r="H25" s="8">
        <v>90</v>
      </c>
      <c r="I25" s="17">
        <v>365</v>
      </c>
    </row>
  </sheetData>
  <conditionalFormatting sqref="C1:C1048576">
    <cfRule type="colorScale" priority="7">
      <colorScale>
        <cfvo type="min"/>
        <cfvo type="percentile" val="50"/>
        <cfvo type="max"/>
        <color rgb="FFF8696B"/>
        <color rgb="FFFFEB84"/>
        <color rgb="FF63BE7B"/>
      </colorScale>
    </cfRule>
  </conditionalFormatting>
  <conditionalFormatting sqref="D1:D1048576">
    <cfRule type="colorScale" priority="6">
      <colorScale>
        <cfvo type="min"/>
        <cfvo type="percentile" val="50"/>
        <cfvo type="max"/>
        <color rgb="FFF8696B"/>
        <color rgb="FFFFEB84"/>
        <color rgb="FF63BE7B"/>
      </colorScale>
    </cfRule>
  </conditionalFormatting>
  <conditionalFormatting sqref="E1:E1048576">
    <cfRule type="colorScale" priority="5">
      <colorScale>
        <cfvo type="min"/>
        <cfvo type="percentile" val="50"/>
        <cfvo type="max"/>
        <color rgb="FFF8696B"/>
        <color rgb="FFFFEB84"/>
        <color rgb="FF63BE7B"/>
      </colorScale>
    </cfRule>
  </conditionalFormatting>
  <conditionalFormatting sqref="F1:F1048576">
    <cfRule type="colorScale" priority="4">
      <colorScale>
        <cfvo type="min"/>
        <cfvo type="percentile" val="50"/>
        <cfvo type="max"/>
        <color rgb="FFF8696B"/>
        <color rgb="FFFFEB84"/>
        <color rgb="FF63BE7B"/>
      </colorScale>
    </cfRule>
  </conditionalFormatting>
  <conditionalFormatting sqref="G1:G1048576">
    <cfRule type="colorScale" priority="3">
      <colorScale>
        <cfvo type="min"/>
        <cfvo type="percentile" val="50"/>
        <cfvo type="max"/>
        <color rgb="FFF8696B"/>
        <color rgb="FFFFEB84"/>
        <color rgb="FF63BE7B"/>
      </colorScale>
    </cfRule>
  </conditionalFormatting>
  <conditionalFormatting sqref="H1:H1048576">
    <cfRule type="colorScale" priority="2">
      <colorScale>
        <cfvo type="min"/>
        <cfvo type="percentile" val="50"/>
        <cfvo type="max"/>
        <color rgb="FFF8696B"/>
        <color rgb="FFFFEB84"/>
        <color rgb="FF63BE7B"/>
      </colorScale>
    </cfRule>
  </conditionalFormatting>
  <conditionalFormatting sqref="I1:I1048576">
    <cfRule type="dataBar" priority="1">
      <dataBar>
        <cfvo type="min"/>
        <cfvo type="max"/>
        <color rgb="FF63C384"/>
      </dataBar>
      <extLst>
        <ext xmlns:x14="http://schemas.microsoft.com/office/spreadsheetml/2009/9/main" uri="{B025F937-C7B1-47D3-B67F-A62EFF666E3E}">
          <x14:id>{564FBF40-620B-4226-8E1D-A2C88E3723BF}</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564FBF40-620B-4226-8E1D-A2C88E3723BF}">
            <x14:dataBar minLength="0" maxLength="100" gradient="0">
              <x14:cfvo type="autoMin"/>
              <x14:cfvo type="autoMax"/>
              <x14:negativeFillColor rgb="FFFF0000"/>
              <x14:axisColor rgb="FF000000"/>
            </x14:dataBar>
          </x14:cfRule>
          <xm:sqref>I1:I1048576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ACB4-9FEC-4C57-9AF6-7CCFB92631DD}">
  <sheetPr codeName="Sheet5"/>
  <dimension ref="A1:G145"/>
  <sheetViews>
    <sheetView topLeftCell="A66" workbookViewId="0">
      <selection activeCell="F2" sqref="F2"/>
    </sheetView>
  </sheetViews>
  <sheetFormatPr defaultRowHeight="14.4" x14ac:dyDescent="0.3"/>
  <cols>
    <col min="1" max="1" width="15.6640625" customWidth="1"/>
    <col min="2" max="2" width="23.88671875" bestFit="1" customWidth="1"/>
    <col min="3" max="3" width="10.77734375" bestFit="1" customWidth="1"/>
    <col min="4" max="4" width="21.44140625" bestFit="1" customWidth="1"/>
    <col min="5" max="5" width="76.88671875" style="11" customWidth="1"/>
  </cols>
  <sheetData>
    <row r="1" spans="1:7" ht="31.2" x14ac:dyDescent="0.3">
      <c r="A1" s="2" t="s">
        <v>4</v>
      </c>
      <c r="B1" s="3" t="s">
        <v>225</v>
      </c>
      <c r="C1" s="3" t="s">
        <v>226</v>
      </c>
      <c r="D1" s="3" t="s">
        <v>227</v>
      </c>
      <c r="E1" s="12" t="s">
        <v>228</v>
      </c>
      <c r="F1" s="25" t="s">
        <v>612</v>
      </c>
      <c r="G1" s="12" t="s">
        <v>613</v>
      </c>
    </row>
    <row r="2" spans="1:7" ht="46.8" x14ac:dyDescent="0.3">
      <c r="A2" s="4" t="s">
        <v>56</v>
      </c>
      <c r="B2" s="5" t="s">
        <v>229</v>
      </c>
      <c r="C2" s="5" t="s">
        <v>230</v>
      </c>
      <c r="D2" s="5" t="s">
        <v>231</v>
      </c>
      <c r="E2" s="13" t="s">
        <v>232</v>
      </c>
      <c r="F2" s="26" t="s">
        <v>614</v>
      </c>
      <c r="G2" s="13">
        <v>15</v>
      </c>
    </row>
    <row r="3" spans="1:7" ht="31.2" x14ac:dyDescent="0.3">
      <c r="A3" s="4" t="s">
        <v>56</v>
      </c>
      <c r="B3" s="5" t="s">
        <v>233</v>
      </c>
      <c r="C3" s="5" t="s">
        <v>230</v>
      </c>
      <c r="D3" s="5" t="s">
        <v>234</v>
      </c>
      <c r="E3" s="13" t="s">
        <v>235</v>
      </c>
      <c r="F3" s="26" t="s">
        <v>615</v>
      </c>
      <c r="G3" s="13">
        <v>15</v>
      </c>
    </row>
    <row r="4" spans="1:7" ht="31.2" x14ac:dyDescent="0.3">
      <c r="A4" s="4" t="s">
        <v>56</v>
      </c>
      <c r="B4" s="5" t="s">
        <v>236</v>
      </c>
      <c r="C4" s="5" t="s">
        <v>230</v>
      </c>
      <c r="D4" s="5" t="s">
        <v>237</v>
      </c>
      <c r="E4" s="13" t="s">
        <v>238</v>
      </c>
      <c r="F4" s="26" t="s">
        <v>614</v>
      </c>
      <c r="G4" s="13">
        <v>15</v>
      </c>
    </row>
    <row r="5" spans="1:7" ht="31.2" x14ac:dyDescent="0.3">
      <c r="A5" s="4" t="s">
        <v>56</v>
      </c>
      <c r="B5" s="5" t="s">
        <v>239</v>
      </c>
      <c r="C5" s="5" t="s">
        <v>230</v>
      </c>
      <c r="D5" s="5" t="s">
        <v>240</v>
      </c>
      <c r="E5" s="13" t="s">
        <v>241</v>
      </c>
      <c r="F5" s="26" t="s">
        <v>614</v>
      </c>
      <c r="G5" s="13">
        <v>15</v>
      </c>
    </row>
    <row r="6" spans="1:7" ht="31.2" x14ac:dyDescent="0.3">
      <c r="A6" s="4" t="s">
        <v>56</v>
      </c>
      <c r="B6" s="5" t="s">
        <v>242</v>
      </c>
      <c r="C6" s="5" t="s">
        <v>230</v>
      </c>
      <c r="D6" s="5" t="s">
        <v>243</v>
      </c>
      <c r="E6" s="13" t="s">
        <v>244</v>
      </c>
      <c r="F6" s="26" t="s">
        <v>614</v>
      </c>
      <c r="G6" s="13">
        <v>35</v>
      </c>
    </row>
    <row r="7" spans="1:7" ht="31.2" x14ac:dyDescent="0.3">
      <c r="A7" s="4" t="s">
        <v>56</v>
      </c>
      <c r="B7" s="5" t="s">
        <v>245</v>
      </c>
      <c r="C7" s="5" t="s">
        <v>246</v>
      </c>
      <c r="D7" s="5" t="s">
        <v>49</v>
      </c>
      <c r="E7" s="13" t="s">
        <v>247</v>
      </c>
      <c r="F7" s="26" t="s">
        <v>615</v>
      </c>
      <c r="G7" s="13">
        <v>0</v>
      </c>
    </row>
    <row r="8" spans="1:7" ht="31.2" x14ac:dyDescent="0.3">
      <c r="A8" s="4" t="s">
        <v>129</v>
      </c>
      <c r="B8" s="5" t="s">
        <v>248</v>
      </c>
      <c r="C8" s="5" t="s">
        <v>230</v>
      </c>
      <c r="D8" s="5" t="s">
        <v>249</v>
      </c>
      <c r="E8" s="13" t="s">
        <v>250</v>
      </c>
      <c r="F8" s="26" t="s">
        <v>614</v>
      </c>
      <c r="G8" s="13">
        <v>15</v>
      </c>
    </row>
    <row r="9" spans="1:7" ht="31.2" x14ac:dyDescent="0.3">
      <c r="A9" s="4" t="s">
        <v>129</v>
      </c>
      <c r="B9" s="5" t="s">
        <v>251</v>
      </c>
      <c r="C9" s="5" t="s">
        <v>230</v>
      </c>
      <c r="D9" s="5" t="s">
        <v>252</v>
      </c>
      <c r="E9" s="13" t="s">
        <v>253</v>
      </c>
      <c r="F9" s="26" t="s">
        <v>614</v>
      </c>
      <c r="G9" s="13">
        <v>15</v>
      </c>
    </row>
    <row r="10" spans="1:7" ht="31.2" x14ac:dyDescent="0.3">
      <c r="A10" s="4" t="s">
        <v>129</v>
      </c>
      <c r="B10" s="5" t="s">
        <v>254</v>
      </c>
      <c r="C10" s="5" t="s">
        <v>230</v>
      </c>
      <c r="D10" s="5" t="s">
        <v>255</v>
      </c>
      <c r="E10" s="13" t="s">
        <v>256</v>
      </c>
      <c r="F10" s="26" t="s">
        <v>615</v>
      </c>
      <c r="G10" s="13">
        <v>15</v>
      </c>
    </row>
    <row r="11" spans="1:7" ht="31.2" x14ac:dyDescent="0.3">
      <c r="A11" s="4" t="s">
        <v>129</v>
      </c>
      <c r="B11" s="5" t="s">
        <v>257</v>
      </c>
      <c r="C11" s="5" t="s">
        <v>230</v>
      </c>
      <c r="D11" s="5" t="s">
        <v>258</v>
      </c>
      <c r="E11" s="13" t="s">
        <v>259</v>
      </c>
      <c r="F11" s="26" t="s">
        <v>615</v>
      </c>
      <c r="G11" s="13">
        <v>15</v>
      </c>
    </row>
    <row r="12" spans="1:7" ht="31.2" x14ac:dyDescent="0.3">
      <c r="A12" s="4" t="s">
        <v>129</v>
      </c>
      <c r="B12" s="5" t="s">
        <v>260</v>
      </c>
      <c r="C12" s="5" t="s">
        <v>230</v>
      </c>
      <c r="D12" s="5" t="s">
        <v>243</v>
      </c>
      <c r="E12" s="13" t="s">
        <v>261</v>
      </c>
      <c r="F12" s="26" t="s">
        <v>614</v>
      </c>
      <c r="G12" s="13">
        <v>35</v>
      </c>
    </row>
    <row r="13" spans="1:7" ht="46.8" x14ac:dyDescent="0.3">
      <c r="A13" s="4" t="s">
        <v>129</v>
      </c>
      <c r="B13" s="5" t="s">
        <v>262</v>
      </c>
      <c r="C13" s="5" t="s">
        <v>246</v>
      </c>
      <c r="D13" s="5" t="s">
        <v>49</v>
      </c>
      <c r="E13" s="13" t="s">
        <v>263</v>
      </c>
      <c r="F13" s="26" t="s">
        <v>615</v>
      </c>
      <c r="G13" s="13">
        <v>0</v>
      </c>
    </row>
    <row r="14" spans="1:7" ht="31.2" x14ac:dyDescent="0.3">
      <c r="A14" s="4" t="s">
        <v>33</v>
      </c>
      <c r="B14" s="5" t="s">
        <v>264</v>
      </c>
      <c r="C14" s="5" t="s">
        <v>230</v>
      </c>
      <c r="D14" s="5" t="s">
        <v>265</v>
      </c>
      <c r="E14" s="13" t="s">
        <v>266</v>
      </c>
      <c r="F14" s="26" t="s">
        <v>616</v>
      </c>
      <c r="G14" s="13">
        <v>15</v>
      </c>
    </row>
    <row r="15" spans="1:7" ht="31.2" x14ac:dyDescent="0.3">
      <c r="A15" s="4" t="s">
        <v>33</v>
      </c>
      <c r="B15" s="5" t="s">
        <v>267</v>
      </c>
      <c r="C15" s="5" t="s">
        <v>230</v>
      </c>
      <c r="D15" s="5" t="s">
        <v>268</v>
      </c>
      <c r="E15" s="13" t="s">
        <v>269</v>
      </c>
      <c r="F15" s="26" t="s">
        <v>616</v>
      </c>
      <c r="G15" s="13">
        <v>15</v>
      </c>
    </row>
    <row r="16" spans="1:7" ht="31.2" x14ac:dyDescent="0.3">
      <c r="A16" s="4" t="s">
        <v>33</v>
      </c>
      <c r="B16" s="5" t="s">
        <v>270</v>
      </c>
      <c r="C16" s="5" t="s">
        <v>230</v>
      </c>
      <c r="D16" s="5" t="s">
        <v>271</v>
      </c>
      <c r="E16" s="13" t="s">
        <v>272</v>
      </c>
      <c r="F16" s="26" t="s">
        <v>615</v>
      </c>
      <c r="G16" s="13">
        <v>15</v>
      </c>
    </row>
    <row r="17" spans="1:7" ht="31.2" x14ac:dyDescent="0.3">
      <c r="A17" s="4" t="s">
        <v>33</v>
      </c>
      <c r="B17" s="5" t="s">
        <v>273</v>
      </c>
      <c r="C17" s="5" t="s">
        <v>230</v>
      </c>
      <c r="D17" s="5" t="s">
        <v>274</v>
      </c>
      <c r="E17" s="13" t="s">
        <v>275</v>
      </c>
      <c r="F17" s="26" t="s">
        <v>616</v>
      </c>
      <c r="G17" s="13">
        <v>15</v>
      </c>
    </row>
    <row r="18" spans="1:7" ht="46.8" x14ac:dyDescent="0.3">
      <c r="A18" s="4" t="s">
        <v>33</v>
      </c>
      <c r="B18" s="5" t="s">
        <v>276</v>
      </c>
      <c r="C18" s="5" t="s">
        <v>230</v>
      </c>
      <c r="D18" s="5" t="s">
        <v>243</v>
      </c>
      <c r="E18" s="13" t="s">
        <v>277</v>
      </c>
      <c r="F18" s="26" t="s">
        <v>616</v>
      </c>
      <c r="G18" s="13">
        <v>35</v>
      </c>
    </row>
    <row r="19" spans="1:7" ht="31.2" x14ac:dyDescent="0.3">
      <c r="A19" s="4" t="s">
        <v>33</v>
      </c>
      <c r="B19" s="5" t="s">
        <v>278</v>
      </c>
      <c r="C19" s="5" t="s">
        <v>246</v>
      </c>
      <c r="D19" s="5" t="s">
        <v>49</v>
      </c>
      <c r="E19" s="13" t="s">
        <v>279</v>
      </c>
      <c r="F19" s="26" t="s">
        <v>615</v>
      </c>
      <c r="G19" s="13">
        <v>0</v>
      </c>
    </row>
    <row r="20" spans="1:7" ht="46.8" x14ac:dyDescent="0.3">
      <c r="A20" s="4" t="s">
        <v>114</v>
      </c>
      <c r="B20" s="5" t="s">
        <v>280</v>
      </c>
      <c r="C20" s="5" t="s">
        <v>230</v>
      </c>
      <c r="D20" s="5" t="s">
        <v>281</v>
      </c>
      <c r="E20" s="13" t="s">
        <v>282</v>
      </c>
      <c r="F20" s="26" t="s">
        <v>614</v>
      </c>
      <c r="G20" s="13">
        <v>15</v>
      </c>
    </row>
    <row r="21" spans="1:7" ht="31.2" x14ac:dyDescent="0.3">
      <c r="A21" s="4" t="s">
        <v>114</v>
      </c>
      <c r="B21" s="5" t="s">
        <v>283</v>
      </c>
      <c r="C21" s="5" t="s">
        <v>230</v>
      </c>
      <c r="D21" s="5" t="s">
        <v>274</v>
      </c>
      <c r="E21" s="13" t="s">
        <v>284</v>
      </c>
      <c r="F21" s="26" t="s">
        <v>614</v>
      </c>
      <c r="G21" s="13">
        <v>15</v>
      </c>
    </row>
    <row r="22" spans="1:7" ht="31.2" x14ac:dyDescent="0.3">
      <c r="A22" s="4" t="s">
        <v>114</v>
      </c>
      <c r="B22" s="5" t="s">
        <v>285</v>
      </c>
      <c r="C22" s="5" t="s">
        <v>230</v>
      </c>
      <c r="D22" s="5" t="s">
        <v>286</v>
      </c>
      <c r="E22" s="13" t="s">
        <v>287</v>
      </c>
      <c r="F22" s="26" t="s">
        <v>615</v>
      </c>
      <c r="G22" s="13">
        <v>15</v>
      </c>
    </row>
    <row r="23" spans="1:7" ht="31.2" x14ac:dyDescent="0.3">
      <c r="A23" s="4" t="s">
        <v>114</v>
      </c>
      <c r="B23" s="5" t="s">
        <v>288</v>
      </c>
      <c r="C23" s="5" t="s">
        <v>230</v>
      </c>
      <c r="D23" s="5" t="s">
        <v>289</v>
      </c>
      <c r="E23" s="13" t="s">
        <v>290</v>
      </c>
      <c r="F23" s="26" t="s">
        <v>614</v>
      </c>
      <c r="G23" s="13">
        <v>15</v>
      </c>
    </row>
    <row r="24" spans="1:7" ht="31.2" x14ac:dyDescent="0.3">
      <c r="A24" s="4" t="s">
        <v>114</v>
      </c>
      <c r="B24" s="5" t="s">
        <v>291</v>
      </c>
      <c r="C24" s="5" t="s">
        <v>230</v>
      </c>
      <c r="D24" s="5" t="s">
        <v>243</v>
      </c>
      <c r="E24" s="13" t="s">
        <v>292</v>
      </c>
      <c r="F24" s="26" t="s">
        <v>614</v>
      </c>
      <c r="G24" s="13">
        <v>35</v>
      </c>
    </row>
    <row r="25" spans="1:7" ht="46.8" x14ac:dyDescent="0.3">
      <c r="A25" s="4" t="s">
        <v>114</v>
      </c>
      <c r="B25" s="5" t="s">
        <v>293</v>
      </c>
      <c r="C25" s="5" t="s">
        <v>246</v>
      </c>
      <c r="D25" s="5" t="s">
        <v>49</v>
      </c>
      <c r="E25" s="13" t="s">
        <v>294</v>
      </c>
      <c r="F25" s="26" t="s">
        <v>615</v>
      </c>
      <c r="G25" s="13">
        <v>0</v>
      </c>
    </row>
    <row r="26" spans="1:7" ht="31.2" x14ac:dyDescent="0.3">
      <c r="A26" s="4" t="s">
        <v>174</v>
      </c>
      <c r="B26" s="5" t="s">
        <v>295</v>
      </c>
      <c r="C26" s="5" t="s">
        <v>230</v>
      </c>
      <c r="D26" s="5" t="s">
        <v>296</v>
      </c>
      <c r="E26" s="13" t="s">
        <v>297</v>
      </c>
      <c r="F26" s="26" t="s">
        <v>614</v>
      </c>
      <c r="G26" s="13">
        <v>15</v>
      </c>
    </row>
    <row r="27" spans="1:7" ht="31.2" x14ac:dyDescent="0.3">
      <c r="A27" s="4" t="s">
        <v>174</v>
      </c>
      <c r="B27" s="5" t="s">
        <v>298</v>
      </c>
      <c r="C27" s="5" t="s">
        <v>230</v>
      </c>
      <c r="D27" s="5" t="s">
        <v>299</v>
      </c>
      <c r="E27" s="13" t="s">
        <v>300</v>
      </c>
      <c r="F27" s="26" t="s">
        <v>615</v>
      </c>
      <c r="G27" s="13">
        <v>15</v>
      </c>
    </row>
    <row r="28" spans="1:7" ht="31.2" x14ac:dyDescent="0.3">
      <c r="A28" s="4" t="s">
        <v>174</v>
      </c>
      <c r="B28" s="5" t="s">
        <v>301</v>
      </c>
      <c r="C28" s="5" t="s">
        <v>230</v>
      </c>
      <c r="D28" s="5" t="s">
        <v>302</v>
      </c>
      <c r="E28" s="13" t="s">
        <v>303</v>
      </c>
      <c r="F28" s="26" t="s">
        <v>614</v>
      </c>
      <c r="G28" s="13">
        <v>15</v>
      </c>
    </row>
    <row r="29" spans="1:7" ht="31.2" x14ac:dyDescent="0.3">
      <c r="A29" s="4" t="s">
        <v>174</v>
      </c>
      <c r="B29" s="5" t="s">
        <v>304</v>
      </c>
      <c r="C29" s="5" t="s">
        <v>230</v>
      </c>
      <c r="D29" s="5" t="s">
        <v>305</v>
      </c>
      <c r="E29" s="13" t="s">
        <v>306</v>
      </c>
      <c r="F29" s="26" t="s">
        <v>614</v>
      </c>
      <c r="G29" s="13">
        <v>15</v>
      </c>
    </row>
    <row r="30" spans="1:7" ht="31.2" x14ac:dyDescent="0.3">
      <c r="A30" s="4" t="s">
        <v>174</v>
      </c>
      <c r="B30" s="5" t="s">
        <v>307</v>
      </c>
      <c r="C30" s="5" t="s">
        <v>230</v>
      </c>
      <c r="D30" s="5" t="s">
        <v>243</v>
      </c>
      <c r="E30" s="13" t="s">
        <v>308</v>
      </c>
      <c r="F30" s="26" t="s">
        <v>614</v>
      </c>
      <c r="G30" s="13">
        <v>35</v>
      </c>
    </row>
    <row r="31" spans="1:7" ht="46.8" x14ac:dyDescent="0.3">
      <c r="A31" s="4" t="s">
        <v>174</v>
      </c>
      <c r="B31" s="5" t="s">
        <v>309</v>
      </c>
      <c r="C31" s="5" t="s">
        <v>246</v>
      </c>
      <c r="D31" s="5" t="s">
        <v>49</v>
      </c>
      <c r="E31" s="13" t="s">
        <v>310</v>
      </c>
      <c r="F31" s="26" t="s">
        <v>615</v>
      </c>
      <c r="G31" s="13">
        <v>0</v>
      </c>
    </row>
    <row r="32" spans="1:7" ht="31.2" x14ac:dyDescent="0.3">
      <c r="A32" s="4" t="s">
        <v>105</v>
      </c>
      <c r="B32" s="5" t="s">
        <v>311</v>
      </c>
      <c r="C32" s="5" t="s">
        <v>230</v>
      </c>
      <c r="D32" s="5" t="s">
        <v>312</v>
      </c>
      <c r="E32" s="13" t="s">
        <v>313</v>
      </c>
      <c r="F32" s="26" t="s">
        <v>614</v>
      </c>
      <c r="G32" s="13">
        <v>15</v>
      </c>
    </row>
    <row r="33" spans="1:7" ht="31.2" x14ac:dyDescent="0.3">
      <c r="A33" s="4" t="s">
        <v>105</v>
      </c>
      <c r="B33" s="5" t="s">
        <v>314</v>
      </c>
      <c r="C33" s="5" t="s">
        <v>230</v>
      </c>
      <c r="D33" s="5" t="s">
        <v>315</v>
      </c>
      <c r="E33" s="13" t="s">
        <v>316</v>
      </c>
      <c r="F33" s="26" t="s">
        <v>616</v>
      </c>
      <c r="G33" s="13">
        <v>15</v>
      </c>
    </row>
    <row r="34" spans="1:7" ht="31.2" x14ac:dyDescent="0.3">
      <c r="A34" s="4" t="s">
        <v>105</v>
      </c>
      <c r="B34" s="5" t="s">
        <v>317</v>
      </c>
      <c r="C34" s="5" t="s">
        <v>230</v>
      </c>
      <c r="D34" s="5" t="s">
        <v>318</v>
      </c>
      <c r="E34" s="13" t="s">
        <v>319</v>
      </c>
      <c r="F34" s="26" t="s">
        <v>616</v>
      </c>
      <c r="G34" s="13">
        <v>15</v>
      </c>
    </row>
    <row r="35" spans="1:7" ht="31.2" x14ac:dyDescent="0.3">
      <c r="A35" s="4" t="s">
        <v>105</v>
      </c>
      <c r="B35" s="5" t="s">
        <v>320</v>
      </c>
      <c r="C35" s="5" t="s">
        <v>230</v>
      </c>
      <c r="D35" s="5" t="s">
        <v>321</v>
      </c>
      <c r="E35" s="13" t="s">
        <v>322</v>
      </c>
      <c r="F35" s="26" t="s">
        <v>616</v>
      </c>
      <c r="G35" s="13">
        <v>15</v>
      </c>
    </row>
    <row r="36" spans="1:7" ht="46.8" x14ac:dyDescent="0.3">
      <c r="A36" s="4" t="s">
        <v>105</v>
      </c>
      <c r="B36" s="5" t="s">
        <v>323</v>
      </c>
      <c r="C36" s="5" t="s">
        <v>230</v>
      </c>
      <c r="D36" s="5" t="s">
        <v>243</v>
      </c>
      <c r="E36" s="13" t="s">
        <v>324</v>
      </c>
      <c r="F36" s="26" t="s">
        <v>616</v>
      </c>
      <c r="G36" s="13">
        <v>35</v>
      </c>
    </row>
    <row r="37" spans="1:7" ht="31.2" x14ac:dyDescent="0.3">
      <c r="A37" s="4" t="s">
        <v>105</v>
      </c>
      <c r="B37" s="5" t="s">
        <v>325</v>
      </c>
      <c r="C37" s="5" t="s">
        <v>246</v>
      </c>
      <c r="D37" s="5" t="s">
        <v>49</v>
      </c>
      <c r="E37" s="13" t="s">
        <v>326</v>
      </c>
      <c r="F37" s="26" t="s">
        <v>615</v>
      </c>
      <c r="G37" s="13">
        <v>0</v>
      </c>
    </row>
    <row r="38" spans="1:7" ht="31.2" x14ac:dyDescent="0.3">
      <c r="A38" s="4" t="s">
        <v>122</v>
      </c>
      <c r="B38" s="5" t="s">
        <v>327</v>
      </c>
      <c r="C38" s="5" t="s">
        <v>230</v>
      </c>
      <c r="D38" s="5" t="s">
        <v>328</v>
      </c>
      <c r="E38" s="13" t="s">
        <v>329</v>
      </c>
      <c r="F38" s="26" t="s">
        <v>616</v>
      </c>
      <c r="G38" s="13">
        <v>15</v>
      </c>
    </row>
    <row r="39" spans="1:7" ht="31.2" x14ac:dyDescent="0.3">
      <c r="A39" s="4" t="s">
        <v>122</v>
      </c>
      <c r="B39" s="5" t="s">
        <v>330</v>
      </c>
      <c r="C39" s="5" t="s">
        <v>230</v>
      </c>
      <c r="D39" s="5" t="s">
        <v>331</v>
      </c>
      <c r="E39" s="13" t="s">
        <v>332</v>
      </c>
      <c r="F39" s="26" t="s">
        <v>616</v>
      </c>
      <c r="G39" s="13">
        <v>15</v>
      </c>
    </row>
    <row r="40" spans="1:7" ht="31.2" x14ac:dyDescent="0.3">
      <c r="A40" s="4" t="s">
        <v>122</v>
      </c>
      <c r="B40" s="5" t="s">
        <v>333</v>
      </c>
      <c r="C40" s="5" t="s">
        <v>230</v>
      </c>
      <c r="D40" s="5" t="s">
        <v>268</v>
      </c>
      <c r="E40" s="13" t="s">
        <v>334</v>
      </c>
      <c r="F40" s="26" t="s">
        <v>616</v>
      </c>
      <c r="G40" s="13">
        <v>15</v>
      </c>
    </row>
    <row r="41" spans="1:7" ht="31.2" x14ac:dyDescent="0.3">
      <c r="A41" s="4" t="s">
        <v>122</v>
      </c>
      <c r="B41" s="5" t="s">
        <v>335</v>
      </c>
      <c r="C41" s="5" t="s">
        <v>230</v>
      </c>
      <c r="D41" s="5" t="s">
        <v>336</v>
      </c>
      <c r="E41" s="13" t="s">
        <v>337</v>
      </c>
      <c r="F41" s="26" t="s">
        <v>616</v>
      </c>
      <c r="G41" s="13">
        <v>15</v>
      </c>
    </row>
    <row r="42" spans="1:7" ht="31.2" x14ac:dyDescent="0.3">
      <c r="A42" s="4" t="s">
        <v>122</v>
      </c>
      <c r="B42" s="5" t="s">
        <v>338</v>
      </c>
      <c r="C42" s="5" t="s">
        <v>230</v>
      </c>
      <c r="D42" s="5" t="s">
        <v>243</v>
      </c>
      <c r="E42" s="13" t="s">
        <v>339</v>
      </c>
      <c r="F42" s="26" t="s">
        <v>616</v>
      </c>
      <c r="G42" s="13">
        <v>35</v>
      </c>
    </row>
    <row r="43" spans="1:7" ht="46.8" x14ac:dyDescent="0.3">
      <c r="A43" s="4" t="s">
        <v>122</v>
      </c>
      <c r="B43" s="5" t="s">
        <v>340</v>
      </c>
      <c r="C43" s="5" t="s">
        <v>246</v>
      </c>
      <c r="D43" s="5" t="s">
        <v>49</v>
      </c>
      <c r="E43" s="13" t="s">
        <v>341</v>
      </c>
      <c r="F43" s="26" t="s">
        <v>615</v>
      </c>
      <c r="G43" s="13">
        <v>0</v>
      </c>
    </row>
    <row r="44" spans="1:7" ht="46.8" x14ac:dyDescent="0.3">
      <c r="A44" s="4" t="s">
        <v>84</v>
      </c>
      <c r="B44" s="5" t="s">
        <v>342</v>
      </c>
      <c r="C44" s="5" t="s">
        <v>230</v>
      </c>
      <c r="D44" s="5" t="s">
        <v>343</v>
      </c>
      <c r="E44" s="13" t="s">
        <v>344</v>
      </c>
      <c r="F44" s="26" t="s">
        <v>616</v>
      </c>
      <c r="G44" s="13">
        <v>15</v>
      </c>
    </row>
    <row r="45" spans="1:7" ht="46.8" x14ac:dyDescent="0.3">
      <c r="A45" s="4" t="s">
        <v>84</v>
      </c>
      <c r="B45" s="5" t="s">
        <v>345</v>
      </c>
      <c r="C45" s="5" t="s">
        <v>230</v>
      </c>
      <c r="D45" s="5" t="s">
        <v>346</v>
      </c>
      <c r="E45" s="13" t="s">
        <v>347</v>
      </c>
      <c r="F45" s="26" t="s">
        <v>616</v>
      </c>
      <c r="G45" s="13">
        <v>15</v>
      </c>
    </row>
    <row r="46" spans="1:7" ht="31.2" x14ac:dyDescent="0.3">
      <c r="A46" s="4" t="s">
        <v>84</v>
      </c>
      <c r="B46" s="5" t="s">
        <v>348</v>
      </c>
      <c r="C46" s="5" t="s">
        <v>230</v>
      </c>
      <c r="D46" s="5" t="s">
        <v>349</v>
      </c>
      <c r="E46" s="13" t="s">
        <v>350</v>
      </c>
      <c r="F46" s="26" t="s">
        <v>616</v>
      </c>
      <c r="G46" s="13">
        <v>15</v>
      </c>
    </row>
    <row r="47" spans="1:7" ht="31.2" x14ac:dyDescent="0.3">
      <c r="A47" s="4" t="s">
        <v>84</v>
      </c>
      <c r="B47" s="5" t="s">
        <v>351</v>
      </c>
      <c r="C47" s="5" t="s">
        <v>230</v>
      </c>
      <c r="D47" s="5" t="s">
        <v>352</v>
      </c>
      <c r="E47" s="13" t="s">
        <v>353</v>
      </c>
      <c r="F47" s="26" t="s">
        <v>616</v>
      </c>
      <c r="G47" s="13">
        <v>15</v>
      </c>
    </row>
    <row r="48" spans="1:7" ht="31.2" x14ac:dyDescent="0.3">
      <c r="A48" s="4" t="s">
        <v>84</v>
      </c>
      <c r="B48" s="5" t="s">
        <v>354</v>
      </c>
      <c r="C48" s="5" t="s">
        <v>230</v>
      </c>
      <c r="D48" s="5" t="s">
        <v>243</v>
      </c>
      <c r="E48" s="13" t="s">
        <v>355</v>
      </c>
      <c r="F48" s="26" t="s">
        <v>616</v>
      </c>
      <c r="G48" s="13">
        <v>35</v>
      </c>
    </row>
    <row r="49" spans="1:7" ht="46.8" x14ac:dyDescent="0.3">
      <c r="A49" s="4" t="s">
        <v>84</v>
      </c>
      <c r="B49" s="5" t="s">
        <v>356</v>
      </c>
      <c r="C49" s="5" t="s">
        <v>246</v>
      </c>
      <c r="D49" s="5" t="s">
        <v>49</v>
      </c>
      <c r="E49" s="13" t="s">
        <v>357</v>
      </c>
      <c r="F49" s="26" t="s">
        <v>615</v>
      </c>
      <c r="G49" s="13">
        <v>0</v>
      </c>
    </row>
    <row r="50" spans="1:7" ht="31.2" x14ac:dyDescent="0.3">
      <c r="A50" s="4" t="s">
        <v>138</v>
      </c>
      <c r="B50" s="5" t="s">
        <v>358</v>
      </c>
      <c r="C50" s="5" t="s">
        <v>230</v>
      </c>
      <c r="D50" s="5" t="s">
        <v>359</v>
      </c>
      <c r="E50" s="13" t="s">
        <v>360</v>
      </c>
      <c r="F50" s="26" t="s">
        <v>616</v>
      </c>
      <c r="G50" s="13">
        <v>15</v>
      </c>
    </row>
    <row r="51" spans="1:7" ht="31.2" x14ac:dyDescent="0.3">
      <c r="A51" s="4" t="s">
        <v>138</v>
      </c>
      <c r="B51" s="5" t="s">
        <v>361</v>
      </c>
      <c r="C51" s="5" t="s">
        <v>230</v>
      </c>
      <c r="D51" s="5" t="s">
        <v>362</v>
      </c>
      <c r="E51" s="13" t="s">
        <v>363</v>
      </c>
      <c r="F51" s="26" t="s">
        <v>616</v>
      </c>
      <c r="G51" s="13">
        <v>15</v>
      </c>
    </row>
    <row r="52" spans="1:7" ht="31.2" x14ac:dyDescent="0.3">
      <c r="A52" s="4" t="s">
        <v>138</v>
      </c>
      <c r="B52" s="5" t="s">
        <v>364</v>
      </c>
      <c r="C52" s="5" t="s">
        <v>230</v>
      </c>
      <c r="D52" s="5" t="s">
        <v>365</v>
      </c>
      <c r="E52" s="13" t="s">
        <v>366</v>
      </c>
      <c r="F52" s="26" t="s">
        <v>615</v>
      </c>
      <c r="G52" s="13">
        <v>15</v>
      </c>
    </row>
    <row r="53" spans="1:7" ht="31.2" x14ac:dyDescent="0.3">
      <c r="A53" s="4" t="s">
        <v>138</v>
      </c>
      <c r="B53" s="5" t="s">
        <v>367</v>
      </c>
      <c r="C53" s="5" t="s">
        <v>230</v>
      </c>
      <c r="D53" s="5" t="s">
        <v>368</v>
      </c>
      <c r="E53" s="13" t="s">
        <v>369</v>
      </c>
      <c r="F53" s="26" t="s">
        <v>616</v>
      </c>
      <c r="G53" s="13">
        <v>15</v>
      </c>
    </row>
    <row r="54" spans="1:7" ht="31.2" x14ac:dyDescent="0.3">
      <c r="A54" s="4" t="s">
        <v>138</v>
      </c>
      <c r="B54" s="5" t="s">
        <v>370</v>
      </c>
      <c r="C54" s="5" t="s">
        <v>230</v>
      </c>
      <c r="D54" s="5" t="s">
        <v>243</v>
      </c>
      <c r="E54" s="13" t="s">
        <v>371</v>
      </c>
      <c r="F54" s="26" t="s">
        <v>616</v>
      </c>
      <c r="G54" s="13">
        <v>35</v>
      </c>
    </row>
    <row r="55" spans="1:7" ht="31.2" x14ac:dyDescent="0.3">
      <c r="A55" s="4" t="s">
        <v>138</v>
      </c>
      <c r="B55" s="5" t="s">
        <v>372</v>
      </c>
      <c r="C55" s="5" t="s">
        <v>246</v>
      </c>
      <c r="D55" s="5" t="s">
        <v>49</v>
      </c>
      <c r="E55" s="13" t="s">
        <v>373</v>
      </c>
      <c r="F55" s="26" t="s">
        <v>615</v>
      </c>
      <c r="G55" s="13">
        <v>0</v>
      </c>
    </row>
    <row r="56" spans="1:7" ht="31.2" x14ac:dyDescent="0.3">
      <c r="A56" s="4" t="s">
        <v>205</v>
      </c>
      <c r="B56" s="5" t="s">
        <v>374</v>
      </c>
      <c r="C56" s="5" t="s">
        <v>230</v>
      </c>
      <c r="D56" s="5" t="s">
        <v>296</v>
      </c>
      <c r="E56" s="13" t="s">
        <v>375</v>
      </c>
      <c r="F56" s="26" t="s">
        <v>614</v>
      </c>
      <c r="G56" s="13">
        <v>15</v>
      </c>
    </row>
    <row r="57" spans="1:7" ht="31.2" x14ac:dyDescent="0.3">
      <c r="A57" s="4" t="s">
        <v>205</v>
      </c>
      <c r="B57" s="5" t="s">
        <v>376</v>
      </c>
      <c r="C57" s="5" t="s">
        <v>230</v>
      </c>
      <c r="D57" s="5" t="s">
        <v>365</v>
      </c>
      <c r="E57" s="13" t="s">
        <v>377</v>
      </c>
      <c r="F57" s="26" t="s">
        <v>616</v>
      </c>
      <c r="G57" s="13">
        <v>15</v>
      </c>
    </row>
    <row r="58" spans="1:7" ht="31.2" x14ac:dyDescent="0.3">
      <c r="A58" s="4" t="s">
        <v>205</v>
      </c>
      <c r="B58" s="5" t="s">
        <v>378</v>
      </c>
      <c r="C58" s="5" t="s">
        <v>230</v>
      </c>
      <c r="D58" s="5" t="s">
        <v>231</v>
      </c>
      <c r="E58" s="13" t="s">
        <v>379</v>
      </c>
      <c r="F58" s="26" t="s">
        <v>615</v>
      </c>
      <c r="G58" s="13">
        <v>15</v>
      </c>
    </row>
    <row r="59" spans="1:7" ht="46.8" x14ac:dyDescent="0.3">
      <c r="A59" s="4" t="s">
        <v>205</v>
      </c>
      <c r="B59" s="5" t="s">
        <v>380</v>
      </c>
      <c r="C59" s="5" t="s">
        <v>230</v>
      </c>
      <c r="D59" s="5" t="s">
        <v>381</v>
      </c>
      <c r="E59" s="13" t="s">
        <v>382</v>
      </c>
      <c r="F59" s="26" t="s">
        <v>615</v>
      </c>
      <c r="G59" s="13">
        <v>15</v>
      </c>
    </row>
    <row r="60" spans="1:7" ht="46.8" x14ac:dyDescent="0.3">
      <c r="A60" s="4" t="s">
        <v>205</v>
      </c>
      <c r="B60" s="5" t="s">
        <v>383</v>
      </c>
      <c r="C60" s="5" t="s">
        <v>230</v>
      </c>
      <c r="D60" s="5" t="s">
        <v>243</v>
      </c>
      <c r="E60" s="13" t="s">
        <v>384</v>
      </c>
      <c r="F60" s="26" t="s">
        <v>614</v>
      </c>
      <c r="G60" s="13">
        <v>35</v>
      </c>
    </row>
    <row r="61" spans="1:7" ht="46.8" x14ac:dyDescent="0.3">
      <c r="A61" s="4" t="s">
        <v>205</v>
      </c>
      <c r="B61" s="5" t="s">
        <v>385</v>
      </c>
      <c r="C61" s="5" t="s">
        <v>246</v>
      </c>
      <c r="D61" s="5" t="s">
        <v>49</v>
      </c>
      <c r="E61" s="13" t="s">
        <v>386</v>
      </c>
      <c r="F61" s="26" t="s">
        <v>615</v>
      </c>
      <c r="G61" s="13">
        <v>0</v>
      </c>
    </row>
    <row r="62" spans="1:7" ht="31.2" x14ac:dyDescent="0.3">
      <c r="A62" s="4" t="s">
        <v>198</v>
      </c>
      <c r="B62" s="5" t="s">
        <v>387</v>
      </c>
      <c r="C62" s="5" t="s">
        <v>230</v>
      </c>
      <c r="D62" s="5" t="s">
        <v>296</v>
      </c>
      <c r="E62" s="13" t="s">
        <v>388</v>
      </c>
      <c r="F62" s="26" t="s">
        <v>614</v>
      </c>
      <c r="G62" s="13">
        <v>15</v>
      </c>
    </row>
    <row r="63" spans="1:7" ht="31.2" x14ac:dyDescent="0.3">
      <c r="A63" s="4" t="s">
        <v>198</v>
      </c>
      <c r="B63" s="5" t="s">
        <v>389</v>
      </c>
      <c r="C63" s="5" t="s">
        <v>230</v>
      </c>
      <c r="D63" s="5" t="s">
        <v>390</v>
      </c>
      <c r="E63" s="13" t="s">
        <v>391</v>
      </c>
      <c r="F63" s="26" t="s">
        <v>615</v>
      </c>
      <c r="G63" s="13">
        <v>15</v>
      </c>
    </row>
    <row r="64" spans="1:7" ht="31.2" x14ac:dyDescent="0.3">
      <c r="A64" s="4" t="s">
        <v>198</v>
      </c>
      <c r="B64" s="5" t="s">
        <v>392</v>
      </c>
      <c r="C64" s="5" t="s">
        <v>230</v>
      </c>
      <c r="D64" s="5" t="s">
        <v>393</v>
      </c>
      <c r="E64" s="13" t="s">
        <v>394</v>
      </c>
      <c r="F64" s="26" t="s">
        <v>614</v>
      </c>
      <c r="G64" s="13">
        <v>15</v>
      </c>
    </row>
    <row r="65" spans="1:7" ht="31.2" x14ac:dyDescent="0.3">
      <c r="A65" s="4" t="s">
        <v>198</v>
      </c>
      <c r="B65" s="5" t="s">
        <v>395</v>
      </c>
      <c r="C65" s="5" t="s">
        <v>230</v>
      </c>
      <c r="D65" s="5" t="s">
        <v>281</v>
      </c>
      <c r="E65" s="13" t="s">
        <v>396</v>
      </c>
      <c r="F65" s="26" t="s">
        <v>614</v>
      </c>
      <c r="G65" s="13">
        <v>15</v>
      </c>
    </row>
    <row r="66" spans="1:7" ht="46.8" x14ac:dyDescent="0.3">
      <c r="A66" s="4" t="s">
        <v>198</v>
      </c>
      <c r="B66" s="5" t="s">
        <v>397</v>
      </c>
      <c r="C66" s="5" t="s">
        <v>230</v>
      </c>
      <c r="D66" s="5" t="s">
        <v>243</v>
      </c>
      <c r="E66" s="13" t="s">
        <v>398</v>
      </c>
      <c r="F66" s="26" t="s">
        <v>614</v>
      </c>
      <c r="G66" s="13">
        <v>35</v>
      </c>
    </row>
    <row r="67" spans="1:7" ht="46.8" x14ac:dyDescent="0.3">
      <c r="A67" s="4" t="s">
        <v>198</v>
      </c>
      <c r="B67" s="5" t="s">
        <v>399</v>
      </c>
      <c r="C67" s="5" t="s">
        <v>246</v>
      </c>
      <c r="D67" s="5" t="s">
        <v>49</v>
      </c>
      <c r="E67" s="13" t="s">
        <v>400</v>
      </c>
      <c r="F67" s="26" t="s">
        <v>615</v>
      </c>
      <c r="G67" s="13">
        <v>0</v>
      </c>
    </row>
    <row r="68" spans="1:7" ht="31.2" x14ac:dyDescent="0.3">
      <c r="A68" s="4" t="s">
        <v>219</v>
      </c>
      <c r="B68" s="5" t="s">
        <v>401</v>
      </c>
      <c r="C68" s="5" t="s">
        <v>230</v>
      </c>
      <c r="D68" s="5" t="s">
        <v>402</v>
      </c>
      <c r="E68" s="13" t="s">
        <v>403</v>
      </c>
      <c r="F68" s="26" t="s">
        <v>616</v>
      </c>
      <c r="G68" s="13">
        <v>15</v>
      </c>
    </row>
    <row r="69" spans="1:7" ht="31.2" x14ac:dyDescent="0.3">
      <c r="A69" s="4" t="s">
        <v>219</v>
      </c>
      <c r="B69" s="5" t="s">
        <v>404</v>
      </c>
      <c r="C69" s="5" t="s">
        <v>230</v>
      </c>
      <c r="D69" s="5" t="s">
        <v>405</v>
      </c>
      <c r="E69" s="13" t="s">
        <v>406</v>
      </c>
      <c r="F69" s="26" t="s">
        <v>616</v>
      </c>
      <c r="G69" s="13">
        <v>15</v>
      </c>
    </row>
    <row r="70" spans="1:7" ht="31.2" x14ac:dyDescent="0.3">
      <c r="A70" s="4" t="s">
        <v>219</v>
      </c>
      <c r="B70" s="5" t="s">
        <v>407</v>
      </c>
      <c r="C70" s="5" t="s">
        <v>230</v>
      </c>
      <c r="D70" s="5" t="s">
        <v>408</v>
      </c>
      <c r="E70" s="13" t="s">
        <v>409</v>
      </c>
      <c r="F70" s="26" t="s">
        <v>616</v>
      </c>
      <c r="G70" s="13">
        <v>15</v>
      </c>
    </row>
    <row r="71" spans="1:7" ht="31.2" x14ac:dyDescent="0.3">
      <c r="A71" s="4" t="s">
        <v>219</v>
      </c>
      <c r="B71" s="5" t="s">
        <v>410</v>
      </c>
      <c r="C71" s="5" t="s">
        <v>230</v>
      </c>
      <c r="D71" s="5" t="s">
        <v>411</v>
      </c>
      <c r="E71" s="13" t="s">
        <v>412</v>
      </c>
      <c r="F71" s="26" t="s">
        <v>616</v>
      </c>
      <c r="G71" s="13">
        <v>15</v>
      </c>
    </row>
    <row r="72" spans="1:7" ht="31.2" x14ac:dyDescent="0.3">
      <c r="A72" s="4" t="s">
        <v>219</v>
      </c>
      <c r="B72" s="5" t="s">
        <v>413</v>
      </c>
      <c r="C72" s="5" t="s">
        <v>230</v>
      </c>
      <c r="D72" s="5" t="s">
        <v>243</v>
      </c>
      <c r="E72" s="13" t="s">
        <v>414</v>
      </c>
      <c r="F72" s="26" t="s">
        <v>616</v>
      </c>
      <c r="G72" s="13">
        <v>35</v>
      </c>
    </row>
    <row r="73" spans="1:7" ht="31.2" x14ac:dyDescent="0.3">
      <c r="A73" s="4" t="s">
        <v>219</v>
      </c>
      <c r="B73" s="5" t="s">
        <v>415</v>
      </c>
      <c r="C73" s="5" t="s">
        <v>246</v>
      </c>
      <c r="D73" s="5" t="s">
        <v>49</v>
      </c>
      <c r="E73" s="13" t="s">
        <v>416</v>
      </c>
      <c r="F73" s="26" t="s">
        <v>615</v>
      </c>
      <c r="G73" s="13">
        <v>0</v>
      </c>
    </row>
    <row r="74" spans="1:7" ht="31.2" x14ac:dyDescent="0.3">
      <c r="A74" s="4" t="s">
        <v>67</v>
      </c>
      <c r="B74" s="5" t="s">
        <v>417</v>
      </c>
      <c r="C74" s="5" t="s">
        <v>230</v>
      </c>
      <c r="D74" s="5" t="s">
        <v>418</v>
      </c>
      <c r="E74" s="13" t="s">
        <v>419</v>
      </c>
      <c r="F74" s="26" t="s">
        <v>614</v>
      </c>
      <c r="G74" s="13">
        <v>15</v>
      </c>
    </row>
    <row r="75" spans="1:7" ht="31.2" x14ac:dyDescent="0.3">
      <c r="A75" s="4" t="s">
        <v>67</v>
      </c>
      <c r="B75" s="5" t="s">
        <v>420</v>
      </c>
      <c r="C75" s="5" t="s">
        <v>230</v>
      </c>
      <c r="D75" s="5" t="s">
        <v>421</v>
      </c>
      <c r="E75" s="13" t="s">
        <v>422</v>
      </c>
      <c r="F75" s="26" t="s">
        <v>615</v>
      </c>
      <c r="G75" s="13">
        <v>15</v>
      </c>
    </row>
    <row r="76" spans="1:7" ht="31.2" x14ac:dyDescent="0.3">
      <c r="A76" s="4" t="s">
        <v>67</v>
      </c>
      <c r="B76" s="5" t="s">
        <v>423</v>
      </c>
      <c r="C76" s="5" t="s">
        <v>230</v>
      </c>
      <c r="D76" s="5" t="s">
        <v>424</v>
      </c>
      <c r="E76" s="13" t="s">
        <v>425</v>
      </c>
      <c r="F76" s="26" t="s">
        <v>615</v>
      </c>
      <c r="G76" s="13">
        <v>15</v>
      </c>
    </row>
    <row r="77" spans="1:7" ht="31.2" x14ac:dyDescent="0.3">
      <c r="A77" s="4" t="s">
        <v>67</v>
      </c>
      <c r="B77" s="5" t="s">
        <v>426</v>
      </c>
      <c r="C77" s="5" t="s">
        <v>230</v>
      </c>
      <c r="D77" s="5" t="s">
        <v>427</v>
      </c>
      <c r="E77" s="13" t="s">
        <v>428</v>
      </c>
      <c r="F77" s="26" t="s">
        <v>614</v>
      </c>
      <c r="G77" s="13">
        <v>15</v>
      </c>
    </row>
    <row r="78" spans="1:7" ht="46.8" x14ac:dyDescent="0.3">
      <c r="A78" s="4" t="s">
        <v>67</v>
      </c>
      <c r="B78" s="5" t="s">
        <v>429</v>
      </c>
      <c r="C78" s="5" t="s">
        <v>230</v>
      </c>
      <c r="D78" s="5" t="s">
        <v>430</v>
      </c>
      <c r="E78" s="13" t="s">
        <v>431</v>
      </c>
      <c r="F78" s="26" t="s">
        <v>614</v>
      </c>
      <c r="G78" s="13">
        <v>35</v>
      </c>
    </row>
    <row r="79" spans="1:7" ht="46.8" x14ac:dyDescent="0.3">
      <c r="A79" s="4" t="s">
        <v>67</v>
      </c>
      <c r="B79" s="5" t="s">
        <v>432</v>
      </c>
      <c r="C79" s="5" t="s">
        <v>246</v>
      </c>
      <c r="D79" s="5" t="s">
        <v>49</v>
      </c>
      <c r="E79" s="13" t="s">
        <v>433</v>
      </c>
      <c r="F79" s="26" t="s">
        <v>615</v>
      </c>
      <c r="G79" s="13">
        <v>0</v>
      </c>
    </row>
    <row r="80" spans="1:7" ht="46.8" x14ac:dyDescent="0.3">
      <c r="A80" s="4" t="s">
        <v>166</v>
      </c>
      <c r="B80" s="5" t="s">
        <v>434</v>
      </c>
      <c r="C80" s="5" t="s">
        <v>230</v>
      </c>
      <c r="D80" s="5" t="s">
        <v>435</v>
      </c>
      <c r="E80" s="13" t="s">
        <v>436</v>
      </c>
      <c r="F80" s="26" t="s">
        <v>614</v>
      </c>
      <c r="G80" s="13">
        <v>15</v>
      </c>
    </row>
    <row r="81" spans="1:7" ht="31.2" x14ac:dyDescent="0.3">
      <c r="A81" s="4" t="s">
        <v>166</v>
      </c>
      <c r="B81" s="5" t="s">
        <v>437</v>
      </c>
      <c r="C81" s="5" t="s">
        <v>230</v>
      </c>
      <c r="D81" s="5" t="s">
        <v>268</v>
      </c>
      <c r="E81" s="13" t="s">
        <v>438</v>
      </c>
      <c r="F81" s="26" t="s">
        <v>616</v>
      </c>
      <c r="G81" s="13">
        <v>15</v>
      </c>
    </row>
    <row r="82" spans="1:7" ht="46.8" x14ac:dyDescent="0.3">
      <c r="A82" s="4" t="s">
        <v>166</v>
      </c>
      <c r="B82" s="5" t="s">
        <v>439</v>
      </c>
      <c r="C82" s="5" t="s">
        <v>230</v>
      </c>
      <c r="D82" s="5" t="s">
        <v>440</v>
      </c>
      <c r="E82" s="13" t="s">
        <v>441</v>
      </c>
      <c r="F82" s="26" t="s">
        <v>614</v>
      </c>
      <c r="G82" s="13">
        <v>15</v>
      </c>
    </row>
    <row r="83" spans="1:7" ht="31.2" x14ac:dyDescent="0.3">
      <c r="A83" s="4" t="s">
        <v>166</v>
      </c>
      <c r="B83" s="5" t="s">
        <v>442</v>
      </c>
      <c r="C83" s="5" t="s">
        <v>230</v>
      </c>
      <c r="D83" s="5" t="s">
        <v>443</v>
      </c>
      <c r="E83" s="13" t="s">
        <v>444</v>
      </c>
      <c r="F83" s="26" t="s">
        <v>616</v>
      </c>
      <c r="G83" s="13">
        <v>15</v>
      </c>
    </row>
    <row r="84" spans="1:7" ht="46.8" x14ac:dyDescent="0.3">
      <c r="A84" s="4" t="s">
        <v>166</v>
      </c>
      <c r="B84" s="5" t="s">
        <v>445</v>
      </c>
      <c r="C84" s="5" t="s">
        <v>230</v>
      </c>
      <c r="D84" s="5" t="s">
        <v>243</v>
      </c>
      <c r="E84" s="13" t="s">
        <v>446</v>
      </c>
      <c r="F84" s="26" t="s">
        <v>616</v>
      </c>
      <c r="G84" s="13">
        <v>35</v>
      </c>
    </row>
    <row r="85" spans="1:7" ht="31.2" x14ac:dyDescent="0.3">
      <c r="A85" s="4" t="s">
        <v>166</v>
      </c>
      <c r="B85" s="5" t="s">
        <v>447</v>
      </c>
      <c r="C85" s="5" t="s">
        <v>246</v>
      </c>
      <c r="D85" s="5" t="s">
        <v>49</v>
      </c>
      <c r="E85" s="13" t="s">
        <v>448</v>
      </c>
      <c r="F85" s="26" t="s">
        <v>615</v>
      </c>
      <c r="G85" s="13">
        <v>0</v>
      </c>
    </row>
    <row r="86" spans="1:7" ht="46.8" x14ac:dyDescent="0.3">
      <c r="A86" s="4" t="s">
        <v>213</v>
      </c>
      <c r="B86" s="5" t="s">
        <v>449</v>
      </c>
      <c r="C86" s="5" t="s">
        <v>230</v>
      </c>
      <c r="D86" s="5" t="s">
        <v>450</v>
      </c>
      <c r="E86" s="13" t="s">
        <v>451</v>
      </c>
      <c r="F86" s="26" t="s">
        <v>616</v>
      </c>
      <c r="G86" s="13">
        <v>15</v>
      </c>
    </row>
    <row r="87" spans="1:7" ht="31.2" x14ac:dyDescent="0.3">
      <c r="A87" s="4" t="s">
        <v>213</v>
      </c>
      <c r="B87" s="5" t="s">
        <v>452</v>
      </c>
      <c r="C87" s="5" t="s">
        <v>230</v>
      </c>
      <c r="D87" s="5" t="s">
        <v>453</v>
      </c>
      <c r="E87" s="13" t="s">
        <v>454</v>
      </c>
      <c r="F87" s="26" t="s">
        <v>616</v>
      </c>
      <c r="G87" s="13">
        <v>15</v>
      </c>
    </row>
    <row r="88" spans="1:7" ht="31.2" x14ac:dyDescent="0.3">
      <c r="A88" s="4" t="s">
        <v>213</v>
      </c>
      <c r="B88" s="5" t="s">
        <v>455</v>
      </c>
      <c r="C88" s="5" t="s">
        <v>230</v>
      </c>
      <c r="D88" s="5" t="s">
        <v>274</v>
      </c>
      <c r="E88" s="13" t="s">
        <v>456</v>
      </c>
      <c r="F88" s="26" t="s">
        <v>616</v>
      </c>
      <c r="G88" s="13">
        <v>15</v>
      </c>
    </row>
    <row r="89" spans="1:7" ht="31.2" x14ac:dyDescent="0.3">
      <c r="A89" s="4" t="s">
        <v>213</v>
      </c>
      <c r="B89" s="5" t="s">
        <v>457</v>
      </c>
      <c r="C89" s="5" t="s">
        <v>230</v>
      </c>
      <c r="D89" s="5" t="s">
        <v>458</v>
      </c>
      <c r="E89" s="13" t="s">
        <v>459</v>
      </c>
      <c r="F89" s="26" t="s">
        <v>615</v>
      </c>
      <c r="G89" s="13">
        <v>15</v>
      </c>
    </row>
    <row r="90" spans="1:7" ht="46.8" x14ac:dyDescent="0.3">
      <c r="A90" s="4" t="s">
        <v>213</v>
      </c>
      <c r="B90" s="5" t="s">
        <v>460</v>
      </c>
      <c r="C90" s="5" t="s">
        <v>230</v>
      </c>
      <c r="D90" s="5" t="s">
        <v>243</v>
      </c>
      <c r="E90" s="13" t="s">
        <v>461</v>
      </c>
      <c r="F90" s="26" t="s">
        <v>616</v>
      </c>
      <c r="G90" s="13">
        <v>35</v>
      </c>
    </row>
    <row r="91" spans="1:7" ht="46.8" x14ac:dyDescent="0.3">
      <c r="A91" s="4" t="s">
        <v>213</v>
      </c>
      <c r="B91" s="5" t="s">
        <v>462</v>
      </c>
      <c r="C91" s="5" t="s">
        <v>246</v>
      </c>
      <c r="D91" s="5" t="s">
        <v>49</v>
      </c>
      <c r="E91" s="13" t="s">
        <v>463</v>
      </c>
      <c r="F91" s="26" t="s">
        <v>615</v>
      </c>
      <c r="G91" s="13">
        <v>0</v>
      </c>
    </row>
    <row r="92" spans="1:7" ht="31.2" x14ac:dyDescent="0.3">
      <c r="A92" s="4" t="s">
        <v>146</v>
      </c>
      <c r="B92" s="5" t="s">
        <v>464</v>
      </c>
      <c r="C92" s="5" t="s">
        <v>230</v>
      </c>
      <c r="D92" s="5" t="s">
        <v>465</v>
      </c>
      <c r="E92" s="13" t="s">
        <v>466</v>
      </c>
      <c r="F92" s="26" t="s">
        <v>614</v>
      </c>
      <c r="G92" s="13">
        <v>15</v>
      </c>
    </row>
    <row r="93" spans="1:7" ht="31.2" x14ac:dyDescent="0.3">
      <c r="A93" s="4" t="s">
        <v>146</v>
      </c>
      <c r="B93" s="5" t="s">
        <v>467</v>
      </c>
      <c r="C93" s="5" t="s">
        <v>230</v>
      </c>
      <c r="D93" s="5" t="s">
        <v>468</v>
      </c>
      <c r="E93" s="13" t="s">
        <v>469</v>
      </c>
      <c r="F93" s="26" t="s">
        <v>616</v>
      </c>
      <c r="G93" s="13">
        <v>15</v>
      </c>
    </row>
    <row r="94" spans="1:7" ht="46.8" x14ac:dyDescent="0.3">
      <c r="A94" s="4" t="s">
        <v>146</v>
      </c>
      <c r="B94" s="5" t="s">
        <v>470</v>
      </c>
      <c r="C94" s="5" t="s">
        <v>230</v>
      </c>
      <c r="D94" s="5" t="s">
        <v>471</v>
      </c>
      <c r="E94" s="13" t="s">
        <v>472</v>
      </c>
      <c r="F94" s="26" t="s">
        <v>614</v>
      </c>
      <c r="G94" s="13">
        <v>15</v>
      </c>
    </row>
    <row r="95" spans="1:7" ht="31.2" x14ac:dyDescent="0.3">
      <c r="A95" s="4" t="s">
        <v>146</v>
      </c>
      <c r="B95" s="5" t="s">
        <v>473</v>
      </c>
      <c r="C95" s="5" t="s">
        <v>230</v>
      </c>
      <c r="D95" s="5" t="s">
        <v>474</v>
      </c>
      <c r="E95" s="13" t="s">
        <v>475</v>
      </c>
      <c r="F95" s="26" t="s">
        <v>614</v>
      </c>
      <c r="G95" s="13">
        <v>15</v>
      </c>
    </row>
    <row r="96" spans="1:7" ht="31.2" x14ac:dyDescent="0.3">
      <c r="A96" s="4" t="s">
        <v>146</v>
      </c>
      <c r="B96" s="5" t="s">
        <v>476</v>
      </c>
      <c r="C96" s="5" t="s">
        <v>230</v>
      </c>
      <c r="D96" s="5" t="s">
        <v>243</v>
      </c>
      <c r="E96" s="13" t="s">
        <v>477</v>
      </c>
      <c r="F96" s="26" t="s">
        <v>614</v>
      </c>
      <c r="G96" s="13">
        <v>35</v>
      </c>
    </row>
    <row r="97" spans="1:7" ht="46.8" x14ac:dyDescent="0.3">
      <c r="A97" s="4" t="s">
        <v>146</v>
      </c>
      <c r="B97" s="5" t="s">
        <v>478</v>
      </c>
      <c r="C97" s="5" t="s">
        <v>246</v>
      </c>
      <c r="D97" s="5" t="s">
        <v>49</v>
      </c>
      <c r="E97" s="13" t="s">
        <v>479</v>
      </c>
      <c r="F97" s="26" t="s">
        <v>615</v>
      </c>
      <c r="G97" s="13">
        <v>0</v>
      </c>
    </row>
    <row r="98" spans="1:7" ht="31.2" x14ac:dyDescent="0.3">
      <c r="A98" s="4" t="s">
        <v>93</v>
      </c>
      <c r="B98" s="5" t="s">
        <v>480</v>
      </c>
      <c r="C98" s="5" t="s">
        <v>230</v>
      </c>
      <c r="D98" s="5" t="s">
        <v>481</v>
      </c>
      <c r="E98" s="13" t="s">
        <v>482</v>
      </c>
      <c r="F98" s="26" t="s">
        <v>614</v>
      </c>
      <c r="G98" s="13">
        <v>15</v>
      </c>
    </row>
    <row r="99" spans="1:7" ht="46.8" x14ac:dyDescent="0.3">
      <c r="A99" s="4" t="s">
        <v>93</v>
      </c>
      <c r="B99" s="5" t="s">
        <v>483</v>
      </c>
      <c r="C99" s="5" t="s">
        <v>230</v>
      </c>
      <c r="D99" s="5" t="s">
        <v>484</v>
      </c>
      <c r="E99" s="13" t="s">
        <v>485</v>
      </c>
      <c r="F99" s="26" t="s">
        <v>616</v>
      </c>
      <c r="G99" s="13">
        <v>15</v>
      </c>
    </row>
    <row r="100" spans="1:7" ht="46.8" x14ac:dyDescent="0.3">
      <c r="A100" s="4" t="s">
        <v>93</v>
      </c>
      <c r="B100" s="5" t="s">
        <v>486</v>
      </c>
      <c r="C100" s="5" t="s">
        <v>230</v>
      </c>
      <c r="D100" s="5" t="s">
        <v>487</v>
      </c>
      <c r="E100" s="13" t="s">
        <v>488</v>
      </c>
      <c r="F100" s="26" t="s">
        <v>615</v>
      </c>
      <c r="G100" s="13">
        <v>15</v>
      </c>
    </row>
    <row r="101" spans="1:7" ht="46.8" x14ac:dyDescent="0.3">
      <c r="A101" s="4" t="s">
        <v>93</v>
      </c>
      <c r="B101" s="5" t="s">
        <v>489</v>
      </c>
      <c r="C101" s="5" t="s">
        <v>230</v>
      </c>
      <c r="D101" s="5" t="s">
        <v>490</v>
      </c>
      <c r="E101" s="13" t="s">
        <v>491</v>
      </c>
      <c r="F101" s="26" t="s">
        <v>616</v>
      </c>
      <c r="G101" s="13">
        <v>15</v>
      </c>
    </row>
    <row r="102" spans="1:7" ht="46.8" x14ac:dyDescent="0.3">
      <c r="A102" s="4" t="s">
        <v>93</v>
      </c>
      <c r="B102" s="5" t="s">
        <v>492</v>
      </c>
      <c r="C102" s="5" t="s">
        <v>230</v>
      </c>
      <c r="D102" s="5" t="s">
        <v>243</v>
      </c>
      <c r="E102" s="13" t="s">
        <v>493</v>
      </c>
      <c r="F102" s="26" t="s">
        <v>616</v>
      </c>
      <c r="G102" s="13">
        <v>35</v>
      </c>
    </row>
    <row r="103" spans="1:7" ht="46.8" x14ac:dyDescent="0.3">
      <c r="A103" s="4" t="s">
        <v>93</v>
      </c>
      <c r="B103" s="5" t="s">
        <v>494</v>
      </c>
      <c r="C103" s="5" t="s">
        <v>246</v>
      </c>
      <c r="D103" s="5" t="s">
        <v>49</v>
      </c>
      <c r="E103" s="13" t="s">
        <v>495</v>
      </c>
      <c r="F103" s="26" t="s">
        <v>615</v>
      </c>
      <c r="G103" s="13">
        <v>0</v>
      </c>
    </row>
    <row r="104" spans="1:7" ht="31.2" x14ac:dyDescent="0.3">
      <c r="A104" s="4" t="s">
        <v>191</v>
      </c>
      <c r="B104" s="5" t="s">
        <v>496</v>
      </c>
      <c r="C104" s="5" t="s">
        <v>230</v>
      </c>
      <c r="D104" s="5" t="s">
        <v>490</v>
      </c>
      <c r="E104" s="13" t="s">
        <v>497</v>
      </c>
      <c r="F104" s="26" t="s">
        <v>614</v>
      </c>
      <c r="G104" s="13">
        <v>15</v>
      </c>
    </row>
    <row r="105" spans="1:7" ht="31.2" x14ac:dyDescent="0.3">
      <c r="A105" s="4" t="s">
        <v>191</v>
      </c>
      <c r="B105" s="5" t="s">
        <v>498</v>
      </c>
      <c r="C105" s="5" t="s">
        <v>230</v>
      </c>
      <c r="D105" s="5" t="s">
        <v>499</v>
      </c>
      <c r="E105" s="13" t="s">
        <v>500</v>
      </c>
      <c r="F105" s="26" t="s">
        <v>615</v>
      </c>
      <c r="G105" s="13">
        <v>15</v>
      </c>
    </row>
    <row r="106" spans="1:7" ht="31.2" x14ac:dyDescent="0.3">
      <c r="A106" s="4" t="s">
        <v>191</v>
      </c>
      <c r="B106" s="5" t="s">
        <v>501</v>
      </c>
      <c r="C106" s="5" t="s">
        <v>230</v>
      </c>
      <c r="D106" s="5" t="s">
        <v>502</v>
      </c>
      <c r="E106" s="13" t="s">
        <v>503</v>
      </c>
      <c r="F106" s="26" t="s">
        <v>614</v>
      </c>
      <c r="G106" s="13">
        <v>15</v>
      </c>
    </row>
    <row r="107" spans="1:7" ht="31.2" x14ac:dyDescent="0.3">
      <c r="A107" s="4" t="s">
        <v>191</v>
      </c>
      <c r="B107" s="5" t="s">
        <v>504</v>
      </c>
      <c r="C107" s="5" t="s">
        <v>230</v>
      </c>
      <c r="D107" s="5" t="s">
        <v>268</v>
      </c>
      <c r="E107" s="13" t="s">
        <v>505</v>
      </c>
      <c r="F107" s="26" t="s">
        <v>614</v>
      </c>
      <c r="G107" s="13">
        <v>15</v>
      </c>
    </row>
    <row r="108" spans="1:7" ht="46.8" x14ac:dyDescent="0.3">
      <c r="A108" s="4" t="s">
        <v>191</v>
      </c>
      <c r="B108" s="5" t="s">
        <v>506</v>
      </c>
      <c r="C108" s="5" t="s">
        <v>230</v>
      </c>
      <c r="D108" s="5" t="s">
        <v>243</v>
      </c>
      <c r="E108" s="13" t="s">
        <v>507</v>
      </c>
      <c r="F108" s="26" t="s">
        <v>614</v>
      </c>
      <c r="G108" s="13">
        <v>35</v>
      </c>
    </row>
    <row r="109" spans="1:7" ht="46.8" x14ac:dyDescent="0.3">
      <c r="A109" s="4" t="s">
        <v>191</v>
      </c>
      <c r="B109" s="5" t="s">
        <v>508</v>
      </c>
      <c r="C109" s="5" t="s">
        <v>246</v>
      </c>
      <c r="D109" s="5" t="s">
        <v>49</v>
      </c>
      <c r="E109" s="13" t="s">
        <v>509</v>
      </c>
      <c r="F109" s="26" t="s">
        <v>615</v>
      </c>
      <c r="G109" s="13">
        <v>0</v>
      </c>
    </row>
    <row r="110" spans="1:7" ht="46.8" x14ac:dyDescent="0.3">
      <c r="A110" s="4" t="s">
        <v>159</v>
      </c>
      <c r="B110" s="5" t="s">
        <v>510</v>
      </c>
      <c r="C110" s="5" t="s">
        <v>230</v>
      </c>
      <c r="D110" s="5" t="s">
        <v>359</v>
      </c>
      <c r="E110" s="13" t="s">
        <v>511</v>
      </c>
      <c r="F110" s="26" t="s">
        <v>616</v>
      </c>
      <c r="G110" s="13">
        <v>15</v>
      </c>
    </row>
    <row r="111" spans="1:7" ht="31.2" x14ac:dyDescent="0.3">
      <c r="A111" s="4" t="s">
        <v>159</v>
      </c>
      <c r="B111" s="5" t="s">
        <v>512</v>
      </c>
      <c r="C111" s="5" t="s">
        <v>230</v>
      </c>
      <c r="D111" s="5" t="s">
        <v>268</v>
      </c>
      <c r="E111" s="13" t="s">
        <v>513</v>
      </c>
      <c r="F111" s="26" t="s">
        <v>616</v>
      </c>
      <c r="G111" s="13">
        <v>15</v>
      </c>
    </row>
    <row r="112" spans="1:7" ht="31.2" x14ac:dyDescent="0.3">
      <c r="A112" s="4" t="s">
        <v>159</v>
      </c>
      <c r="B112" s="5" t="s">
        <v>514</v>
      </c>
      <c r="C112" s="5" t="s">
        <v>230</v>
      </c>
      <c r="D112" s="5" t="s">
        <v>515</v>
      </c>
      <c r="E112" s="13" t="s">
        <v>516</v>
      </c>
      <c r="F112" s="26" t="s">
        <v>616</v>
      </c>
      <c r="G112" s="13">
        <v>15</v>
      </c>
    </row>
    <row r="113" spans="1:7" ht="46.8" x14ac:dyDescent="0.3">
      <c r="A113" s="4" t="s">
        <v>159</v>
      </c>
      <c r="B113" s="5" t="s">
        <v>517</v>
      </c>
      <c r="C113" s="5" t="s">
        <v>230</v>
      </c>
      <c r="D113" s="5" t="s">
        <v>518</v>
      </c>
      <c r="E113" s="13" t="s">
        <v>519</v>
      </c>
      <c r="F113" s="26" t="s">
        <v>616</v>
      </c>
      <c r="G113" s="13">
        <v>15</v>
      </c>
    </row>
    <row r="114" spans="1:7" ht="46.8" x14ac:dyDescent="0.3">
      <c r="A114" s="4" t="s">
        <v>159</v>
      </c>
      <c r="B114" s="5" t="s">
        <v>520</v>
      </c>
      <c r="C114" s="5" t="s">
        <v>230</v>
      </c>
      <c r="D114" s="5" t="s">
        <v>243</v>
      </c>
      <c r="E114" s="13" t="s">
        <v>521</v>
      </c>
      <c r="F114" s="26" t="s">
        <v>616</v>
      </c>
      <c r="G114" s="13">
        <v>35</v>
      </c>
    </row>
    <row r="115" spans="1:7" ht="46.8" x14ac:dyDescent="0.3">
      <c r="A115" s="4" t="s">
        <v>159</v>
      </c>
      <c r="B115" s="5" t="s">
        <v>522</v>
      </c>
      <c r="C115" s="5" t="s">
        <v>246</v>
      </c>
      <c r="D115" s="5" t="s">
        <v>49</v>
      </c>
      <c r="E115" s="13" t="s">
        <v>523</v>
      </c>
      <c r="F115" s="26" t="s">
        <v>615</v>
      </c>
      <c r="G115" s="13">
        <v>0</v>
      </c>
    </row>
    <row r="116" spans="1:7" ht="31.2" x14ac:dyDescent="0.3">
      <c r="A116" s="4" t="s">
        <v>19</v>
      </c>
      <c r="B116" s="5" t="s">
        <v>524</v>
      </c>
      <c r="C116" s="5" t="s">
        <v>230</v>
      </c>
      <c r="D116" s="5" t="s">
        <v>525</v>
      </c>
      <c r="E116" s="13" t="s">
        <v>526</v>
      </c>
      <c r="F116" s="26" t="s">
        <v>614</v>
      </c>
      <c r="G116" s="13">
        <v>15</v>
      </c>
    </row>
    <row r="117" spans="1:7" ht="46.8" x14ac:dyDescent="0.3">
      <c r="A117" s="4" t="s">
        <v>19</v>
      </c>
      <c r="B117" s="5" t="s">
        <v>527</v>
      </c>
      <c r="C117" s="5" t="s">
        <v>230</v>
      </c>
      <c r="D117" s="5" t="s">
        <v>528</v>
      </c>
      <c r="E117" s="13" t="s">
        <v>529</v>
      </c>
      <c r="F117" s="26" t="s">
        <v>615</v>
      </c>
      <c r="G117" s="13">
        <v>15</v>
      </c>
    </row>
    <row r="118" spans="1:7" ht="46.8" x14ac:dyDescent="0.3">
      <c r="A118" s="4" t="s">
        <v>19</v>
      </c>
      <c r="B118" s="5" t="s">
        <v>530</v>
      </c>
      <c r="C118" s="5" t="s">
        <v>230</v>
      </c>
      <c r="D118" s="5" t="s">
        <v>231</v>
      </c>
      <c r="E118" s="13" t="s">
        <v>531</v>
      </c>
      <c r="F118" s="26" t="s">
        <v>614</v>
      </c>
      <c r="G118" s="13">
        <v>15</v>
      </c>
    </row>
    <row r="119" spans="1:7" ht="46.8" x14ac:dyDescent="0.3">
      <c r="A119" s="4" t="s">
        <v>19</v>
      </c>
      <c r="B119" s="5" t="s">
        <v>532</v>
      </c>
      <c r="C119" s="5" t="s">
        <v>230</v>
      </c>
      <c r="D119" s="5" t="s">
        <v>533</v>
      </c>
      <c r="E119" s="13" t="s">
        <v>534</v>
      </c>
      <c r="F119" s="26" t="s">
        <v>614</v>
      </c>
      <c r="G119" s="13">
        <v>15</v>
      </c>
    </row>
    <row r="120" spans="1:7" ht="46.8" x14ac:dyDescent="0.3">
      <c r="A120" s="4" t="s">
        <v>19</v>
      </c>
      <c r="B120" s="5" t="s">
        <v>535</v>
      </c>
      <c r="C120" s="5" t="s">
        <v>230</v>
      </c>
      <c r="D120" s="5" t="s">
        <v>243</v>
      </c>
      <c r="E120" s="13" t="s">
        <v>536</v>
      </c>
      <c r="F120" s="26" t="s">
        <v>614</v>
      </c>
      <c r="G120" s="13">
        <v>35</v>
      </c>
    </row>
    <row r="121" spans="1:7" ht="46.8" x14ac:dyDescent="0.3">
      <c r="A121" s="4" t="s">
        <v>19</v>
      </c>
      <c r="B121" s="5" t="s">
        <v>537</v>
      </c>
      <c r="C121" s="5" t="s">
        <v>246</v>
      </c>
      <c r="D121" s="5" t="s">
        <v>49</v>
      </c>
      <c r="E121" s="13" t="s">
        <v>538</v>
      </c>
      <c r="F121" s="26" t="s">
        <v>615</v>
      </c>
      <c r="G121" s="13">
        <v>0</v>
      </c>
    </row>
    <row r="122" spans="1:7" ht="31.2" x14ac:dyDescent="0.3">
      <c r="A122" s="4" t="s">
        <v>183</v>
      </c>
      <c r="B122" s="5" t="s">
        <v>539</v>
      </c>
      <c r="C122" s="5" t="s">
        <v>230</v>
      </c>
      <c r="D122" s="5" t="s">
        <v>268</v>
      </c>
      <c r="E122" s="13" t="s">
        <v>540</v>
      </c>
      <c r="F122" s="26" t="s">
        <v>614</v>
      </c>
      <c r="G122" s="13">
        <v>15</v>
      </c>
    </row>
    <row r="123" spans="1:7" ht="46.8" x14ac:dyDescent="0.3">
      <c r="A123" s="4" t="s">
        <v>183</v>
      </c>
      <c r="B123" s="5" t="s">
        <v>541</v>
      </c>
      <c r="C123" s="5" t="s">
        <v>230</v>
      </c>
      <c r="D123" s="5" t="s">
        <v>542</v>
      </c>
      <c r="E123" s="13" t="s">
        <v>543</v>
      </c>
      <c r="F123" s="26" t="s">
        <v>615</v>
      </c>
      <c r="G123" s="13">
        <v>15</v>
      </c>
    </row>
    <row r="124" spans="1:7" ht="46.8" x14ac:dyDescent="0.3">
      <c r="A124" s="4" t="s">
        <v>183</v>
      </c>
      <c r="B124" s="5" t="s">
        <v>544</v>
      </c>
      <c r="C124" s="5" t="s">
        <v>230</v>
      </c>
      <c r="D124" s="5" t="s">
        <v>545</v>
      </c>
      <c r="E124" s="13" t="s">
        <v>546</v>
      </c>
      <c r="F124" s="26" t="s">
        <v>614</v>
      </c>
      <c r="G124" s="13">
        <v>15</v>
      </c>
    </row>
    <row r="125" spans="1:7" ht="46.8" x14ac:dyDescent="0.3">
      <c r="A125" s="4" t="s">
        <v>183</v>
      </c>
      <c r="B125" s="5" t="s">
        <v>547</v>
      </c>
      <c r="C125" s="5" t="s">
        <v>230</v>
      </c>
      <c r="D125" s="5" t="s">
        <v>548</v>
      </c>
      <c r="E125" s="13" t="s">
        <v>549</v>
      </c>
      <c r="F125" s="26" t="s">
        <v>614</v>
      </c>
      <c r="G125" s="13">
        <v>15</v>
      </c>
    </row>
    <row r="126" spans="1:7" ht="46.8" x14ac:dyDescent="0.3">
      <c r="A126" s="4" t="s">
        <v>183</v>
      </c>
      <c r="B126" s="5" t="s">
        <v>550</v>
      </c>
      <c r="C126" s="5" t="s">
        <v>230</v>
      </c>
      <c r="D126" s="5" t="s">
        <v>243</v>
      </c>
      <c r="E126" s="13" t="s">
        <v>551</v>
      </c>
      <c r="F126" s="26" t="s">
        <v>614</v>
      </c>
      <c r="G126" s="13">
        <v>35</v>
      </c>
    </row>
    <row r="127" spans="1:7" ht="46.8" x14ac:dyDescent="0.3">
      <c r="A127" s="4" t="s">
        <v>183</v>
      </c>
      <c r="B127" s="5" t="s">
        <v>552</v>
      </c>
      <c r="C127" s="5" t="s">
        <v>246</v>
      </c>
      <c r="D127" s="5" t="s">
        <v>49</v>
      </c>
      <c r="E127" s="13" t="s">
        <v>553</v>
      </c>
      <c r="F127" s="26" t="s">
        <v>615</v>
      </c>
      <c r="G127" s="13">
        <v>0</v>
      </c>
    </row>
    <row r="128" spans="1:7" ht="31.2" x14ac:dyDescent="0.3">
      <c r="A128" s="4" t="s">
        <v>76</v>
      </c>
      <c r="B128" s="5" t="s">
        <v>554</v>
      </c>
      <c r="C128" s="5" t="s">
        <v>230</v>
      </c>
      <c r="D128" s="5" t="s">
        <v>555</v>
      </c>
      <c r="E128" s="13" t="s">
        <v>556</v>
      </c>
      <c r="F128" s="26" t="s">
        <v>614</v>
      </c>
      <c r="G128" s="13">
        <v>15</v>
      </c>
    </row>
    <row r="129" spans="1:7" ht="46.8" x14ac:dyDescent="0.3">
      <c r="A129" s="4" t="s">
        <v>76</v>
      </c>
      <c r="B129" s="5" t="s">
        <v>557</v>
      </c>
      <c r="C129" s="5" t="s">
        <v>230</v>
      </c>
      <c r="D129" s="5" t="s">
        <v>558</v>
      </c>
      <c r="E129" s="13" t="s">
        <v>559</v>
      </c>
      <c r="F129" s="26" t="s">
        <v>614</v>
      </c>
      <c r="G129" s="13">
        <v>15</v>
      </c>
    </row>
    <row r="130" spans="1:7" ht="46.8" x14ac:dyDescent="0.3">
      <c r="A130" s="4" t="s">
        <v>76</v>
      </c>
      <c r="B130" s="5" t="s">
        <v>560</v>
      </c>
      <c r="C130" s="5" t="s">
        <v>230</v>
      </c>
      <c r="D130" s="5" t="s">
        <v>381</v>
      </c>
      <c r="E130" s="13" t="s">
        <v>561</v>
      </c>
      <c r="F130" s="26" t="s">
        <v>615</v>
      </c>
      <c r="G130" s="13">
        <v>15</v>
      </c>
    </row>
    <row r="131" spans="1:7" ht="46.8" x14ac:dyDescent="0.3">
      <c r="A131" s="4" t="s">
        <v>76</v>
      </c>
      <c r="B131" s="5" t="s">
        <v>562</v>
      </c>
      <c r="C131" s="5" t="s">
        <v>230</v>
      </c>
      <c r="D131" s="5" t="s">
        <v>563</v>
      </c>
      <c r="E131" s="13" t="s">
        <v>564</v>
      </c>
      <c r="F131" s="26" t="s">
        <v>614</v>
      </c>
      <c r="G131" s="13">
        <v>15</v>
      </c>
    </row>
    <row r="132" spans="1:7" ht="46.8" x14ac:dyDescent="0.3">
      <c r="A132" s="4" t="s">
        <v>76</v>
      </c>
      <c r="B132" s="5" t="s">
        <v>565</v>
      </c>
      <c r="C132" s="5" t="s">
        <v>230</v>
      </c>
      <c r="D132" s="5" t="s">
        <v>243</v>
      </c>
      <c r="E132" s="13" t="s">
        <v>566</v>
      </c>
      <c r="F132" s="26" t="s">
        <v>614</v>
      </c>
      <c r="G132" s="13">
        <v>35</v>
      </c>
    </row>
    <row r="133" spans="1:7" ht="46.8" x14ac:dyDescent="0.3">
      <c r="A133" s="4" t="s">
        <v>76</v>
      </c>
      <c r="B133" s="5" t="s">
        <v>567</v>
      </c>
      <c r="C133" s="5" t="s">
        <v>246</v>
      </c>
      <c r="D133" s="5" t="s">
        <v>49</v>
      </c>
      <c r="E133" s="13" t="s">
        <v>568</v>
      </c>
      <c r="F133" s="26" t="s">
        <v>615</v>
      </c>
      <c r="G133" s="13">
        <v>0</v>
      </c>
    </row>
    <row r="134" spans="1:7" ht="46.8" x14ac:dyDescent="0.3">
      <c r="A134" s="4" t="s">
        <v>152</v>
      </c>
      <c r="B134" s="5" t="s">
        <v>569</v>
      </c>
      <c r="C134" s="5" t="s">
        <v>230</v>
      </c>
      <c r="D134" s="5" t="s">
        <v>570</v>
      </c>
      <c r="E134" s="13" t="s">
        <v>571</v>
      </c>
      <c r="F134" s="26" t="s">
        <v>616</v>
      </c>
      <c r="G134" s="13">
        <v>15</v>
      </c>
    </row>
    <row r="135" spans="1:7" ht="46.8" x14ac:dyDescent="0.3">
      <c r="A135" s="4" t="s">
        <v>152</v>
      </c>
      <c r="B135" s="5" t="s">
        <v>572</v>
      </c>
      <c r="C135" s="5" t="s">
        <v>230</v>
      </c>
      <c r="D135" s="5" t="s">
        <v>573</v>
      </c>
      <c r="E135" s="13" t="s">
        <v>574</v>
      </c>
      <c r="F135" s="26" t="s">
        <v>615</v>
      </c>
      <c r="G135" s="13">
        <v>15</v>
      </c>
    </row>
    <row r="136" spans="1:7" ht="46.8" x14ac:dyDescent="0.3">
      <c r="A136" s="4" t="s">
        <v>152</v>
      </c>
      <c r="B136" s="5" t="s">
        <v>575</v>
      </c>
      <c r="C136" s="5" t="s">
        <v>230</v>
      </c>
      <c r="D136" s="5" t="s">
        <v>576</v>
      </c>
      <c r="E136" s="13" t="s">
        <v>577</v>
      </c>
      <c r="F136" s="26" t="s">
        <v>616</v>
      </c>
      <c r="G136" s="13">
        <v>15</v>
      </c>
    </row>
    <row r="137" spans="1:7" ht="46.8" x14ac:dyDescent="0.3">
      <c r="A137" s="4" t="s">
        <v>152</v>
      </c>
      <c r="B137" s="5" t="s">
        <v>578</v>
      </c>
      <c r="C137" s="5" t="s">
        <v>230</v>
      </c>
      <c r="D137" s="5" t="s">
        <v>579</v>
      </c>
      <c r="E137" s="13" t="s">
        <v>580</v>
      </c>
      <c r="F137" s="26" t="s">
        <v>616</v>
      </c>
      <c r="G137" s="13">
        <v>15</v>
      </c>
    </row>
    <row r="138" spans="1:7" ht="46.8" x14ac:dyDescent="0.3">
      <c r="A138" s="4" t="s">
        <v>152</v>
      </c>
      <c r="B138" s="5" t="s">
        <v>581</v>
      </c>
      <c r="C138" s="5" t="s">
        <v>230</v>
      </c>
      <c r="D138" s="5" t="s">
        <v>243</v>
      </c>
      <c r="E138" s="13" t="s">
        <v>582</v>
      </c>
      <c r="F138" s="26" t="s">
        <v>616</v>
      </c>
      <c r="G138" s="13">
        <v>35</v>
      </c>
    </row>
    <row r="139" spans="1:7" ht="46.8" x14ac:dyDescent="0.3">
      <c r="A139" s="4" t="s">
        <v>152</v>
      </c>
      <c r="B139" s="5" t="s">
        <v>583</v>
      </c>
      <c r="C139" s="5" t="s">
        <v>246</v>
      </c>
      <c r="D139" s="5" t="s">
        <v>49</v>
      </c>
      <c r="E139" s="13" t="s">
        <v>584</v>
      </c>
      <c r="F139" s="26" t="s">
        <v>615</v>
      </c>
      <c r="G139" s="13">
        <v>0</v>
      </c>
    </row>
    <row r="140" spans="1:7" ht="31.2" x14ac:dyDescent="0.3">
      <c r="A140" s="4" t="s">
        <v>43</v>
      </c>
      <c r="B140" s="5" t="s">
        <v>585</v>
      </c>
      <c r="C140" s="5" t="s">
        <v>230</v>
      </c>
      <c r="D140" s="5" t="s">
        <v>586</v>
      </c>
      <c r="E140" s="13" t="s">
        <v>587</v>
      </c>
      <c r="F140" s="26" t="s">
        <v>616</v>
      </c>
      <c r="G140" s="13">
        <v>15</v>
      </c>
    </row>
    <row r="141" spans="1:7" ht="46.8" x14ac:dyDescent="0.3">
      <c r="A141" s="4" t="s">
        <v>43</v>
      </c>
      <c r="B141" s="5" t="s">
        <v>588</v>
      </c>
      <c r="C141" s="5" t="s">
        <v>230</v>
      </c>
      <c r="D141" s="5" t="s">
        <v>589</v>
      </c>
      <c r="E141" s="13" t="s">
        <v>590</v>
      </c>
      <c r="F141" s="26" t="s">
        <v>616</v>
      </c>
      <c r="G141" s="13">
        <v>15</v>
      </c>
    </row>
    <row r="142" spans="1:7" ht="46.8" x14ac:dyDescent="0.3">
      <c r="A142" s="4" t="s">
        <v>43</v>
      </c>
      <c r="B142" s="5" t="s">
        <v>591</v>
      </c>
      <c r="C142" s="5" t="s">
        <v>230</v>
      </c>
      <c r="D142" s="5" t="s">
        <v>592</v>
      </c>
      <c r="E142" s="13" t="s">
        <v>593</v>
      </c>
      <c r="F142" s="26" t="s">
        <v>616</v>
      </c>
      <c r="G142" s="13">
        <v>15</v>
      </c>
    </row>
    <row r="143" spans="1:7" ht="46.8" x14ac:dyDescent="0.3">
      <c r="A143" s="4" t="s">
        <v>43</v>
      </c>
      <c r="B143" s="5" t="s">
        <v>594</v>
      </c>
      <c r="C143" s="5" t="s">
        <v>230</v>
      </c>
      <c r="D143" s="5" t="s">
        <v>427</v>
      </c>
      <c r="E143" s="13" t="s">
        <v>595</v>
      </c>
      <c r="F143" s="26" t="s">
        <v>616</v>
      </c>
      <c r="G143" s="13">
        <v>15</v>
      </c>
    </row>
    <row r="144" spans="1:7" ht="46.8" x14ac:dyDescent="0.3">
      <c r="A144" s="4" t="s">
        <v>43</v>
      </c>
      <c r="B144" s="5" t="s">
        <v>596</v>
      </c>
      <c r="C144" s="5" t="s">
        <v>230</v>
      </c>
      <c r="D144" s="5" t="s">
        <v>243</v>
      </c>
      <c r="E144" s="13" t="s">
        <v>597</v>
      </c>
      <c r="F144" s="26" t="s">
        <v>616</v>
      </c>
      <c r="G144" s="13">
        <v>35</v>
      </c>
    </row>
    <row r="145" spans="1:7" ht="46.8" x14ac:dyDescent="0.3">
      <c r="A145" s="7" t="s">
        <v>43</v>
      </c>
      <c r="B145" s="8" t="s">
        <v>598</v>
      </c>
      <c r="C145" s="8" t="s">
        <v>246</v>
      </c>
      <c r="D145" s="8" t="s">
        <v>49</v>
      </c>
      <c r="E145" s="14" t="s">
        <v>599</v>
      </c>
      <c r="F145" s="27" t="s">
        <v>615</v>
      </c>
      <c r="G145" s="14">
        <v>0</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093E898-CFDE-4FBD-82DE-D60EE20CB64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characters</vt:lpstr>
      <vt:lpstr>battlesetup</vt:lpstr>
      <vt:lpstr>battlefield</vt:lpstr>
      <vt:lpstr>stats</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Astrid Shaina</dc:creator>
  <cp:lastModifiedBy>Astrid Shaina</cp:lastModifiedBy>
  <dcterms:created xsi:type="dcterms:W3CDTF">2026-03-19T04:55:04Z</dcterms:created>
  <dcterms:modified xsi:type="dcterms:W3CDTF">2026-03-19T15:04:53Z</dcterms:modified>
</cp:coreProperties>
</file>