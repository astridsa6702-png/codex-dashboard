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Legion\OneDrive\Documents\Practice\Excel - RPG\"/>
    </mc:Choice>
  </mc:AlternateContent>
  <xr:revisionPtr revIDLastSave="0" documentId="13_ncr:1_{6B84A760-049F-432A-BF1C-21F23A26CECF}" xr6:coauthVersionLast="47" xr6:coauthVersionMax="47" xr10:uidLastSave="{00000000-0000-0000-0000-000000000000}"/>
  <bookViews>
    <workbookView xWindow="-96" yWindow="0" windowWidth="11712" windowHeight="12336" firstSheet="2" activeTab="3" xr2:uid="{2FCA023F-E8FA-47CB-8145-C95A1C9F891A}"/>
  </bookViews>
  <sheets>
    <sheet name="RPG_dataset" sheetId="2" r:id="rId1"/>
    <sheet name="Pivot" sheetId="7" r:id="rId2"/>
    <sheet name="Dashboard" sheetId="10" r:id="rId3"/>
    <sheet name="clean_data" sheetId="6" r:id="rId4"/>
  </sheets>
  <definedNames>
    <definedName name="ExternalData_1" localSheetId="0" hidden="1">'RPG_dataset'!$A$1:$Y$501</definedName>
    <definedName name="ExternalData_3" localSheetId="3" hidden="1">'clean_data'!$A$1:$AF$501</definedName>
    <definedName name="Slicer_Is_Premium">#N/A</definedName>
  </definedNames>
  <calcPr calcId="191029"/>
  <pivotCaches>
    <pivotCache cacheId="2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133" i="6" l="1"/>
  <c r="AH149" i="6"/>
  <c r="AH165" i="6"/>
  <c r="AH181" i="6"/>
  <c r="AH197" i="6"/>
  <c r="AH213" i="6"/>
  <c r="AG2" i="6"/>
  <c r="AH2" i="6" s="1"/>
  <c r="AG3" i="6"/>
  <c r="AH3" i="6" s="1"/>
  <c r="AG4" i="6"/>
  <c r="AH4" i="6" s="1"/>
  <c r="AG5" i="6"/>
  <c r="AH5" i="6" s="1"/>
  <c r="AG6" i="6"/>
  <c r="AH6" i="6" s="1"/>
  <c r="AG7" i="6"/>
  <c r="AH7" i="6" s="1"/>
  <c r="AG8" i="6"/>
  <c r="AH8" i="6" s="1"/>
  <c r="AG9" i="6"/>
  <c r="AH9" i="6" s="1"/>
  <c r="AG10" i="6"/>
  <c r="AH10" i="6" s="1"/>
  <c r="AG11" i="6"/>
  <c r="AH11" i="6" s="1"/>
  <c r="AG12" i="6"/>
  <c r="AH12" i="6" s="1"/>
  <c r="AG13" i="6"/>
  <c r="AH13" i="6" s="1"/>
  <c r="AG14" i="6"/>
  <c r="AH14" i="6" s="1"/>
  <c r="AG15" i="6"/>
  <c r="AH15" i="6" s="1"/>
  <c r="AG16" i="6"/>
  <c r="AH20" i="6" s="1"/>
  <c r="AG17" i="6"/>
  <c r="AH36" i="6" s="1"/>
  <c r="AG18" i="6"/>
  <c r="AH18" i="6" s="1"/>
  <c r="AG19" i="6"/>
  <c r="AH19" i="6" s="1"/>
  <c r="AG20" i="6"/>
  <c r="AG21" i="6"/>
  <c r="AG22" i="6"/>
  <c r="AH22" i="6" s="1"/>
  <c r="AG23" i="6"/>
  <c r="AH23" i="6" s="1"/>
  <c r="AG24" i="6"/>
  <c r="AG25" i="6"/>
  <c r="AH25" i="6" s="1"/>
  <c r="AG26" i="6"/>
  <c r="AH26" i="6" s="1"/>
  <c r="AG27" i="6"/>
  <c r="AH27" i="6" s="1"/>
  <c r="AG28" i="6"/>
  <c r="AH28" i="6" s="1"/>
  <c r="AG29" i="6"/>
  <c r="AG30" i="6"/>
  <c r="AH30" i="6" s="1"/>
  <c r="AG31" i="6"/>
  <c r="AG32" i="6"/>
  <c r="AH32" i="6" s="1"/>
  <c r="AG33" i="6"/>
  <c r="AH453" i="6" s="1"/>
  <c r="AG34" i="6"/>
  <c r="AH34" i="6" s="1"/>
  <c r="AG35" i="6"/>
  <c r="AH35" i="6" s="1"/>
  <c r="AG36" i="6"/>
  <c r="AG37" i="6"/>
  <c r="AG38" i="6"/>
  <c r="AH38" i="6" s="1"/>
  <c r="AG39" i="6"/>
  <c r="AH39" i="6" s="1"/>
  <c r="AG40" i="6"/>
  <c r="AG41" i="6"/>
  <c r="AH41" i="6" s="1"/>
  <c r="AG42" i="6"/>
  <c r="AH42" i="6" s="1"/>
  <c r="AG43" i="6"/>
  <c r="AH43" i="6" s="1"/>
  <c r="AG44" i="6"/>
  <c r="AH44" i="6" s="1"/>
  <c r="AG45" i="6"/>
  <c r="AG46" i="6"/>
  <c r="AH46" i="6" s="1"/>
  <c r="AG47" i="6"/>
  <c r="AG48" i="6"/>
  <c r="AH48" i="6" s="1"/>
  <c r="AG49" i="6"/>
  <c r="AH49" i="6" s="1"/>
  <c r="AG50" i="6"/>
  <c r="AH50" i="6" s="1"/>
  <c r="AG51" i="6"/>
  <c r="AH51" i="6" s="1"/>
  <c r="AG52" i="6"/>
  <c r="AG53" i="6"/>
  <c r="AG54" i="6"/>
  <c r="AH54" i="6" s="1"/>
  <c r="AG55" i="6"/>
  <c r="AH55" i="6" s="1"/>
  <c r="AG56" i="6"/>
  <c r="AG57" i="6"/>
  <c r="AH57" i="6" s="1"/>
  <c r="AG58" i="6"/>
  <c r="AH58" i="6" s="1"/>
  <c r="AG59" i="6"/>
  <c r="AH59" i="6" s="1"/>
  <c r="AG60" i="6"/>
  <c r="AH60" i="6" s="1"/>
  <c r="AG61" i="6"/>
  <c r="AG62" i="6"/>
  <c r="AH62" i="6" s="1"/>
  <c r="AG63" i="6"/>
  <c r="AG64" i="6"/>
  <c r="AH64" i="6" s="1"/>
  <c r="AG65" i="6"/>
  <c r="AH65" i="6" s="1"/>
  <c r="AG66" i="6"/>
  <c r="AH66" i="6" s="1"/>
  <c r="AG67" i="6"/>
  <c r="AH67" i="6" s="1"/>
  <c r="AG68" i="6"/>
  <c r="AG69" i="6"/>
  <c r="AG70" i="6"/>
  <c r="AH70" i="6" s="1"/>
  <c r="AG71" i="6"/>
  <c r="AH71" i="6" s="1"/>
  <c r="AG72" i="6"/>
  <c r="AG73" i="6"/>
  <c r="AH73" i="6" s="1"/>
  <c r="AG74" i="6"/>
  <c r="AH74" i="6" s="1"/>
  <c r="AG75" i="6"/>
  <c r="AH75" i="6" s="1"/>
  <c r="AG76" i="6"/>
  <c r="AH76" i="6" s="1"/>
  <c r="AG77" i="6"/>
  <c r="AG78" i="6"/>
  <c r="AH78" i="6" s="1"/>
  <c r="AG79" i="6"/>
  <c r="AG80" i="6"/>
  <c r="AH80" i="6" s="1"/>
  <c r="AG81" i="6"/>
  <c r="AH81" i="6" s="1"/>
  <c r="AG82" i="6"/>
  <c r="AH82" i="6" s="1"/>
  <c r="AG83" i="6"/>
  <c r="AH83" i="6" s="1"/>
  <c r="AG84" i="6"/>
  <c r="AG85" i="6"/>
  <c r="AG86" i="6"/>
  <c r="AH86" i="6" s="1"/>
  <c r="AG87" i="6"/>
  <c r="AH87" i="6" s="1"/>
  <c r="AG88" i="6"/>
  <c r="AG89" i="6"/>
  <c r="AH89" i="6" s="1"/>
  <c r="AG90" i="6"/>
  <c r="AH90" i="6" s="1"/>
  <c r="AG91" i="6"/>
  <c r="AH91" i="6" s="1"/>
  <c r="AG92" i="6"/>
  <c r="AH92" i="6" s="1"/>
  <c r="AG93" i="6"/>
  <c r="AG94" i="6"/>
  <c r="AH94" i="6" s="1"/>
  <c r="AG95" i="6"/>
  <c r="AG96" i="6"/>
  <c r="AH96" i="6" s="1"/>
  <c r="AG97" i="6"/>
  <c r="AH97" i="6" s="1"/>
  <c r="AG98" i="6"/>
  <c r="AH98" i="6" s="1"/>
  <c r="AG99" i="6"/>
  <c r="AH99" i="6" s="1"/>
  <c r="AG100" i="6"/>
  <c r="AG101" i="6"/>
  <c r="AG102" i="6"/>
  <c r="AH102" i="6" s="1"/>
  <c r="AG103" i="6"/>
  <c r="AH103" i="6" s="1"/>
  <c r="AG104" i="6"/>
  <c r="AG105" i="6"/>
  <c r="AH105" i="6" s="1"/>
  <c r="AG106" i="6"/>
  <c r="AH106" i="6" s="1"/>
  <c r="AG107" i="6"/>
  <c r="AH107" i="6" s="1"/>
  <c r="AG108" i="6"/>
  <c r="AH108" i="6" s="1"/>
  <c r="AG109" i="6"/>
  <c r="AG110" i="6"/>
  <c r="AH110" i="6" s="1"/>
  <c r="AG111" i="6"/>
  <c r="AG112" i="6"/>
  <c r="AH112" i="6" s="1"/>
  <c r="AG113" i="6"/>
  <c r="AH113" i="6" s="1"/>
  <c r="AG114" i="6"/>
  <c r="AH114" i="6" s="1"/>
  <c r="AG115" i="6"/>
  <c r="AH115" i="6" s="1"/>
  <c r="AG116" i="6"/>
  <c r="AG117" i="6"/>
  <c r="AG118" i="6"/>
  <c r="AH118" i="6" s="1"/>
  <c r="AG119" i="6"/>
  <c r="AH119" i="6" s="1"/>
  <c r="AG120" i="6"/>
  <c r="AG121" i="6"/>
  <c r="AH121" i="6" s="1"/>
  <c r="AG122" i="6"/>
  <c r="AH122" i="6" s="1"/>
  <c r="AG123" i="6"/>
  <c r="AH123" i="6" s="1"/>
  <c r="AG124" i="6"/>
  <c r="AH124" i="6" s="1"/>
  <c r="AG125" i="6"/>
  <c r="AG126" i="6"/>
  <c r="AH126" i="6" s="1"/>
  <c r="AG127" i="6"/>
  <c r="AG128" i="6"/>
  <c r="AH128" i="6" s="1"/>
  <c r="AG129" i="6"/>
  <c r="AH129" i="6" s="1"/>
  <c r="AG130" i="6"/>
  <c r="AH130" i="6" s="1"/>
  <c r="AG131" i="6"/>
  <c r="AH131" i="6" s="1"/>
  <c r="AG132" i="6"/>
  <c r="AG133" i="6"/>
  <c r="AG134" i="6"/>
  <c r="AH134" i="6" s="1"/>
  <c r="AG135" i="6"/>
  <c r="AH135" i="6" s="1"/>
  <c r="AG136" i="6"/>
  <c r="AG137" i="6"/>
  <c r="AH137" i="6" s="1"/>
  <c r="AG138" i="6"/>
  <c r="AH138" i="6" s="1"/>
  <c r="AG139" i="6"/>
  <c r="AH139" i="6" s="1"/>
  <c r="AG140" i="6"/>
  <c r="AH140" i="6" s="1"/>
  <c r="AG141" i="6"/>
  <c r="AG142" i="6"/>
  <c r="AH142" i="6" s="1"/>
  <c r="AG143" i="6"/>
  <c r="AG144" i="6"/>
  <c r="AH144" i="6" s="1"/>
  <c r="AG145" i="6"/>
  <c r="AH145" i="6" s="1"/>
  <c r="AG146" i="6"/>
  <c r="AH146" i="6" s="1"/>
  <c r="AG147" i="6"/>
  <c r="AH147" i="6" s="1"/>
  <c r="AG148" i="6"/>
  <c r="AG149" i="6"/>
  <c r="AG150" i="6"/>
  <c r="AH150" i="6" s="1"/>
  <c r="AG151" i="6"/>
  <c r="AH151" i="6" s="1"/>
  <c r="AG152" i="6"/>
  <c r="AG153" i="6"/>
  <c r="AH153" i="6" s="1"/>
  <c r="AG154" i="6"/>
  <c r="AH154" i="6" s="1"/>
  <c r="AG155" i="6"/>
  <c r="AH155" i="6" s="1"/>
  <c r="AG156" i="6"/>
  <c r="AH156" i="6" s="1"/>
  <c r="AG157" i="6"/>
  <c r="AG158" i="6"/>
  <c r="AH158" i="6" s="1"/>
  <c r="AG159" i="6"/>
  <c r="AG160" i="6"/>
  <c r="AH160" i="6" s="1"/>
  <c r="AG161" i="6"/>
  <c r="AH161" i="6" s="1"/>
  <c r="AG162" i="6"/>
  <c r="AH162" i="6" s="1"/>
  <c r="AG163" i="6"/>
  <c r="AH163" i="6" s="1"/>
  <c r="AG164" i="6"/>
  <c r="AG165" i="6"/>
  <c r="AG166" i="6"/>
  <c r="AH166" i="6" s="1"/>
  <c r="AG167" i="6"/>
  <c r="AH167" i="6" s="1"/>
  <c r="AG168" i="6"/>
  <c r="AG169" i="6"/>
  <c r="AH169" i="6" s="1"/>
  <c r="AG170" i="6"/>
  <c r="AH170" i="6" s="1"/>
  <c r="AG171" i="6"/>
  <c r="AH171" i="6" s="1"/>
  <c r="AG172" i="6"/>
  <c r="AH172" i="6" s="1"/>
  <c r="AG173" i="6"/>
  <c r="AG174" i="6"/>
  <c r="AH174" i="6" s="1"/>
  <c r="AG175" i="6"/>
  <c r="AG176" i="6"/>
  <c r="AH176" i="6" s="1"/>
  <c r="AG177" i="6"/>
  <c r="AH177" i="6" s="1"/>
  <c r="AG178" i="6"/>
  <c r="AH178" i="6" s="1"/>
  <c r="AG179" i="6"/>
  <c r="AH179" i="6" s="1"/>
  <c r="AG180" i="6"/>
  <c r="AG181" i="6"/>
  <c r="AG182" i="6"/>
  <c r="AH182" i="6" s="1"/>
  <c r="AG183" i="6"/>
  <c r="AH183" i="6" s="1"/>
  <c r="AG184" i="6"/>
  <c r="AG185" i="6"/>
  <c r="AH185" i="6" s="1"/>
  <c r="AG186" i="6"/>
  <c r="AH186" i="6" s="1"/>
  <c r="AG187" i="6"/>
  <c r="AH187" i="6" s="1"/>
  <c r="AG188" i="6"/>
  <c r="AH188" i="6" s="1"/>
  <c r="AG189" i="6"/>
  <c r="AG190" i="6"/>
  <c r="AH190" i="6" s="1"/>
  <c r="AG191" i="6"/>
  <c r="AG192" i="6"/>
  <c r="AH192" i="6" s="1"/>
  <c r="AG193" i="6"/>
  <c r="AH193" i="6" s="1"/>
  <c r="AG194" i="6"/>
  <c r="AH194" i="6" s="1"/>
  <c r="AG195" i="6"/>
  <c r="AH195" i="6" s="1"/>
  <c r="AG196" i="6"/>
  <c r="AG197" i="6"/>
  <c r="AG198" i="6"/>
  <c r="AH198" i="6" s="1"/>
  <c r="AG199" i="6"/>
  <c r="AH199" i="6" s="1"/>
  <c r="AG200" i="6"/>
  <c r="AG201" i="6"/>
  <c r="AH201" i="6" s="1"/>
  <c r="AG202" i="6"/>
  <c r="AH202" i="6" s="1"/>
  <c r="AG203" i="6"/>
  <c r="AH203" i="6" s="1"/>
  <c r="AG204" i="6"/>
  <c r="AH204" i="6" s="1"/>
  <c r="AG205" i="6"/>
  <c r="AG206" i="6"/>
  <c r="AH206" i="6" s="1"/>
  <c r="AG207" i="6"/>
  <c r="AG208" i="6"/>
  <c r="AH208" i="6" s="1"/>
  <c r="AG209" i="6"/>
  <c r="AH209" i="6" s="1"/>
  <c r="AG210" i="6"/>
  <c r="AH210" i="6" s="1"/>
  <c r="AG211" i="6"/>
  <c r="AH211" i="6" s="1"/>
  <c r="AG212" i="6"/>
  <c r="AG213" i="6"/>
  <c r="AG214" i="6"/>
  <c r="AH214" i="6" s="1"/>
  <c r="AG215" i="6"/>
  <c r="AH215" i="6" s="1"/>
  <c r="AG216" i="6"/>
  <c r="AG217" i="6"/>
  <c r="AH217" i="6" s="1"/>
  <c r="AG218" i="6"/>
  <c r="AH218" i="6" s="1"/>
  <c r="AG219" i="6"/>
  <c r="AH219" i="6" s="1"/>
  <c r="AG220" i="6"/>
  <c r="AH220" i="6" s="1"/>
  <c r="AG221" i="6"/>
  <c r="AG222" i="6"/>
  <c r="AH222" i="6" s="1"/>
  <c r="AG223" i="6"/>
  <c r="AG224" i="6"/>
  <c r="AH224" i="6" s="1"/>
  <c r="AG225" i="6"/>
  <c r="AH225" i="6" s="1"/>
  <c r="AG226" i="6"/>
  <c r="AH226" i="6" s="1"/>
  <c r="AG227" i="6"/>
  <c r="AH227" i="6" s="1"/>
  <c r="AG228" i="6"/>
  <c r="AG229" i="6"/>
  <c r="AG230" i="6"/>
  <c r="AH230" i="6" s="1"/>
  <c r="AG231" i="6"/>
  <c r="AH231" i="6" s="1"/>
  <c r="AG232" i="6"/>
  <c r="AG233" i="6"/>
  <c r="AH233" i="6" s="1"/>
  <c r="AG234" i="6"/>
  <c r="AH234" i="6" s="1"/>
  <c r="AG235" i="6"/>
  <c r="AH235" i="6" s="1"/>
  <c r="AG236" i="6"/>
  <c r="AH236" i="6" s="1"/>
  <c r="AG237" i="6"/>
  <c r="AG238" i="6"/>
  <c r="AH238" i="6" s="1"/>
  <c r="AG239" i="6"/>
  <c r="AG240" i="6"/>
  <c r="AH240" i="6" s="1"/>
  <c r="AG241" i="6"/>
  <c r="AH241" i="6" s="1"/>
  <c r="AG242" i="6"/>
  <c r="AH242" i="6" s="1"/>
  <c r="AG243" i="6"/>
  <c r="AH243" i="6" s="1"/>
  <c r="AG244" i="6"/>
  <c r="AG245" i="6"/>
  <c r="AG246" i="6"/>
  <c r="AH246" i="6" s="1"/>
  <c r="AG247" i="6"/>
  <c r="AH247" i="6" s="1"/>
  <c r="AG248" i="6"/>
  <c r="AG249" i="6"/>
  <c r="AH249" i="6" s="1"/>
  <c r="AG250" i="6"/>
  <c r="AH250" i="6" s="1"/>
  <c r="AG251" i="6"/>
  <c r="AH251" i="6" s="1"/>
  <c r="AG252" i="6"/>
  <c r="AH252" i="6" s="1"/>
  <c r="AG253" i="6"/>
  <c r="AG254" i="6"/>
  <c r="AH254" i="6" s="1"/>
  <c r="AG255" i="6"/>
  <c r="AG256" i="6"/>
  <c r="AH256" i="6" s="1"/>
  <c r="AG257" i="6"/>
  <c r="AH257" i="6" s="1"/>
  <c r="AG258" i="6"/>
  <c r="AH258" i="6" s="1"/>
  <c r="AG259" i="6"/>
  <c r="AH259" i="6" s="1"/>
  <c r="AG260" i="6"/>
  <c r="AG261" i="6"/>
  <c r="AG262" i="6"/>
  <c r="AH262" i="6" s="1"/>
  <c r="AG263" i="6"/>
  <c r="AH263" i="6" s="1"/>
  <c r="AG264" i="6"/>
  <c r="AG265" i="6"/>
  <c r="AH265" i="6" s="1"/>
  <c r="AG266" i="6"/>
  <c r="AH266" i="6" s="1"/>
  <c r="AG267" i="6"/>
  <c r="AH267" i="6" s="1"/>
  <c r="AG268" i="6"/>
  <c r="AH268" i="6" s="1"/>
  <c r="AG269" i="6"/>
  <c r="AG270" i="6"/>
  <c r="AH270" i="6" s="1"/>
  <c r="AG271" i="6"/>
  <c r="AG272" i="6"/>
  <c r="AH272" i="6" s="1"/>
  <c r="AG273" i="6"/>
  <c r="AH273" i="6" s="1"/>
  <c r="AG274" i="6"/>
  <c r="AH274" i="6" s="1"/>
  <c r="AG275" i="6"/>
  <c r="AH275" i="6" s="1"/>
  <c r="AG276" i="6"/>
  <c r="AG277" i="6"/>
  <c r="AG278" i="6"/>
  <c r="AH278" i="6" s="1"/>
  <c r="AG279" i="6"/>
  <c r="AH279" i="6" s="1"/>
  <c r="AG280" i="6"/>
  <c r="AG281" i="6"/>
  <c r="AH281" i="6" s="1"/>
  <c r="AG282" i="6"/>
  <c r="AH282" i="6" s="1"/>
  <c r="AG283" i="6"/>
  <c r="AH283" i="6" s="1"/>
  <c r="AG284" i="6"/>
  <c r="AH284" i="6" s="1"/>
  <c r="AG285" i="6"/>
  <c r="AG286" i="6"/>
  <c r="AH286" i="6" s="1"/>
  <c r="AG287" i="6"/>
  <c r="AG288" i="6"/>
  <c r="AH288" i="6" s="1"/>
  <c r="AG289" i="6"/>
  <c r="AH289" i="6" s="1"/>
  <c r="AG290" i="6"/>
  <c r="AH290" i="6" s="1"/>
  <c r="AG291" i="6"/>
  <c r="AH291" i="6" s="1"/>
  <c r="AG292" i="6"/>
  <c r="AG293" i="6"/>
  <c r="AG294" i="6"/>
  <c r="AH294" i="6" s="1"/>
  <c r="AG295" i="6"/>
  <c r="AH295" i="6" s="1"/>
  <c r="AG296" i="6"/>
  <c r="AG297" i="6"/>
  <c r="AH297" i="6" s="1"/>
  <c r="AG298" i="6"/>
  <c r="AH298" i="6" s="1"/>
  <c r="AG299" i="6"/>
  <c r="AH299" i="6" s="1"/>
  <c r="AG300" i="6"/>
  <c r="AH300" i="6" s="1"/>
  <c r="AG301" i="6"/>
  <c r="AG302" i="6"/>
  <c r="AH302" i="6" s="1"/>
  <c r="AG303" i="6"/>
  <c r="AG304" i="6"/>
  <c r="AH304" i="6" s="1"/>
  <c r="AG305" i="6"/>
  <c r="AH305" i="6" s="1"/>
  <c r="AG306" i="6"/>
  <c r="AH306" i="6" s="1"/>
  <c r="AG307" i="6"/>
  <c r="AH307" i="6" s="1"/>
  <c r="AG308" i="6"/>
  <c r="AG309" i="6"/>
  <c r="AG310" i="6"/>
  <c r="AH310" i="6" s="1"/>
  <c r="AG311" i="6"/>
  <c r="AH311" i="6" s="1"/>
  <c r="AG312" i="6"/>
  <c r="AG313" i="6"/>
  <c r="AH313" i="6" s="1"/>
  <c r="AG314" i="6"/>
  <c r="AH314" i="6" s="1"/>
  <c r="AG315" i="6"/>
  <c r="AH315" i="6" s="1"/>
  <c r="AG316" i="6"/>
  <c r="AH316" i="6" s="1"/>
  <c r="AG317" i="6"/>
  <c r="AG318" i="6"/>
  <c r="AH318" i="6" s="1"/>
  <c r="AG319" i="6"/>
  <c r="AG320" i="6"/>
  <c r="AH320" i="6" s="1"/>
  <c r="AG321" i="6"/>
  <c r="AH321" i="6" s="1"/>
  <c r="AG322" i="6"/>
  <c r="AH322" i="6" s="1"/>
  <c r="AG323" i="6"/>
  <c r="AH323" i="6" s="1"/>
  <c r="AG324" i="6"/>
  <c r="AG325" i="6"/>
  <c r="AG326" i="6"/>
  <c r="AH326" i="6" s="1"/>
  <c r="AG327" i="6"/>
  <c r="AH327" i="6" s="1"/>
  <c r="AG328" i="6"/>
  <c r="AG329" i="6"/>
  <c r="AH329" i="6" s="1"/>
  <c r="AG330" i="6"/>
  <c r="AH330" i="6" s="1"/>
  <c r="AG331" i="6"/>
  <c r="AH331" i="6" s="1"/>
  <c r="AG332" i="6"/>
  <c r="AH332" i="6" s="1"/>
  <c r="AG333" i="6"/>
  <c r="AG334" i="6"/>
  <c r="AH334" i="6" s="1"/>
  <c r="AG335" i="6"/>
  <c r="AG336" i="6"/>
  <c r="AH336" i="6" s="1"/>
  <c r="AG337" i="6"/>
  <c r="AH337" i="6" s="1"/>
  <c r="AG338" i="6"/>
  <c r="AH338" i="6" s="1"/>
  <c r="AG339" i="6"/>
  <c r="AH339" i="6" s="1"/>
  <c r="AG340" i="6"/>
  <c r="AG341" i="6"/>
  <c r="AG342" i="6"/>
  <c r="AH342" i="6" s="1"/>
  <c r="AG343" i="6"/>
  <c r="AH343" i="6" s="1"/>
  <c r="AG344" i="6"/>
  <c r="AG345" i="6"/>
  <c r="AH345" i="6" s="1"/>
  <c r="AG346" i="6"/>
  <c r="AH346" i="6" s="1"/>
  <c r="AG347" i="6"/>
  <c r="AH347" i="6" s="1"/>
  <c r="AG348" i="6"/>
  <c r="AH348" i="6" s="1"/>
  <c r="AG349" i="6"/>
  <c r="AG350" i="6"/>
  <c r="AH350" i="6" s="1"/>
  <c r="AG351" i="6"/>
  <c r="AG352" i="6"/>
  <c r="AH352" i="6" s="1"/>
  <c r="AG353" i="6"/>
  <c r="AH353" i="6" s="1"/>
  <c r="AG354" i="6"/>
  <c r="AH354" i="6" s="1"/>
  <c r="AG355" i="6"/>
  <c r="AH355" i="6" s="1"/>
  <c r="AG356" i="6"/>
  <c r="AG357" i="6"/>
  <c r="AG358" i="6"/>
  <c r="AH358" i="6" s="1"/>
  <c r="AG359" i="6"/>
  <c r="AH359" i="6" s="1"/>
  <c r="AG360" i="6"/>
  <c r="AG361" i="6"/>
  <c r="AH361" i="6" s="1"/>
  <c r="AG362" i="6"/>
  <c r="AH362" i="6" s="1"/>
  <c r="AG363" i="6"/>
  <c r="AH363" i="6" s="1"/>
  <c r="AG364" i="6"/>
  <c r="AH364" i="6" s="1"/>
  <c r="AG365" i="6"/>
  <c r="AG366" i="6"/>
  <c r="AH366" i="6" s="1"/>
  <c r="AG367" i="6"/>
  <c r="AG368" i="6"/>
  <c r="AH368" i="6" s="1"/>
  <c r="AG369" i="6"/>
  <c r="AH369" i="6" s="1"/>
  <c r="AG370" i="6"/>
  <c r="AH370" i="6" s="1"/>
  <c r="AG371" i="6"/>
  <c r="AH371" i="6" s="1"/>
  <c r="AG372" i="6"/>
  <c r="AG373" i="6"/>
  <c r="AG374" i="6"/>
  <c r="AH374" i="6" s="1"/>
  <c r="AG375" i="6"/>
  <c r="AH375" i="6" s="1"/>
  <c r="AG376" i="6"/>
  <c r="AG377" i="6"/>
  <c r="AH377" i="6" s="1"/>
  <c r="AG378" i="6"/>
  <c r="AH378" i="6" s="1"/>
  <c r="AG379" i="6"/>
  <c r="AH379" i="6" s="1"/>
  <c r="AG380" i="6"/>
  <c r="AH380" i="6" s="1"/>
  <c r="AG381" i="6"/>
  <c r="AG382" i="6"/>
  <c r="AH382" i="6" s="1"/>
  <c r="AG383" i="6"/>
  <c r="AG384" i="6"/>
  <c r="AH384" i="6" s="1"/>
  <c r="AG385" i="6"/>
  <c r="AH385" i="6" s="1"/>
  <c r="AG386" i="6"/>
  <c r="AH386" i="6" s="1"/>
  <c r="AG387" i="6"/>
  <c r="AH387" i="6" s="1"/>
  <c r="AG388" i="6"/>
  <c r="AG389" i="6"/>
  <c r="AG390" i="6"/>
  <c r="AH390" i="6" s="1"/>
  <c r="AG391" i="6"/>
  <c r="AH391" i="6" s="1"/>
  <c r="AG392" i="6"/>
  <c r="AG393" i="6"/>
  <c r="AH393" i="6" s="1"/>
  <c r="AG394" i="6"/>
  <c r="AH394" i="6" s="1"/>
  <c r="AG395" i="6"/>
  <c r="AH395" i="6" s="1"/>
  <c r="AG396" i="6"/>
  <c r="AH396" i="6" s="1"/>
  <c r="AG397" i="6"/>
  <c r="AG398" i="6"/>
  <c r="AH398" i="6" s="1"/>
  <c r="AG399" i="6"/>
  <c r="AG400" i="6"/>
  <c r="AH400" i="6" s="1"/>
  <c r="AG401" i="6"/>
  <c r="AH401" i="6" s="1"/>
  <c r="AG402" i="6"/>
  <c r="AH402" i="6" s="1"/>
  <c r="AG403" i="6"/>
  <c r="AH403" i="6" s="1"/>
  <c r="AG404" i="6"/>
  <c r="AG405" i="6"/>
  <c r="AG406" i="6"/>
  <c r="AH406" i="6" s="1"/>
  <c r="AG407" i="6"/>
  <c r="AH407" i="6" s="1"/>
  <c r="AG408" i="6"/>
  <c r="AG409" i="6"/>
  <c r="AH409" i="6" s="1"/>
  <c r="AG410" i="6"/>
  <c r="AH410" i="6" s="1"/>
  <c r="AG411" i="6"/>
  <c r="AH411" i="6" s="1"/>
  <c r="AG412" i="6"/>
  <c r="AH412" i="6" s="1"/>
  <c r="AG413" i="6"/>
  <c r="AG414" i="6"/>
  <c r="AH414" i="6" s="1"/>
  <c r="AG415" i="6"/>
  <c r="AG416" i="6"/>
  <c r="AH416" i="6" s="1"/>
  <c r="AG417" i="6"/>
  <c r="AH417" i="6" s="1"/>
  <c r="AG418" i="6"/>
  <c r="AH418" i="6" s="1"/>
  <c r="AG419" i="6"/>
  <c r="AH419" i="6" s="1"/>
  <c r="AG420" i="6"/>
  <c r="AG421" i="6"/>
  <c r="AG422" i="6"/>
  <c r="AH422" i="6" s="1"/>
  <c r="AG423" i="6"/>
  <c r="AH423" i="6" s="1"/>
  <c r="AG424" i="6"/>
  <c r="AG425" i="6"/>
  <c r="AH425" i="6" s="1"/>
  <c r="AG426" i="6"/>
  <c r="AH426" i="6" s="1"/>
  <c r="AG427" i="6"/>
  <c r="AH427" i="6" s="1"/>
  <c r="AG428" i="6"/>
  <c r="AH428" i="6" s="1"/>
  <c r="AG429" i="6"/>
  <c r="AG430" i="6"/>
  <c r="AH430" i="6" s="1"/>
  <c r="AG431" i="6"/>
  <c r="AG432" i="6"/>
  <c r="AH432" i="6" s="1"/>
  <c r="AG433" i="6"/>
  <c r="AH433" i="6" s="1"/>
  <c r="AG434" i="6"/>
  <c r="AH434" i="6" s="1"/>
  <c r="AG435" i="6"/>
  <c r="AH435" i="6" s="1"/>
  <c r="AG436" i="6"/>
  <c r="AG437" i="6"/>
  <c r="AG438" i="6"/>
  <c r="AH438" i="6" s="1"/>
  <c r="AG439" i="6"/>
  <c r="AH439" i="6" s="1"/>
  <c r="AG440" i="6"/>
  <c r="AG441" i="6"/>
  <c r="AH441" i="6" s="1"/>
  <c r="AG442" i="6"/>
  <c r="AH442" i="6" s="1"/>
  <c r="AG443" i="6"/>
  <c r="AH443" i="6" s="1"/>
  <c r="AG444" i="6"/>
  <c r="AH444" i="6" s="1"/>
  <c r="AG445" i="6"/>
  <c r="AG446" i="6"/>
  <c r="AH446" i="6" s="1"/>
  <c r="AG447" i="6"/>
  <c r="AG448" i="6"/>
  <c r="AH448" i="6" s="1"/>
  <c r="AG449" i="6"/>
  <c r="AH449" i="6" s="1"/>
  <c r="AG450" i="6"/>
  <c r="AH450" i="6" s="1"/>
  <c r="AG451" i="6"/>
  <c r="AH451" i="6" s="1"/>
  <c r="AG452" i="6"/>
  <c r="AG453" i="6"/>
  <c r="AG454" i="6"/>
  <c r="AH454" i="6" s="1"/>
  <c r="AG455" i="6"/>
  <c r="AH455" i="6" s="1"/>
  <c r="AG456" i="6"/>
  <c r="AG457" i="6"/>
  <c r="AH457" i="6" s="1"/>
  <c r="AG458" i="6"/>
  <c r="AH458" i="6" s="1"/>
  <c r="AG459" i="6"/>
  <c r="AH459" i="6" s="1"/>
  <c r="AG460" i="6"/>
  <c r="AH460" i="6" s="1"/>
  <c r="AG461" i="6"/>
  <c r="AG462" i="6"/>
  <c r="AH462" i="6" s="1"/>
  <c r="AG463" i="6"/>
  <c r="AG464" i="6"/>
  <c r="AH464" i="6" s="1"/>
  <c r="AG465" i="6"/>
  <c r="AH465" i="6" s="1"/>
  <c r="AG466" i="6"/>
  <c r="AH466" i="6" s="1"/>
  <c r="AG467" i="6"/>
  <c r="AH467" i="6" s="1"/>
  <c r="AG468" i="6"/>
  <c r="AG469" i="6"/>
  <c r="AG470" i="6"/>
  <c r="AH470" i="6" s="1"/>
  <c r="AG471" i="6"/>
  <c r="AH471" i="6" s="1"/>
  <c r="AG472" i="6"/>
  <c r="AG473" i="6"/>
  <c r="AH473" i="6" s="1"/>
  <c r="AG474" i="6"/>
  <c r="AH474" i="6" s="1"/>
  <c r="AG475" i="6"/>
  <c r="AH475" i="6" s="1"/>
  <c r="AG476" i="6"/>
  <c r="AH476" i="6" s="1"/>
  <c r="AG477" i="6"/>
  <c r="AG478" i="6"/>
  <c r="AH478" i="6" s="1"/>
  <c r="AG479" i="6"/>
  <c r="AG480" i="6"/>
  <c r="AH480" i="6" s="1"/>
  <c r="AG481" i="6"/>
  <c r="AH481" i="6" s="1"/>
  <c r="AG482" i="6"/>
  <c r="AH482" i="6" s="1"/>
  <c r="AG483" i="6"/>
  <c r="AH483" i="6" s="1"/>
  <c r="AG484" i="6"/>
  <c r="AG485" i="6"/>
  <c r="AG486" i="6"/>
  <c r="AH486" i="6" s="1"/>
  <c r="AG487" i="6"/>
  <c r="AH487" i="6" s="1"/>
  <c r="AG488" i="6"/>
  <c r="AG489" i="6"/>
  <c r="AH489" i="6" s="1"/>
  <c r="AG490" i="6"/>
  <c r="AH490" i="6" s="1"/>
  <c r="AG491" i="6"/>
  <c r="AH491" i="6" s="1"/>
  <c r="AG492" i="6"/>
  <c r="AH492" i="6" s="1"/>
  <c r="AG493" i="6"/>
  <c r="AG494" i="6"/>
  <c r="AH494" i="6" s="1"/>
  <c r="AG495" i="6"/>
  <c r="AG496" i="6"/>
  <c r="AH496" i="6" s="1"/>
  <c r="AG497" i="6"/>
  <c r="AH497" i="6" s="1"/>
  <c r="AG498" i="6"/>
  <c r="AH498" i="6" s="1"/>
  <c r="AG499" i="6"/>
  <c r="AH499" i="6" s="1"/>
  <c r="AG500" i="6"/>
  <c r="AG501" i="6"/>
  <c r="BZ22" i="10"/>
  <c r="AS22" i="10"/>
  <c r="L22" i="10"/>
  <c r="AO16" i="6"/>
  <c r="V501" i="6"/>
  <c r="V500" i="6"/>
  <c r="V499" i="6"/>
  <c r="V498" i="6"/>
  <c r="V497" i="6"/>
  <c r="V496" i="6"/>
  <c r="V495" i="6"/>
  <c r="V494" i="6"/>
  <c r="V493" i="6"/>
  <c r="V492" i="6"/>
  <c r="V491" i="6"/>
  <c r="V490" i="6"/>
  <c r="V489" i="6"/>
  <c r="V488" i="6"/>
  <c r="V487" i="6"/>
  <c r="V486" i="6"/>
  <c r="V485" i="6"/>
  <c r="V484" i="6"/>
  <c r="V483" i="6"/>
  <c r="V482" i="6"/>
  <c r="V481" i="6"/>
  <c r="V480" i="6"/>
  <c r="V479" i="6"/>
  <c r="V478" i="6"/>
  <c r="V477" i="6"/>
  <c r="V476" i="6"/>
  <c r="V475" i="6"/>
  <c r="V474" i="6"/>
  <c r="V473" i="6"/>
  <c r="V472" i="6"/>
  <c r="V471" i="6"/>
  <c r="V470" i="6"/>
  <c r="V469" i="6"/>
  <c r="V468" i="6"/>
  <c r="V467" i="6"/>
  <c r="V466" i="6"/>
  <c r="V465" i="6"/>
  <c r="V464" i="6"/>
  <c r="V463" i="6"/>
  <c r="V462" i="6"/>
  <c r="V461" i="6"/>
  <c r="V460" i="6"/>
  <c r="V459" i="6"/>
  <c r="V458" i="6"/>
  <c r="V457" i="6"/>
  <c r="V456" i="6"/>
  <c r="V455" i="6"/>
  <c r="V454" i="6"/>
  <c r="V453" i="6"/>
  <c r="V452" i="6"/>
  <c r="V451" i="6"/>
  <c r="V450" i="6"/>
  <c r="V449" i="6"/>
  <c r="V448" i="6"/>
  <c r="V447" i="6"/>
  <c r="V446" i="6"/>
  <c r="V445" i="6"/>
  <c r="V444" i="6"/>
  <c r="V443" i="6"/>
  <c r="V442" i="6"/>
  <c r="V441" i="6"/>
  <c r="V440" i="6"/>
  <c r="V439" i="6"/>
  <c r="V438" i="6"/>
  <c r="V437" i="6"/>
  <c r="V436" i="6"/>
  <c r="V435" i="6"/>
  <c r="V434" i="6"/>
  <c r="V433" i="6"/>
  <c r="V432" i="6"/>
  <c r="V431" i="6"/>
  <c r="V430" i="6"/>
  <c r="V429" i="6"/>
  <c r="V428" i="6"/>
  <c r="V427" i="6"/>
  <c r="V426" i="6"/>
  <c r="V425" i="6"/>
  <c r="V424" i="6"/>
  <c r="V423" i="6"/>
  <c r="V422" i="6"/>
  <c r="V421" i="6"/>
  <c r="V420" i="6"/>
  <c r="V419" i="6"/>
  <c r="V418" i="6"/>
  <c r="V417" i="6"/>
  <c r="V416" i="6"/>
  <c r="V415" i="6"/>
  <c r="V414" i="6"/>
  <c r="V413" i="6"/>
  <c r="V412" i="6"/>
  <c r="V411" i="6"/>
  <c r="V410" i="6"/>
  <c r="V409" i="6"/>
  <c r="V408" i="6"/>
  <c r="V407" i="6"/>
  <c r="V406" i="6"/>
  <c r="V405" i="6"/>
  <c r="V404" i="6"/>
  <c r="V403" i="6"/>
  <c r="V402" i="6"/>
  <c r="V401" i="6"/>
  <c r="V400" i="6"/>
  <c r="V399" i="6"/>
  <c r="V398" i="6"/>
  <c r="V397" i="6"/>
  <c r="V396" i="6"/>
  <c r="V395" i="6"/>
  <c r="V394" i="6"/>
  <c r="V393" i="6"/>
  <c r="V392" i="6"/>
  <c r="V391" i="6"/>
  <c r="V390" i="6"/>
  <c r="V389" i="6"/>
  <c r="V388" i="6"/>
  <c r="V387" i="6"/>
  <c r="V386" i="6"/>
  <c r="V385" i="6"/>
  <c r="V384" i="6"/>
  <c r="V383" i="6"/>
  <c r="V382" i="6"/>
  <c r="V381" i="6"/>
  <c r="V380" i="6"/>
  <c r="V379" i="6"/>
  <c r="V378" i="6"/>
  <c r="V377" i="6"/>
  <c r="V376" i="6"/>
  <c r="V375" i="6"/>
  <c r="V374" i="6"/>
  <c r="V373" i="6"/>
  <c r="V372" i="6"/>
  <c r="V371" i="6"/>
  <c r="V370" i="6"/>
  <c r="V369" i="6"/>
  <c r="V368" i="6"/>
  <c r="V367" i="6"/>
  <c r="V366" i="6"/>
  <c r="V365" i="6"/>
  <c r="V364" i="6"/>
  <c r="V363" i="6"/>
  <c r="V362" i="6"/>
  <c r="V361" i="6"/>
  <c r="V360" i="6"/>
  <c r="V359" i="6"/>
  <c r="V358" i="6"/>
  <c r="V357" i="6"/>
  <c r="V356" i="6"/>
  <c r="V355" i="6"/>
  <c r="V354" i="6"/>
  <c r="V353" i="6"/>
  <c r="V352" i="6"/>
  <c r="V351" i="6"/>
  <c r="V350" i="6"/>
  <c r="V349" i="6"/>
  <c r="V348" i="6"/>
  <c r="V347" i="6"/>
  <c r="V346" i="6"/>
  <c r="V345" i="6"/>
  <c r="V344" i="6"/>
  <c r="V343" i="6"/>
  <c r="V342" i="6"/>
  <c r="V341" i="6"/>
  <c r="V340" i="6"/>
  <c r="V339" i="6"/>
  <c r="V338" i="6"/>
  <c r="V337" i="6"/>
  <c r="V336" i="6"/>
  <c r="V335" i="6"/>
  <c r="V334" i="6"/>
  <c r="V333" i="6"/>
  <c r="V332" i="6"/>
  <c r="V331" i="6"/>
  <c r="V330" i="6"/>
  <c r="V329" i="6"/>
  <c r="V328" i="6"/>
  <c r="V327" i="6"/>
  <c r="V326" i="6"/>
  <c r="V325" i="6"/>
  <c r="V324" i="6"/>
  <c r="V323" i="6"/>
  <c r="V322" i="6"/>
  <c r="V321" i="6"/>
  <c r="V320" i="6"/>
  <c r="V319" i="6"/>
  <c r="V318" i="6"/>
  <c r="V317" i="6"/>
  <c r="V316" i="6"/>
  <c r="V315" i="6"/>
  <c r="V314" i="6"/>
  <c r="V313" i="6"/>
  <c r="V312" i="6"/>
  <c r="V311" i="6"/>
  <c r="V310" i="6"/>
  <c r="V309" i="6"/>
  <c r="V308" i="6"/>
  <c r="V307" i="6"/>
  <c r="V306" i="6"/>
  <c r="V305" i="6"/>
  <c r="V304" i="6"/>
  <c r="V303" i="6"/>
  <c r="V302" i="6"/>
  <c r="V301" i="6"/>
  <c r="V300" i="6"/>
  <c r="V299" i="6"/>
  <c r="V298" i="6"/>
  <c r="V297" i="6"/>
  <c r="V296" i="6"/>
  <c r="V295" i="6"/>
  <c r="V294" i="6"/>
  <c r="V293" i="6"/>
  <c r="V292" i="6"/>
  <c r="V291" i="6"/>
  <c r="V290" i="6"/>
  <c r="V289" i="6"/>
  <c r="V288" i="6"/>
  <c r="V287" i="6"/>
  <c r="V286" i="6"/>
  <c r="V285" i="6"/>
  <c r="V284" i="6"/>
  <c r="V283" i="6"/>
  <c r="V282" i="6"/>
  <c r="V281" i="6"/>
  <c r="V280" i="6"/>
  <c r="V279" i="6"/>
  <c r="V278" i="6"/>
  <c r="V277" i="6"/>
  <c r="V276" i="6"/>
  <c r="V275" i="6"/>
  <c r="V274" i="6"/>
  <c r="V273" i="6"/>
  <c r="V272" i="6"/>
  <c r="V271" i="6"/>
  <c r="V270" i="6"/>
  <c r="V269" i="6"/>
  <c r="V268" i="6"/>
  <c r="V267" i="6"/>
  <c r="V266" i="6"/>
  <c r="V265" i="6"/>
  <c r="V264" i="6"/>
  <c r="V263" i="6"/>
  <c r="V262" i="6"/>
  <c r="V261" i="6"/>
  <c r="V260" i="6"/>
  <c r="V259" i="6"/>
  <c r="V258" i="6"/>
  <c r="V257" i="6"/>
  <c r="V256" i="6"/>
  <c r="V255" i="6"/>
  <c r="V254" i="6"/>
  <c r="V253" i="6"/>
  <c r="V252" i="6"/>
  <c r="V251" i="6"/>
  <c r="V250" i="6"/>
  <c r="V249" i="6"/>
  <c r="V248" i="6"/>
  <c r="V247" i="6"/>
  <c r="V246" i="6"/>
  <c r="V245" i="6"/>
  <c r="V244" i="6"/>
  <c r="V243" i="6"/>
  <c r="V242" i="6"/>
  <c r="V241" i="6"/>
  <c r="V240" i="6"/>
  <c r="V239" i="6"/>
  <c r="V238" i="6"/>
  <c r="V237" i="6"/>
  <c r="V236" i="6"/>
  <c r="V235" i="6"/>
  <c r="V234" i="6"/>
  <c r="V233" i="6"/>
  <c r="V232" i="6"/>
  <c r="V231" i="6"/>
  <c r="V230" i="6"/>
  <c r="V229" i="6"/>
  <c r="V228" i="6"/>
  <c r="V227" i="6"/>
  <c r="V226" i="6"/>
  <c r="V225" i="6"/>
  <c r="V224" i="6"/>
  <c r="V223" i="6"/>
  <c r="V222" i="6"/>
  <c r="V221" i="6"/>
  <c r="V220" i="6"/>
  <c r="V219" i="6"/>
  <c r="V218" i="6"/>
  <c r="V217" i="6"/>
  <c r="V216" i="6"/>
  <c r="V215" i="6"/>
  <c r="V214" i="6"/>
  <c r="V213" i="6"/>
  <c r="V212" i="6"/>
  <c r="V211" i="6"/>
  <c r="V210" i="6"/>
  <c r="V209" i="6"/>
  <c r="V208" i="6"/>
  <c r="V207" i="6"/>
  <c r="V206" i="6"/>
  <c r="V205" i="6"/>
  <c r="V204" i="6"/>
  <c r="V203" i="6"/>
  <c r="V202" i="6"/>
  <c r="V201" i="6"/>
  <c r="V200" i="6"/>
  <c r="V199" i="6"/>
  <c r="V198" i="6"/>
  <c r="V197" i="6"/>
  <c r="V196" i="6"/>
  <c r="V195" i="6"/>
  <c r="V194" i="6"/>
  <c r="V193" i="6"/>
  <c r="V192" i="6"/>
  <c r="V191" i="6"/>
  <c r="V190" i="6"/>
  <c r="V189" i="6"/>
  <c r="V188" i="6"/>
  <c r="V187" i="6"/>
  <c r="V186" i="6"/>
  <c r="V185" i="6"/>
  <c r="V184" i="6"/>
  <c r="V183" i="6"/>
  <c r="V182" i="6"/>
  <c r="V181" i="6"/>
  <c r="V180" i="6"/>
  <c r="V179" i="6"/>
  <c r="V178" i="6"/>
  <c r="V177" i="6"/>
  <c r="V176" i="6"/>
  <c r="V175" i="6"/>
  <c r="V174" i="6"/>
  <c r="V173" i="6"/>
  <c r="V172" i="6"/>
  <c r="V171" i="6"/>
  <c r="V170" i="6"/>
  <c r="V169" i="6"/>
  <c r="V168" i="6"/>
  <c r="V167" i="6"/>
  <c r="V166" i="6"/>
  <c r="V165" i="6"/>
  <c r="V164" i="6"/>
  <c r="V163" i="6"/>
  <c r="V162" i="6"/>
  <c r="V161" i="6"/>
  <c r="V160" i="6"/>
  <c r="V159" i="6"/>
  <c r="V158" i="6"/>
  <c r="V157" i="6"/>
  <c r="V156" i="6"/>
  <c r="V155" i="6"/>
  <c r="V154" i="6"/>
  <c r="V153" i="6"/>
  <c r="V152" i="6"/>
  <c r="V151" i="6"/>
  <c r="V150" i="6"/>
  <c r="V149" i="6"/>
  <c r="V148" i="6"/>
  <c r="V147" i="6"/>
  <c r="V146" i="6"/>
  <c r="V145" i="6"/>
  <c r="V144" i="6"/>
  <c r="V143" i="6"/>
  <c r="V142" i="6"/>
  <c r="V141" i="6"/>
  <c r="V140" i="6"/>
  <c r="V139" i="6"/>
  <c r="V138" i="6"/>
  <c r="V137" i="6"/>
  <c r="V136" i="6"/>
  <c r="V135" i="6"/>
  <c r="V134" i="6"/>
  <c r="V133" i="6"/>
  <c r="V132" i="6"/>
  <c r="V131" i="6"/>
  <c r="V130" i="6"/>
  <c r="V129" i="6"/>
  <c r="V128" i="6"/>
  <c r="V127" i="6"/>
  <c r="V126" i="6"/>
  <c r="V125" i="6"/>
  <c r="V124" i="6"/>
  <c r="V123" i="6"/>
  <c r="V122" i="6"/>
  <c r="V121" i="6"/>
  <c r="V120" i="6"/>
  <c r="V119" i="6"/>
  <c r="V118" i="6"/>
  <c r="V117" i="6"/>
  <c r="V116" i="6"/>
  <c r="V115" i="6"/>
  <c r="V114" i="6"/>
  <c r="V113" i="6"/>
  <c r="V112" i="6"/>
  <c r="V111" i="6"/>
  <c r="V110" i="6"/>
  <c r="V109" i="6"/>
  <c r="V108" i="6"/>
  <c r="V107" i="6"/>
  <c r="V106" i="6"/>
  <c r="V105" i="6"/>
  <c r="V104" i="6"/>
  <c r="V103" i="6"/>
  <c r="V102" i="6"/>
  <c r="V101" i="6"/>
  <c r="V100" i="6"/>
  <c r="V99" i="6"/>
  <c r="V98" i="6"/>
  <c r="V97" i="6"/>
  <c r="V96" i="6"/>
  <c r="V95" i="6"/>
  <c r="V94" i="6"/>
  <c r="V93" i="6"/>
  <c r="V92" i="6"/>
  <c r="V91" i="6"/>
  <c r="V90" i="6"/>
  <c r="V89" i="6"/>
  <c r="V88" i="6"/>
  <c r="V87" i="6"/>
  <c r="V86" i="6"/>
  <c r="V85" i="6"/>
  <c r="V84" i="6"/>
  <c r="V83" i="6"/>
  <c r="V82" i="6"/>
  <c r="V81" i="6"/>
  <c r="V80" i="6"/>
  <c r="V79" i="6"/>
  <c r="V78" i="6"/>
  <c r="V77" i="6"/>
  <c r="V76" i="6"/>
  <c r="V75" i="6"/>
  <c r="V74" i="6"/>
  <c r="V73" i="6"/>
  <c r="V72" i="6"/>
  <c r="V71" i="6"/>
  <c r="V70" i="6"/>
  <c r="V69" i="6"/>
  <c r="V68" i="6"/>
  <c r="V67" i="6"/>
  <c r="V66" i="6"/>
  <c r="V65" i="6"/>
  <c r="V64" i="6"/>
  <c r="V63" i="6"/>
  <c r="V62" i="6"/>
  <c r="V61" i="6"/>
  <c r="V60" i="6"/>
  <c r="V59" i="6"/>
  <c r="V58" i="6"/>
  <c r="V57" i="6"/>
  <c r="V56" i="6"/>
  <c r="V55" i="6"/>
  <c r="V54" i="6"/>
  <c r="V53" i="6"/>
  <c r="V52" i="6"/>
  <c r="V51" i="6"/>
  <c r="V50" i="6"/>
  <c r="V49" i="6"/>
  <c r="V48" i="6"/>
  <c r="V47" i="6"/>
  <c r="V46" i="6"/>
  <c r="V45" i="6"/>
  <c r="V44" i="6"/>
  <c r="V43" i="6"/>
  <c r="V42" i="6"/>
  <c r="V41" i="6"/>
  <c r="V40" i="6"/>
  <c r="V39" i="6"/>
  <c r="V38" i="6"/>
  <c r="V37" i="6"/>
  <c r="V36" i="6"/>
  <c r="V35" i="6"/>
  <c r="V34" i="6"/>
  <c r="V33" i="6"/>
  <c r="V32" i="6"/>
  <c r="V31" i="6"/>
  <c r="V30" i="6"/>
  <c r="V29" i="6"/>
  <c r="V28" i="6"/>
  <c r="V27" i="6"/>
  <c r="V26" i="6"/>
  <c r="V25" i="6"/>
  <c r="V24" i="6"/>
  <c r="V23" i="6"/>
  <c r="V22" i="6"/>
  <c r="V21" i="6"/>
  <c r="V20" i="6"/>
  <c r="V19" i="6"/>
  <c r="V18" i="6"/>
  <c r="V17" i="6"/>
  <c r="V16" i="6"/>
  <c r="V15" i="6"/>
  <c r="V14" i="6"/>
  <c r="V13" i="6"/>
  <c r="V12" i="6"/>
  <c r="V11" i="6"/>
  <c r="V10" i="6"/>
  <c r="V9" i="6"/>
  <c r="V8" i="6"/>
  <c r="V7" i="6"/>
  <c r="V6" i="6"/>
  <c r="V5" i="6"/>
  <c r="V4" i="6"/>
  <c r="V3" i="6"/>
  <c r="V2" i="6"/>
  <c r="AK47" i="6"/>
  <c r="AK53" i="6" s="1"/>
  <c r="AK42" i="6"/>
  <c r="AK41" i="6"/>
  <c r="AK40" i="6" a="1"/>
  <c r="AK40" i="6" s="1"/>
  <c r="AK36" i="6"/>
  <c r="AK34" i="6"/>
  <c r="AK35" i="6"/>
  <c r="AK37" i="6" s="1" a="1"/>
  <c r="AK37" i="6" s="1"/>
  <c r="AO34" i="6" a="1"/>
  <c r="AO34" i="6" s="1"/>
  <c r="AK25" i="6"/>
  <c r="AK26" i="6"/>
  <c r="AK27" i="6"/>
  <c r="AK28" i="6"/>
  <c r="AK29" i="6"/>
  <c r="AK30" i="6"/>
  <c r="AK24" i="6"/>
  <c r="AK22" i="6"/>
  <c r="AQ3" i="6" a="1"/>
  <c r="AQ3" i="6" s="1"/>
  <c r="AK15" i="6"/>
  <c r="AJ24" i="6" a="1"/>
  <c r="AK18" i="6"/>
  <c r="AM12" i="6"/>
  <c r="AL12" i="6"/>
  <c r="AK12" i="6"/>
  <c r="AM11" i="6"/>
  <c r="AM10" i="6"/>
  <c r="AL10" i="6"/>
  <c r="AL11" i="6"/>
  <c r="AK11" i="6"/>
  <c r="AK10" i="6"/>
  <c r="AK7" i="6"/>
  <c r="AK6" i="6"/>
  <c r="AK5" i="6"/>
  <c r="AK4" i="6"/>
  <c r="AK3" i="6"/>
  <c r="AW2" i="2" a="1"/>
  <c r="AW2" i="2" s="1"/>
  <c r="AW3" i="2" a="1"/>
  <c r="AW3" i="2" s="1"/>
  <c r="AW4" i="2" a="1"/>
  <c r="AW4" i="2" s="1"/>
  <c r="AW5" i="2" a="1"/>
  <c r="AW5" i="2" s="1"/>
  <c r="AW6" i="2" a="1"/>
  <c r="AW6" i="2"/>
  <c r="AW7" i="2" a="1"/>
  <c r="AW7" i="2"/>
  <c r="AW8" i="2" a="1"/>
  <c r="AW8" i="2" s="1"/>
  <c r="AW9" i="2" a="1"/>
  <c r="AW9" i="2"/>
  <c r="AW10" i="2" a="1"/>
  <c r="AW10" i="2" s="1"/>
  <c r="AW11" i="2" a="1"/>
  <c r="AW11" i="2" s="1"/>
  <c r="AW12" i="2" a="1"/>
  <c r="AW12" i="2" s="1"/>
  <c r="AW13" i="2" a="1"/>
  <c r="AW13" i="2" s="1"/>
  <c r="AW14" i="2" a="1"/>
  <c r="AW14" i="2" s="1"/>
  <c r="AW15" i="2" a="1"/>
  <c r="AW15" i="2" s="1"/>
  <c r="AW16" i="2" a="1"/>
  <c r="AW16" i="2" s="1"/>
  <c r="AW17" i="2" a="1"/>
  <c r="AW17" i="2"/>
  <c r="AW18" i="2" a="1"/>
  <c r="AW18" i="2" s="1"/>
  <c r="AW19" i="2" a="1"/>
  <c r="AW19" i="2" s="1"/>
  <c r="AW20" i="2" a="1"/>
  <c r="AW20" i="2" s="1"/>
  <c r="AW21" i="2" a="1"/>
  <c r="AW21" i="2" s="1"/>
  <c r="AW22" i="2" a="1"/>
  <c r="AW22" i="2" s="1"/>
  <c r="AW23" i="2" a="1"/>
  <c r="AW23" i="2" s="1"/>
  <c r="AW24" i="2" a="1"/>
  <c r="AW24" i="2" s="1"/>
  <c r="AW25" i="2" a="1"/>
  <c r="AW25" i="2"/>
  <c r="AW26" i="2" a="1"/>
  <c r="AW26" i="2" s="1"/>
  <c r="AW27" i="2" a="1"/>
  <c r="AW27" i="2" s="1"/>
  <c r="AW28" i="2" a="1"/>
  <c r="AW28" i="2" s="1"/>
  <c r="AW29" i="2" a="1"/>
  <c r="AW29" i="2" s="1"/>
  <c r="AW30" i="2" a="1"/>
  <c r="AW30" i="2" s="1"/>
  <c r="AW31" i="2" a="1"/>
  <c r="AW31" i="2" s="1"/>
  <c r="AW32" i="2" a="1"/>
  <c r="AW32" i="2" s="1"/>
  <c r="AW33" i="2" a="1"/>
  <c r="AW33" i="2"/>
  <c r="AW34" i="2" a="1"/>
  <c r="AW34" i="2" s="1"/>
  <c r="AW35" i="2" a="1"/>
  <c r="AW35" i="2" s="1"/>
  <c r="AW36" i="2" a="1"/>
  <c r="AW36" i="2" s="1"/>
  <c r="AW37" i="2" a="1"/>
  <c r="AW37" i="2" s="1"/>
  <c r="AW38" i="2" a="1"/>
  <c r="AW38" i="2" s="1"/>
  <c r="AW39" i="2" a="1"/>
  <c r="AW39" i="2" s="1"/>
  <c r="AW40" i="2" a="1"/>
  <c r="AW40" i="2" s="1"/>
  <c r="AW41" i="2" a="1"/>
  <c r="AW41" i="2"/>
  <c r="AW42" i="2" a="1"/>
  <c r="AW42" i="2" s="1"/>
  <c r="AW43" i="2" a="1"/>
  <c r="AW43" i="2" s="1"/>
  <c r="AW44" i="2" a="1"/>
  <c r="AW44" i="2" s="1"/>
  <c r="AW45" i="2" a="1"/>
  <c r="AW45" i="2" s="1"/>
  <c r="AW46" i="2" a="1"/>
  <c r="AW46" i="2" s="1"/>
  <c r="AW47" i="2" a="1"/>
  <c r="AW47" i="2" s="1"/>
  <c r="AW48" i="2" a="1"/>
  <c r="AW48" i="2" s="1"/>
  <c r="AW49" i="2" a="1"/>
  <c r="AW49" i="2"/>
  <c r="AW50" i="2" a="1"/>
  <c r="AW50" i="2" s="1"/>
  <c r="AW51" i="2" a="1"/>
  <c r="AW51" i="2" s="1"/>
  <c r="AW52" i="2" a="1"/>
  <c r="AW52" i="2" s="1"/>
  <c r="AW53" i="2" a="1"/>
  <c r="AW53" i="2" s="1"/>
  <c r="AW54" i="2" a="1"/>
  <c r="AW54" i="2" s="1"/>
  <c r="AW55" i="2" a="1"/>
  <c r="AW55" i="2" s="1"/>
  <c r="AW56" i="2" a="1"/>
  <c r="AW56" i="2" s="1"/>
  <c r="AW57" i="2" a="1"/>
  <c r="AW57" i="2"/>
  <c r="AW58" i="2" a="1"/>
  <c r="AW58" i="2" s="1"/>
  <c r="AW59" i="2" a="1"/>
  <c r="AW59" i="2" s="1"/>
  <c r="AW60" i="2" a="1"/>
  <c r="AW60" i="2" s="1"/>
  <c r="AW61" i="2" a="1"/>
  <c r="AW61" i="2" s="1"/>
  <c r="AW62" i="2" a="1"/>
  <c r="AW62" i="2" s="1"/>
  <c r="AW63" i="2" a="1"/>
  <c r="AW63" i="2" s="1"/>
  <c r="AW64" i="2" a="1"/>
  <c r="AW64" i="2" s="1"/>
  <c r="AW65" i="2" a="1"/>
  <c r="AW65" i="2"/>
  <c r="AW66" i="2" a="1"/>
  <c r="AW66" i="2" s="1"/>
  <c r="AW67" i="2" a="1"/>
  <c r="AW67" i="2" s="1"/>
  <c r="AW68" i="2" a="1"/>
  <c r="AW68" i="2" s="1"/>
  <c r="AW69" i="2" a="1"/>
  <c r="AW69" i="2" s="1"/>
  <c r="AW70" i="2" a="1"/>
  <c r="AW70" i="2" s="1"/>
  <c r="AW71" i="2" a="1"/>
  <c r="AW71" i="2" s="1"/>
  <c r="AW72" i="2" a="1"/>
  <c r="AW72" i="2" s="1"/>
  <c r="AW73" i="2" a="1"/>
  <c r="AW73" i="2"/>
  <c r="AW74" i="2" a="1"/>
  <c r="AW74" i="2" s="1"/>
  <c r="AW75" i="2" a="1"/>
  <c r="AW75" i="2" s="1"/>
  <c r="AW76" i="2" a="1"/>
  <c r="AW76" i="2" s="1"/>
  <c r="AW77" i="2" a="1"/>
  <c r="AW77" i="2" s="1"/>
  <c r="AW78" i="2" a="1"/>
  <c r="AW78" i="2" s="1"/>
  <c r="AW79" i="2" a="1"/>
  <c r="AW79" i="2" s="1"/>
  <c r="AW80" i="2" a="1"/>
  <c r="AW80" i="2" s="1"/>
  <c r="AW81" i="2" a="1"/>
  <c r="AW81" i="2"/>
  <c r="AW82" i="2" a="1"/>
  <c r="AW82" i="2" s="1"/>
  <c r="AW83" i="2" a="1"/>
  <c r="AW83" i="2" s="1"/>
  <c r="AW84" i="2" a="1"/>
  <c r="AW84" i="2" s="1"/>
  <c r="AW85" i="2" a="1"/>
  <c r="AW85" i="2" s="1"/>
  <c r="AW86" i="2" a="1"/>
  <c r="AW86" i="2" s="1"/>
  <c r="AW87" i="2" a="1"/>
  <c r="AW87" i="2" s="1"/>
  <c r="AW88" i="2" a="1"/>
  <c r="AW88" i="2" s="1"/>
  <c r="AW89" i="2" a="1"/>
  <c r="AW89" i="2"/>
  <c r="AW90" i="2" a="1"/>
  <c r="AW90" i="2" s="1"/>
  <c r="AW91" i="2" a="1"/>
  <c r="AW91" i="2" s="1"/>
  <c r="AW92" i="2" a="1"/>
  <c r="AW92" i="2" s="1"/>
  <c r="AW93" i="2" a="1"/>
  <c r="AW93" i="2" s="1"/>
  <c r="AW94" i="2" a="1"/>
  <c r="AW94" i="2" s="1"/>
  <c r="AW95" i="2" a="1"/>
  <c r="AW95" i="2" s="1"/>
  <c r="AW96" i="2" a="1"/>
  <c r="AW96" i="2" s="1"/>
  <c r="AW97" i="2" a="1"/>
  <c r="AW97" i="2"/>
  <c r="AW98" i="2" a="1"/>
  <c r="AW98" i="2" s="1"/>
  <c r="AW99" i="2" a="1"/>
  <c r="AW99" i="2" s="1"/>
  <c r="AW100" i="2" a="1"/>
  <c r="AW100" i="2" s="1"/>
  <c r="AW101" i="2" a="1"/>
  <c r="AW101" i="2" s="1"/>
  <c r="AW102" i="2" a="1"/>
  <c r="AW102" i="2" s="1"/>
  <c r="AW103" i="2" a="1"/>
  <c r="AW103" i="2" s="1"/>
  <c r="AW104" i="2" a="1"/>
  <c r="AW104" i="2" s="1"/>
  <c r="AW105" i="2" a="1"/>
  <c r="AW105" i="2"/>
  <c r="AW106" i="2" a="1"/>
  <c r="AW106" i="2" s="1"/>
  <c r="AW107" i="2" a="1"/>
  <c r="AW107" i="2" s="1"/>
  <c r="AW108" i="2" a="1"/>
  <c r="AW108" i="2" s="1"/>
  <c r="AW109" i="2" a="1"/>
  <c r="AW109" i="2" s="1"/>
  <c r="AW110" i="2" a="1"/>
  <c r="AW110" i="2" s="1"/>
  <c r="AW111" i="2" a="1"/>
  <c r="AW111" i="2" s="1"/>
  <c r="AW112" i="2" a="1"/>
  <c r="AW112" i="2" s="1"/>
  <c r="AW113" i="2" a="1"/>
  <c r="AW113" i="2"/>
  <c r="AW114" i="2" a="1"/>
  <c r="AW114" i="2" s="1"/>
  <c r="AW115" i="2" a="1"/>
  <c r="AW115" i="2" s="1"/>
  <c r="AW116" i="2" a="1"/>
  <c r="AW116" i="2" s="1"/>
  <c r="AW117" i="2" a="1"/>
  <c r="AW117" i="2" s="1"/>
  <c r="AW118" i="2" a="1"/>
  <c r="AW118" i="2" s="1"/>
  <c r="AW119" i="2" a="1"/>
  <c r="AW119" i="2" s="1"/>
  <c r="AW120" i="2" a="1"/>
  <c r="AW120" i="2" s="1"/>
  <c r="AW121" i="2" a="1"/>
  <c r="AW121" i="2"/>
  <c r="AW122" i="2" a="1"/>
  <c r="AW122" i="2" s="1"/>
  <c r="AW123" i="2" a="1"/>
  <c r="AW123" i="2" s="1"/>
  <c r="AW124" i="2" a="1"/>
  <c r="AW124" i="2" s="1"/>
  <c r="AW125" i="2" a="1"/>
  <c r="AW125" i="2" s="1"/>
  <c r="AW126" i="2" a="1"/>
  <c r="AW126" i="2" s="1"/>
  <c r="AW127" i="2" a="1"/>
  <c r="AW127" i="2" s="1"/>
  <c r="AW128" i="2" a="1"/>
  <c r="AW128" i="2" s="1"/>
  <c r="AW129" i="2" a="1"/>
  <c r="AW129" i="2"/>
  <c r="AW130" i="2" a="1"/>
  <c r="AW130" i="2" s="1"/>
  <c r="AW131" i="2" a="1"/>
  <c r="AW131" i="2" s="1"/>
  <c r="AW132" i="2" a="1"/>
  <c r="AW132" i="2" s="1"/>
  <c r="AW133" i="2" a="1"/>
  <c r="AW133" i="2" s="1"/>
  <c r="AW134" i="2" a="1"/>
  <c r="AW134" i="2" s="1"/>
  <c r="AW135" i="2" a="1"/>
  <c r="AW135" i="2" s="1"/>
  <c r="AW136" i="2" a="1"/>
  <c r="AW136" i="2" s="1"/>
  <c r="AW137" i="2" a="1"/>
  <c r="AW137" i="2"/>
  <c r="AW138" i="2" a="1"/>
  <c r="AW138" i="2" s="1"/>
  <c r="AW139" i="2" a="1"/>
  <c r="AW139" i="2" s="1"/>
  <c r="AW140" i="2" a="1"/>
  <c r="AW140" i="2" s="1"/>
  <c r="AW141" i="2" a="1"/>
  <c r="AW141" i="2" s="1"/>
  <c r="AW142" i="2" a="1"/>
  <c r="AW142" i="2" s="1"/>
  <c r="AW143" i="2" a="1"/>
  <c r="AW143" i="2" s="1"/>
  <c r="AW144" i="2" a="1"/>
  <c r="AW144" i="2" s="1"/>
  <c r="AW145" i="2" a="1"/>
  <c r="AW145" i="2"/>
  <c r="AW146" i="2" a="1"/>
  <c r="AW146" i="2" s="1"/>
  <c r="AW147" i="2" a="1"/>
  <c r="AW147" i="2" s="1"/>
  <c r="AW148" i="2" a="1"/>
  <c r="AW148" i="2" s="1"/>
  <c r="AW149" i="2" a="1"/>
  <c r="AW149" i="2" s="1"/>
  <c r="AW150" i="2" a="1"/>
  <c r="AW150" i="2" s="1"/>
  <c r="AW151" i="2" a="1"/>
  <c r="AW151" i="2" s="1"/>
  <c r="AW152" i="2" a="1"/>
  <c r="AW152" i="2" s="1"/>
  <c r="AW153" i="2" a="1"/>
  <c r="AW153" i="2"/>
  <c r="AW154" i="2" a="1"/>
  <c r="AW154" i="2" s="1"/>
  <c r="AW155" i="2" a="1"/>
  <c r="AW155" i="2" s="1"/>
  <c r="AW156" i="2" a="1"/>
  <c r="AW156" i="2" s="1"/>
  <c r="AW157" i="2" a="1"/>
  <c r="AW157" i="2" s="1"/>
  <c r="AW158" i="2" a="1"/>
  <c r="AW158" i="2" s="1"/>
  <c r="AW159" i="2" a="1"/>
  <c r="AW159" i="2" s="1"/>
  <c r="AW160" i="2" a="1"/>
  <c r="AW160" i="2" s="1"/>
  <c r="AW161" i="2" a="1"/>
  <c r="AW161" i="2"/>
  <c r="AW162" i="2" a="1"/>
  <c r="AW162" i="2" s="1"/>
  <c r="AW163" i="2" a="1"/>
  <c r="AW163" i="2" s="1"/>
  <c r="AW164" i="2" a="1"/>
  <c r="AW164" i="2" s="1"/>
  <c r="AW165" i="2" a="1"/>
  <c r="AW165" i="2" s="1"/>
  <c r="AW166" i="2" a="1"/>
  <c r="AW166" i="2" s="1"/>
  <c r="AW167" i="2" a="1"/>
  <c r="AW167" i="2" s="1"/>
  <c r="AW168" i="2" a="1"/>
  <c r="AW168" i="2" s="1"/>
  <c r="AW169" i="2" a="1"/>
  <c r="AW169" i="2"/>
  <c r="AW170" i="2" a="1"/>
  <c r="AW170" i="2" s="1"/>
  <c r="AW171" i="2" a="1"/>
  <c r="AW171" i="2" s="1"/>
  <c r="AW172" i="2" a="1"/>
  <c r="AW172" i="2" s="1"/>
  <c r="AW173" i="2" a="1"/>
  <c r="AW173" i="2" s="1"/>
  <c r="AW174" i="2" a="1"/>
  <c r="AW174" i="2" s="1"/>
  <c r="AW175" i="2" a="1"/>
  <c r="AW175" i="2" s="1"/>
  <c r="AW176" i="2" a="1"/>
  <c r="AW176" i="2" s="1"/>
  <c r="AW177" i="2" a="1"/>
  <c r="AW177" i="2"/>
  <c r="AW178" i="2" a="1"/>
  <c r="AW178" i="2" s="1"/>
  <c r="AW179" i="2" a="1"/>
  <c r="AW179" i="2" s="1"/>
  <c r="AW180" i="2" a="1"/>
  <c r="AW180" i="2" s="1"/>
  <c r="AW181" i="2" a="1"/>
  <c r="AW181" i="2" s="1"/>
  <c r="AW182" i="2" a="1"/>
  <c r="AW182" i="2" s="1"/>
  <c r="AW183" i="2" a="1"/>
  <c r="AW183" i="2" s="1"/>
  <c r="AW184" i="2" a="1"/>
  <c r="AW184" i="2" s="1"/>
  <c r="AW185" i="2" a="1"/>
  <c r="AW185" i="2"/>
  <c r="AW186" i="2" a="1"/>
  <c r="AW186" i="2" s="1"/>
  <c r="AW187" i="2" a="1"/>
  <c r="AW187" i="2" s="1"/>
  <c r="AW188" i="2" a="1"/>
  <c r="AW188" i="2" s="1"/>
  <c r="AW189" i="2" a="1"/>
  <c r="AW189" i="2" s="1"/>
  <c r="AW190" i="2" a="1"/>
  <c r="AW190" i="2" s="1"/>
  <c r="AW191" i="2" a="1"/>
  <c r="AW191" i="2" s="1"/>
  <c r="AW192" i="2" a="1"/>
  <c r="AW192" i="2" s="1"/>
  <c r="AW193" i="2" a="1"/>
  <c r="AW193" i="2"/>
  <c r="AW194" i="2" a="1"/>
  <c r="AW194" i="2" s="1"/>
  <c r="AW195" i="2" a="1"/>
  <c r="AW195" i="2" s="1"/>
  <c r="AW196" i="2" a="1"/>
  <c r="AW196" i="2" s="1"/>
  <c r="AW197" i="2" a="1"/>
  <c r="AW197" i="2" s="1"/>
  <c r="AW198" i="2" a="1"/>
  <c r="AW198" i="2" s="1"/>
  <c r="AW199" i="2" a="1"/>
  <c r="AW199" i="2" s="1"/>
  <c r="AW200" i="2" a="1"/>
  <c r="AW200" i="2" s="1"/>
  <c r="AW201" i="2" a="1"/>
  <c r="AW201" i="2"/>
  <c r="AW202" i="2" a="1"/>
  <c r="AW202" i="2" s="1"/>
  <c r="AW203" i="2" a="1"/>
  <c r="AW203" i="2" s="1"/>
  <c r="AW204" i="2" a="1"/>
  <c r="AW204" i="2" s="1"/>
  <c r="AW205" i="2" a="1"/>
  <c r="AW205" i="2" s="1"/>
  <c r="AW206" i="2" a="1"/>
  <c r="AW206" i="2" s="1"/>
  <c r="AW207" i="2" a="1"/>
  <c r="AW207" i="2" s="1"/>
  <c r="AW208" i="2" a="1"/>
  <c r="AW208" i="2" s="1"/>
  <c r="AW209" i="2" a="1"/>
  <c r="AW209" i="2"/>
  <c r="AW210" i="2" a="1"/>
  <c r="AW210" i="2" s="1"/>
  <c r="AW211" i="2" a="1"/>
  <c r="AW211" i="2" s="1"/>
  <c r="AW212" i="2" a="1"/>
  <c r="AW212" i="2" s="1"/>
  <c r="AW213" i="2" a="1"/>
  <c r="AW213" i="2" s="1"/>
  <c r="AW214" i="2" a="1"/>
  <c r="AW214" i="2" s="1"/>
  <c r="AW215" i="2" a="1"/>
  <c r="AW215" i="2" s="1"/>
  <c r="AW216" i="2" a="1"/>
  <c r="AW216" i="2" s="1"/>
  <c r="AW217" i="2" a="1"/>
  <c r="AW217" i="2"/>
  <c r="AW218" i="2" a="1"/>
  <c r="AW218" i="2" s="1"/>
  <c r="AW219" i="2" a="1"/>
  <c r="AW219" i="2" s="1"/>
  <c r="AW220" i="2" a="1"/>
  <c r="AW220" i="2" s="1"/>
  <c r="AW221" i="2" a="1"/>
  <c r="AW221" i="2" s="1"/>
  <c r="AW222" i="2" a="1"/>
  <c r="AW222" i="2" s="1"/>
  <c r="AW223" i="2" a="1"/>
  <c r="AW223" i="2" s="1"/>
  <c r="AW224" i="2" a="1"/>
  <c r="AW224" i="2" s="1"/>
  <c r="AW225" i="2" a="1"/>
  <c r="AW225" i="2"/>
  <c r="AW226" i="2" a="1"/>
  <c r="AW226" i="2" s="1"/>
  <c r="AW227" i="2" a="1"/>
  <c r="AW227" i="2" s="1"/>
  <c r="AW228" i="2" a="1"/>
  <c r="AW228" i="2" s="1"/>
  <c r="AW229" i="2" a="1"/>
  <c r="AW229" i="2" s="1"/>
  <c r="AW230" i="2" a="1"/>
  <c r="AW230" i="2" s="1"/>
  <c r="AW231" i="2" a="1"/>
  <c r="AW231" i="2" s="1"/>
  <c r="AW232" i="2" a="1"/>
  <c r="AW232" i="2" s="1"/>
  <c r="AW233" i="2" a="1"/>
  <c r="AW233" i="2"/>
  <c r="AW234" i="2" a="1"/>
  <c r="AW234" i="2" s="1"/>
  <c r="AW235" i="2" a="1"/>
  <c r="AW235" i="2" s="1"/>
  <c r="AW236" i="2" a="1"/>
  <c r="AW236" i="2" s="1"/>
  <c r="AW237" i="2" a="1"/>
  <c r="AW237" i="2" s="1"/>
  <c r="AW238" i="2" a="1"/>
  <c r="AW238" i="2" s="1"/>
  <c r="AW239" i="2" a="1"/>
  <c r="AW239" i="2" s="1"/>
  <c r="AW240" i="2" a="1"/>
  <c r="AW240" i="2" s="1"/>
  <c r="AW241" i="2" a="1"/>
  <c r="AW241" i="2"/>
  <c r="AW242" i="2" a="1"/>
  <c r="AW242" i="2" s="1"/>
  <c r="AW243" i="2" a="1"/>
  <c r="AW243" i="2" s="1"/>
  <c r="AW244" i="2" a="1"/>
  <c r="AW244" i="2" s="1"/>
  <c r="AW245" i="2" a="1"/>
  <c r="AW245" i="2" s="1"/>
  <c r="AW246" i="2" a="1"/>
  <c r="AW246" i="2" s="1"/>
  <c r="AW247" i="2" a="1"/>
  <c r="AW247" i="2" s="1"/>
  <c r="AW248" i="2" a="1"/>
  <c r="AW248" i="2" s="1"/>
  <c r="AW249" i="2" a="1"/>
  <c r="AW249" i="2"/>
  <c r="AW250" i="2" a="1"/>
  <c r="AW250" i="2" s="1"/>
  <c r="AW251" i="2" a="1"/>
  <c r="AW251" i="2" s="1"/>
  <c r="AW252" i="2" a="1"/>
  <c r="AW252" i="2" s="1"/>
  <c r="AW253" i="2" a="1"/>
  <c r="AW253" i="2" s="1"/>
  <c r="AW254" i="2" a="1"/>
  <c r="AW254" i="2" s="1"/>
  <c r="AW255" i="2" a="1"/>
  <c r="AW255" i="2" s="1"/>
  <c r="AW256" i="2" a="1"/>
  <c r="AW256" i="2" s="1"/>
  <c r="AW257" i="2" a="1"/>
  <c r="AW257" i="2"/>
  <c r="AW258" i="2" a="1"/>
  <c r="AW258" i="2" s="1"/>
  <c r="AW259" i="2" a="1"/>
  <c r="AW259" i="2" s="1"/>
  <c r="AW260" i="2" a="1"/>
  <c r="AW260" i="2" s="1"/>
  <c r="AW261" i="2" a="1"/>
  <c r="AW261" i="2" s="1"/>
  <c r="AW262" i="2" a="1"/>
  <c r="AW262" i="2" s="1"/>
  <c r="AW263" i="2" a="1"/>
  <c r="AW263" i="2" s="1"/>
  <c r="AW264" i="2" a="1"/>
  <c r="AW264" i="2" s="1"/>
  <c r="AW265" i="2" a="1"/>
  <c r="AW265" i="2"/>
  <c r="AW266" i="2" a="1"/>
  <c r="AW266" i="2" s="1"/>
  <c r="AW267" i="2" a="1"/>
  <c r="AW267" i="2" s="1"/>
  <c r="AW268" i="2" a="1"/>
  <c r="AW268" i="2" s="1"/>
  <c r="AW269" i="2" a="1"/>
  <c r="AW269" i="2" s="1"/>
  <c r="AW270" i="2" a="1"/>
  <c r="AW270" i="2" s="1"/>
  <c r="AW271" i="2" a="1"/>
  <c r="AW271" i="2" s="1"/>
  <c r="AW272" i="2" a="1"/>
  <c r="AW272" i="2" s="1"/>
  <c r="AW273" i="2" a="1"/>
  <c r="AW273" i="2"/>
  <c r="AW274" i="2" a="1"/>
  <c r="AW274" i="2" s="1"/>
  <c r="AW275" i="2" a="1"/>
  <c r="AW275" i="2" s="1"/>
  <c r="AW276" i="2" a="1"/>
  <c r="AW276" i="2" s="1"/>
  <c r="AW277" i="2" a="1"/>
  <c r="AW277" i="2" s="1"/>
  <c r="AW278" i="2" a="1"/>
  <c r="AW278" i="2" s="1"/>
  <c r="AW279" i="2" a="1"/>
  <c r="AW279" i="2" s="1"/>
  <c r="AW280" i="2" a="1"/>
  <c r="AW280" i="2" s="1"/>
  <c r="AW281" i="2" a="1"/>
  <c r="AW281" i="2"/>
  <c r="AW282" i="2" a="1"/>
  <c r="AW282" i="2" s="1"/>
  <c r="AW283" i="2" a="1"/>
  <c r="AW283" i="2" s="1"/>
  <c r="AW284" i="2" a="1"/>
  <c r="AW284" i="2" s="1"/>
  <c r="AW285" i="2" a="1"/>
  <c r="AW285" i="2" s="1"/>
  <c r="AW286" i="2" a="1"/>
  <c r="AW286" i="2" s="1"/>
  <c r="AW287" i="2" a="1"/>
  <c r="AW287" i="2" s="1"/>
  <c r="AW288" i="2" a="1"/>
  <c r="AW288" i="2" s="1"/>
  <c r="AW289" i="2" a="1"/>
  <c r="AW289" i="2"/>
  <c r="AW290" i="2" a="1"/>
  <c r="AW290" i="2" s="1"/>
  <c r="AW291" i="2" a="1"/>
  <c r="AW291" i="2" s="1"/>
  <c r="AW292" i="2" a="1"/>
  <c r="AW292" i="2" s="1"/>
  <c r="AW293" i="2" a="1"/>
  <c r="AW293" i="2" s="1"/>
  <c r="AW294" i="2" a="1"/>
  <c r="AW294" i="2" s="1"/>
  <c r="AW295" i="2" a="1"/>
  <c r="AW295" i="2" s="1"/>
  <c r="AW296" i="2" a="1"/>
  <c r="AW296" i="2" s="1"/>
  <c r="AW297" i="2" a="1"/>
  <c r="AW297" i="2"/>
  <c r="AW298" i="2" a="1"/>
  <c r="AW298" i="2" s="1"/>
  <c r="AW299" i="2" a="1"/>
  <c r="AW299" i="2" s="1"/>
  <c r="AW300" i="2" a="1"/>
  <c r="AW300" i="2" s="1"/>
  <c r="AW301" i="2" a="1"/>
  <c r="AW301" i="2" s="1"/>
  <c r="AW302" i="2" a="1"/>
  <c r="AW302" i="2" s="1"/>
  <c r="AW303" i="2" a="1"/>
  <c r="AW303" i="2" s="1"/>
  <c r="AW304" i="2" a="1"/>
  <c r="AW304" i="2" s="1"/>
  <c r="AW305" i="2" a="1"/>
  <c r="AW305" i="2"/>
  <c r="AW306" i="2" a="1"/>
  <c r="AW306" i="2" s="1"/>
  <c r="AW307" i="2" a="1"/>
  <c r="AW307" i="2" s="1"/>
  <c r="AW308" i="2" a="1"/>
  <c r="AW308" i="2" s="1"/>
  <c r="AW309" i="2" a="1"/>
  <c r="AW309" i="2" s="1"/>
  <c r="AW310" i="2" a="1"/>
  <c r="AW310" i="2" s="1"/>
  <c r="AW311" i="2" a="1"/>
  <c r="AW311" i="2" s="1"/>
  <c r="AW312" i="2" a="1"/>
  <c r="AW312" i="2" s="1"/>
  <c r="AW313" i="2" a="1"/>
  <c r="AW313" i="2"/>
  <c r="AW314" i="2" a="1"/>
  <c r="AW314" i="2" s="1"/>
  <c r="AW315" i="2" a="1"/>
  <c r="AW315" i="2" s="1"/>
  <c r="AW316" i="2" a="1"/>
  <c r="AW316" i="2" s="1"/>
  <c r="AW317" i="2" a="1"/>
  <c r="AW317" i="2" s="1"/>
  <c r="AW318" i="2" a="1"/>
  <c r="AW318" i="2" s="1"/>
  <c r="AW319" i="2" a="1"/>
  <c r="AW319" i="2" s="1"/>
  <c r="AW320" i="2" a="1"/>
  <c r="AW320" i="2" s="1"/>
  <c r="AW321" i="2" a="1"/>
  <c r="AW321" i="2"/>
  <c r="AW322" i="2" a="1"/>
  <c r="AW322" i="2" s="1"/>
  <c r="AW323" i="2" a="1"/>
  <c r="AW323" i="2" s="1"/>
  <c r="AW324" i="2" a="1"/>
  <c r="AW324" i="2" s="1"/>
  <c r="AW325" i="2" a="1"/>
  <c r="AW325" i="2" s="1"/>
  <c r="AW326" i="2" a="1"/>
  <c r="AW326" i="2" s="1"/>
  <c r="AW327" i="2" a="1"/>
  <c r="AW327" i="2" s="1"/>
  <c r="AW328" i="2" a="1"/>
  <c r="AW328" i="2" s="1"/>
  <c r="AW329" i="2" a="1"/>
  <c r="AW329" i="2"/>
  <c r="AW330" i="2" a="1"/>
  <c r="AW330" i="2" s="1"/>
  <c r="AW331" i="2" a="1"/>
  <c r="AW331" i="2" s="1"/>
  <c r="AW332" i="2" a="1"/>
  <c r="AW332" i="2" s="1"/>
  <c r="AW333" i="2" a="1"/>
  <c r="AW333" i="2" s="1"/>
  <c r="AW334" i="2" a="1"/>
  <c r="AW334" i="2" s="1"/>
  <c r="AW335" i="2" a="1"/>
  <c r="AW335" i="2" s="1"/>
  <c r="AW336" i="2" a="1"/>
  <c r="AW336" i="2" s="1"/>
  <c r="AW337" i="2" a="1"/>
  <c r="AW337" i="2"/>
  <c r="AW338" i="2" a="1"/>
  <c r="AW338" i="2" s="1"/>
  <c r="AW339" i="2" a="1"/>
  <c r="AW339" i="2" s="1"/>
  <c r="AW340" i="2" a="1"/>
  <c r="AW340" i="2" s="1"/>
  <c r="AW341" i="2" a="1"/>
  <c r="AW341" i="2" s="1"/>
  <c r="AW342" i="2" a="1"/>
  <c r="AW342" i="2" s="1"/>
  <c r="AW343" i="2" a="1"/>
  <c r="AW343" i="2" s="1"/>
  <c r="AW344" i="2" a="1"/>
  <c r="AW344" i="2" s="1"/>
  <c r="AW345" i="2" a="1"/>
  <c r="AW345" i="2"/>
  <c r="AW346" i="2" a="1"/>
  <c r="AW346" i="2" s="1"/>
  <c r="AW347" i="2" a="1"/>
  <c r="AW347" i="2" s="1"/>
  <c r="AW348" i="2" a="1"/>
  <c r="AW348" i="2" s="1"/>
  <c r="AW349" i="2" a="1"/>
  <c r="AW349" i="2" s="1"/>
  <c r="AW350" i="2" a="1"/>
  <c r="AW350" i="2" s="1"/>
  <c r="AW351" i="2" a="1"/>
  <c r="AW351" i="2" s="1"/>
  <c r="AW352" i="2" a="1"/>
  <c r="AW352" i="2" s="1"/>
  <c r="AW353" i="2" a="1"/>
  <c r="AW353" i="2"/>
  <c r="AW354" i="2" a="1"/>
  <c r="AW354" i="2" s="1"/>
  <c r="AW355" i="2" a="1"/>
  <c r="AW355" i="2" s="1"/>
  <c r="AW356" i="2" a="1"/>
  <c r="AW356" i="2" s="1"/>
  <c r="AW357" i="2" a="1"/>
  <c r="AW357" i="2" s="1"/>
  <c r="AW358" i="2" a="1"/>
  <c r="AW358" i="2" s="1"/>
  <c r="AW359" i="2" a="1"/>
  <c r="AW359" i="2" s="1"/>
  <c r="AW360" i="2" a="1"/>
  <c r="AW360" i="2" s="1"/>
  <c r="AW361" i="2" a="1"/>
  <c r="AW361" i="2"/>
  <c r="AW362" i="2" a="1"/>
  <c r="AW362" i="2" s="1"/>
  <c r="AW363" i="2" a="1"/>
  <c r="AW363" i="2" s="1"/>
  <c r="AW364" i="2" a="1"/>
  <c r="AW364" i="2" s="1"/>
  <c r="AW365" i="2" a="1"/>
  <c r="AW365" i="2" s="1"/>
  <c r="AW366" i="2" a="1"/>
  <c r="AW366" i="2" s="1"/>
  <c r="AW367" i="2" a="1"/>
  <c r="AW367" i="2" s="1"/>
  <c r="AW368" i="2" a="1"/>
  <c r="AW368" i="2" s="1"/>
  <c r="AW369" i="2" a="1"/>
  <c r="AW369" i="2"/>
  <c r="AW370" i="2" a="1"/>
  <c r="AW370" i="2" s="1"/>
  <c r="AW371" i="2" a="1"/>
  <c r="AW371" i="2" s="1"/>
  <c r="AW372" i="2" a="1"/>
  <c r="AW372" i="2" s="1"/>
  <c r="AW373" i="2" a="1"/>
  <c r="AW373" i="2" s="1"/>
  <c r="AW374" i="2" a="1"/>
  <c r="AW374" i="2" s="1"/>
  <c r="AW375" i="2" a="1"/>
  <c r="AW375" i="2" s="1"/>
  <c r="AW376" i="2" a="1"/>
  <c r="AW376" i="2" s="1"/>
  <c r="AW377" i="2" a="1"/>
  <c r="AW377" i="2"/>
  <c r="AW378" i="2" a="1"/>
  <c r="AW378" i="2" s="1"/>
  <c r="AW379" i="2" a="1"/>
  <c r="AW379" i="2" s="1"/>
  <c r="AW380" i="2" a="1"/>
  <c r="AW380" i="2" s="1"/>
  <c r="AW381" i="2" a="1"/>
  <c r="AW381" i="2" s="1"/>
  <c r="AW382" i="2" a="1"/>
  <c r="AW382" i="2" s="1"/>
  <c r="AW383" i="2" a="1"/>
  <c r="AW383" i="2" s="1"/>
  <c r="AW384" i="2" a="1"/>
  <c r="AW384" i="2" s="1"/>
  <c r="AW385" i="2" a="1"/>
  <c r="AW385" i="2"/>
  <c r="AW386" i="2" a="1"/>
  <c r="AW386" i="2" s="1"/>
  <c r="AW387" i="2" a="1"/>
  <c r="AW387" i="2" s="1"/>
  <c r="AW388" i="2" a="1"/>
  <c r="AW388" i="2" s="1"/>
  <c r="AW389" i="2" a="1"/>
  <c r="AW389" i="2" s="1"/>
  <c r="AW390" i="2" a="1"/>
  <c r="AW390" i="2" s="1"/>
  <c r="AW391" i="2" a="1"/>
  <c r="AW391" i="2" s="1"/>
  <c r="AW392" i="2" a="1"/>
  <c r="AW392" i="2" s="1"/>
  <c r="AW393" i="2" a="1"/>
  <c r="AW393" i="2"/>
  <c r="AW394" i="2" a="1"/>
  <c r="AW394" i="2" s="1"/>
  <c r="AW395" i="2" a="1"/>
  <c r="AW395" i="2" s="1"/>
  <c r="AW396" i="2" a="1"/>
  <c r="AW396" i="2" s="1"/>
  <c r="AW397" i="2" a="1"/>
  <c r="AW397" i="2" s="1"/>
  <c r="AW398" i="2" a="1"/>
  <c r="AW398" i="2" s="1"/>
  <c r="AW399" i="2" a="1"/>
  <c r="AW399" i="2" s="1"/>
  <c r="AW400" i="2" a="1"/>
  <c r="AW400" i="2" s="1"/>
  <c r="AW401" i="2" a="1"/>
  <c r="AW401" i="2"/>
  <c r="AW402" i="2" a="1"/>
  <c r="AW402" i="2" s="1"/>
  <c r="AW403" i="2" a="1"/>
  <c r="AW403" i="2" s="1"/>
  <c r="AW404" i="2" a="1"/>
  <c r="AW404" i="2" s="1"/>
  <c r="AW405" i="2" a="1"/>
  <c r="AW405" i="2" s="1"/>
  <c r="AW406" i="2" a="1"/>
  <c r="AW406" i="2" s="1"/>
  <c r="AW407" i="2" a="1"/>
  <c r="AW407" i="2" s="1"/>
  <c r="AW408" i="2" a="1"/>
  <c r="AW408" i="2" s="1"/>
  <c r="AW409" i="2" a="1"/>
  <c r="AW409" i="2"/>
  <c r="AW410" i="2" a="1"/>
  <c r="AW410" i="2" s="1"/>
  <c r="AW411" i="2" a="1"/>
  <c r="AW411" i="2" s="1"/>
  <c r="AW412" i="2" a="1"/>
  <c r="AW412" i="2" s="1"/>
  <c r="AW413" i="2" a="1"/>
  <c r="AW413" i="2" s="1"/>
  <c r="AW414" i="2" a="1"/>
  <c r="AW414" i="2" s="1"/>
  <c r="AW415" i="2" a="1"/>
  <c r="AW415" i="2" s="1"/>
  <c r="AW416" i="2" a="1"/>
  <c r="AW416" i="2" s="1"/>
  <c r="AW417" i="2" a="1"/>
  <c r="AW417" i="2"/>
  <c r="AW418" i="2" a="1"/>
  <c r="AW418" i="2" s="1"/>
  <c r="AW419" i="2" a="1"/>
  <c r="AW419" i="2" s="1"/>
  <c r="AW420" i="2" a="1"/>
  <c r="AW420" i="2" s="1"/>
  <c r="AW421" i="2" a="1"/>
  <c r="AW421" i="2" s="1"/>
  <c r="AW422" i="2" a="1"/>
  <c r="AW422" i="2" s="1"/>
  <c r="AW423" i="2" a="1"/>
  <c r="AW423" i="2" s="1"/>
  <c r="AW424" i="2" a="1"/>
  <c r="AW424" i="2" s="1"/>
  <c r="AW425" i="2" a="1"/>
  <c r="AW425" i="2"/>
  <c r="AW426" i="2" a="1"/>
  <c r="AW426" i="2" s="1"/>
  <c r="AW427" i="2" a="1"/>
  <c r="AW427" i="2" s="1"/>
  <c r="AW428" i="2" a="1"/>
  <c r="AW428" i="2" s="1"/>
  <c r="AW429" i="2" a="1"/>
  <c r="AW429" i="2" s="1"/>
  <c r="AW430" i="2" a="1"/>
  <c r="AW430" i="2" s="1"/>
  <c r="AW431" i="2" a="1"/>
  <c r="AW431" i="2" s="1"/>
  <c r="AW432" i="2" a="1"/>
  <c r="AW432" i="2" s="1"/>
  <c r="AW433" i="2" a="1"/>
  <c r="AW433" i="2"/>
  <c r="AW434" i="2" a="1"/>
  <c r="AW434" i="2" s="1"/>
  <c r="AW435" i="2" a="1"/>
  <c r="AW435" i="2" s="1"/>
  <c r="AW436" i="2" a="1"/>
  <c r="AW436" i="2" s="1"/>
  <c r="AW437" i="2" a="1"/>
  <c r="AW437" i="2" s="1"/>
  <c r="AW438" i="2" a="1"/>
  <c r="AW438" i="2" s="1"/>
  <c r="AW439" i="2" a="1"/>
  <c r="AW439" i="2" s="1"/>
  <c r="AW440" i="2" a="1"/>
  <c r="AW440" i="2" s="1"/>
  <c r="AW441" i="2" a="1"/>
  <c r="AW441" i="2"/>
  <c r="AW442" i="2" a="1"/>
  <c r="AW442" i="2" s="1"/>
  <c r="AW443" i="2" a="1"/>
  <c r="AW443" i="2" s="1"/>
  <c r="AW444" i="2" a="1"/>
  <c r="AW444" i="2" s="1"/>
  <c r="AW445" i="2" a="1"/>
  <c r="AW445" i="2" s="1"/>
  <c r="AW446" i="2" a="1"/>
  <c r="AW446" i="2" s="1"/>
  <c r="AW447" i="2" a="1"/>
  <c r="AW447" i="2" s="1"/>
  <c r="AW448" i="2" a="1"/>
  <c r="AW448" i="2" s="1"/>
  <c r="AW449" i="2" a="1"/>
  <c r="AW449" i="2"/>
  <c r="AW450" i="2" a="1"/>
  <c r="AW450" i="2" s="1"/>
  <c r="AW451" i="2" a="1"/>
  <c r="AW451" i="2" s="1"/>
  <c r="AW452" i="2" a="1"/>
  <c r="AW452" i="2" s="1"/>
  <c r="AW453" i="2" a="1"/>
  <c r="AW453" i="2" s="1"/>
  <c r="AW454" i="2" a="1"/>
  <c r="AW454" i="2" s="1"/>
  <c r="AW455" i="2" a="1"/>
  <c r="AW455" i="2" s="1"/>
  <c r="AW456" i="2" a="1"/>
  <c r="AW456" i="2" s="1"/>
  <c r="AW457" i="2" a="1"/>
  <c r="AW457" i="2"/>
  <c r="AW458" i="2" a="1"/>
  <c r="AW458" i="2" s="1"/>
  <c r="AW459" i="2" a="1"/>
  <c r="AW459" i="2" s="1"/>
  <c r="AW460" i="2" a="1"/>
  <c r="AW460" i="2" s="1"/>
  <c r="AW461" i="2" a="1"/>
  <c r="AW461" i="2" s="1"/>
  <c r="AW462" i="2" a="1"/>
  <c r="AW462" i="2" s="1"/>
  <c r="AW463" i="2" a="1"/>
  <c r="AW463" i="2" s="1"/>
  <c r="AW464" i="2" a="1"/>
  <c r="AW464" i="2" s="1"/>
  <c r="AW465" i="2" a="1"/>
  <c r="AW465" i="2"/>
  <c r="AW466" i="2" a="1"/>
  <c r="AW466" i="2" s="1"/>
  <c r="AW467" i="2" a="1"/>
  <c r="AW467" i="2" s="1"/>
  <c r="AW468" i="2" a="1"/>
  <c r="AW468" i="2" s="1"/>
  <c r="AW469" i="2" a="1"/>
  <c r="AW469" i="2" s="1"/>
  <c r="AW470" i="2" a="1"/>
  <c r="AW470" i="2" s="1"/>
  <c r="AW471" i="2" a="1"/>
  <c r="AW471" i="2" s="1"/>
  <c r="AW472" i="2" a="1"/>
  <c r="AW472" i="2" s="1"/>
  <c r="AW473" i="2" a="1"/>
  <c r="AW473" i="2"/>
  <c r="AW474" i="2" a="1"/>
  <c r="AW474" i="2" s="1"/>
  <c r="AW475" i="2" a="1"/>
  <c r="AW475" i="2" s="1"/>
  <c r="AW476" i="2" a="1"/>
  <c r="AW476" i="2" s="1"/>
  <c r="AW477" i="2" a="1"/>
  <c r="AW477" i="2" s="1"/>
  <c r="AW478" i="2" a="1"/>
  <c r="AW478" i="2" s="1"/>
  <c r="AW479" i="2" a="1"/>
  <c r="AW479" i="2" s="1"/>
  <c r="AW480" i="2" a="1"/>
  <c r="AW480" i="2" s="1"/>
  <c r="AW481" i="2" a="1"/>
  <c r="AW481" i="2"/>
  <c r="AW482" i="2" a="1"/>
  <c r="AW482" i="2" s="1"/>
  <c r="AW483" i="2" a="1"/>
  <c r="AW483" i="2" s="1"/>
  <c r="AW484" i="2" a="1"/>
  <c r="AW484" i="2" s="1"/>
  <c r="AW485" i="2" a="1"/>
  <c r="AW485" i="2" s="1"/>
  <c r="AW486" i="2" a="1"/>
  <c r="AW486" i="2" s="1"/>
  <c r="AW487" i="2" a="1"/>
  <c r="AW487" i="2" s="1"/>
  <c r="AW488" i="2" a="1"/>
  <c r="AW488" i="2" s="1"/>
  <c r="AW489" i="2" a="1"/>
  <c r="AW489" i="2"/>
  <c r="AW490" i="2" a="1"/>
  <c r="AW490" i="2" s="1"/>
  <c r="AW491" i="2" a="1"/>
  <c r="AW491" i="2" s="1"/>
  <c r="AW492" i="2" a="1"/>
  <c r="AW492" i="2" s="1"/>
  <c r="AW493" i="2" a="1"/>
  <c r="AW493" i="2" s="1"/>
  <c r="AW494" i="2" a="1"/>
  <c r="AW494" i="2" s="1"/>
  <c r="AW495" i="2" a="1"/>
  <c r="AW495" i="2" s="1"/>
  <c r="AW496" i="2" a="1"/>
  <c r="AW496" i="2" s="1"/>
  <c r="AW497" i="2" a="1"/>
  <c r="AW497" i="2"/>
  <c r="AW498" i="2" a="1"/>
  <c r="AW498" i="2" s="1"/>
  <c r="AW499" i="2" a="1"/>
  <c r="AW499" i="2" s="1"/>
  <c r="AW500" i="2" a="1"/>
  <c r="AW500" i="2" s="1"/>
  <c r="AW501" i="2" a="1"/>
  <c r="AW501" i="2" s="1"/>
  <c r="BC14" i="2"/>
  <c r="BC15" i="2"/>
  <c r="AV173" i="2" a="1"/>
  <c r="AV173" i="2" s="1"/>
  <c r="AV187" i="2" a="1"/>
  <c r="AV187" i="2" s="1"/>
  <c r="AT212" i="2" a="1"/>
  <c r="AT212" i="2" s="1"/>
  <c r="AM2" i="2"/>
  <c r="AT2" i="2" s="1" a="1"/>
  <c r="AT2" i="2" s="1"/>
  <c r="AM3" i="2"/>
  <c r="AT3" i="2" s="1" a="1"/>
  <c r="AT3" i="2" s="1"/>
  <c r="AM4" i="2"/>
  <c r="AT4" i="2" s="1" a="1"/>
  <c r="AT4" i="2" s="1"/>
  <c r="AM5" i="2"/>
  <c r="AT5" i="2" s="1" a="1"/>
  <c r="AT5" i="2" s="1"/>
  <c r="AM6" i="2"/>
  <c r="AT6" i="2" s="1" a="1"/>
  <c r="AT6" i="2" s="1"/>
  <c r="AM7" i="2"/>
  <c r="AT7" i="2" s="1" a="1"/>
  <c r="AT7" i="2" s="1"/>
  <c r="AM8" i="2"/>
  <c r="AT8" i="2" s="1" a="1"/>
  <c r="AT8" i="2" s="1"/>
  <c r="AM9" i="2"/>
  <c r="AT9" i="2" s="1" a="1"/>
  <c r="AT9" i="2" s="1"/>
  <c r="AM10" i="2"/>
  <c r="AT10" i="2" s="1" a="1"/>
  <c r="AT10" i="2" s="1"/>
  <c r="AM11" i="2"/>
  <c r="AT11" i="2" s="1" a="1"/>
  <c r="AT11" i="2" s="1"/>
  <c r="AM12" i="2"/>
  <c r="AT12" i="2" s="1" a="1"/>
  <c r="AT12" i="2" s="1"/>
  <c r="AM13" i="2"/>
  <c r="AT13" i="2" s="1" a="1"/>
  <c r="AT13" i="2" s="1"/>
  <c r="AM14" i="2"/>
  <c r="AT14" i="2" s="1" a="1"/>
  <c r="AT14" i="2" s="1"/>
  <c r="AM15" i="2"/>
  <c r="AT15" i="2" s="1" a="1"/>
  <c r="AT15" i="2" s="1"/>
  <c r="AM16" i="2"/>
  <c r="AT16" i="2" s="1" a="1"/>
  <c r="AT16" i="2" s="1"/>
  <c r="AM17" i="2"/>
  <c r="AT17" i="2" s="1" a="1"/>
  <c r="AT17" i="2" s="1"/>
  <c r="AM18" i="2"/>
  <c r="AT18" i="2" s="1" a="1"/>
  <c r="AT18" i="2" s="1"/>
  <c r="AM19" i="2"/>
  <c r="AT19" i="2" s="1" a="1"/>
  <c r="AT19" i="2" s="1"/>
  <c r="AM20" i="2"/>
  <c r="AT20" i="2" s="1" a="1"/>
  <c r="AT20" i="2" s="1"/>
  <c r="AM21" i="2"/>
  <c r="AT21" i="2" s="1" a="1"/>
  <c r="AT21" i="2" s="1"/>
  <c r="AM22" i="2"/>
  <c r="AT22" i="2" s="1" a="1"/>
  <c r="AT22" i="2" s="1"/>
  <c r="AM23" i="2"/>
  <c r="AT23" i="2" s="1" a="1"/>
  <c r="AT23" i="2" s="1"/>
  <c r="AM24" i="2"/>
  <c r="AT24" i="2" s="1" a="1"/>
  <c r="AT24" i="2" s="1"/>
  <c r="AM25" i="2"/>
  <c r="AT25" i="2" s="1" a="1"/>
  <c r="AT25" i="2" s="1"/>
  <c r="AM26" i="2"/>
  <c r="AT26" i="2" s="1" a="1"/>
  <c r="AT26" i="2" s="1"/>
  <c r="AM27" i="2"/>
  <c r="AT27" i="2" s="1" a="1"/>
  <c r="AT27" i="2" s="1"/>
  <c r="AM28" i="2"/>
  <c r="AT28" i="2" s="1" a="1"/>
  <c r="AT28" i="2" s="1"/>
  <c r="AM29" i="2"/>
  <c r="AT29" i="2" s="1" a="1"/>
  <c r="AT29" i="2" s="1"/>
  <c r="AM30" i="2"/>
  <c r="AT30" i="2" s="1" a="1"/>
  <c r="AT30" i="2" s="1"/>
  <c r="AM31" i="2"/>
  <c r="AT31" i="2" s="1" a="1"/>
  <c r="AT31" i="2" s="1"/>
  <c r="AM32" i="2"/>
  <c r="AT32" i="2" s="1" a="1"/>
  <c r="AT32" i="2" s="1"/>
  <c r="AM33" i="2"/>
  <c r="AT33" i="2" s="1" a="1"/>
  <c r="AT33" i="2" s="1"/>
  <c r="AM34" i="2"/>
  <c r="AT34" i="2" s="1" a="1"/>
  <c r="AT34" i="2" s="1"/>
  <c r="AM35" i="2"/>
  <c r="AT35" i="2" s="1" a="1"/>
  <c r="AT35" i="2" s="1"/>
  <c r="AM36" i="2"/>
  <c r="AT36" i="2" s="1" a="1"/>
  <c r="AT36" i="2" s="1"/>
  <c r="AM37" i="2"/>
  <c r="AT37" i="2" s="1" a="1"/>
  <c r="AT37" i="2" s="1"/>
  <c r="AM38" i="2"/>
  <c r="AT38" i="2" s="1" a="1"/>
  <c r="AT38" i="2" s="1"/>
  <c r="AM39" i="2"/>
  <c r="AT39" i="2" s="1" a="1"/>
  <c r="AT39" i="2" s="1"/>
  <c r="AM40" i="2"/>
  <c r="AT40" i="2" s="1" a="1"/>
  <c r="AT40" i="2" s="1"/>
  <c r="AM41" i="2"/>
  <c r="AT41" i="2" s="1" a="1"/>
  <c r="AT41" i="2" s="1"/>
  <c r="AM42" i="2"/>
  <c r="AT42" i="2" s="1" a="1"/>
  <c r="AT42" i="2" s="1"/>
  <c r="AM43" i="2"/>
  <c r="AT43" i="2" s="1" a="1"/>
  <c r="AT43" i="2" s="1"/>
  <c r="AM44" i="2"/>
  <c r="AT44" i="2" s="1" a="1"/>
  <c r="AT44" i="2" s="1"/>
  <c r="AM45" i="2"/>
  <c r="AT45" i="2" s="1" a="1"/>
  <c r="AT45" i="2" s="1"/>
  <c r="AM46" i="2"/>
  <c r="AT46" i="2" s="1" a="1"/>
  <c r="AT46" i="2" s="1"/>
  <c r="AM47" i="2"/>
  <c r="AT47" i="2" s="1" a="1"/>
  <c r="AT47" i="2" s="1"/>
  <c r="AM48" i="2"/>
  <c r="AT48" i="2" s="1" a="1"/>
  <c r="AT48" i="2" s="1"/>
  <c r="AM49" i="2"/>
  <c r="AT49" i="2" s="1" a="1"/>
  <c r="AT49" i="2" s="1"/>
  <c r="AM50" i="2"/>
  <c r="AT50" i="2" s="1" a="1"/>
  <c r="AT50" i="2" s="1"/>
  <c r="AM51" i="2"/>
  <c r="AT51" i="2" s="1" a="1"/>
  <c r="AT51" i="2" s="1"/>
  <c r="AM52" i="2"/>
  <c r="AT52" i="2" s="1" a="1"/>
  <c r="AT52" i="2" s="1"/>
  <c r="AM53" i="2"/>
  <c r="AT53" i="2" s="1" a="1"/>
  <c r="AT53" i="2" s="1"/>
  <c r="AM54" i="2"/>
  <c r="AT54" i="2" s="1" a="1"/>
  <c r="AT54" i="2" s="1"/>
  <c r="AM55" i="2"/>
  <c r="AT55" i="2" s="1" a="1"/>
  <c r="AT55" i="2" s="1"/>
  <c r="AM56" i="2"/>
  <c r="AT56" i="2" s="1" a="1"/>
  <c r="AT56" i="2" s="1"/>
  <c r="AM57" i="2"/>
  <c r="AT57" i="2" s="1" a="1"/>
  <c r="AT57" i="2" s="1"/>
  <c r="AM58" i="2"/>
  <c r="AT58" i="2" s="1" a="1"/>
  <c r="AT58" i="2" s="1"/>
  <c r="AM59" i="2"/>
  <c r="AT59" i="2" s="1" a="1"/>
  <c r="AT59" i="2" s="1"/>
  <c r="AM60" i="2"/>
  <c r="AT60" i="2" s="1" a="1"/>
  <c r="AT60" i="2" s="1"/>
  <c r="AM61" i="2"/>
  <c r="AT61" i="2" s="1" a="1"/>
  <c r="AT61" i="2" s="1"/>
  <c r="AM62" i="2"/>
  <c r="AT62" i="2" s="1" a="1"/>
  <c r="AT62" i="2" s="1"/>
  <c r="AM63" i="2"/>
  <c r="AT63" i="2" s="1" a="1"/>
  <c r="AT63" i="2" s="1"/>
  <c r="AM64" i="2"/>
  <c r="AT64" i="2" s="1" a="1"/>
  <c r="AT64" i="2" s="1"/>
  <c r="AM65" i="2"/>
  <c r="AT65" i="2" s="1" a="1"/>
  <c r="AT65" i="2" s="1"/>
  <c r="AM66" i="2"/>
  <c r="AT66" i="2" s="1" a="1"/>
  <c r="AT66" i="2" s="1"/>
  <c r="AM67" i="2"/>
  <c r="AT67" i="2" s="1" a="1"/>
  <c r="AT67" i="2" s="1"/>
  <c r="AM68" i="2"/>
  <c r="AT68" i="2" s="1" a="1"/>
  <c r="AT68" i="2" s="1"/>
  <c r="AM69" i="2"/>
  <c r="AT69" i="2" s="1" a="1"/>
  <c r="AT69" i="2" s="1"/>
  <c r="AM70" i="2"/>
  <c r="AT70" i="2" s="1" a="1"/>
  <c r="AT70" i="2" s="1"/>
  <c r="AM71" i="2"/>
  <c r="AT71" i="2" s="1" a="1"/>
  <c r="AT71" i="2" s="1"/>
  <c r="AM72" i="2"/>
  <c r="AT72" i="2" s="1" a="1"/>
  <c r="AT72" i="2" s="1"/>
  <c r="AM73" i="2"/>
  <c r="AT73" i="2" s="1" a="1"/>
  <c r="AT73" i="2" s="1"/>
  <c r="AM74" i="2"/>
  <c r="AT74" i="2" s="1" a="1"/>
  <c r="AT74" i="2" s="1"/>
  <c r="AM75" i="2"/>
  <c r="AT75" i="2" s="1" a="1"/>
  <c r="AT75" i="2" s="1"/>
  <c r="AM76" i="2"/>
  <c r="AT76" i="2" s="1" a="1"/>
  <c r="AT76" i="2" s="1"/>
  <c r="AM77" i="2"/>
  <c r="AT77" i="2" s="1" a="1"/>
  <c r="AT77" i="2" s="1"/>
  <c r="AM78" i="2"/>
  <c r="AT78" i="2" s="1" a="1"/>
  <c r="AT78" i="2" s="1"/>
  <c r="AM79" i="2"/>
  <c r="AT79" i="2" s="1" a="1"/>
  <c r="AT79" i="2" s="1"/>
  <c r="AM80" i="2"/>
  <c r="AT80" i="2" s="1" a="1"/>
  <c r="AT80" i="2" s="1"/>
  <c r="AM81" i="2"/>
  <c r="AT81" i="2" s="1" a="1"/>
  <c r="AT81" i="2" s="1"/>
  <c r="AM82" i="2"/>
  <c r="AT82" i="2" s="1" a="1"/>
  <c r="AT82" i="2" s="1"/>
  <c r="AM83" i="2"/>
  <c r="AT83" i="2" s="1" a="1"/>
  <c r="AT83" i="2" s="1"/>
  <c r="AM84" i="2"/>
  <c r="AT84" i="2" s="1" a="1"/>
  <c r="AT84" i="2" s="1"/>
  <c r="AM85" i="2"/>
  <c r="AT85" i="2" s="1" a="1"/>
  <c r="AT85" i="2" s="1"/>
  <c r="AM86" i="2"/>
  <c r="AT86" i="2" s="1" a="1"/>
  <c r="AT86" i="2" s="1"/>
  <c r="AM87" i="2"/>
  <c r="AT87" i="2" s="1" a="1"/>
  <c r="AT87" i="2" s="1"/>
  <c r="AM88" i="2"/>
  <c r="AT88" i="2" s="1" a="1"/>
  <c r="AT88" i="2" s="1"/>
  <c r="AM89" i="2"/>
  <c r="AT89" i="2" s="1" a="1"/>
  <c r="AT89" i="2" s="1"/>
  <c r="AM90" i="2"/>
  <c r="AT90" i="2" s="1" a="1"/>
  <c r="AT90" i="2" s="1"/>
  <c r="AM91" i="2"/>
  <c r="AT91" i="2" s="1" a="1"/>
  <c r="AT91" i="2" s="1"/>
  <c r="AM92" i="2"/>
  <c r="AT92" i="2" s="1" a="1"/>
  <c r="AT92" i="2" s="1"/>
  <c r="AM93" i="2"/>
  <c r="AT93" i="2" s="1" a="1"/>
  <c r="AT93" i="2" s="1"/>
  <c r="AM94" i="2"/>
  <c r="AT94" i="2" s="1" a="1"/>
  <c r="AT94" i="2" s="1"/>
  <c r="AM95" i="2"/>
  <c r="AT95" i="2" s="1" a="1"/>
  <c r="AT95" i="2" s="1"/>
  <c r="AM96" i="2"/>
  <c r="AT96" i="2" s="1" a="1"/>
  <c r="AT96" i="2" s="1"/>
  <c r="AM97" i="2"/>
  <c r="AT97" i="2" s="1" a="1"/>
  <c r="AT97" i="2" s="1"/>
  <c r="AM98" i="2"/>
  <c r="AT98" i="2" s="1" a="1"/>
  <c r="AT98" i="2" s="1"/>
  <c r="AM99" i="2"/>
  <c r="AT99" i="2" s="1" a="1"/>
  <c r="AT99" i="2" s="1"/>
  <c r="AM100" i="2"/>
  <c r="AT100" i="2" s="1" a="1"/>
  <c r="AT100" i="2" s="1"/>
  <c r="AM101" i="2"/>
  <c r="AT101" i="2" s="1" a="1"/>
  <c r="AT101" i="2" s="1"/>
  <c r="AM102" i="2"/>
  <c r="AT102" i="2" s="1" a="1"/>
  <c r="AT102" i="2" s="1"/>
  <c r="AM103" i="2"/>
  <c r="AT103" i="2" s="1" a="1"/>
  <c r="AT103" i="2" s="1"/>
  <c r="AM104" i="2"/>
  <c r="AT104" i="2" s="1" a="1"/>
  <c r="AT104" i="2" s="1"/>
  <c r="AM105" i="2"/>
  <c r="AT105" i="2" s="1" a="1"/>
  <c r="AT105" i="2" s="1"/>
  <c r="AM106" i="2"/>
  <c r="AT106" i="2" s="1" a="1"/>
  <c r="AT106" i="2" s="1"/>
  <c r="AM107" i="2"/>
  <c r="AT107" i="2" s="1" a="1"/>
  <c r="AT107" i="2" s="1"/>
  <c r="AM108" i="2"/>
  <c r="AT108" i="2" s="1" a="1"/>
  <c r="AT108" i="2" s="1"/>
  <c r="AM109" i="2"/>
  <c r="AT109" i="2" s="1" a="1"/>
  <c r="AT109" i="2" s="1"/>
  <c r="AM110" i="2"/>
  <c r="AT110" i="2" s="1" a="1"/>
  <c r="AT110" i="2" s="1"/>
  <c r="AM111" i="2"/>
  <c r="AT111" i="2" s="1" a="1"/>
  <c r="AT111" i="2" s="1"/>
  <c r="AM112" i="2"/>
  <c r="AT112" i="2" s="1" a="1"/>
  <c r="AT112" i="2" s="1"/>
  <c r="AM113" i="2"/>
  <c r="AT113" i="2" s="1" a="1"/>
  <c r="AT113" i="2" s="1"/>
  <c r="AM114" i="2"/>
  <c r="AT114" i="2" s="1" a="1"/>
  <c r="AT114" i="2" s="1"/>
  <c r="AM115" i="2"/>
  <c r="AT115" i="2" s="1" a="1"/>
  <c r="AT115" i="2" s="1"/>
  <c r="AM116" i="2"/>
  <c r="AT116" i="2" s="1" a="1"/>
  <c r="AT116" i="2" s="1"/>
  <c r="AM117" i="2"/>
  <c r="AT117" i="2" s="1" a="1"/>
  <c r="AT117" i="2" s="1"/>
  <c r="AM118" i="2"/>
  <c r="AT118" i="2" s="1" a="1"/>
  <c r="AT118" i="2" s="1"/>
  <c r="AM119" i="2"/>
  <c r="AT119" i="2" s="1" a="1"/>
  <c r="AT119" i="2" s="1"/>
  <c r="AM120" i="2"/>
  <c r="AT120" i="2" s="1" a="1"/>
  <c r="AT120" i="2" s="1"/>
  <c r="AM121" i="2"/>
  <c r="AT121" i="2" s="1" a="1"/>
  <c r="AT121" i="2" s="1"/>
  <c r="AM122" i="2"/>
  <c r="AT122" i="2" s="1" a="1"/>
  <c r="AT122" i="2" s="1"/>
  <c r="AM123" i="2"/>
  <c r="AT123" i="2" s="1" a="1"/>
  <c r="AT123" i="2" s="1"/>
  <c r="AM124" i="2"/>
  <c r="AT124" i="2" s="1" a="1"/>
  <c r="AT124" i="2" s="1"/>
  <c r="AM125" i="2"/>
  <c r="AT125" i="2" s="1" a="1"/>
  <c r="AT125" i="2" s="1"/>
  <c r="AM126" i="2"/>
  <c r="AT126" i="2" s="1" a="1"/>
  <c r="AT126" i="2" s="1"/>
  <c r="AM127" i="2"/>
  <c r="AT127" i="2" s="1" a="1"/>
  <c r="AT127" i="2" s="1"/>
  <c r="AM128" i="2"/>
  <c r="AT128" i="2" s="1" a="1"/>
  <c r="AT128" i="2" s="1"/>
  <c r="AM129" i="2"/>
  <c r="AT129" i="2" s="1" a="1"/>
  <c r="AT129" i="2" s="1"/>
  <c r="AM130" i="2"/>
  <c r="AT130" i="2" s="1" a="1"/>
  <c r="AT130" i="2" s="1"/>
  <c r="AM131" i="2"/>
  <c r="AT131" i="2" s="1" a="1"/>
  <c r="AT131" i="2" s="1"/>
  <c r="AM132" i="2"/>
  <c r="AT132" i="2" s="1" a="1"/>
  <c r="AT132" i="2" s="1"/>
  <c r="AM133" i="2"/>
  <c r="AT133" i="2" s="1" a="1"/>
  <c r="AT133" i="2" s="1"/>
  <c r="AM134" i="2"/>
  <c r="AT134" i="2" s="1" a="1"/>
  <c r="AT134" i="2" s="1"/>
  <c r="AM135" i="2"/>
  <c r="AT135" i="2" s="1" a="1"/>
  <c r="AT135" i="2" s="1"/>
  <c r="AM136" i="2"/>
  <c r="AT136" i="2" s="1" a="1"/>
  <c r="AT136" i="2" s="1"/>
  <c r="AM137" i="2"/>
  <c r="AT137" i="2" s="1" a="1"/>
  <c r="AT137" i="2" s="1"/>
  <c r="AM138" i="2"/>
  <c r="AT138" i="2" s="1" a="1"/>
  <c r="AT138" i="2" s="1"/>
  <c r="AM139" i="2"/>
  <c r="AT139" i="2" s="1" a="1"/>
  <c r="AT139" i="2" s="1"/>
  <c r="AM140" i="2"/>
  <c r="AT140" i="2" s="1" a="1"/>
  <c r="AT140" i="2" s="1"/>
  <c r="AM141" i="2"/>
  <c r="AT141" i="2" s="1" a="1"/>
  <c r="AT141" i="2" s="1"/>
  <c r="AM142" i="2"/>
  <c r="AT142" i="2" s="1" a="1"/>
  <c r="AT142" i="2" s="1"/>
  <c r="AM143" i="2"/>
  <c r="AT143" i="2" s="1" a="1"/>
  <c r="AT143" i="2" s="1"/>
  <c r="AM144" i="2"/>
  <c r="AT144" i="2" s="1" a="1"/>
  <c r="AT144" i="2" s="1"/>
  <c r="AM145" i="2"/>
  <c r="AT145" i="2" s="1" a="1"/>
  <c r="AT145" i="2" s="1"/>
  <c r="AM146" i="2"/>
  <c r="AT146" i="2" s="1" a="1"/>
  <c r="AT146" i="2" s="1"/>
  <c r="AM147" i="2"/>
  <c r="AT147" i="2" s="1" a="1"/>
  <c r="AT147" i="2" s="1"/>
  <c r="AM148" i="2"/>
  <c r="AT148" i="2" s="1" a="1"/>
  <c r="AT148" i="2" s="1"/>
  <c r="AM149" i="2"/>
  <c r="AT149" i="2" s="1" a="1"/>
  <c r="AT149" i="2" s="1"/>
  <c r="AM150" i="2"/>
  <c r="AT150" i="2" s="1" a="1"/>
  <c r="AT150" i="2" s="1"/>
  <c r="AM151" i="2"/>
  <c r="AT151" i="2" s="1" a="1"/>
  <c r="AT151" i="2" s="1"/>
  <c r="AM152" i="2"/>
  <c r="AT152" i="2" s="1" a="1"/>
  <c r="AT152" i="2" s="1"/>
  <c r="AM153" i="2"/>
  <c r="AT153" i="2" s="1" a="1"/>
  <c r="AT153" i="2" s="1"/>
  <c r="AM154" i="2"/>
  <c r="AT154" i="2" s="1" a="1"/>
  <c r="AT154" i="2" s="1"/>
  <c r="AM155" i="2"/>
  <c r="AT155" i="2" s="1" a="1"/>
  <c r="AT155" i="2" s="1"/>
  <c r="AM156" i="2"/>
  <c r="AT156" i="2" s="1" a="1"/>
  <c r="AT156" i="2" s="1"/>
  <c r="AM157" i="2"/>
  <c r="AT157" i="2" s="1" a="1"/>
  <c r="AT157" i="2" s="1"/>
  <c r="AM158" i="2"/>
  <c r="AT158" i="2" s="1" a="1"/>
  <c r="AT158" i="2" s="1"/>
  <c r="AM159" i="2"/>
  <c r="AT159" i="2" s="1" a="1"/>
  <c r="AT159" i="2" s="1"/>
  <c r="AM160" i="2"/>
  <c r="AT160" i="2" s="1" a="1"/>
  <c r="AT160" i="2" s="1"/>
  <c r="AM161" i="2"/>
  <c r="AT161" i="2" s="1" a="1"/>
  <c r="AT161" i="2" s="1"/>
  <c r="AM162" i="2"/>
  <c r="AT162" i="2" s="1" a="1"/>
  <c r="AT162" i="2" s="1"/>
  <c r="AM163" i="2"/>
  <c r="AT163" i="2" s="1" a="1"/>
  <c r="AT163" i="2" s="1"/>
  <c r="AM164" i="2"/>
  <c r="AT164" i="2" s="1" a="1"/>
  <c r="AT164" i="2" s="1"/>
  <c r="AM165" i="2"/>
  <c r="AT165" i="2" s="1" a="1"/>
  <c r="AT165" i="2" s="1"/>
  <c r="AM166" i="2"/>
  <c r="AT166" i="2" s="1" a="1"/>
  <c r="AT166" i="2" s="1"/>
  <c r="AM167" i="2"/>
  <c r="AT167" i="2" s="1" a="1"/>
  <c r="AT167" i="2" s="1"/>
  <c r="AM168" i="2"/>
  <c r="AT168" i="2" s="1" a="1"/>
  <c r="AT168" i="2" s="1"/>
  <c r="AM169" i="2"/>
  <c r="AT169" i="2" s="1" a="1"/>
  <c r="AT169" i="2" s="1"/>
  <c r="AM170" i="2"/>
  <c r="AT170" i="2" s="1" a="1"/>
  <c r="AT170" i="2" s="1"/>
  <c r="AM171" i="2"/>
  <c r="AT171" i="2" s="1" a="1"/>
  <c r="AT171" i="2" s="1"/>
  <c r="AM172" i="2"/>
  <c r="AT172" i="2" s="1" a="1"/>
  <c r="AT172" i="2" s="1"/>
  <c r="AM173" i="2"/>
  <c r="AT173" i="2" s="1" a="1"/>
  <c r="AT173" i="2" s="1"/>
  <c r="AM174" i="2"/>
  <c r="AT174" i="2" s="1" a="1"/>
  <c r="AT174" i="2" s="1"/>
  <c r="AM175" i="2"/>
  <c r="AT175" i="2" s="1" a="1"/>
  <c r="AT175" i="2" s="1"/>
  <c r="AM176" i="2"/>
  <c r="AT176" i="2" s="1" a="1"/>
  <c r="AT176" i="2" s="1"/>
  <c r="AM177" i="2"/>
  <c r="AT177" i="2" s="1" a="1"/>
  <c r="AT177" i="2" s="1"/>
  <c r="AM178" i="2"/>
  <c r="AT178" i="2" s="1" a="1"/>
  <c r="AT178" i="2" s="1"/>
  <c r="AM179" i="2"/>
  <c r="AT179" i="2" s="1" a="1"/>
  <c r="AT179" i="2" s="1"/>
  <c r="AM180" i="2"/>
  <c r="AT180" i="2" s="1" a="1"/>
  <c r="AT180" i="2" s="1"/>
  <c r="AM181" i="2"/>
  <c r="AT181" i="2" s="1" a="1"/>
  <c r="AT181" i="2" s="1"/>
  <c r="AM182" i="2"/>
  <c r="AT182" i="2" s="1" a="1"/>
  <c r="AT182" i="2" s="1"/>
  <c r="AM183" i="2"/>
  <c r="AT183" i="2" s="1" a="1"/>
  <c r="AT183" i="2" s="1"/>
  <c r="AM184" i="2"/>
  <c r="AT184" i="2" s="1" a="1"/>
  <c r="AT184" i="2" s="1"/>
  <c r="AM185" i="2"/>
  <c r="AT185" i="2" s="1" a="1"/>
  <c r="AT185" i="2" s="1"/>
  <c r="AM186" i="2"/>
  <c r="AT186" i="2" s="1" a="1"/>
  <c r="AT186" i="2" s="1"/>
  <c r="AM187" i="2"/>
  <c r="AT187" i="2" s="1" a="1"/>
  <c r="AT187" i="2" s="1"/>
  <c r="AM188" i="2"/>
  <c r="AT188" i="2" s="1" a="1"/>
  <c r="AT188" i="2" s="1"/>
  <c r="AM189" i="2"/>
  <c r="AT189" i="2" s="1" a="1"/>
  <c r="AT189" i="2" s="1"/>
  <c r="AM190" i="2"/>
  <c r="AT190" i="2" s="1" a="1"/>
  <c r="AT190" i="2" s="1"/>
  <c r="AM191" i="2"/>
  <c r="AT191" i="2" s="1" a="1"/>
  <c r="AT191" i="2" s="1"/>
  <c r="AM192" i="2"/>
  <c r="AT192" i="2" s="1" a="1"/>
  <c r="AT192" i="2" s="1"/>
  <c r="AM193" i="2"/>
  <c r="AT193" i="2" s="1" a="1"/>
  <c r="AT193" i="2" s="1"/>
  <c r="AM194" i="2"/>
  <c r="AT194" i="2" s="1" a="1"/>
  <c r="AT194" i="2" s="1"/>
  <c r="AM195" i="2"/>
  <c r="AT195" i="2" s="1" a="1"/>
  <c r="AT195" i="2" s="1"/>
  <c r="AM196" i="2"/>
  <c r="AT196" i="2" s="1" a="1"/>
  <c r="AT196" i="2" s="1"/>
  <c r="AM197" i="2"/>
  <c r="AT197" i="2" s="1" a="1"/>
  <c r="AT197" i="2" s="1"/>
  <c r="AM198" i="2"/>
  <c r="AT198" i="2" s="1" a="1"/>
  <c r="AT198" i="2" s="1"/>
  <c r="AM199" i="2"/>
  <c r="AT199" i="2" s="1" a="1"/>
  <c r="AT199" i="2" s="1"/>
  <c r="AM200" i="2"/>
  <c r="AT200" i="2" s="1" a="1"/>
  <c r="AT200" i="2" s="1"/>
  <c r="AM201" i="2"/>
  <c r="AT201" i="2" s="1" a="1"/>
  <c r="AT201" i="2" s="1"/>
  <c r="AM202" i="2"/>
  <c r="AT202" i="2" s="1" a="1"/>
  <c r="AT202" i="2" s="1"/>
  <c r="AM203" i="2"/>
  <c r="AT203" i="2" s="1" a="1"/>
  <c r="AT203" i="2" s="1"/>
  <c r="AM204" i="2"/>
  <c r="AT204" i="2" s="1" a="1"/>
  <c r="AT204" i="2" s="1"/>
  <c r="AM205" i="2"/>
  <c r="AT205" i="2" s="1" a="1"/>
  <c r="AT205" i="2" s="1"/>
  <c r="AM206" i="2"/>
  <c r="AT206" i="2" s="1" a="1"/>
  <c r="AT206" i="2" s="1"/>
  <c r="AM207" i="2"/>
  <c r="AT207" i="2" s="1" a="1"/>
  <c r="AT207" i="2" s="1"/>
  <c r="AM208" i="2"/>
  <c r="AT208" i="2" s="1" a="1"/>
  <c r="AT208" i="2" s="1"/>
  <c r="AM209" i="2"/>
  <c r="AT209" i="2" s="1" a="1"/>
  <c r="AT209" i="2" s="1"/>
  <c r="AM210" i="2"/>
  <c r="AT210" i="2" s="1" a="1"/>
  <c r="AT210" i="2" s="1"/>
  <c r="AM211" i="2"/>
  <c r="AT211" i="2" s="1" a="1"/>
  <c r="AT211" i="2" s="1"/>
  <c r="AM212" i="2"/>
  <c r="AM213" i="2"/>
  <c r="AT213" i="2" s="1" a="1"/>
  <c r="AT213" i="2" s="1"/>
  <c r="AM214" i="2"/>
  <c r="AT214" i="2" s="1" a="1"/>
  <c r="AT214" i="2" s="1"/>
  <c r="AM215" i="2"/>
  <c r="AT215" i="2" s="1" a="1"/>
  <c r="AT215" i="2" s="1"/>
  <c r="AM216" i="2"/>
  <c r="AT216" i="2" s="1" a="1"/>
  <c r="AT216" i="2" s="1"/>
  <c r="AM217" i="2"/>
  <c r="AT217" i="2" s="1" a="1"/>
  <c r="AT217" i="2" s="1"/>
  <c r="AM218" i="2"/>
  <c r="AT218" i="2" s="1" a="1"/>
  <c r="AT218" i="2" s="1"/>
  <c r="AM219" i="2"/>
  <c r="AT219" i="2" s="1" a="1"/>
  <c r="AT219" i="2" s="1"/>
  <c r="AM220" i="2"/>
  <c r="AT220" i="2" s="1" a="1"/>
  <c r="AT220" i="2" s="1"/>
  <c r="AM221" i="2"/>
  <c r="AT221" i="2" s="1" a="1"/>
  <c r="AT221" i="2" s="1"/>
  <c r="AM222" i="2"/>
  <c r="AT222" i="2" s="1" a="1"/>
  <c r="AT222" i="2" s="1"/>
  <c r="AM223" i="2"/>
  <c r="AT223" i="2" s="1" a="1"/>
  <c r="AT223" i="2" s="1"/>
  <c r="AM224" i="2"/>
  <c r="AT224" i="2" s="1" a="1"/>
  <c r="AT224" i="2" s="1"/>
  <c r="AM225" i="2"/>
  <c r="AT225" i="2" s="1" a="1"/>
  <c r="AT225" i="2" s="1"/>
  <c r="AM226" i="2"/>
  <c r="AT226" i="2" s="1" a="1"/>
  <c r="AT226" i="2" s="1"/>
  <c r="AM227" i="2"/>
  <c r="AT227" i="2" s="1" a="1"/>
  <c r="AT227" i="2" s="1"/>
  <c r="AM228" i="2"/>
  <c r="AT228" i="2" s="1" a="1"/>
  <c r="AT228" i="2" s="1"/>
  <c r="AM229" i="2"/>
  <c r="AT229" i="2" s="1" a="1"/>
  <c r="AT229" i="2" s="1"/>
  <c r="AM230" i="2"/>
  <c r="AT230" i="2" s="1" a="1"/>
  <c r="AT230" i="2" s="1"/>
  <c r="AM231" i="2"/>
  <c r="AT231" i="2" s="1" a="1"/>
  <c r="AT231" i="2" s="1"/>
  <c r="AM232" i="2"/>
  <c r="AT232" i="2" s="1" a="1"/>
  <c r="AT232" i="2" s="1"/>
  <c r="AM233" i="2"/>
  <c r="AT233" i="2" s="1" a="1"/>
  <c r="AT233" i="2" s="1"/>
  <c r="AM234" i="2"/>
  <c r="AT234" i="2" s="1" a="1"/>
  <c r="AT234" i="2" s="1"/>
  <c r="AM235" i="2"/>
  <c r="AT235" i="2" s="1" a="1"/>
  <c r="AT235" i="2" s="1"/>
  <c r="AM236" i="2"/>
  <c r="AT236" i="2" s="1" a="1"/>
  <c r="AT236" i="2" s="1"/>
  <c r="AM237" i="2"/>
  <c r="AT237" i="2" s="1" a="1"/>
  <c r="AT237" i="2" s="1"/>
  <c r="AM238" i="2"/>
  <c r="AT238" i="2" s="1" a="1"/>
  <c r="AT238" i="2" s="1"/>
  <c r="AM239" i="2"/>
  <c r="AT239" i="2" s="1" a="1"/>
  <c r="AT239" i="2" s="1"/>
  <c r="AM240" i="2"/>
  <c r="AT240" i="2" s="1" a="1"/>
  <c r="AT240" i="2" s="1"/>
  <c r="AM241" i="2"/>
  <c r="AT241" i="2" s="1" a="1"/>
  <c r="AT241" i="2" s="1"/>
  <c r="AM242" i="2"/>
  <c r="AT242" i="2" s="1" a="1"/>
  <c r="AT242" i="2" s="1"/>
  <c r="AM243" i="2"/>
  <c r="AT243" i="2" s="1" a="1"/>
  <c r="AT243" i="2" s="1"/>
  <c r="AM244" i="2"/>
  <c r="AT244" i="2" s="1" a="1"/>
  <c r="AT244" i="2" s="1"/>
  <c r="AM245" i="2"/>
  <c r="AT245" i="2" s="1" a="1"/>
  <c r="AT245" i="2" s="1"/>
  <c r="AM246" i="2"/>
  <c r="AT246" i="2" s="1" a="1"/>
  <c r="AT246" i="2" s="1"/>
  <c r="AM247" i="2"/>
  <c r="AT247" i="2" s="1" a="1"/>
  <c r="AT247" i="2" s="1"/>
  <c r="AM248" i="2"/>
  <c r="AT248" i="2" s="1" a="1"/>
  <c r="AT248" i="2" s="1"/>
  <c r="AM249" i="2"/>
  <c r="AT249" i="2" s="1" a="1"/>
  <c r="AT249" i="2" s="1"/>
  <c r="AM250" i="2"/>
  <c r="AT250" i="2" s="1" a="1"/>
  <c r="AT250" i="2" s="1"/>
  <c r="AM251" i="2"/>
  <c r="AT251" i="2" s="1" a="1"/>
  <c r="AT251" i="2" s="1"/>
  <c r="AM252" i="2"/>
  <c r="AT252" i="2" s="1" a="1"/>
  <c r="AT252" i="2" s="1"/>
  <c r="AM253" i="2"/>
  <c r="AT253" i="2" s="1" a="1"/>
  <c r="AT253" i="2" s="1"/>
  <c r="AM254" i="2"/>
  <c r="AT254" i="2" s="1" a="1"/>
  <c r="AT254" i="2" s="1"/>
  <c r="AM255" i="2"/>
  <c r="AT255" i="2" s="1" a="1"/>
  <c r="AT255" i="2" s="1"/>
  <c r="AM256" i="2"/>
  <c r="AT256" i="2" s="1" a="1"/>
  <c r="AT256" i="2" s="1"/>
  <c r="AM257" i="2"/>
  <c r="AT257" i="2" s="1" a="1"/>
  <c r="AT257" i="2" s="1"/>
  <c r="AM258" i="2"/>
  <c r="AT258" i="2" s="1" a="1"/>
  <c r="AT258" i="2" s="1"/>
  <c r="AM259" i="2"/>
  <c r="AT259" i="2" s="1" a="1"/>
  <c r="AT259" i="2" s="1"/>
  <c r="AM260" i="2"/>
  <c r="AT260" i="2" s="1" a="1"/>
  <c r="AT260" i="2" s="1"/>
  <c r="AM261" i="2"/>
  <c r="AT261" i="2" s="1" a="1"/>
  <c r="AT261" i="2" s="1"/>
  <c r="AM262" i="2"/>
  <c r="AT262" i="2" s="1" a="1"/>
  <c r="AT262" i="2" s="1"/>
  <c r="AM263" i="2"/>
  <c r="AT263" i="2" s="1" a="1"/>
  <c r="AT263" i="2" s="1"/>
  <c r="AM264" i="2"/>
  <c r="AT264" i="2" s="1" a="1"/>
  <c r="AT264" i="2" s="1"/>
  <c r="AM265" i="2"/>
  <c r="AT265" i="2" s="1" a="1"/>
  <c r="AT265" i="2" s="1"/>
  <c r="AM266" i="2"/>
  <c r="AT266" i="2" s="1" a="1"/>
  <c r="AT266" i="2" s="1"/>
  <c r="AM267" i="2"/>
  <c r="AT267" i="2" s="1" a="1"/>
  <c r="AT267" i="2" s="1"/>
  <c r="AM268" i="2"/>
  <c r="AT268" i="2" s="1" a="1"/>
  <c r="AT268" i="2" s="1"/>
  <c r="AM269" i="2"/>
  <c r="AT269" i="2" s="1" a="1"/>
  <c r="AT269" i="2" s="1"/>
  <c r="AM270" i="2"/>
  <c r="AT270" i="2" s="1" a="1"/>
  <c r="AT270" i="2" s="1"/>
  <c r="AM271" i="2"/>
  <c r="AT271" i="2" s="1" a="1"/>
  <c r="AT271" i="2" s="1"/>
  <c r="AM272" i="2"/>
  <c r="AT272" i="2" s="1" a="1"/>
  <c r="AT272" i="2" s="1"/>
  <c r="AM273" i="2"/>
  <c r="AT273" i="2" s="1" a="1"/>
  <c r="AT273" i="2" s="1"/>
  <c r="AM274" i="2"/>
  <c r="AT274" i="2" s="1" a="1"/>
  <c r="AT274" i="2" s="1"/>
  <c r="AM275" i="2"/>
  <c r="AT275" i="2" s="1" a="1"/>
  <c r="AT275" i="2" s="1"/>
  <c r="AM276" i="2"/>
  <c r="AT276" i="2" s="1" a="1"/>
  <c r="AT276" i="2" s="1"/>
  <c r="AM277" i="2"/>
  <c r="AT277" i="2" s="1" a="1"/>
  <c r="AT277" i="2" s="1"/>
  <c r="AM278" i="2"/>
  <c r="AT278" i="2" s="1" a="1"/>
  <c r="AT278" i="2" s="1"/>
  <c r="AM279" i="2"/>
  <c r="AT279" i="2" s="1" a="1"/>
  <c r="AT279" i="2" s="1"/>
  <c r="AM280" i="2"/>
  <c r="AT280" i="2" s="1" a="1"/>
  <c r="AT280" i="2" s="1"/>
  <c r="AM281" i="2"/>
  <c r="AT281" i="2" s="1" a="1"/>
  <c r="AT281" i="2" s="1"/>
  <c r="AM282" i="2"/>
  <c r="AT282" i="2" s="1" a="1"/>
  <c r="AT282" i="2" s="1"/>
  <c r="AM283" i="2"/>
  <c r="AT283" i="2" s="1" a="1"/>
  <c r="AT283" i="2" s="1"/>
  <c r="AM284" i="2"/>
  <c r="AT284" i="2" s="1" a="1"/>
  <c r="AT284" i="2" s="1"/>
  <c r="AM285" i="2"/>
  <c r="AT285" i="2" s="1" a="1"/>
  <c r="AT285" i="2" s="1"/>
  <c r="AM286" i="2"/>
  <c r="AT286" i="2" s="1" a="1"/>
  <c r="AT286" i="2" s="1"/>
  <c r="AM287" i="2"/>
  <c r="AT287" i="2" s="1" a="1"/>
  <c r="AT287" i="2" s="1"/>
  <c r="AM288" i="2"/>
  <c r="AT288" i="2" s="1" a="1"/>
  <c r="AT288" i="2" s="1"/>
  <c r="AM289" i="2"/>
  <c r="AT289" i="2" s="1" a="1"/>
  <c r="AT289" i="2" s="1"/>
  <c r="AM290" i="2"/>
  <c r="AT290" i="2" s="1" a="1"/>
  <c r="AT290" i="2" s="1"/>
  <c r="AM291" i="2"/>
  <c r="AT291" i="2" s="1" a="1"/>
  <c r="AT291" i="2" s="1"/>
  <c r="AM292" i="2"/>
  <c r="AT292" i="2" s="1" a="1"/>
  <c r="AT292" i="2" s="1"/>
  <c r="AM293" i="2"/>
  <c r="AT293" i="2" s="1" a="1"/>
  <c r="AT293" i="2" s="1"/>
  <c r="AM294" i="2"/>
  <c r="AT294" i="2" s="1" a="1"/>
  <c r="AT294" i="2" s="1"/>
  <c r="AM295" i="2"/>
  <c r="AT295" i="2" s="1" a="1"/>
  <c r="AT295" i="2" s="1"/>
  <c r="AM296" i="2"/>
  <c r="AT296" i="2" s="1" a="1"/>
  <c r="AT296" i="2" s="1"/>
  <c r="AM297" i="2"/>
  <c r="AT297" i="2" s="1" a="1"/>
  <c r="AT297" i="2" s="1"/>
  <c r="AM298" i="2"/>
  <c r="AT298" i="2" s="1" a="1"/>
  <c r="AT298" i="2" s="1"/>
  <c r="AM299" i="2"/>
  <c r="AT299" i="2" s="1" a="1"/>
  <c r="AT299" i="2" s="1"/>
  <c r="AM300" i="2"/>
  <c r="AT300" i="2" s="1" a="1"/>
  <c r="AT300" i="2" s="1"/>
  <c r="AM301" i="2"/>
  <c r="AT301" i="2" s="1" a="1"/>
  <c r="AT301" i="2" s="1"/>
  <c r="AM302" i="2"/>
  <c r="AT302" i="2" s="1" a="1"/>
  <c r="AT302" i="2" s="1"/>
  <c r="AM303" i="2"/>
  <c r="AT303" i="2" s="1" a="1"/>
  <c r="AT303" i="2" s="1"/>
  <c r="AM304" i="2"/>
  <c r="AT304" i="2" s="1" a="1"/>
  <c r="AT304" i="2" s="1"/>
  <c r="AM305" i="2"/>
  <c r="AT305" i="2" s="1" a="1"/>
  <c r="AT305" i="2" s="1"/>
  <c r="AM306" i="2"/>
  <c r="AT306" i="2" s="1" a="1"/>
  <c r="AT306" i="2" s="1"/>
  <c r="AM307" i="2"/>
  <c r="AT307" i="2" s="1" a="1"/>
  <c r="AT307" i="2" s="1"/>
  <c r="AM308" i="2"/>
  <c r="AT308" i="2" s="1" a="1"/>
  <c r="AT308" i="2" s="1"/>
  <c r="AM309" i="2"/>
  <c r="AT309" i="2" s="1" a="1"/>
  <c r="AT309" i="2" s="1"/>
  <c r="AM310" i="2"/>
  <c r="AT310" i="2" s="1" a="1"/>
  <c r="AT310" i="2" s="1"/>
  <c r="AM311" i="2"/>
  <c r="AT311" i="2" s="1" a="1"/>
  <c r="AT311" i="2" s="1"/>
  <c r="AM312" i="2"/>
  <c r="AT312" i="2" s="1" a="1"/>
  <c r="AT312" i="2" s="1"/>
  <c r="AM313" i="2"/>
  <c r="AT313" i="2" s="1" a="1"/>
  <c r="AT313" i="2" s="1"/>
  <c r="AM314" i="2"/>
  <c r="AT314" i="2" s="1" a="1"/>
  <c r="AT314" i="2" s="1"/>
  <c r="AM315" i="2"/>
  <c r="AT315" i="2" s="1" a="1"/>
  <c r="AT315" i="2" s="1"/>
  <c r="AM316" i="2"/>
  <c r="AT316" i="2" s="1" a="1"/>
  <c r="AT316" i="2" s="1"/>
  <c r="AM317" i="2"/>
  <c r="AT317" i="2" s="1" a="1"/>
  <c r="AT317" i="2" s="1"/>
  <c r="AM318" i="2"/>
  <c r="AT318" i="2" s="1" a="1"/>
  <c r="AT318" i="2" s="1"/>
  <c r="AM319" i="2"/>
  <c r="AT319" i="2" s="1" a="1"/>
  <c r="AT319" i="2" s="1"/>
  <c r="AM320" i="2"/>
  <c r="AT320" i="2" s="1" a="1"/>
  <c r="AT320" i="2" s="1"/>
  <c r="AM321" i="2"/>
  <c r="AT321" i="2" s="1" a="1"/>
  <c r="AT321" i="2" s="1"/>
  <c r="AM322" i="2"/>
  <c r="AT322" i="2" s="1" a="1"/>
  <c r="AT322" i="2" s="1"/>
  <c r="AM323" i="2"/>
  <c r="AT323" i="2" s="1" a="1"/>
  <c r="AT323" i="2" s="1"/>
  <c r="AM324" i="2"/>
  <c r="AT324" i="2" s="1" a="1"/>
  <c r="AT324" i="2" s="1"/>
  <c r="AM325" i="2"/>
  <c r="AT325" i="2" s="1" a="1"/>
  <c r="AT325" i="2" s="1"/>
  <c r="AM326" i="2"/>
  <c r="AT326" i="2" s="1" a="1"/>
  <c r="AT326" i="2" s="1"/>
  <c r="AM327" i="2"/>
  <c r="AT327" i="2" s="1" a="1"/>
  <c r="AT327" i="2" s="1"/>
  <c r="AM328" i="2"/>
  <c r="AT328" i="2" s="1" a="1"/>
  <c r="AT328" i="2" s="1"/>
  <c r="AM329" i="2"/>
  <c r="AT329" i="2" s="1" a="1"/>
  <c r="AT329" i="2" s="1"/>
  <c r="AM330" i="2"/>
  <c r="AT330" i="2" s="1" a="1"/>
  <c r="AT330" i="2" s="1"/>
  <c r="AM331" i="2"/>
  <c r="AT331" i="2" s="1" a="1"/>
  <c r="AT331" i="2" s="1"/>
  <c r="AM332" i="2"/>
  <c r="AT332" i="2" s="1" a="1"/>
  <c r="AT332" i="2" s="1"/>
  <c r="AM333" i="2"/>
  <c r="AT333" i="2" s="1" a="1"/>
  <c r="AT333" i="2" s="1"/>
  <c r="AM334" i="2"/>
  <c r="AT334" i="2" s="1" a="1"/>
  <c r="AT334" i="2" s="1"/>
  <c r="AM335" i="2"/>
  <c r="AT335" i="2" s="1" a="1"/>
  <c r="AT335" i="2" s="1"/>
  <c r="AM336" i="2"/>
  <c r="AT336" i="2" s="1" a="1"/>
  <c r="AT336" i="2" s="1"/>
  <c r="AM337" i="2"/>
  <c r="AT337" i="2" s="1" a="1"/>
  <c r="AT337" i="2" s="1"/>
  <c r="AM338" i="2"/>
  <c r="AT338" i="2" s="1" a="1"/>
  <c r="AT338" i="2" s="1"/>
  <c r="AM339" i="2"/>
  <c r="AT339" i="2" s="1" a="1"/>
  <c r="AT339" i="2" s="1"/>
  <c r="AM340" i="2"/>
  <c r="AT340" i="2" s="1" a="1"/>
  <c r="AT340" i="2" s="1"/>
  <c r="AM341" i="2"/>
  <c r="AT341" i="2" s="1" a="1"/>
  <c r="AT341" i="2" s="1"/>
  <c r="AM342" i="2"/>
  <c r="AT342" i="2" s="1" a="1"/>
  <c r="AT342" i="2" s="1"/>
  <c r="AM343" i="2"/>
  <c r="AT343" i="2" s="1" a="1"/>
  <c r="AT343" i="2" s="1"/>
  <c r="AM344" i="2"/>
  <c r="AT344" i="2" s="1" a="1"/>
  <c r="AT344" i="2" s="1"/>
  <c r="AM345" i="2"/>
  <c r="AT345" i="2" s="1" a="1"/>
  <c r="AT345" i="2" s="1"/>
  <c r="AM346" i="2"/>
  <c r="AT346" i="2" s="1" a="1"/>
  <c r="AT346" i="2" s="1"/>
  <c r="AM347" i="2"/>
  <c r="AT347" i="2" s="1" a="1"/>
  <c r="AT347" i="2" s="1"/>
  <c r="AM348" i="2"/>
  <c r="AT348" i="2" s="1" a="1"/>
  <c r="AT348" i="2" s="1"/>
  <c r="AM349" i="2"/>
  <c r="AT349" i="2" s="1" a="1"/>
  <c r="AT349" i="2" s="1"/>
  <c r="AM350" i="2"/>
  <c r="AT350" i="2" s="1" a="1"/>
  <c r="AT350" i="2" s="1"/>
  <c r="AM351" i="2"/>
  <c r="AT351" i="2" s="1" a="1"/>
  <c r="AT351" i="2" s="1"/>
  <c r="AM352" i="2"/>
  <c r="AT352" i="2" s="1" a="1"/>
  <c r="AT352" i="2" s="1"/>
  <c r="AM353" i="2"/>
  <c r="AT353" i="2" s="1" a="1"/>
  <c r="AT353" i="2" s="1"/>
  <c r="AM354" i="2"/>
  <c r="AT354" i="2" s="1" a="1"/>
  <c r="AT354" i="2" s="1"/>
  <c r="AM355" i="2"/>
  <c r="AT355" i="2" s="1" a="1"/>
  <c r="AT355" i="2" s="1"/>
  <c r="AM356" i="2"/>
  <c r="AT356" i="2" s="1" a="1"/>
  <c r="AT356" i="2" s="1"/>
  <c r="AM357" i="2"/>
  <c r="AT357" i="2" s="1" a="1"/>
  <c r="AT357" i="2" s="1"/>
  <c r="AM358" i="2"/>
  <c r="AT358" i="2" s="1" a="1"/>
  <c r="AT358" i="2" s="1"/>
  <c r="AM359" i="2"/>
  <c r="AT359" i="2" s="1" a="1"/>
  <c r="AT359" i="2" s="1"/>
  <c r="AM360" i="2"/>
  <c r="AT360" i="2" s="1" a="1"/>
  <c r="AT360" i="2" s="1"/>
  <c r="AM361" i="2"/>
  <c r="AT361" i="2" s="1" a="1"/>
  <c r="AT361" i="2" s="1"/>
  <c r="AM362" i="2"/>
  <c r="AT362" i="2" s="1" a="1"/>
  <c r="AT362" i="2" s="1"/>
  <c r="AM363" i="2"/>
  <c r="AT363" i="2" s="1" a="1"/>
  <c r="AT363" i="2" s="1"/>
  <c r="AM364" i="2"/>
  <c r="AT364" i="2" s="1" a="1"/>
  <c r="AT364" i="2" s="1"/>
  <c r="AM365" i="2"/>
  <c r="AT365" i="2" s="1" a="1"/>
  <c r="AT365" i="2" s="1"/>
  <c r="AM366" i="2"/>
  <c r="AT366" i="2" s="1" a="1"/>
  <c r="AT366" i="2" s="1"/>
  <c r="AM367" i="2"/>
  <c r="AT367" i="2" s="1" a="1"/>
  <c r="AT367" i="2" s="1"/>
  <c r="AM368" i="2"/>
  <c r="AT368" i="2" s="1" a="1"/>
  <c r="AT368" i="2" s="1"/>
  <c r="AM369" i="2"/>
  <c r="AT369" i="2" s="1" a="1"/>
  <c r="AT369" i="2" s="1"/>
  <c r="AM370" i="2"/>
  <c r="AT370" i="2" s="1" a="1"/>
  <c r="AT370" i="2" s="1"/>
  <c r="AM371" i="2"/>
  <c r="AT371" i="2" s="1" a="1"/>
  <c r="AT371" i="2" s="1"/>
  <c r="AM372" i="2"/>
  <c r="AT372" i="2" s="1" a="1"/>
  <c r="AT372" i="2" s="1"/>
  <c r="AM373" i="2"/>
  <c r="AT373" i="2" s="1" a="1"/>
  <c r="AT373" i="2" s="1"/>
  <c r="AM374" i="2"/>
  <c r="AT374" i="2" s="1" a="1"/>
  <c r="AT374" i="2" s="1"/>
  <c r="AM375" i="2"/>
  <c r="AT375" i="2" s="1" a="1"/>
  <c r="AT375" i="2" s="1"/>
  <c r="AM376" i="2"/>
  <c r="AT376" i="2" s="1" a="1"/>
  <c r="AT376" i="2" s="1"/>
  <c r="AM377" i="2"/>
  <c r="AT377" i="2" s="1" a="1"/>
  <c r="AT377" i="2" s="1"/>
  <c r="AM378" i="2"/>
  <c r="AT378" i="2" s="1" a="1"/>
  <c r="AT378" i="2" s="1"/>
  <c r="AM379" i="2"/>
  <c r="AT379" i="2" s="1" a="1"/>
  <c r="AT379" i="2" s="1"/>
  <c r="AM380" i="2"/>
  <c r="AT380" i="2" s="1" a="1"/>
  <c r="AT380" i="2" s="1"/>
  <c r="AM381" i="2"/>
  <c r="AT381" i="2" s="1" a="1"/>
  <c r="AT381" i="2" s="1"/>
  <c r="AM382" i="2"/>
  <c r="AT382" i="2" s="1" a="1"/>
  <c r="AT382" i="2" s="1"/>
  <c r="AM383" i="2"/>
  <c r="AT383" i="2" s="1" a="1"/>
  <c r="AT383" i="2" s="1"/>
  <c r="AM384" i="2"/>
  <c r="AT384" i="2" s="1" a="1"/>
  <c r="AT384" i="2" s="1"/>
  <c r="AM385" i="2"/>
  <c r="AT385" i="2" s="1" a="1"/>
  <c r="AT385" i="2" s="1"/>
  <c r="AM386" i="2"/>
  <c r="AT386" i="2" s="1" a="1"/>
  <c r="AT386" i="2" s="1"/>
  <c r="AM387" i="2"/>
  <c r="AT387" i="2" s="1" a="1"/>
  <c r="AT387" i="2" s="1"/>
  <c r="AV387" i="2" s="1" a="1"/>
  <c r="AV387" i="2" s="1"/>
  <c r="AM388" i="2"/>
  <c r="AT388" i="2" s="1" a="1"/>
  <c r="AT388" i="2" s="1"/>
  <c r="AM389" i="2"/>
  <c r="AT389" i="2" s="1" a="1"/>
  <c r="AT389" i="2" s="1"/>
  <c r="AM390" i="2"/>
  <c r="AT390" i="2" s="1" a="1"/>
  <c r="AT390" i="2" s="1"/>
  <c r="AM391" i="2"/>
  <c r="AT391" i="2" s="1" a="1"/>
  <c r="AT391" i="2" s="1"/>
  <c r="AM392" i="2"/>
  <c r="AT392" i="2" s="1" a="1"/>
  <c r="AT392" i="2" s="1"/>
  <c r="AM393" i="2"/>
  <c r="AT393" i="2" s="1" a="1"/>
  <c r="AT393" i="2" s="1"/>
  <c r="AM394" i="2"/>
  <c r="AT394" i="2" s="1" a="1"/>
  <c r="AT394" i="2" s="1"/>
  <c r="AM395" i="2"/>
  <c r="AT395" i="2" s="1" a="1"/>
  <c r="AT395" i="2" s="1"/>
  <c r="AM396" i="2"/>
  <c r="AT396" i="2" s="1" a="1"/>
  <c r="AT396" i="2" s="1"/>
  <c r="AM397" i="2"/>
  <c r="AT397" i="2" s="1" a="1"/>
  <c r="AT397" i="2" s="1"/>
  <c r="AM398" i="2"/>
  <c r="AT398" i="2" s="1" a="1"/>
  <c r="AT398" i="2" s="1"/>
  <c r="AM399" i="2"/>
  <c r="AT399" i="2" s="1" a="1"/>
  <c r="AT399" i="2" s="1"/>
  <c r="AM400" i="2"/>
  <c r="AT400" i="2" s="1" a="1"/>
  <c r="AT400" i="2" s="1"/>
  <c r="AM401" i="2"/>
  <c r="AT401" i="2" s="1" a="1"/>
  <c r="AT401" i="2" s="1"/>
  <c r="AM402" i="2"/>
  <c r="AT402" i="2" s="1" a="1"/>
  <c r="AT402" i="2" s="1"/>
  <c r="AM403" i="2"/>
  <c r="AT403" i="2" s="1" a="1"/>
  <c r="AT403" i="2" s="1"/>
  <c r="AM404" i="2"/>
  <c r="AT404" i="2" s="1" a="1"/>
  <c r="AT404" i="2" s="1"/>
  <c r="AM405" i="2"/>
  <c r="AT405" i="2" s="1" a="1"/>
  <c r="AT405" i="2" s="1"/>
  <c r="AM406" i="2"/>
  <c r="AT406" i="2" s="1" a="1"/>
  <c r="AT406" i="2" s="1"/>
  <c r="AM407" i="2"/>
  <c r="AT407" i="2" s="1" a="1"/>
  <c r="AT407" i="2" s="1"/>
  <c r="AM408" i="2"/>
  <c r="AT408" i="2" s="1" a="1"/>
  <c r="AT408" i="2" s="1"/>
  <c r="AM409" i="2"/>
  <c r="AT409" i="2" s="1" a="1"/>
  <c r="AT409" i="2" s="1"/>
  <c r="AM410" i="2"/>
  <c r="AT410" i="2" s="1" a="1"/>
  <c r="AT410" i="2" s="1"/>
  <c r="AM411" i="2"/>
  <c r="AT411" i="2" s="1" a="1"/>
  <c r="AT411" i="2" s="1"/>
  <c r="AM412" i="2"/>
  <c r="AT412" i="2" s="1" a="1"/>
  <c r="AT412" i="2" s="1"/>
  <c r="AM413" i="2"/>
  <c r="AT413" i="2" s="1" a="1"/>
  <c r="AT413" i="2" s="1"/>
  <c r="AM414" i="2"/>
  <c r="AT414" i="2" s="1" a="1"/>
  <c r="AT414" i="2" s="1"/>
  <c r="AM415" i="2"/>
  <c r="AT415" i="2" s="1" a="1"/>
  <c r="AT415" i="2" s="1"/>
  <c r="AM416" i="2"/>
  <c r="AT416" i="2" s="1" a="1"/>
  <c r="AT416" i="2" s="1"/>
  <c r="AM417" i="2"/>
  <c r="AT417" i="2" s="1" a="1"/>
  <c r="AT417" i="2" s="1"/>
  <c r="AM418" i="2"/>
  <c r="AT418" i="2" s="1" a="1"/>
  <c r="AT418" i="2" s="1"/>
  <c r="AM419" i="2"/>
  <c r="AT419" i="2" s="1" a="1"/>
  <c r="AT419" i="2" s="1"/>
  <c r="AM420" i="2"/>
  <c r="AT420" i="2" s="1" a="1"/>
  <c r="AT420" i="2" s="1"/>
  <c r="AM421" i="2"/>
  <c r="AT421" i="2" s="1" a="1"/>
  <c r="AT421" i="2" s="1"/>
  <c r="AM422" i="2"/>
  <c r="AT422" i="2" s="1" a="1"/>
  <c r="AT422" i="2" s="1"/>
  <c r="AM423" i="2"/>
  <c r="AT423" i="2" s="1" a="1"/>
  <c r="AT423" i="2" s="1"/>
  <c r="AM424" i="2"/>
  <c r="AT424" i="2" s="1" a="1"/>
  <c r="AT424" i="2" s="1"/>
  <c r="AM425" i="2"/>
  <c r="AT425" i="2" s="1" a="1"/>
  <c r="AT425" i="2" s="1"/>
  <c r="AM426" i="2"/>
  <c r="AT426" i="2" s="1" a="1"/>
  <c r="AT426" i="2" s="1"/>
  <c r="AM427" i="2"/>
  <c r="AT427" i="2" s="1" a="1"/>
  <c r="AT427" i="2" s="1"/>
  <c r="AM428" i="2"/>
  <c r="AT428" i="2" s="1" a="1"/>
  <c r="AT428" i="2" s="1"/>
  <c r="AM429" i="2"/>
  <c r="AT429" i="2" s="1" a="1"/>
  <c r="AT429" i="2" s="1"/>
  <c r="AM430" i="2"/>
  <c r="AT430" i="2" s="1" a="1"/>
  <c r="AT430" i="2" s="1"/>
  <c r="AM431" i="2"/>
  <c r="AT431" i="2" s="1" a="1"/>
  <c r="AT431" i="2" s="1"/>
  <c r="AM432" i="2"/>
  <c r="AT432" i="2" s="1" a="1"/>
  <c r="AT432" i="2" s="1"/>
  <c r="AM433" i="2"/>
  <c r="AT433" i="2" s="1" a="1"/>
  <c r="AT433" i="2" s="1"/>
  <c r="AM434" i="2"/>
  <c r="AT434" i="2" s="1" a="1"/>
  <c r="AT434" i="2" s="1"/>
  <c r="AM435" i="2"/>
  <c r="AT435" i="2" s="1" a="1"/>
  <c r="AT435" i="2" s="1"/>
  <c r="AM436" i="2"/>
  <c r="AT436" i="2" s="1" a="1"/>
  <c r="AT436" i="2" s="1"/>
  <c r="AM437" i="2"/>
  <c r="AT437" i="2" s="1" a="1"/>
  <c r="AT437" i="2" s="1"/>
  <c r="AM438" i="2"/>
  <c r="AT438" i="2" s="1" a="1"/>
  <c r="AT438" i="2" s="1"/>
  <c r="AM439" i="2"/>
  <c r="AT439" i="2" s="1" a="1"/>
  <c r="AT439" i="2" s="1"/>
  <c r="AM440" i="2"/>
  <c r="AT440" i="2" s="1" a="1"/>
  <c r="AT440" i="2" s="1"/>
  <c r="AM441" i="2"/>
  <c r="AT441" i="2" s="1" a="1"/>
  <c r="AT441" i="2" s="1"/>
  <c r="AM442" i="2"/>
  <c r="AT442" i="2" s="1" a="1"/>
  <c r="AT442" i="2" s="1"/>
  <c r="AM443" i="2"/>
  <c r="AT443" i="2" s="1" a="1"/>
  <c r="AT443" i="2" s="1"/>
  <c r="AM444" i="2"/>
  <c r="AT444" i="2" s="1" a="1"/>
  <c r="AT444" i="2" s="1"/>
  <c r="AM445" i="2"/>
  <c r="AT445" i="2" s="1" a="1"/>
  <c r="AT445" i="2" s="1"/>
  <c r="AM446" i="2"/>
  <c r="AT446" i="2" s="1" a="1"/>
  <c r="AT446" i="2" s="1"/>
  <c r="AM447" i="2"/>
  <c r="AT447" i="2" s="1" a="1"/>
  <c r="AT447" i="2" s="1"/>
  <c r="AM448" i="2"/>
  <c r="AT448" i="2" s="1" a="1"/>
  <c r="AT448" i="2" s="1"/>
  <c r="AM449" i="2"/>
  <c r="AT449" i="2" s="1" a="1"/>
  <c r="AT449" i="2" s="1"/>
  <c r="AM450" i="2"/>
  <c r="AT450" i="2" s="1" a="1"/>
  <c r="AT450" i="2" s="1"/>
  <c r="AM451" i="2"/>
  <c r="AT451" i="2" s="1" a="1"/>
  <c r="AT451" i="2" s="1"/>
  <c r="AM452" i="2"/>
  <c r="AT452" i="2" s="1" a="1"/>
  <c r="AT452" i="2" s="1"/>
  <c r="AM453" i="2"/>
  <c r="AT453" i="2" s="1" a="1"/>
  <c r="AT453" i="2" s="1"/>
  <c r="AM454" i="2"/>
  <c r="AT454" i="2" s="1" a="1"/>
  <c r="AT454" i="2" s="1"/>
  <c r="AM455" i="2"/>
  <c r="AT455" i="2" s="1" a="1"/>
  <c r="AT455" i="2" s="1"/>
  <c r="AM456" i="2"/>
  <c r="AT456" i="2" s="1" a="1"/>
  <c r="AT456" i="2" s="1"/>
  <c r="AM457" i="2"/>
  <c r="AT457" i="2" s="1" a="1"/>
  <c r="AT457" i="2" s="1"/>
  <c r="AM458" i="2"/>
  <c r="AT458" i="2" s="1" a="1"/>
  <c r="AT458" i="2" s="1"/>
  <c r="AM459" i="2"/>
  <c r="AT459" i="2" s="1" a="1"/>
  <c r="AT459" i="2" s="1"/>
  <c r="AM460" i="2"/>
  <c r="AT460" i="2" s="1" a="1"/>
  <c r="AT460" i="2" s="1"/>
  <c r="AM461" i="2"/>
  <c r="AT461" i="2" s="1" a="1"/>
  <c r="AT461" i="2" s="1"/>
  <c r="AM462" i="2"/>
  <c r="AT462" i="2" s="1" a="1"/>
  <c r="AT462" i="2" s="1"/>
  <c r="AM463" i="2"/>
  <c r="AT463" i="2" s="1" a="1"/>
  <c r="AT463" i="2" s="1"/>
  <c r="AM464" i="2"/>
  <c r="AT464" i="2" s="1" a="1"/>
  <c r="AT464" i="2" s="1"/>
  <c r="AM465" i="2"/>
  <c r="AT465" i="2" s="1" a="1"/>
  <c r="AT465" i="2" s="1"/>
  <c r="AM466" i="2"/>
  <c r="AT466" i="2" s="1" a="1"/>
  <c r="AT466" i="2" s="1"/>
  <c r="AM467" i="2"/>
  <c r="AT467" i="2" s="1" a="1"/>
  <c r="AT467" i="2" s="1"/>
  <c r="AM468" i="2"/>
  <c r="AT468" i="2" s="1" a="1"/>
  <c r="AT468" i="2" s="1"/>
  <c r="AM469" i="2"/>
  <c r="AT469" i="2" s="1" a="1"/>
  <c r="AT469" i="2" s="1"/>
  <c r="AM470" i="2"/>
  <c r="AT470" i="2" s="1" a="1"/>
  <c r="AT470" i="2" s="1"/>
  <c r="AM471" i="2"/>
  <c r="AT471" i="2" s="1" a="1"/>
  <c r="AT471" i="2" s="1"/>
  <c r="AM472" i="2"/>
  <c r="AT472" i="2" s="1" a="1"/>
  <c r="AT472" i="2" s="1"/>
  <c r="AM473" i="2"/>
  <c r="AT473" i="2" s="1" a="1"/>
  <c r="AT473" i="2" s="1"/>
  <c r="AM474" i="2"/>
  <c r="AT474" i="2" s="1" a="1"/>
  <c r="AT474" i="2" s="1"/>
  <c r="AM475" i="2"/>
  <c r="AT475" i="2" s="1" a="1"/>
  <c r="AT475" i="2" s="1"/>
  <c r="AM476" i="2"/>
  <c r="AT476" i="2" s="1" a="1"/>
  <c r="AT476" i="2" s="1"/>
  <c r="AM477" i="2"/>
  <c r="AT477" i="2" s="1" a="1"/>
  <c r="AT477" i="2" s="1"/>
  <c r="AM478" i="2"/>
  <c r="AT478" i="2" s="1" a="1"/>
  <c r="AT478" i="2" s="1"/>
  <c r="AM479" i="2"/>
  <c r="AT479" i="2" s="1" a="1"/>
  <c r="AT479" i="2" s="1"/>
  <c r="AM480" i="2"/>
  <c r="AT480" i="2" s="1" a="1"/>
  <c r="AT480" i="2" s="1"/>
  <c r="AM481" i="2"/>
  <c r="AT481" i="2" s="1" a="1"/>
  <c r="AT481" i="2" s="1"/>
  <c r="AM482" i="2"/>
  <c r="AT482" i="2" s="1" a="1"/>
  <c r="AT482" i="2" s="1"/>
  <c r="AM483" i="2"/>
  <c r="AT483" i="2" s="1" a="1"/>
  <c r="AT483" i="2" s="1"/>
  <c r="AM484" i="2"/>
  <c r="AT484" i="2" s="1" a="1"/>
  <c r="AT484" i="2" s="1"/>
  <c r="AM485" i="2"/>
  <c r="AT485" i="2" s="1" a="1"/>
  <c r="AT485" i="2" s="1"/>
  <c r="AM486" i="2"/>
  <c r="AT486" i="2" s="1" a="1"/>
  <c r="AT486" i="2" s="1"/>
  <c r="AM487" i="2"/>
  <c r="AT487" i="2" s="1" a="1"/>
  <c r="AT487" i="2" s="1"/>
  <c r="AM488" i="2"/>
  <c r="AT488" i="2" s="1" a="1"/>
  <c r="AT488" i="2" s="1"/>
  <c r="AM489" i="2"/>
  <c r="AT489" i="2" s="1" a="1"/>
  <c r="AT489" i="2" s="1"/>
  <c r="AM490" i="2"/>
  <c r="AT490" i="2" s="1" a="1"/>
  <c r="AT490" i="2" s="1"/>
  <c r="AM491" i="2"/>
  <c r="AT491" i="2" s="1" a="1"/>
  <c r="AT491" i="2" s="1"/>
  <c r="AM492" i="2"/>
  <c r="AT492" i="2" s="1" a="1"/>
  <c r="AT492" i="2" s="1"/>
  <c r="AM493" i="2"/>
  <c r="AT493" i="2" s="1" a="1"/>
  <c r="AT493" i="2" s="1"/>
  <c r="AM494" i="2"/>
  <c r="AT494" i="2" s="1" a="1"/>
  <c r="AT494" i="2" s="1"/>
  <c r="AM495" i="2"/>
  <c r="AT495" i="2" s="1" a="1"/>
  <c r="AT495" i="2" s="1"/>
  <c r="AM496" i="2"/>
  <c r="AT496" i="2" s="1" a="1"/>
  <c r="AT496" i="2" s="1"/>
  <c r="AM497" i="2"/>
  <c r="AT497" i="2" s="1" a="1"/>
  <c r="AT497" i="2" s="1"/>
  <c r="AM498" i="2"/>
  <c r="AT498" i="2" s="1" a="1"/>
  <c r="AT498" i="2" s="1"/>
  <c r="AM499" i="2"/>
  <c r="AT499" i="2" s="1" a="1"/>
  <c r="AT499" i="2" s="1"/>
  <c r="AM500" i="2"/>
  <c r="AT500" i="2" s="1" a="1"/>
  <c r="AT500" i="2" s="1"/>
  <c r="AM501" i="2"/>
  <c r="AT501" i="2" s="1" a="1"/>
  <c r="AT501" i="2" s="1"/>
  <c r="AS2" i="2"/>
  <c r="AS3" i="2"/>
  <c r="AS4" i="2"/>
  <c r="AS5" i="2"/>
  <c r="AS6" i="2"/>
  <c r="AS7" i="2"/>
  <c r="AS8" i="2"/>
  <c r="AS9" i="2"/>
  <c r="AS10" i="2"/>
  <c r="AS11" i="2"/>
  <c r="AS12" i="2"/>
  <c r="AS13" i="2"/>
  <c r="AS14" i="2"/>
  <c r="AS15" i="2"/>
  <c r="AS16" i="2"/>
  <c r="AS17" i="2"/>
  <c r="AS18" i="2"/>
  <c r="AS19" i="2"/>
  <c r="AS20" i="2"/>
  <c r="AS21" i="2"/>
  <c r="AS22" i="2"/>
  <c r="AS23" i="2"/>
  <c r="AS24" i="2"/>
  <c r="AS25" i="2"/>
  <c r="AS26" i="2"/>
  <c r="AS27" i="2"/>
  <c r="AS28" i="2"/>
  <c r="AS29" i="2"/>
  <c r="AS30" i="2"/>
  <c r="AS31" i="2"/>
  <c r="AS32" i="2"/>
  <c r="AS33" i="2"/>
  <c r="AS34" i="2"/>
  <c r="AS35" i="2"/>
  <c r="AS36" i="2"/>
  <c r="AS37" i="2"/>
  <c r="AS38" i="2"/>
  <c r="AS39" i="2"/>
  <c r="AS40" i="2"/>
  <c r="AS41" i="2"/>
  <c r="AS42" i="2"/>
  <c r="AS43" i="2"/>
  <c r="AS44" i="2"/>
  <c r="AS45" i="2"/>
  <c r="AS46" i="2"/>
  <c r="AS47" i="2"/>
  <c r="AS48" i="2"/>
  <c r="AS49" i="2"/>
  <c r="AS50" i="2"/>
  <c r="AS51" i="2"/>
  <c r="AS52" i="2"/>
  <c r="AS53" i="2"/>
  <c r="AS54" i="2"/>
  <c r="AS55" i="2"/>
  <c r="AS56" i="2"/>
  <c r="AS57" i="2"/>
  <c r="AS58" i="2"/>
  <c r="AS59" i="2"/>
  <c r="AS60" i="2"/>
  <c r="AS61" i="2"/>
  <c r="AS62" i="2"/>
  <c r="AS63" i="2"/>
  <c r="AS64" i="2"/>
  <c r="AS65" i="2"/>
  <c r="AS66" i="2"/>
  <c r="AS67" i="2"/>
  <c r="AS68" i="2"/>
  <c r="AS69" i="2"/>
  <c r="AS70" i="2"/>
  <c r="AS71" i="2"/>
  <c r="AS72" i="2"/>
  <c r="AS73" i="2"/>
  <c r="AS74" i="2"/>
  <c r="AS75" i="2"/>
  <c r="AS76" i="2"/>
  <c r="AS77" i="2"/>
  <c r="AS78" i="2"/>
  <c r="AS79" i="2"/>
  <c r="AS80" i="2"/>
  <c r="AS81" i="2"/>
  <c r="AS82" i="2"/>
  <c r="AS83" i="2"/>
  <c r="AS84" i="2"/>
  <c r="AS85" i="2"/>
  <c r="AS86" i="2"/>
  <c r="AS87" i="2"/>
  <c r="AS88" i="2"/>
  <c r="AS89" i="2"/>
  <c r="AS90" i="2"/>
  <c r="AS91" i="2"/>
  <c r="AS92" i="2"/>
  <c r="AS93" i="2"/>
  <c r="AS94" i="2"/>
  <c r="AS95" i="2"/>
  <c r="AS96" i="2"/>
  <c r="AS97" i="2"/>
  <c r="AS98" i="2"/>
  <c r="AS99" i="2"/>
  <c r="AS100" i="2"/>
  <c r="AS101" i="2"/>
  <c r="AS102" i="2"/>
  <c r="AS103" i="2"/>
  <c r="AS104" i="2"/>
  <c r="AS105" i="2"/>
  <c r="AS106" i="2"/>
  <c r="AS107" i="2"/>
  <c r="AS108" i="2"/>
  <c r="AS109" i="2"/>
  <c r="AS110" i="2"/>
  <c r="AS111" i="2"/>
  <c r="AS112" i="2"/>
  <c r="AS113" i="2"/>
  <c r="AS114" i="2"/>
  <c r="AS115" i="2"/>
  <c r="AS116" i="2"/>
  <c r="AS117" i="2"/>
  <c r="AS118" i="2"/>
  <c r="AS119" i="2"/>
  <c r="AS120" i="2"/>
  <c r="AS121" i="2"/>
  <c r="AS122" i="2"/>
  <c r="AS123" i="2"/>
  <c r="AS124" i="2"/>
  <c r="AS125" i="2"/>
  <c r="AS126" i="2"/>
  <c r="AS127" i="2"/>
  <c r="AS128" i="2"/>
  <c r="AS129" i="2"/>
  <c r="AS130" i="2"/>
  <c r="AS131" i="2"/>
  <c r="AS132" i="2"/>
  <c r="AS133" i="2"/>
  <c r="AS134" i="2"/>
  <c r="AS135" i="2"/>
  <c r="AS136" i="2"/>
  <c r="AS137" i="2"/>
  <c r="AS138" i="2"/>
  <c r="AS139" i="2"/>
  <c r="AS140" i="2"/>
  <c r="AS141" i="2"/>
  <c r="AS142" i="2"/>
  <c r="AS143" i="2"/>
  <c r="AS144" i="2"/>
  <c r="AS145" i="2"/>
  <c r="AS146" i="2"/>
  <c r="AS147" i="2"/>
  <c r="AS148" i="2"/>
  <c r="AS149" i="2"/>
  <c r="AS150" i="2"/>
  <c r="AS151" i="2"/>
  <c r="AS152" i="2"/>
  <c r="AS153" i="2"/>
  <c r="AS154" i="2"/>
  <c r="AS155" i="2"/>
  <c r="AS156" i="2"/>
  <c r="AS157" i="2"/>
  <c r="AS158" i="2"/>
  <c r="AS159" i="2"/>
  <c r="AS160" i="2"/>
  <c r="AS161" i="2"/>
  <c r="AS162" i="2"/>
  <c r="AS163" i="2"/>
  <c r="AS164" i="2"/>
  <c r="AS165" i="2"/>
  <c r="AS166" i="2"/>
  <c r="AS167" i="2"/>
  <c r="AS168" i="2"/>
  <c r="AS169" i="2"/>
  <c r="AS170" i="2"/>
  <c r="AS171" i="2"/>
  <c r="AS172" i="2"/>
  <c r="AS173" i="2"/>
  <c r="AS174" i="2"/>
  <c r="AS175" i="2"/>
  <c r="AS176" i="2"/>
  <c r="AS177" i="2"/>
  <c r="AS178" i="2"/>
  <c r="AS179" i="2"/>
  <c r="AS180" i="2"/>
  <c r="AS181" i="2"/>
  <c r="AS182" i="2"/>
  <c r="AS183" i="2"/>
  <c r="AS184" i="2"/>
  <c r="AS185" i="2"/>
  <c r="AS186" i="2"/>
  <c r="AS187" i="2"/>
  <c r="AS188" i="2"/>
  <c r="AS189" i="2"/>
  <c r="AS190" i="2"/>
  <c r="AS191" i="2"/>
  <c r="AS192" i="2"/>
  <c r="AS193" i="2"/>
  <c r="AS194" i="2"/>
  <c r="AS195" i="2"/>
  <c r="AS196" i="2"/>
  <c r="AS197" i="2"/>
  <c r="AS198" i="2"/>
  <c r="AS199" i="2"/>
  <c r="AS200" i="2"/>
  <c r="AS201" i="2"/>
  <c r="AS202" i="2"/>
  <c r="AS203" i="2"/>
  <c r="AS204" i="2"/>
  <c r="AS205" i="2"/>
  <c r="AS206" i="2"/>
  <c r="AS207" i="2"/>
  <c r="AS208" i="2"/>
  <c r="AS209" i="2"/>
  <c r="AS210" i="2"/>
  <c r="AS211" i="2"/>
  <c r="AS212" i="2"/>
  <c r="AS213" i="2"/>
  <c r="AS214" i="2"/>
  <c r="AS215" i="2"/>
  <c r="AS216" i="2"/>
  <c r="AS217" i="2"/>
  <c r="AS218" i="2"/>
  <c r="AS219" i="2"/>
  <c r="AS220" i="2"/>
  <c r="AS221" i="2"/>
  <c r="AS222" i="2"/>
  <c r="AS223" i="2"/>
  <c r="AS224" i="2"/>
  <c r="AS225" i="2"/>
  <c r="AS226" i="2"/>
  <c r="AS227" i="2"/>
  <c r="AS228" i="2"/>
  <c r="AS229" i="2"/>
  <c r="AS230" i="2"/>
  <c r="AS231" i="2"/>
  <c r="AS232" i="2"/>
  <c r="AS233" i="2"/>
  <c r="AS234" i="2"/>
  <c r="AS235" i="2"/>
  <c r="AS236" i="2"/>
  <c r="AS237" i="2"/>
  <c r="AS238" i="2"/>
  <c r="AS239" i="2"/>
  <c r="AS240" i="2"/>
  <c r="AS241" i="2"/>
  <c r="AS242" i="2"/>
  <c r="AS243" i="2"/>
  <c r="AS244" i="2"/>
  <c r="AS245" i="2"/>
  <c r="AS246" i="2"/>
  <c r="AS247" i="2"/>
  <c r="AS248" i="2"/>
  <c r="AS249" i="2"/>
  <c r="AS250" i="2"/>
  <c r="AS251" i="2"/>
  <c r="AS252" i="2"/>
  <c r="AS253" i="2"/>
  <c r="AS254" i="2"/>
  <c r="AS255" i="2"/>
  <c r="AS256" i="2"/>
  <c r="AS257" i="2"/>
  <c r="AS258" i="2"/>
  <c r="AS259" i="2"/>
  <c r="AS260" i="2"/>
  <c r="AS261" i="2"/>
  <c r="AS262" i="2"/>
  <c r="AS263" i="2"/>
  <c r="AS264" i="2"/>
  <c r="AS265" i="2"/>
  <c r="AS266" i="2"/>
  <c r="AS267" i="2"/>
  <c r="AS268" i="2"/>
  <c r="AS269" i="2"/>
  <c r="AS270" i="2"/>
  <c r="AS271" i="2"/>
  <c r="AS272" i="2"/>
  <c r="AS273" i="2"/>
  <c r="AS274" i="2"/>
  <c r="AS275" i="2"/>
  <c r="AS276" i="2"/>
  <c r="AS277" i="2"/>
  <c r="AS278" i="2"/>
  <c r="AS279" i="2"/>
  <c r="AS280" i="2"/>
  <c r="AS281" i="2"/>
  <c r="AS282" i="2"/>
  <c r="AS283" i="2"/>
  <c r="AS284" i="2"/>
  <c r="AS285" i="2"/>
  <c r="AS286" i="2"/>
  <c r="AS287" i="2"/>
  <c r="AS288" i="2"/>
  <c r="AS289" i="2"/>
  <c r="AS290" i="2"/>
  <c r="AS291" i="2"/>
  <c r="AS292" i="2"/>
  <c r="AS293" i="2"/>
  <c r="AS294" i="2"/>
  <c r="AS295" i="2"/>
  <c r="AS296" i="2"/>
  <c r="AS297" i="2"/>
  <c r="AS298" i="2"/>
  <c r="AS299" i="2"/>
  <c r="AS300" i="2"/>
  <c r="AS301" i="2"/>
  <c r="AS302" i="2"/>
  <c r="AS303" i="2"/>
  <c r="AS304" i="2"/>
  <c r="AS305" i="2"/>
  <c r="AS306" i="2"/>
  <c r="AS307" i="2"/>
  <c r="AS308" i="2"/>
  <c r="AS309" i="2"/>
  <c r="AS310" i="2"/>
  <c r="AS311" i="2"/>
  <c r="AS312" i="2"/>
  <c r="AS313" i="2"/>
  <c r="AS314" i="2"/>
  <c r="AS315" i="2"/>
  <c r="AS316" i="2"/>
  <c r="AS317" i="2"/>
  <c r="AS318" i="2"/>
  <c r="AS319" i="2"/>
  <c r="AS320" i="2"/>
  <c r="AS321" i="2"/>
  <c r="AS322" i="2"/>
  <c r="AS323" i="2"/>
  <c r="AS324" i="2"/>
  <c r="AS325" i="2"/>
  <c r="AS326" i="2"/>
  <c r="AS327" i="2"/>
  <c r="AS328" i="2"/>
  <c r="AS329" i="2"/>
  <c r="AS330" i="2"/>
  <c r="AS331" i="2"/>
  <c r="AS332" i="2"/>
  <c r="AS333" i="2"/>
  <c r="AS334" i="2"/>
  <c r="AS335" i="2"/>
  <c r="AS336" i="2"/>
  <c r="AS337" i="2"/>
  <c r="AS338" i="2"/>
  <c r="AS339" i="2"/>
  <c r="AS340" i="2"/>
  <c r="AS341" i="2"/>
  <c r="AS342" i="2"/>
  <c r="AS343" i="2"/>
  <c r="AS344" i="2"/>
  <c r="AS345" i="2"/>
  <c r="AS346" i="2"/>
  <c r="AS347" i="2"/>
  <c r="AS348" i="2"/>
  <c r="AS349" i="2"/>
  <c r="AS350" i="2"/>
  <c r="AS351" i="2"/>
  <c r="AS352" i="2"/>
  <c r="AS353" i="2"/>
  <c r="AS354" i="2"/>
  <c r="AS355" i="2"/>
  <c r="AS356" i="2"/>
  <c r="AS357" i="2"/>
  <c r="AS358" i="2"/>
  <c r="AS359" i="2"/>
  <c r="AS360" i="2"/>
  <c r="AS361" i="2"/>
  <c r="AS362" i="2"/>
  <c r="AS363" i="2"/>
  <c r="AS364" i="2"/>
  <c r="AS365" i="2"/>
  <c r="AS366" i="2"/>
  <c r="AS367" i="2"/>
  <c r="AS368" i="2"/>
  <c r="AS369" i="2"/>
  <c r="AS370" i="2"/>
  <c r="AS371" i="2"/>
  <c r="AS372" i="2"/>
  <c r="AS373" i="2"/>
  <c r="AS374" i="2"/>
  <c r="AS375" i="2"/>
  <c r="AS376" i="2"/>
  <c r="AS377" i="2"/>
  <c r="AS378" i="2"/>
  <c r="AS379" i="2"/>
  <c r="AS380" i="2"/>
  <c r="AS381" i="2"/>
  <c r="AS382" i="2"/>
  <c r="AS383" i="2"/>
  <c r="AS384" i="2"/>
  <c r="AS385" i="2"/>
  <c r="AS386" i="2"/>
  <c r="AS387" i="2"/>
  <c r="AS388" i="2"/>
  <c r="AS389" i="2"/>
  <c r="AS390" i="2"/>
  <c r="AS391" i="2"/>
  <c r="AS392" i="2"/>
  <c r="AS393" i="2"/>
  <c r="AS394" i="2"/>
  <c r="AS395" i="2"/>
  <c r="AS396" i="2"/>
  <c r="AS397" i="2"/>
  <c r="AS398" i="2"/>
  <c r="AS399" i="2"/>
  <c r="AS400" i="2"/>
  <c r="AS401" i="2"/>
  <c r="AS402" i="2"/>
  <c r="AS403" i="2"/>
  <c r="AS404" i="2"/>
  <c r="AS405" i="2"/>
  <c r="AS406" i="2"/>
  <c r="AS407" i="2"/>
  <c r="AS408" i="2"/>
  <c r="AS409" i="2"/>
  <c r="AS410" i="2"/>
  <c r="AS411" i="2"/>
  <c r="AS412" i="2"/>
  <c r="AS413" i="2"/>
  <c r="AS414" i="2"/>
  <c r="AS415" i="2"/>
  <c r="AS416" i="2"/>
  <c r="AS417" i="2"/>
  <c r="AS418" i="2"/>
  <c r="AS419" i="2"/>
  <c r="AS420" i="2"/>
  <c r="AS421" i="2"/>
  <c r="AS422" i="2"/>
  <c r="AS423" i="2"/>
  <c r="AS424" i="2"/>
  <c r="AS425" i="2"/>
  <c r="AS426" i="2"/>
  <c r="AS427" i="2"/>
  <c r="AS428" i="2"/>
  <c r="AS429" i="2"/>
  <c r="AS430" i="2"/>
  <c r="AS431" i="2"/>
  <c r="AS432" i="2"/>
  <c r="AS433" i="2"/>
  <c r="AS434" i="2"/>
  <c r="AS435" i="2"/>
  <c r="AS436" i="2"/>
  <c r="AS437" i="2"/>
  <c r="AS438" i="2"/>
  <c r="AS439" i="2"/>
  <c r="AS440" i="2"/>
  <c r="AS441" i="2"/>
  <c r="AS442" i="2"/>
  <c r="AS443" i="2"/>
  <c r="AS444" i="2"/>
  <c r="AS445" i="2"/>
  <c r="AS446" i="2"/>
  <c r="AS447" i="2"/>
  <c r="AS448" i="2"/>
  <c r="AS449" i="2"/>
  <c r="AS450" i="2"/>
  <c r="AS451" i="2"/>
  <c r="AS452" i="2"/>
  <c r="AS453" i="2"/>
  <c r="AS454" i="2"/>
  <c r="AS455" i="2"/>
  <c r="AS456" i="2"/>
  <c r="AS457" i="2"/>
  <c r="AS458" i="2"/>
  <c r="AS459" i="2"/>
  <c r="AS460" i="2"/>
  <c r="AS461" i="2"/>
  <c r="AS462" i="2"/>
  <c r="AS463" i="2"/>
  <c r="AS464" i="2"/>
  <c r="AS465" i="2"/>
  <c r="AS466" i="2"/>
  <c r="AS467" i="2"/>
  <c r="AS468" i="2"/>
  <c r="AS469" i="2"/>
  <c r="AS470" i="2"/>
  <c r="AS471" i="2"/>
  <c r="AS472" i="2"/>
  <c r="AS473" i="2"/>
  <c r="AS474" i="2"/>
  <c r="AS475" i="2"/>
  <c r="AS476" i="2"/>
  <c r="AS477" i="2"/>
  <c r="AS478" i="2"/>
  <c r="AS479" i="2"/>
  <c r="AS480" i="2"/>
  <c r="AS481" i="2"/>
  <c r="AS482" i="2"/>
  <c r="AS483" i="2"/>
  <c r="AS484" i="2"/>
  <c r="AS485" i="2"/>
  <c r="AS486" i="2"/>
  <c r="AS487" i="2"/>
  <c r="AS488" i="2"/>
  <c r="AS489" i="2"/>
  <c r="AS490" i="2"/>
  <c r="AS491" i="2"/>
  <c r="AS492" i="2"/>
  <c r="AS493" i="2"/>
  <c r="AS494" i="2"/>
  <c r="AS495" i="2"/>
  <c r="AS496" i="2"/>
  <c r="AS497" i="2"/>
  <c r="AS498" i="2"/>
  <c r="AS499" i="2"/>
  <c r="AS500" i="2"/>
  <c r="AS501" i="2"/>
  <c r="AE370" i="2"/>
  <c r="AR370" i="2" s="1" a="1"/>
  <c r="AR370" i="2" s="1"/>
  <c r="AV370" i="2" s="1" a="1"/>
  <c r="AV370" i="2" s="1"/>
  <c r="AE270" i="2"/>
  <c r="AR270" i="2" s="1" a="1"/>
  <c r="AR270" i="2" s="1"/>
  <c r="AV270" i="2" s="1" a="1"/>
  <c r="AV270" i="2" s="1"/>
  <c r="AE360" i="2"/>
  <c r="AE245" i="2"/>
  <c r="AR245" i="2" s="1" a="1"/>
  <c r="AR245" i="2" s="1"/>
  <c r="AV245" i="2" s="1" a="1"/>
  <c r="AV245" i="2" s="1"/>
  <c r="AE303" i="2"/>
  <c r="AR303" i="2" s="1" a="1"/>
  <c r="AR303" i="2" s="1"/>
  <c r="AV303" i="2" s="1" a="1"/>
  <c r="AV303" i="2" s="1"/>
  <c r="AE206" i="2"/>
  <c r="AR206" i="2" s="1" a="1"/>
  <c r="AR206" i="2" s="1"/>
  <c r="AV206" i="2" s="1" a="1"/>
  <c r="AV206" i="2" s="1"/>
  <c r="AE123" i="2"/>
  <c r="AR123" i="2" s="1" a="1"/>
  <c r="AR123" i="2" s="1"/>
  <c r="AV123" i="2" s="1" a="1"/>
  <c r="AV123" i="2" s="1"/>
  <c r="AE189" i="2"/>
  <c r="AE317" i="2"/>
  <c r="AR317" i="2" s="1" a="1"/>
  <c r="AR317" i="2" s="1"/>
  <c r="AV317" i="2" s="1" a="1"/>
  <c r="AV317" i="2" s="1"/>
  <c r="AE483" i="2"/>
  <c r="AE50" i="2"/>
  <c r="AE343" i="2"/>
  <c r="AR343" i="2" s="1" a="1"/>
  <c r="AR343" i="2" s="1"/>
  <c r="AV343" i="2" s="1" a="1"/>
  <c r="AV343" i="2" s="1"/>
  <c r="AE262" i="2"/>
  <c r="AR262" i="2" s="1" a="1"/>
  <c r="AR262" i="2" s="1"/>
  <c r="AV262" i="2" s="1" a="1"/>
  <c r="AV262" i="2" s="1"/>
  <c r="AE93" i="2"/>
  <c r="AE230" i="2"/>
  <c r="AR230" i="2" s="1" a="1"/>
  <c r="AR230" i="2" s="1"/>
  <c r="AE250" i="2"/>
  <c r="AR250" i="2" s="1" a="1"/>
  <c r="AR250" i="2" s="1"/>
  <c r="AV250" i="2" s="1" a="1"/>
  <c r="AV250" i="2" s="1"/>
  <c r="AE271" i="2"/>
  <c r="AR271" i="2" s="1" a="1"/>
  <c r="AR271" i="2" s="1"/>
  <c r="AV271" i="2" s="1" a="1"/>
  <c r="AV271" i="2" s="1"/>
  <c r="AE441" i="2"/>
  <c r="AR441" i="2" s="1" a="1"/>
  <c r="AR441" i="2" s="1"/>
  <c r="AE31" i="2"/>
  <c r="AR31" i="2" s="1" a="1"/>
  <c r="AR31" i="2" s="1"/>
  <c r="AV31" i="2" s="1" a="1"/>
  <c r="AV31" i="2" s="1"/>
  <c r="AE51" i="2"/>
  <c r="AR51" i="2" s="1" a="1"/>
  <c r="AR51" i="2" s="1"/>
  <c r="AE138" i="2"/>
  <c r="AR138" i="2" s="1" a="1"/>
  <c r="AR138" i="2" s="1"/>
  <c r="AV138" i="2" s="1" a="1"/>
  <c r="AV138" i="2" s="1"/>
  <c r="AE152" i="2"/>
  <c r="AR152" i="2" s="1" a="1"/>
  <c r="AR152" i="2" s="1"/>
  <c r="AE190" i="2"/>
  <c r="AR190" i="2" s="1" a="1"/>
  <c r="AR190" i="2" s="1"/>
  <c r="AV190" i="2" s="1" a="1"/>
  <c r="AV190" i="2" s="1"/>
  <c r="AE116" i="2"/>
  <c r="AR116" i="2" s="1" a="1"/>
  <c r="AR116" i="2" s="1"/>
  <c r="AV116" i="2" s="1" a="1"/>
  <c r="AV116" i="2" s="1"/>
  <c r="AE318" i="2"/>
  <c r="AR318" i="2" s="1" a="1"/>
  <c r="AR318" i="2" s="1"/>
  <c r="AV318" i="2" s="1" a="1"/>
  <c r="AV318" i="2" s="1"/>
  <c r="AE125" i="2"/>
  <c r="AR125" i="2" s="1" a="1"/>
  <c r="AR125" i="2" s="1"/>
  <c r="AV125" i="2" s="1" a="1"/>
  <c r="AV125" i="2" s="1"/>
  <c r="AE376" i="2"/>
  <c r="AE283" i="2"/>
  <c r="AR283" i="2" s="1" a="1"/>
  <c r="AR283" i="2" s="1"/>
  <c r="AV283" i="2" s="1" a="1"/>
  <c r="AV283" i="2" s="1"/>
  <c r="AE322" i="2"/>
  <c r="AR322" i="2" s="1" a="1"/>
  <c r="AR322" i="2" s="1"/>
  <c r="AV322" i="2" s="1" a="1"/>
  <c r="AV322" i="2" s="1"/>
  <c r="AE361" i="2"/>
  <c r="AR361" i="2" s="1" a="1"/>
  <c r="AR361" i="2" s="1"/>
  <c r="AV361" i="2" s="1" a="1"/>
  <c r="AV361" i="2" s="1"/>
  <c r="AE162" i="2"/>
  <c r="AR162" i="2" s="1" a="1"/>
  <c r="AR162" i="2" s="1"/>
  <c r="AE24" i="2"/>
  <c r="AR24" i="2" s="1" a="1"/>
  <c r="AR24" i="2" s="1"/>
  <c r="AE20" i="2"/>
  <c r="AE456" i="2"/>
  <c r="AE413" i="2"/>
  <c r="AR413" i="2" s="1" a="1"/>
  <c r="AR413" i="2" s="1"/>
  <c r="AV413" i="2" s="1" a="1"/>
  <c r="AV413" i="2" s="1"/>
  <c r="AE381" i="2"/>
  <c r="AR381" i="2" s="1" a="1"/>
  <c r="AR381" i="2" s="1"/>
  <c r="AV381" i="2" s="1" a="1"/>
  <c r="AV381" i="2" s="1"/>
  <c r="AE126" i="2"/>
  <c r="AR126" i="2" s="1" a="1"/>
  <c r="AR126" i="2" s="1"/>
  <c r="AV126" i="2" s="1" a="1"/>
  <c r="AV126" i="2" s="1"/>
  <c r="AE336" i="2"/>
  <c r="AR336" i="2" s="1" a="1"/>
  <c r="AR336" i="2" s="1"/>
  <c r="AV336" i="2" s="1" a="1"/>
  <c r="AV336" i="2" s="1"/>
  <c r="AE401" i="2"/>
  <c r="AR401" i="2" s="1" a="1"/>
  <c r="AR401" i="2" s="1"/>
  <c r="AV401" i="2" s="1" a="1"/>
  <c r="AV401" i="2" s="1"/>
  <c r="AE153" i="2"/>
  <c r="AR153" i="2" s="1" a="1"/>
  <c r="AR153" i="2" s="1"/>
  <c r="AV153" i="2" s="1" a="1"/>
  <c r="AV153" i="2" s="1"/>
  <c r="AE421" i="2"/>
  <c r="AR421" i="2" s="1" a="1"/>
  <c r="AR421" i="2" s="1"/>
  <c r="AV421" i="2" s="1" a="1"/>
  <c r="AV421" i="2" s="1"/>
  <c r="AE2" i="2"/>
  <c r="AR2" i="2" s="1" a="1"/>
  <c r="AR2" i="2" s="1"/>
  <c r="AE402" i="2"/>
  <c r="AE428" i="2"/>
  <c r="AR428" i="2" s="1" a="1"/>
  <c r="AR428" i="2" s="1"/>
  <c r="AE337" i="2"/>
  <c r="AR337" i="2" s="1" a="1"/>
  <c r="AR337" i="2" s="1"/>
  <c r="AV337" i="2" s="1" a="1"/>
  <c r="AV337" i="2" s="1"/>
  <c r="AE329" i="2"/>
  <c r="AE442" i="2"/>
  <c r="AR442" i="2" s="1" a="1"/>
  <c r="AR442" i="2" s="1"/>
  <c r="AV442" i="2" s="1" a="1"/>
  <c r="AV442" i="2" s="1"/>
  <c r="AE25" i="2"/>
  <c r="AR25" i="2" s="1" a="1"/>
  <c r="AR25" i="2" s="1"/>
  <c r="AV25" i="2" s="1" a="1"/>
  <c r="AV25" i="2" s="1"/>
  <c r="AE484" i="2"/>
  <c r="AR484" i="2" s="1" a="1"/>
  <c r="AR484" i="2" s="1"/>
  <c r="AV484" i="2" s="1" a="1"/>
  <c r="AV484" i="2" s="1"/>
  <c r="AE323" i="2"/>
  <c r="AR323" i="2" s="1" a="1"/>
  <c r="AR323" i="2" s="1"/>
  <c r="AE231" i="2"/>
  <c r="AE184" i="2"/>
  <c r="AR184" i="2" s="1" a="1"/>
  <c r="AR184" i="2" s="1"/>
  <c r="AE70" i="2"/>
  <c r="AR70" i="2" s="1" a="1"/>
  <c r="AR70" i="2" s="1"/>
  <c r="AV70" i="2" s="1" a="1"/>
  <c r="AV70" i="2" s="1"/>
  <c r="AE382" i="2"/>
  <c r="AR382" i="2" s="1" a="1"/>
  <c r="AR382" i="2" s="1"/>
  <c r="AV382" i="2" s="1" a="1"/>
  <c r="AV382" i="2" s="1"/>
  <c r="AE414" i="2"/>
  <c r="AR414" i="2" s="1" a="1"/>
  <c r="AR414" i="2" s="1"/>
  <c r="AV414" i="2" s="1" a="1"/>
  <c r="AV414" i="2" s="1"/>
  <c r="AE286" i="2"/>
  <c r="AR286" i="2" s="1" a="1"/>
  <c r="AR286" i="2" s="1"/>
  <c r="AV286" i="2" s="1" a="1"/>
  <c r="AV286" i="2" s="1"/>
  <c r="AE490" i="2"/>
  <c r="AR490" i="2" s="1" a="1"/>
  <c r="AR490" i="2" s="1"/>
  <c r="AV490" i="2" s="1" a="1"/>
  <c r="AV490" i="2" s="1"/>
  <c r="AE373" i="2"/>
  <c r="AE117" i="2"/>
  <c r="AE415" i="2"/>
  <c r="AR415" i="2" s="1" a="1"/>
  <c r="AR415" i="2" s="1"/>
  <c r="AV415" i="2" s="1" a="1"/>
  <c r="AV415" i="2" s="1"/>
  <c r="AE223" i="2"/>
  <c r="AR223" i="2" s="1" a="1"/>
  <c r="AR223" i="2" s="1"/>
  <c r="AV223" i="2" s="1" a="1"/>
  <c r="AV223" i="2" s="1"/>
  <c r="AE94" i="2"/>
  <c r="AR94" i="2" s="1" a="1"/>
  <c r="AR94" i="2" s="1"/>
  <c r="AV94" i="2" s="1" a="1"/>
  <c r="AV94" i="2" s="1"/>
  <c r="AE59" i="2"/>
  <c r="AR59" i="2" s="1" a="1"/>
  <c r="AR59" i="2" s="1"/>
  <c r="AV59" i="2" s="1" a="1"/>
  <c r="AV59" i="2" s="1"/>
  <c r="AE349" i="2"/>
  <c r="AR349" i="2" s="1" a="1"/>
  <c r="AR349" i="2" s="1"/>
  <c r="AV349" i="2" s="1" a="1"/>
  <c r="AV349" i="2" s="1"/>
  <c r="AE84" i="2"/>
  <c r="AR84" i="2" s="1" a="1"/>
  <c r="AR84" i="2" s="1"/>
  <c r="AV84" i="2" s="1" a="1"/>
  <c r="AV84" i="2" s="1"/>
  <c r="AE207" i="2"/>
  <c r="AR207" i="2" s="1" a="1"/>
  <c r="AR207" i="2" s="1"/>
  <c r="AV207" i="2" s="1" a="1"/>
  <c r="AV207" i="2" s="1"/>
  <c r="AE383" i="2"/>
  <c r="AR383" i="2" s="1" a="1"/>
  <c r="AR383" i="2" s="1"/>
  <c r="AV383" i="2" s="1" a="1"/>
  <c r="AV383" i="2" s="1"/>
  <c r="AE287" i="2"/>
  <c r="AR287" i="2" s="1" a="1"/>
  <c r="AR287" i="2" s="1"/>
  <c r="AV287" i="2" s="1" a="1"/>
  <c r="AV287" i="2" s="1"/>
  <c r="AE263" i="2"/>
  <c r="AR263" i="2" s="1" a="1"/>
  <c r="AR263" i="2" s="1"/>
  <c r="AV263" i="2" s="1" a="1"/>
  <c r="AV263" i="2" s="1"/>
  <c r="AE219" i="2"/>
  <c r="AR219" i="2" s="1" a="1"/>
  <c r="AR219" i="2" s="1"/>
  <c r="AV219" i="2" s="1" a="1"/>
  <c r="AV219" i="2" s="1"/>
  <c r="AE89" i="2"/>
  <c r="AR89" i="2" s="1" a="1"/>
  <c r="AR89" i="2" s="1"/>
  <c r="AV89" i="2" s="1" a="1"/>
  <c r="AV89" i="2" s="1"/>
  <c r="AE3" i="2"/>
  <c r="AR3" i="2" s="1" a="1"/>
  <c r="AR3" i="2" s="1"/>
  <c r="AV3" i="2" s="1" a="1"/>
  <c r="AV3" i="2" s="1"/>
  <c r="AE236" i="2"/>
  <c r="AR236" i="2" s="1" a="1"/>
  <c r="AR236" i="2" s="1"/>
  <c r="AE391" i="2"/>
  <c r="AR391" i="2" s="1" a="1"/>
  <c r="AR391" i="2" s="1"/>
  <c r="AV391" i="2" s="1" a="1"/>
  <c r="AV391" i="2" s="1"/>
  <c r="AE362" i="2"/>
  <c r="AE272" i="2"/>
  <c r="AR272" i="2" s="1" a="1"/>
  <c r="AR272" i="2" s="1"/>
  <c r="AV272" i="2" s="1" a="1"/>
  <c r="AV272" i="2" s="1"/>
  <c r="AE324" i="2"/>
  <c r="AR324" i="2" s="1" a="1"/>
  <c r="AR324" i="2" s="1"/>
  <c r="AV324" i="2" s="1" a="1"/>
  <c r="AV324" i="2" s="1"/>
  <c r="AE44" i="2"/>
  <c r="AR44" i="2" s="1" a="1"/>
  <c r="AR44" i="2" s="1"/>
  <c r="AV44" i="2" s="1" a="1"/>
  <c r="AV44" i="2" s="1"/>
  <c r="AE90" i="2"/>
  <c r="AR90" i="2" s="1" a="1"/>
  <c r="AR90" i="2" s="1"/>
  <c r="AV90" i="2" s="1" a="1"/>
  <c r="AV90" i="2" s="1"/>
  <c r="AE45" i="2"/>
  <c r="AR45" i="2" s="1" a="1"/>
  <c r="AR45" i="2" s="1"/>
  <c r="AV45" i="2" s="1" a="1"/>
  <c r="AV45" i="2" s="1"/>
  <c r="AE118" i="2"/>
  <c r="AR118" i="2" s="1" a="1"/>
  <c r="AR118" i="2" s="1"/>
  <c r="AV118" i="2" s="1" a="1"/>
  <c r="AV118" i="2" s="1"/>
  <c r="AE4" i="2"/>
  <c r="AR4" i="2" s="1" a="1"/>
  <c r="AR4" i="2" s="1"/>
  <c r="AV4" i="2" s="1" a="1"/>
  <c r="AV4" i="2" s="1"/>
  <c r="AE21" i="2"/>
  <c r="AE422" i="2"/>
  <c r="AR422" i="2" s="1" a="1"/>
  <c r="AR422" i="2" s="1"/>
  <c r="AV422" i="2" s="1" a="1"/>
  <c r="AV422" i="2" s="1"/>
  <c r="AE163" i="2"/>
  <c r="AR163" i="2" s="1" a="1"/>
  <c r="AR163" i="2" s="1"/>
  <c r="AE119" i="2"/>
  <c r="AR119" i="2" s="1" a="1"/>
  <c r="AR119" i="2" s="1"/>
  <c r="AV119" i="2" s="1" a="1"/>
  <c r="AV119" i="2" s="1"/>
  <c r="AE208" i="2"/>
  <c r="AR208" i="2" s="1" a="1"/>
  <c r="AR208" i="2" s="1"/>
  <c r="AV208" i="2" s="1" a="1"/>
  <c r="AV208" i="2" s="1"/>
  <c r="AE300" i="2"/>
  <c r="AR300" i="2" s="1" a="1"/>
  <c r="AR300" i="2" s="1"/>
  <c r="AV300" i="2" s="1" a="1"/>
  <c r="AV300" i="2" s="1"/>
  <c r="AE5" i="2"/>
  <c r="AR5" i="2" s="1" a="1"/>
  <c r="AR5" i="2" s="1"/>
  <c r="AV5" i="2" s="1" a="1"/>
  <c r="AV5" i="2" s="1"/>
  <c r="AE132" i="2"/>
  <c r="AR132" i="2" s="1" a="1"/>
  <c r="AR132" i="2" s="1"/>
  <c r="AV132" i="2" s="1" a="1"/>
  <c r="AV132" i="2" s="1"/>
  <c r="AE350" i="2"/>
  <c r="AE66" i="2"/>
  <c r="AR66" i="2" s="1" a="1"/>
  <c r="AR66" i="2" s="1"/>
  <c r="AE52" i="2"/>
  <c r="AR52" i="2" s="1" a="1"/>
  <c r="AR52" i="2" s="1"/>
  <c r="AV52" i="2" s="1" a="1"/>
  <c r="AV52" i="2" s="1"/>
  <c r="AE307" i="2"/>
  <c r="AR307" i="2" s="1" a="1"/>
  <c r="AR307" i="2" s="1"/>
  <c r="AE71" i="2"/>
  <c r="AR71" i="2" s="1" a="1"/>
  <c r="AR71" i="2" s="1"/>
  <c r="AV71" i="2" s="1" a="1"/>
  <c r="AV71" i="2" s="1"/>
  <c r="AE22" i="2"/>
  <c r="AR22" i="2" s="1" a="1"/>
  <c r="AR22" i="2" s="1"/>
  <c r="AE443" i="2"/>
  <c r="AR443" i="2" s="1" a="1"/>
  <c r="AR443" i="2" s="1"/>
  <c r="AV443" i="2" s="1" a="1"/>
  <c r="AV443" i="2" s="1"/>
  <c r="AE144" i="2"/>
  <c r="AR144" i="2" s="1" a="1"/>
  <c r="AR144" i="2" s="1"/>
  <c r="AV144" i="2" s="1" a="1"/>
  <c r="AV144" i="2" s="1"/>
  <c r="AE168" i="2"/>
  <c r="AR168" i="2" s="1" a="1"/>
  <c r="AR168" i="2" s="1"/>
  <c r="AE129" i="2"/>
  <c r="AR129" i="2" s="1" a="1"/>
  <c r="AR129" i="2" s="1"/>
  <c r="AV129" i="2" s="1" a="1"/>
  <c r="AV129" i="2" s="1"/>
  <c r="AE6" i="2"/>
  <c r="AR6" i="2" s="1" a="1"/>
  <c r="AR6" i="2" s="1"/>
  <c r="AV6" i="2" s="1" a="1"/>
  <c r="AV6" i="2" s="1"/>
  <c r="AE237" i="2"/>
  <c r="AR237" i="2" s="1" a="1"/>
  <c r="AR237" i="2" s="1"/>
  <c r="AV237" i="2" s="1" a="1"/>
  <c r="AV237" i="2" s="1"/>
  <c r="AE7" i="2"/>
  <c r="AR7" i="2" s="1" a="1"/>
  <c r="AR7" i="2" s="1"/>
  <c r="AV7" i="2" s="1" a="1"/>
  <c r="AV7" i="2" s="1"/>
  <c r="AE169" i="2"/>
  <c r="AR169" i="2" s="1" a="1"/>
  <c r="AR169" i="2" s="1"/>
  <c r="AV169" i="2" s="1" a="1"/>
  <c r="AV169" i="2" s="1"/>
  <c r="AE178" i="2"/>
  <c r="AR178" i="2" s="1" a="1"/>
  <c r="AR178" i="2" s="1"/>
  <c r="AE451" i="2"/>
  <c r="AE139" i="2"/>
  <c r="AE209" i="2"/>
  <c r="AR209" i="2" s="1" a="1"/>
  <c r="AR209" i="2" s="1"/>
  <c r="AV209" i="2" s="1" a="1"/>
  <c r="AV209" i="2" s="1"/>
  <c r="AE406" i="2"/>
  <c r="AR406" i="2" s="1" a="1"/>
  <c r="AR406" i="2" s="1"/>
  <c r="AV406" i="2" s="1" a="1"/>
  <c r="AV406" i="2" s="1"/>
  <c r="AE338" i="2"/>
  <c r="AR338" i="2" s="1" a="1"/>
  <c r="AR338" i="2" s="1"/>
  <c r="AE232" i="2"/>
  <c r="AR232" i="2" s="1" a="1"/>
  <c r="AR232" i="2" s="1"/>
  <c r="AE185" i="2"/>
  <c r="AR185" i="2" s="1" a="1"/>
  <c r="AR185" i="2" s="1"/>
  <c r="AV185" i="2" s="1" a="1"/>
  <c r="AV185" i="2" s="1"/>
  <c r="AE289" i="2"/>
  <c r="AR289" i="2" s="1" a="1"/>
  <c r="AR289" i="2" s="1"/>
  <c r="AV289" i="2" s="1" a="1"/>
  <c r="AV289" i="2" s="1"/>
  <c r="AE227" i="2"/>
  <c r="AR227" i="2" s="1" a="1"/>
  <c r="AR227" i="2" s="1"/>
  <c r="AE407" i="2"/>
  <c r="AR407" i="2" s="1" a="1"/>
  <c r="AR407" i="2" s="1"/>
  <c r="AV407" i="2" s="1" a="1"/>
  <c r="AV407" i="2" s="1"/>
  <c r="AE485" i="2"/>
  <c r="AE34" i="2"/>
  <c r="AR34" i="2" s="1" a="1"/>
  <c r="AR34" i="2" s="1"/>
  <c r="AE460" i="2"/>
  <c r="AR460" i="2" s="1" a="1"/>
  <c r="AR460" i="2" s="1"/>
  <c r="AE461" i="2"/>
  <c r="AR461" i="2" s="1" a="1"/>
  <c r="AR461" i="2" s="1"/>
  <c r="AV461" i="2" s="1" a="1"/>
  <c r="AV461" i="2" s="1"/>
  <c r="AE408" i="2"/>
  <c r="AR408" i="2" s="1" a="1"/>
  <c r="AR408" i="2" s="1"/>
  <c r="AV408" i="2" s="1" a="1"/>
  <c r="AV408" i="2" s="1"/>
  <c r="AE416" i="2"/>
  <c r="AR416" i="2" s="1" a="1"/>
  <c r="AR416" i="2" s="1"/>
  <c r="AV416" i="2" s="1" a="1"/>
  <c r="AV416" i="2" s="1"/>
  <c r="AE173" i="2"/>
  <c r="AR173" i="2" s="1" a="1"/>
  <c r="AR173" i="2" s="1"/>
  <c r="AE436" i="2"/>
  <c r="AE304" i="2"/>
  <c r="AR304" i="2" s="1" a="1"/>
  <c r="AR304" i="2" s="1"/>
  <c r="AV304" i="2" s="1" a="1"/>
  <c r="AV304" i="2" s="1"/>
  <c r="AE127" i="2"/>
  <c r="AR127" i="2" s="1" a="1"/>
  <c r="AR127" i="2" s="1"/>
  <c r="AV127" i="2" s="1" a="1"/>
  <c r="AV127" i="2" s="1"/>
  <c r="AE465" i="2"/>
  <c r="AR465" i="2" s="1" a="1"/>
  <c r="AR465" i="2" s="1"/>
  <c r="AV465" i="2" s="1" a="1"/>
  <c r="AV465" i="2" s="1"/>
  <c r="AE80" i="2"/>
  <c r="AR80" i="2" s="1" a="1"/>
  <c r="AR80" i="2" s="1"/>
  <c r="AV80" i="2" s="1" a="1"/>
  <c r="AV80" i="2" s="1"/>
  <c r="AE462" i="2"/>
  <c r="AR462" i="2" s="1" a="1"/>
  <c r="AR462" i="2" s="1"/>
  <c r="AV462" i="2" s="1" a="1"/>
  <c r="AV462" i="2" s="1"/>
  <c r="AE154" i="2"/>
  <c r="AR154" i="2" s="1" a="1"/>
  <c r="AR154" i="2" s="1"/>
  <c r="AV154" i="2" s="1" a="1"/>
  <c r="AV154" i="2" s="1"/>
  <c r="AE81" i="2"/>
  <c r="AR81" i="2" s="1" a="1"/>
  <c r="AR81" i="2" s="1"/>
  <c r="AV81" i="2" s="1" a="1"/>
  <c r="AV81" i="2" s="1"/>
  <c r="AE46" i="2"/>
  <c r="AR46" i="2" s="1" a="1"/>
  <c r="AR46" i="2" s="1"/>
  <c r="AV46" i="2" s="1" a="1"/>
  <c r="AV46" i="2" s="1"/>
  <c r="AE179" i="2"/>
  <c r="AR179" i="2" s="1" a="1"/>
  <c r="AR179" i="2" s="1"/>
  <c r="AE106" i="2"/>
  <c r="AR106" i="2" s="1" a="1"/>
  <c r="AR106" i="2" s="1"/>
  <c r="AV106" i="2" s="1" a="1"/>
  <c r="AV106" i="2" s="1"/>
  <c r="AE76" i="2"/>
  <c r="AE228" i="2"/>
  <c r="AR228" i="2" s="1" a="1"/>
  <c r="AR228" i="2" s="1"/>
  <c r="AV228" i="2" s="1" a="1"/>
  <c r="AV228" i="2" s="1"/>
  <c r="AE35" i="2"/>
  <c r="AR35" i="2" s="1" a="1"/>
  <c r="AR35" i="2" s="1"/>
  <c r="AV35" i="2" s="1" a="1"/>
  <c r="AV35" i="2" s="1"/>
  <c r="AE290" i="2"/>
  <c r="AR290" i="2" s="1" a="1"/>
  <c r="AR290" i="2" s="1"/>
  <c r="AE429" i="2"/>
  <c r="AR429" i="2" s="1" a="1"/>
  <c r="AR429" i="2" s="1"/>
  <c r="AV429" i="2" s="1" a="1"/>
  <c r="AV429" i="2" s="1"/>
  <c r="AE466" i="2"/>
  <c r="AE145" i="2"/>
  <c r="AR145" i="2" s="1" a="1"/>
  <c r="AR145" i="2" s="1"/>
  <c r="AV145" i="2" s="1" a="1"/>
  <c r="AV145" i="2" s="1"/>
  <c r="AE330" i="2"/>
  <c r="AR330" i="2" s="1" a="1"/>
  <c r="AR330" i="2" s="1"/>
  <c r="AV330" i="2" s="1" a="1"/>
  <c r="AV330" i="2" s="1"/>
  <c r="AE433" i="2"/>
  <c r="AR433" i="2" s="1" a="1"/>
  <c r="AR433" i="2" s="1"/>
  <c r="AV433" i="2" s="1" a="1"/>
  <c r="AV433" i="2" s="1"/>
  <c r="AE124" i="2"/>
  <c r="AR124" i="2" s="1" a="1"/>
  <c r="AR124" i="2" s="1"/>
  <c r="AE430" i="2"/>
  <c r="AR430" i="2" s="1" a="1"/>
  <c r="AR430" i="2" s="1"/>
  <c r="AV430" i="2" s="1" a="1"/>
  <c r="AV430" i="2" s="1"/>
  <c r="AE331" i="2"/>
  <c r="AR331" i="2" s="1" a="1"/>
  <c r="AR331" i="2" s="1"/>
  <c r="AV331" i="2" s="1" a="1"/>
  <c r="AV331" i="2" s="1"/>
  <c r="AE8" i="2"/>
  <c r="AR8" i="2" s="1" a="1"/>
  <c r="AR8" i="2" s="1"/>
  <c r="AV8" i="2" s="1" a="1"/>
  <c r="AV8" i="2" s="1"/>
  <c r="AE486" i="2"/>
  <c r="AR486" i="2" s="1" a="1"/>
  <c r="AR486" i="2" s="1"/>
  <c r="AV486" i="2" s="1" a="1"/>
  <c r="AV486" i="2" s="1"/>
  <c r="AE60" i="2"/>
  <c r="AR60" i="2" s="1" a="1"/>
  <c r="AR60" i="2" s="1"/>
  <c r="AV60" i="2" s="1" a="1"/>
  <c r="AV60" i="2" s="1"/>
  <c r="AE186" i="2"/>
  <c r="AR186" i="2" s="1" a="1"/>
  <c r="AR186" i="2" s="1"/>
  <c r="AV186" i="2" s="1" a="1"/>
  <c r="AV186" i="2" s="1"/>
  <c r="AE251" i="2"/>
  <c r="AR251" i="2" s="1" a="1"/>
  <c r="AR251" i="2" s="1"/>
  <c r="AV251" i="2" s="1" a="1"/>
  <c r="AV251" i="2" s="1"/>
  <c r="AE113" i="2"/>
  <c r="AR113" i="2" s="1" a="1"/>
  <c r="AR113" i="2" s="1"/>
  <c r="AV113" i="2" s="1" a="1"/>
  <c r="AV113" i="2" s="1"/>
  <c r="AE238" i="2"/>
  <c r="AR238" i="2" s="1" a="1"/>
  <c r="AR238" i="2" s="1"/>
  <c r="AV238" i="2" s="1" a="1"/>
  <c r="AV238" i="2" s="1"/>
  <c r="AE344" i="2"/>
  <c r="AR344" i="2" s="1" a="1"/>
  <c r="AR344" i="2" s="1"/>
  <c r="AV344" i="2" s="1" a="1"/>
  <c r="AV344" i="2" s="1"/>
  <c r="AE409" i="2"/>
  <c r="AE239" i="2"/>
  <c r="AE377" i="2"/>
  <c r="AR377" i="2" s="1" a="1"/>
  <c r="AR377" i="2" s="1"/>
  <c r="AV377" i="2" s="1" a="1"/>
  <c r="AV377" i="2" s="1"/>
  <c r="AE26" i="2"/>
  <c r="AR26" i="2" s="1" a="1"/>
  <c r="AR26" i="2" s="1"/>
  <c r="AV26" i="2" s="1" a="1"/>
  <c r="AV26" i="2" s="1"/>
  <c r="AE400" i="2"/>
  <c r="AR400" i="2" s="1" a="1"/>
  <c r="AR400" i="2" s="1"/>
  <c r="AV400" i="2" s="1" a="1"/>
  <c r="AV400" i="2" s="1"/>
  <c r="AE133" i="2"/>
  <c r="AR133" i="2" s="1" a="1"/>
  <c r="AR133" i="2" s="1"/>
  <c r="AV133" i="2" s="1" a="1"/>
  <c r="AV133" i="2" s="1"/>
  <c r="AE403" i="2"/>
  <c r="AE36" i="2"/>
  <c r="AR36" i="2" s="1" a="1"/>
  <c r="AR36" i="2" s="1"/>
  <c r="AV36" i="2" s="1" a="1"/>
  <c r="AV36" i="2" s="1"/>
  <c r="AE467" i="2"/>
  <c r="AR467" i="2" s="1" a="1"/>
  <c r="AR467" i="2" s="1"/>
  <c r="AE295" i="2"/>
  <c r="AR295" i="2" s="1" a="1"/>
  <c r="AR295" i="2" s="1"/>
  <c r="AV295" i="2" s="1" a="1"/>
  <c r="AV295" i="2" s="1"/>
  <c r="AE468" i="2"/>
  <c r="AR468" i="2" s="1" a="1"/>
  <c r="AR468" i="2" s="1"/>
  <c r="AV468" i="2" s="1" a="1"/>
  <c r="AV468" i="2" s="1"/>
  <c r="AE463" i="2"/>
  <c r="AR463" i="2" s="1" a="1"/>
  <c r="AR463" i="2" s="1"/>
  <c r="AV463" i="2" s="1" a="1"/>
  <c r="AV463" i="2" s="1"/>
  <c r="AE308" i="2"/>
  <c r="AR308" i="2" s="1" a="1"/>
  <c r="AR308" i="2" s="1"/>
  <c r="AV308" i="2" s="1" a="1"/>
  <c r="AV308" i="2" s="1"/>
  <c r="AE199" i="2"/>
  <c r="AR199" i="2" s="1" a="1"/>
  <c r="AR199" i="2" s="1"/>
  <c r="AV199" i="2" s="1" a="1"/>
  <c r="AV199" i="2" s="1"/>
  <c r="AE281" i="2"/>
  <c r="AE210" i="2"/>
  <c r="AR210" i="2" s="1" a="1"/>
  <c r="AR210" i="2" s="1"/>
  <c r="AE120" i="2"/>
  <c r="AR120" i="2" s="1" a="1"/>
  <c r="AR120" i="2" s="1"/>
  <c r="AE82" i="2"/>
  <c r="AE170" i="2"/>
  <c r="AR170" i="2" s="1" a="1"/>
  <c r="AR170" i="2" s="1"/>
  <c r="AV170" i="2" s="1" a="1"/>
  <c r="AV170" i="2" s="1"/>
  <c r="AE95" i="2"/>
  <c r="AR95" i="2" s="1" a="1"/>
  <c r="AR95" i="2" s="1"/>
  <c r="AV95" i="2" s="1" a="1"/>
  <c r="AV95" i="2" s="1"/>
  <c r="AE351" i="2"/>
  <c r="AR351" i="2" s="1" a="1"/>
  <c r="AR351" i="2" s="1"/>
  <c r="AV351" i="2" s="1" a="1"/>
  <c r="AV351" i="2" s="1"/>
  <c r="AE417" i="2"/>
  <c r="AR417" i="2" s="1" a="1"/>
  <c r="AR417" i="2" s="1"/>
  <c r="AV417" i="2" s="1" a="1"/>
  <c r="AV417" i="2" s="1"/>
  <c r="AE309" i="2"/>
  <c r="AR309" i="2" s="1" a="1"/>
  <c r="AR309" i="2" s="1"/>
  <c r="AV309" i="2" s="1" a="1"/>
  <c r="AV309" i="2" s="1"/>
  <c r="AE53" i="2"/>
  <c r="AE9" i="2"/>
  <c r="AR9" i="2" s="1" a="1"/>
  <c r="AR9" i="2" s="1"/>
  <c r="AV9" i="2" s="1" a="1"/>
  <c r="AV9" i="2" s="1"/>
  <c r="AE452" i="2"/>
  <c r="AE448" i="2"/>
  <c r="AR448" i="2" s="1" a="1"/>
  <c r="AR448" i="2" s="1"/>
  <c r="AV448" i="2" s="1" a="1"/>
  <c r="AV448" i="2" s="1"/>
  <c r="AE332" i="2"/>
  <c r="AR332" i="2" s="1" a="1"/>
  <c r="AR332" i="2" s="1"/>
  <c r="AE497" i="2"/>
  <c r="AR497" i="2" s="1" a="1"/>
  <c r="AR497" i="2" s="1"/>
  <c r="AV497" i="2" s="1" a="1"/>
  <c r="AV497" i="2" s="1"/>
  <c r="AE10" i="2"/>
  <c r="AR10" i="2" s="1" a="1"/>
  <c r="AR10" i="2" s="1"/>
  <c r="AV10" i="2" s="1" a="1"/>
  <c r="AV10" i="2" s="1"/>
  <c r="AE310" i="2"/>
  <c r="AE363" i="2"/>
  <c r="AR363" i="2" s="1" a="1"/>
  <c r="AR363" i="2" s="1"/>
  <c r="AV363" i="2" s="1" a="1"/>
  <c r="AV363" i="2" s="1"/>
  <c r="AE11" i="2"/>
  <c r="AR11" i="2" s="1" a="1"/>
  <c r="AR11" i="2" s="1"/>
  <c r="AV11" i="2" s="1" a="1"/>
  <c r="AV11" i="2" s="1"/>
  <c r="AE77" i="2"/>
  <c r="AR77" i="2" s="1" a="1"/>
  <c r="AR77" i="2" s="1"/>
  <c r="AV77" i="2" s="1" a="1"/>
  <c r="AV77" i="2" s="1"/>
  <c r="AE345" i="2"/>
  <c r="AR345" i="2" s="1" a="1"/>
  <c r="AR345" i="2" s="1"/>
  <c r="AV345" i="2" s="1" a="1"/>
  <c r="AV345" i="2" s="1"/>
  <c r="AE195" i="2"/>
  <c r="AR195" i="2" s="1" a="1"/>
  <c r="AR195" i="2" s="1"/>
  <c r="AE269" i="2"/>
  <c r="AR269" i="2" s="1" a="1"/>
  <c r="AR269" i="2" s="1"/>
  <c r="AV269" i="2" s="1" a="1"/>
  <c r="AV269" i="2" s="1"/>
  <c r="AE224" i="2"/>
  <c r="AR224" i="2" s="1" a="1"/>
  <c r="AR224" i="2" s="1"/>
  <c r="AV224" i="2" s="1" a="1"/>
  <c r="AV224" i="2" s="1"/>
  <c r="AE339" i="2"/>
  <c r="AR339" i="2" s="1" a="1"/>
  <c r="AR339" i="2" s="1"/>
  <c r="AE39" i="2"/>
  <c r="AR39" i="2" s="1" a="1"/>
  <c r="AR39" i="2" s="1"/>
  <c r="AV39" i="2" s="1" a="1"/>
  <c r="AV39" i="2" s="1"/>
  <c r="AE47" i="2"/>
  <c r="AR47" i="2" s="1" a="1"/>
  <c r="AR47" i="2" s="1"/>
  <c r="AV47" i="2" s="1" a="1"/>
  <c r="AV47" i="2" s="1"/>
  <c r="AE176" i="2"/>
  <c r="AR176" i="2" s="1" a="1"/>
  <c r="AR176" i="2" s="1"/>
  <c r="AV176" i="2" s="1" a="1"/>
  <c r="AV176" i="2" s="1"/>
  <c r="AE54" i="2"/>
  <c r="AE352" i="2"/>
  <c r="AR352" i="2" s="1" a="1"/>
  <c r="AR352" i="2" s="1"/>
  <c r="AV352" i="2" s="1" a="1"/>
  <c r="AV352" i="2" s="1"/>
  <c r="AE325" i="2"/>
  <c r="AR325" i="2" s="1" a="1"/>
  <c r="AR325" i="2" s="1"/>
  <c r="AV325" i="2" s="1" a="1"/>
  <c r="AV325" i="2" s="1"/>
  <c r="AE444" i="2"/>
  <c r="AR444" i="2" s="1" a="1"/>
  <c r="AR444" i="2" s="1"/>
  <c r="AV444" i="2" s="1" a="1"/>
  <c r="AV444" i="2" s="1"/>
  <c r="AE491" i="2"/>
  <c r="AE140" i="2"/>
  <c r="AR140" i="2" s="1" a="1"/>
  <c r="AR140" i="2" s="1"/>
  <c r="AE340" i="2"/>
  <c r="AR340" i="2" s="1" a="1"/>
  <c r="AR340" i="2" s="1"/>
  <c r="AV340" i="2" s="1" a="1"/>
  <c r="AV340" i="2" s="1"/>
  <c r="AE225" i="2"/>
  <c r="AE469" i="2"/>
  <c r="AR469" i="2" s="1" a="1"/>
  <c r="AR469" i="2" s="1"/>
  <c r="AV469" i="2" s="1" a="1"/>
  <c r="AV469" i="2" s="1"/>
  <c r="AE326" i="2"/>
  <c r="AR326" i="2" s="1" a="1"/>
  <c r="AR326" i="2" s="1"/>
  <c r="AV326" i="2" s="1" a="1"/>
  <c r="AV326" i="2" s="1"/>
  <c r="AE191" i="2"/>
  <c r="AE327" i="2"/>
  <c r="AR327" i="2" s="1" a="1"/>
  <c r="AR327" i="2" s="1"/>
  <c r="AV327" i="2" s="1" a="1"/>
  <c r="AV327" i="2" s="1"/>
  <c r="AE211" i="2"/>
  <c r="AR211" i="2" s="1" a="1"/>
  <c r="AR211" i="2" s="1"/>
  <c r="AE476" i="2"/>
  <c r="AR476" i="2" s="1" a="1"/>
  <c r="AR476" i="2" s="1"/>
  <c r="AV476" i="2" s="1" a="1"/>
  <c r="AV476" i="2" s="1"/>
  <c r="AE453" i="2"/>
  <c r="AR453" i="2" s="1" a="1"/>
  <c r="AR453" i="2" s="1"/>
  <c r="AV453" i="2" s="1" a="1"/>
  <c r="AV453" i="2" s="1"/>
  <c r="AE275" i="2"/>
  <c r="AE155" i="2"/>
  <c r="AR155" i="2" s="1" a="1"/>
  <c r="AR155" i="2" s="1"/>
  <c r="AV155" i="2" s="1" a="1"/>
  <c r="AV155" i="2" s="1"/>
  <c r="AE246" i="2"/>
  <c r="AR246" i="2" s="1" a="1"/>
  <c r="AR246" i="2" s="1"/>
  <c r="AV246" i="2" s="1" a="1"/>
  <c r="AV246" i="2" s="1"/>
  <c r="AE130" i="2"/>
  <c r="AE114" i="2"/>
  <c r="AE492" i="2"/>
  <c r="AR492" i="2" s="1" a="1"/>
  <c r="AR492" i="2" s="1"/>
  <c r="AV492" i="2" s="1" a="1"/>
  <c r="AV492" i="2" s="1"/>
  <c r="AE255" i="2"/>
  <c r="AR255" i="2" s="1" a="1"/>
  <c r="AR255" i="2" s="1"/>
  <c r="AV255" i="2" s="1" a="1"/>
  <c r="AV255" i="2" s="1"/>
  <c r="AE397" i="2"/>
  <c r="AR397" i="2" s="1" a="1"/>
  <c r="AR397" i="2" s="1"/>
  <c r="AV397" i="2" s="1" a="1"/>
  <c r="AV397" i="2" s="1"/>
  <c r="AE384" i="2"/>
  <c r="AR384" i="2" s="1" a="1"/>
  <c r="AR384" i="2" s="1"/>
  <c r="AV384" i="2" s="1" a="1"/>
  <c r="AV384" i="2" s="1"/>
  <c r="AE256" i="2"/>
  <c r="AR256" i="2" s="1" a="1"/>
  <c r="AR256" i="2" s="1"/>
  <c r="AV256" i="2" s="1" a="1"/>
  <c r="AV256" i="2" s="1"/>
  <c r="AE423" i="2"/>
  <c r="AR423" i="2" s="1" a="1"/>
  <c r="AR423" i="2" s="1"/>
  <c r="AV423" i="2" s="1" a="1"/>
  <c r="AV423" i="2" s="1"/>
  <c r="AE410" i="2"/>
  <c r="AR410" i="2" s="1" a="1"/>
  <c r="AR410" i="2" s="1"/>
  <c r="AV410" i="2" s="1" a="1"/>
  <c r="AV410" i="2" s="1"/>
  <c r="AE12" i="2"/>
  <c r="AR12" i="2" s="1" a="1"/>
  <c r="AR12" i="2" s="1"/>
  <c r="AV12" i="2" s="1" a="1"/>
  <c r="AV12" i="2" s="1"/>
  <c r="AE32" i="2"/>
  <c r="AR32" i="2" s="1" a="1"/>
  <c r="AR32" i="2" s="1"/>
  <c r="AV32" i="2" s="1" a="1"/>
  <c r="AV32" i="2" s="1"/>
  <c r="AE180" i="2"/>
  <c r="AE111" i="2"/>
  <c r="AR111" i="2" s="1" a="1"/>
  <c r="AR111" i="2" s="1"/>
  <c r="AV111" i="2" s="1" a="1"/>
  <c r="AV111" i="2" s="1"/>
  <c r="AE13" i="2"/>
  <c r="AR13" i="2" s="1" a="1"/>
  <c r="AR13" i="2" s="1"/>
  <c r="AV13" i="2" s="1" a="1"/>
  <c r="AV13" i="2" s="1"/>
  <c r="AE134" i="2"/>
  <c r="AE107" i="2"/>
  <c r="AR107" i="2" s="1" a="1"/>
  <c r="AR107" i="2" s="1"/>
  <c r="AV107" i="2" s="1" a="1"/>
  <c r="AV107" i="2" s="1"/>
  <c r="AE341" i="2"/>
  <c r="AR341" i="2" s="1" a="1"/>
  <c r="AR341" i="2" s="1"/>
  <c r="AV341" i="2" s="1" a="1"/>
  <c r="AV341" i="2" s="1"/>
  <c r="AE378" i="2"/>
  <c r="AR378" i="2" s="1" a="1"/>
  <c r="AR378" i="2" s="1"/>
  <c r="AV378" i="2" s="1" a="1"/>
  <c r="AV378" i="2" s="1"/>
  <c r="AE437" i="2"/>
  <c r="AR437" i="2" s="1" a="1"/>
  <c r="AR437" i="2" s="1"/>
  <c r="AV437" i="2" s="1" a="1"/>
  <c r="AV437" i="2" s="1"/>
  <c r="AE298" i="2"/>
  <c r="AR298" i="2" s="1" a="1"/>
  <c r="AR298" i="2" s="1"/>
  <c r="AV298" i="2" s="1" a="1"/>
  <c r="AV298" i="2" s="1"/>
  <c r="AE33" i="2"/>
  <c r="AR33" i="2" s="1" a="1"/>
  <c r="AR33" i="2" s="1"/>
  <c r="AV33" i="2" s="1" a="1"/>
  <c r="AV33" i="2" s="1"/>
  <c r="AE40" i="2"/>
  <c r="AE196" i="2"/>
  <c r="AR196" i="2" s="1" a="1"/>
  <c r="AR196" i="2" s="1"/>
  <c r="AV196" i="2" s="1" a="1"/>
  <c r="AV196" i="2" s="1"/>
  <c r="AE264" i="2"/>
  <c r="AR264" i="2" s="1" a="1"/>
  <c r="AR264" i="2" s="1"/>
  <c r="AV264" i="2" s="1" a="1"/>
  <c r="AV264" i="2" s="1"/>
  <c r="AE311" i="2"/>
  <c r="AR311" i="2" s="1" a="1"/>
  <c r="AR311" i="2" s="1"/>
  <c r="AV311" i="2" s="1" a="1"/>
  <c r="AV311" i="2" s="1"/>
  <c r="AE487" i="2"/>
  <c r="AR487" i="2" s="1" a="1"/>
  <c r="AR487" i="2" s="1"/>
  <c r="AE392" i="2"/>
  <c r="AR392" i="2" s="1" a="1"/>
  <c r="AR392" i="2" s="1"/>
  <c r="AE14" i="2"/>
  <c r="AR14" i="2" s="1" a="1"/>
  <c r="AR14" i="2" s="1"/>
  <c r="AV14" i="2" s="1" a="1"/>
  <c r="AV14" i="2" s="1"/>
  <c r="AE353" i="2"/>
  <c r="AR353" i="2" s="1" a="1"/>
  <c r="AR353" i="2" s="1"/>
  <c r="AV353" i="2" s="1" a="1"/>
  <c r="AV353" i="2" s="1"/>
  <c r="AE220" i="2"/>
  <c r="AR220" i="2" s="1" a="1"/>
  <c r="AR220" i="2" s="1"/>
  <c r="AE445" i="2"/>
  <c r="AR445" i="2" s="1" a="1"/>
  <c r="AR445" i="2" s="1"/>
  <c r="AV445" i="2" s="1" a="1"/>
  <c r="AV445" i="2" s="1"/>
  <c r="AE364" i="2"/>
  <c r="AR364" i="2" s="1" a="1"/>
  <c r="AR364" i="2" s="1"/>
  <c r="AE365" i="2"/>
  <c r="AR365" i="2" s="1" a="1"/>
  <c r="AR365" i="2" s="1"/>
  <c r="AV365" i="2" s="1" a="1"/>
  <c r="AV365" i="2" s="1"/>
  <c r="AE181" i="2"/>
  <c r="AE156" i="2"/>
  <c r="AR156" i="2" s="1" a="1"/>
  <c r="AR156" i="2" s="1"/>
  <c r="AV156" i="2" s="1" a="1"/>
  <c r="AV156" i="2" s="1"/>
  <c r="AE61" i="2"/>
  <c r="AR61" i="2" s="1" a="1"/>
  <c r="AR61" i="2" s="1"/>
  <c r="AV61" i="2" s="1" a="1"/>
  <c r="AV61" i="2" s="1"/>
  <c r="AE212" i="2"/>
  <c r="AR212" i="2" s="1" a="1"/>
  <c r="AR212" i="2" s="1"/>
  <c r="AV212" i="2" s="1" a="1"/>
  <c r="AV212" i="2" s="1"/>
  <c r="AE257" i="2"/>
  <c r="AE457" i="2"/>
  <c r="AR457" i="2" s="1" a="1"/>
  <c r="AR457" i="2" s="1"/>
  <c r="AV457" i="2" s="1" a="1"/>
  <c r="AV457" i="2" s="1"/>
  <c r="AE418" i="2"/>
  <c r="AR418" i="2" s="1" a="1"/>
  <c r="AR418" i="2" s="1"/>
  <c r="AV418" i="2" s="1" a="1"/>
  <c r="AV418" i="2" s="1"/>
  <c r="AE291" i="2"/>
  <c r="AR291" i="2" s="1" a="1"/>
  <c r="AR291" i="2" s="1"/>
  <c r="AE498" i="2"/>
  <c r="AE488" i="2"/>
  <c r="AR488" i="2" s="1" a="1"/>
  <c r="AR488" i="2" s="1"/>
  <c r="AE192" i="2"/>
  <c r="AR192" i="2" s="1" a="1"/>
  <c r="AR192" i="2" s="1"/>
  <c r="AV192" i="2" s="1" a="1"/>
  <c r="AV192" i="2" s="1"/>
  <c r="AE493" i="2"/>
  <c r="AR493" i="2" s="1" a="1"/>
  <c r="AR493" i="2" s="1"/>
  <c r="AV493" i="2" s="1" a="1"/>
  <c r="AV493" i="2" s="1"/>
  <c r="AE135" i="2"/>
  <c r="AE150" i="2"/>
  <c r="AR150" i="2" s="1" a="1"/>
  <c r="AR150" i="2" s="1"/>
  <c r="AV150" i="2" s="1" a="1"/>
  <c r="AV150" i="2" s="1"/>
  <c r="AE477" i="2"/>
  <c r="AR477" i="2" s="1" a="1"/>
  <c r="AR477" i="2" s="1"/>
  <c r="AV477" i="2" s="1" a="1"/>
  <c r="AV477" i="2" s="1"/>
  <c r="AE478" i="2"/>
  <c r="AR478" i="2" s="1" a="1"/>
  <c r="AR478" i="2" s="1"/>
  <c r="AV478" i="2" s="1" a="1"/>
  <c r="AV478" i="2" s="1"/>
  <c r="AE41" i="2"/>
  <c r="AR41" i="2" s="1" a="1"/>
  <c r="AR41" i="2" s="1"/>
  <c r="AV41" i="2" s="1" a="1"/>
  <c r="AV41" i="2" s="1"/>
  <c r="AE446" i="2"/>
  <c r="AR446" i="2" s="1" a="1"/>
  <c r="AR446" i="2" s="1"/>
  <c r="AV446" i="2" s="1" a="1"/>
  <c r="AV446" i="2" s="1"/>
  <c r="AE67" i="2"/>
  <c r="AR67" i="2" s="1" a="1"/>
  <c r="AR67" i="2" s="1"/>
  <c r="AE454" i="2"/>
  <c r="AR454" i="2" s="1" a="1"/>
  <c r="AR454" i="2" s="1"/>
  <c r="AV454" i="2" s="1" a="1"/>
  <c r="AV454" i="2" s="1"/>
  <c r="AE296" i="2"/>
  <c r="AE385" i="2"/>
  <c r="AR385" i="2" s="1" a="1"/>
  <c r="AR385" i="2" s="1"/>
  <c r="AV385" i="2" s="1" a="1"/>
  <c r="AV385" i="2" s="1"/>
  <c r="AE171" i="2"/>
  <c r="AR171" i="2" s="1" a="1"/>
  <c r="AR171" i="2" s="1"/>
  <c r="AV171" i="2" s="1" a="1"/>
  <c r="AV171" i="2" s="1"/>
  <c r="AE319" i="2"/>
  <c r="AR319" i="2" s="1" a="1"/>
  <c r="AR319" i="2" s="1"/>
  <c r="AV319" i="2" s="1" a="1"/>
  <c r="AV319" i="2" s="1"/>
  <c r="AE229" i="2"/>
  <c r="AR229" i="2" s="1" a="1"/>
  <c r="AR229" i="2" s="1"/>
  <c r="AV229" i="2" s="1" a="1"/>
  <c r="AV229" i="2" s="1"/>
  <c r="AE48" i="2"/>
  <c r="AR48" i="2" s="1" a="1"/>
  <c r="AR48" i="2" s="1"/>
  <c r="AV48" i="2" s="1" a="1"/>
  <c r="AV48" i="2" s="1"/>
  <c r="AE108" i="2"/>
  <c r="AE366" i="2"/>
  <c r="AR366" i="2" s="1" a="1"/>
  <c r="AR366" i="2" s="1"/>
  <c r="AV366" i="2" s="1" a="1"/>
  <c r="AV366" i="2" s="1"/>
  <c r="AE146" i="2"/>
  <c r="AE301" i="2"/>
  <c r="AR301" i="2" s="1" a="1"/>
  <c r="AR301" i="2" s="1"/>
  <c r="AV301" i="2" s="1" a="1"/>
  <c r="AV301" i="2" s="1"/>
  <c r="AE233" i="2"/>
  <c r="AE470" i="2"/>
  <c r="AR470" i="2" s="1" a="1"/>
  <c r="AR470" i="2" s="1"/>
  <c r="AV470" i="2" s="1" a="1"/>
  <c r="AV470" i="2" s="1"/>
  <c r="AE72" i="2"/>
  <c r="AE273" i="2"/>
  <c r="AR273" i="2" s="1" a="1"/>
  <c r="AR273" i="2" s="1"/>
  <c r="AV273" i="2" s="1" a="1"/>
  <c r="AV273" i="2" s="1"/>
  <c r="AE23" i="2"/>
  <c r="AR23" i="2" s="1" a="1"/>
  <c r="AR23" i="2" s="1"/>
  <c r="AV23" i="2" s="1" a="1"/>
  <c r="AV23" i="2" s="1"/>
  <c r="AE164" i="2"/>
  <c r="AR164" i="2" s="1" a="1"/>
  <c r="AR164" i="2" s="1"/>
  <c r="AV164" i="2" s="1" a="1"/>
  <c r="AV164" i="2" s="1"/>
  <c r="AE247" i="2"/>
  <c r="AE182" i="2"/>
  <c r="AR182" i="2" s="1" a="1"/>
  <c r="AR182" i="2" s="1"/>
  <c r="AV182" i="2" s="1" a="1"/>
  <c r="AV182" i="2" s="1"/>
  <c r="AE165" i="2"/>
  <c r="AR165" i="2" s="1" a="1"/>
  <c r="AR165" i="2" s="1"/>
  <c r="AV165" i="2" s="1" a="1"/>
  <c r="AV165" i="2" s="1"/>
  <c r="AE312" i="2"/>
  <c r="AR312" i="2" s="1" a="1"/>
  <c r="AR312" i="2" s="1"/>
  <c r="AV312" i="2" s="1" a="1"/>
  <c r="AV312" i="2" s="1"/>
  <c r="AE292" i="2"/>
  <c r="AR292" i="2" s="1" a="1"/>
  <c r="AR292" i="2" s="1"/>
  <c r="AV292" i="2" s="1" a="1"/>
  <c r="AV292" i="2" s="1"/>
  <c r="AE354" i="2"/>
  <c r="AR354" i="2" s="1" a="1"/>
  <c r="AR354" i="2" s="1"/>
  <c r="AE455" i="2"/>
  <c r="AR455" i="2" s="1" a="1"/>
  <c r="AR455" i="2" s="1"/>
  <c r="AV455" i="2" s="1" a="1"/>
  <c r="AV455" i="2" s="1"/>
  <c r="AE438" i="2"/>
  <c r="AR438" i="2" s="1" a="1"/>
  <c r="AR438" i="2" s="1"/>
  <c r="AV438" i="2" s="1" a="1"/>
  <c r="AV438" i="2" s="1"/>
  <c r="AE471" i="2"/>
  <c r="AR471" i="2" s="1" a="1"/>
  <c r="AR471" i="2" s="1"/>
  <c r="AV471" i="2" s="1" a="1"/>
  <c r="AV471" i="2" s="1"/>
  <c r="AE355" i="2"/>
  <c r="AR355" i="2" s="1" a="1"/>
  <c r="AR355" i="2" s="1"/>
  <c r="AE424" i="2"/>
  <c r="AE197" i="2"/>
  <c r="AR197" i="2" s="1" a="1"/>
  <c r="AR197" i="2" s="1"/>
  <c r="AV197" i="2" s="1" a="1"/>
  <c r="AV197" i="2" s="1"/>
  <c r="AE425" i="2"/>
  <c r="AR425" i="2" s="1" a="1"/>
  <c r="AR425" i="2" s="1"/>
  <c r="AE136" i="2"/>
  <c r="AE128" i="2"/>
  <c r="AR128" i="2" s="1" a="1"/>
  <c r="AR128" i="2" s="1"/>
  <c r="AV128" i="2" s="1" a="1"/>
  <c r="AV128" i="2" s="1"/>
  <c r="AE201" i="2"/>
  <c r="AR201" i="2" s="1" a="1"/>
  <c r="AR201" i="2" s="1"/>
  <c r="AV201" i="2" s="1" a="1"/>
  <c r="AV201" i="2" s="1"/>
  <c r="AE147" i="2"/>
  <c r="AE96" i="2"/>
  <c r="AR96" i="2" s="1" a="1"/>
  <c r="AR96" i="2" s="1"/>
  <c r="AV96" i="2" s="1" a="1"/>
  <c r="AV96" i="2" s="1"/>
  <c r="AE62" i="2"/>
  <c r="AR62" i="2" s="1" a="1"/>
  <c r="AR62" i="2" s="1"/>
  <c r="AV62" i="2" s="1" a="1"/>
  <c r="AV62" i="2" s="1"/>
  <c r="AE202" i="2"/>
  <c r="AR202" i="2" s="1" a="1"/>
  <c r="AR202" i="2" s="1"/>
  <c r="AV202" i="2" s="1" a="1"/>
  <c r="AV202" i="2" s="1"/>
  <c r="AE49" i="2"/>
  <c r="AR49" i="2" s="1" a="1"/>
  <c r="AR49" i="2" s="1"/>
  <c r="AV49" i="2" s="1" a="1"/>
  <c r="AV49" i="2" s="1"/>
  <c r="AE15" i="2"/>
  <c r="AR15" i="2" s="1" a="1"/>
  <c r="AR15" i="2" s="1"/>
  <c r="AV15" i="2" s="1" a="1"/>
  <c r="AV15" i="2" s="1"/>
  <c r="AE16" i="2"/>
  <c r="AR16" i="2" s="1" a="1"/>
  <c r="AR16" i="2" s="1"/>
  <c r="AV16" i="2" s="1" a="1"/>
  <c r="AV16" i="2" s="1"/>
  <c r="AE183" i="2"/>
  <c r="AR183" i="2" s="1" a="1"/>
  <c r="AR183" i="2" s="1"/>
  <c r="AV183" i="2" s="1" a="1"/>
  <c r="AV183" i="2" s="1"/>
  <c r="AE213" i="2"/>
  <c r="AE160" i="2"/>
  <c r="AR160" i="2" s="1" a="1"/>
  <c r="AR160" i="2" s="1"/>
  <c r="AV160" i="2" s="1" a="1"/>
  <c r="AV160" i="2" s="1"/>
  <c r="AE434" i="2"/>
  <c r="AR434" i="2" s="1" a="1"/>
  <c r="AR434" i="2" s="1"/>
  <c r="AE398" i="2"/>
  <c r="AR398" i="2" s="1" a="1"/>
  <c r="AR398" i="2" s="1"/>
  <c r="AV398" i="2" s="1" a="1"/>
  <c r="AV398" i="2" s="1"/>
  <c r="AE494" i="2"/>
  <c r="AR494" i="2" s="1" a="1"/>
  <c r="AR494" i="2" s="1"/>
  <c r="AV494" i="2" s="1" a="1"/>
  <c r="AV494" i="2" s="1"/>
  <c r="AE386" i="2"/>
  <c r="AR386" i="2" s="1" a="1"/>
  <c r="AR386" i="2" s="1"/>
  <c r="AV386" i="2" s="1" a="1"/>
  <c r="AV386" i="2" s="1"/>
  <c r="AE63" i="2"/>
  <c r="AR63" i="2" s="1" a="1"/>
  <c r="AR63" i="2" s="1"/>
  <c r="AV63" i="2" s="1" a="1"/>
  <c r="AV63" i="2" s="1"/>
  <c r="AE305" i="2"/>
  <c r="AR305" i="2" s="1" a="1"/>
  <c r="AR305" i="2" s="1"/>
  <c r="AV305" i="2" s="1" a="1"/>
  <c r="AV305" i="2" s="1"/>
  <c r="AE499" i="2"/>
  <c r="AE97" i="2"/>
  <c r="AR97" i="2" s="1" a="1"/>
  <c r="AR97" i="2" s="1"/>
  <c r="AV97" i="2" s="1" a="1"/>
  <c r="AV97" i="2" s="1"/>
  <c r="AE148" i="2"/>
  <c r="AR148" i="2" s="1" a="1"/>
  <c r="AR148" i="2" s="1"/>
  <c r="AV148" i="2" s="1" a="1"/>
  <c r="AV148" i="2" s="1"/>
  <c r="AE55" i="2"/>
  <c r="AR55" i="2" s="1" a="1"/>
  <c r="AR55" i="2" s="1"/>
  <c r="AV55" i="2" s="1" a="1"/>
  <c r="AV55" i="2" s="1"/>
  <c r="AE42" i="2"/>
  <c r="AR42" i="2" s="1" a="1"/>
  <c r="AR42" i="2" s="1"/>
  <c r="AV42" i="2" s="1" a="1"/>
  <c r="AV42" i="2" s="1"/>
  <c r="AE85" i="2"/>
  <c r="AR85" i="2" s="1" a="1"/>
  <c r="AR85" i="2" s="1"/>
  <c r="AV85" i="2" s="1" a="1"/>
  <c r="AV85" i="2" s="1"/>
  <c r="AE302" i="2"/>
  <c r="AR302" i="2" s="1" a="1"/>
  <c r="AR302" i="2" s="1"/>
  <c r="AV302" i="2" s="1" a="1"/>
  <c r="AV302" i="2" s="1"/>
  <c r="AE371" i="2"/>
  <c r="AR371" i="2" s="1" a="1"/>
  <c r="AR371" i="2" s="1"/>
  <c r="AE313" i="2"/>
  <c r="AE356" i="2"/>
  <c r="AE56" i="2"/>
  <c r="AE426" i="2"/>
  <c r="AE193" i="2"/>
  <c r="AR193" i="2" s="1" a="1"/>
  <c r="AR193" i="2" s="1"/>
  <c r="AV193" i="2" s="1" a="1"/>
  <c r="AV193" i="2" s="1"/>
  <c r="AE157" i="2"/>
  <c r="AR157" i="2" s="1" a="1"/>
  <c r="AR157" i="2" s="1"/>
  <c r="AV157" i="2" s="1" a="1"/>
  <c r="AV157" i="2" s="1"/>
  <c r="AE404" i="2"/>
  <c r="AR404" i="2" s="1" a="1"/>
  <c r="AR404" i="2" s="1"/>
  <c r="AV404" i="2" s="1" a="1"/>
  <c r="AV404" i="2" s="1"/>
  <c r="AE234" i="2"/>
  <c r="AR234" i="2" s="1" a="1"/>
  <c r="AR234" i="2" s="1"/>
  <c r="AV234" i="2" s="1" a="1"/>
  <c r="AV234" i="2" s="1"/>
  <c r="AE240" i="2"/>
  <c r="AE175" i="2"/>
  <c r="AR175" i="2" s="1" a="1"/>
  <c r="AR175" i="2" s="1"/>
  <c r="AV175" i="2" s="1" a="1"/>
  <c r="AV175" i="2" s="1"/>
  <c r="AE328" i="2"/>
  <c r="AR328" i="2" s="1" a="1"/>
  <c r="AR328" i="2" s="1"/>
  <c r="AV328" i="2" s="1" a="1"/>
  <c r="AV328" i="2" s="1"/>
  <c r="AE214" i="2"/>
  <c r="AR214" i="2" s="1" a="1"/>
  <c r="AR214" i="2" s="1"/>
  <c r="AV214" i="2" s="1" a="1"/>
  <c r="AV214" i="2" s="1"/>
  <c r="AE200" i="2"/>
  <c r="AR200" i="2" s="1" a="1"/>
  <c r="AR200" i="2" s="1"/>
  <c r="AE495" i="2"/>
  <c r="AE172" i="2"/>
  <c r="AR172" i="2" s="1" a="1"/>
  <c r="AR172" i="2" s="1"/>
  <c r="AV172" i="2" s="1" a="1"/>
  <c r="AV172" i="2" s="1"/>
  <c r="AE342" i="2"/>
  <c r="AR342" i="2" s="1" a="1"/>
  <c r="AR342" i="2" s="1"/>
  <c r="AV342" i="2" s="1" a="1"/>
  <c r="AV342" i="2" s="1"/>
  <c r="AE86" i="2"/>
  <c r="AR86" i="2" s="1" a="1"/>
  <c r="AR86" i="2" s="1"/>
  <c r="AV86" i="2" s="1" a="1"/>
  <c r="AV86" i="2" s="1"/>
  <c r="AE252" i="2"/>
  <c r="AE346" i="2"/>
  <c r="AR346" i="2" s="1" a="1"/>
  <c r="AR346" i="2" s="1"/>
  <c r="AV346" i="2" s="1" a="1"/>
  <c r="AV346" i="2" s="1"/>
  <c r="AE68" i="2"/>
  <c r="AE314" i="2"/>
  <c r="AE419" i="2"/>
  <c r="AR419" i="2" s="1" a="1"/>
  <c r="AR419" i="2" s="1"/>
  <c r="AV419" i="2" s="1" a="1"/>
  <c r="AV419" i="2" s="1"/>
  <c r="AE374" i="2"/>
  <c r="AR374" i="2" s="1" a="1"/>
  <c r="AR374" i="2" s="1"/>
  <c r="AV374" i="2" s="1" a="1"/>
  <c r="AV374" i="2" s="1"/>
  <c r="AE282" i="2"/>
  <c r="AR282" i="2" s="1" a="1"/>
  <c r="AR282" i="2" s="1"/>
  <c r="AV282" i="2" s="1" a="1"/>
  <c r="AV282" i="2" s="1"/>
  <c r="AE141" i="2"/>
  <c r="AE115" i="2"/>
  <c r="AR115" i="2" s="1" a="1"/>
  <c r="AR115" i="2" s="1"/>
  <c r="AE265" i="2"/>
  <c r="AR265" i="2" s="1" a="1"/>
  <c r="AR265" i="2" s="1"/>
  <c r="AV265" i="2" s="1" a="1"/>
  <c r="AV265" i="2" s="1"/>
  <c r="AE284" i="2"/>
  <c r="AR284" i="2" s="1" a="1"/>
  <c r="AR284" i="2" s="1"/>
  <c r="AV284" i="2" s="1" a="1"/>
  <c r="AV284" i="2" s="1"/>
  <c r="AE347" i="2"/>
  <c r="AR347" i="2" s="1" a="1"/>
  <c r="AR347" i="2" s="1"/>
  <c r="AV347" i="2" s="1" a="1"/>
  <c r="AV347" i="2" s="1"/>
  <c r="AE293" i="2"/>
  <c r="AR293" i="2" s="1" a="1"/>
  <c r="AR293" i="2" s="1"/>
  <c r="AV293" i="2" s="1" a="1"/>
  <c r="AV293" i="2" s="1"/>
  <c r="AE458" i="2"/>
  <c r="AR458" i="2" s="1" a="1"/>
  <c r="AR458" i="2" s="1"/>
  <c r="AV458" i="2" s="1" a="1"/>
  <c r="AV458" i="2" s="1"/>
  <c r="AE315" i="2"/>
  <c r="AR315" i="2" s="1" a="1"/>
  <c r="AR315" i="2" s="1"/>
  <c r="AV315" i="2" s="1" a="1"/>
  <c r="AV315" i="2" s="1"/>
  <c r="AE447" i="2"/>
  <c r="AR447" i="2" s="1" a="1"/>
  <c r="AR447" i="2" s="1"/>
  <c r="AV447" i="2" s="1" a="1"/>
  <c r="AV447" i="2" s="1"/>
  <c r="AE194" i="2"/>
  <c r="AR194" i="2" s="1" a="1"/>
  <c r="AR194" i="2" s="1"/>
  <c r="AE73" i="2"/>
  <c r="AR73" i="2" s="1" a="1"/>
  <c r="AR73" i="2" s="1"/>
  <c r="AV73" i="2" s="1" a="1"/>
  <c r="AV73" i="2" s="1"/>
  <c r="AE64" i="2"/>
  <c r="AR64" i="2" s="1" a="1"/>
  <c r="AR64" i="2" s="1"/>
  <c r="AV64" i="2" s="1" a="1"/>
  <c r="AV64" i="2" s="1"/>
  <c r="AE258" i="2"/>
  <c r="AE479" i="2"/>
  <c r="AR479" i="2" s="1" a="1"/>
  <c r="AR479" i="2" s="1"/>
  <c r="AV479" i="2" s="1" a="1"/>
  <c r="AV479" i="2" s="1"/>
  <c r="AE276" i="2"/>
  <c r="AR276" i="2" s="1" a="1"/>
  <c r="AR276" i="2" s="1"/>
  <c r="AV276" i="2" s="1" a="1"/>
  <c r="AV276" i="2" s="1"/>
  <c r="AE74" i="2"/>
  <c r="AR74" i="2" s="1" a="1"/>
  <c r="AR74" i="2" s="1"/>
  <c r="AV74" i="2" s="1" a="1"/>
  <c r="AV74" i="2" s="1"/>
  <c r="AE43" i="2"/>
  <c r="AE91" i="2"/>
  <c r="AR91" i="2" s="1" a="1"/>
  <c r="AR91" i="2" s="1"/>
  <c r="AV91" i="2" s="1" a="1"/>
  <c r="AV91" i="2" s="1"/>
  <c r="AE299" i="2"/>
  <c r="AR299" i="2" s="1" a="1"/>
  <c r="AR299" i="2" s="1"/>
  <c r="AV299" i="2" s="1" a="1"/>
  <c r="AV299" i="2" s="1"/>
  <c r="AE57" i="2"/>
  <c r="AR57" i="2" s="1" a="1"/>
  <c r="AR57" i="2" s="1"/>
  <c r="AV57" i="2" s="1" a="1"/>
  <c r="AV57" i="2" s="1"/>
  <c r="AE285" i="2"/>
  <c r="AR285" i="2" s="1" a="1"/>
  <c r="AR285" i="2" s="1"/>
  <c r="AV285" i="2" s="1" a="1"/>
  <c r="AV285" i="2" s="1"/>
  <c r="AE357" i="2"/>
  <c r="AR357" i="2" s="1" a="1"/>
  <c r="AR357" i="2" s="1"/>
  <c r="AV357" i="2" s="1" a="1"/>
  <c r="AV357" i="2" s="1"/>
  <c r="AE177" i="2"/>
  <c r="AR177" i="2" s="1" a="1"/>
  <c r="AR177" i="2" s="1"/>
  <c r="AV177" i="2" s="1" a="1"/>
  <c r="AV177" i="2" s="1"/>
  <c r="AE121" i="2"/>
  <c r="AR121" i="2" s="1" a="1"/>
  <c r="AR121" i="2" s="1"/>
  <c r="AV121" i="2" s="1" a="1"/>
  <c r="AV121" i="2" s="1"/>
  <c r="AE103" i="2"/>
  <c r="AR103" i="2" s="1" a="1"/>
  <c r="AR103" i="2" s="1"/>
  <c r="AE277" i="2"/>
  <c r="AR277" i="2" s="1" a="1"/>
  <c r="AR277" i="2" s="1"/>
  <c r="AV277" i="2" s="1" a="1"/>
  <c r="AV277" i="2" s="1"/>
  <c r="AE104" i="2"/>
  <c r="AR104" i="2" s="1" a="1"/>
  <c r="AR104" i="2" s="1"/>
  <c r="AV104" i="2" s="1" a="1"/>
  <c r="AV104" i="2" s="1"/>
  <c r="AE387" i="2"/>
  <c r="AR387" i="2" s="1" a="1"/>
  <c r="AR387" i="2" s="1"/>
  <c r="AE449" i="2"/>
  <c r="AR449" i="2" s="1" a="1"/>
  <c r="AR449" i="2" s="1"/>
  <c r="AV449" i="2" s="1" a="1"/>
  <c r="AV449" i="2" s="1"/>
  <c r="AE500" i="2"/>
  <c r="AE278" i="2"/>
  <c r="AR278" i="2" s="1" a="1"/>
  <c r="AR278" i="2" s="1"/>
  <c r="AV278" i="2" s="1" a="1"/>
  <c r="AV278" i="2" s="1"/>
  <c r="AE480" i="2"/>
  <c r="AR480" i="2" s="1" a="1"/>
  <c r="AR480" i="2" s="1"/>
  <c r="AV480" i="2" s="1" a="1"/>
  <c r="AV480" i="2" s="1"/>
  <c r="AE198" i="2"/>
  <c r="AE58" i="2"/>
  <c r="AR58" i="2" s="1" a="1"/>
  <c r="AR58" i="2" s="1"/>
  <c r="AV58" i="2" s="1" a="1"/>
  <c r="AV58" i="2" s="1"/>
  <c r="AE226" i="2"/>
  <c r="AR226" i="2" s="1" a="1"/>
  <c r="AR226" i="2" s="1"/>
  <c r="AV226" i="2" s="1" a="1"/>
  <c r="AV226" i="2" s="1"/>
  <c r="AE294" i="2"/>
  <c r="AR294" i="2" s="1" a="1"/>
  <c r="AR294" i="2" s="1"/>
  <c r="AV294" i="2" s="1" a="1"/>
  <c r="AV294" i="2" s="1"/>
  <c r="AE481" i="2"/>
  <c r="AR481" i="2" s="1" a="1"/>
  <c r="AR481" i="2" s="1"/>
  <c r="AV481" i="2" s="1" a="1"/>
  <c r="AV481" i="2" s="1"/>
  <c r="AE215" i="2"/>
  <c r="AR215" i="2" s="1" a="1"/>
  <c r="AR215" i="2" s="1"/>
  <c r="AV215" i="2" s="1" a="1"/>
  <c r="AV215" i="2" s="1"/>
  <c r="AE379" i="2"/>
  <c r="AR379" i="2" s="1" a="1"/>
  <c r="AR379" i="2" s="1"/>
  <c r="AV379" i="2" s="1" a="1"/>
  <c r="AV379" i="2" s="1"/>
  <c r="AE235" i="2"/>
  <c r="AR235" i="2" s="1" a="1"/>
  <c r="AR235" i="2" s="1"/>
  <c r="AV235" i="2" s="1" a="1"/>
  <c r="AV235" i="2" s="1"/>
  <c r="AE75" i="2"/>
  <c r="AE316" i="2"/>
  <c r="AE158" i="2"/>
  <c r="AR158" i="2" s="1" a="1"/>
  <c r="AR158" i="2" s="1"/>
  <c r="AV158" i="2" s="1" a="1"/>
  <c r="AV158" i="2" s="1"/>
  <c r="AE122" i="2"/>
  <c r="AR122" i="2" s="1" a="1"/>
  <c r="AR122" i="2" s="1"/>
  <c r="AV122" i="2" s="1" a="1"/>
  <c r="AV122" i="2" s="1"/>
  <c r="AE203" i="2"/>
  <c r="AR203" i="2" s="1" a="1"/>
  <c r="AR203" i="2" s="1"/>
  <c r="AV203" i="2" s="1" a="1"/>
  <c r="AV203" i="2" s="1"/>
  <c r="AE464" i="2"/>
  <c r="AR464" i="2" s="1" a="1"/>
  <c r="AR464" i="2" s="1"/>
  <c r="AV464" i="2" s="1" a="1"/>
  <c r="AV464" i="2" s="1"/>
  <c r="AE216" i="2"/>
  <c r="AR216" i="2" s="1" a="1"/>
  <c r="AR216" i="2" s="1"/>
  <c r="AV216" i="2" s="1" a="1"/>
  <c r="AV216" i="2" s="1"/>
  <c r="AE87" i="2"/>
  <c r="AR87" i="2" s="1" a="1"/>
  <c r="AR87" i="2" s="1"/>
  <c r="AV87" i="2" s="1" a="1"/>
  <c r="AV87" i="2" s="1"/>
  <c r="AE259" i="2"/>
  <c r="AE149" i="2"/>
  <c r="AE279" i="2"/>
  <c r="AR279" i="2" s="1" a="1"/>
  <c r="AR279" i="2" s="1"/>
  <c r="AV279" i="2" s="1" a="1"/>
  <c r="AV279" i="2" s="1"/>
  <c r="AE306" i="2"/>
  <c r="AE320" i="2"/>
  <c r="AR320" i="2" s="1" a="1"/>
  <c r="AR320" i="2" s="1"/>
  <c r="AV320" i="2" s="1" a="1"/>
  <c r="AV320" i="2" s="1"/>
  <c r="AE78" i="2"/>
  <c r="AR78" i="2" s="1" a="1"/>
  <c r="AR78" i="2" s="1"/>
  <c r="AV78" i="2" s="1" a="1"/>
  <c r="AV78" i="2" s="1"/>
  <c r="AE241" i="2"/>
  <c r="AR241" i="2" s="1" a="1"/>
  <c r="AR241" i="2" s="1"/>
  <c r="AV241" i="2" s="1" a="1"/>
  <c r="AV241" i="2" s="1"/>
  <c r="AE459" i="2"/>
  <c r="AR459" i="2" s="1" a="1"/>
  <c r="AR459" i="2" s="1"/>
  <c r="AV459" i="2" s="1" a="1"/>
  <c r="AV459" i="2" s="1"/>
  <c r="AE439" i="2"/>
  <c r="AR439" i="2" s="1" a="1"/>
  <c r="AR439" i="2" s="1"/>
  <c r="AV439" i="2" s="1" a="1"/>
  <c r="AV439" i="2" s="1"/>
  <c r="AE109" i="2"/>
  <c r="AR109" i="2" s="1" a="1"/>
  <c r="AR109" i="2" s="1"/>
  <c r="AV109" i="2" s="1" a="1"/>
  <c r="AV109" i="2" s="1"/>
  <c r="AE188" i="2"/>
  <c r="AR188" i="2" s="1" a="1"/>
  <c r="AR188" i="2" s="1"/>
  <c r="AV188" i="2" s="1" a="1"/>
  <c r="AV188" i="2" s="1"/>
  <c r="AE394" i="2"/>
  <c r="AR394" i="2" s="1" a="1"/>
  <c r="AR394" i="2" s="1"/>
  <c r="AV394" i="2" s="1" a="1"/>
  <c r="AV394" i="2" s="1"/>
  <c r="AE367" i="2"/>
  <c r="AR367" i="2" s="1" a="1"/>
  <c r="AR367" i="2" s="1"/>
  <c r="AV367" i="2" s="1" a="1"/>
  <c r="AV367" i="2" s="1"/>
  <c r="AE92" i="2"/>
  <c r="AR92" i="2" s="1" a="1"/>
  <c r="AR92" i="2" s="1"/>
  <c r="AV92" i="2" s="1" a="1"/>
  <c r="AV92" i="2" s="1"/>
  <c r="AE159" i="2"/>
  <c r="AR159" i="2" s="1" a="1"/>
  <c r="AR159" i="2" s="1"/>
  <c r="AV159" i="2" s="1" a="1"/>
  <c r="AV159" i="2" s="1"/>
  <c r="AE333" i="2"/>
  <c r="AR333" i="2" s="1" a="1"/>
  <c r="AR333" i="2" s="1"/>
  <c r="AV333" i="2" s="1" a="1"/>
  <c r="AV333" i="2" s="1"/>
  <c r="AE27" i="2"/>
  <c r="AE248" i="2"/>
  <c r="AR248" i="2" s="1" a="1"/>
  <c r="AR248" i="2" s="1"/>
  <c r="AV248" i="2" s="1" a="1"/>
  <c r="AV248" i="2" s="1"/>
  <c r="AE98" i="2"/>
  <c r="AR98" i="2" s="1" a="1"/>
  <c r="AR98" i="2" s="1"/>
  <c r="AV98" i="2" s="1" a="1"/>
  <c r="AV98" i="2" s="1"/>
  <c r="AE221" i="2"/>
  <c r="AR221" i="2" s="1" a="1"/>
  <c r="AR221" i="2" s="1"/>
  <c r="AV221" i="2" s="1" a="1"/>
  <c r="AV221" i="2" s="1"/>
  <c r="AE427" i="2"/>
  <c r="AR427" i="2" s="1" a="1"/>
  <c r="AR427" i="2" s="1"/>
  <c r="AV427" i="2" s="1" a="1"/>
  <c r="AV427" i="2" s="1"/>
  <c r="AE440" i="2"/>
  <c r="AR440" i="2" s="1" a="1"/>
  <c r="AR440" i="2" s="1"/>
  <c r="AE101" i="2"/>
  <c r="AE405" i="2"/>
  <c r="AR405" i="2" s="1" a="1"/>
  <c r="AR405" i="2" s="1"/>
  <c r="AV405" i="2" s="1" a="1"/>
  <c r="AV405" i="2" s="1"/>
  <c r="AE321" i="2"/>
  <c r="AR321" i="2" s="1" a="1"/>
  <c r="AR321" i="2" s="1"/>
  <c r="AV321" i="2" s="1" a="1"/>
  <c r="AV321" i="2" s="1"/>
  <c r="AE450" i="2"/>
  <c r="AR450" i="2" s="1" a="1"/>
  <c r="AR450" i="2" s="1"/>
  <c r="AE204" i="2"/>
  <c r="AR204" i="2" s="1" a="1"/>
  <c r="AR204" i="2" s="1"/>
  <c r="AV204" i="2" s="1" a="1"/>
  <c r="AV204" i="2" s="1"/>
  <c r="AE166" i="2"/>
  <c r="AR166" i="2" s="1" a="1"/>
  <c r="AR166" i="2" s="1"/>
  <c r="AV166" i="2" s="1" a="1"/>
  <c r="AV166" i="2" s="1"/>
  <c r="AE253" i="2"/>
  <c r="AR253" i="2" s="1" a="1"/>
  <c r="AR253" i="2" s="1"/>
  <c r="AV253" i="2" s="1" a="1"/>
  <c r="AV253" i="2" s="1"/>
  <c r="AE161" i="2"/>
  <c r="AR161" i="2" s="1" a="1"/>
  <c r="AR161" i="2" s="1"/>
  <c r="AV161" i="2" s="1" a="1"/>
  <c r="AV161" i="2" s="1"/>
  <c r="AE260" i="2"/>
  <c r="AR260" i="2" s="1" a="1"/>
  <c r="AR260" i="2" s="1"/>
  <c r="AV260" i="2" s="1" a="1"/>
  <c r="AV260" i="2" s="1"/>
  <c r="AE174" i="2"/>
  <c r="AE17" i="2"/>
  <c r="AE501" i="2"/>
  <c r="AR501" i="2" s="1" a="1"/>
  <c r="AR501" i="2" s="1"/>
  <c r="AV501" i="2" s="1" a="1"/>
  <c r="AV501" i="2" s="1"/>
  <c r="AE217" i="2"/>
  <c r="AR217" i="2" s="1" a="1"/>
  <c r="AR217" i="2" s="1"/>
  <c r="AV217" i="2" s="1" a="1"/>
  <c r="AV217" i="2" s="1"/>
  <c r="AE388" i="2"/>
  <c r="AR388" i="2" s="1" a="1"/>
  <c r="AR388" i="2" s="1"/>
  <c r="AV388" i="2" s="1" a="1"/>
  <c r="AV388" i="2" s="1"/>
  <c r="AE28" i="2"/>
  <c r="AR28" i="2" s="1" a="1"/>
  <c r="AR28" i="2" s="1"/>
  <c r="AV28" i="2" s="1" a="1"/>
  <c r="AV28" i="2" s="1"/>
  <c r="AE167" i="2"/>
  <c r="AR167" i="2" s="1" a="1"/>
  <c r="AR167" i="2" s="1"/>
  <c r="AV167" i="2" s="1" a="1"/>
  <c r="AV167" i="2" s="1"/>
  <c r="AE389" i="2"/>
  <c r="AR389" i="2" s="1" a="1"/>
  <c r="AR389" i="2" s="1"/>
  <c r="AV389" i="2" s="1" a="1"/>
  <c r="AV389" i="2" s="1"/>
  <c r="AE435" i="2"/>
  <c r="AR435" i="2" s="1" a="1"/>
  <c r="AR435" i="2" s="1"/>
  <c r="AE137" i="2"/>
  <c r="AR137" i="2" s="1" a="1"/>
  <c r="AR137" i="2" s="1"/>
  <c r="AV137" i="2" s="1" a="1"/>
  <c r="AV137" i="2" s="1"/>
  <c r="AE242" i="2"/>
  <c r="AR242" i="2" s="1" a="1"/>
  <c r="AR242" i="2" s="1"/>
  <c r="AE222" i="2"/>
  <c r="AR222" i="2" s="1" a="1"/>
  <c r="AR222" i="2" s="1"/>
  <c r="AV222" i="2" s="1" a="1"/>
  <c r="AV222" i="2" s="1"/>
  <c r="AE243" i="2"/>
  <c r="AR243" i="2" s="1" a="1"/>
  <c r="AR243" i="2" s="1"/>
  <c r="AE280" i="2"/>
  <c r="AR280" i="2" s="1" a="1"/>
  <c r="AR280" i="2" s="1"/>
  <c r="AV280" i="2" s="1" a="1"/>
  <c r="AV280" i="2" s="1"/>
  <c r="AE29" i="2"/>
  <c r="AR29" i="2" s="1" a="1"/>
  <c r="AR29" i="2" s="1"/>
  <c r="AV29" i="2" s="1" a="1"/>
  <c r="AV29" i="2" s="1"/>
  <c r="AE395" i="2"/>
  <c r="AR395" i="2" s="1" a="1"/>
  <c r="AR395" i="2" s="1"/>
  <c r="AV395" i="2" s="1" a="1"/>
  <c r="AV395" i="2" s="1"/>
  <c r="AE218" i="2"/>
  <c r="AR218" i="2" s="1" a="1"/>
  <c r="AR218" i="2" s="1"/>
  <c r="AV218" i="2" s="1" a="1"/>
  <c r="AV218" i="2" s="1"/>
  <c r="AE390" i="2"/>
  <c r="AE411" i="2"/>
  <c r="AR411" i="2" s="1" a="1"/>
  <c r="AR411" i="2" s="1"/>
  <c r="AV411" i="2" s="1" a="1"/>
  <c r="AV411" i="2" s="1"/>
  <c r="AE79" i="2"/>
  <c r="AR79" i="2" s="1" a="1"/>
  <c r="AR79" i="2" s="1"/>
  <c r="AV79" i="2" s="1" a="1"/>
  <c r="AV79" i="2" s="1"/>
  <c r="AE187" i="2"/>
  <c r="AR187" i="2" s="1" a="1"/>
  <c r="AR187" i="2" s="1"/>
  <c r="AE348" i="2"/>
  <c r="AR348" i="2" s="1" a="1"/>
  <c r="AR348" i="2" s="1"/>
  <c r="AE102" i="2"/>
  <c r="AR102" i="2" s="1" a="1"/>
  <c r="AR102" i="2" s="1"/>
  <c r="AV102" i="2" s="1" a="1"/>
  <c r="AV102" i="2" s="1"/>
  <c r="AE244" i="2"/>
  <c r="AR244" i="2" s="1" a="1"/>
  <c r="AR244" i="2" s="1"/>
  <c r="AV244" i="2" s="1" a="1"/>
  <c r="AV244" i="2" s="1"/>
  <c r="AE393" i="2"/>
  <c r="AR393" i="2" s="1" a="1"/>
  <c r="AR393" i="2" s="1"/>
  <c r="AV393" i="2" s="1" a="1"/>
  <c r="AV393" i="2" s="1"/>
  <c r="AE131" i="2"/>
  <c r="AE472" i="2"/>
  <c r="AR472" i="2" s="1" a="1"/>
  <c r="AR472" i="2" s="1"/>
  <c r="AE249" i="2"/>
  <c r="AR249" i="2" s="1" a="1"/>
  <c r="AR249" i="2" s="1"/>
  <c r="AV249" i="2" s="1" a="1"/>
  <c r="AV249" i="2" s="1"/>
  <c r="AE266" i="2"/>
  <c r="AE399" i="2"/>
  <c r="AR399" i="2" s="1" a="1"/>
  <c r="AR399" i="2" s="1"/>
  <c r="AV399" i="2" s="1" a="1"/>
  <c r="AV399" i="2" s="1"/>
  <c r="AE420" i="2"/>
  <c r="AE267" i="2"/>
  <c r="AR267" i="2" s="1" a="1"/>
  <c r="AR267" i="2" s="1"/>
  <c r="AV267" i="2" s="1" a="1"/>
  <c r="AV267" i="2" s="1"/>
  <c r="AE99" i="2"/>
  <c r="AE261" i="2"/>
  <c r="AE359" i="2"/>
  <c r="AR359" i="2" s="1" a="1"/>
  <c r="AR359" i="2" s="1"/>
  <c r="AE110" i="2"/>
  <c r="AR110" i="2" s="1" a="1"/>
  <c r="AR110" i="2" s="1"/>
  <c r="AV110" i="2" s="1" a="1"/>
  <c r="AV110" i="2" s="1"/>
  <c r="AE69" i="2"/>
  <c r="AR69" i="2" s="1" a="1"/>
  <c r="AR69" i="2" s="1"/>
  <c r="AV69" i="2" s="1" a="1"/>
  <c r="AV69" i="2" s="1"/>
  <c r="AE358" i="2"/>
  <c r="AR358" i="2" s="1" a="1"/>
  <c r="AR358" i="2" s="1"/>
  <c r="AE274" i="2"/>
  <c r="AR274" i="2" s="1" a="1"/>
  <c r="AR274" i="2" s="1"/>
  <c r="AE334" i="2"/>
  <c r="AR334" i="2" s="1" a="1"/>
  <c r="AR334" i="2" s="1"/>
  <c r="AV334" i="2" s="1" a="1"/>
  <c r="AV334" i="2" s="1"/>
  <c r="AE254" i="2"/>
  <c r="AR254" i="2" s="1" a="1"/>
  <c r="AR254" i="2" s="1"/>
  <c r="AV254" i="2" s="1" a="1"/>
  <c r="AV254" i="2" s="1"/>
  <c r="AE65" i="2"/>
  <c r="AR65" i="2" s="1" a="1"/>
  <c r="AR65" i="2" s="1"/>
  <c r="AV65" i="2" s="1" a="1"/>
  <c r="AV65" i="2" s="1"/>
  <c r="AE18" i="2"/>
  <c r="AE335" i="2"/>
  <c r="AR335" i="2" s="1" a="1"/>
  <c r="AR335" i="2" s="1"/>
  <c r="AV335" i="2" s="1" a="1"/>
  <c r="AV335" i="2" s="1"/>
  <c r="AE431" i="2"/>
  <c r="AR431" i="2" s="1" a="1"/>
  <c r="AR431" i="2" s="1"/>
  <c r="AV431" i="2" s="1" a="1"/>
  <c r="AV431" i="2" s="1"/>
  <c r="AE205" i="2"/>
  <c r="AR205" i="2" s="1" a="1"/>
  <c r="AR205" i="2" s="1"/>
  <c r="AV205" i="2" s="1" a="1"/>
  <c r="AV205" i="2" s="1"/>
  <c r="AE288" i="2"/>
  <c r="AR288" i="2" s="1" a="1"/>
  <c r="AR288" i="2" s="1"/>
  <c r="AV288" i="2" s="1" a="1"/>
  <c r="AV288" i="2" s="1"/>
  <c r="AE489" i="2"/>
  <c r="AR489" i="2" s="1" a="1"/>
  <c r="AR489" i="2" s="1"/>
  <c r="AV489" i="2" s="1" a="1"/>
  <c r="AV489" i="2" s="1"/>
  <c r="AE482" i="2"/>
  <c r="AR482" i="2" s="1" a="1"/>
  <c r="AR482" i="2" s="1"/>
  <c r="AE297" i="2"/>
  <c r="AE372" i="2"/>
  <c r="AR372" i="2" s="1" a="1"/>
  <c r="AR372" i="2" s="1"/>
  <c r="AV372" i="2" s="1" a="1"/>
  <c r="AV372" i="2" s="1"/>
  <c r="AE396" i="2"/>
  <c r="AR396" i="2" s="1" a="1"/>
  <c r="AR396" i="2" s="1"/>
  <c r="AV396" i="2" s="1" a="1"/>
  <c r="AV396" i="2" s="1"/>
  <c r="AE142" i="2"/>
  <c r="AR142" i="2" s="1" a="1"/>
  <c r="AR142" i="2" s="1"/>
  <c r="AV142" i="2" s="1" a="1"/>
  <c r="AV142" i="2" s="1"/>
  <c r="AE151" i="2"/>
  <c r="AR151" i="2" s="1" a="1"/>
  <c r="AR151" i="2" s="1"/>
  <c r="AV151" i="2" s="1" a="1"/>
  <c r="AV151" i="2" s="1"/>
  <c r="AE368" i="2"/>
  <c r="AR368" i="2" s="1" a="1"/>
  <c r="AR368" i="2" s="1"/>
  <c r="AV368" i="2" s="1" a="1"/>
  <c r="AV368" i="2" s="1"/>
  <c r="AE37" i="2"/>
  <c r="AE380" i="2"/>
  <c r="AR380" i="2" s="1" a="1"/>
  <c r="AR380" i="2" s="1"/>
  <c r="AE473" i="2"/>
  <c r="AR473" i="2" s="1" a="1"/>
  <c r="AR473" i="2" s="1"/>
  <c r="AV473" i="2" s="1" a="1"/>
  <c r="AV473" i="2" s="1"/>
  <c r="AE496" i="2"/>
  <c r="AR496" i="2" s="1" a="1"/>
  <c r="AR496" i="2" s="1"/>
  <c r="AV496" i="2" s="1" a="1"/>
  <c r="AV496" i="2" s="1"/>
  <c r="AE474" i="2"/>
  <c r="AR474" i="2" s="1" a="1"/>
  <c r="AR474" i="2" s="1"/>
  <c r="AV474" i="2" s="1" a="1"/>
  <c r="AV474" i="2" s="1"/>
  <c r="AE19" i="2"/>
  <c r="AR19" i="2" s="1" a="1"/>
  <c r="AR19" i="2" s="1"/>
  <c r="AE30" i="2"/>
  <c r="AR30" i="2" s="1" a="1"/>
  <c r="AR30" i="2" s="1"/>
  <c r="AV30" i="2" s="1" a="1"/>
  <c r="AV30" i="2" s="1"/>
  <c r="AE369" i="2"/>
  <c r="AR369" i="2" s="1" a="1"/>
  <c r="AR369" i="2" s="1"/>
  <c r="AV369" i="2" s="1" a="1"/>
  <c r="AV369" i="2" s="1"/>
  <c r="AE375" i="2"/>
  <c r="AR375" i="2" s="1" a="1"/>
  <c r="AR375" i="2" s="1"/>
  <c r="AV375" i="2" s="1" a="1"/>
  <c r="AV375" i="2" s="1"/>
  <c r="AE432" i="2"/>
  <c r="AR432" i="2" s="1" a="1"/>
  <c r="AR432" i="2" s="1"/>
  <c r="AV432" i="2" s="1" a="1"/>
  <c r="AV432" i="2" s="1"/>
  <c r="AE88" i="2"/>
  <c r="AE100" i="2"/>
  <c r="AR100" i="2" s="1" a="1"/>
  <c r="AR100" i="2" s="1"/>
  <c r="AV100" i="2" s="1" a="1"/>
  <c r="AV100" i="2" s="1"/>
  <c r="AE268" i="2"/>
  <c r="AR268" i="2" s="1" a="1"/>
  <c r="AR268" i="2" s="1"/>
  <c r="AV268" i="2" s="1" a="1"/>
  <c r="AV268" i="2" s="1"/>
  <c r="AE105" i="2"/>
  <c r="AR105" i="2" s="1" a="1"/>
  <c r="AR105" i="2" s="1"/>
  <c r="AV105" i="2" s="1" a="1"/>
  <c r="AV105" i="2" s="1"/>
  <c r="AE475" i="2"/>
  <c r="AR475" i="2" s="1" a="1"/>
  <c r="AR475" i="2" s="1"/>
  <c r="AV475" i="2" s="1" a="1"/>
  <c r="AV475" i="2" s="1"/>
  <c r="AE143" i="2"/>
  <c r="AR143" i="2" s="1" a="1"/>
  <c r="AR143" i="2" s="1"/>
  <c r="AV143" i="2" s="1" a="1"/>
  <c r="AV143" i="2" s="1"/>
  <c r="AE412" i="2"/>
  <c r="AR412" i="2" s="1" a="1"/>
  <c r="AR412" i="2" s="1"/>
  <c r="AV412" i="2" s="1" a="1"/>
  <c r="AV412" i="2" s="1"/>
  <c r="AE38" i="2"/>
  <c r="AR38" i="2" s="1" a="1"/>
  <c r="AR38" i="2" s="1"/>
  <c r="AV38" i="2" s="1" a="1"/>
  <c r="AV38" i="2" s="1"/>
  <c r="AE112" i="2"/>
  <c r="AR112" i="2" s="1" a="1"/>
  <c r="AR112" i="2" s="1"/>
  <c r="AV112" i="2" s="1" a="1"/>
  <c r="AV112" i="2" s="1"/>
  <c r="AE83" i="2"/>
  <c r="AR83" i="2" s="1" a="1"/>
  <c r="AR83" i="2" s="1"/>
  <c r="AK370" i="2"/>
  <c r="AK270" i="2"/>
  <c r="AK360" i="2"/>
  <c r="AK245" i="2"/>
  <c r="AK303" i="2"/>
  <c r="AK206" i="2"/>
  <c r="AK123" i="2"/>
  <c r="AK189" i="2"/>
  <c r="AK317" i="2"/>
  <c r="AK483" i="2"/>
  <c r="AK50" i="2"/>
  <c r="AK343" i="2"/>
  <c r="AK262" i="2"/>
  <c r="AK93" i="2"/>
  <c r="AK230" i="2"/>
  <c r="AK250" i="2"/>
  <c r="AK271" i="2"/>
  <c r="AK441" i="2"/>
  <c r="AK31" i="2"/>
  <c r="AK51" i="2"/>
  <c r="AK138" i="2"/>
  <c r="AK152" i="2"/>
  <c r="AK190" i="2"/>
  <c r="AK116" i="2"/>
  <c r="AK318" i="2"/>
  <c r="AK125" i="2"/>
  <c r="AK376" i="2"/>
  <c r="AK283" i="2"/>
  <c r="AK322" i="2"/>
  <c r="AK361" i="2"/>
  <c r="AK162" i="2"/>
  <c r="AK24" i="2"/>
  <c r="AK20" i="2"/>
  <c r="AK456" i="2"/>
  <c r="AK413" i="2"/>
  <c r="AK381" i="2"/>
  <c r="AK126" i="2"/>
  <c r="AK336" i="2"/>
  <c r="AK401" i="2"/>
  <c r="AK153" i="2"/>
  <c r="AK421" i="2"/>
  <c r="AK2" i="2"/>
  <c r="AK402" i="2"/>
  <c r="AK428" i="2"/>
  <c r="AK337" i="2"/>
  <c r="AK329" i="2"/>
  <c r="AK442" i="2"/>
  <c r="AK25" i="2"/>
  <c r="AK484" i="2"/>
  <c r="AK323" i="2"/>
  <c r="AK231" i="2"/>
  <c r="AK184" i="2"/>
  <c r="AK70" i="2"/>
  <c r="AK382" i="2"/>
  <c r="AK414" i="2"/>
  <c r="AK286" i="2"/>
  <c r="AK490" i="2"/>
  <c r="AK373" i="2"/>
  <c r="AK117" i="2"/>
  <c r="AK415" i="2"/>
  <c r="AK223" i="2"/>
  <c r="AK94" i="2"/>
  <c r="AK59" i="2"/>
  <c r="AK349" i="2"/>
  <c r="AK84" i="2"/>
  <c r="AK207" i="2"/>
  <c r="AK383" i="2"/>
  <c r="AK287" i="2"/>
  <c r="AK263" i="2"/>
  <c r="AK219" i="2"/>
  <c r="AK89" i="2"/>
  <c r="AK3" i="2"/>
  <c r="AK236" i="2"/>
  <c r="AK391" i="2"/>
  <c r="AK362" i="2"/>
  <c r="AK272" i="2"/>
  <c r="AK324" i="2"/>
  <c r="AK44" i="2"/>
  <c r="AK90" i="2"/>
  <c r="AK45" i="2"/>
  <c r="AK118" i="2"/>
  <c r="AK4" i="2"/>
  <c r="AK21" i="2"/>
  <c r="AK422" i="2"/>
  <c r="AK163" i="2"/>
  <c r="AK119" i="2"/>
  <c r="AK208" i="2"/>
  <c r="AK300" i="2"/>
  <c r="AK5" i="2"/>
  <c r="AK132" i="2"/>
  <c r="AK350" i="2"/>
  <c r="AK66" i="2"/>
  <c r="AK52" i="2"/>
  <c r="AK307" i="2"/>
  <c r="AK71" i="2"/>
  <c r="AK22" i="2"/>
  <c r="AK443" i="2"/>
  <c r="AK144" i="2"/>
  <c r="AK168" i="2"/>
  <c r="AK129" i="2"/>
  <c r="AK6" i="2"/>
  <c r="AK237" i="2"/>
  <c r="AK7" i="2"/>
  <c r="AK169" i="2"/>
  <c r="AK178" i="2"/>
  <c r="AK451" i="2"/>
  <c r="AK139" i="2"/>
  <c r="AK209" i="2"/>
  <c r="AK406" i="2"/>
  <c r="AK338" i="2"/>
  <c r="AK232" i="2"/>
  <c r="AK185" i="2"/>
  <c r="AK289" i="2"/>
  <c r="AK227" i="2"/>
  <c r="AK407" i="2"/>
  <c r="AK485" i="2"/>
  <c r="AK34" i="2"/>
  <c r="AK460" i="2"/>
  <c r="AK461" i="2"/>
  <c r="AK408" i="2"/>
  <c r="AK416" i="2"/>
  <c r="AK173" i="2"/>
  <c r="AK436" i="2"/>
  <c r="AK304" i="2"/>
  <c r="AK127" i="2"/>
  <c r="AK465" i="2"/>
  <c r="AK80" i="2"/>
  <c r="AK462" i="2"/>
  <c r="AK154" i="2"/>
  <c r="AK81" i="2"/>
  <c r="AK46" i="2"/>
  <c r="AK179" i="2"/>
  <c r="AK106" i="2"/>
  <c r="AK76" i="2"/>
  <c r="AK228" i="2"/>
  <c r="AK35" i="2"/>
  <c r="AK290" i="2"/>
  <c r="AK429" i="2"/>
  <c r="AK466" i="2"/>
  <c r="AK145" i="2"/>
  <c r="AK330" i="2"/>
  <c r="AK433" i="2"/>
  <c r="AK124" i="2"/>
  <c r="AK430" i="2"/>
  <c r="AK331" i="2"/>
  <c r="AK8" i="2"/>
  <c r="AK486" i="2"/>
  <c r="AK60" i="2"/>
  <c r="AK186" i="2"/>
  <c r="AK251" i="2"/>
  <c r="AK113" i="2"/>
  <c r="AK238" i="2"/>
  <c r="AK344" i="2"/>
  <c r="AK409" i="2"/>
  <c r="AK239" i="2"/>
  <c r="AK377" i="2"/>
  <c r="AK26" i="2"/>
  <c r="AK400" i="2"/>
  <c r="AK133" i="2"/>
  <c r="AK403" i="2"/>
  <c r="AK36" i="2"/>
  <c r="AK467" i="2"/>
  <c r="AK295" i="2"/>
  <c r="AK468" i="2"/>
  <c r="AK463" i="2"/>
  <c r="AK308" i="2"/>
  <c r="AK199" i="2"/>
  <c r="AK281" i="2"/>
  <c r="AK210" i="2"/>
  <c r="AK120" i="2"/>
  <c r="AK82" i="2"/>
  <c r="AK170" i="2"/>
  <c r="AK95" i="2"/>
  <c r="AK351" i="2"/>
  <c r="AK417" i="2"/>
  <c r="AK309" i="2"/>
  <c r="AK53" i="2"/>
  <c r="AK9" i="2"/>
  <c r="AK452" i="2"/>
  <c r="AK448" i="2"/>
  <c r="AK332" i="2"/>
  <c r="AK497" i="2"/>
  <c r="AK10" i="2"/>
  <c r="AK310" i="2"/>
  <c r="AK363" i="2"/>
  <c r="AK11" i="2"/>
  <c r="AK77" i="2"/>
  <c r="AK345" i="2"/>
  <c r="AK195" i="2"/>
  <c r="AK269" i="2"/>
  <c r="AK224" i="2"/>
  <c r="AK339" i="2"/>
  <c r="AK39" i="2"/>
  <c r="AK47" i="2"/>
  <c r="AK176" i="2"/>
  <c r="AK54" i="2"/>
  <c r="AK352" i="2"/>
  <c r="AK325" i="2"/>
  <c r="AK444" i="2"/>
  <c r="AK491" i="2"/>
  <c r="AK140" i="2"/>
  <c r="AK340" i="2"/>
  <c r="AK225" i="2"/>
  <c r="AK469" i="2"/>
  <c r="AK326" i="2"/>
  <c r="AK191" i="2"/>
  <c r="AK327" i="2"/>
  <c r="AK211" i="2"/>
  <c r="AK476" i="2"/>
  <c r="AK453" i="2"/>
  <c r="AK275" i="2"/>
  <c r="AK155" i="2"/>
  <c r="AK246" i="2"/>
  <c r="AK130" i="2"/>
  <c r="AK114" i="2"/>
  <c r="AK492" i="2"/>
  <c r="AK255" i="2"/>
  <c r="AK397" i="2"/>
  <c r="AK384" i="2"/>
  <c r="AK256" i="2"/>
  <c r="AK423" i="2"/>
  <c r="AK410" i="2"/>
  <c r="AK12" i="2"/>
  <c r="AK32" i="2"/>
  <c r="AK180" i="2"/>
  <c r="AK111" i="2"/>
  <c r="AK13" i="2"/>
  <c r="AK134" i="2"/>
  <c r="AK107" i="2"/>
  <c r="AK341" i="2"/>
  <c r="AK378" i="2"/>
  <c r="AK437" i="2"/>
  <c r="AK298" i="2"/>
  <c r="AK33" i="2"/>
  <c r="AK40" i="2"/>
  <c r="AK196" i="2"/>
  <c r="AK264" i="2"/>
  <c r="AK311" i="2"/>
  <c r="AK487" i="2"/>
  <c r="AK392" i="2"/>
  <c r="AK14" i="2"/>
  <c r="AK353" i="2"/>
  <c r="AK220" i="2"/>
  <c r="AK445" i="2"/>
  <c r="AK364" i="2"/>
  <c r="AK365" i="2"/>
  <c r="AK181" i="2"/>
  <c r="AK156" i="2"/>
  <c r="AK61" i="2"/>
  <c r="AK212" i="2"/>
  <c r="AK257" i="2"/>
  <c r="AK457" i="2"/>
  <c r="AK418" i="2"/>
  <c r="AK291" i="2"/>
  <c r="AK498" i="2"/>
  <c r="AK488" i="2"/>
  <c r="AK192" i="2"/>
  <c r="AK493" i="2"/>
  <c r="AK135" i="2"/>
  <c r="AK150" i="2"/>
  <c r="AK477" i="2"/>
  <c r="AK478" i="2"/>
  <c r="AK41" i="2"/>
  <c r="AK446" i="2"/>
  <c r="AK67" i="2"/>
  <c r="AK454" i="2"/>
  <c r="AK296" i="2"/>
  <c r="AK385" i="2"/>
  <c r="AK171" i="2"/>
  <c r="AK319" i="2"/>
  <c r="AK229" i="2"/>
  <c r="AK48" i="2"/>
  <c r="AK108" i="2"/>
  <c r="AK366" i="2"/>
  <c r="AK146" i="2"/>
  <c r="AK301" i="2"/>
  <c r="AK233" i="2"/>
  <c r="AK470" i="2"/>
  <c r="AK72" i="2"/>
  <c r="AK273" i="2"/>
  <c r="AK23" i="2"/>
  <c r="AK164" i="2"/>
  <c r="AK247" i="2"/>
  <c r="AK182" i="2"/>
  <c r="AK165" i="2"/>
  <c r="AK312" i="2"/>
  <c r="AK292" i="2"/>
  <c r="AK354" i="2"/>
  <c r="AK455" i="2"/>
  <c r="AK438" i="2"/>
  <c r="AK471" i="2"/>
  <c r="AK355" i="2"/>
  <c r="AK424" i="2"/>
  <c r="AK197" i="2"/>
  <c r="AK425" i="2"/>
  <c r="AK136" i="2"/>
  <c r="AK128" i="2"/>
  <c r="AK201" i="2"/>
  <c r="AK147" i="2"/>
  <c r="AK96" i="2"/>
  <c r="AK62" i="2"/>
  <c r="AK202" i="2"/>
  <c r="AK49" i="2"/>
  <c r="AK15" i="2"/>
  <c r="AK16" i="2"/>
  <c r="AK183" i="2"/>
  <c r="AK213" i="2"/>
  <c r="AK160" i="2"/>
  <c r="AK434" i="2"/>
  <c r="AK398" i="2"/>
  <c r="AK494" i="2"/>
  <c r="AK386" i="2"/>
  <c r="AK63" i="2"/>
  <c r="AK305" i="2"/>
  <c r="AK499" i="2"/>
  <c r="AK97" i="2"/>
  <c r="AK148" i="2"/>
  <c r="AK55" i="2"/>
  <c r="AK42" i="2"/>
  <c r="AK85" i="2"/>
  <c r="AK302" i="2"/>
  <c r="AK371" i="2"/>
  <c r="AK313" i="2"/>
  <c r="AK356" i="2"/>
  <c r="AK56" i="2"/>
  <c r="AK426" i="2"/>
  <c r="AK193" i="2"/>
  <c r="AK157" i="2"/>
  <c r="AK404" i="2"/>
  <c r="AK234" i="2"/>
  <c r="AK240" i="2"/>
  <c r="AK175" i="2"/>
  <c r="AK328" i="2"/>
  <c r="AK214" i="2"/>
  <c r="AK200" i="2"/>
  <c r="AK495" i="2"/>
  <c r="AK172" i="2"/>
  <c r="AK342" i="2"/>
  <c r="AK86" i="2"/>
  <c r="AK252" i="2"/>
  <c r="AK346" i="2"/>
  <c r="AK68" i="2"/>
  <c r="AK314" i="2"/>
  <c r="AK419" i="2"/>
  <c r="AK374" i="2"/>
  <c r="AK282" i="2"/>
  <c r="AK141" i="2"/>
  <c r="AK115" i="2"/>
  <c r="AK265" i="2"/>
  <c r="AK284" i="2"/>
  <c r="AK347" i="2"/>
  <c r="AK293" i="2"/>
  <c r="AK458" i="2"/>
  <c r="AK315" i="2"/>
  <c r="AK447" i="2"/>
  <c r="AK194" i="2"/>
  <c r="AK73" i="2"/>
  <c r="AK64" i="2"/>
  <c r="AK258" i="2"/>
  <c r="AK479" i="2"/>
  <c r="AK276" i="2"/>
  <c r="AK74" i="2"/>
  <c r="AK43" i="2"/>
  <c r="AK91" i="2"/>
  <c r="AK299" i="2"/>
  <c r="AK57" i="2"/>
  <c r="AK285" i="2"/>
  <c r="AK357" i="2"/>
  <c r="AK177" i="2"/>
  <c r="AK121" i="2"/>
  <c r="AK103" i="2"/>
  <c r="AK277" i="2"/>
  <c r="AK104" i="2"/>
  <c r="AK387" i="2"/>
  <c r="AK449" i="2"/>
  <c r="AK500" i="2"/>
  <c r="AK278" i="2"/>
  <c r="AK480" i="2"/>
  <c r="AK198" i="2"/>
  <c r="AK58" i="2"/>
  <c r="AK226" i="2"/>
  <c r="AK294" i="2"/>
  <c r="AK481" i="2"/>
  <c r="AK215" i="2"/>
  <c r="AK379" i="2"/>
  <c r="AK235" i="2"/>
  <c r="AK75" i="2"/>
  <c r="AK316" i="2"/>
  <c r="AK158" i="2"/>
  <c r="AK122" i="2"/>
  <c r="AK203" i="2"/>
  <c r="AK464" i="2"/>
  <c r="AK216" i="2"/>
  <c r="AK87" i="2"/>
  <c r="AK259" i="2"/>
  <c r="AK149" i="2"/>
  <c r="AK279" i="2"/>
  <c r="AK306" i="2"/>
  <c r="AK320" i="2"/>
  <c r="AK78" i="2"/>
  <c r="AK241" i="2"/>
  <c r="AK459" i="2"/>
  <c r="AK439" i="2"/>
  <c r="AK109" i="2"/>
  <c r="AK188" i="2"/>
  <c r="AK394" i="2"/>
  <c r="AK367" i="2"/>
  <c r="AK92" i="2"/>
  <c r="AK159" i="2"/>
  <c r="AK333" i="2"/>
  <c r="AK27" i="2"/>
  <c r="AK248" i="2"/>
  <c r="AK98" i="2"/>
  <c r="AK221" i="2"/>
  <c r="AK427" i="2"/>
  <c r="AK440" i="2"/>
  <c r="AK101" i="2"/>
  <c r="AK405" i="2"/>
  <c r="AK321" i="2"/>
  <c r="AK450" i="2"/>
  <c r="AK204" i="2"/>
  <c r="AK166" i="2"/>
  <c r="AK253" i="2"/>
  <c r="AK161" i="2"/>
  <c r="AK260" i="2"/>
  <c r="AK174" i="2"/>
  <c r="AK17" i="2"/>
  <c r="AK501" i="2"/>
  <c r="AK217" i="2"/>
  <c r="AK388" i="2"/>
  <c r="AK28" i="2"/>
  <c r="AK167" i="2"/>
  <c r="AK389" i="2"/>
  <c r="AK435" i="2"/>
  <c r="AK137" i="2"/>
  <c r="AK242" i="2"/>
  <c r="AK222" i="2"/>
  <c r="AK243" i="2"/>
  <c r="AK280" i="2"/>
  <c r="AK29" i="2"/>
  <c r="AK395" i="2"/>
  <c r="AK218" i="2"/>
  <c r="AK390" i="2"/>
  <c r="AK411" i="2"/>
  <c r="AK79" i="2"/>
  <c r="AK187" i="2"/>
  <c r="AK348" i="2"/>
  <c r="AK102" i="2"/>
  <c r="AK244" i="2"/>
  <c r="AK393" i="2"/>
  <c r="AK131" i="2"/>
  <c r="AK472" i="2"/>
  <c r="AK249" i="2"/>
  <c r="AK266" i="2"/>
  <c r="AK399" i="2"/>
  <c r="AK420" i="2"/>
  <c r="AK267" i="2"/>
  <c r="AK99" i="2"/>
  <c r="AK261" i="2"/>
  <c r="AK359" i="2"/>
  <c r="AK110" i="2"/>
  <c r="AK69" i="2"/>
  <c r="AK358" i="2"/>
  <c r="AK274" i="2"/>
  <c r="AK334" i="2"/>
  <c r="AK254" i="2"/>
  <c r="AK65" i="2"/>
  <c r="AK18" i="2"/>
  <c r="AK335" i="2"/>
  <c r="AK431" i="2"/>
  <c r="AK205" i="2"/>
  <c r="AK288" i="2"/>
  <c r="AK489" i="2"/>
  <c r="AK482" i="2"/>
  <c r="AK297" i="2"/>
  <c r="AK372" i="2"/>
  <c r="AK396" i="2"/>
  <c r="AK142" i="2"/>
  <c r="AK151" i="2"/>
  <c r="AK368" i="2"/>
  <c r="AK37" i="2"/>
  <c r="AK380" i="2"/>
  <c r="AK473" i="2"/>
  <c r="AK496" i="2"/>
  <c r="AK474" i="2"/>
  <c r="AK19" i="2"/>
  <c r="AK30" i="2"/>
  <c r="AK369" i="2"/>
  <c r="AK375" i="2"/>
  <c r="AK432" i="2"/>
  <c r="AK88" i="2"/>
  <c r="AK100" i="2"/>
  <c r="AK268" i="2"/>
  <c r="AK105" i="2"/>
  <c r="AK475" i="2"/>
  <c r="AK143" i="2"/>
  <c r="AK412" i="2"/>
  <c r="AK38" i="2"/>
  <c r="AK112" i="2"/>
  <c r="AK83" i="2"/>
  <c r="AJ370" i="2"/>
  <c r="AJ270" i="2"/>
  <c r="AJ360" i="2"/>
  <c r="AJ245" i="2"/>
  <c r="AJ303" i="2"/>
  <c r="AJ206" i="2"/>
  <c r="AJ123" i="2"/>
  <c r="AJ189" i="2"/>
  <c r="AJ317" i="2"/>
  <c r="AJ483" i="2"/>
  <c r="AJ50" i="2"/>
  <c r="AJ343" i="2"/>
  <c r="AJ262" i="2"/>
  <c r="AJ93" i="2"/>
  <c r="AJ230" i="2"/>
  <c r="AJ250" i="2"/>
  <c r="AJ271" i="2"/>
  <c r="AJ441" i="2"/>
  <c r="AJ31" i="2"/>
  <c r="AJ51" i="2"/>
  <c r="AJ138" i="2"/>
  <c r="AJ152" i="2"/>
  <c r="AJ190" i="2"/>
  <c r="AJ116" i="2"/>
  <c r="AJ318" i="2"/>
  <c r="AJ125" i="2"/>
  <c r="AJ376" i="2"/>
  <c r="AJ283" i="2"/>
  <c r="AJ322" i="2"/>
  <c r="AJ361" i="2"/>
  <c r="AJ162" i="2"/>
  <c r="AJ24" i="2"/>
  <c r="AJ20" i="2"/>
  <c r="AJ456" i="2"/>
  <c r="AJ413" i="2"/>
  <c r="AJ381" i="2"/>
  <c r="AJ126" i="2"/>
  <c r="AJ336" i="2"/>
  <c r="AJ401" i="2"/>
  <c r="AJ153" i="2"/>
  <c r="AJ421" i="2"/>
  <c r="AJ2" i="2"/>
  <c r="AJ402" i="2"/>
  <c r="AJ428" i="2"/>
  <c r="AJ337" i="2"/>
  <c r="AJ329" i="2"/>
  <c r="AJ442" i="2"/>
  <c r="AJ25" i="2"/>
  <c r="AJ484" i="2"/>
  <c r="AJ323" i="2"/>
  <c r="AJ231" i="2"/>
  <c r="AJ184" i="2"/>
  <c r="AJ70" i="2"/>
  <c r="AJ382" i="2"/>
  <c r="AJ414" i="2"/>
  <c r="AJ286" i="2"/>
  <c r="AJ490" i="2"/>
  <c r="AJ373" i="2"/>
  <c r="AJ117" i="2"/>
  <c r="AJ415" i="2"/>
  <c r="AJ223" i="2"/>
  <c r="AJ94" i="2"/>
  <c r="AJ59" i="2"/>
  <c r="AJ349" i="2"/>
  <c r="AJ84" i="2"/>
  <c r="AJ207" i="2"/>
  <c r="AJ383" i="2"/>
  <c r="AJ287" i="2"/>
  <c r="AJ263" i="2"/>
  <c r="AJ219" i="2"/>
  <c r="AJ89" i="2"/>
  <c r="AJ3" i="2"/>
  <c r="AJ236" i="2"/>
  <c r="AJ391" i="2"/>
  <c r="AJ362" i="2"/>
  <c r="AJ272" i="2"/>
  <c r="AJ324" i="2"/>
  <c r="AJ44" i="2"/>
  <c r="AJ90" i="2"/>
  <c r="AJ45" i="2"/>
  <c r="AJ118" i="2"/>
  <c r="AJ4" i="2"/>
  <c r="AJ21" i="2"/>
  <c r="AJ422" i="2"/>
  <c r="AJ163" i="2"/>
  <c r="AJ119" i="2"/>
  <c r="AJ208" i="2"/>
  <c r="AJ300" i="2"/>
  <c r="AJ5" i="2"/>
  <c r="AJ132" i="2"/>
  <c r="AJ350" i="2"/>
  <c r="AJ66" i="2"/>
  <c r="AJ52" i="2"/>
  <c r="AJ307" i="2"/>
  <c r="AJ71" i="2"/>
  <c r="AJ22" i="2"/>
  <c r="AJ443" i="2"/>
  <c r="AJ144" i="2"/>
  <c r="AJ168" i="2"/>
  <c r="AJ129" i="2"/>
  <c r="AJ6" i="2"/>
  <c r="AJ237" i="2"/>
  <c r="AJ7" i="2"/>
  <c r="AJ169" i="2"/>
  <c r="AJ178" i="2"/>
  <c r="AJ451" i="2"/>
  <c r="AJ139" i="2"/>
  <c r="AJ209" i="2"/>
  <c r="AJ406" i="2"/>
  <c r="AJ338" i="2"/>
  <c r="AJ232" i="2"/>
  <c r="AJ185" i="2"/>
  <c r="AJ289" i="2"/>
  <c r="AJ227" i="2"/>
  <c r="AJ407" i="2"/>
  <c r="AJ485" i="2"/>
  <c r="AJ34" i="2"/>
  <c r="AJ460" i="2"/>
  <c r="AJ461" i="2"/>
  <c r="AJ408" i="2"/>
  <c r="AJ416" i="2"/>
  <c r="AJ173" i="2"/>
  <c r="AJ436" i="2"/>
  <c r="AJ304" i="2"/>
  <c r="AJ127" i="2"/>
  <c r="AJ465" i="2"/>
  <c r="AJ80" i="2"/>
  <c r="AJ462" i="2"/>
  <c r="AJ154" i="2"/>
  <c r="AJ81" i="2"/>
  <c r="AJ46" i="2"/>
  <c r="AJ179" i="2"/>
  <c r="AJ106" i="2"/>
  <c r="AJ76" i="2"/>
  <c r="AJ228" i="2"/>
  <c r="AJ35" i="2"/>
  <c r="AJ290" i="2"/>
  <c r="AJ429" i="2"/>
  <c r="AJ466" i="2"/>
  <c r="AJ145" i="2"/>
  <c r="AJ330" i="2"/>
  <c r="AJ433" i="2"/>
  <c r="AJ124" i="2"/>
  <c r="AJ430" i="2"/>
  <c r="AJ331" i="2"/>
  <c r="AJ8" i="2"/>
  <c r="AJ486" i="2"/>
  <c r="AJ60" i="2"/>
  <c r="AJ186" i="2"/>
  <c r="AJ251" i="2"/>
  <c r="AJ113" i="2"/>
  <c r="AJ238" i="2"/>
  <c r="AJ344" i="2"/>
  <c r="AJ409" i="2"/>
  <c r="AJ239" i="2"/>
  <c r="AJ377" i="2"/>
  <c r="AJ26" i="2"/>
  <c r="AJ400" i="2"/>
  <c r="AJ133" i="2"/>
  <c r="AJ403" i="2"/>
  <c r="AJ36" i="2"/>
  <c r="AJ467" i="2"/>
  <c r="AJ295" i="2"/>
  <c r="AJ468" i="2"/>
  <c r="AJ463" i="2"/>
  <c r="AJ308" i="2"/>
  <c r="AJ199" i="2"/>
  <c r="AJ281" i="2"/>
  <c r="AJ210" i="2"/>
  <c r="AJ120" i="2"/>
  <c r="AJ82" i="2"/>
  <c r="AJ170" i="2"/>
  <c r="AJ95" i="2"/>
  <c r="AJ351" i="2"/>
  <c r="AJ417" i="2"/>
  <c r="AJ309" i="2"/>
  <c r="AJ53" i="2"/>
  <c r="AJ9" i="2"/>
  <c r="AJ452" i="2"/>
  <c r="AJ448" i="2"/>
  <c r="AJ332" i="2"/>
  <c r="AJ497" i="2"/>
  <c r="AJ10" i="2"/>
  <c r="AJ310" i="2"/>
  <c r="AJ363" i="2"/>
  <c r="AJ11" i="2"/>
  <c r="AJ77" i="2"/>
  <c r="AJ345" i="2"/>
  <c r="AJ195" i="2"/>
  <c r="AJ269" i="2"/>
  <c r="AJ224" i="2"/>
  <c r="AJ339" i="2"/>
  <c r="AJ39" i="2"/>
  <c r="AJ47" i="2"/>
  <c r="AJ176" i="2"/>
  <c r="AJ54" i="2"/>
  <c r="AJ352" i="2"/>
  <c r="AJ325" i="2"/>
  <c r="AJ444" i="2"/>
  <c r="AJ491" i="2"/>
  <c r="AJ140" i="2"/>
  <c r="AJ340" i="2"/>
  <c r="AJ225" i="2"/>
  <c r="AJ469" i="2"/>
  <c r="AJ326" i="2"/>
  <c r="AJ191" i="2"/>
  <c r="AJ327" i="2"/>
  <c r="AJ211" i="2"/>
  <c r="AJ476" i="2"/>
  <c r="AJ453" i="2"/>
  <c r="AJ275" i="2"/>
  <c r="AJ155" i="2"/>
  <c r="AJ246" i="2"/>
  <c r="AJ130" i="2"/>
  <c r="AJ114" i="2"/>
  <c r="AJ492" i="2"/>
  <c r="AJ255" i="2"/>
  <c r="AJ397" i="2"/>
  <c r="AJ384" i="2"/>
  <c r="AJ256" i="2"/>
  <c r="AJ423" i="2"/>
  <c r="AJ410" i="2"/>
  <c r="AJ12" i="2"/>
  <c r="AJ32" i="2"/>
  <c r="AJ180" i="2"/>
  <c r="AJ111" i="2"/>
  <c r="AJ13" i="2"/>
  <c r="AJ134" i="2"/>
  <c r="AJ107" i="2"/>
  <c r="AJ341" i="2"/>
  <c r="AJ378" i="2"/>
  <c r="AJ437" i="2"/>
  <c r="AJ298" i="2"/>
  <c r="AJ33" i="2"/>
  <c r="AJ40" i="2"/>
  <c r="AJ196" i="2"/>
  <c r="AJ264" i="2"/>
  <c r="AJ311" i="2"/>
  <c r="AJ487" i="2"/>
  <c r="AJ392" i="2"/>
  <c r="AJ14" i="2"/>
  <c r="AJ353" i="2"/>
  <c r="AJ220" i="2"/>
  <c r="AJ445" i="2"/>
  <c r="AJ364" i="2"/>
  <c r="AJ365" i="2"/>
  <c r="AJ181" i="2"/>
  <c r="AJ156" i="2"/>
  <c r="AJ61" i="2"/>
  <c r="AJ212" i="2"/>
  <c r="AJ257" i="2"/>
  <c r="AJ457" i="2"/>
  <c r="AJ418" i="2"/>
  <c r="AJ291" i="2"/>
  <c r="AJ498" i="2"/>
  <c r="AJ488" i="2"/>
  <c r="AJ192" i="2"/>
  <c r="AJ493" i="2"/>
  <c r="AJ135" i="2"/>
  <c r="AJ150" i="2"/>
  <c r="AJ477" i="2"/>
  <c r="AJ478" i="2"/>
  <c r="AJ41" i="2"/>
  <c r="AJ446" i="2"/>
  <c r="AJ67" i="2"/>
  <c r="AJ454" i="2"/>
  <c r="AJ296" i="2"/>
  <c r="AJ385" i="2"/>
  <c r="AJ171" i="2"/>
  <c r="AJ319" i="2"/>
  <c r="AJ229" i="2"/>
  <c r="AJ48" i="2"/>
  <c r="AJ108" i="2"/>
  <c r="AJ366" i="2"/>
  <c r="AJ146" i="2"/>
  <c r="AJ301" i="2"/>
  <c r="AJ233" i="2"/>
  <c r="AJ470" i="2"/>
  <c r="AJ72" i="2"/>
  <c r="AJ273" i="2"/>
  <c r="AJ23" i="2"/>
  <c r="AJ164" i="2"/>
  <c r="AJ247" i="2"/>
  <c r="AJ182" i="2"/>
  <c r="AJ165" i="2"/>
  <c r="AJ312" i="2"/>
  <c r="AJ292" i="2"/>
  <c r="AJ354" i="2"/>
  <c r="AJ455" i="2"/>
  <c r="AJ438" i="2"/>
  <c r="AJ471" i="2"/>
  <c r="AJ355" i="2"/>
  <c r="AJ424" i="2"/>
  <c r="AJ197" i="2"/>
  <c r="AJ425" i="2"/>
  <c r="AJ136" i="2"/>
  <c r="AJ128" i="2"/>
  <c r="AJ201" i="2"/>
  <c r="AJ147" i="2"/>
  <c r="AJ96" i="2"/>
  <c r="AJ62" i="2"/>
  <c r="AJ202" i="2"/>
  <c r="AJ49" i="2"/>
  <c r="AJ15" i="2"/>
  <c r="AJ16" i="2"/>
  <c r="AJ183" i="2"/>
  <c r="AJ213" i="2"/>
  <c r="AJ160" i="2"/>
  <c r="AJ434" i="2"/>
  <c r="AJ398" i="2"/>
  <c r="AJ494" i="2"/>
  <c r="AJ386" i="2"/>
  <c r="AJ63" i="2"/>
  <c r="AJ305" i="2"/>
  <c r="AJ499" i="2"/>
  <c r="AJ97" i="2"/>
  <c r="AJ148" i="2"/>
  <c r="AJ55" i="2"/>
  <c r="AJ42" i="2"/>
  <c r="AJ85" i="2"/>
  <c r="AJ302" i="2"/>
  <c r="AJ371" i="2"/>
  <c r="AJ313" i="2"/>
  <c r="AJ356" i="2"/>
  <c r="AJ56" i="2"/>
  <c r="AJ426" i="2"/>
  <c r="AJ193" i="2"/>
  <c r="AJ157" i="2"/>
  <c r="AJ404" i="2"/>
  <c r="AJ234" i="2"/>
  <c r="AJ240" i="2"/>
  <c r="AJ175" i="2"/>
  <c r="AJ328" i="2"/>
  <c r="AJ214" i="2"/>
  <c r="AJ200" i="2"/>
  <c r="AJ495" i="2"/>
  <c r="AJ172" i="2"/>
  <c r="AJ342" i="2"/>
  <c r="AJ86" i="2"/>
  <c r="AJ252" i="2"/>
  <c r="AJ346" i="2"/>
  <c r="AJ68" i="2"/>
  <c r="AJ314" i="2"/>
  <c r="AJ419" i="2"/>
  <c r="AJ374" i="2"/>
  <c r="AJ282" i="2"/>
  <c r="AJ141" i="2"/>
  <c r="AJ115" i="2"/>
  <c r="AJ265" i="2"/>
  <c r="AJ284" i="2"/>
  <c r="AJ347" i="2"/>
  <c r="AJ293" i="2"/>
  <c r="AJ458" i="2"/>
  <c r="AJ315" i="2"/>
  <c r="AJ447" i="2"/>
  <c r="AJ194" i="2"/>
  <c r="AJ73" i="2"/>
  <c r="AJ64" i="2"/>
  <c r="AJ258" i="2"/>
  <c r="AJ479" i="2"/>
  <c r="AJ276" i="2"/>
  <c r="AJ74" i="2"/>
  <c r="AJ43" i="2"/>
  <c r="AJ91" i="2"/>
  <c r="AJ299" i="2"/>
  <c r="AJ57" i="2"/>
  <c r="AJ285" i="2"/>
  <c r="AJ357" i="2"/>
  <c r="AJ177" i="2"/>
  <c r="AJ121" i="2"/>
  <c r="AJ103" i="2"/>
  <c r="AJ277" i="2"/>
  <c r="AJ104" i="2"/>
  <c r="AJ387" i="2"/>
  <c r="AJ449" i="2"/>
  <c r="AJ500" i="2"/>
  <c r="AJ278" i="2"/>
  <c r="AJ480" i="2"/>
  <c r="AJ198" i="2"/>
  <c r="AJ58" i="2"/>
  <c r="AJ226" i="2"/>
  <c r="AJ294" i="2"/>
  <c r="AJ481" i="2"/>
  <c r="AJ215" i="2"/>
  <c r="AJ379" i="2"/>
  <c r="AJ235" i="2"/>
  <c r="AJ75" i="2"/>
  <c r="AJ316" i="2"/>
  <c r="AJ158" i="2"/>
  <c r="AJ122" i="2"/>
  <c r="AJ203" i="2"/>
  <c r="AJ464" i="2"/>
  <c r="AJ216" i="2"/>
  <c r="AJ87" i="2"/>
  <c r="AJ259" i="2"/>
  <c r="AJ149" i="2"/>
  <c r="AJ279" i="2"/>
  <c r="AJ306" i="2"/>
  <c r="AJ320" i="2"/>
  <c r="AJ78" i="2"/>
  <c r="AJ241" i="2"/>
  <c r="AJ459" i="2"/>
  <c r="AJ439" i="2"/>
  <c r="AJ109" i="2"/>
  <c r="AJ188" i="2"/>
  <c r="AJ394" i="2"/>
  <c r="AJ367" i="2"/>
  <c r="AJ92" i="2"/>
  <c r="AJ159" i="2"/>
  <c r="AJ333" i="2"/>
  <c r="AJ27" i="2"/>
  <c r="AJ248" i="2"/>
  <c r="AJ98" i="2"/>
  <c r="AJ221" i="2"/>
  <c r="AJ427" i="2"/>
  <c r="AJ440" i="2"/>
  <c r="AJ101" i="2"/>
  <c r="AJ405" i="2"/>
  <c r="AJ321" i="2"/>
  <c r="AJ450" i="2"/>
  <c r="AJ204" i="2"/>
  <c r="AJ166" i="2"/>
  <c r="AJ253" i="2"/>
  <c r="AJ161" i="2"/>
  <c r="AJ260" i="2"/>
  <c r="AJ174" i="2"/>
  <c r="AJ17" i="2"/>
  <c r="AJ501" i="2"/>
  <c r="AJ217" i="2"/>
  <c r="AJ388" i="2"/>
  <c r="AJ28" i="2"/>
  <c r="AJ167" i="2"/>
  <c r="AJ389" i="2"/>
  <c r="AJ435" i="2"/>
  <c r="AJ137" i="2"/>
  <c r="AJ242" i="2"/>
  <c r="AJ222" i="2"/>
  <c r="AJ243" i="2"/>
  <c r="AJ280" i="2"/>
  <c r="AJ29" i="2"/>
  <c r="AJ395" i="2"/>
  <c r="AJ218" i="2"/>
  <c r="AJ390" i="2"/>
  <c r="AJ411" i="2"/>
  <c r="AJ79" i="2"/>
  <c r="AJ187" i="2"/>
  <c r="AJ348" i="2"/>
  <c r="AJ102" i="2"/>
  <c r="AJ244" i="2"/>
  <c r="AJ393" i="2"/>
  <c r="AJ131" i="2"/>
  <c r="AJ472" i="2"/>
  <c r="AJ249" i="2"/>
  <c r="AJ266" i="2"/>
  <c r="AJ399" i="2"/>
  <c r="AJ420" i="2"/>
  <c r="AJ267" i="2"/>
  <c r="AJ99" i="2"/>
  <c r="AJ261" i="2"/>
  <c r="AJ359" i="2"/>
  <c r="AJ110" i="2"/>
  <c r="AJ69" i="2"/>
  <c r="AJ358" i="2"/>
  <c r="AJ274" i="2"/>
  <c r="AJ334" i="2"/>
  <c r="AJ254" i="2"/>
  <c r="AJ65" i="2"/>
  <c r="AJ18" i="2"/>
  <c r="AJ335" i="2"/>
  <c r="AJ431" i="2"/>
  <c r="AJ205" i="2"/>
  <c r="AJ288" i="2"/>
  <c r="AJ489" i="2"/>
  <c r="AJ482" i="2"/>
  <c r="AJ297" i="2"/>
  <c r="AJ372" i="2"/>
  <c r="AJ396" i="2"/>
  <c r="AJ142" i="2"/>
  <c r="AJ151" i="2"/>
  <c r="AJ368" i="2"/>
  <c r="AJ37" i="2"/>
  <c r="AJ380" i="2"/>
  <c r="AJ473" i="2"/>
  <c r="AJ496" i="2"/>
  <c r="AJ474" i="2"/>
  <c r="AJ19" i="2"/>
  <c r="AJ30" i="2"/>
  <c r="AJ369" i="2"/>
  <c r="AJ375" i="2"/>
  <c r="AJ432" i="2"/>
  <c r="AJ88" i="2"/>
  <c r="AJ100" i="2"/>
  <c r="AJ268" i="2"/>
  <c r="AJ105" i="2"/>
  <c r="AJ475" i="2"/>
  <c r="AJ143" i="2"/>
  <c r="AJ412" i="2"/>
  <c r="AJ38" i="2"/>
  <c r="AJ112" i="2"/>
  <c r="AJ83" i="2"/>
  <c r="AI370" i="2"/>
  <c r="AI270" i="2"/>
  <c r="AI360" i="2"/>
  <c r="AI245" i="2"/>
  <c r="AI303" i="2"/>
  <c r="AI206" i="2"/>
  <c r="AI123" i="2"/>
  <c r="AI189" i="2"/>
  <c r="AI317" i="2"/>
  <c r="AI483" i="2"/>
  <c r="AI50" i="2"/>
  <c r="AI343" i="2"/>
  <c r="AI262" i="2"/>
  <c r="AI93" i="2"/>
  <c r="AI230" i="2"/>
  <c r="AI250" i="2"/>
  <c r="AI271" i="2"/>
  <c r="AI441" i="2"/>
  <c r="AI31" i="2"/>
  <c r="AI51" i="2"/>
  <c r="AI138" i="2"/>
  <c r="AI152" i="2"/>
  <c r="AI190" i="2"/>
  <c r="AI116" i="2"/>
  <c r="AI318" i="2"/>
  <c r="AI125" i="2"/>
  <c r="AI376" i="2"/>
  <c r="AI283" i="2"/>
  <c r="AI322" i="2"/>
  <c r="AI361" i="2"/>
  <c r="AI162" i="2"/>
  <c r="AI24" i="2"/>
  <c r="AI20" i="2"/>
  <c r="AI456" i="2"/>
  <c r="AI413" i="2"/>
  <c r="AI381" i="2"/>
  <c r="AI126" i="2"/>
  <c r="AI336" i="2"/>
  <c r="AI401" i="2"/>
  <c r="AI153" i="2"/>
  <c r="AI421" i="2"/>
  <c r="AI2" i="2"/>
  <c r="AI402" i="2"/>
  <c r="AI428" i="2"/>
  <c r="AI337" i="2"/>
  <c r="AI329" i="2"/>
  <c r="AI442" i="2"/>
  <c r="AI25" i="2"/>
  <c r="AI484" i="2"/>
  <c r="AI323" i="2"/>
  <c r="AI231" i="2"/>
  <c r="AI184" i="2"/>
  <c r="AI70" i="2"/>
  <c r="AI382" i="2"/>
  <c r="AI414" i="2"/>
  <c r="AI286" i="2"/>
  <c r="AI490" i="2"/>
  <c r="AI373" i="2"/>
  <c r="AI117" i="2"/>
  <c r="AI415" i="2"/>
  <c r="AI223" i="2"/>
  <c r="AI94" i="2"/>
  <c r="AI59" i="2"/>
  <c r="AI349" i="2"/>
  <c r="AI84" i="2"/>
  <c r="AI207" i="2"/>
  <c r="AI383" i="2"/>
  <c r="AI287" i="2"/>
  <c r="AI263" i="2"/>
  <c r="AI219" i="2"/>
  <c r="AI89" i="2"/>
  <c r="AI3" i="2"/>
  <c r="AI236" i="2"/>
  <c r="AI391" i="2"/>
  <c r="AI362" i="2"/>
  <c r="AI272" i="2"/>
  <c r="AI324" i="2"/>
  <c r="AI44" i="2"/>
  <c r="AI90" i="2"/>
  <c r="AI45" i="2"/>
  <c r="AI118" i="2"/>
  <c r="AI4" i="2"/>
  <c r="AI21" i="2"/>
  <c r="AI422" i="2"/>
  <c r="AI163" i="2"/>
  <c r="AI119" i="2"/>
  <c r="AI208" i="2"/>
  <c r="AI300" i="2"/>
  <c r="AI5" i="2"/>
  <c r="AI132" i="2"/>
  <c r="AI350" i="2"/>
  <c r="AI66" i="2"/>
  <c r="AI52" i="2"/>
  <c r="AI307" i="2"/>
  <c r="AI71" i="2"/>
  <c r="AI22" i="2"/>
  <c r="AI443" i="2"/>
  <c r="AI144" i="2"/>
  <c r="AI168" i="2"/>
  <c r="AI129" i="2"/>
  <c r="AI6" i="2"/>
  <c r="AI237" i="2"/>
  <c r="AI7" i="2"/>
  <c r="AI169" i="2"/>
  <c r="AI178" i="2"/>
  <c r="AI451" i="2"/>
  <c r="AI139" i="2"/>
  <c r="AI209" i="2"/>
  <c r="AI406" i="2"/>
  <c r="AI338" i="2"/>
  <c r="AI232" i="2"/>
  <c r="AI185" i="2"/>
  <c r="AI289" i="2"/>
  <c r="AI227" i="2"/>
  <c r="AI407" i="2"/>
  <c r="AI485" i="2"/>
  <c r="AI34" i="2"/>
  <c r="AI460" i="2"/>
  <c r="AI461" i="2"/>
  <c r="AI408" i="2"/>
  <c r="AI416" i="2"/>
  <c r="AI173" i="2"/>
  <c r="AI436" i="2"/>
  <c r="AI304" i="2"/>
  <c r="AI127" i="2"/>
  <c r="AI465" i="2"/>
  <c r="AI80" i="2"/>
  <c r="AI462" i="2"/>
  <c r="AI154" i="2"/>
  <c r="AI81" i="2"/>
  <c r="AI46" i="2"/>
  <c r="AI179" i="2"/>
  <c r="AI106" i="2"/>
  <c r="AI76" i="2"/>
  <c r="AI228" i="2"/>
  <c r="AI35" i="2"/>
  <c r="AI290" i="2"/>
  <c r="AI429" i="2"/>
  <c r="AI466" i="2"/>
  <c r="AI145" i="2"/>
  <c r="AI330" i="2"/>
  <c r="AI433" i="2"/>
  <c r="AI124" i="2"/>
  <c r="AI430" i="2"/>
  <c r="AI331" i="2"/>
  <c r="AI8" i="2"/>
  <c r="AI486" i="2"/>
  <c r="AI60" i="2"/>
  <c r="AI186" i="2"/>
  <c r="AI251" i="2"/>
  <c r="AI113" i="2"/>
  <c r="AI238" i="2"/>
  <c r="AI344" i="2"/>
  <c r="AI409" i="2"/>
  <c r="AI239" i="2"/>
  <c r="AI377" i="2"/>
  <c r="AI26" i="2"/>
  <c r="AI400" i="2"/>
  <c r="AI133" i="2"/>
  <c r="AI403" i="2"/>
  <c r="AI36" i="2"/>
  <c r="AI467" i="2"/>
  <c r="AI295" i="2"/>
  <c r="AI468" i="2"/>
  <c r="AI463" i="2"/>
  <c r="AI308" i="2"/>
  <c r="AI199" i="2"/>
  <c r="AI281" i="2"/>
  <c r="AI210" i="2"/>
  <c r="AI120" i="2"/>
  <c r="AI82" i="2"/>
  <c r="AI170" i="2"/>
  <c r="AI95" i="2"/>
  <c r="AI351" i="2"/>
  <c r="AI417" i="2"/>
  <c r="AI309" i="2"/>
  <c r="AI53" i="2"/>
  <c r="AI9" i="2"/>
  <c r="AI452" i="2"/>
  <c r="AI448" i="2"/>
  <c r="AI332" i="2"/>
  <c r="AI497" i="2"/>
  <c r="AI10" i="2"/>
  <c r="AI310" i="2"/>
  <c r="AI363" i="2"/>
  <c r="AI11" i="2"/>
  <c r="AI77" i="2"/>
  <c r="AI345" i="2"/>
  <c r="AI195" i="2"/>
  <c r="AI269" i="2"/>
  <c r="AI224" i="2"/>
  <c r="AI339" i="2"/>
  <c r="AI39" i="2"/>
  <c r="AI47" i="2"/>
  <c r="AI176" i="2"/>
  <c r="AI54" i="2"/>
  <c r="AI352" i="2"/>
  <c r="AI325" i="2"/>
  <c r="AI444" i="2"/>
  <c r="AI491" i="2"/>
  <c r="AI140" i="2"/>
  <c r="AI340" i="2"/>
  <c r="AI225" i="2"/>
  <c r="AI469" i="2"/>
  <c r="AI326" i="2"/>
  <c r="AI191" i="2"/>
  <c r="AI327" i="2"/>
  <c r="AI211" i="2"/>
  <c r="AI476" i="2"/>
  <c r="AI453" i="2"/>
  <c r="AI275" i="2"/>
  <c r="AI155" i="2"/>
  <c r="AI246" i="2"/>
  <c r="AI130" i="2"/>
  <c r="AI114" i="2"/>
  <c r="AI492" i="2"/>
  <c r="AI255" i="2"/>
  <c r="AI397" i="2"/>
  <c r="AI384" i="2"/>
  <c r="AI256" i="2"/>
  <c r="AI423" i="2"/>
  <c r="AI410" i="2"/>
  <c r="AI12" i="2"/>
  <c r="AI32" i="2"/>
  <c r="AI180" i="2"/>
  <c r="AI111" i="2"/>
  <c r="AI13" i="2"/>
  <c r="AI134" i="2"/>
  <c r="AI107" i="2"/>
  <c r="AI341" i="2"/>
  <c r="AI378" i="2"/>
  <c r="AI437" i="2"/>
  <c r="AI298" i="2"/>
  <c r="AI33" i="2"/>
  <c r="AI40" i="2"/>
  <c r="AI196" i="2"/>
  <c r="AI264" i="2"/>
  <c r="AI311" i="2"/>
  <c r="AI487" i="2"/>
  <c r="AI392" i="2"/>
  <c r="AI14" i="2"/>
  <c r="AI353" i="2"/>
  <c r="AI220" i="2"/>
  <c r="AI445" i="2"/>
  <c r="AI364" i="2"/>
  <c r="AI365" i="2"/>
  <c r="AI181" i="2"/>
  <c r="AI156" i="2"/>
  <c r="AI61" i="2"/>
  <c r="AI212" i="2"/>
  <c r="AI257" i="2"/>
  <c r="AI457" i="2"/>
  <c r="AI418" i="2"/>
  <c r="AI291" i="2"/>
  <c r="AI498" i="2"/>
  <c r="AI488" i="2"/>
  <c r="AI192" i="2"/>
  <c r="AI493" i="2"/>
  <c r="AI135" i="2"/>
  <c r="AI150" i="2"/>
  <c r="AI477" i="2"/>
  <c r="AI478" i="2"/>
  <c r="AI41" i="2"/>
  <c r="AI446" i="2"/>
  <c r="AI67" i="2"/>
  <c r="AI454" i="2"/>
  <c r="AI296" i="2"/>
  <c r="AI385" i="2"/>
  <c r="AI171" i="2"/>
  <c r="AI319" i="2"/>
  <c r="AI229" i="2"/>
  <c r="AI48" i="2"/>
  <c r="AI108" i="2"/>
  <c r="AI366" i="2"/>
  <c r="AI146" i="2"/>
  <c r="AI301" i="2"/>
  <c r="AI233" i="2"/>
  <c r="AI470" i="2"/>
  <c r="AI72" i="2"/>
  <c r="AI273" i="2"/>
  <c r="AI23" i="2"/>
  <c r="AI164" i="2"/>
  <c r="AI247" i="2"/>
  <c r="AI182" i="2"/>
  <c r="AI165" i="2"/>
  <c r="AI312" i="2"/>
  <c r="AI292" i="2"/>
  <c r="AI354" i="2"/>
  <c r="AI455" i="2"/>
  <c r="AI438" i="2"/>
  <c r="AI471" i="2"/>
  <c r="AI355" i="2"/>
  <c r="AI424" i="2"/>
  <c r="AI197" i="2"/>
  <c r="AI425" i="2"/>
  <c r="AI136" i="2"/>
  <c r="AI128" i="2"/>
  <c r="AI201" i="2"/>
  <c r="AI147" i="2"/>
  <c r="AI96" i="2"/>
  <c r="AI62" i="2"/>
  <c r="AI202" i="2"/>
  <c r="AI49" i="2"/>
  <c r="AI15" i="2"/>
  <c r="AI16" i="2"/>
  <c r="AI183" i="2"/>
  <c r="AI213" i="2"/>
  <c r="AI160" i="2"/>
  <c r="AI434" i="2"/>
  <c r="AI398" i="2"/>
  <c r="AI494" i="2"/>
  <c r="AI386" i="2"/>
  <c r="AI63" i="2"/>
  <c r="AI305" i="2"/>
  <c r="AI499" i="2"/>
  <c r="AI97" i="2"/>
  <c r="AI148" i="2"/>
  <c r="AI55" i="2"/>
  <c r="AI42" i="2"/>
  <c r="AI85" i="2"/>
  <c r="AI302" i="2"/>
  <c r="AI371" i="2"/>
  <c r="AI313" i="2"/>
  <c r="AI356" i="2"/>
  <c r="AI56" i="2"/>
  <c r="AI426" i="2"/>
  <c r="AI193" i="2"/>
  <c r="AI157" i="2"/>
  <c r="AI404" i="2"/>
  <c r="AI234" i="2"/>
  <c r="AI240" i="2"/>
  <c r="AI175" i="2"/>
  <c r="AI328" i="2"/>
  <c r="AI214" i="2"/>
  <c r="AI200" i="2"/>
  <c r="AI495" i="2"/>
  <c r="AI172" i="2"/>
  <c r="AI342" i="2"/>
  <c r="AI86" i="2"/>
  <c r="AI252" i="2"/>
  <c r="AI346" i="2"/>
  <c r="AI68" i="2"/>
  <c r="AI314" i="2"/>
  <c r="AI419" i="2"/>
  <c r="AI374" i="2"/>
  <c r="AI282" i="2"/>
  <c r="AI141" i="2"/>
  <c r="AI115" i="2"/>
  <c r="AI265" i="2"/>
  <c r="AI284" i="2"/>
  <c r="AI347" i="2"/>
  <c r="AI293" i="2"/>
  <c r="AI458" i="2"/>
  <c r="AI315" i="2"/>
  <c r="AI447" i="2"/>
  <c r="AI194" i="2"/>
  <c r="AI73" i="2"/>
  <c r="AI64" i="2"/>
  <c r="AI258" i="2"/>
  <c r="AI479" i="2"/>
  <c r="AI276" i="2"/>
  <c r="AI74" i="2"/>
  <c r="AI43" i="2"/>
  <c r="AI91" i="2"/>
  <c r="AI299" i="2"/>
  <c r="AI57" i="2"/>
  <c r="AI285" i="2"/>
  <c r="AI357" i="2"/>
  <c r="AI177" i="2"/>
  <c r="AI121" i="2"/>
  <c r="AI103" i="2"/>
  <c r="AI277" i="2"/>
  <c r="AI104" i="2"/>
  <c r="AI387" i="2"/>
  <c r="AI449" i="2"/>
  <c r="AI500" i="2"/>
  <c r="AI278" i="2"/>
  <c r="AI480" i="2"/>
  <c r="AI198" i="2"/>
  <c r="AI58" i="2"/>
  <c r="AI226" i="2"/>
  <c r="AI294" i="2"/>
  <c r="AI481" i="2"/>
  <c r="AI215" i="2"/>
  <c r="AI379" i="2"/>
  <c r="AI235" i="2"/>
  <c r="AI75" i="2"/>
  <c r="AI316" i="2"/>
  <c r="AI158" i="2"/>
  <c r="AI122" i="2"/>
  <c r="AI203" i="2"/>
  <c r="AI464" i="2"/>
  <c r="AI216" i="2"/>
  <c r="AI87" i="2"/>
  <c r="AI259" i="2"/>
  <c r="AI149" i="2"/>
  <c r="AI279" i="2"/>
  <c r="AI306" i="2"/>
  <c r="AI320" i="2"/>
  <c r="AI78" i="2"/>
  <c r="AI241" i="2"/>
  <c r="AI459" i="2"/>
  <c r="AI439" i="2"/>
  <c r="AI109" i="2"/>
  <c r="AI188" i="2"/>
  <c r="AI394" i="2"/>
  <c r="AI367" i="2"/>
  <c r="AI92" i="2"/>
  <c r="AI159" i="2"/>
  <c r="AI333" i="2"/>
  <c r="AI27" i="2"/>
  <c r="AI248" i="2"/>
  <c r="AI98" i="2"/>
  <c r="AI221" i="2"/>
  <c r="AI427" i="2"/>
  <c r="AI440" i="2"/>
  <c r="AI101" i="2"/>
  <c r="AI405" i="2"/>
  <c r="AI321" i="2"/>
  <c r="AI450" i="2"/>
  <c r="AI204" i="2"/>
  <c r="AI166" i="2"/>
  <c r="AI253" i="2"/>
  <c r="AI161" i="2"/>
  <c r="AI260" i="2"/>
  <c r="AI174" i="2"/>
  <c r="AI17" i="2"/>
  <c r="AI501" i="2"/>
  <c r="AI217" i="2"/>
  <c r="AI388" i="2"/>
  <c r="AI28" i="2"/>
  <c r="AI167" i="2"/>
  <c r="AI389" i="2"/>
  <c r="AI435" i="2"/>
  <c r="AI137" i="2"/>
  <c r="AI242" i="2"/>
  <c r="AI222" i="2"/>
  <c r="AI243" i="2"/>
  <c r="AI280" i="2"/>
  <c r="AI29" i="2"/>
  <c r="AI395" i="2"/>
  <c r="AI218" i="2"/>
  <c r="AI390" i="2"/>
  <c r="AI411" i="2"/>
  <c r="AI79" i="2"/>
  <c r="AI187" i="2"/>
  <c r="AI348" i="2"/>
  <c r="AI102" i="2"/>
  <c r="AI244" i="2"/>
  <c r="AI393" i="2"/>
  <c r="AI131" i="2"/>
  <c r="AI472" i="2"/>
  <c r="AI249" i="2"/>
  <c r="AI266" i="2"/>
  <c r="AI399" i="2"/>
  <c r="AI420" i="2"/>
  <c r="AI267" i="2"/>
  <c r="AI99" i="2"/>
  <c r="AI261" i="2"/>
  <c r="AI359" i="2"/>
  <c r="AI110" i="2"/>
  <c r="AI69" i="2"/>
  <c r="AI358" i="2"/>
  <c r="AI274" i="2"/>
  <c r="AI334" i="2"/>
  <c r="AI254" i="2"/>
  <c r="AI65" i="2"/>
  <c r="AI18" i="2"/>
  <c r="AI335" i="2"/>
  <c r="AI431" i="2"/>
  <c r="AI205" i="2"/>
  <c r="AI288" i="2"/>
  <c r="AI489" i="2"/>
  <c r="AI482" i="2"/>
  <c r="AI297" i="2"/>
  <c r="AI372" i="2"/>
  <c r="AI396" i="2"/>
  <c r="AI142" i="2"/>
  <c r="AI151" i="2"/>
  <c r="AI368" i="2"/>
  <c r="AI37" i="2"/>
  <c r="AI380" i="2"/>
  <c r="AI473" i="2"/>
  <c r="AI496" i="2"/>
  <c r="AI474" i="2"/>
  <c r="AI19" i="2"/>
  <c r="AI30" i="2"/>
  <c r="AI369" i="2"/>
  <c r="AI375" i="2"/>
  <c r="AI432" i="2"/>
  <c r="AI88" i="2"/>
  <c r="AI100" i="2"/>
  <c r="AI268" i="2"/>
  <c r="AI105" i="2"/>
  <c r="AI475" i="2"/>
  <c r="AI143" i="2"/>
  <c r="AI412" i="2"/>
  <c r="AI38" i="2"/>
  <c r="AI112" i="2"/>
  <c r="AI83" i="2"/>
  <c r="AZ21" i="2"/>
  <c r="AZ17" i="2"/>
  <c r="BF2" i="2" a="1"/>
  <c r="BF2" i="2" s="1"/>
  <c r="AD347" i="2"/>
  <c r="AD452" i="2"/>
  <c r="AD301" i="2"/>
  <c r="AD58" i="2"/>
  <c r="AD110" i="2"/>
  <c r="AD342" i="2"/>
  <c r="AD245" i="2"/>
  <c r="AD24" i="2"/>
  <c r="AD435" i="2"/>
  <c r="AD204" i="2"/>
  <c r="AD344" i="2"/>
  <c r="AD454" i="2"/>
  <c r="AD23" i="2"/>
  <c r="AD234" i="2"/>
  <c r="AD441" i="2"/>
  <c r="AD153" i="2"/>
  <c r="AD468" i="2"/>
  <c r="AD197" i="2"/>
  <c r="AD20" i="2"/>
  <c r="AD134" i="2"/>
  <c r="AD226" i="2"/>
  <c r="AD266" i="2"/>
  <c r="AD317" i="2"/>
  <c r="AD432" i="2"/>
  <c r="AD399" i="2"/>
  <c r="AD493" i="2"/>
  <c r="AD359" i="2"/>
  <c r="AD33" i="2"/>
  <c r="AD196" i="2"/>
  <c r="AD456" i="2"/>
  <c r="AD50" i="2"/>
  <c r="AD113" i="2"/>
  <c r="AD437" i="2"/>
  <c r="AD417" i="2"/>
  <c r="AD15" i="2"/>
  <c r="AD453" i="2"/>
  <c r="AD93" i="2"/>
  <c r="AD85" i="2"/>
  <c r="AD277" i="2"/>
  <c r="AD220" i="2"/>
  <c r="AD371" i="2"/>
  <c r="AD30" i="2"/>
  <c r="AD329" i="2"/>
  <c r="AD335" i="2"/>
  <c r="AD91" i="2"/>
  <c r="AD323" i="2"/>
  <c r="AD183" i="2"/>
  <c r="AD252" i="2"/>
  <c r="AD278" i="2"/>
  <c r="AD498" i="2"/>
  <c r="AD76" i="2"/>
  <c r="AD129" i="2"/>
  <c r="AD32" i="2"/>
  <c r="AD29" i="2"/>
  <c r="AD135" i="2"/>
  <c r="AD394" i="2"/>
  <c r="AD280" i="2"/>
  <c r="AD37" i="2"/>
  <c r="AD304" i="2"/>
  <c r="AD77" i="2"/>
  <c r="AD313" i="2"/>
  <c r="AD141" i="2"/>
  <c r="AD302" i="2"/>
  <c r="AD478" i="2"/>
  <c r="AD99" i="2"/>
  <c r="AD207" i="2"/>
  <c r="AD18" i="2"/>
  <c r="AD257" i="2"/>
  <c r="AD212" i="2"/>
  <c r="AD418" i="2"/>
  <c r="AD397" i="2"/>
  <c r="AD215" i="2"/>
  <c r="AD341" i="2"/>
  <c r="AD489" i="2"/>
  <c r="AD296" i="2"/>
  <c r="AD185" i="2"/>
  <c r="AD122" i="2"/>
  <c r="AD481" i="2"/>
  <c r="AD372" i="2"/>
  <c r="AD499" i="2"/>
  <c r="AD184" i="2"/>
  <c r="AD448" i="2"/>
  <c r="AD165" i="2"/>
  <c r="AD337" i="2"/>
  <c r="AD309" i="2"/>
  <c r="AD213" i="2"/>
  <c r="AD251" i="2"/>
  <c r="AD232" i="2"/>
  <c r="AD276" i="2"/>
  <c r="AD7" i="2"/>
  <c r="AD495" i="2"/>
  <c r="AD486" i="2"/>
  <c r="AD219" i="2"/>
  <c r="AD262" i="2"/>
  <c r="AD45" i="2"/>
  <c r="AD67" i="2"/>
  <c r="AD169" i="2"/>
  <c r="AD94" i="2"/>
  <c r="AD291" i="2"/>
  <c r="AD181" i="2"/>
  <c r="AD191" i="2"/>
  <c r="AD247" i="2"/>
  <c r="AD221" i="2"/>
  <c r="AD198" i="2"/>
  <c r="AD111" i="2"/>
  <c r="AD421" i="2"/>
  <c r="AD107" i="2"/>
  <c r="AD224" i="2"/>
  <c r="AD425" i="2"/>
  <c r="AD46" i="2"/>
  <c r="AD155" i="2"/>
  <c r="AD349" i="2"/>
  <c r="AD202" i="2"/>
  <c r="AD373" i="2"/>
  <c r="AD414" i="2"/>
  <c r="AD500" i="2"/>
  <c r="AD189" i="2"/>
  <c r="AD438" i="2"/>
  <c r="AD228" i="2"/>
  <c r="AD256" i="2"/>
  <c r="AD87" i="2"/>
  <c r="AD218" i="2"/>
  <c r="AD64" i="2"/>
  <c r="AD338" i="2"/>
  <c r="AD259" i="2"/>
  <c r="AD283" i="2"/>
  <c r="AD229" i="2"/>
  <c r="AD201" i="2"/>
  <c r="AD326" i="2"/>
  <c r="AD231" i="2"/>
  <c r="AD79" i="2"/>
  <c r="AD128" i="2"/>
  <c r="AD124" i="2"/>
  <c r="AD200" i="2"/>
  <c r="AD494" i="2"/>
  <c r="AD42" i="2"/>
  <c r="AD436" i="2"/>
  <c r="AD112" i="2"/>
  <c r="AD56" i="2"/>
  <c r="AD484" i="2"/>
  <c r="AD474" i="2"/>
  <c r="AD55" i="2"/>
  <c r="AD63" i="2"/>
  <c r="AD369" i="2"/>
  <c r="AD501" i="2"/>
  <c r="AD8" i="2"/>
  <c r="AD396" i="2"/>
  <c r="AD199" i="2"/>
  <c r="AD491" i="2"/>
  <c r="AD477" i="2"/>
  <c r="AD409" i="2"/>
  <c r="AD364" i="2"/>
  <c r="AD473" i="2"/>
  <c r="AD173" i="2"/>
  <c r="AD303" i="2"/>
  <c r="AD404" i="2"/>
  <c r="AD106" i="2"/>
  <c r="AD290" i="2"/>
  <c r="AD235" i="2"/>
  <c r="AD294" i="2"/>
  <c r="AD265" i="2"/>
  <c r="AD352" i="2"/>
  <c r="AD139" i="2"/>
  <c r="AD238" i="2"/>
  <c r="AD34" i="2"/>
  <c r="AD123" i="2"/>
  <c r="AD170" i="2"/>
  <c r="AD339" i="2"/>
  <c r="AD250" i="2"/>
  <c r="AD158" i="2"/>
  <c r="AD374" i="2"/>
  <c r="AD320" i="2"/>
  <c r="AD19" i="2"/>
  <c r="AD92" i="2"/>
  <c r="AD237" i="2"/>
  <c r="AD307" i="2"/>
  <c r="AD98" i="2"/>
  <c r="AD175" i="2"/>
  <c r="AD403" i="2"/>
  <c r="AD442" i="2"/>
  <c r="AD246" i="2"/>
  <c r="AD166" i="2"/>
  <c r="AD463" i="2"/>
  <c r="AD104" i="2"/>
  <c r="AD476" i="2"/>
  <c r="AD118" i="2"/>
  <c r="AD375" i="2"/>
  <c r="AD177" i="2"/>
  <c r="AD411" i="2"/>
  <c r="AD240" i="2"/>
  <c r="AD466" i="2"/>
  <c r="AD462" i="2"/>
  <c r="AD68" i="2"/>
  <c r="AD327" i="2"/>
  <c r="AD406" i="2"/>
  <c r="AD151" i="2"/>
  <c r="AD465" i="2"/>
  <c r="AD310" i="2"/>
  <c r="AD223" i="2"/>
  <c r="AD358" i="2"/>
  <c r="AD395" i="2"/>
  <c r="AD5" i="2"/>
  <c r="AD440" i="2"/>
  <c r="AD311" i="2"/>
  <c r="AD2" i="2"/>
  <c r="AD72" i="2"/>
  <c r="AD471" i="2"/>
  <c r="AD255" i="2"/>
  <c r="AD449" i="2"/>
  <c r="AD209" i="2"/>
  <c r="AD286" i="2"/>
  <c r="AD387" i="2"/>
  <c r="AD216" i="2"/>
  <c r="AD407" i="2"/>
  <c r="AD48" i="2"/>
  <c r="AD379" i="2"/>
  <c r="AD192" i="2"/>
  <c r="AD108" i="2"/>
  <c r="AD105" i="2"/>
  <c r="AD254" i="2"/>
  <c r="AD429" i="2"/>
  <c r="AD57" i="2"/>
  <c r="AD260" i="2"/>
  <c r="AD230" i="2"/>
  <c r="AD391" i="2"/>
  <c r="AD61" i="2"/>
  <c r="AD268" i="2"/>
  <c r="AD485" i="2"/>
  <c r="AD186" i="2"/>
  <c r="AD236" i="2"/>
  <c r="AD330" i="2"/>
  <c r="AD360" i="2"/>
  <c r="AD445" i="2"/>
  <c r="AD275" i="2"/>
  <c r="AD431" i="2"/>
  <c r="AD492" i="2"/>
  <c r="AD305" i="2"/>
  <c r="AD368" i="2"/>
  <c r="AD348" i="2"/>
  <c r="AD78" i="2"/>
  <c r="AD41" i="2"/>
  <c r="AD4" i="2"/>
  <c r="AD95" i="2"/>
  <c r="AD38" i="2"/>
  <c r="AD49" i="2"/>
  <c r="AD154" i="2"/>
  <c r="AD393" i="2"/>
  <c r="AD464" i="2"/>
  <c r="AD69" i="2"/>
  <c r="AD331" i="2"/>
  <c r="AD82" i="2"/>
  <c r="AD381" i="2"/>
  <c r="AD249" i="2"/>
  <c r="AD334" i="2"/>
  <c r="AD59" i="2"/>
  <c r="AD62" i="2"/>
  <c r="AD13" i="2"/>
  <c r="AD14" i="2"/>
  <c r="AD133" i="2"/>
  <c r="AD354" i="2"/>
  <c r="AD222" i="2"/>
  <c r="AD355" i="2"/>
  <c r="AD217" i="2"/>
  <c r="AD269" i="2"/>
  <c r="AD88" i="2"/>
  <c r="AD390" i="2"/>
  <c r="AD292" i="2"/>
  <c r="AD483" i="2"/>
  <c r="AD109" i="2"/>
  <c r="AD53" i="2"/>
  <c r="AD150" i="2"/>
  <c r="AD28" i="2"/>
  <c r="AD163" i="2"/>
  <c r="AD295" i="2"/>
  <c r="AD147" i="2"/>
  <c r="AD446" i="2"/>
  <c r="AD54" i="2"/>
  <c r="AD206" i="2"/>
  <c r="AD289" i="2"/>
  <c r="AD490" i="2"/>
  <c r="AD324" i="2"/>
  <c r="AD413" i="2"/>
  <c r="AD318" i="2"/>
  <c r="AD26" i="2"/>
  <c r="AD284" i="2"/>
  <c r="AD297" i="2"/>
  <c r="AD430" i="2"/>
  <c r="AD361" i="2"/>
  <c r="AD126" i="2"/>
  <c r="AD148" i="2"/>
  <c r="AD152" i="2"/>
  <c r="AD71" i="2"/>
  <c r="AD172" i="2"/>
  <c r="AD488" i="2"/>
  <c r="AD119" i="2"/>
  <c r="AD66" i="2"/>
  <c r="AD461" i="2"/>
  <c r="AD308" i="2"/>
  <c r="AD325" i="2"/>
  <c r="AD428" i="2"/>
  <c r="AD376" i="2"/>
  <c r="AD210" i="2"/>
  <c r="AD424" i="2"/>
  <c r="AD86" i="2"/>
  <c r="AD405" i="2"/>
  <c r="AD300" i="2"/>
  <c r="AD264" i="2"/>
  <c r="AD460" i="2"/>
  <c r="AD480" i="2"/>
  <c r="AD306" i="2"/>
  <c r="AD36" i="2"/>
  <c r="AD377" i="2"/>
  <c r="AD60" i="2"/>
  <c r="AD472" i="2"/>
  <c r="AD271" i="2"/>
  <c r="AD241" i="2"/>
  <c r="AD363" i="2"/>
  <c r="AD167" i="2"/>
  <c r="AD312" i="2"/>
  <c r="AD273" i="2"/>
  <c r="AD205" i="2"/>
  <c r="AD74" i="2"/>
  <c r="AD130" i="2"/>
  <c r="AD332" i="2"/>
  <c r="AD346" i="2"/>
  <c r="AD159" i="2"/>
  <c r="AD180" i="2"/>
  <c r="AD11" i="2"/>
  <c r="AD125" i="2"/>
  <c r="AD384" i="2"/>
  <c r="AD419" i="2"/>
  <c r="AD423" i="2"/>
  <c r="AD412" i="2"/>
  <c r="AD16" i="2"/>
  <c r="AD10" i="2"/>
  <c r="AD420" i="2"/>
  <c r="AD378" i="2"/>
  <c r="AD370" i="2"/>
  <c r="AD475" i="2"/>
  <c r="AD120" i="2"/>
  <c r="AD100" i="2"/>
  <c r="AD114" i="2"/>
  <c r="AD433" i="2"/>
  <c r="AD496" i="2"/>
  <c r="AD316" i="2"/>
  <c r="AD43" i="2"/>
  <c r="AD190" i="2"/>
  <c r="AD402" i="2"/>
  <c r="AD102" i="2"/>
  <c r="AD459" i="2"/>
  <c r="AD470" i="2"/>
  <c r="AD25" i="2"/>
  <c r="AD401" i="2"/>
  <c r="AD439" i="2"/>
  <c r="AD389" i="2"/>
  <c r="AD142" i="2"/>
  <c r="AD195" i="2"/>
  <c r="AD336" i="2"/>
  <c r="AD458" i="2"/>
  <c r="AD168" i="2"/>
  <c r="AD380" i="2"/>
  <c r="AD9" i="2"/>
  <c r="AD143" i="2"/>
  <c r="AD253" i="2"/>
  <c r="AD65" i="2"/>
  <c r="AD279" i="2"/>
  <c r="AD455" i="2"/>
  <c r="AD261" i="2"/>
  <c r="AD35" i="2"/>
  <c r="AD31" i="2"/>
  <c r="AD131" i="2"/>
  <c r="AD328" i="2"/>
  <c r="AD81" i="2"/>
  <c r="AD357" i="2"/>
  <c r="AD101" i="2"/>
  <c r="AD345" i="2"/>
  <c r="AD272" i="2"/>
  <c r="AD80" i="2"/>
  <c r="AD138" i="2"/>
  <c r="AD469" i="2"/>
  <c r="AD353" i="2"/>
  <c r="AD116" i="2"/>
  <c r="AD178" i="2"/>
  <c r="AD287" i="2"/>
  <c r="AD351" i="2"/>
  <c r="AD211" i="2"/>
  <c r="AD121" i="2"/>
  <c r="AD3" i="2"/>
  <c r="AD383" i="2"/>
  <c r="AD27" i="2"/>
  <c r="AD160" i="2"/>
  <c r="AD17" i="2"/>
  <c r="AD350" i="2"/>
  <c r="AD258" i="2"/>
  <c r="AD179" i="2"/>
  <c r="AD398" i="2"/>
  <c r="AD242" i="2"/>
  <c r="AD479" i="2"/>
  <c r="AD239" i="2"/>
  <c r="AD487" i="2"/>
  <c r="AD164" i="2"/>
  <c r="AD144" i="2"/>
  <c r="AD298" i="2"/>
  <c r="AD137" i="2"/>
  <c r="AD40" i="2"/>
  <c r="AD447" i="2"/>
  <c r="AD171" i="2"/>
  <c r="AD443" i="2"/>
  <c r="AD44" i="2"/>
  <c r="AD194" i="2"/>
  <c r="AD84" i="2"/>
  <c r="AD182" i="2"/>
  <c r="AD225" i="2"/>
  <c r="AD132" i="2"/>
  <c r="AD103" i="2"/>
  <c r="AD203" i="2"/>
  <c r="AD385" i="2"/>
  <c r="AD47" i="2"/>
  <c r="AD83" i="2"/>
  <c r="AD321" i="2"/>
  <c r="AD319" i="2"/>
  <c r="AD386" i="2"/>
  <c r="AD174" i="2"/>
  <c r="AD270" i="2"/>
  <c r="AD392" i="2"/>
  <c r="AD117" i="2"/>
  <c r="AD422" i="2"/>
  <c r="AD214" i="2"/>
  <c r="AD497" i="2"/>
  <c r="AD274" i="2"/>
  <c r="AD444" i="2"/>
  <c r="AD366" i="2"/>
  <c r="AD410" i="2"/>
  <c r="AD75" i="2"/>
  <c r="AD21" i="2"/>
  <c r="AD208" i="2"/>
  <c r="AD365" i="2"/>
  <c r="AD299" i="2"/>
  <c r="AD293" i="2"/>
  <c r="AD39" i="2"/>
  <c r="AD367" i="2"/>
  <c r="AD161" i="2"/>
  <c r="AD451" i="2"/>
  <c r="AD415" i="2"/>
  <c r="AD6" i="2"/>
  <c r="AD314" i="2"/>
  <c r="AD281" i="2"/>
  <c r="AD434" i="2"/>
  <c r="AD282" i="2"/>
  <c r="AD156" i="2"/>
  <c r="AD400" i="2"/>
  <c r="AD426" i="2"/>
  <c r="AD96" i="2"/>
  <c r="AD188" i="2"/>
  <c r="AD248" i="2"/>
  <c r="AD115" i="2"/>
  <c r="AD140" i="2"/>
  <c r="AD157" i="2"/>
  <c r="AD343" i="2"/>
  <c r="AD416" i="2"/>
  <c r="AD467" i="2"/>
  <c r="AD285" i="2"/>
  <c r="AD145" i="2"/>
  <c r="AD362" i="2"/>
  <c r="AD340" i="2"/>
  <c r="AD187" i="2"/>
  <c r="AD267" i="2"/>
  <c r="AD388" i="2"/>
  <c r="AD288" i="2"/>
  <c r="AD73" i="2"/>
  <c r="AD356" i="2"/>
  <c r="AD70" i="2"/>
  <c r="AD233" i="2"/>
  <c r="AD89" i="2"/>
  <c r="AD149" i="2"/>
  <c r="AD97" i="2"/>
  <c r="AD146" i="2"/>
  <c r="AD333" i="2"/>
  <c r="AD315" i="2"/>
  <c r="AD176" i="2"/>
  <c r="AD90" i="2"/>
  <c r="AD162" i="2"/>
  <c r="AD127" i="2"/>
  <c r="AD408" i="2"/>
  <c r="AD263" i="2"/>
  <c r="AD136" i="2"/>
  <c r="AD12" i="2"/>
  <c r="AD482" i="2"/>
  <c r="AD450" i="2"/>
  <c r="AD427" i="2"/>
  <c r="AD457" i="2"/>
  <c r="AD322" i="2"/>
  <c r="AD51" i="2"/>
  <c r="AD193" i="2"/>
  <c r="AD52" i="2"/>
  <c r="AD382" i="2"/>
  <c r="AD244" i="2"/>
  <c r="AD22" i="2"/>
  <c r="AD243" i="2"/>
  <c r="AD227" i="2"/>
  <c r="AC452" i="2"/>
  <c r="AC301" i="2"/>
  <c r="AC58" i="2"/>
  <c r="AC110" i="2"/>
  <c r="AC342" i="2"/>
  <c r="AC245" i="2"/>
  <c r="AC24" i="2"/>
  <c r="AC435" i="2"/>
  <c r="AC204" i="2"/>
  <c r="AC344" i="2"/>
  <c r="AC454" i="2"/>
  <c r="AC23" i="2"/>
  <c r="AC234" i="2"/>
  <c r="AC441" i="2"/>
  <c r="AC153" i="2"/>
  <c r="AC468" i="2"/>
  <c r="AC197" i="2"/>
  <c r="AC20" i="2"/>
  <c r="AC134" i="2"/>
  <c r="AC226" i="2"/>
  <c r="AC266" i="2"/>
  <c r="AC317" i="2"/>
  <c r="AC432" i="2"/>
  <c r="AC399" i="2"/>
  <c r="AC493" i="2"/>
  <c r="AC359" i="2"/>
  <c r="AC33" i="2"/>
  <c r="AC196" i="2"/>
  <c r="AC456" i="2"/>
  <c r="AC50" i="2"/>
  <c r="AC113" i="2"/>
  <c r="AC437" i="2"/>
  <c r="AC417" i="2"/>
  <c r="AC15" i="2"/>
  <c r="AC453" i="2"/>
  <c r="AC93" i="2"/>
  <c r="AC85" i="2"/>
  <c r="AC277" i="2"/>
  <c r="AC220" i="2"/>
  <c r="AC371" i="2"/>
  <c r="AC30" i="2"/>
  <c r="AC329" i="2"/>
  <c r="AC335" i="2"/>
  <c r="AC91" i="2"/>
  <c r="AC323" i="2"/>
  <c r="AC183" i="2"/>
  <c r="AC252" i="2"/>
  <c r="AC278" i="2"/>
  <c r="AC498" i="2"/>
  <c r="AC76" i="2"/>
  <c r="AC129" i="2"/>
  <c r="AC32" i="2"/>
  <c r="AC29" i="2"/>
  <c r="AC135" i="2"/>
  <c r="AC394" i="2"/>
  <c r="AC280" i="2"/>
  <c r="AC37" i="2"/>
  <c r="AC304" i="2"/>
  <c r="AC77" i="2"/>
  <c r="AC313" i="2"/>
  <c r="AC141" i="2"/>
  <c r="AC302" i="2"/>
  <c r="AC478" i="2"/>
  <c r="AC99" i="2"/>
  <c r="AC207" i="2"/>
  <c r="AC18" i="2"/>
  <c r="AC257" i="2"/>
  <c r="AC212" i="2"/>
  <c r="AC418" i="2"/>
  <c r="AC397" i="2"/>
  <c r="AC215" i="2"/>
  <c r="AC341" i="2"/>
  <c r="AC489" i="2"/>
  <c r="AC296" i="2"/>
  <c r="AC185" i="2"/>
  <c r="AC122" i="2"/>
  <c r="AC481" i="2"/>
  <c r="AC372" i="2"/>
  <c r="AC499" i="2"/>
  <c r="AC184" i="2"/>
  <c r="AC448" i="2"/>
  <c r="AC165" i="2"/>
  <c r="AC337" i="2"/>
  <c r="AC309" i="2"/>
  <c r="AC213" i="2"/>
  <c r="AC251" i="2"/>
  <c r="AC232" i="2"/>
  <c r="AC276" i="2"/>
  <c r="AC7" i="2"/>
  <c r="AC495" i="2"/>
  <c r="AC486" i="2"/>
  <c r="AC219" i="2"/>
  <c r="AC262" i="2"/>
  <c r="AC45" i="2"/>
  <c r="AC67" i="2"/>
  <c r="AC169" i="2"/>
  <c r="AC94" i="2"/>
  <c r="AC291" i="2"/>
  <c r="AC181" i="2"/>
  <c r="AC191" i="2"/>
  <c r="AC247" i="2"/>
  <c r="AC221" i="2"/>
  <c r="AC198" i="2"/>
  <c r="AC111" i="2"/>
  <c r="AC421" i="2"/>
  <c r="AC107" i="2"/>
  <c r="AC224" i="2"/>
  <c r="AC425" i="2"/>
  <c r="AC46" i="2"/>
  <c r="AC155" i="2"/>
  <c r="AC349" i="2"/>
  <c r="AC202" i="2"/>
  <c r="AC373" i="2"/>
  <c r="AC414" i="2"/>
  <c r="AC500" i="2"/>
  <c r="AC189" i="2"/>
  <c r="AC438" i="2"/>
  <c r="AC228" i="2"/>
  <c r="AC256" i="2"/>
  <c r="AC87" i="2"/>
  <c r="AC218" i="2"/>
  <c r="AC64" i="2"/>
  <c r="AC338" i="2"/>
  <c r="AC259" i="2"/>
  <c r="AC283" i="2"/>
  <c r="AC229" i="2"/>
  <c r="AC201" i="2"/>
  <c r="AC326" i="2"/>
  <c r="AC231" i="2"/>
  <c r="AC79" i="2"/>
  <c r="AC128" i="2"/>
  <c r="AC124" i="2"/>
  <c r="AC200" i="2"/>
  <c r="AC494" i="2"/>
  <c r="AC42" i="2"/>
  <c r="AC436" i="2"/>
  <c r="AC112" i="2"/>
  <c r="AC56" i="2"/>
  <c r="AC484" i="2"/>
  <c r="AC474" i="2"/>
  <c r="AC55" i="2"/>
  <c r="AC63" i="2"/>
  <c r="AC369" i="2"/>
  <c r="AC501" i="2"/>
  <c r="AC8" i="2"/>
  <c r="AC396" i="2"/>
  <c r="AC199" i="2"/>
  <c r="AC491" i="2"/>
  <c r="AC477" i="2"/>
  <c r="AC409" i="2"/>
  <c r="AC364" i="2"/>
  <c r="AC473" i="2"/>
  <c r="AC173" i="2"/>
  <c r="AC303" i="2"/>
  <c r="AC404" i="2"/>
  <c r="AC106" i="2"/>
  <c r="AC290" i="2"/>
  <c r="AC235" i="2"/>
  <c r="AC294" i="2"/>
  <c r="AC265" i="2"/>
  <c r="AC352" i="2"/>
  <c r="AC139" i="2"/>
  <c r="AC238" i="2"/>
  <c r="AC34" i="2"/>
  <c r="AC123" i="2"/>
  <c r="AC170" i="2"/>
  <c r="AC339" i="2"/>
  <c r="AC250" i="2"/>
  <c r="AC158" i="2"/>
  <c r="AC374" i="2"/>
  <c r="AC320" i="2"/>
  <c r="AC19" i="2"/>
  <c r="AC92" i="2"/>
  <c r="AC237" i="2"/>
  <c r="AC307" i="2"/>
  <c r="AC98" i="2"/>
  <c r="AC175" i="2"/>
  <c r="AC403" i="2"/>
  <c r="AC442" i="2"/>
  <c r="AC246" i="2"/>
  <c r="AC166" i="2"/>
  <c r="AC463" i="2"/>
  <c r="AC104" i="2"/>
  <c r="AC476" i="2"/>
  <c r="AC118" i="2"/>
  <c r="AC375" i="2"/>
  <c r="AC177" i="2"/>
  <c r="AC411" i="2"/>
  <c r="AC240" i="2"/>
  <c r="AC466" i="2"/>
  <c r="AC462" i="2"/>
  <c r="AC68" i="2"/>
  <c r="AC327" i="2"/>
  <c r="AC406" i="2"/>
  <c r="AC151" i="2"/>
  <c r="AC465" i="2"/>
  <c r="AC310" i="2"/>
  <c r="AC223" i="2"/>
  <c r="AC358" i="2"/>
  <c r="AC395" i="2"/>
  <c r="AC5" i="2"/>
  <c r="AC440" i="2"/>
  <c r="AC311" i="2"/>
  <c r="AC2" i="2"/>
  <c r="AC72" i="2"/>
  <c r="AC471" i="2"/>
  <c r="AC255" i="2"/>
  <c r="AC449" i="2"/>
  <c r="AC209" i="2"/>
  <c r="AC286" i="2"/>
  <c r="AC387" i="2"/>
  <c r="AC216" i="2"/>
  <c r="AC407" i="2"/>
  <c r="AC48" i="2"/>
  <c r="AC379" i="2"/>
  <c r="AC192" i="2"/>
  <c r="AC108" i="2"/>
  <c r="AC105" i="2"/>
  <c r="AC254" i="2"/>
  <c r="AC429" i="2"/>
  <c r="AC57" i="2"/>
  <c r="AC260" i="2"/>
  <c r="AC230" i="2"/>
  <c r="AC391" i="2"/>
  <c r="AC61" i="2"/>
  <c r="AC268" i="2"/>
  <c r="AC485" i="2"/>
  <c r="AC186" i="2"/>
  <c r="AC236" i="2"/>
  <c r="AC330" i="2"/>
  <c r="AC360" i="2"/>
  <c r="AC445" i="2"/>
  <c r="AC275" i="2"/>
  <c r="AC431" i="2"/>
  <c r="AC492" i="2"/>
  <c r="AC305" i="2"/>
  <c r="AC368" i="2"/>
  <c r="AC348" i="2"/>
  <c r="AC78" i="2"/>
  <c r="AC41" i="2"/>
  <c r="AC4" i="2"/>
  <c r="AC95" i="2"/>
  <c r="AC38" i="2"/>
  <c r="AC49" i="2"/>
  <c r="AC154" i="2"/>
  <c r="AC393" i="2"/>
  <c r="AC464" i="2"/>
  <c r="AC69" i="2"/>
  <c r="AC331" i="2"/>
  <c r="AC82" i="2"/>
  <c r="AC381" i="2"/>
  <c r="AC249" i="2"/>
  <c r="AC334" i="2"/>
  <c r="AC59" i="2"/>
  <c r="AC62" i="2"/>
  <c r="AC13" i="2"/>
  <c r="AC14" i="2"/>
  <c r="AC133" i="2"/>
  <c r="AC354" i="2"/>
  <c r="AC222" i="2"/>
  <c r="AC355" i="2"/>
  <c r="AC217" i="2"/>
  <c r="AC269" i="2"/>
  <c r="AC88" i="2"/>
  <c r="AC390" i="2"/>
  <c r="AC292" i="2"/>
  <c r="AC483" i="2"/>
  <c r="AC109" i="2"/>
  <c r="AC53" i="2"/>
  <c r="AC150" i="2"/>
  <c r="AC28" i="2"/>
  <c r="AC163" i="2"/>
  <c r="AC295" i="2"/>
  <c r="AC147" i="2"/>
  <c r="AC446" i="2"/>
  <c r="AC54" i="2"/>
  <c r="AC206" i="2"/>
  <c r="AC289" i="2"/>
  <c r="AC490" i="2"/>
  <c r="AC324" i="2"/>
  <c r="AC413" i="2"/>
  <c r="AC318" i="2"/>
  <c r="AC26" i="2"/>
  <c r="AC284" i="2"/>
  <c r="AC297" i="2"/>
  <c r="AC430" i="2"/>
  <c r="AC361" i="2"/>
  <c r="AC126" i="2"/>
  <c r="AC148" i="2"/>
  <c r="AC152" i="2"/>
  <c r="AC71" i="2"/>
  <c r="AC172" i="2"/>
  <c r="AC488" i="2"/>
  <c r="AC119" i="2"/>
  <c r="AC66" i="2"/>
  <c r="AC461" i="2"/>
  <c r="AC308" i="2"/>
  <c r="AC325" i="2"/>
  <c r="AC428" i="2"/>
  <c r="AC376" i="2"/>
  <c r="AC210" i="2"/>
  <c r="AC424" i="2"/>
  <c r="AC86" i="2"/>
  <c r="AC405" i="2"/>
  <c r="AC300" i="2"/>
  <c r="AC264" i="2"/>
  <c r="AC460" i="2"/>
  <c r="AC480" i="2"/>
  <c r="AC306" i="2"/>
  <c r="AC36" i="2"/>
  <c r="AC377" i="2"/>
  <c r="AC60" i="2"/>
  <c r="AC472" i="2"/>
  <c r="AC271" i="2"/>
  <c r="AC241" i="2"/>
  <c r="AC363" i="2"/>
  <c r="AC167" i="2"/>
  <c r="AC312" i="2"/>
  <c r="AC273" i="2"/>
  <c r="AC205" i="2"/>
  <c r="AC74" i="2"/>
  <c r="AC130" i="2"/>
  <c r="AC332" i="2"/>
  <c r="AC346" i="2"/>
  <c r="AC159" i="2"/>
  <c r="AC180" i="2"/>
  <c r="AC11" i="2"/>
  <c r="AC125" i="2"/>
  <c r="AC384" i="2"/>
  <c r="AC419" i="2"/>
  <c r="AC423" i="2"/>
  <c r="AC412" i="2"/>
  <c r="AC16" i="2"/>
  <c r="AC10" i="2"/>
  <c r="AC420" i="2"/>
  <c r="AC378" i="2"/>
  <c r="AC370" i="2"/>
  <c r="AC475" i="2"/>
  <c r="AC120" i="2"/>
  <c r="AC100" i="2"/>
  <c r="AC114" i="2"/>
  <c r="AC433" i="2"/>
  <c r="AC496" i="2"/>
  <c r="AC316" i="2"/>
  <c r="AC43" i="2"/>
  <c r="AC190" i="2"/>
  <c r="AC402" i="2"/>
  <c r="AC102" i="2"/>
  <c r="AC459" i="2"/>
  <c r="AC470" i="2"/>
  <c r="AC25" i="2"/>
  <c r="AC401" i="2"/>
  <c r="AC439" i="2"/>
  <c r="AC389" i="2"/>
  <c r="AC142" i="2"/>
  <c r="AC195" i="2"/>
  <c r="AC336" i="2"/>
  <c r="AC458" i="2"/>
  <c r="AC168" i="2"/>
  <c r="AC380" i="2"/>
  <c r="AC9" i="2"/>
  <c r="AC143" i="2"/>
  <c r="AC253" i="2"/>
  <c r="AC65" i="2"/>
  <c r="AC279" i="2"/>
  <c r="AC455" i="2"/>
  <c r="AC261" i="2"/>
  <c r="AC35" i="2"/>
  <c r="AC31" i="2"/>
  <c r="AC131" i="2"/>
  <c r="AC328" i="2"/>
  <c r="AC81" i="2"/>
  <c r="AC357" i="2"/>
  <c r="AC101" i="2"/>
  <c r="AC345" i="2"/>
  <c r="AC272" i="2"/>
  <c r="AC80" i="2"/>
  <c r="AC138" i="2"/>
  <c r="AC469" i="2"/>
  <c r="AC353" i="2"/>
  <c r="AC116" i="2"/>
  <c r="AC178" i="2"/>
  <c r="AC287" i="2"/>
  <c r="AC351" i="2"/>
  <c r="AC211" i="2"/>
  <c r="AC121" i="2"/>
  <c r="AC3" i="2"/>
  <c r="AC383" i="2"/>
  <c r="AC27" i="2"/>
  <c r="AC160" i="2"/>
  <c r="AC17" i="2"/>
  <c r="AC350" i="2"/>
  <c r="AC258" i="2"/>
  <c r="AC179" i="2"/>
  <c r="AC398" i="2"/>
  <c r="AC242" i="2"/>
  <c r="AC479" i="2"/>
  <c r="AC239" i="2"/>
  <c r="AC487" i="2"/>
  <c r="AC164" i="2"/>
  <c r="AC144" i="2"/>
  <c r="AC298" i="2"/>
  <c r="AC137" i="2"/>
  <c r="AC40" i="2"/>
  <c r="AC447" i="2"/>
  <c r="AC171" i="2"/>
  <c r="AC443" i="2"/>
  <c r="AC44" i="2"/>
  <c r="AC194" i="2"/>
  <c r="AC84" i="2"/>
  <c r="AC182" i="2"/>
  <c r="AC225" i="2"/>
  <c r="AC132" i="2"/>
  <c r="AC103" i="2"/>
  <c r="AC203" i="2"/>
  <c r="AC385" i="2"/>
  <c r="AC47" i="2"/>
  <c r="AC83" i="2"/>
  <c r="AC321" i="2"/>
  <c r="AC319" i="2"/>
  <c r="AC386" i="2"/>
  <c r="AC174" i="2"/>
  <c r="AC270" i="2"/>
  <c r="AC392" i="2"/>
  <c r="AC117" i="2"/>
  <c r="AC422" i="2"/>
  <c r="AC214" i="2"/>
  <c r="AC497" i="2"/>
  <c r="AC274" i="2"/>
  <c r="AC444" i="2"/>
  <c r="AC366" i="2"/>
  <c r="AC410" i="2"/>
  <c r="AC75" i="2"/>
  <c r="AC21" i="2"/>
  <c r="AC208" i="2"/>
  <c r="AC365" i="2"/>
  <c r="AC299" i="2"/>
  <c r="AC293" i="2"/>
  <c r="AC39" i="2"/>
  <c r="AC367" i="2"/>
  <c r="AC161" i="2"/>
  <c r="AC451" i="2"/>
  <c r="AC415" i="2"/>
  <c r="AC6" i="2"/>
  <c r="AC314" i="2"/>
  <c r="AC281" i="2"/>
  <c r="AC434" i="2"/>
  <c r="AC282" i="2"/>
  <c r="AC156" i="2"/>
  <c r="AC400" i="2"/>
  <c r="AC426" i="2"/>
  <c r="AC96" i="2"/>
  <c r="AC188" i="2"/>
  <c r="AC248" i="2"/>
  <c r="AC115" i="2"/>
  <c r="AC140" i="2"/>
  <c r="AC157" i="2"/>
  <c r="AC343" i="2"/>
  <c r="AC416" i="2"/>
  <c r="AC467" i="2"/>
  <c r="AC285" i="2"/>
  <c r="AC145" i="2"/>
  <c r="AC362" i="2"/>
  <c r="AC340" i="2"/>
  <c r="AC187" i="2"/>
  <c r="AC267" i="2"/>
  <c r="AC388" i="2"/>
  <c r="AC288" i="2"/>
  <c r="AC73" i="2"/>
  <c r="AC356" i="2"/>
  <c r="AC70" i="2"/>
  <c r="AC233" i="2"/>
  <c r="AC89" i="2"/>
  <c r="AC149" i="2"/>
  <c r="AC97" i="2"/>
  <c r="AC146" i="2"/>
  <c r="AC333" i="2"/>
  <c r="AC315" i="2"/>
  <c r="AC176" i="2"/>
  <c r="AC90" i="2"/>
  <c r="AC162" i="2"/>
  <c r="AC127" i="2"/>
  <c r="AC408" i="2"/>
  <c r="AC263" i="2"/>
  <c r="AC136" i="2"/>
  <c r="AC12" i="2"/>
  <c r="AC482" i="2"/>
  <c r="AC450" i="2"/>
  <c r="AC427" i="2"/>
  <c r="AC457" i="2"/>
  <c r="AC322" i="2"/>
  <c r="AC51" i="2"/>
  <c r="AC193" i="2"/>
  <c r="AC52" i="2"/>
  <c r="AC382" i="2"/>
  <c r="AC244" i="2"/>
  <c r="AC22" i="2"/>
  <c r="AC243" i="2"/>
  <c r="AC227" i="2"/>
  <c r="AC347" i="2"/>
  <c r="BH2" i="2" a="1"/>
  <c r="BH2" i="2" s="1"/>
  <c r="AZ14" i="2"/>
  <c r="BB11" i="2" a="1"/>
  <c r="BB11" i="2" s="1"/>
  <c r="BB10" i="2" a="1"/>
  <c r="BB10" i="2" s="1"/>
  <c r="BB9" i="2"/>
  <c r="BA11" i="2"/>
  <c r="BA10" i="2"/>
  <c r="BA9" i="2"/>
  <c r="AZ11" i="2"/>
  <c r="AZ10" i="2"/>
  <c r="AZ9" i="2"/>
  <c r="AO347" i="2"/>
  <c r="AO452" i="2"/>
  <c r="AO301" i="2"/>
  <c r="AO58" i="2"/>
  <c r="AO110" i="2"/>
  <c r="AO342" i="2"/>
  <c r="AO245" i="2"/>
  <c r="AO24" i="2"/>
  <c r="AO435" i="2"/>
  <c r="AO204" i="2"/>
  <c r="AO344" i="2"/>
  <c r="AO454" i="2"/>
  <c r="AO23" i="2"/>
  <c r="AO234" i="2"/>
  <c r="AO441" i="2"/>
  <c r="AO153" i="2"/>
  <c r="AO468" i="2"/>
  <c r="AO197" i="2"/>
  <c r="AO20" i="2"/>
  <c r="AO134" i="2"/>
  <c r="AO226" i="2"/>
  <c r="AO266" i="2"/>
  <c r="AO317" i="2"/>
  <c r="AO432" i="2"/>
  <c r="AO399" i="2"/>
  <c r="AO493" i="2"/>
  <c r="AO359" i="2"/>
  <c r="AO33" i="2"/>
  <c r="AO196" i="2"/>
  <c r="AO456" i="2"/>
  <c r="AO50" i="2"/>
  <c r="AO113" i="2"/>
  <c r="AO437" i="2"/>
  <c r="AO417" i="2"/>
  <c r="AO15" i="2"/>
  <c r="AO453" i="2"/>
  <c r="AO93" i="2"/>
  <c r="AO85" i="2"/>
  <c r="AO277" i="2"/>
  <c r="AO220" i="2"/>
  <c r="AO371" i="2"/>
  <c r="AO30" i="2"/>
  <c r="AO329" i="2"/>
  <c r="AO335" i="2"/>
  <c r="AO91" i="2"/>
  <c r="AO323" i="2"/>
  <c r="AO183" i="2"/>
  <c r="AO252" i="2"/>
  <c r="AO278" i="2"/>
  <c r="AO498" i="2"/>
  <c r="AO76" i="2"/>
  <c r="AO129" i="2"/>
  <c r="AO32" i="2"/>
  <c r="AO29" i="2"/>
  <c r="AO135" i="2"/>
  <c r="AO394" i="2"/>
  <c r="AO280" i="2"/>
  <c r="AO37" i="2"/>
  <c r="AO304" i="2"/>
  <c r="AO77" i="2"/>
  <c r="AO313" i="2"/>
  <c r="AO141" i="2"/>
  <c r="AO302" i="2"/>
  <c r="AO478" i="2"/>
  <c r="AO99" i="2"/>
  <c r="AO207" i="2"/>
  <c r="AO18" i="2"/>
  <c r="AO257" i="2"/>
  <c r="AO212" i="2"/>
  <c r="AO418" i="2"/>
  <c r="AO397" i="2"/>
  <c r="AO215" i="2"/>
  <c r="AO341" i="2"/>
  <c r="AO489" i="2"/>
  <c r="AO296" i="2"/>
  <c r="AO185" i="2"/>
  <c r="AO122" i="2"/>
  <c r="AO481" i="2"/>
  <c r="AO372" i="2"/>
  <c r="AO499" i="2"/>
  <c r="AO184" i="2"/>
  <c r="AO448" i="2"/>
  <c r="AO165" i="2"/>
  <c r="AO337" i="2"/>
  <c r="AO309" i="2"/>
  <c r="AO213" i="2"/>
  <c r="AO251" i="2"/>
  <c r="AO232" i="2"/>
  <c r="AO276" i="2"/>
  <c r="AO7" i="2"/>
  <c r="AO495" i="2"/>
  <c r="AO486" i="2"/>
  <c r="AO219" i="2"/>
  <c r="AO262" i="2"/>
  <c r="AO45" i="2"/>
  <c r="AO67" i="2"/>
  <c r="AO169" i="2"/>
  <c r="AO94" i="2"/>
  <c r="AO291" i="2"/>
  <c r="AO181" i="2"/>
  <c r="AO191" i="2"/>
  <c r="AO247" i="2"/>
  <c r="AO221" i="2"/>
  <c r="AO198" i="2"/>
  <c r="AO111" i="2"/>
  <c r="AO421" i="2"/>
  <c r="AO107" i="2"/>
  <c r="AO224" i="2"/>
  <c r="AO425" i="2"/>
  <c r="AO46" i="2"/>
  <c r="AO155" i="2"/>
  <c r="AO349" i="2"/>
  <c r="AO202" i="2"/>
  <c r="AO373" i="2"/>
  <c r="AO414" i="2"/>
  <c r="AO500" i="2"/>
  <c r="AO189" i="2"/>
  <c r="AO438" i="2"/>
  <c r="AO228" i="2"/>
  <c r="AO256" i="2"/>
  <c r="AO87" i="2"/>
  <c r="AO218" i="2"/>
  <c r="AO64" i="2"/>
  <c r="AO338" i="2"/>
  <c r="AO259" i="2"/>
  <c r="AO283" i="2"/>
  <c r="AO229" i="2"/>
  <c r="AO201" i="2"/>
  <c r="AO326" i="2"/>
  <c r="AO231" i="2"/>
  <c r="AO79" i="2"/>
  <c r="AO128" i="2"/>
  <c r="AO124" i="2"/>
  <c r="AO200" i="2"/>
  <c r="AO494" i="2"/>
  <c r="AO42" i="2"/>
  <c r="AO436" i="2"/>
  <c r="AO112" i="2"/>
  <c r="AO56" i="2"/>
  <c r="AO484" i="2"/>
  <c r="AO474" i="2"/>
  <c r="AO55" i="2"/>
  <c r="AO63" i="2"/>
  <c r="AO369" i="2"/>
  <c r="AO501" i="2"/>
  <c r="AO8" i="2"/>
  <c r="AO396" i="2"/>
  <c r="AO199" i="2"/>
  <c r="AO491" i="2"/>
  <c r="AO477" i="2"/>
  <c r="AO409" i="2"/>
  <c r="AO364" i="2"/>
  <c r="AO473" i="2"/>
  <c r="AO173" i="2"/>
  <c r="AO303" i="2"/>
  <c r="AO404" i="2"/>
  <c r="AO106" i="2"/>
  <c r="AO290" i="2"/>
  <c r="AO235" i="2"/>
  <c r="AO294" i="2"/>
  <c r="AO265" i="2"/>
  <c r="AO352" i="2"/>
  <c r="AO139" i="2"/>
  <c r="AO238" i="2"/>
  <c r="AO34" i="2"/>
  <c r="AO123" i="2"/>
  <c r="AO170" i="2"/>
  <c r="AO339" i="2"/>
  <c r="AO250" i="2"/>
  <c r="AO158" i="2"/>
  <c r="AO374" i="2"/>
  <c r="AO320" i="2"/>
  <c r="AO19" i="2"/>
  <c r="AO92" i="2"/>
  <c r="AO237" i="2"/>
  <c r="AO307" i="2"/>
  <c r="AO98" i="2"/>
  <c r="AO175" i="2"/>
  <c r="AO403" i="2"/>
  <c r="AO442" i="2"/>
  <c r="AO246" i="2"/>
  <c r="AO166" i="2"/>
  <c r="AO463" i="2"/>
  <c r="AO104" i="2"/>
  <c r="AO476" i="2"/>
  <c r="AO118" i="2"/>
  <c r="AO375" i="2"/>
  <c r="AO177" i="2"/>
  <c r="AO411" i="2"/>
  <c r="AO240" i="2"/>
  <c r="AO466" i="2"/>
  <c r="AO462" i="2"/>
  <c r="AO68" i="2"/>
  <c r="AO327" i="2"/>
  <c r="AO406" i="2"/>
  <c r="AO151" i="2"/>
  <c r="AO465" i="2"/>
  <c r="AO310" i="2"/>
  <c r="AO223" i="2"/>
  <c r="AO358" i="2"/>
  <c r="AO395" i="2"/>
  <c r="AO5" i="2"/>
  <c r="AO440" i="2"/>
  <c r="AO311" i="2"/>
  <c r="AO2" i="2"/>
  <c r="AO72" i="2"/>
  <c r="AO471" i="2"/>
  <c r="AO255" i="2"/>
  <c r="AO449" i="2"/>
  <c r="AO209" i="2"/>
  <c r="AO286" i="2"/>
  <c r="AO387" i="2"/>
  <c r="AO216" i="2"/>
  <c r="AO407" i="2"/>
  <c r="AO48" i="2"/>
  <c r="AO379" i="2"/>
  <c r="AO192" i="2"/>
  <c r="AO108" i="2"/>
  <c r="AO105" i="2"/>
  <c r="AO254" i="2"/>
  <c r="AO429" i="2"/>
  <c r="AO57" i="2"/>
  <c r="AO260" i="2"/>
  <c r="AO230" i="2"/>
  <c r="AO391" i="2"/>
  <c r="AO61" i="2"/>
  <c r="AO268" i="2"/>
  <c r="AO485" i="2"/>
  <c r="AO186" i="2"/>
  <c r="AO236" i="2"/>
  <c r="AO330" i="2"/>
  <c r="AO360" i="2"/>
  <c r="AO445" i="2"/>
  <c r="AO275" i="2"/>
  <c r="AO431" i="2"/>
  <c r="AO492" i="2"/>
  <c r="AO305" i="2"/>
  <c r="AO368" i="2"/>
  <c r="AO348" i="2"/>
  <c r="AO78" i="2"/>
  <c r="AO41" i="2"/>
  <c r="AO4" i="2"/>
  <c r="AO95" i="2"/>
  <c r="AO38" i="2"/>
  <c r="AO49" i="2"/>
  <c r="AO154" i="2"/>
  <c r="AO393" i="2"/>
  <c r="AO464" i="2"/>
  <c r="AO69" i="2"/>
  <c r="AO331" i="2"/>
  <c r="AO82" i="2"/>
  <c r="AO381" i="2"/>
  <c r="AO249" i="2"/>
  <c r="AO334" i="2"/>
  <c r="AO59" i="2"/>
  <c r="AO62" i="2"/>
  <c r="AO13" i="2"/>
  <c r="AO14" i="2"/>
  <c r="AO133" i="2"/>
  <c r="AO354" i="2"/>
  <c r="AO222" i="2"/>
  <c r="AO355" i="2"/>
  <c r="AO217" i="2"/>
  <c r="AO269" i="2"/>
  <c r="AO88" i="2"/>
  <c r="AO390" i="2"/>
  <c r="AO292" i="2"/>
  <c r="AO483" i="2"/>
  <c r="AO109" i="2"/>
  <c r="AO53" i="2"/>
  <c r="AO150" i="2"/>
  <c r="AO28" i="2"/>
  <c r="AO163" i="2"/>
  <c r="AO295" i="2"/>
  <c r="AO147" i="2"/>
  <c r="AO446" i="2"/>
  <c r="AO54" i="2"/>
  <c r="AO206" i="2"/>
  <c r="AO289" i="2"/>
  <c r="AO490" i="2"/>
  <c r="AO324" i="2"/>
  <c r="AO413" i="2"/>
  <c r="AO318" i="2"/>
  <c r="AO26" i="2"/>
  <c r="AO284" i="2"/>
  <c r="AO297" i="2"/>
  <c r="AO430" i="2"/>
  <c r="AO361" i="2"/>
  <c r="AO126" i="2"/>
  <c r="AO148" i="2"/>
  <c r="AO152" i="2"/>
  <c r="AO71" i="2"/>
  <c r="AO172" i="2"/>
  <c r="AO488" i="2"/>
  <c r="AO119" i="2"/>
  <c r="AO66" i="2"/>
  <c r="AO461" i="2"/>
  <c r="AO308" i="2"/>
  <c r="AO325" i="2"/>
  <c r="AO428" i="2"/>
  <c r="AO376" i="2"/>
  <c r="AO210" i="2"/>
  <c r="AO424" i="2"/>
  <c r="AO86" i="2"/>
  <c r="AO405" i="2"/>
  <c r="AO300" i="2"/>
  <c r="AO264" i="2"/>
  <c r="AO460" i="2"/>
  <c r="AO480" i="2"/>
  <c r="AO306" i="2"/>
  <c r="AO36" i="2"/>
  <c r="AO377" i="2"/>
  <c r="AO60" i="2"/>
  <c r="AO472" i="2"/>
  <c r="AO271" i="2"/>
  <c r="AO241" i="2"/>
  <c r="AO363" i="2"/>
  <c r="AO167" i="2"/>
  <c r="AO312" i="2"/>
  <c r="AO273" i="2"/>
  <c r="AO205" i="2"/>
  <c r="AO74" i="2"/>
  <c r="AO130" i="2"/>
  <c r="AO332" i="2"/>
  <c r="AO346" i="2"/>
  <c r="AO159" i="2"/>
  <c r="AO180" i="2"/>
  <c r="AO11" i="2"/>
  <c r="AO125" i="2"/>
  <c r="AO384" i="2"/>
  <c r="AO419" i="2"/>
  <c r="AO423" i="2"/>
  <c r="AO412" i="2"/>
  <c r="AO16" i="2"/>
  <c r="AO10" i="2"/>
  <c r="AO420" i="2"/>
  <c r="AO378" i="2"/>
  <c r="AO370" i="2"/>
  <c r="AO475" i="2"/>
  <c r="AO120" i="2"/>
  <c r="AO100" i="2"/>
  <c r="AO114" i="2"/>
  <c r="AO433" i="2"/>
  <c r="AO496" i="2"/>
  <c r="AO316" i="2"/>
  <c r="AO43" i="2"/>
  <c r="AO190" i="2"/>
  <c r="AO402" i="2"/>
  <c r="AO102" i="2"/>
  <c r="AO459" i="2"/>
  <c r="AO470" i="2"/>
  <c r="AO25" i="2"/>
  <c r="AO401" i="2"/>
  <c r="AO439" i="2"/>
  <c r="AO389" i="2"/>
  <c r="AO142" i="2"/>
  <c r="AO195" i="2"/>
  <c r="AO336" i="2"/>
  <c r="AO458" i="2"/>
  <c r="AO168" i="2"/>
  <c r="AO380" i="2"/>
  <c r="AO9" i="2"/>
  <c r="AO143" i="2"/>
  <c r="AO253" i="2"/>
  <c r="AO65" i="2"/>
  <c r="AO279" i="2"/>
  <c r="AO455" i="2"/>
  <c r="AO261" i="2"/>
  <c r="AO35" i="2"/>
  <c r="AO31" i="2"/>
  <c r="AO131" i="2"/>
  <c r="AO328" i="2"/>
  <c r="AO81" i="2"/>
  <c r="AO357" i="2"/>
  <c r="AO101" i="2"/>
  <c r="AO345" i="2"/>
  <c r="AO272" i="2"/>
  <c r="AO80" i="2"/>
  <c r="AO138" i="2"/>
  <c r="AO469" i="2"/>
  <c r="AO353" i="2"/>
  <c r="AO116" i="2"/>
  <c r="AO178" i="2"/>
  <c r="AO287" i="2"/>
  <c r="AO351" i="2"/>
  <c r="AO211" i="2"/>
  <c r="AO121" i="2"/>
  <c r="AO3" i="2"/>
  <c r="AO383" i="2"/>
  <c r="AO27" i="2"/>
  <c r="AO160" i="2"/>
  <c r="AO17" i="2"/>
  <c r="AO350" i="2"/>
  <c r="AO258" i="2"/>
  <c r="AO179" i="2"/>
  <c r="AO398" i="2"/>
  <c r="AO242" i="2"/>
  <c r="AO479" i="2"/>
  <c r="AO239" i="2"/>
  <c r="AO487" i="2"/>
  <c r="AO164" i="2"/>
  <c r="AO144" i="2"/>
  <c r="AO298" i="2"/>
  <c r="AO137" i="2"/>
  <c r="AO40" i="2"/>
  <c r="AO447" i="2"/>
  <c r="AO171" i="2"/>
  <c r="AO443" i="2"/>
  <c r="AO44" i="2"/>
  <c r="AO194" i="2"/>
  <c r="AO84" i="2"/>
  <c r="AO182" i="2"/>
  <c r="AO225" i="2"/>
  <c r="AO132" i="2"/>
  <c r="AO103" i="2"/>
  <c r="AO203" i="2"/>
  <c r="AO385" i="2"/>
  <c r="AO47" i="2"/>
  <c r="AO83" i="2"/>
  <c r="AO321" i="2"/>
  <c r="AO319" i="2"/>
  <c r="AO386" i="2"/>
  <c r="AO174" i="2"/>
  <c r="AO270" i="2"/>
  <c r="AO392" i="2"/>
  <c r="AO117" i="2"/>
  <c r="AO422" i="2"/>
  <c r="AO214" i="2"/>
  <c r="AO497" i="2"/>
  <c r="AO274" i="2"/>
  <c r="AO444" i="2"/>
  <c r="AO366" i="2"/>
  <c r="AO410" i="2"/>
  <c r="AO75" i="2"/>
  <c r="AO21" i="2"/>
  <c r="AO208" i="2"/>
  <c r="AO365" i="2"/>
  <c r="AO299" i="2"/>
  <c r="AO293" i="2"/>
  <c r="AO39" i="2"/>
  <c r="AO367" i="2"/>
  <c r="AO161" i="2"/>
  <c r="AO451" i="2"/>
  <c r="AO415" i="2"/>
  <c r="AO6" i="2"/>
  <c r="AO314" i="2"/>
  <c r="AO281" i="2"/>
  <c r="AO434" i="2"/>
  <c r="AO282" i="2"/>
  <c r="AO156" i="2"/>
  <c r="AO400" i="2"/>
  <c r="AO426" i="2"/>
  <c r="AO96" i="2"/>
  <c r="AO188" i="2"/>
  <c r="AO248" i="2"/>
  <c r="AO115" i="2"/>
  <c r="AO140" i="2"/>
  <c r="AO157" i="2"/>
  <c r="AO343" i="2"/>
  <c r="AO416" i="2"/>
  <c r="AO467" i="2"/>
  <c r="AO285" i="2"/>
  <c r="AO145" i="2"/>
  <c r="AO362" i="2"/>
  <c r="AO340" i="2"/>
  <c r="AO187" i="2"/>
  <c r="AO267" i="2"/>
  <c r="AO388" i="2"/>
  <c r="AO288" i="2"/>
  <c r="AO73" i="2"/>
  <c r="AO356" i="2"/>
  <c r="AO70" i="2"/>
  <c r="AO233" i="2"/>
  <c r="AO89" i="2"/>
  <c r="AO149" i="2"/>
  <c r="AO97" i="2"/>
  <c r="AO146" i="2"/>
  <c r="AO333" i="2"/>
  <c r="AO315" i="2"/>
  <c r="AO176" i="2"/>
  <c r="AO90" i="2"/>
  <c r="AO162" i="2"/>
  <c r="AO127" i="2"/>
  <c r="AO408" i="2"/>
  <c r="AO263" i="2"/>
  <c r="AO136" i="2"/>
  <c r="AO12" i="2"/>
  <c r="AO482" i="2"/>
  <c r="AO450" i="2"/>
  <c r="AO427" i="2"/>
  <c r="AO457" i="2"/>
  <c r="AO322" i="2"/>
  <c r="AO51" i="2"/>
  <c r="AO193" i="2"/>
  <c r="AO52" i="2"/>
  <c r="AO382" i="2"/>
  <c r="AO244" i="2"/>
  <c r="AO22" i="2"/>
  <c r="AO243" i="2"/>
  <c r="AO227" i="2"/>
  <c r="AN347" i="2"/>
  <c r="AN452" i="2"/>
  <c r="AN301" i="2"/>
  <c r="AN58" i="2"/>
  <c r="AN110" i="2"/>
  <c r="AN342" i="2"/>
  <c r="AN245" i="2"/>
  <c r="AN24" i="2"/>
  <c r="AN435" i="2"/>
  <c r="AN204" i="2"/>
  <c r="AN344" i="2"/>
  <c r="AN454" i="2"/>
  <c r="AN23" i="2"/>
  <c r="AN234" i="2"/>
  <c r="AN441" i="2"/>
  <c r="AN153" i="2"/>
  <c r="AN468" i="2"/>
  <c r="AN197" i="2"/>
  <c r="AN20" i="2"/>
  <c r="AN134" i="2"/>
  <c r="AN226" i="2"/>
  <c r="AN266" i="2"/>
  <c r="AN317" i="2"/>
  <c r="AN432" i="2"/>
  <c r="AN399" i="2"/>
  <c r="AN493" i="2"/>
  <c r="AN359" i="2"/>
  <c r="AN33" i="2"/>
  <c r="AN196" i="2"/>
  <c r="AN456" i="2"/>
  <c r="AN50" i="2"/>
  <c r="AN113" i="2"/>
  <c r="AN437" i="2"/>
  <c r="AN417" i="2"/>
  <c r="AN15" i="2"/>
  <c r="AN453" i="2"/>
  <c r="AN93" i="2"/>
  <c r="AN85" i="2"/>
  <c r="AN277" i="2"/>
  <c r="AN220" i="2"/>
  <c r="AN371" i="2"/>
  <c r="AN30" i="2"/>
  <c r="AN329" i="2"/>
  <c r="AN335" i="2"/>
  <c r="AN91" i="2"/>
  <c r="AN323" i="2"/>
  <c r="AN183" i="2"/>
  <c r="AN252" i="2"/>
  <c r="AN278" i="2"/>
  <c r="AN498" i="2"/>
  <c r="AN76" i="2"/>
  <c r="AN129" i="2"/>
  <c r="AN32" i="2"/>
  <c r="AN29" i="2"/>
  <c r="AN135" i="2"/>
  <c r="AN394" i="2"/>
  <c r="AN280" i="2"/>
  <c r="AN37" i="2"/>
  <c r="AN304" i="2"/>
  <c r="AN77" i="2"/>
  <c r="AN313" i="2"/>
  <c r="AN141" i="2"/>
  <c r="AN302" i="2"/>
  <c r="AN478" i="2"/>
  <c r="AN99" i="2"/>
  <c r="AN207" i="2"/>
  <c r="AN18" i="2"/>
  <c r="AN257" i="2"/>
  <c r="AN212" i="2"/>
  <c r="AN418" i="2"/>
  <c r="AN397" i="2"/>
  <c r="AN215" i="2"/>
  <c r="AN341" i="2"/>
  <c r="AN489" i="2"/>
  <c r="AN296" i="2"/>
  <c r="AN185" i="2"/>
  <c r="AN122" i="2"/>
  <c r="AN481" i="2"/>
  <c r="AN372" i="2"/>
  <c r="AN499" i="2"/>
  <c r="AN184" i="2"/>
  <c r="AN448" i="2"/>
  <c r="AN165" i="2"/>
  <c r="AN337" i="2"/>
  <c r="AN309" i="2"/>
  <c r="AN213" i="2"/>
  <c r="AN251" i="2"/>
  <c r="AN232" i="2"/>
  <c r="AN276" i="2"/>
  <c r="AN7" i="2"/>
  <c r="AN495" i="2"/>
  <c r="AN486" i="2"/>
  <c r="AN219" i="2"/>
  <c r="AN262" i="2"/>
  <c r="AN45" i="2"/>
  <c r="AN67" i="2"/>
  <c r="AN169" i="2"/>
  <c r="AN94" i="2"/>
  <c r="AN291" i="2"/>
  <c r="AN181" i="2"/>
  <c r="AN191" i="2"/>
  <c r="AN247" i="2"/>
  <c r="AN221" i="2"/>
  <c r="AN198" i="2"/>
  <c r="AN111" i="2"/>
  <c r="AN421" i="2"/>
  <c r="AN107" i="2"/>
  <c r="AN224" i="2"/>
  <c r="AN425" i="2"/>
  <c r="AN46" i="2"/>
  <c r="AN155" i="2"/>
  <c r="AN349" i="2"/>
  <c r="AN202" i="2"/>
  <c r="AN373" i="2"/>
  <c r="AN414" i="2"/>
  <c r="AN500" i="2"/>
  <c r="AN189" i="2"/>
  <c r="AN438" i="2"/>
  <c r="AN228" i="2"/>
  <c r="AN256" i="2"/>
  <c r="AN87" i="2"/>
  <c r="AN218" i="2"/>
  <c r="AN64" i="2"/>
  <c r="AN338" i="2"/>
  <c r="AN259" i="2"/>
  <c r="AN283" i="2"/>
  <c r="AN229" i="2"/>
  <c r="AN201" i="2"/>
  <c r="AN326" i="2"/>
  <c r="AN231" i="2"/>
  <c r="AN79" i="2"/>
  <c r="AN128" i="2"/>
  <c r="AN124" i="2"/>
  <c r="AN200" i="2"/>
  <c r="AN494" i="2"/>
  <c r="AN42" i="2"/>
  <c r="AN436" i="2"/>
  <c r="AN112" i="2"/>
  <c r="AN56" i="2"/>
  <c r="AN484" i="2"/>
  <c r="AN474" i="2"/>
  <c r="AN55" i="2"/>
  <c r="AN63" i="2"/>
  <c r="AN369" i="2"/>
  <c r="AN501" i="2"/>
  <c r="AN8" i="2"/>
  <c r="AN396" i="2"/>
  <c r="AN199" i="2"/>
  <c r="AN491" i="2"/>
  <c r="AN477" i="2"/>
  <c r="AN409" i="2"/>
  <c r="AN364" i="2"/>
  <c r="AN473" i="2"/>
  <c r="AN173" i="2"/>
  <c r="AN303" i="2"/>
  <c r="AN404" i="2"/>
  <c r="AN106" i="2"/>
  <c r="AN290" i="2"/>
  <c r="AN235" i="2"/>
  <c r="AN294" i="2"/>
  <c r="AN265" i="2"/>
  <c r="AN352" i="2"/>
  <c r="AN139" i="2"/>
  <c r="AN238" i="2"/>
  <c r="AN34" i="2"/>
  <c r="AN123" i="2"/>
  <c r="AN170" i="2"/>
  <c r="AN339" i="2"/>
  <c r="AN250" i="2"/>
  <c r="AN158" i="2"/>
  <c r="AN374" i="2"/>
  <c r="AN320" i="2"/>
  <c r="AN19" i="2"/>
  <c r="AN92" i="2"/>
  <c r="AN237" i="2"/>
  <c r="AN307" i="2"/>
  <c r="AN98" i="2"/>
  <c r="AN175" i="2"/>
  <c r="AN403" i="2"/>
  <c r="AN442" i="2"/>
  <c r="AN246" i="2"/>
  <c r="AN166" i="2"/>
  <c r="AN463" i="2"/>
  <c r="AN104" i="2"/>
  <c r="AN476" i="2"/>
  <c r="AN118" i="2"/>
  <c r="AN375" i="2"/>
  <c r="AN177" i="2"/>
  <c r="AN411" i="2"/>
  <c r="AN240" i="2"/>
  <c r="AN466" i="2"/>
  <c r="AN462" i="2"/>
  <c r="AN68" i="2"/>
  <c r="AN327" i="2"/>
  <c r="AN406" i="2"/>
  <c r="AN151" i="2"/>
  <c r="AN465" i="2"/>
  <c r="AN310" i="2"/>
  <c r="AN223" i="2"/>
  <c r="AN358" i="2"/>
  <c r="AN395" i="2"/>
  <c r="AN5" i="2"/>
  <c r="AN440" i="2"/>
  <c r="AN311" i="2"/>
  <c r="AN2" i="2"/>
  <c r="AN72" i="2"/>
  <c r="AN471" i="2"/>
  <c r="AN255" i="2"/>
  <c r="AN449" i="2"/>
  <c r="AN209" i="2"/>
  <c r="AN286" i="2"/>
  <c r="AN387" i="2"/>
  <c r="AN216" i="2"/>
  <c r="AN407" i="2"/>
  <c r="AN48" i="2"/>
  <c r="AN379" i="2"/>
  <c r="AN192" i="2"/>
  <c r="AN108" i="2"/>
  <c r="AN105" i="2"/>
  <c r="AN254" i="2"/>
  <c r="AN429" i="2"/>
  <c r="AN57" i="2"/>
  <c r="AN260" i="2"/>
  <c r="AN230" i="2"/>
  <c r="AN391" i="2"/>
  <c r="AN61" i="2"/>
  <c r="AN268" i="2"/>
  <c r="AN485" i="2"/>
  <c r="AN186" i="2"/>
  <c r="AN236" i="2"/>
  <c r="AN330" i="2"/>
  <c r="AN360" i="2"/>
  <c r="AN445" i="2"/>
  <c r="AN275" i="2"/>
  <c r="AN431" i="2"/>
  <c r="AN492" i="2"/>
  <c r="AN305" i="2"/>
  <c r="AN368" i="2"/>
  <c r="AN348" i="2"/>
  <c r="AN78" i="2"/>
  <c r="AN41" i="2"/>
  <c r="AN4" i="2"/>
  <c r="AN95" i="2"/>
  <c r="AN38" i="2"/>
  <c r="AN49" i="2"/>
  <c r="AN154" i="2"/>
  <c r="AN393" i="2"/>
  <c r="AN464" i="2"/>
  <c r="AN69" i="2"/>
  <c r="AN331" i="2"/>
  <c r="AN82" i="2"/>
  <c r="AN381" i="2"/>
  <c r="AN249" i="2"/>
  <c r="AN334" i="2"/>
  <c r="AN59" i="2"/>
  <c r="AN62" i="2"/>
  <c r="AN13" i="2"/>
  <c r="AN14" i="2"/>
  <c r="AN133" i="2"/>
  <c r="AN354" i="2"/>
  <c r="AN222" i="2"/>
  <c r="AN355" i="2"/>
  <c r="AN217" i="2"/>
  <c r="AN269" i="2"/>
  <c r="AN88" i="2"/>
  <c r="AN390" i="2"/>
  <c r="AN292" i="2"/>
  <c r="AN483" i="2"/>
  <c r="AN109" i="2"/>
  <c r="AN53" i="2"/>
  <c r="AN150" i="2"/>
  <c r="AN28" i="2"/>
  <c r="AN163" i="2"/>
  <c r="AN295" i="2"/>
  <c r="AN147" i="2"/>
  <c r="AN446" i="2"/>
  <c r="AN54" i="2"/>
  <c r="AN206" i="2"/>
  <c r="AN289" i="2"/>
  <c r="AN490" i="2"/>
  <c r="AN324" i="2"/>
  <c r="AN413" i="2"/>
  <c r="AN318" i="2"/>
  <c r="AN26" i="2"/>
  <c r="AN284" i="2"/>
  <c r="AN297" i="2"/>
  <c r="AN430" i="2"/>
  <c r="AN361" i="2"/>
  <c r="AN126" i="2"/>
  <c r="AN148" i="2"/>
  <c r="AN152" i="2"/>
  <c r="AN71" i="2"/>
  <c r="AN172" i="2"/>
  <c r="AN488" i="2"/>
  <c r="AN119" i="2"/>
  <c r="AN66" i="2"/>
  <c r="AN461" i="2"/>
  <c r="AN308" i="2"/>
  <c r="AN325" i="2"/>
  <c r="AN428" i="2"/>
  <c r="AN376" i="2"/>
  <c r="AN210" i="2"/>
  <c r="AN424" i="2"/>
  <c r="AN86" i="2"/>
  <c r="AN405" i="2"/>
  <c r="AN300" i="2"/>
  <c r="AN264" i="2"/>
  <c r="AN460" i="2"/>
  <c r="AN480" i="2"/>
  <c r="AN306" i="2"/>
  <c r="AN36" i="2"/>
  <c r="AN377" i="2"/>
  <c r="AN60" i="2"/>
  <c r="AN472" i="2"/>
  <c r="AN271" i="2"/>
  <c r="AN241" i="2"/>
  <c r="AN363" i="2"/>
  <c r="AN167" i="2"/>
  <c r="AN312" i="2"/>
  <c r="AN273" i="2"/>
  <c r="AN205" i="2"/>
  <c r="AN74" i="2"/>
  <c r="AN130" i="2"/>
  <c r="AN332" i="2"/>
  <c r="AN346" i="2"/>
  <c r="AN159" i="2"/>
  <c r="AN180" i="2"/>
  <c r="AN11" i="2"/>
  <c r="AN125" i="2"/>
  <c r="AN384" i="2"/>
  <c r="AN419" i="2"/>
  <c r="AN423" i="2"/>
  <c r="AN412" i="2"/>
  <c r="AN16" i="2"/>
  <c r="AN10" i="2"/>
  <c r="AN420" i="2"/>
  <c r="AN378" i="2"/>
  <c r="AN370" i="2"/>
  <c r="AN475" i="2"/>
  <c r="AN120" i="2"/>
  <c r="AN100" i="2"/>
  <c r="AN114" i="2"/>
  <c r="AN433" i="2"/>
  <c r="AN496" i="2"/>
  <c r="AN316" i="2"/>
  <c r="AN43" i="2"/>
  <c r="AN190" i="2"/>
  <c r="AN402" i="2"/>
  <c r="AN102" i="2"/>
  <c r="AN459" i="2"/>
  <c r="AN470" i="2"/>
  <c r="AN25" i="2"/>
  <c r="AN401" i="2"/>
  <c r="AN439" i="2"/>
  <c r="AN389" i="2"/>
  <c r="AN142" i="2"/>
  <c r="AN195" i="2"/>
  <c r="AN336" i="2"/>
  <c r="AN458" i="2"/>
  <c r="AN168" i="2"/>
  <c r="AN380" i="2"/>
  <c r="AN9" i="2"/>
  <c r="AN143" i="2"/>
  <c r="AN253" i="2"/>
  <c r="AN65" i="2"/>
  <c r="AN279" i="2"/>
  <c r="AN455" i="2"/>
  <c r="AN261" i="2"/>
  <c r="AN35" i="2"/>
  <c r="AN31" i="2"/>
  <c r="AN131" i="2"/>
  <c r="AN328" i="2"/>
  <c r="AN81" i="2"/>
  <c r="AN357" i="2"/>
  <c r="AN101" i="2"/>
  <c r="AN345" i="2"/>
  <c r="AN272" i="2"/>
  <c r="AN80" i="2"/>
  <c r="AU80" i="2" s="1"/>
  <c r="AN138" i="2"/>
  <c r="AN469" i="2"/>
  <c r="AN353" i="2"/>
  <c r="AN116" i="2"/>
  <c r="AN178" i="2"/>
  <c r="AN287" i="2"/>
  <c r="AN351" i="2"/>
  <c r="AN211" i="2"/>
  <c r="AN121" i="2"/>
  <c r="AN3" i="2"/>
  <c r="AN383" i="2"/>
  <c r="AN27" i="2"/>
  <c r="AN160" i="2"/>
  <c r="AN17" i="2"/>
  <c r="AN350" i="2"/>
  <c r="AN258" i="2"/>
  <c r="AN179" i="2"/>
  <c r="AN398" i="2"/>
  <c r="AN242" i="2"/>
  <c r="AN479" i="2"/>
  <c r="AN239" i="2"/>
  <c r="AN487" i="2"/>
  <c r="AN164" i="2"/>
  <c r="AN144" i="2"/>
  <c r="AN298" i="2"/>
  <c r="AN137" i="2"/>
  <c r="AN40" i="2"/>
  <c r="AN447" i="2"/>
  <c r="AN171" i="2"/>
  <c r="AN443" i="2"/>
  <c r="AN44" i="2"/>
  <c r="AN194" i="2"/>
  <c r="AN84" i="2"/>
  <c r="AN182" i="2"/>
  <c r="AN225" i="2"/>
  <c r="AN132" i="2"/>
  <c r="AN103" i="2"/>
  <c r="AN203" i="2"/>
  <c r="AN385" i="2"/>
  <c r="AN47" i="2"/>
  <c r="AN83" i="2"/>
  <c r="AN321" i="2"/>
  <c r="AN319" i="2"/>
  <c r="AN386" i="2"/>
  <c r="AN174" i="2"/>
  <c r="AN270" i="2"/>
  <c r="AN392" i="2"/>
  <c r="AN117" i="2"/>
  <c r="AN422" i="2"/>
  <c r="AN214" i="2"/>
  <c r="AN497" i="2"/>
  <c r="AN274" i="2"/>
  <c r="AN444" i="2"/>
  <c r="AN366" i="2"/>
  <c r="AN410" i="2"/>
  <c r="AN75" i="2"/>
  <c r="AN21" i="2"/>
  <c r="AN208" i="2"/>
  <c r="AN365" i="2"/>
  <c r="AN299" i="2"/>
  <c r="AN293" i="2"/>
  <c r="AN39" i="2"/>
  <c r="AN367" i="2"/>
  <c r="AN161" i="2"/>
  <c r="AN451" i="2"/>
  <c r="AN415" i="2"/>
  <c r="AN6" i="2"/>
  <c r="AN314" i="2"/>
  <c r="AN281" i="2"/>
  <c r="AN434" i="2"/>
  <c r="AN282" i="2"/>
  <c r="AN156" i="2"/>
  <c r="AN400" i="2"/>
  <c r="AN426" i="2"/>
  <c r="AN96" i="2"/>
  <c r="AN188" i="2"/>
  <c r="AN248" i="2"/>
  <c r="AN115" i="2"/>
  <c r="AN140" i="2"/>
  <c r="AN157" i="2"/>
  <c r="AN343" i="2"/>
  <c r="AN416" i="2"/>
  <c r="AN467" i="2"/>
  <c r="AN285" i="2"/>
  <c r="AN145" i="2"/>
  <c r="AN362" i="2"/>
  <c r="AN340" i="2"/>
  <c r="AN187" i="2"/>
  <c r="AN267" i="2"/>
  <c r="AN388" i="2"/>
  <c r="AN288" i="2"/>
  <c r="AN73" i="2"/>
  <c r="AN356" i="2"/>
  <c r="AN70" i="2"/>
  <c r="AN233" i="2"/>
  <c r="AN89" i="2"/>
  <c r="AN149" i="2"/>
  <c r="AN97" i="2"/>
  <c r="AN146" i="2"/>
  <c r="AN333" i="2"/>
  <c r="AN315" i="2"/>
  <c r="AN176" i="2"/>
  <c r="AN90" i="2"/>
  <c r="AN162" i="2"/>
  <c r="AN127" i="2"/>
  <c r="AN408" i="2"/>
  <c r="AN263" i="2"/>
  <c r="AN136" i="2"/>
  <c r="AN12" i="2"/>
  <c r="AN482" i="2"/>
  <c r="AN450" i="2"/>
  <c r="AN427" i="2"/>
  <c r="AN457" i="2"/>
  <c r="AN322" i="2"/>
  <c r="AN51" i="2"/>
  <c r="AN193" i="2"/>
  <c r="AN52" i="2"/>
  <c r="AN382" i="2"/>
  <c r="AN244" i="2"/>
  <c r="AN22" i="2"/>
  <c r="AN243" i="2"/>
  <c r="AN227" i="2"/>
  <c r="AL347" i="2"/>
  <c r="AL452" i="2"/>
  <c r="AL301" i="2"/>
  <c r="AL58" i="2"/>
  <c r="AL110" i="2"/>
  <c r="AL342" i="2"/>
  <c r="AL245" i="2"/>
  <c r="AL24" i="2"/>
  <c r="AL435" i="2"/>
  <c r="AL204" i="2"/>
  <c r="AL344" i="2"/>
  <c r="AL454" i="2"/>
  <c r="AL23" i="2"/>
  <c r="AL234" i="2"/>
  <c r="AL441" i="2"/>
  <c r="AL153" i="2"/>
  <c r="AL468" i="2"/>
  <c r="AL197" i="2"/>
  <c r="AL20" i="2"/>
  <c r="AL134" i="2"/>
  <c r="AL226" i="2"/>
  <c r="AL266" i="2"/>
  <c r="AL317" i="2"/>
  <c r="AL432" i="2"/>
  <c r="AL399" i="2"/>
  <c r="AL493" i="2"/>
  <c r="AL359" i="2"/>
  <c r="AL33" i="2"/>
  <c r="AL196" i="2"/>
  <c r="AL456" i="2"/>
  <c r="AL50" i="2"/>
  <c r="AL113" i="2"/>
  <c r="AL437" i="2"/>
  <c r="AL417" i="2"/>
  <c r="AL15" i="2"/>
  <c r="AL453" i="2"/>
  <c r="AL93" i="2"/>
  <c r="AL85" i="2"/>
  <c r="AL277" i="2"/>
  <c r="AL220" i="2"/>
  <c r="AL371" i="2"/>
  <c r="AL30" i="2"/>
  <c r="AL329" i="2"/>
  <c r="AL335" i="2"/>
  <c r="AL91" i="2"/>
  <c r="AL323" i="2"/>
  <c r="AL183" i="2"/>
  <c r="AL252" i="2"/>
  <c r="AL278" i="2"/>
  <c r="AL498" i="2"/>
  <c r="AL76" i="2"/>
  <c r="AL129" i="2"/>
  <c r="AL32" i="2"/>
  <c r="AL29" i="2"/>
  <c r="AL135" i="2"/>
  <c r="AL394" i="2"/>
  <c r="AL280" i="2"/>
  <c r="AL37" i="2"/>
  <c r="AL304" i="2"/>
  <c r="AL77" i="2"/>
  <c r="AL313" i="2"/>
  <c r="AL141" i="2"/>
  <c r="AL302" i="2"/>
  <c r="AL478" i="2"/>
  <c r="AL99" i="2"/>
  <c r="AL207" i="2"/>
  <c r="AL18" i="2"/>
  <c r="AL257" i="2"/>
  <c r="AL212" i="2"/>
  <c r="AL418" i="2"/>
  <c r="AL397" i="2"/>
  <c r="AL215" i="2"/>
  <c r="AL341" i="2"/>
  <c r="AL489" i="2"/>
  <c r="AL296" i="2"/>
  <c r="AL185" i="2"/>
  <c r="AL122" i="2"/>
  <c r="AL481" i="2"/>
  <c r="AL372" i="2"/>
  <c r="AL499" i="2"/>
  <c r="AL184" i="2"/>
  <c r="AL448" i="2"/>
  <c r="AL165" i="2"/>
  <c r="AL337" i="2"/>
  <c r="AL309" i="2"/>
  <c r="AL213" i="2"/>
  <c r="AL251" i="2"/>
  <c r="AL232" i="2"/>
  <c r="AL276" i="2"/>
  <c r="AL7" i="2"/>
  <c r="AL495" i="2"/>
  <c r="AL486" i="2"/>
  <c r="AL219" i="2"/>
  <c r="AL262" i="2"/>
  <c r="AL45" i="2"/>
  <c r="AL67" i="2"/>
  <c r="AL169" i="2"/>
  <c r="AL94" i="2"/>
  <c r="AL291" i="2"/>
  <c r="AL181" i="2"/>
  <c r="AL191" i="2"/>
  <c r="AL247" i="2"/>
  <c r="AL221" i="2"/>
  <c r="AL198" i="2"/>
  <c r="AL111" i="2"/>
  <c r="AL421" i="2"/>
  <c r="AL107" i="2"/>
  <c r="AL224" i="2"/>
  <c r="AL425" i="2"/>
  <c r="AL46" i="2"/>
  <c r="AL155" i="2"/>
  <c r="AL349" i="2"/>
  <c r="AL202" i="2"/>
  <c r="AL373" i="2"/>
  <c r="AL414" i="2"/>
  <c r="AL500" i="2"/>
  <c r="AL189" i="2"/>
  <c r="AL438" i="2"/>
  <c r="AL228" i="2"/>
  <c r="AL256" i="2"/>
  <c r="AL87" i="2"/>
  <c r="AL218" i="2"/>
  <c r="AL64" i="2"/>
  <c r="AL338" i="2"/>
  <c r="AL259" i="2"/>
  <c r="AL283" i="2"/>
  <c r="AL229" i="2"/>
  <c r="AL201" i="2"/>
  <c r="AL326" i="2"/>
  <c r="AL231" i="2"/>
  <c r="AL79" i="2"/>
  <c r="AL128" i="2"/>
  <c r="AL124" i="2"/>
  <c r="AL200" i="2"/>
  <c r="AL494" i="2"/>
  <c r="AL42" i="2"/>
  <c r="AL436" i="2"/>
  <c r="AL112" i="2"/>
  <c r="AL56" i="2"/>
  <c r="AL484" i="2"/>
  <c r="AL474" i="2"/>
  <c r="AL55" i="2"/>
  <c r="AL63" i="2"/>
  <c r="AL369" i="2"/>
  <c r="AL501" i="2"/>
  <c r="AL8" i="2"/>
  <c r="AL396" i="2"/>
  <c r="AL199" i="2"/>
  <c r="AL491" i="2"/>
  <c r="AL477" i="2"/>
  <c r="AL409" i="2"/>
  <c r="AL364" i="2"/>
  <c r="AL473" i="2"/>
  <c r="AL173" i="2"/>
  <c r="AL303" i="2"/>
  <c r="AL404" i="2"/>
  <c r="AL106" i="2"/>
  <c r="AL290" i="2"/>
  <c r="AL235" i="2"/>
  <c r="AL294" i="2"/>
  <c r="AL265" i="2"/>
  <c r="AL352" i="2"/>
  <c r="AL139" i="2"/>
  <c r="AL238" i="2"/>
  <c r="AL34" i="2"/>
  <c r="AL123" i="2"/>
  <c r="AL170" i="2"/>
  <c r="AL339" i="2"/>
  <c r="AL250" i="2"/>
  <c r="AL158" i="2"/>
  <c r="AL374" i="2"/>
  <c r="AL320" i="2"/>
  <c r="AL19" i="2"/>
  <c r="AL92" i="2"/>
  <c r="AL237" i="2"/>
  <c r="AL307" i="2"/>
  <c r="AL98" i="2"/>
  <c r="AL175" i="2"/>
  <c r="AL403" i="2"/>
  <c r="AL442" i="2"/>
  <c r="AL246" i="2"/>
  <c r="AL166" i="2"/>
  <c r="AL463" i="2"/>
  <c r="AL104" i="2"/>
  <c r="AL476" i="2"/>
  <c r="AL118" i="2"/>
  <c r="AL375" i="2"/>
  <c r="AL177" i="2"/>
  <c r="AL411" i="2"/>
  <c r="AL240" i="2"/>
  <c r="AL466" i="2"/>
  <c r="AL462" i="2"/>
  <c r="AL68" i="2"/>
  <c r="AL327" i="2"/>
  <c r="AL406" i="2"/>
  <c r="AL151" i="2"/>
  <c r="AL465" i="2"/>
  <c r="AL310" i="2"/>
  <c r="AL223" i="2"/>
  <c r="AL358" i="2"/>
  <c r="AL395" i="2"/>
  <c r="AL5" i="2"/>
  <c r="AL440" i="2"/>
  <c r="AL311" i="2"/>
  <c r="AL2" i="2"/>
  <c r="AL72" i="2"/>
  <c r="AL471" i="2"/>
  <c r="AL255" i="2"/>
  <c r="AL449" i="2"/>
  <c r="AL209" i="2"/>
  <c r="AL286" i="2"/>
  <c r="AL387" i="2"/>
  <c r="AL216" i="2"/>
  <c r="AL407" i="2"/>
  <c r="AL48" i="2"/>
  <c r="AL379" i="2"/>
  <c r="AL192" i="2"/>
  <c r="AL108" i="2"/>
  <c r="AL105" i="2"/>
  <c r="AL254" i="2"/>
  <c r="AL429" i="2"/>
  <c r="AL57" i="2"/>
  <c r="AL260" i="2"/>
  <c r="AL230" i="2"/>
  <c r="AL391" i="2"/>
  <c r="AL61" i="2"/>
  <c r="AL268" i="2"/>
  <c r="AL485" i="2"/>
  <c r="AL186" i="2"/>
  <c r="AL236" i="2"/>
  <c r="AL330" i="2"/>
  <c r="AL360" i="2"/>
  <c r="AL445" i="2"/>
  <c r="AL275" i="2"/>
  <c r="AL431" i="2"/>
  <c r="AL492" i="2"/>
  <c r="AL305" i="2"/>
  <c r="AL368" i="2"/>
  <c r="AL348" i="2"/>
  <c r="AL78" i="2"/>
  <c r="AL41" i="2"/>
  <c r="AL4" i="2"/>
  <c r="AL95" i="2"/>
  <c r="AL38" i="2"/>
  <c r="AL49" i="2"/>
  <c r="AL154" i="2"/>
  <c r="AL393" i="2"/>
  <c r="AL464" i="2"/>
  <c r="AL69" i="2"/>
  <c r="AL331" i="2"/>
  <c r="AL82" i="2"/>
  <c r="AL381" i="2"/>
  <c r="AL249" i="2"/>
  <c r="AL334" i="2"/>
  <c r="AL59" i="2"/>
  <c r="AL62" i="2"/>
  <c r="AL13" i="2"/>
  <c r="AL14" i="2"/>
  <c r="AL133" i="2"/>
  <c r="AL354" i="2"/>
  <c r="AL222" i="2"/>
  <c r="AL355" i="2"/>
  <c r="AL217" i="2"/>
  <c r="AL269" i="2"/>
  <c r="AL88" i="2"/>
  <c r="AL390" i="2"/>
  <c r="AL292" i="2"/>
  <c r="AL483" i="2"/>
  <c r="AL109" i="2"/>
  <c r="AL53" i="2"/>
  <c r="AL150" i="2"/>
  <c r="AL28" i="2"/>
  <c r="AL163" i="2"/>
  <c r="AL295" i="2"/>
  <c r="AL147" i="2"/>
  <c r="AL446" i="2"/>
  <c r="AL54" i="2"/>
  <c r="AL206" i="2"/>
  <c r="AL289" i="2"/>
  <c r="AL490" i="2"/>
  <c r="AL324" i="2"/>
  <c r="AL413" i="2"/>
  <c r="AL318" i="2"/>
  <c r="AL26" i="2"/>
  <c r="AL284" i="2"/>
  <c r="AL297" i="2"/>
  <c r="AL430" i="2"/>
  <c r="AL361" i="2"/>
  <c r="AL126" i="2"/>
  <c r="AL148" i="2"/>
  <c r="AL152" i="2"/>
  <c r="AL71" i="2"/>
  <c r="AL172" i="2"/>
  <c r="AL488" i="2"/>
  <c r="AL119" i="2"/>
  <c r="AL66" i="2"/>
  <c r="AL461" i="2"/>
  <c r="AL308" i="2"/>
  <c r="AL325" i="2"/>
  <c r="AL428" i="2"/>
  <c r="AL376" i="2"/>
  <c r="AL210" i="2"/>
  <c r="AL424" i="2"/>
  <c r="AL86" i="2"/>
  <c r="AL405" i="2"/>
  <c r="AL300" i="2"/>
  <c r="AL264" i="2"/>
  <c r="AL460" i="2"/>
  <c r="AL480" i="2"/>
  <c r="AL306" i="2"/>
  <c r="AL36" i="2"/>
  <c r="AL377" i="2"/>
  <c r="AL60" i="2"/>
  <c r="AL472" i="2"/>
  <c r="AL271" i="2"/>
  <c r="AL241" i="2"/>
  <c r="AL363" i="2"/>
  <c r="AL167" i="2"/>
  <c r="AL312" i="2"/>
  <c r="AL273" i="2"/>
  <c r="AL205" i="2"/>
  <c r="AL74" i="2"/>
  <c r="AL130" i="2"/>
  <c r="AL332" i="2"/>
  <c r="AL346" i="2"/>
  <c r="AL159" i="2"/>
  <c r="AL180" i="2"/>
  <c r="AL11" i="2"/>
  <c r="AL125" i="2"/>
  <c r="AL384" i="2"/>
  <c r="AL419" i="2"/>
  <c r="AL423" i="2"/>
  <c r="AL412" i="2"/>
  <c r="AL16" i="2"/>
  <c r="AL10" i="2"/>
  <c r="AL420" i="2"/>
  <c r="AL378" i="2"/>
  <c r="AL370" i="2"/>
  <c r="AL475" i="2"/>
  <c r="AL120" i="2"/>
  <c r="AL100" i="2"/>
  <c r="AL114" i="2"/>
  <c r="AL433" i="2"/>
  <c r="AL496" i="2"/>
  <c r="AL316" i="2"/>
  <c r="AL43" i="2"/>
  <c r="AL190" i="2"/>
  <c r="AL402" i="2"/>
  <c r="AL102" i="2"/>
  <c r="AL459" i="2"/>
  <c r="AL470" i="2"/>
  <c r="AL25" i="2"/>
  <c r="AL401" i="2"/>
  <c r="AL439" i="2"/>
  <c r="AL389" i="2"/>
  <c r="AL142" i="2"/>
  <c r="AL195" i="2"/>
  <c r="AL336" i="2"/>
  <c r="AL458" i="2"/>
  <c r="AL168" i="2"/>
  <c r="AL380" i="2"/>
  <c r="AL9" i="2"/>
  <c r="AL143" i="2"/>
  <c r="AL253" i="2"/>
  <c r="AL65" i="2"/>
  <c r="AL279" i="2"/>
  <c r="AL455" i="2"/>
  <c r="AL261" i="2"/>
  <c r="AL35" i="2"/>
  <c r="AL31" i="2"/>
  <c r="AL131" i="2"/>
  <c r="AL328" i="2"/>
  <c r="AL81" i="2"/>
  <c r="AL357" i="2"/>
  <c r="AL101" i="2"/>
  <c r="AL345" i="2"/>
  <c r="AL272" i="2"/>
  <c r="AL80" i="2"/>
  <c r="AL138" i="2"/>
  <c r="AL469" i="2"/>
  <c r="AL353" i="2"/>
  <c r="AL116" i="2"/>
  <c r="AL178" i="2"/>
  <c r="AL287" i="2"/>
  <c r="AL351" i="2"/>
  <c r="AL211" i="2"/>
  <c r="AL121" i="2"/>
  <c r="AL3" i="2"/>
  <c r="AL383" i="2"/>
  <c r="AL27" i="2"/>
  <c r="AL160" i="2"/>
  <c r="AL17" i="2"/>
  <c r="AL350" i="2"/>
  <c r="AL258" i="2"/>
  <c r="AL179" i="2"/>
  <c r="AL398" i="2"/>
  <c r="AL242" i="2"/>
  <c r="AL479" i="2"/>
  <c r="AL239" i="2"/>
  <c r="AL487" i="2"/>
  <c r="AL164" i="2"/>
  <c r="AL144" i="2"/>
  <c r="AL298" i="2"/>
  <c r="AL137" i="2"/>
  <c r="AL40" i="2"/>
  <c r="AL447" i="2"/>
  <c r="AL171" i="2"/>
  <c r="AL443" i="2"/>
  <c r="AL44" i="2"/>
  <c r="AL194" i="2"/>
  <c r="AL84" i="2"/>
  <c r="AL182" i="2"/>
  <c r="AL225" i="2"/>
  <c r="AL132" i="2"/>
  <c r="AL103" i="2"/>
  <c r="AL203" i="2"/>
  <c r="AL385" i="2"/>
  <c r="AL47" i="2"/>
  <c r="AL83" i="2"/>
  <c r="AL321" i="2"/>
  <c r="AL319" i="2"/>
  <c r="AL386" i="2"/>
  <c r="AL174" i="2"/>
  <c r="AL270" i="2"/>
  <c r="AL392" i="2"/>
  <c r="AL117" i="2"/>
  <c r="AL422" i="2"/>
  <c r="AL214" i="2"/>
  <c r="AL497" i="2"/>
  <c r="AL274" i="2"/>
  <c r="AL444" i="2"/>
  <c r="AL366" i="2"/>
  <c r="AL410" i="2"/>
  <c r="AL75" i="2"/>
  <c r="AL21" i="2"/>
  <c r="AL208" i="2"/>
  <c r="AL365" i="2"/>
  <c r="AL299" i="2"/>
  <c r="AL293" i="2"/>
  <c r="AL39" i="2"/>
  <c r="AL367" i="2"/>
  <c r="AL161" i="2"/>
  <c r="AL451" i="2"/>
  <c r="AL415" i="2"/>
  <c r="AL6" i="2"/>
  <c r="AL314" i="2"/>
  <c r="AL281" i="2"/>
  <c r="AL434" i="2"/>
  <c r="AL282" i="2"/>
  <c r="AL156" i="2"/>
  <c r="AL400" i="2"/>
  <c r="AL426" i="2"/>
  <c r="AL96" i="2"/>
  <c r="AL188" i="2"/>
  <c r="AL248" i="2"/>
  <c r="AL115" i="2"/>
  <c r="AL140" i="2"/>
  <c r="AL157" i="2"/>
  <c r="AL343" i="2"/>
  <c r="AL416" i="2"/>
  <c r="AL467" i="2"/>
  <c r="AL285" i="2"/>
  <c r="AL145" i="2"/>
  <c r="AL362" i="2"/>
  <c r="AL340" i="2"/>
  <c r="AL187" i="2"/>
  <c r="AL267" i="2"/>
  <c r="AL388" i="2"/>
  <c r="AL288" i="2"/>
  <c r="AL73" i="2"/>
  <c r="AL356" i="2"/>
  <c r="AL70" i="2"/>
  <c r="AL233" i="2"/>
  <c r="AL89" i="2"/>
  <c r="AL149" i="2"/>
  <c r="AL97" i="2"/>
  <c r="AL146" i="2"/>
  <c r="AL333" i="2"/>
  <c r="AL315" i="2"/>
  <c r="AL176" i="2"/>
  <c r="AL90" i="2"/>
  <c r="AL162" i="2"/>
  <c r="AL127" i="2"/>
  <c r="AL408" i="2"/>
  <c r="AL263" i="2"/>
  <c r="AL136" i="2"/>
  <c r="AL12" i="2"/>
  <c r="AL482" i="2"/>
  <c r="AL450" i="2"/>
  <c r="AL427" i="2"/>
  <c r="AL457" i="2"/>
  <c r="AL322" i="2"/>
  <c r="AL51" i="2"/>
  <c r="AL193" i="2"/>
  <c r="AL52" i="2"/>
  <c r="AL382" i="2"/>
  <c r="AL244" i="2"/>
  <c r="AL22" i="2"/>
  <c r="AL243" i="2"/>
  <c r="AL227" i="2"/>
  <c r="AH347" i="2"/>
  <c r="AH452" i="2"/>
  <c r="AH301" i="2"/>
  <c r="AH58" i="2"/>
  <c r="AH110" i="2"/>
  <c r="AH342" i="2"/>
  <c r="AH245" i="2"/>
  <c r="AH24" i="2"/>
  <c r="AH435" i="2"/>
  <c r="AH204" i="2"/>
  <c r="AH344" i="2"/>
  <c r="AH454" i="2"/>
  <c r="AH23" i="2"/>
  <c r="AH234" i="2"/>
  <c r="AH441" i="2"/>
  <c r="AH153" i="2"/>
  <c r="AH468" i="2"/>
  <c r="AH197" i="2"/>
  <c r="AH20" i="2"/>
  <c r="AH134" i="2"/>
  <c r="AH226" i="2"/>
  <c r="AH266" i="2"/>
  <c r="AH317" i="2"/>
  <c r="AH432" i="2"/>
  <c r="AH399" i="2"/>
  <c r="AH493" i="2"/>
  <c r="AH359" i="2"/>
  <c r="AH33" i="2"/>
  <c r="AH196" i="2"/>
  <c r="AH456" i="2"/>
  <c r="AH50" i="2"/>
  <c r="AH113" i="2"/>
  <c r="AH437" i="2"/>
  <c r="AH417" i="2"/>
  <c r="AH15" i="2"/>
  <c r="AH453" i="2"/>
  <c r="AH93" i="2"/>
  <c r="AH85" i="2"/>
  <c r="AH277" i="2"/>
  <c r="AH220" i="2"/>
  <c r="AH371" i="2"/>
  <c r="AH30" i="2"/>
  <c r="AH329" i="2"/>
  <c r="AH335" i="2"/>
  <c r="AH91" i="2"/>
  <c r="AH323" i="2"/>
  <c r="AH183" i="2"/>
  <c r="AH252" i="2"/>
  <c r="AH278" i="2"/>
  <c r="AH498" i="2"/>
  <c r="AH76" i="2"/>
  <c r="AH129" i="2"/>
  <c r="AH32" i="2"/>
  <c r="AH29" i="2"/>
  <c r="AH135" i="2"/>
  <c r="AH394" i="2"/>
  <c r="AH280" i="2"/>
  <c r="AH37" i="2"/>
  <c r="AH304" i="2"/>
  <c r="AH77" i="2"/>
  <c r="AH313" i="2"/>
  <c r="AH141" i="2"/>
  <c r="AH302" i="2"/>
  <c r="AH478" i="2"/>
  <c r="AH99" i="2"/>
  <c r="AH207" i="2"/>
  <c r="AH18" i="2"/>
  <c r="AH257" i="2"/>
  <c r="AH212" i="2"/>
  <c r="AH418" i="2"/>
  <c r="AH397" i="2"/>
  <c r="AH215" i="2"/>
  <c r="AH341" i="2"/>
  <c r="AH489" i="2"/>
  <c r="AH296" i="2"/>
  <c r="AH185" i="2"/>
  <c r="AH122" i="2"/>
  <c r="AH481" i="2"/>
  <c r="AH372" i="2"/>
  <c r="AH499" i="2"/>
  <c r="AH184" i="2"/>
  <c r="AH448" i="2"/>
  <c r="AH165" i="2"/>
  <c r="AH337" i="2"/>
  <c r="AH309" i="2"/>
  <c r="AH213" i="2"/>
  <c r="AH251" i="2"/>
  <c r="AH232" i="2"/>
  <c r="AH276" i="2"/>
  <c r="AH7" i="2"/>
  <c r="AH495" i="2"/>
  <c r="AH486" i="2"/>
  <c r="AH219" i="2"/>
  <c r="AH262" i="2"/>
  <c r="AH45" i="2"/>
  <c r="AH67" i="2"/>
  <c r="AH169" i="2"/>
  <c r="AH94" i="2"/>
  <c r="AH291" i="2"/>
  <c r="AH181" i="2"/>
  <c r="AH191" i="2"/>
  <c r="AH247" i="2"/>
  <c r="AH221" i="2"/>
  <c r="AH198" i="2"/>
  <c r="AH111" i="2"/>
  <c r="AH421" i="2"/>
  <c r="AH107" i="2"/>
  <c r="AH224" i="2"/>
  <c r="AH425" i="2"/>
  <c r="AH46" i="2"/>
  <c r="AH155" i="2"/>
  <c r="AH349" i="2"/>
  <c r="AH202" i="2"/>
  <c r="AH373" i="2"/>
  <c r="AH414" i="2"/>
  <c r="AH500" i="2"/>
  <c r="AH189" i="2"/>
  <c r="AH438" i="2"/>
  <c r="AH228" i="2"/>
  <c r="AH256" i="2"/>
  <c r="AH87" i="2"/>
  <c r="AH218" i="2"/>
  <c r="AH64" i="2"/>
  <c r="AH338" i="2"/>
  <c r="AH259" i="2"/>
  <c r="AH283" i="2"/>
  <c r="AH229" i="2"/>
  <c r="AH201" i="2"/>
  <c r="AH326" i="2"/>
  <c r="AH231" i="2"/>
  <c r="AH79" i="2"/>
  <c r="AH128" i="2"/>
  <c r="AH124" i="2"/>
  <c r="AH200" i="2"/>
  <c r="AH494" i="2"/>
  <c r="AH42" i="2"/>
  <c r="AH436" i="2"/>
  <c r="AH112" i="2"/>
  <c r="AH56" i="2"/>
  <c r="AH484" i="2"/>
  <c r="AH474" i="2"/>
  <c r="AH55" i="2"/>
  <c r="AH63" i="2"/>
  <c r="AH369" i="2"/>
  <c r="AH501" i="2"/>
  <c r="AH8" i="2"/>
  <c r="AH396" i="2"/>
  <c r="AH199" i="2"/>
  <c r="AH491" i="2"/>
  <c r="AH477" i="2"/>
  <c r="AH409" i="2"/>
  <c r="AH364" i="2"/>
  <c r="AH473" i="2"/>
  <c r="AH173" i="2"/>
  <c r="AH303" i="2"/>
  <c r="AH404" i="2"/>
  <c r="AH106" i="2"/>
  <c r="AH290" i="2"/>
  <c r="AH235" i="2"/>
  <c r="AH294" i="2"/>
  <c r="AH265" i="2"/>
  <c r="AH352" i="2"/>
  <c r="AH139" i="2"/>
  <c r="AH238" i="2"/>
  <c r="AH34" i="2"/>
  <c r="AH123" i="2"/>
  <c r="AH170" i="2"/>
  <c r="AH339" i="2"/>
  <c r="AH250" i="2"/>
  <c r="AH158" i="2"/>
  <c r="AH374" i="2"/>
  <c r="AH320" i="2"/>
  <c r="AH19" i="2"/>
  <c r="AH92" i="2"/>
  <c r="AH237" i="2"/>
  <c r="AH307" i="2"/>
  <c r="AH98" i="2"/>
  <c r="AH175" i="2"/>
  <c r="AH403" i="2"/>
  <c r="AH442" i="2"/>
  <c r="AH246" i="2"/>
  <c r="AH166" i="2"/>
  <c r="AH463" i="2"/>
  <c r="AH104" i="2"/>
  <c r="AH476" i="2"/>
  <c r="AH118" i="2"/>
  <c r="AH375" i="2"/>
  <c r="AH177" i="2"/>
  <c r="AH411" i="2"/>
  <c r="AH240" i="2"/>
  <c r="AH466" i="2"/>
  <c r="AH462" i="2"/>
  <c r="AH68" i="2"/>
  <c r="AH327" i="2"/>
  <c r="AH406" i="2"/>
  <c r="AH151" i="2"/>
  <c r="AH465" i="2"/>
  <c r="AH310" i="2"/>
  <c r="AH223" i="2"/>
  <c r="AH358" i="2"/>
  <c r="AH395" i="2"/>
  <c r="AH5" i="2"/>
  <c r="AH440" i="2"/>
  <c r="AH311" i="2"/>
  <c r="AH2" i="2"/>
  <c r="AH72" i="2"/>
  <c r="AH471" i="2"/>
  <c r="AH255" i="2"/>
  <c r="AH449" i="2"/>
  <c r="AH209" i="2"/>
  <c r="AH286" i="2"/>
  <c r="AH387" i="2"/>
  <c r="AH216" i="2"/>
  <c r="AH407" i="2"/>
  <c r="AH48" i="2"/>
  <c r="AH379" i="2"/>
  <c r="AH192" i="2"/>
  <c r="AH108" i="2"/>
  <c r="AH105" i="2"/>
  <c r="AH254" i="2"/>
  <c r="AH429" i="2"/>
  <c r="AH57" i="2"/>
  <c r="AH260" i="2"/>
  <c r="AH230" i="2"/>
  <c r="AH391" i="2"/>
  <c r="AH61" i="2"/>
  <c r="AH268" i="2"/>
  <c r="AH485" i="2"/>
  <c r="AH186" i="2"/>
  <c r="AH236" i="2"/>
  <c r="AH330" i="2"/>
  <c r="AH360" i="2"/>
  <c r="AH445" i="2"/>
  <c r="AH275" i="2"/>
  <c r="AH431" i="2"/>
  <c r="AH492" i="2"/>
  <c r="AH305" i="2"/>
  <c r="AH368" i="2"/>
  <c r="AH348" i="2"/>
  <c r="AH78" i="2"/>
  <c r="AH41" i="2"/>
  <c r="AH4" i="2"/>
  <c r="AH95" i="2"/>
  <c r="AH38" i="2"/>
  <c r="AH49" i="2"/>
  <c r="AH154" i="2"/>
  <c r="AH393" i="2"/>
  <c r="AH464" i="2"/>
  <c r="AH69" i="2"/>
  <c r="AH331" i="2"/>
  <c r="AH82" i="2"/>
  <c r="AH381" i="2"/>
  <c r="AH249" i="2"/>
  <c r="AH334" i="2"/>
  <c r="AH59" i="2"/>
  <c r="AH62" i="2"/>
  <c r="AH13" i="2"/>
  <c r="AH14" i="2"/>
  <c r="AH133" i="2"/>
  <c r="AH354" i="2"/>
  <c r="AH222" i="2"/>
  <c r="AH355" i="2"/>
  <c r="AH217" i="2"/>
  <c r="AH269" i="2"/>
  <c r="AH88" i="2"/>
  <c r="AH390" i="2"/>
  <c r="AH292" i="2"/>
  <c r="AH483" i="2"/>
  <c r="AH109" i="2"/>
  <c r="AH53" i="2"/>
  <c r="AH150" i="2"/>
  <c r="AH28" i="2"/>
  <c r="AH163" i="2"/>
  <c r="AH295" i="2"/>
  <c r="AH147" i="2"/>
  <c r="AH446" i="2"/>
  <c r="AH54" i="2"/>
  <c r="AH206" i="2"/>
  <c r="AH289" i="2"/>
  <c r="AH490" i="2"/>
  <c r="AH324" i="2"/>
  <c r="AH413" i="2"/>
  <c r="AH318" i="2"/>
  <c r="AH26" i="2"/>
  <c r="AH284" i="2"/>
  <c r="AH297" i="2"/>
  <c r="AH430" i="2"/>
  <c r="AH361" i="2"/>
  <c r="AH126" i="2"/>
  <c r="AH148" i="2"/>
  <c r="AH152" i="2"/>
  <c r="AH71" i="2"/>
  <c r="AH172" i="2"/>
  <c r="AH488" i="2"/>
  <c r="AH119" i="2"/>
  <c r="AH66" i="2"/>
  <c r="AH461" i="2"/>
  <c r="AH308" i="2"/>
  <c r="AH325" i="2"/>
  <c r="AH428" i="2"/>
  <c r="AH376" i="2"/>
  <c r="AH210" i="2"/>
  <c r="AH424" i="2"/>
  <c r="AH86" i="2"/>
  <c r="AH405" i="2"/>
  <c r="AH300" i="2"/>
  <c r="AH264" i="2"/>
  <c r="AH460" i="2"/>
  <c r="AH480" i="2"/>
  <c r="AH306" i="2"/>
  <c r="AH36" i="2"/>
  <c r="AH377" i="2"/>
  <c r="AH60" i="2"/>
  <c r="AH472" i="2"/>
  <c r="AH271" i="2"/>
  <c r="AH241" i="2"/>
  <c r="AH363" i="2"/>
  <c r="AH167" i="2"/>
  <c r="AH312" i="2"/>
  <c r="AH273" i="2"/>
  <c r="AH205" i="2"/>
  <c r="AH74" i="2"/>
  <c r="AH130" i="2"/>
  <c r="AH332" i="2"/>
  <c r="AH346" i="2"/>
  <c r="AH159" i="2"/>
  <c r="AH180" i="2"/>
  <c r="AH11" i="2"/>
  <c r="AH125" i="2"/>
  <c r="AH384" i="2"/>
  <c r="AH419" i="2"/>
  <c r="AH423" i="2"/>
  <c r="AH412" i="2"/>
  <c r="AH16" i="2"/>
  <c r="AH10" i="2"/>
  <c r="AH420" i="2"/>
  <c r="AH378" i="2"/>
  <c r="AH370" i="2"/>
  <c r="AH475" i="2"/>
  <c r="AH120" i="2"/>
  <c r="AH100" i="2"/>
  <c r="AH114" i="2"/>
  <c r="AH433" i="2"/>
  <c r="AH496" i="2"/>
  <c r="AH316" i="2"/>
  <c r="AH43" i="2"/>
  <c r="AH190" i="2"/>
  <c r="AH402" i="2"/>
  <c r="AH102" i="2"/>
  <c r="AH459" i="2"/>
  <c r="AH470" i="2"/>
  <c r="AH25" i="2"/>
  <c r="AH401" i="2"/>
  <c r="AH439" i="2"/>
  <c r="AH389" i="2"/>
  <c r="AH142" i="2"/>
  <c r="AH195" i="2"/>
  <c r="AH336" i="2"/>
  <c r="AH458" i="2"/>
  <c r="AH168" i="2"/>
  <c r="AH380" i="2"/>
  <c r="AH9" i="2"/>
  <c r="AH143" i="2"/>
  <c r="AH253" i="2"/>
  <c r="AH65" i="2"/>
  <c r="AH279" i="2"/>
  <c r="AH455" i="2"/>
  <c r="AH261" i="2"/>
  <c r="AH35" i="2"/>
  <c r="AH31" i="2"/>
  <c r="AH131" i="2"/>
  <c r="AH328" i="2"/>
  <c r="AH81" i="2"/>
  <c r="AH357" i="2"/>
  <c r="AH101" i="2"/>
  <c r="AH345" i="2"/>
  <c r="AH272" i="2"/>
  <c r="AH80" i="2"/>
  <c r="AH138" i="2"/>
  <c r="AH469" i="2"/>
  <c r="AH353" i="2"/>
  <c r="AH116" i="2"/>
  <c r="AH178" i="2"/>
  <c r="AH287" i="2"/>
  <c r="AH351" i="2"/>
  <c r="AH211" i="2"/>
  <c r="AH121" i="2"/>
  <c r="AH3" i="2"/>
  <c r="AH383" i="2"/>
  <c r="AH27" i="2"/>
  <c r="AH160" i="2"/>
  <c r="AH17" i="2"/>
  <c r="AH350" i="2"/>
  <c r="AH258" i="2"/>
  <c r="AH179" i="2"/>
  <c r="AH398" i="2"/>
  <c r="AH242" i="2"/>
  <c r="AH479" i="2"/>
  <c r="AH239" i="2"/>
  <c r="AH487" i="2"/>
  <c r="AH164" i="2"/>
  <c r="AH144" i="2"/>
  <c r="AH298" i="2"/>
  <c r="AH137" i="2"/>
  <c r="AH40" i="2"/>
  <c r="AH447" i="2"/>
  <c r="AH171" i="2"/>
  <c r="AH443" i="2"/>
  <c r="AH44" i="2"/>
  <c r="AH194" i="2"/>
  <c r="AH84" i="2"/>
  <c r="AH182" i="2"/>
  <c r="AH225" i="2"/>
  <c r="AH132" i="2"/>
  <c r="AH103" i="2"/>
  <c r="AH203" i="2"/>
  <c r="AH385" i="2"/>
  <c r="AH47" i="2"/>
  <c r="AH83" i="2"/>
  <c r="AH321" i="2"/>
  <c r="AH319" i="2"/>
  <c r="AH386" i="2"/>
  <c r="AH174" i="2"/>
  <c r="AH270" i="2"/>
  <c r="AH392" i="2"/>
  <c r="AH117" i="2"/>
  <c r="AH422" i="2"/>
  <c r="AH214" i="2"/>
  <c r="AH497" i="2"/>
  <c r="AH274" i="2"/>
  <c r="AH444" i="2"/>
  <c r="AH366" i="2"/>
  <c r="AH410" i="2"/>
  <c r="AH75" i="2"/>
  <c r="AH21" i="2"/>
  <c r="AH208" i="2"/>
  <c r="AH365" i="2"/>
  <c r="AH299" i="2"/>
  <c r="AH293" i="2"/>
  <c r="AH39" i="2"/>
  <c r="AH367" i="2"/>
  <c r="AH161" i="2"/>
  <c r="AH451" i="2"/>
  <c r="AH415" i="2"/>
  <c r="AH6" i="2"/>
  <c r="AH314" i="2"/>
  <c r="AH281" i="2"/>
  <c r="AH434" i="2"/>
  <c r="AH282" i="2"/>
  <c r="AH156" i="2"/>
  <c r="AH400" i="2"/>
  <c r="AH426" i="2"/>
  <c r="AH96" i="2"/>
  <c r="AH188" i="2"/>
  <c r="AH248" i="2"/>
  <c r="AH115" i="2"/>
  <c r="AH140" i="2"/>
  <c r="AH157" i="2"/>
  <c r="AH343" i="2"/>
  <c r="AH416" i="2"/>
  <c r="AH467" i="2"/>
  <c r="AH285" i="2"/>
  <c r="AH145" i="2"/>
  <c r="AH362" i="2"/>
  <c r="AH340" i="2"/>
  <c r="AH187" i="2"/>
  <c r="AH267" i="2"/>
  <c r="AH388" i="2"/>
  <c r="AH288" i="2"/>
  <c r="AH73" i="2"/>
  <c r="AH356" i="2"/>
  <c r="AH70" i="2"/>
  <c r="AH233" i="2"/>
  <c r="AH89" i="2"/>
  <c r="AH149" i="2"/>
  <c r="AH97" i="2"/>
  <c r="AH146" i="2"/>
  <c r="AH333" i="2"/>
  <c r="AH315" i="2"/>
  <c r="AH176" i="2"/>
  <c r="AH90" i="2"/>
  <c r="AH162" i="2"/>
  <c r="AH127" i="2"/>
  <c r="AH408" i="2"/>
  <c r="AH263" i="2"/>
  <c r="AH136" i="2"/>
  <c r="AH12" i="2"/>
  <c r="AH482" i="2"/>
  <c r="AH450" i="2"/>
  <c r="AH427" i="2"/>
  <c r="AH457" i="2"/>
  <c r="AH322" i="2"/>
  <c r="AH51" i="2"/>
  <c r="AH193" i="2"/>
  <c r="AH52" i="2"/>
  <c r="AH382" i="2"/>
  <c r="AH244" i="2"/>
  <c r="AH22" i="2"/>
  <c r="AH243" i="2"/>
  <c r="AH227" i="2"/>
  <c r="AG347" i="2"/>
  <c r="AG452" i="2"/>
  <c r="AG301" i="2"/>
  <c r="AG58" i="2"/>
  <c r="AG110" i="2"/>
  <c r="AG342" i="2"/>
  <c r="AG245" i="2"/>
  <c r="AG24" i="2"/>
  <c r="AG435" i="2"/>
  <c r="AG204" i="2"/>
  <c r="AG344" i="2"/>
  <c r="AG454" i="2"/>
  <c r="AG23" i="2"/>
  <c r="AG234" i="2"/>
  <c r="AG441" i="2"/>
  <c r="AG153" i="2"/>
  <c r="AG468" i="2"/>
  <c r="AG197" i="2"/>
  <c r="AG20" i="2"/>
  <c r="AG134" i="2"/>
  <c r="AG226" i="2"/>
  <c r="AG266" i="2"/>
  <c r="AG317" i="2"/>
  <c r="AG432" i="2"/>
  <c r="AG399" i="2"/>
  <c r="AG493" i="2"/>
  <c r="AG359" i="2"/>
  <c r="AG33" i="2"/>
  <c r="AG196" i="2"/>
  <c r="AG456" i="2"/>
  <c r="AG50" i="2"/>
  <c r="AG113" i="2"/>
  <c r="AG437" i="2"/>
  <c r="AG417" i="2"/>
  <c r="AG15" i="2"/>
  <c r="AG453" i="2"/>
  <c r="AG93" i="2"/>
  <c r="AG85" i="2"/>
  <c r="AG277" i="2"/>
  <c r="AG220" i="2"/>
  <c r="AG371" i="2"/>
  <c r="AG30" i="2"/>
  <c r="AG329" i="2"/>
  <c r="AG335" i="2"/>
  <c r="AG91" i="2"/>
  <c r="AG323" i="2"/>
  <c r="AG183" i="2"/>
  <c r="AG252" i="2"/>
  <c r="AG278" i="2"/>
  <c r="AG498" i="2"/>
  <c r="AG76" i="2"/>
  <c r="AG129" i="2"/>
  <c r="AG32" i="2"/>
  <c r="AG29" i="2"/>
  <c r="AG135" i="2"/>
  <c r="AG394" i="2"/>
  <c r="AG280" i="2"/>
  <c r="AG37" i="2"/>
  <c r="AG304" i="2"/>
  <c r="AG77" i="2"/>
  <c r="AG313" i="2"/>
  <c r="AG141" i="2"/>
  <c r="AG302" i="2"/>
  <c r="AG478" i="2"/>
  <c r="AG99" i="2"/>
  <c r="AG207" i="2"/>
  <c r="AG18" i="2"/>
  <c r="AG257" i="2"/>
  <c r="AG212" i="2"/>
  <c r="AG418" i="2"/>
  <c r="AG397" i="2"/>
  <c r="AG215" i="2"/>
  <c r="AG341" i="2"/>
  <c r="AG489" i="2"/>
  <c r="AG296" i="2"/>
  <c r="AG185" i="2"/>
  <c r="AG122" i="2"/>
  <c r="AG481" i="2"/>
  <c r="AG372" i="2"/>
  <c r="AG499" i="2"/>
  <c r="AG184" i="2"/>
  <c r="AG448" i="2"/>
  <c r="AG165" i="2"/>
  <c r="AG337" i="2"/>
  <c r="AG309" i="2"/>
  <c r="AG213" i="2"/>
  <c r="AG251" i="2"/>
  <c r="AG232" i="2"/>
  <c r="AG276" i="2"/>
  <c r="AG7" i="2"/>
  <c r="AG495" i="2"/>
  <c r="AG486" i="2"/>
  <c r="AG219" i="2"/>
  <c r="AG262" i="2"/>
  <c r="AG45" i="2"/>
  <c r="AG67" i="2"/>
  <c r="AG169" i="2"/>
  <c r="AG94" i="2"/>
  <c r="AG291" i="2"/>
  <c r="AG181" i="2"/>
  <c r="AG191" i="2"/>
  <c r="AG247" i="2"/>
  <c r="AG221" i="2"/>
  <c r="AG198" i="2"/>
  <c r="AG111" i="2"/>
  <c r="AG421" i="2"/>
  <c r="AG107" i="2"/>
  <c r="AG224" i="2"/>
  <c r="AG425" i="2"/>
  <c r="AG46" i="2"/>
  <c r="AG155" i="2"/>
  <c r="AG349" i="2"/>
  <c r="AG202" i="2"/>
  <c r="AG373" i="2"/>
  <c r="AG414" i="2"/>
  <c r="AG500" i="2"/>
  <c r="AG189" i="2"/>
  <c r="AG438" i="2"/>
  <c r="AG228" i="2"/>
  <c r="AG256" i="2"/>
  <c r="AG87" i="2"/>
  <c r="AG218" i="2"/>
  <c r="AG64" i="2"/>
  <c r="AG338" i="2"/>
  <c r="AG259" i="2"/>
  <c r="AG283" i="2"/>
  <c r="AG229" i="2"/>
  <c r="AG201" i="2"/>
  <c r="AG326" i="2"/>
  <c r="AG231" i="2"/>
  <c r="AG79" i="2"/>
  <c r="AG128" i="2"/>
  <c r="AG124" i="2"/>
  <c r="AG200" i="2"/>
  <c r="AG494" i="2"/>
  <c r="AG42" i="2"/>
  <c r="AG436" i="2"/>
  <c r="AG112" i="2"/>
  <c r="AG56" i="2"/>
  <c r="AG484" i="2"/>
  <c r="AG474" i="2"/>
  <c r="AG55" i="2"/>
  <c r="AG63" i="2"/>
  <c r="AG369" i="2"/>
  <c r="AG501" i="2"/>
  <c r="AG8" i="2"/>
  <c r="AG396" i="2"/>
  <c r="AG199" i="2"/>
  <c r="AG491" i="2"/>
  <c r="AG477" i="2"/>
  <c r="AG409" i="2"/>
  <c r="AG364" i="2"/>
  <c r="AG473" i="2"/>
  <c r="AG173" i="2"/>
  <c r="AG303" i="2"/>
  <c r="AG404" i="2"/>
  <c r="AG106" i="2"/>
  <c r="AG290" i="2"/>
  <c r="AG235" i="2"/>
  <c r="AG294" i="2"/>
  <c r="AG265" i="2"/>
  <c r="AG352" i="2"/>
  <c r="AG139" i="2"/>
  <c r="AG238" i="2"/>
  <c r="AG34" i="2"/>
  <c r="AG123" i="2"/>
  <c r="AG170" i="2"/>
  <c r="AG339" i="2"/>
  <c r="AG250" i="2"/>
  <c r="AG158" i="2"/>
  <c r="AG374" i="2"/>
  <c r="AG320" i="2"/>
  <c r="AG19" i="2"/>
  <c r="AG92" i="2"/>
  <c r="AG237" i="2"/>
  <c r="AG307" i="2"/>
  <c r="AG98" i="2"/>
  <c r="AG175" i="2"/>
  <c r="AG403" i="2"/>
  <c r="AG442" i="2"/>
  <c r="AG246" i="2"/>
  <c r="AG166" i="2"/>
  <c r="AG463" i="2"/>
  <c r="AG104" i="2"/>
  <c r="AG476" i="2"/>
  <c r="AG118" i="2"/>
  <c r="AG375" i="2"/>
  <c r="AG177" i="2"/>
  <c r="AG411" i="2"/>
  <c r="AG240" i="2"/>
  <c r="AG466" i="2"/>
  <c r="AG462" i="2"/>
  <c r="AG68" i="2"/>
  <c r="AG327" i="2"/>
  <c r="AG406" i="2"/>
  <c r="AG151" i="2"/>
  <c r="AG465" i="2"/>
  <c r="AG310" i="2"/>
  <c r="AG223" i="2"/>
  <c r="AG358" i="2"/>
  <c r="AG395" i="2"/>
  <c r="AG5" i="2"/>
  <c r="AG440" i="2"/>
  <c r="AG311" i="2"/>
  <c r="AG2" i="2"/>
  <c r="AG72" i="2"/>
  <c r="AG471" i="2"/>
  <c r="AG255" i="2"/>
  <c r="AG449" i="2"/>
  <c r="AG209" i="2"/>
  <c r="AG286" i="2"/>
  <c r="AG387" i="2"/>
  <c r="AG216" i="2"/>
  <c r="AG407" i="2"/>
  <c r="AG48" i="2"/>
  <c r="AG379" i="2"/>
  <c r="AG192" i="2"/>
  <c r="AG108" i="2"/>
  <c r="AG105" i="2"/>
  <c r="AG254" i="2"/>
  <c r="AG429" i="2"/>
  <c r="AG57" i="2"/>
  <c r="AG260" i="2"/>
  <c r="AG230" i="2"/>
  <c r="AG391" i="2"/>
  <c r="AG61" i="2"/>
  <c r="AG268" i="2"/>
  <c r="AG485" i="2"/>
  <c r="AG186" i="2"/>
  <c r="AG236" i="2"/>
  <c r="AG330" i="2"/>
  <c r="AG360" i="2"/>
  <c r="AG445" i="2"/>
  <c r="AG275" i="2"/>
  <c r="AG431" i="2"/>
  <c r="AG492" i="2"/>
  <c r="AG305" i="2"/>
  <c r="AG368" i="2"/>
  <c r="AG348" i="2"/>
  <c r="AG78" i="2"/>
  <c r="AG41" i="2"/>
  <c r="AG4" i="2"/>
  <c r="AG95" i="2"/>
  <c r="AG38" i="2"/>
  <c r="AG49" i="2"/>
  <c r="AG154" i="2"/>
  <c r="AG393" i="2"/>
  <c r="AG464" i="2"/>
  <c r="AG69" i="2"/>
  <c r="AG331" i="2"/>
  <c r="AG82" i="2"/>
  <c r="AG381" i="2"/>
  <c r="AG249" i="2"/>
  <c r="AG334" i="2"/>
  <c r="AG59" i="2"/>
  <c r="AG62" i="2"/>
  <c r="AG13" i="2"/>
  <c r="AG14" i="2"/>
  <c r="AG133" i="2"/>
  <c r="AG354" i="2"/>
  <c r="AG222" i="2"/>
  <c r="AG355" i="2"/>
  <c r="AG217" i="2"/>
  <c r="AG269" i="2"/>
  <c r="AG88" i="2"/>
  <c r="AG390" i="2"/>
  <c r="AG292" i="2"/>
  <c r="AG483" i="2"/>
  <c r="AG109" i="2"/>
  <c r="AG53" i="2"/>
  <c r="AG150" i="2"/>
  <c r="AG28" i="2"/>
  <c r="AG163" i="2"/>
  <c r="AG295" i="2"/>
  <c r="AG147" i="2"/>
  <c r="AG446" i="2"/>
  <c r="AG54" i="2"/>
  <c r="AG206" i="2"/>
  <c r="AG289" i="2"/>
  <c r="AG490" i="2"/>
  <c r="AG324" i="2"/>
  <c r="AG413" i="2"/>
  <c r="AG318" i="2"/>
  <c r="AG26" i="2"/>
  <c r="AG284" i="2"/>
  <c r="AG297" i="2"/>
  <c r="AG430" i="2"/>
  <c r="AG361" i="2"/>
  <c r="AG126" i="2"/>
  <c r="AG148" i="2"/>
  <c r="AG152" i="2"/>
  <c r="AG71" i="2"/>
  <c r="AG172" i="2"/>
  <c r="AG488" i="2"/>
  <c r="AG119" i="2"/>
  <c r="AG66" i="2"/>
  <c r="AG461" i="2"/>
  <c r="AG308" i="2"/>
  <c r="AG325" i="2"/>
  <c r="AG428" i="2"/>
  <c r="AG376" i="2"/>
  <c r="AG210" i="2"/>
  <c r="AG424" i="2"/>
  <c r="AG86" i="2"/>
  <c r="AG405" i="2"/>
  <c r="AG300" i="2"/>
  <c r="AG264" i="2"/>
  <c r="AG460" i="2"/>
  <c r="AG480" i="2"/>
  <c r="AG306" i="2"/>
  <c r="AG36" i="2"/>
  <c r="AG377" i="2"/>
  <c r="AG60" i="2"/>
  <c r="AG472" i="2"/>
  <c r="AG271" i="2"/>
  <c r="AG241" i="2"/>
  <c r="AG363" i="2"/>
  <c r="AG167" i="2"/>
  <c r="AG312" i="2"/>
  <c r="AG273" i="2"/>
  <c r="AG205" i="2"/>
  <c r="AG74" i="2"/>
  <c r="AG130" i="2"/>
  <c r="AG332" i="2"/>
  <c r="AG346" i="2"/>
  <c r="AG159" i="2"/>
  <c r="AG180" i="2"/>
  <c r="AG11" i="2"/>
  <c r="AG125" i="2"/>
  <c r="AG384" i="2"/>
  <c r="AG419" i="2"/>
  <c r="AG423" i="2"/>
  <c r="AG412" i="2"/>
  <c r="AG16" i="2"/>
  <c r="AG10" i="2"/>
  <c r="AG420" i="2"/>
  <c r="AG378" i="2"/>
  <c r="AG370" i="2"/>
  <c r="AG475" i="2"/>
  <c r="AG120" i="2"/>
  <c r="AG100" i="2"/>
  <c r="AG114" i="2"/>
  <c r="AG433" i="2"/>
  <c r="AG496" i="2"/>
  <c r="AG316" i="2"/>
  <c r="AG43" i="2"/>
  <c r="AG190" i="2"/>
  <c r="AG402" i="2"/>
  <c r="AG102" i="2"/>
  <c r="AG459" i="2"/>
  <c r="AG470" i="2"/>
  <c r="AG25" i="2"/>
  <c r="AG401" i="2"/>
  <c r="AG439" i="2"/>
  <c r="AG389" i="2"/>
  <c r="AG142" i="2"/>
  <c r="AG195" i="2"/>
  <c r="AG336" i="2"/>
  <c r="AG458" i="2"/>
  <c r="AG168" i="2"/>
  <c r="AG380" i="2"/>
  <c r="AG9" i="2"/>
  <c r="AG143" i="2"/>
  <c r="AG253" i="2"/>
  <c r="AG65" i="2"/>
  <c r="AG279" i="2"/>
  <c r="AG455" i="2"/>
  <c r="AG261" i="2"/>
  <c r="AG35" i="2"/>
  <c r="AG31" i="2"/>
  <c r="AG131" i="2"/>
  <c r="AG328" i="2"/>
  <c r="AG81" i="2"/>
  <c r="AG357" i="2"/>
  <c r="AG101" i="2"/>
  <c r="AG345" i="2"/>
  <c r="AG272" i="2"/>
  <c r="AG80" i="2"/>
  <c r="AG138" i="2"/>
  <c r="AG469" i="2"/>
  <c r="AG353" i="2"/>
  <c r="AG116" i="2"/>
  <c r="AG178" i="2"/>
  <c r="AG287" i="2"/>
  <c r="AG351" i="2"/>
  <c r="AG211" i="2"/>
  <c r="AG121" i="2"/>
  <c r="AG3" i="2"/>
  <c r="AG383" i="2"/>
  <c r="AG27" i="2"/>
  <c r="AG160" i="2"/>
  <c r="AG17" i="2"/>
  <c r="AG350" i="2"/>
  <c r="AG258" i="2"/>
  <c r="AG179" i="2"/>
  <c r="AG398" i="2"/>
  <c r="AG242" i="2"/>
  <c r="AG479" i="2"/>
  <c r="AG239" i="2"/>
  <c r="AG487" i="2"/>
  <c r="AG164" i="2"/>
  <c r="AG144" i="2"/>
  <c r="AG298" i="2"/>
  <c r="AG137" i="2"/>
  <c r="AG40" i="2"/>
  <c r="AG447" i="2"/>
  <c r="AG171" i="2"/>
  <c r="AG443" i="2"/>
  <c r="AG44" i="2"/>
  <c r="AG194" i="2"/>
  <c r="AG84" i="2"/>
  <c r="AG182" i="2"/>
  <c r="AG225" i="2"/>
  <c r="AG132" i="2"/>
  <c r="AG103" i="2"/>
  <c r="AG203" i="2"/>
  <c r="AG385" i="2"/>
  <c r="AG47" i="2"/>
  <c r="AG83" i="2"/>
  <c r="AG321" i="2"/>
  <c r="AG319" i="2"/>
  <c r="AG386" i="2"/>
  <c r="AG174" i="2"/>
  <c r="AG270" i="2"/>
  <c r="AG392" i="2"/>
  <c r="AG117" i="2"/>
  <c r="AG422" i="2"/>
  <c r="AG214" i="2"/>
  <c r="AG497" i="2"/>
  <c r="AG274" i="2"/>
  <c r="AG444" i="2"/>
  <c r="AG366" i="2"/>
  <c r="AG410" i="2"/>
  <c r="AG75" i="2"/>
  <c r="AG21" i="2"/>
  <c r="AG208" i="2"/>
  <c r="AG365" i="2"/>
  <c r="AG299" i="2"/>
  <c r="AG293" i="2"/>
  <c r="AG39" i="2"/>
  <c r="AG367" i="2"/>
  <c r="AG161" i="2"/>
  <c r="AG451" i="2"/>
  <c r="AG415" i="2"/>
  <c r="AG6" i="2"/>
  <c r="AG314" i="2"/>
  <c r="AG281" i="2"/>
  <c r="AG434" i="2"/>
  <c r="AG282" i="2"/>
  <c r="AG156" i="2"/>
  <c r="AG400" i="2"/>
  <c r="AG426" i="2"/>
  <c r="AG96" i="2"/>
  <c r="AG188" i="2"/>
  <c r="AG248" i="2"/>
  <c r="AG115" i="2"/>
  <c r="AG140" i="2"/>
  <c r="AG157" i="2"/>
  <c r="AG343" i="2"/>
  <c r="AG416" i="2"/>
  <c r="AG467" i="2"/>
  <c r="AG285" i="2"/>
  <c r="AG145" i="2"/>
  <c r="AG362" i="2"/>
  <c r="AG340" i="2"/>
  <c r="AG187" i="2"/>
  <c r="AG267" i="2"/>
  <c r="AG388" i="2"/>
  <c r="AG288" i="2"/>
  <c r="AG73" i="2"/>
  <c r="AG356" i="2"/>
  <c r="AG70" i="2"/>
  <c r="AG233" i="2"/>
  <c r="AG89" i="2"/>
  <c r="AG149" i="2"/>
  <c r="AG97" i="2"/>
  <c r="AG146" i="2"/>
  <c r="AG333" i="2"/>
  <c r="AG315" i="2"/>
  <c r="AG176" i="2"/>
  <c r="AG90" i="2"/>
  <c r="AG162" i="2"/>
  <c r="AG127" i="2"/>
  <c r="AG408" i="2"/>
  <c r="AG263" i="2"/>
  <c r="AG136" i="2"/>
  <c r="AG12" i="2"/>
  <c r="AG482" i="2"/>
  <c r="AG450" i="2"/>
  <c r="AG427" i="2"/>
  <c r="AG457" i="2"/>
  <c r="AG322" i="2"/>
  <c r="AG51" i="2"/>
  <c r="AG193" i="2"/>
  <c r="AG52" i="2"/>
  <c r="AG382" i="2"/>
  <c r="AG244" i="2"/>
  <c r="AG22" i="2"/>
  <c r="AG243" i="2"/>
  <c r="AG227" i="2"/>
  <c r="AF347" i="2"/>
  <c r="AF452" i="2"/>
  <c r="AF301" i="2"/>
  <c r="AF58" i="2"/>
  <c r="AF110" i="2"/>
  <c r="AF342" i="2"/>
  <c r="AF245" i="2"/>
  <c r="AF24" i="2"/>
  <c r="AF435" i="2"/>
  <c r="AF204" i="2"/>
  <c r="AF344" i="2"/>
  <c r="AF454" i="2"/>
  <c r="AF23" i="2"/>
  <c r="AF234" i="2"/>
  <c r="AF441" i="2"/>
  <c r="AF153" i="2"/>
  <c r="AF468" i="2"/>
  <c r="AF197" i="2"/>
  <c r="AF20" i="2"/>
  <c r="AF134" i="2"/>
  <c r="AF226" i="2"/>
  <c r="AF266" i="2"/>
  <c r="AF317" i="2"/>
  <c r="AF432" i="2"/>
  <c r="AF399" i="2"/>
  <c r="AF493" i="2"/>
  <c r="AF359" i="2"/>
  <c r="AF33" i="2"/>
  <c r="AF196" i="2"/>
  <c r="AF456" i="2"/>
  <c r="AF50" i="2"/>
  <c r="AF113" i="2"/>
  <c r="AF437" i="2"/>
  <c r="AF417" i="2"/>
  <c r="AF15" i="2"/>
  <c r="AF453" i="2"/>
  <c r="AF93" i="2"/>
  <c r="AF85" i="2"/>
  <c r="AF277" i="2"/>
  <c r="AF220" i="2"/>
  <c r="AF371" i="2"/>
  <c r="AF30" i="2"/>
  <c r="AF329" i="2"/>
  <c r="AF335" i="2"/>
  <c r="AF91" i="2"/>
  <c r="AF323" i="2"/>
  <c r="AF183" i="2"/>
  <c r="AF252" i="2"/>
  <c r="AF278" i="2"/>
  <c r="AF498" i="2"/>
  <c r="AF76" i="2"/>
  <c r="AF129" i="2"/>
  <c r="AF32" i="2"/>
  <c r="AF29" i="2"/>
  <c r="AF135" i="2"/>
  <c r="AF394" i="2"/>
  <c r="AF280" i="2"/>
  <c r="AF37" i="2"/>
  <c r="AF304" i="2"/>
  <c r="AF77" i="2"/>
  <c r="AF313" i="2"/>
  <c r="AF141" i="2"/>
  <c r="AF302" i="2"/>
  <c r="AF478" i="2"/>
  <c r="AF99" i="2"/>
  <c r="AF207" i="2"/>
  <c r="AF18" i="2"/>
  <c r="AF257" i="2"/>
  <c r="AF212" i="2"/>
  <c r="AF418" i="2"/>
  <c r="AF397" i="2"/>
  <c r="AF215" i="2"/>
  <c r="AF341" i="2"/>
  <c r="AF489" i="2"/>
  <c r="AF296" i="2"/>
  <c r="AF185" i="2"/>
  <c r="AF122" i="2"/>
  <c r="AF481" i="2"/>
  <c r="AF372" i="2"/>
  <c r="AF499" i="2"/>
  <c r="AF184" i="2"/>
  <c r="AF448" i="2"/>
  <c r="AF165" i="2"/>
  <c r="AF337" i="2"/>
  <c r="AF309" i="2"/>
  <c r="AF213" i="2"/>
  <c r="AF251" i="2"/>
  <c r="AF232" i="2"/>
  <c r="AF276" i="2"/>
  <c r="AF7" i="2"/>
  <c r="AF495" i="2"/>
  <c r="AF486" i="2"/>
  <c r="AF219" i="2"/>
  <c r="AF262" i="2"/>
  <c r="AF45" i="2"/>
  <c r="AF67" i="2"/>
  <c r="AF169" i="2"/>
  <c r="AF94" i="2"/>
  <c r="AF291" i="2"/>
  <c r="AF181" i="2"/>
  <c r="AF191" i="2"/>
  <c r="AF247" i="2"/>
  <c r="AF221" i="2"/>
  <c r="AF198" i="2"/>
  <c r="AF111" i="2"/>
  <c r="AF421" i="2"/>
  <c r="AF107" i="2"/>
  <c r="AF224" i="2"/>
  <c r="AF425" i="2"/>
  <c r="AF46" i="2"/>
  <c r="AF155" i="2"/>
  <c r="AF349" i="2"/>
  <c r="AF202" i="2"/>
  <c r="AF373" i="2"/>
  <c r="AF414" i="2"/>
  <c r="AF500" i="2"/>
  <c r="AF189" i="2"/>
  <c r="AF438" i="2"/>
  <c r="AF228" i="2"/>
  <c r="AF256" i="2"/>
  <c r="AF87" i="2"/>
  <c r="AF218" i="2"/>
  <c r="AF64" i="2"/>
  <c r="AF338" i="2"/>
  <c r="AF259" i="2"/>
  <c r="AF283" i="2"/>
  <c r="AF229" i="2"/>
  <c r="AF201" i="2"/>
  <c r="AF326" i="2"/>
  <c r="AF231" i="2"/>
  <c r="AF79" i="2"/>
  <c r="AF128" i="2"/>
  <c r="AF124" i="2"/>
  <c r="AF200" i="2"/>
  <c r="AF494" i="2"/>
  <c r="AF42" i="2"/>
  <c r="AF436" i="2"/>
  <c r="AF112" i="2"/>
  <c r="AF56" i="2"/>
  <c r="AF484" i="2"/>
  <c r="AF474" i="2"/>
  <c r="AF55" i="2"/>
  <c r="AF63" i="2"/>
  <c r="AF369" i="2"/>
  <c r="AF501" i="2"/>
  <c r="AF8" i="2"/>
  <c r="AF396" i="2"/>
  <c r="AF199" i="2"/>
  <c r="AF491" i="2"/>
  <c r="AF477" i="2"/>
  <c r="AF409" i="2"/>
  <c r="AF364" i="2"/>
  <c r="AF473" i="2"/>
  <c r="AF173" i="2"/>
  <c r="AF303" i="2"/>
  <c r="AF404" i="2"/>
  <c r="AF106" i="2"/>
  <c r="AF290" i="2"/>
  <c r="AF235" i="2"/>
  <c r="AF294" i="2"/>
  <c r="AF265" i="2"/>
  <c r="AF352" i="2"/>
  <c r="AF139" i="2"/>
  <c r="AF238" i="2"/>
  <c r="AF34" i="2"/>
  <c r="AF123" i="2"/>
  <c r="AF170" i="2"/>
  <c r="AF339" i="2"/>
  <c r="AF250" i="2"/>
  <c r="AF158" i="2"/>
  <c r="AF374" i="2"/>
  <c r="AF320" i="2"/>
  <c r="AF19" i="2"/>
  <c r="AF92" i="2"/>
  <c r="AF237" i="2"/>
  <c r="AF307" i="2"/>
  <c r="AF98" i="2"/>
  <c r="AF175" i="2"/>
  <c r="AF403" i="2"/>
  <c r="AF442" i="2"/>
  <c r="AF246" i="2"/>
  <c r="AF166" i="2"/>
  <c r="AF463" i="2"/>
  <c r="AF104" i="2"/>
  <c r="AF476" i="2"/>
  <c r="AF118" i="2"/>
  <c r="AF375" i="2"/>
  <c r="AF177" i="2"/>
  <c r="AF411" i="2"/>
  <c r="AF240" i="2"/>
  <c r="AF466" i="2"/>
  <c r="AF462" i="2"/>
  <c r="AF68" i="2"/>
  <c r="AF327" i="2"/>
  <c r="AF406" i="2"/>
  <c r="AF151" i="2"/>
  <c r="AF465" i="2"/>
  <c r="AF310" i="2"/>
  <c r="AF223" i="2"/>
  <c r="AF358" i="2"/>
  <c r="AF395" i="2"/>
  <c r="AF5" i="2"/>
  <c r="AF440" i="2"/>
  <c r="AF311" i="2"/>
  <c r="AF2" i="2"/>
  <c r="AF72" i="2"/>
  <c r="AF471" i="2"/>
  <c r="AF255" i="2"/>
  <c r="AF449" i="2"/>
  <c r="AF209" i="2"/>
  <c r="AF286" i="2"/>
  <c r="AF387" i="2"/>
  <c r="AF216" i="2"/>
  <c r="AF407" i="2"/>
  <c r="AF48" i="2"/>
  <c r="AF379" i="2"/>
  <c r="AF192" i="2"/>
  <c r="AF108" i="2"/>
  <c r="AF105" i="2"/>
  <c r="AF254" i="2"/>
  <c r="AF429" i="2"/>
  <c r="AF57" i="2"/>
  <c r="AF260" i="2"/>
  <c r="AF230" i="2"/>
  <c r="AF391" i="2"/>
  <c r="AF61" i="2"/>
  <c r="AF268" i="2"/>
  <c r="AF485" i="2"/>
  <c r="AF186" i="2"/>
  <c r="AF236" i="2"/>
  <c r="AF330" i="2"/>
  <c r="AF360" i="2"/>
  <c r="AF445" i="2"/>
  <c r="AF275" i="2"/>
  <c r="AF431" i="2"/>
  <c r="AF492" i="2"/>
  <c r="AF305" i="2"/>
  <c r="AF368" i="2"/>
  <c r="AF348" i="2"/>
  <c r="AF78" i="2"/>
  <c r="AF41" i="2"/>
  <c r="AF4" i="2"/>
  <c r="AF95" i="2"/>
  <c r="AF38" i="2"/>
  <c r="AF49" i="2"/>
  <c r="AF154" i="2"/>
  <c r="AF393" i="2"/>
  <c r="AF464" i="2"/>
  <c r="AF69" i="2"/>
  <c r="AF331" i="2"/>
  <c r="AF82" i="2"/>
  <c r="AF381" i="2"/>
  <c r="AF249" i="2"/>
  <c r="AF334" i="2"/>
  <c r="AF59" i="2"/>
  <c r="AF62" i="2"/>
  <c r="AF13" i="2"/>
  <c r="AF14" i="2"/>
  <c r="AF133" i="2"/>
  <c r="AF354" i="2"/>
  <c r="AF222" i="2"/>
  <c r="AF355" i="2"/>
  <c r="AF217" i="2"/>
  <c r="AF269" i="2"/>
  <c r="AF88" i="2"/>
  <c r="AF390" i="2"/>
  <c r="AF292" i="2"/>
  <c r="AF483" i="2"/>
  <c r="AF109" i="2"/>
  <c r="AF53" i="2"/>
  <c r="AF150" i="2"/>
  <c r="AF28" i="2"/>
  <c r="AF163" i="2"/>
  <c r="AF295" i="2"/>
  <c r="AF147" i="2"/>
  <c r="AF446" i="2"/>
  <c r="AF54" i="2"/>
  <c r="AF206" i="2"/>
  <c r="AF289" i="2"/>
  <c r="AF490" i="2"/>
  <c r="AF324" i="2"/>
  <c r="AF413" i="2"/>
  <c r="AF318" i="2"/>
  <c r="AF26" i="2"/>
  <c r="AF284" i="2"/>
  <c r="AF297" i="2"/>
  <c r="AF430" i="2"/>
  <c r="AF361" i="2"/>
  <c r="AF126" i="2"/>
  <c r="AF148" i="2"/>
  <c r="AF152" i="2"/>
  <c r="AF71" i="2"/>
  <c r="AF172" i="2"/>
  <c r="AF488" i="2"/>
  <c r="AF119" i="2"/>
  <c r="AF66" i="2"/>
  <c r="AF461" i="2"/>
  <c r="AF308" i="2"/>
  <c r="AF325" i="2"/>
  <c r="AF428" i="2"/>
  <c r="AF376" i="2"/>
  <c r="AF210" i="2"/>
  <c r="AF424" i="2"/>
  <c r="AF86" i="2"/>
  <c r="AF405" i="2"/>
  <c r="AF300" i="2"/>
  <c r="AF264" i="2"/>
  <c r="AF460" i="2"/>
  <c r="AF480" i="2"/>
  <c r="AF306" i="2"/>
  <c r="AF36" i="2"/>
  <c r="AF377" i="2"/>
  <c r="AF60" i="2"/>
  <c r="AF472" i="2"/>
  <c r="AF271" i="2"/>
  <c r="AF241" i="2"/>
  <c r="AF363" i="2"/>
  <c r="AF167" i="2"/>
  <c r="AF312" i="2"/>
  <c r="AF273" i="2"/>
  <c r="AF205" i="2"/>
  <c r="AF74" i="2"/>
  <c r="AF130" i="2"/>
  <c r="AF332" i="2"/>
  <c r="AF346" i="2"/>
  <c r="AF159" i="2"/>
  <c r="AF180" i="2"/>
  <c r="AF11" i="2"/>
  <c r="AF125" i="2"/>
  <c r="AF384" i="2"/>
  <c r="AF419" i="2"/>
  <c r="AF423" i="2"/>
  <c r="AF412" i="2"/>
  <c r="AF16" i="2"/>
  <c r="AF10" i="2"/>
  <c r="AF420" i="2"/>
  <c r="AF378" i="2"/>
  <c r="AF370" i="2"/>
  <c r="AF475" i="2"/>
  <c r="AF120" i="2"/>
  <c r="AF100" i="2"/>
  <c r="AF114" i="2"/>
  <c r="AF433" i="2"/>
  <c r="AF496" i="2"/>
  <c r="AF316" i="2"/>
  <c r="AF43" i="2"/>
  <c r="AF190" i="2"/>
  <c r="AF402" i="2"/>
  <c r="AF102" i="2"/>
  <c r="AF459" i="2"/>
  <c r="AF470" i="2"/>
  <c r="AF25" i="2"/>
  <c r="AF401" i="2"/>
  <c r="AF439" i="2"/>
  <c r="AF389" i="2"/>
  <c r="AF142" i="2"/>
  <c r="AF195" i="2"/>
  <c r="AF336" i="2"/>
  <c r="AF458" i="2"/>
  <c r="AF168" i="2"/>
  <c r="AF380" i="2"/>
  <c r="AF9" i="2"/>
  <c r="AF143" i="2"/>
  <c r="AF253" i="2"/>
  <c r="AF65" i="2"/>
  <c r="AF279" i="2"/>
  <c r="AF455" i="2"/>
  <c r="AF261" i="2"/>
  <c r="AF35" i="2"/>
  <c r="AF31" i="2"/>
  <c r="AF131" i="2"/>
  <c r="AF328" i="2"/>
  <c r="AF81" i="2"/>
  <c r="AF357" i="2"/>
  <c r="AF101" i="2"/>
  <c r="AF345" i="2"/>
  <c r="AF272" i="2"/>
  <c r="AF80" i="2"/>
  <c r="AF138" i="2"/>
  <c r="AF469" i="2"/>
  <c r="AF353" i="2"/>
  <c r="AF116" i="2"/>
  <c r="AF178" i="2"/>
  <c r="AF287" i="2"/>
  <c r="AF351" i="2"/>
  <c r="AF211" i="2"/>
  <c r="AF121" i="2"/>
  <c r="AF3" i="2"/>
  <c r="AF383" i="2"/>
  <c r="AF27" i="2"/>
  <c r="AF160" i="2"/>
  <c r="AF17" i="2"/>
  <c r="AF350" i="2"/>
  <c r="AF258" i="2"/>
  <c r="AF179" i="2"/>
  <c r="AF398" i="2"/>
  <c r="AF242" i="2"/>
  <c r="AF479" i="2"/>
  <c r="AF239" i="2"/>
  <c r="AF487" i="2"/>
  <c r="AF164" i="2"/>
  <c r="AF144" i="2"/>
  <c r="AF298" i="2"/>
  <c r="AF137" i="2"/>
  <c r="AF40" i="2"/>
  <c r="AF447" i="2"/>
  <c r="AF171" i="2"/>
  <c r="AF443" i="2"/>
  <c r="AF44" i="2"/>
  <c r="AF194" i="2"/>
  <c r="AF84" i="2"/>
  <c r="AF182" i="2"/>
  <c r="AF225" i="2"/>
  <c r="AF132" i="2"/>
  <c r="AF103" i="2"/>
  <c r="AF203" i="2"/>
  <c r="AF385" i="2"/>
  <c r="AF47" i="2"/>
  <c r="AF83" i="2"/>
  <c r="AF321" i="2"/>
  <c r="AF319" i="2"/>
  <c r="AF386" i="2"/>
  <c r="AF174" i="2"/>
  <c r="AF270" i="2"/>
  <c r="AF392" i="2"/>
  <c r="AF117" i="2"/>
  <c r="AF422" i="2"/>
  <c r="AF214" i="2"/>
  <c r="AF497" i="2"/>
  <c r="AF274" i="2"/>
  <c r="AF444" i="2"/>
  <c r="AF366" i="2"/>
  <c r="AF410" i="2"/>
  <c r="AF75" i="2"/>
  <c r="AF21" i="2"/>
  <c r="AF208" i="2"/>
  <c r="AF365" i="2"/>
  <c r="AF299" i="2"/>
  <c r="AF293" i="2"/>
  <c r="AF39" i="2"/>
  <c r="AF367" i="2"/>
  <c r="AF161" i="2"/>
  <c r="AF451" i="2"/>
  <c r="AF415" i="2"/>
  <c r="AF6" i="2"/>
  <c r="AF314" i="2"/>
  <c r="AF281" i="2"/>
  <c r="AF434" i="2"/>
  <c r="AF282" i="2"/>
  <c r="AF156" i="2"/>
  <c r="AF400" i="2"/>
  <c r="AF426" i="2"/>
  <c r="AF96" i="2"/>
  <c r="AF188" i="2"/>
  <c r="AF248" i="2"/>
  <c r="AF115" i="2"/>
  <c r="AF140" i="2"/>
  <c r="AF157" i="2"/>
  <c r="AF343" i="2"/>
  <c r="AF416" i="2"/>
  <c r="AF467" i="2"/>
  <c r="AF285" i="2"/>
  <c r="AF145" i="2"/>
  <c r="AF362" i="2"/>
  <c r="AF340" i="2"/>
  <c r="AF187" i="2"/>
  <c r="AF267" i="2"/>
  <c r="AF388" i="2"/>
  <c r="AF288" i="2"/>
  <c r="AF73" i="2"/>
  <c r="AF356" i="2"/>
  <c r="AF70" i="2"/>
  <c r="AF233" i="2"/>
  <c r="AF89" i="2"/>
  <c r="AF149" i="2"/>
  <c r="AF97" i="2"/>
  <c r="AF146" i="2"/>
  <c r="AF333" i="2"/>
  <c r="AF315" i="2"/>
  <c r="AF176" i="2"/>
  <c r="AF90" i="2"/>
  <c r="AF162" i="2"/>
  <c r="AF127" i="2"/>
  <c r="AF408" i="2"/>
  <c r="AF263" i="2"/>
  <c r="AF136" i="2"/>
  <c r="AF12" i="2"/>
  <c r="AF482" i="2"/>
  <c r="AF450" i="2"/>
  <c r="AF427" i="2"/>
  <c r="AF457" i="2"/>
  <c r="AF322" i="2"/>
  <c r="AF51" i="2"/>
  <c r="AF193" i="2"/>
  <c r="AF52" i="2"/>
  <c r="AF382" i="2"/>
  <c r="AF244" i="2"/>
  <c r="AF22" i="2"/>
  <c r="AF243" i="2"/>
  <c r="AF227" i="2"/>
  <c r="AZ6" i="2"/>
  <c r="AZ5" i="2"/>
  <c r="AZ4" i="2"/>
  <c r="AZ3" i="2"/>
  <c r="AZ2" i="2"/>
  <c r="AB347" i="2"/>
  <c r="AB452" i="2"/>
  <c r="AB301" i="2"/>
  <c r="AB58" i="2"/>
  <c r="AB110" i="2"/>
  <c r="AB342" i="2"/>
  <c r="AB245" i="2"/>
  <c r="AB24" i="2"/>
  <c r="AB435" i="2"/>
  <c r="AB204" i="2"/>
  <c r="AB344" i="2"/>
  <c r="AB454" i="2"/>
  <c r="AB23" i="2"/>
  <c r="AB234" i="2"/>
  <c r="AB441" i="2"/>
  <c r="AB153" i="2"/>
  <c r="AB468" i="2"/>
  <c r="AB197" i="2"/>
  <c r="AB20" i="2"/>
  <c r="AB134" i="2"/>
  <c r="AB226" i="2"/>
  <c r="AB266" i="2"/>
  <c r="AB317" i="2"/>
  <c r="AB432" i="2"/>
  <c r="AB399" i="2"/>
  <c r="AB493" i="2"/>
  <c r="AB359" i="2"/>
  <c r="AB33" i="2"/>
  <c r="AB196" i="2"/>
  <c r="AB456" i="2"/>
  <c r="AB50" i="2"/>
  <c r="AB113" i="2"/>
  <c r="AB437" i="2"/>
  <c r="AB417" i="2"/>
  <c r="AB15" i="2"/>
  <c r="AB453" i="2"/>
  <c r="AB93" i="2"/>
  <c r="AB85" i="2"/>
  <c r="AB277" i="2"/>
  <c r="AB220" i="2"/>
  <c r="AB371" i="2"/>
  <c r="AB30" i="2"/>
  <c r="AB329" i="2"/>
  <c r="AB335" i="2"/>
  <c r="AB91" i="2"/>
  <c r="AB323" i="2"/>
  <c r="AB183" i="2"/>
  <c r="AB252" i="2"/>
  <c r="AB278" i="2"/>
  <c r="AB498" i="2"/>
  <c r="AB76" i="2"/>
  <c r="AB129" i="2"/>
  <c r="AB32" i="2"/>
  <c r="AB29" i="2"/>
  <c r="AB135" i="2"/>
  <c r="AB394" i="2"/>
  <c r="AB280" i="2"/>
  <c r="AB37" i="2"/>
  <c r="AB304" i="2"/>
  <c r="AB77" i="2"/>
  <c r="AB313" i="2"/>
  <c r="AB141" i="2"/>
  <c r="AB302" i="2"/>
  <c r="AB478" i="2"/>
  <c r="AB99" i="2"/>
  <c r="AB207" i="2"/>
  <c r="AB18" i="2"/>
  <c r="AB257" i="2"/>
  <c r="AB212" i="2"/>
  <c r="AB418" i="2"/>
  <c r="AB397" i="2"/>
  <c r="AB215" i="2"/>
  <c r="AB341" i="2"/>
  <c r="AB489" i="2"/>
  <c r="AB296" i="2"/>
  <c r="AB185" i="2"/>
  <c r="AB122" i="2"/>
  <c r="AB481" i="2"/>
  <c r="AB372" i="2"/>
  <c r="AB499" i="2"/>
  <c r="AB184" i="2"/>
  <c r="AB448" i="2"/>
  <c r="AB165" i="2"/>
  <c r="AB337" i="2"/>
  <c r="AB309" i="2"/>
  <c r="AB213" i="2"/>
  <c r="AB251" i="2"/>
  <c r="AB232" i="2"/>
  <c r="AB276" i="2"/>
  <c r="AB7" i="2"/>
  <c r="AB495" i="2"/>
  <c r="AB486" i="2"/>
  <c r="AB219" i="2"/>
  <c r="AB262" i="2"/>
  <c r="AB45" i="2"/>
  <c r="AB67" i="2"/>
  <c r="AB169" i="2"/>
  <c r="AB94" i="2"/>
  <c r="AB291" i="2"/>
  <c r="AB181" i="2"/>
  <c r="AB191" i="2"/>
  <c r="AB247" i="2"/>
  <c r="AB221" i="2"/>
  <c r="AB198" i="2"/>
  <c r="AB111" i="2"/>
  <c r="AB421" i="2"/>
  <c r="AB107" i="2"/>
  <c r="AB224" i="2"/>
  <c r="AB425" i="2"/>
  <c r="AB46" i="2"/>
  <c r="AB155" i="2"/>
  <c r="AB349" i="2"/>
  <c r="AB202" i="2"/>
  <c r="AB373" i="2"/>
  <c r="AB414" i="2"/>
  <c r="AB500" i="2"/>
  <c r="AB189" i="2"/>
  <c r="AB438" i="2"/>
  <c r="AB228" i="2"/>
  <c r="AB256" i="2"/>
  <c r="AB87" i="2"/>
  <c r="AB218" i="2"/>
  <c r="AB64" i="2"/>
  <c r="AB338" i="2"/>
  <c r="AB259" i="2"/>
  <c r="AB283" i="2"/>
  <c r="AB229" i="2"/>
  <c r="AB201" i="2"/>
  <c r="AB326" i="2"/>
  <c r="AB231" i="2"/>
  <c r="AB79" i="2"/>
  <c r="AB128" i="2"/>
  <c r="AB124" i="2"/>
  <c r="AB200" i="2"/>
  <c r="AB494" i="2"/>
  <c r="AB42" i="2"/>
  <c r="AB436" i="2"/>
  <c r="AB112" i="2"/>
  <c r="AB56" i="2"/>
  <c r="AB484" i="2"/>
  <c r="AB474" i="2"/>
  <c r="AB55" i="2"/>
  <c r="AB63" i="2"/>
  <c r="AB369" i="2"/>
  <c r="AB501" i="2"/>
  <c r="AB8" i="2"/>
  <c r="AB396" i="2"/>
  <c r="AB199" i="2"/>
  <c r="AB491" i="2"/>
  <c r="AB477" i="2"/>
  <c r="AB409" i="2"/>
  <c r="AB364" i="2"/>
  <c r="AB473" i="2"/>
  <c r="AB173" i="2"/>
  <c r="AB303" i="2"/>
  <c r="AB404" i="2"/>
  <c r="AB106" i="2"/>
  <c r="AB290" i="2"/>
  <c r="AB235" i="2"/>
  <c r="AB294" i="2"/>
  <c r="AB265" i="2"/>
  <c r="AB352" i="2"/>
  <c r="AB139" i="2"/>
  <c r="AB238" i="2"/>
  <c r="AB34" i="2"/>
  <c r="AB123" i="2"/>
  <c r="AB170" i="2"/>
  <c r="AB339" i="2"/>
  <c r="AB250" i="2"/>
  <c r="AB158" i="2"/>
  <c r="AB374" i="2"/>
  <c r="AB320" i="2"/>
  <c r="AB19" i="2"/>
  <c r="AB92" i="2"/>
  <c r="AB237" i="2"/>
  <c r="AB307" i="2"/>
  <c r="AB98" i="2"/>
  <c r="AB175" i="2"/>
  <c r="AB403" i="2"/>
  <c r="AB442" i="2"/>
  <c r="AB246" i="2"/>
  <c r="AB166" i="2"/>
  <c r="AB463" i="2"/>
  <c r="AB104" i="2"/>
  <c r="AB476" i="2"/>
  <c r="AB118" i="2"/>
  <c r="AB375" i="2"/>
  <c r="AB177" i="2"/>
  <c r="AB411" i="2"/>
  <c r="AB240" i="2"/>
  <c r="AB466" i="2"/>
  <c r="AB462" i="2"/>
  <c r="AB68" i="2"/>
  <c r="AB327" i="2"/>
  <c r="AB406" i="2"/>
  <c r="AB151" i="2"/>
  <c r="AB465" i="2"/>
  <c r="AB310" i="2"/>
  <c r="AB223" i="2"/>
  <c r="AB358" i="2"/>
  <c r="AB395" i="2"/>
  <c r="AB5" i="2"/>
  <c r="AB440" i="2"/>
  <c r="AB311" i="2"/>
  <c r="AB2" i="2"/>
  <c r="AB72" i="2"/>
  <c r="AB471" i="2"/>
  <c r="AB255" i="2"/>
  <c r="AB449" i="2"/>
  <c r="AB209" i="2"/>
  <c r="AB286" i="2"/>
  <c r="AB387" i="2"/>
  <c r="AB216" i="2"/>
  <c r="AB407" i="2"/>
  <c r="AB48" i="2"/>
  <c r="AB379" i="2"/>
  <c r="AB192" i="2"/>
  <c r="AB108" i="2"/>
  <c r="AB105" i="2"/>
  <c r="AB254" i="2"/>
  <c r="AB429" i="2"/>
  <c r="AB57" i="2"/>
  <c r="AB260" i="2"/>
  <c r="AB230" i="2"/>
  <c r="AB391" i="2"/>
  <c r="AB61" i="2"/>
  <c r="AB268" i="2"/>
  <c r="AB485" i="2"/>
  <c r="AB186" i="2"/>
  <c r="AB236" i="2"/>
  <c r="AB330" i="2"/>
  <c r="AB360" i="2"/>
  <c r="AB445" i="2"/>
  <c r="AB275" i="2"/>
  <c r="AB431" i="2"/>
  <c r="AB492" i="2"/>
  <c r="AB305" i="2"/>
  <c r="AB368" i="2"/>
  <c r="AB348" i="2"/>
  <c r="AB78" i="2"/>
  <c r="AB41" i="2"/>
  <c r="AB4" i="2"/>
  <c r="AB95" i="2"/>
  <c r="AB38" i="2"/>
  <c r="AB49" i="2"/>
  <c r="AB154" i="2"/>
  <c r="AB393" i="2"/>
  <c r="AB464" i="2"/>
  <c r="AB69" i="2"/>
  <c r="AB331" i="2"/>
  <c r="AB82" i="2"/>
  <c r="AB381" i="2"/>
  <c r="AB249" i="2"/>
  <c r="AB334" i="2"/>
  <c r="AB59" i="2"/>
  <c r="AB62" i="2"/>
  <c r="AB13" i="2"/>
  <c r="AB14" i="2"/>
  <c r="AB133" i="2"/>
  <c r="AB354" i="2"/>
  <c r="AB222" i="2"/>
  <c r="AB355" i="2"/>
  <c r="AB217" i="2"/>
  <c r="AB269" i="2"/>
  <c r="AB88" i="2"/>
  <c r="AB390" i="2"/>
  <c r="AB292" i="2"/>
  <c r="AB483" i="2"/>
  <c r="AB109" i="2"/>
  <c r="AB53" i="2"/>
  <c r="AB150" i="2"/>
  <c r="AB28" i="2"/>
  <c r="AB163" i="2"/>
  <c r="AB295" i="2"/>
  <c r="AB147" i="2"/>
  <c r="AB446" i="2"/>
  <c r="AB54" i="2"/>
  <c r="AB206" i="2"/>
  <c r="AB289" i="2"/>
  <c r="AB490" i="2"/>
  <c r="AB324" i="2"/>
  <c r="AB413" i="2"/>
  <c r="AB318" i="2"/>
  <c r="AB26" i="2"/>
  <c r="AB284" i="2"/>
  <c r="AB297" i="2"/>
  <c r="AB430" i="2"/>
  <c r="AB361" i="2"/>
  <c r="AB126" i="2"/>
  <c r="AB148" i="2"/>
  <c r="AB152" i="2"/>
  <c r="AB71" i="2"/>
  <c r="AB172" i="2"/>
  <c r="AB488" i="2"/>
  <c r="AB119" i="2"/>
  <c r="AB66" i="2"/>
  <c r="AB461" i="2"/>
  <c r="AB308" i="2"/>
  <c r="AB325" i="2"/>
  <c r="AB428" i="2"/>
  <c r="AB376" i="2"/>
  <c r="AB210" i="2"/>
  <c r="AB424" i="2"/>
  <c r="AB86" i="2"/>
  <c r="AB405" i="2"/>
  <c r="AB300" i="2"/>
  <c r="AB264" i="2"/>
  <c r="AB460" i="2"/>
  <c r="AB480" i="2"/>
  <c r="AB306" i="2"/>
  <c r="AB36" i="2"/>
  <c r="AB377" i="2"/>
  <c r="AB60" i="2"/>
  <c r="AB472" i="2"/>
  <c r="AB271" i="2"/>
  <c r="AB241" i="2"/>
  <c r="AB363" i="2"/>
  <c r="AB167" i="2"/>
  <c r="AB312" i="2"/>
  <c r="AB273" i="2"/>
  <c r="AB205" i="2"/>
  <c r="AB74" i="2"/>
  <c r="AB130" i="2"/>
  <c r="AB332" i="2"/>
  <c r="AB346" i="2"/>
  <c r="AB159" i="2"/>
  <c r="AB180" i="2"/>
  <c r="AB11" i="2"/>
  <c r="AB125" i="2"/>
  <c r="AB384" i="2"/>
  <c r="AB419" i="2"/>
  <c r="AB423" i="2"/>
  <c r="AB412" i="2"/>
  <c r="AB16" i="2"/>
  <c r="AB10" i="2"/>
  <c r="AB420" i="2"/>
  <c r="AB378" i="2"/>
  <c r="AB370" i="2"/>
  <c r="AB475" i="2"/>
  <c r="AB120" i="2"/>
  <c r="AB100" i="2"/>
  <c r="AB114" i="2"/>
  <c r="AB433" i="2"/>
  <c r="AB496" i="2"/>
  <c r="AB316" i="2"/>
  <c r="AB43" i="2"/>
  <c r="AB190" i="2"/>
  <c r="AB402" i="2"/>
  <c r="AB102" i="2"/>
  <c r="AB459" i="2"/>
  <c r="AB470" i="2"/>
  <c r="AB25" i="2"/>
  <c r="AB401" i="2"/>
  <c r="AB439" i="2"/>
  <c r="AB389" i="2"/>
  <c r="AB142" i="2"/>
  <c r="AB195" i="2"/>
  <c r="AB336" i="2"/>
  <c r="AB458" i="2"/>
  <c r="AB168" i="2"/>
  <c r="AB380" i="2"/>
  <c r="AB9" i="2"/>
  <c r="AB143" i="2"/>
  <c r="AB253" i="2"/>
  <c r="AB65" i="2"/>
  <c r="AB279" i="2"/>
  <c r="AB455" i="2"/>
  <c r="AB261" i="2"/>
  <c r="AB35" i="2"/>
  <c r="AB31" i="2"/>
  <c r="AB131" i="2"/>
  <c r="AB328" i="2"/>
  <c r="AB81" i="2"/>
  <c r="AB357" i="2"/>
  <c r="AB101" i="2"/>
  <c r="AB345" i="2"/>
  <c r="AB272" i="2"/>
  <c r="AB80" i="2"/>
  <c r="AB138" i="2"/>
  <c r="AB469" i="2"/>
  <c r="AB353" i="2"/>
  <c r="AB116" i="2"/>
  <c r="AB178" i="2"/>
  <c r="AB287" i="2"/>
  <c r="AB351" i="2"/>
  <c r="AB211" i="2"/>
  <c r="AB121" i="2"/>
  <c r="AB3" i="2"/>
  <c r="AB383" i="2"/>
  <c r="AB27" i="2"/>
  <c r="AB160" i="2"/>
  <c r="AB17" i="2"/>
  <c r="AB350" i="2"/>
  <c r="AB258" i="2"/>
  <c r="AB179" i="2"/>
  <c r="AB398" i="2"/>
  <c r="AB242" i="2"/>
  <c r="AB479" i="2"/>
  <c r="AB239" i="2"/>
  <c r="AB487" i="2"/>
  <c r="AB164" i="2"/>
  <c r="AB144" i="2"/>
  <c r="AB298" i="2"/>
  <c r="AB137" i="2"/>
  <c r="AB40" i="2"/>
  <c r="AB447" i="2"/>
  <c r="AB171" i="2"/>
  <c r="AB443" i="2"/>
  <c r="AB44" i="2"/>
  <c r="AB194" i="2"/>
  <c r="AB84" i="2"/>
  <c r="AB182" i="2"/>
  <c r="AB225" i="2"/>
  <c r="AB132" i="2"/>
  <c r="AB103" i="2"/>
  <c r="AB203" i="2"/>
  <c r="AB385" i="2"/>
  <c r="AB47" i="2"/>
  <c r="AB83" i="2"/>
  <c r="AB321" i="2"/>
  <c r="AB319" i="2"/>
  <c r="AB386" i="2"/>
  <c r="AB174" i="2"/>
  <c r="AB270" i="2"/>
  <c r="AB392" i="2"/>
  <c r="AB117" i="2"/>
  <c r="AB422" i="2"/>
  <c r="AB214" i="2"/>
  <c r="AB497" i="2"/>
  <c r="AB274" i="2"/>
  <c r="AB444" i="2"/>
  <c r="AB366" i="2"/>
  <c r="AB410" i="2"/>
  <c r="AB75" i="2"/>
  <c r="AB21" i="2"/>
  <c r="AB208" i="2"/>
  <c r="AB365" i="2"/>
  <c r="AB299" i="2"/>
  <c r="AB293" i="2"/>
  <c r="AB39" i="2"/>
  <c r="AB367" i="2"/>
  <c r="AB161" i="2"/>
  <c r="AB451" i="2"/>
  <c r="AB415" i="2"/>
  <c r="AB6" i="2"/>
  <c r="AB314" i="2"/>
  <c r="AB281" i="2"/>
  <c r="AB434" i="2"/>
  <c r="AB282" i="2"/>
  <c r="AB156" i="2"/>
  <c r="AB400" i="2"/>
  <c r="AB426" i="2"/>
  <c r="AB96" i="2"/>
  <c r="AB188" i="2"/>
  <c r="AB248" i="2"/>
  <c r="AB115" i="2"/>
  <c r="AB140" i="2"/>
  <c r="AB157" i="2"/>
  <c r="AB343" i="2"/>
  <c r="AB416" i="2"/>
  <c r="AB467" i="2"/>
  <c r="AB285" i="2"/>
  <c r="AB145" i="2"/>
  <c r="AB362" i="2"/>
  <c r="AB340" i="2"/>
  <c r="AB187" i="2"/>
  <c r="AB267" i="2"/>
  <c r="AB388" i="2"/>
  <c r="AB288" i="2"/>
  <c r="AB73" i="2"/>
  <c r="AB356" i="2"/>
  <c r="AB70" i="2"/>
  <c r="AB233" i="2"/>
  <c r="AB89" i="2"/>
  <c r="AB149" i="2"/>
  <c r="AB97" i="2"/>
  <c r="AB146" i="2"/>
  <c r="AB333" i="2"/>
  <c r="AB315" i="2"/>
  <c r="AB176" i="2"/>
  <c r="AB90" i="2"/>
  <c r="AB162" i="2"/>
  <c r="AB127" i="2"/>
  <c r="AB408" i="2"/>
  <c r="AB263" i="2"/>
  <c r="AB136" i="2"/>
  <c r="AB12" i="2"/>
  <c r="AB482" i="2"/>
  <c r="AB450" i="2"/>
  <c r="AB427" i="2"/>
  <c r="AB457" i="2"/>
  <c r="AB322" i="2"/>
  <c r="AB51" i="2"/>
  <c r="AB193" i="2"/>
  <c r="AB52" i="2"/>
  <c r="AB382" i="2"/>
  <c r="AB244" i="2"/>
  <c r="AB22" i="2"/>
  <c r="AB243" i="2"/>
  <c r="AB227" i="2"/>
  <c r="AA347" i="2"/>
  <c r="AA452" i="2"/>
  <c r="AA301" i="2"/>
  <c r="AA58" i="2"/>
  <c r="AA110" i="2"/>
  <c r="AA342" i="2"/>
  <c r="AA245" i="2"/>
  <c r="AA24" i="2"/>
  <c r="AA435" i="2"/>
  <c r="AA204" i="2"/>
  <c r="AA344" i="2"/>
  <c r="AA454" i="2"/>
  <c r="AA23" i="2"/>
  <c r="AA234" i="2"/>
  <c r="AA441" i="2"/>
  <c r="AA153" i="2"/>
  <c r="AA468" i="2"/>
  <c r="AA197" i="2"/>
  <c r="AA20" i="2"/>
  <c r="AA134" i="2"/>
  <c r="AA226" i="2"/>
  <c r="AA266" i="2"/>
  <c r="AA317" i="2"/>
  <c r="AA432" i="2"/>
  <c r="AA399" i="2"/>
  <c r="AA493" i="2"/>
  <c r="AA359" i="2"/>
  <c r="AA33" i="2"/>
  <c r="AA196" i="2"/>
  <c r="AA456" i="2"/>
  <c r="AA50" i="2"/>
  <c r="AA113" i="2"/>
  <c r="AA437" i="2"/>
  <c r="AA417" i="2"/>
  <c r="AA15" i="2"/>
  <c r="AA453" i="2"/>
  <c r="AA93" i="2"/>
  <c r="AA85" i="2"/>
  <c r="AA277" i="2"/>
  <c r="AA220" i="2"/>
  <c r="AA371" i="2"/>
  <c r="AA30" i="2"/>
  <c r="AA329" i="2"/>
  <c r="AA335" i="2"/>
  <c r="AA91" i="2"/>
  <c r="AA323" i="2"/>
  <c r="AA183" i="2"/>
  <c r="AA252" i="2"/>
  <c r="AA278" i="2"/>
  <c r="AA498" i="2"/>
  <c r="AA76" i="2"/>
  <c r="AA129" i="2"/>
  <c r="AA32" i="2"/>
  <c r="AA29" i="2"/>
  <c r="AA135" i="2"/>
  <c r="AA394" i="2"/>
  <c r="AA280" i="2"/>
  <c r="AA37" i="2"/>
  <c r="AA304" i="2"/>
  <c r="AA77" i="2"/>
  <c r="AA313" i="2"/>
  <c r="AA141" i="2"/>
  <c r="AA302" i="2"/>
  <c r="AA478" i="2"/>
  <c r="AA99" i="2"/>
  <c r="AA207" i="2"/>
  <c r="AA18" i="2"/>
  <c r="AA257" i="2"/>
  <c r="AA212" i="2"/>
  <c r="AA418" i="2"/>
  <c r="AA397" i="2"/>
  <c r="AA215" i="2"/>
  <c r="AA341" i="2"/>
  <c r="AA489" i="2"/>
  <c r="AA296" i="2"/>
  <c r="AA185" i="2"/>
  <c r="AA122" i="2"/>
  <c r="AA481" i="2"/>
  <c r="AA372" i="2"/>
  <c r="AA499" i="2"/>
  <c r="AA184" i="2"/>
  <c r="AA448" i="2"/>
  <c r="AA165" i="2"/>
  <c r="AA337" i="2"/>
  <c r="AA309" i="2"/>
  <c r="AA213" i="2"/>
  <c r="AA251" i="2"/>
  <c r="AA232" i="2"/>
  <c r="AA276" i="2"/>
  <c r="AA7" i="2"/>
  <c r="AA495" i="2"/>
  <c r="AA486" i="2"/>
  <c r="AA219" i="2"/>
  <c r="AA262" i="2"/>
  <c r="AA45" i="2"/>
  <c r="AA67" i="2"/>
  <c r="AA169" i="2"/>
  <c r="AA94" i="2"/>
  <c r="AA291" i="2"/>
  <c r="AA181" i="2"/>
  <c r="AA191" i="2"/>
  <c r="AA247" i="2"/>
  <c r="AA221" i="2"/>
  <c r="AA198" i="2"/>
  <c r="AA111" i="2"/>
  <c r="AA421" i="2"/>
  <c r="AA107" i="2"/>
  <c r="AA224" i="2"/>
  <c r="AA425" i="2"/>
  <c r="AA46" i="2"/>
  <c r="AA155" i="2"/>
  <c r="AA349" i="2"/>
  <c r="AA202" i="2"/>
  <c r="AA373" i="2"/>
  <c r="AA414" i="2"/>
  <c r="AA500" i="2"/>
  <c r="AA189" i="2"/>
  <c r="AA438" i="2"/>
  <c r="AA228" i="2"/>
  <c r="AA256" i="2"/>
  <c r="AA87" i="2"/>
  <c r="AA218" i="2"/>
  <c r="AA64" i="2"/>
  <c r="AA338" i="2"/>
  <c r="AA259" i="2"/>
  <c r="AA283" i="2"/>
  <c r="AA229" i="2"/>
  <c r="AA201" i="2"/>
  <c r="AA326" i="2"/>
  <c r="AA231" i="2"/>
  <c r="AA79" i="2"/>
  <c r="AA128" i="2"/>
  <c r="AA124" i="2"/>
  <c r="AA200" i="2"/>
  <c r="AA494" i="2"/>
  <c r="AA42" i="2"/>
  <c r="AA436" i="2"/>
  <c r="AA112" i="2"/>
  <c r="AA56" i="2"/>
  <c r="AA484" i="2"/>
  <c r="AA474" i="2"/>
  <c r="AA55" i="2"/>
  <c r="AA63" i="2"/>
  <c r="AA369" i="2"/>
  <c r="AA501" i="2"/>
  <c r="AA8" i="2"/>
  <c r="AA396" i="2"/>
  <c r="AA199" i="2"/>
  <c r="AA491" i="2"/>
  <c r="AA477" i="2"/>
  <c r="AA409" i="2"/>
  <c r="AA364" i="2"/>
  <c r="AA473" i="2"/>
  <c r="AA173" i="2"/>
  <c r="AA303" i="2"/>
  <c r="AA404" i="2"/>
  <c r="AA106" i="2"/>
  <c r="AA290" i="2"/>
  <c r="AA235" i="2"/>
  <c r="AA294" i="2"/>
  <c r="AA265" i="2"/>
  <c r="AA352" i="2"/>
  <c r="AA139" i="2"/>
  <c r="AA238" i="2"/>
  <c r="AA34" i="2"/>
  <c r="AA123" i="2"/>
  <c r="AA170" i="2"/>
  <c r="AA339" i="2"/>
  <c r="AA250" i="2"/>
  <c r="AA158" i="2"/>
  <c r="AA374" i="2"/>
  <c r="AA320" i="2"/>
  <c r="AA19" i="2"/>
  <c r="AA92" i="2"/>
  <c r="AA237" i="2"/>
  <c r="AA307" i="2"/>
  <c r="AA98" i="2"/>
  <c r="AA175" i="2"/>
  <c r="AA403" i="2"/>
  <c r="AA442" i="2"/>
  <c r="AA246" i="2"/>
  <c r="AA166" i="2"/>
  <c r="AA463" i="2"/>
  <c r="AA104" i="2"/>
  <c r="AA476" i="2"/>
  <c r="AA118" i="2"/>
  <c r="AA375" i="2"/>
  <c r="AA177" i="2"/>
  <c r="AA411" i="2"/>
  <c r="AA240" i="2"/>
  <c r="AA466" i="2"/>
  <c r="AA462" i="2"/>
  <c r="AA68" i="2"/>
  <c r="AA327" i="2"/>
  <c r="AA406" i="2"/>
  <c r="AA151" i="2"/>
  <c r="AA465" i="2"/>
  <c r="AA310" i="2"/>
  <c r="AA223" i="2"/>
  <c r="AA358" i="2"/>
  <c r="AA395" i="2"/>
  <c r="AA5" i="2"/>
  <c r="AA440" i="2"/>
  <c r="AA311" i="2"/>
  <c r="AA2" i="2"/>
  <c r="AA72" i="2"/>
  <c r="AA471" i="2"/>
  <c r="AA255" i="2"/>
  <c r="AA449" i="2"/>
  <c r="AA209" i="2"/>
  <c r="AA286" i="2"/>
  <c r="AA387" i="2"/>
  <c r="AA216" i="2"/>
  <c r="AA407" i="2"/>
  <c r="AA48" i="2"/>
  <c r="AA379" i="2"/>
  <c r="AA192" i="2"/>
  <c r="AA108" i="2"/>
  <c r="AA105" i="2"/>
  <c r="AA254" i="2"/>
  <c r="AA429" i="2"/>
  <c r="AA57" i="2"/>
  <c r="AA260" i="2"/>
  <c r="AA230" i="2"/>
  <c r="AA391" i="2"/>
  <c r="AA61" i="2"/>
  <c r="AA268" i="2"/>
  <c r="AA485" i="2"/>
  <c r="AA186" i="2"/>
  <c r="AA236" i="2"/>
  <c r="AA330" i="2"/>
  <c r="AA360" i="2"/>
  <c r="AA445" i="2"/>
  <c r="AA275" i="2"/>
  <c r="AA431" i="2"/>
  <c r="AA492" i="2"/>
  <c r="AA305" i="2"/>
  <c r="AA368" i="2"/>
  <c r="AA348" i="2"/>
  <c r="AA78" i="2"/>
  <c r="AA41" i="2"/>
  <c r="AA4" i="2"/>
  <c r="AA95" i="2"/>
  <c r="AA38" i="2"/>
  <c r="AA49" i="2"/>
  <c r="AA154" i="2"/>
  <c r="AA393" i="2"/>
  <c r="AA464" i="2"/>
  <c r="AA69" i="2"/>
  <c r="AA331" i="2"/>
  <c r="AA82" i="2"/>
  <c r="AA381" i="2"/>
  <c r="AA249" i="2"/>
  <c r="AA334" i="2"/>
  <c r="AA59" i="2"/>
  <c r="AA62" i="2"/>
  <c r="AA13" i="2"/>
  <c r="AA14" i="2"/>
  <c r="AA133" i="2"/>
  <c r="AA354" i="2"/>
  <c r="AA222" i="2"/>
  <c r="AA355" i="2"/>
  <c r="AA217" i="2"/>
  <c r="AA269" i="2"/>
  <c r="AA88" i="2"/>
  <c r="AA390" i="2"/>
  <c r="AA292" i="2"/>
  <c r="AA483" i="2"/>
  <c r="AA109" i="2"/>
  <c r="AA53" i="2"/>
  <c r="AA150" i="2"/>
  <c r="AA28" i="2"/>
  <c r="AA163" i="2"/>
  <c r="AA295" i="2"/>
  <c r="AA147" i="2"/>
  <c r="AA446" i="2"/>
  <c r="AA54" i="2"/>
  <c r="AA206" i="2"/>
  <c r="AA289" i="2"/>
  <c r="AA490" i="2"/>
  <c r="AA324" i="2"/>
  <c r="AA413" i="2"/>
  <c r="AA318" i="2"/>
  <c r="AA26" i="2"/>
  <c r="AA284" i="2"/>
  <c r="AA297" i="2"/>
  <c r="AA430" i="2"/>
  <c r="AA361" i="2"/>
  <c r="AA126" i="2"/>
  <c r="AA148" i="2"/>
  <c r="AA152" i="2"/>
  <c r="AA71" i="2"/>
  <c r="AA172" i="2"/>
  <c r="AA488" i="2"/>
  <c r="AA119" i="2"/>
  <c r="AA66" i="2"/>
  <c r="AA461" i="2"/>
  <c r="AA308" i="2"/>
  <c r="AA325" i="2"/>
  <c r="AA428" i="2"/>
  <c r="AA376" i="2"/>
  <c r="AA210" i="2"/>
  <c r="AA424" i="2"/>
  <c r="AA86" i="2"/>
  <c r="AA405" i="2"/>
  <c r="AA300" i="2"/>
  <c r="AA264" i="2"/>
  <c r="AA460" i="2"/>
  <c r="AA480" i="2"/>
  <c r="AA306" i="2"/>
  <c r="AA36" i="2"/>
  <c r="AA377" i="2"/>
  <c r="AA60" i="2"/>
  <c r="AA472" i="2"/>
  <c r="AA271" i="2"/>
  <c r="AA241" i="2"/>
  <c r="AA363" i="2"/>
  <c r="AA167" i="2"/>
  <c r="AA312" i="2"/>
  <c r="AA273" i="2"/>
  <c r="AA205" i="2"/>
  <c r="AA74" i="2"/>
  <c r="AA130" i="2"/>
  <c r="AA332" i="2"/>
  <c r="AA346" i="2"/>
  <c r="AA159" i="2"/>
  <c r="AA180" i="2"/>
  <c r="AA11" i="2"/>
  <c r="AA125" i="2"/>
  <c r="AA384" i="2"/>
  <c r="AA419" i="2"/>
  <c r="AA423" i="2"/>
  <c r="AA412" i="2"/>
  <c r="AA16" i="2"/>
  <c r="AA10" i="2"/>
  <c r="AA420" i="2"/>
  <c r="AA378" i="2"/>
  <c r="AA370" i="2"/>
  <c r="AA475" i="2"/>
  <c r="AA120" i="2"/>
  <c r="AA100" i="2"/>
  <c r="AA114" i="2"/>
  <c r="AA433" i="2"/>
  <c r="AA496" i="2"/>
  <c r="AA316" i="2"/>
  <c r="AA43" i="2"/>
  <c r="AA190" i="2"/>
  <c r="AA402" i="2"/>
  <c r="AA102" i="2"/>
  <c r="AA459" i="2"/>
  <c r="AA470" i="2"/>
  <c r="AA25" i="2"/>
  <c r="AA401" i="2"/>
  <c r="AA439" i="2"/>
  <c r="AA389" i="2"/>
  <c r="AA142" i="2"/>
  <c r="AA195" i="2"/>
  <c r="AA336" i="2"/>
  <c r="AA458" i="2"/>
  <c r="AA168" i="2"/>
  <c r="AA380" i="2"/>
  <c r="AA9" i="2"/>
  <c r="AA143" i="2"/>
  <c r="AA253" i="2"/>
  <c r="AA65" i="2"/>
  <c r="AA279" i="2"/>
  <c r="AA455" i="2"/>
  <c r="AA261" i="2"/>
  <c r="AA35" i="2"/>
  <c r="AA31" i="2"/>
  <c r="AA131" i="2"/>
  <c r="AA328" i="2"/>
  <c r="AA81" i="2"/>
  <c r="AA357" i="2"/>
  <c r="AA101" i="2"/>
  <c r="AA345" i="2"/>
  <c r="AA272" i="2"/>
  <c r="AA80" i="2"/>
  <c r="AA138" i="2"/>
  <c r="AA469" i="2"/>
  <c r="AA353" i="2"/>
  <c r="AA116" i="2"/>
  <c r="AA178" i="2"/>
  <c r="AA287" i="2"/>
  <c r="AA351" i="2"/>
  <c r="AA211" i="2"/>
  <c r="AA121" i="2"/>
  <c r="AA3" i="2"/>
  <c r="AA383" i="2"/>
  <c r="AA27" i="2"/>
  <c r="AA160" i="2"/>
  <c r="AA17" i="2"/>
  <c r="AA350" i="2"/>
  <c r="AA258" i="2"/>
  <c r="AA179" i="2"/>
  <c r="AA398" i="2"/>
  <c r="AA242" i="2"/>
  <c r="AA479" i="2"/>
  <c r="AA239" i="2"/>
  <c r="AA487" i="2"/>
  <c r="AA164" i="2"/>
  <c r="AA144" i="2"/>
  <c r="AA298" i="2"/>
  <c r="AA137" i="2"/>
  <c r="AA40" i="2"/>
  <c r="AA447" i="2"/>
  <c r="AA171" i="2"/>
  <c r="AA443" i="2"/>
  <c r="AA44" i="2"/>
  <c r="AA194" i="2"/>
  <c r="AA84" i="2"/>
  <c r="AA182" i="2"/>
  <c r="AA225" i="2"/>
  <c r="AA132" i="2"/>
  <c r="AA103" i="2"/>
  <c r="AA203" i="2"/>
  <c r="AA385" i="2"/>
  <c r="AA47" i="2"/>
  <c r="AA83" i="2"/>
  <c r="AA321" i="2"/>
  <c r="AA319" i="2"/>
  <c r="AA386" i="2"/>
  <c r="AA174" i="2"/>
  <c r="AA270" i="2"/>
  <c r="AA392" i="2"/>
  <c r="AA117" i="2"/>
  <c r="AA422" i="2"/>
  <c r="AA214" i="2"/>
  <c r="AA497" i="2"/>
  <c r="AA274" i="2"/>
  <c r="AA444" i="2"/>
  <c r="AA366" i="2"/>
  <c r="AA410" i="2"/>
  <c r="AA75" i="2"/>
  <c r="AA21" i="2"/>
  <c r="AA208" i="2"/>
  <c r="AA365" i="2"/>
  <c r="AA299" i="2"/>
  <c r="AA293" i="2"/>
  <c r="AA39" i="2"/>
  <c r="AA367" i="2"/>
  <c r="AA161" i="2"/>
  <c r="AA451" i="2"/>
  <c r="AA415" i="2"/>
  <c r="AA6" i="2"/>
  <c r="AA314" i="2"/>
  <c r="AA281" i="2"/>
  <c r="AA434" i="2"/>
  <c r="AA282" i="2"/>
  <c r="AA156" i="2"/>
  <c r="AA400" i="2"/>
  <c r="AA426" i="2"/>
  <c r="AA96" i="2"/>
  <c r="AA188" i="2"/>
  <c r="AA248" i="2"/>
  <c r="AA115" i="2"/>
  <c r="AA140" i="2"/>
  <c r="AA157" i="2"/>
  <c r="AA343" i="2"/>
  <c r="AA416" i="2"/>
  <c r="AA467" i="2"/>
  <c r="AA285" i="2"/>
  <c r="AA145" i="2"/>
  <c r="AA362" i="2"/>
  <c r="AA340" i="2"/>
  <c r="AA187" i="2"/>
  <c r="AA267" i="2"/>
  <c r="AA388" i="2"/>
  <c r="AA288" i="2"/>
  <c r="AA73" i="2"/>
  <c r="AA356" i="2"/>
  <c r="AA70" i="2"/>
  <c r="AA233" i="2"/>
  <c r="AA89" i="2"/>
  <c r="AA149" i="2"/>
  <c r="AA97" i="2"/>
  <c r="AA146" i="2"/>
  <c r="AA333" i="2"/>
  <c r="AA315" i="2"/>
  <c r="AA176" i="2"/>
  <c r="AA90" i="2"/>
  <c r="AA162" i="2"/>
  <c r="AA127" i="2"/>
  <c r="AA408" i="2"/>
  <c r="AA263" i="2"/>
  <c r="AA136" i="2"/>
  <c r="AA12" i="2"/>
  <c r="AA482" i="2"/>
  <c r="AA450" i="2"/>
  <c r="AA427" i="2"/>
  <c r="AA457" i="2"/>
  <c r="AA322" i="2"/>
  <c r="AA51" i="2"/>
  <c r="AA193" i="2"/>
  <c r="AA52" i="2"/>
  <c r="AA382" i="2"/>
  <c r="AA244" i="2"/>
  <c r="AA22" i="2"/>
  <c r="AA243" i="2"/>
  <c r="AA227" i="2"/>
  <c r="AH501" i="6" l="1"/>
  <c r="AH373" i="6"/>
  <c r="AH53" i="6"/>
  <c r="AH372" i="6"/>
  <c r="AH276" i="6"/>
  <c r="AH68" i="6"/>
  <c r="AH33" i="6"/>
  <c r="AH17" i="6"/>
  <c r="AH117" i="6"/>
  <c r="AH436" i="6"/>
  <c r="AH260" i="6"/>
  <c r="AH52" i="6"/>
  <c r="AH16" i="6"/>
  <c r="AH420" i="6"/>
  <c r="AH324" i="6"/>
  <c r="AH84" i="6"/>
  <c r="AH495" i="6"/>
  <c r="AH479" i="6"/>
  <c r="AH463" i="6"/>
  <c r="AH447" i="6"/>
  <c r="AH431" i="6"/>
  <c r="AH415" i="6"/>
  <c r="AH399" i="6"/>
  <c r="AH383" i="6"/>
  <c r="AH367" i="6"/>
  <c r="AH351" i="6"/>
  <c r="AH335" i="6"/>
  <c r="AH319" i="6"/>
  <c r="AH303" i="6"/>
  <c r="AH287" i="6"/>
  <c r="AH271" i="6"/>
  <c r="AH255" i="6"/>
  <c r="AH239" i="6"/>
  <c r="AH223" i="6"/>
  <c r="AH207" i="6"/>
  <c r="AH191" i="6"/>
  <c r="AH175" i="6"/>
  <c r="AH159" i="6"/>
  <c r="AH143" i="6"/>
  <c r="AH127" i="6"/>
  <c r="AH111" i="6"/>
  <c r="AH95" i="6"/>
  <c r="AH79" i="6"/>
  <c r="AH63" i="6"/>
  <c r="AH47" i="6"/>
  <c r="AH31" i="6"/>
  <c r="AH485" i="6"/>
  <c r="AH357" i="6"/>
  <c r="AH69" i="6"/>
  <c r="AH468" i="6"/>
  <c r="AH356" i="6"/>
  <c r="AH244" i="6"/>
  <c r="AH116" i="6"/>
  <c r="AH500" i="6"/>
  <c r="AH388" i="6"/>
  <c r="AH292" i="6"/>
  <c r="AH132" i="6"/>
  <c r="AH493" i="6"/>
  <c r="AH477" i="6"/>
  <c r="AH461" i="6"/>
  <c r="AH445" i="6"/>
  <c r="AH429" i="6"/>
  <c r="AH413" i="6"/>
  <c r="AH397" i="6"/>
  <c r="AH381" i="6"/>
  <c r="AH365" i="6"/>
  <c r="AH349" i="6"/>
  <c r="AH333" i="6"/>
  <c r="AH317" i="6"/>
  <c r="AH301" i="6"/>
  <c r="AH285" i="6"/>
  <c r="AH269" i="6"/>
  <c r="AH253" i="6"/>
  <c r="AH237" i="6"/>
  <c r="AH221" i="6"/>
  <c r="AH205" i="6"/>
  <c r="AH189" i="6"/>
  <c r="AH173" i="6"/>
  <c r="AH157" i="6"/>
  <c r="AH141" i="6"/>
  <c r="AH125" i="6"/>
  <c r="AH109" i="6"/>
  <c r="AH93" i="6"/>
  <c r="AH77" i="6"/>
  <c r="AH61" i="6"/>
  <c r="AH45" i="6"/>
  <c r="AH29" i="6"/>
  <c r="AH405" i="6"/>
  <c r="AH309" i="6"/>
  <c r="AH229" i="6"/>
  <c r="AH37" i="6"/>
  <c r="AH484" i="6"/>
  <c r="AH404" i="6"/>
  <c r="AH308" i="6"/>
  <c r="AH100" i="6"/>
  <c r="AH228" i="6"/>
  <c r="AH164" i="6"/>
  <c r="AH437" i="6"/>
  <c r="AH341" i="6"/>
  <c r="AH261" i="6"/>
  <c r="AH85" i="6"/>
  <c r="AH180" i="6"/>
  <c r="AH212" i="6"/>
  <c r="AH488" i="6"/>
  <c r="AH472" i="6"/>
  <c r="AH456" i="6"/>
  <c r="AH440" i="6"/>
  <c r="AH424" i="6"/>
  <c r="AH408" i="6"/>
  <c r="AH392" i="6"/>
  <c r="AH376" i="6"/>
  <c r="AH360" i="6"/>
  <c r="AH344" i="6"/>
  <c r="AH328" i="6"/>
  <c r="AH312" i="6"/>
  <c r="AH296" i="6"/>
  <c r="AH280" i="6"/>
  <c r="AH264" i="6"/>
  <c r="AH248" i="6"/>
  <c r="AH232" i="6"/>
  <c r="AH216" i="6"/>
  <c r="AH200" i="6"/>
  <c r="AH184" i="6"/>
  <c r="AH168" i="6"/>
  <c r="AH152" i="6"/>
  <c r="AH136" i="6"/>
  <c r="AH120" i="6"/>
  <c r="AH104" i="6"/>
  <c r="AH88" i="6"/>
  <c r="AH72" i="6"/>
  <c r="AH56" i="6"/>
  <c r="AH40" i="6"/>
  <c r="AH24" i="6"/>
  <c r="AH196" i="6"/>
  <c r="AH421" i="6"/>
  <c r="AH325" i="6"/>
  <c r="AH277" i="6"/>
  <c r="AH101" i="6"/>
  <c r="AH148" i="6"/>
  <c r="AH469" i="6"/>
  <c r="AH389" i="6"/>
  <c r="AH293" i="6"/>
  <c r="AH245" i="6"/>
  <c r="AH21" i="6"/>
  <c r="AH452" i="6"/>
  <c r="AH340" i="6"/>
  <c r="AK48" i="6"/>
  <c r="AK49" i="6"/>
  <c r="AK50" i="6"/>
  <c r="AK51" i="6"/>
  <c r="AK52" i="6"/>
  <c r="AJ24" i="6"/>
  <c r="AY23" i="2" a="1"/>
  <c r="AY23" i="2" s="1"/>
  <c r="AZ23" i="2" s="1"/>
  <c r="AV425" i="2" a="1"/>
  <c r="AV425" i="2" s="1"/>
  <c r="AV19" i="2" a="1"/>
  <c r="AV19" i="2" s="1"/>
  <c r="AV243" i="2" a="1"/>
  <c r="AV243" i="2" s="1"/>
  <c r="AV460" i="2" a="1"/>
  <c r="AV460" i="2" s="1"/>
  <c r="AV152" i="2" a="1"/>
  <c r="AV152" i="2" s="1"/>
  <c r="AV364" i="2" a="1"/>
  <c r="AV364" i="2" s="1"/>
  <c r="AV332" i="2" a="1"/>
  <c r="AV332" i="2" s="1"/>
  <c r="AV34" i="2" a="1"/>
  <c r="AV34" i="2" s="1"/>
  <c r="AV163" i="2" a="1"/>
  <c r="AV163" i="2" s="1"/>
  <c r="AV83" i="2" a="1"/>
  <c r="AV83" i="2" s="1"/>
  <c r="AV472" i="2" a="1"/>
  <c r="AV472" i="2" s="1"/>
  <c r="AV242" i="2" a="1"/>
  <c r="AV242" i="2" s="1"/>
  <c r="AV450" i="2" a="1"/>
  <c r="AV450" i="2" s="1"/>
  <c r="AV194" i="2" a="1"/>
  <c r="AV194" i="2" s="1"/>
  <c r="AV355" i="2" a="1"/>
  <c r="AV355" i="2" s="1"/>
  <c r="AV179" i="2" a="1"/>
  <c r="AV179" i="2" s="1"/>
  <c r="AV184" i="2" a="1"/>
  <c r="AV184" i="2" s="1"/>
  <c r="AV51" i="2" a="1"/>
  <c r="AV51" i="2" s="1"/>
  <c r="AV220" i="2" a="1"/>
  <c r="AV220" i="2" s="1"/>
  <c r="AV168" i="2" a="1"/>
  <c r="AV168" i="2" s="1"/>
  <c r="AV380" i="2" a="1"/>
  <c r="AV380" i="2" s="1"/>
  <c r="AV435" i="2" a="1"/>
  <c r="AV435" i="2" s="1"/>
  <c r="AV371" i="2" a="1"/>
  <c r="AV371" i="2" s="1"/>
  <c r="AV467" i="2" a="1"/>
  <c r="AV467" i="2" s="1"/>
  <c r="AV227" i="2" a="1"/>
  <c r="AV227" i="2" s="1"/>
  <c r="AV323" i="2" a="1"/>
  <c r="AV323" i="2" s="1"/>
  <c r="AV441" i="2" a="1"/>
  <c r="AV441" i="2" s="1"/>
  <c r="AV274" i="2" a="1"/>
  <c r="AV274" i="2" s="1"/>
  <c r="AV440" i="2" a="1"/>
  <c r="AV440" i="2" s="1"/>
  <c r="AV354" i="2" a="1"/>
  <c r="AV354" i="2" s="1"/>
  <c r="AV488" i="2" a="1"/>
  <c r="AV488" i="2" s="1"/>
  <c r="AV392" i="2" a="1"/>
  <c r="AV392" i="2" s="1"/>
  <c r="AV211" i="2" a="1"/>
  <c r="AV211" i="2" s="1"/>
  <c r="AV339" i="2" a="1"/>
  <c r="AV339" i="2" s="1"/>
  <c r="AV24" i="2" a="1"/>
  <c r="AV24" i="2" s="1"/>
  <c r="AV348" i="2" a="1"/>
  <c r="AV348" i="2" s="1"/>
  <c r="AV200" i="2" a="1"/>
  <c r="AV200" i="2" s="1"/>
  <c r="AV124" i="2" a="1"/>
  <c r="AV124" i="2" s="1"/>
  <c r="AV232" i="2" a="1"/>
  <c r="AV232" i="2" s="1"/>
  <c r="AV162" i="2" a="1"/>
  <c r="AV162" i="2" s="1"/>
  <c r="AV291" i="2" a="1"/>
  <c r="AV291" i="2" s="1"/>
  <c r="AV338" i="2" a="1"/>
  <c r="AV338" i="2" s="1"/>
  <c r="AV307" i="2" a="1"/>
  <c r="AV307" i="2" s="1"/>
  <c r="AV195" i="2" a="1"/>
  <c r="AV195" i="2" s="1"/>
  <c r="AV115" i="2" a="1"/>
  <c r="AV115" i="2" s="1"/>
  <c r="AV428" i="2" a="1"/>
  <c r="AV428" i="2" s="1"/>
  <c r="AV487" i="2" a="1"/>
  <c r="AV487" i="2" s="1"/>
  <c r="AV359" i="2" a="1"/>
  <c r="AV359" i="2" s="1"/>
  <c r="AV103" i="2" a="1"/>
  <c r="AV103" i="2" s="1"/>
  <c r="AU416" i="2"/>
  <c r="AV358" i="2" a="1"/>
  <c r="AV358" i="2" s="1"/>
  <c r="AV230" i="2" a="1"/>
  <c r="AV230" i="2" s="1"/>
  <c r="AV22" i="2" a="1"/>
  <c r="AV22" i="2" s="1"/>
  <c r="AV482" i="2" a="1"/>
  <c r="AV482" i="2" s="1"/>
  <c r="AV120" i="2" a="1"/>
  <c r="AV120" i="2" s="1"/>
  <c r="AV2" i="2" a="1"/>
  <c r="AV2" i="2" s="1"/>
  <c r="AU112" i="2"/>
  <c r="AV67" i="2" a="1"/>
  <c r="AV67" i="2" s="1"/>
  <c r="AV140" i="2" a="1"/>
  <c r="AV140" i="2" s="1"/>
  <c r="AV210" i="2" a="1"/>
  <c r="AV210" i="2" s="1"/>
  <c r="AV290" i="2" a="1"/>
  <c r="AV290" i="2" s="1"/>
  <c r="AV178" i="2" a="1"/>
  <c r="AV178" i="2" s="1"/>
  <c r="AV236" i="2" a="1"/>
  <c r="AV236" i="2" s="1"/>
  <c r="AV434" i="2" a="1"/>
  <c r="AV434" i="2" s="1"/>
  <c r="AV66" i="2" a="1"/>
  <c r="AV66" i="2" s="1"/>
  <c r="AU191" i="2"/>
  <c r="AU352" i="2"/>
  <c r="AU18" i="2"/>
  <c r="AU252" i="2"/>
  <c r="AU329" i="2"/>
  <c r="AU93" i="2"/>
  <c r="AU288" i="2"/>
  <c r="AU149" i="2"/>
  <c r="AU306" i="2"/>
  <c r="AU320" i="2"/>
  <c r="AU224" i="2"/>
  <c r="AU208" i="2"/>
  <c r="AU336" i="2"/>
  <c r="AU368" i="2"/>
  <c r="AU147" i="2"/>
  <c r="AU304" i="2"/>
  <c r="AU99" i="2"/>
  <c r="AU174" i="2"/>
  <c r="AU409" i="2"/>
  <c r="AU451" i="2"/>
  <c r="AU373" i="2"/>
  <c r="AU272" i="2"/>
  <c r="AR329" i="2" a="1"/>
  <c r="AR329" i="2" s="1"/>
  <c r="AV329" i="2" s="1" a="1"/>
  <c r="AV329" i="2" s="1"/>
  <c r="AR191" i="2" a="1"/>
  <c r="AR191" i="2" s="1"/>
  <c r="AV191" i="2" s="1" a="1"/>
  <c r="AV191" i="2" s="1"/>
  <c r="AU256" i="2"/>
  <c r="AU420" i="2"/>
  <c r="AU500" i="2"/>
  <c r="AU386" i="2"/>
  <c r="AU136" i="2"/>
  <c r="AU273" i="2"/>
  <c r="AU491" i="2"/>
  <c r="AU310" i="2"/>
  <c r="AU281" i="2"/>
  <c r="AU35" i="2"/>
  <c r="AU3" i="2"/>
  <c r="AU189" i="2"/>
  <c r="AR451" i="2" a="1"/>
  <c r="AR451" i="2" s="1"/>
  <c r="AV451" i="2" s="1" a="1"/>
  <c r="AV451" i="2" s="1"/>
  <c r="AR310" i="2" a="1"/>
  <c r="AR310" i="2" s="1"/>
  <c r="AV310" i="2" s="1" a="1"/>
  <c r="AV310" i="2" s="1"/>
  <c r="AU192" i="2"/>
  <c r="AU314" i="2"/>
  <c r="AU193" i="2"/>
  <c r="AU494" i="2"/>
  <c r="AU72" i="2"/>
  <c r="AU41" i="2"/>
  <c r="AU181" i="2"/>
  <c r="AU114" i="2"/>
  <c r="AR174" i="2" a="1"/>
  <c r="AR174" i="2" s="1"/>
  <c r="AV174" i="2" s="1" a="1"/>
  <c r="AV174" i="2" s="1"/>
  <c r="AU176" i="2"/>
  <c r="AU266" i="2"/>
  <c r="AU387" i="2"/>
  <c r="AU68" i="2"/>
  <c r="AU426" i="2"/>
  <c r="AU130" i="2"/>
  <c r="AU76" i="2"/>
  <c r="AU460" i="2"/>
  <c r="AU206" i="2"/>
  <c r="AR426" i="2" a="1"/>
  <c r="AR426" i="2" s="1"/>
  <c r="AV426" i="2" s="1" a="1"/>
  <c r="AV426" i="2" s="1"/>
  <c r="AR147" i="2" a="1"/>
  <c r="AR147" i="2" s="1"/>
  <c r="AV147" i="2" s="1" a="1"/>
  <c r="AV147" i="2" s="1"/>
  <c r="AU160" i="2"/>
  <c r="AU56" i="2"/>
  <c r="AU424" i="2"/>
  <c r="AU233" i="2"/>
  <c r="AU332" i="2"/>
  <c r="AR424" i="2" a="1"/>
  <c r="AR424" i="2" s="1"/>
  <c r="AV424" i="2" s="1" a="1"/>
  <c r="AV424" i="2" s="1"/>
  <c r="AR281" i="2" a="1"/>
  <c r="AR281" i="2" s="1"/>
  <c r="AV281" i="2" s="1" a="1"/>
  <c r="AV281" i="2" s="1"/>
  <c r="AU144" i="2"/>
  <c r="AU316" i="2"/>
  <c r="AU356" i="2"/>
  <c r="AU355" i="2"/>
  <c r="AU134" i="2"/>
  <c r="AU54" i="2"/>
  <c r="AU485" i="2"/>
  <c r="AU184" i="2"/>
  <c r="AU496" i="2"/>
  <c r="AU128" i="2"/>
  <c r="AU131" i="2"/>
  <c r="AU137" i="2"/>
  <c r="AU75" i="2"/>
  <c r="AU213" i="2"/>
  <c r="AU135" i="2"/>
  <c r="AU452" i="2"/>
  <c r="AU295" i="2"/>
  <c r="AU21" i="2"/>
  <c r="AU231" i="2"/>
  <c r="AU360" i="2"/>
  <c r="AR266" i="2" a="1"/>
  <c r="AR266" i="2" s="1"/>
  <c r="AV266" i="2" s="1" a="1"/>
  <c r="AV266" i="2" s="1"/>
  <c r="AU480" i="2"/>
  <c r="AU96" i="2"/>
  <c r="AU438" i="2"/>
  <c r="AU456" i="2"/>
  <c r="AR409" i="2" a="1"/>
  <c r="AR409" i="2" s="1"/>
  <c r="AV409" i="2" s="1" a="1"/>
  <c r="AV409" i="2" s="1"/>
  <c r="AR252" i="2" a="1"/>
  <c r="AR252" i="2" s="1"/>
  <c r="AV252" i="2" s="1" a="1"/>
  <c r="AV252" i="2" s="1"/>
  <c r="AR99" i="2" a="1"/>
  <c r="AR99" i="2" s="1"/>
  <c r="AV99" i="2" s="1" a="1"/>
  <c r="AV99" i="2" s="1"/>
  <c r="AU464" i="2"/>
  <c r="AU64" i="2"/>
  <c r="AU101" i="2"/>
  <c r="AU458" i="2"/>
  <c r="AU455" i="2"/>
  <c r="AU180" i="2"/>
  <c r="AU53" i="2"/>
  <c r="AU20" i="2"/>
  <c r="AU370" i="2"/>
  <c r="AR93" i="2" a="1"/>
  <c r="AR93" i="2" s="1"/>
  <c r="AV93" i="2" s="1" a="1"/>
  <c r="AV93" i="2" s="1"/>
  <c r="AU448" i="2"/>
  <c r="AU48" i="2"/>
  <c r="AU495" i="2"/>
  <c r="AU403" i="2"/>
  <c r="AU432" i="2"/>
  <c r="AU32" i="2"/>
  <c r="AU229" i="2"/>
  <c r="AU498" i="2"/>
  <c r="AU417" i="2"/>
  <c r="AR495" i="2" a="1"/>
  <c r="AR495" i="2" s="1"/>
  <c r="AV495" i="2" s="1" a="1"/>
  <c r="AV495" i="2" s="1"/>
  <c r="AR233" i="2" a="1"/>
  <c r="AR233" i="2" s="1"/>
  <c r="AV233" i="2" s="1" a="1"/>
  <c r="AV233" i="2" s="1"/>
  <c r="AR75" i="2" a="1"/>
  <c r="AR75" i="2" s="1"/>
  <c r="AV75" i="2" s="1" a="1"/>
  <c r="AV75" i="2" s="1"/>
  <c r="AU400" i="2"/>
  <c r="AU16" i="2"/>
  <c r="AU2" i="2"/>
  <c r="AU483" i="2"/>
  <c r="AU258" i="2"/>
  <c r="AU497" i="2"/>
  <c r="AU219" i="2"/>
  <c r="AU19" i="2"/>
  <c r="AU242" i="2"/>
  <c r="AU194" i="2"/>
  <c r="AU381" i="2"/>
  <c r="AU313" i="2"/>
  <c r="AU146" i="2"/>
  <c r="AU275" i="2"/>
  <c r="AU486" i="2"/>
  <c r="AU413" i="2"/>
  <c r="AU37" i="2"/>
  <c r="AU241" i="2"/>
  <c r="AU108" i="2"/>
  <c r="AU484" i="2"/>
  <c r="AU102" i="2"/>
  <c r="AU284" i="2"/>
  <c r="AU338" i="2"/>
  <c r="AR88" i="2" a="1"/>
  <c r="AR88" i="2" s="1"/>
  <c r="AV88" i="2" s="1" a="1"/>
  <c r="AV88" i="2" s="1"/>
  <c r="AU88" i="2"/>
  <c r="AR297" i="2" a="1"/>
  <c r="AR297" i="2" s="1"/>
  <c r="AV297" i="2" s="1" a="1"/>
  <c r="AV297" i="2" s="1"/>
  <c r="AU297" i="2"/>
  <c r="AU261" i="2"/>
  <c r="AR261" i="2" a="1"/>
  <c r="AR261" i="2" s="1"/>
  <c r="AV261" i="2" s="1" a="1"/>
  <c r="AV261" i="2" s="1"/>
  <c r="AR390" i="2" a="1"/>
  <c r="AR390" i="2" s="1"/>
  <c r="AV390" i="2" s="1" a="1"/>
  <c r="AV390" i="2" s="1"/>
  <c r="AU390" i="2"/>
  <c r="AR17" i="2" a="1"/>
  <c r="AR17" i="2" s="1"/>
  <c r="AV17" i="2" s="1" a="1"/>
  <c r="AV17" i="2" s="1"/>
  <c r="AU17" i="2"/>
  <c r="AR27" i="2" a="1"/>
  <c r="AR27" i="2" s="1"/>
  <c r="AV27" i="2" s="1" a="1"/>
  <c r="AV27" i="2" s="1"/>
  <c r="AU27" i="2"/>
  <c r="AU259" i="2"/>
  <c r="AR259" i="2" a="1"/>
  <c r="AR259" i="2" s="1"/>
  <c r="AV259" i="2" s="1" a="1"/>
  <c r="AV259" i="2" s="1"/>
  <c r="AR198" i="2" a="1"/>
  <c r="AR198" i="2" s="1"/>
  <c r="AV198" i="2" s="1" a="1"/>
  <c r="AV198" i="2" s="1"/>
  <c r="AU198" i="2"/>
  <c r="AR43" i="2" a="1"/>
  <c r="AR43" i="2" s="1"/>
  <c r="AV43" i="2" s="1" a="1"/>
  <c r="AV43" i="2" s="1"/>
  <c r="AU43" i="2"/>
  <c r="AR141" i="2" a="1"/>
  <c r="AR141" i="2" s="1"/>
  <c r="AV141" i="2" s="1" a="1"/>
  <c r="AV141" i="2" s="1"/>
  <c r="AU141" i="2"/>
  <c r="AR240" i="2" a="1"/>
  <c r="AR240" i="2" s="1"/>
  <c r="AV240" i="2" s="1" a="1"/>
  <c r="AV240" i="2" s="1"/>
  <c r="AU240" i="2"/>
  <c r="AU499" i="2"/>
  <c r="AR499" i="2" a="1"/>
  <c r="AR499" i="2" s="1"/>
  <c r="AV499" i="2" s="1" a="1"/>
  <c r="AV499" i="2" s="1"/>
  <c r="AR247" i="2" a="1"/>
  <c r="AR247" i="2" s="1"/>
  <c r="AV247" i="2" s="1" a="1"/>
  <c r="AV247" i="2" s="1"/>
  <c r="AU247" i="2"/>
  <c r="AR296" i="2" a="1"/>
  <c r="AR296" i="2" s="1"/>
  <c r="AV296" i="2" s="1" a="1"/>
  <c r="AV296" i="2" s="1"/>
  <c r="AU296" i="2"/>
  <c r="AR257" i="2" a="1"/>
  <c r="AR257" i="2" s="1"/>
  <c r="AV257" i="2" s="1" a="1"/>
  <c r="AV257" i="2" s="1"/>
  <c r="AU257" i="2"/>
  <c r="AU40" i="2"/>
  <c r="AR40" i="2" a="1"/>
  <c r="AR40" i="2" s="1"/>
  <c r="AV40" i="2" s="1" a="1"/>
  <c r="AV40" i="2" s="1"/>
  <c r="AR225" i="2" a="1"/>
  <c r="AR225" i="2" s="1"/>
  <c r="AV225" i="2" s="1" a="1"/>
  <c r="AV225" i="2" s="1"/>
  <c r="AU225" i="2"/>
  <c r="AU77" i="2"/>
  <c r="AR82" i="2" a="1"/>
  <c r="AR82" i="2" s="1"/>
  <c r="AV82" i="2" s="1" a="1"/>
  <c r="AV82" i="2" s="1"/>
  <c r="AU82" i="2"/>
  <c r="AU239" i="2"/>
  <c r="AR239" i="2" a="1"/>
  <c r="AR239" i="2" s="1"/>
  <c r="AV239" i="2" s="1" a="1"/>
  <c r="AV239" i="2" s="1"/>
  <c r="AU466" i="2"/>
  <c r="AR466" i="2" a="1"/>
  <c r="AR466" i="2" s="1"/>
  <c r="AV466" i="2" s="1" a="1"/>
  <c r="AV466" i="2" s="1"/>
  <c r="AR436" i="2" a="1"/>
  <c r="AR436" i="2" s="1"/>
  <c r="AV436" i="2" s="1" a="1"/>
  <c r="AV436" i="2" s="1"/>
  <c r="AU436" i="2"/>
  <c r="AR139" i="2" a="1"/>
  <c r="AR139" i="2" s="1"/>
  <c r="AV139" i="2" s="1" a="1"/>
  <c r="AV139" i="2" s="1"/>
  <c r="AU139" i="2"/>
  <c r="AR350" i="2" a="1"/>
  <c r="AR350" i="2" s="1"/>
  <c r="AV350" i="2" s="1" a="1"/>
  <c r="AV350" i="2" s="1"/>
  <c r="AU350" i="2"/>
  <c r="AR362" i="2" a="1"/>
  <c r="AR362" i="2" s="1"/>
  <c r="AV362" i="2" s="1" a="1"/>
  <c r="AV362" i="2" s="1"/>
  <c r="AU362" i="2"/>
  <c r="AR117" i="2" a="1"/>
  <c r="AR117" i="2" s="1"/>
  <c r="AV117" i="2" s="1" a="1"/>
  <c r="AV117" i="2" s="1"/>
  <c r="AU117" i="2"/>
  <c r="AU402" i="2"/>
  <c r="AR402" i="2" a="1"/>
  <c r="AR402" i="2" s="1"/>
  <c r="AV402" i="2" s="1" a="1"/>
  <c r="AV402" i="2" s="1"/>
  <c r="AR376" i="2" a="1"/>
  <c r="AR376" i="2" s="1"/>
  <c r="AV376" i="2" s="1" a="1"/>
  <c r="AV376" i="2" s="1"/>
  <c r="AU376" i="2"/>
  <c r="AR50" i="2" a="1"/>
  <c r="AR50" i="2" s="1"/>
  <c r="AV50" i="2" s="1" a="1"/>
  <c r="AV50" i="2" s="1"/>
  <c r="AU50" i="2"/>
  <c r="AU384" i="2"/>
  <c r="AR149" i="2" a="1"/>
  <c r="AR149" i="2" s="1"/>
  <c r="AV149" i="2" s="1" a="1"/>
  <c r="AV149" i="2" s="1"/>
  <c r="AU481" i="2"/>
  <c r="AU465" i="2"/>
  <c r="AU449" i="2"/>
  <c r="AU433" i="2"/>
  <c r="AU401" i="2"/>
  <c r="AU385" i="2"/>
  <c r="AU369" i="2"/>
  <c r="AU353" i="2"/>
  <c r="AU337" i="2"/>
  <c r="AU321" i="2"/>
  <c r="AU305" i="2"/>
  <c r="AU289" i="2"/>
  <c r="AU209" i="2"/>
  <c r="AU177" i="2"/>
  <c r="AU161" i="2"/>
  <c r="AU145" i="2"/>
  <c r="AU129" i="2"/>
  <c r="AU113" i="2"/>
  <c r="AU97" i="2"/>
  <c r="AU81" i="2"/>
  <c r="AU65" i="2"/>
  <c r="AU49" i="2"/>
  <c r="AU33" i="2"/>
  <c r="AR491" i="2" a="1"/>
  <c r="AR491" i="2" s="1"/>
  <c r="AV491" i="2" s="1" a="1"/>
  <c r="AV491" i="2" s="1"/>
  <c r="AR456" i="2" a="1"/>
  <c r="AR456" i="2" s="1"/>
  <c r="AV456" i="2" s="1" a="1"/>
  <c r="AV456" i="2" s="1"/>
  <c r="AR420" i="2" a="1"/>
  <c r="AR420" i="2" s="1"/>
  <c r="AV420" i="2" s="1" a="1"/>
  <c r="AV420" i="2" s="1"/>
  <c r="AR316" i="2" a="1"/>
  <c r="AR316" i="2" s="1"/>
  <c r="AV316" i="2" s="1" a="1"/>
  <c r="AV316" i="2" s="1"/>
  <c r="AR275" i="2" a="1"/>
  <c r="AR275" i="2" s="1"/>
  <c r="AV275" i="2" s="1" a="1"/>
  <c r="AV275" i="2" s="1"/>
  <c r="AR146" i="2" a="1"/>
  <c r="AR146" i="2" s="1"/>
  <c r="AV146" i="2" s="1" a="1"/>
  <c r="AV146" i="2" s="1"/>
  <c r="AR108" i="2" a="1"/>
  <c r="AR108" i="2" s="1"/>
  <c r="AV108" i="2" s="1" a="1"/>
  <c r="AV108" i="2" s="1"/>
  <c r="AR76" i="2" a="1"/>
  <c r="AR76" i="2" s="1"/>
  <c r="AV76" i="2" s="1" a="1"/>
  <c r="AV76" i="2" s="1"/>
  <c r="AU479" i="2"/>
  <c r="AU463" i="2"/>
  <c r="AU447" i="2"/>
  <c r="AU431" i="2"/>
  <c r="AU415" i="2"/>
  <c r="AU399" i="2"/>
  <c r="AU383" i="2"/>
  <c r="AU367" i="2"/>
  <c r="AU351" i="2"/>
  <c r="AU335" i="2"/>
  <c r="AU319" i="2"/>
  <c r="AU303" i="2"/>
  <c r="AU287" i="2"/>
  <c r="AU271" i="2"/>
  <c r="AU255" i="2"/>
  <c r="AU223" i="2"/>
  <c r="AU207" i="2"/>
  <c r="AU175" i="2"/>
  <c r="AU159" i="2"/>
  <c r="AU143" i="2"/>
  <c r="AU127" i="2"/>
  <c r="AU111" i="2"/>
  <c r="AU95" i="2"/>
  <c r="AU79" i="2"/>
  <c r="AU63" i="2"/>
  <c r="AU47" i="2"/>
  <c r="AU31" i="2"/>
  <c r="AU15" i="2"/>
  <c r="AR314" i="2" a="1"/>
  <c r="AR314" i="2" s="1"/>
  <c r="AV314" i="2" s="1" a="1"/>
  <c r="AV314" i="2" s="1"/>
  <c r="AU478" i="2"/>
  <c r="AU462" i="2"/>
  <c r="AU446" i="2"/>
  <c r="AU430" i="2"/>
  <c r="AU414" i="2"/>
  <c r="AU398" i="2"/>
  <c r="AU382" i="2"/>
  <c r="AU366" i="2"/>
  <c r="AU334" i="2"/>
  <c r="AU318" i="2"/>
  <c r="AU302" i="2"/>
  <c r="AU286" i="2"/>
  <c r="AU270" i="2"/>
  <c r="AU254" i="2"/>
  <c r="AU238" i="2"/>
  <c r="AU222" i="2"/>
  <c r="AU190" i="2"/>
  <c r="AU158" i="2"/>
  <c r="AU142" i="2"/>
  <c r="AU126" i="2"/>
  <c r="AU110" i="2"/>
  <c r="AU94" i="2"/>
  <c r="AU78" i="2"/>
  <c r="AU62" i="2"/>
  <c r="AU46" i="2"/>
  <c r="AU30" i="2"/>
  <c r="AU14" i="2"/>
  <c r="AR485" i="2" a="1"/>
  <c r="AR485" i="2" s="1"/>
  <c r="AV485" i="2" s="1" a="1"/>
  <c r="AV485" i="2" s="1"/>
  <c r="AR452" i="2" a="1"/>
  <c r="AR452" i="2" s="1"/>
  <c r="AV452" i="2" s="1" a="1"/>
  <c r="AV452" i="2" s="1"/>
  <c r="AR373" i="2" a="1"/>
  <c r="AR373" i="2" s="1"/>
  <c r="AV373" i="2" s="1" a="1"/>
  <c r="AV373" i="2" s="1"/>
  <c r="AR313" i="2" a="1"/>
  <c r="AR313" i="2" s="1"/>
  <c r="AV313" i="2" s="1" a="1"/>
  <c r="AV313" i="2" s="1"/>
  <c r="AR231" i="2" a="1"/>
  <c r="AR231" i="2" s="1"/>
  <c r="AV231" i="2" s="1" a="1"/>
  <c r="AV231" i="2" s="1"/>
  <c r="AR189" i="2" a="1"/>
  <c r="AR189" i="2" s="1"/>
  <c r="AV189" i="2" s="1" a="1"/>
  <c r="AV189" i="2" s="1"/>
  <c r="AR101" i="2" a="1"/>
  <c r="AR101" i="2" s="1"/>
  <c r="AV101" i="2" s="1" a="1"/>
  <c r="AV101" i="2" s="1"/>
  <c r="AR37" i="2" a="1"/>
  <c r="AR37" i="2" s="1"/>
  <c r="AV37" i="2" s="1" a="1"/>
  <c r="AV37" i="2" s="1"/>
  <c r="AU493" i="2"/>
  <c r="AU477" i="2"/>
  <c r="AU461" i="2"/>
  <c r="AU445" i="2"/>
  <c r="AU429" i="2"/>
  <c r="AU397" i="2"/>
  <c r="AU365" i="2"/>
  <c r="AU349" i="2"/>
  <c r="AU333" i="2"/>
  <c r="AU317" i="2"/>
  <c r="AU301" i="2"/>
  <c r="AU285" i="2"/>
  <c r="AU269" i="2"/>
  <c r="AU253" i="2"/>
  <c r="AU237" i="2"/>
  <c r="AU221" i="2"/>
  <c r="AU205" i="2"/>
  <c r="AU173" i="2"/>
  <c r="AU157" i="2"/>
  <c r="AU125" i="2"/>
  <c r="AU109" i="2"/>
  <c r="AU61" i="2"/>
  <c r="AU45" i="2"/>
  <c r="AU29" i="2"/>
  <c r="AU13" i="2"/>
  <c r="AR72" i="2" a="1"/>
  <c r="AR72" i="2" s="1"/>
  <c r="AV72" i="2" s="1" a="1"/>
  <c r="AV72" i="2" s="1"/>
  <c r="AU492" i="2"/>
  <c r="AU476" i="2"/>
  <c r="AU444" i="2"/>
  <c r="AU428" i="2"/>
  <c r="AU412" i="2"/>
  <c r="AU396" i="2"/>
  <c r="AU380" i="2"/>
  <c r="AU364" i="2"/>
  <c r="AU348" i="2"/>
  <c r="AU300" i="2"/>
  <c r="AU268" i="2"/>
  <c r="AU236" i="2"/>
  <c r="AU220" i="2"/>
  <c r="AU204" i="2"/>
  <c r="AU188" i="2"/>
  <c r="AU172" i="2"/>
  <c r="AU156" i="2"/>
  <c r="AU140" i="2"/>
  <c r="AU124" i="2"/>
  <c r="AU92" i="2"/>
  <c r="AU60" i="2"/>
  <c r="AU44" i="2"/>
  <c r="AU28" i="2"/>
  <c r="AU12" i="2"/>
  <c r="AR483" i="2" a="1"/>
  <c r="AR483" i="2" s="1"/>
  <c r="AV483" i="2" s="1" a="1"/>
  <c r="AV483" i="2" s="1"/>
  <c r="AR306" i="2" a="1"/>
  <c r="AR306" i="2" s="1"/>
  <c r="AV306" i="2" s="1" a="1"/>
  <c r="AV306" i="2" s="1"/>
  <c r="AR136" i="2" a="1"/>
  <c r="AR136" i="2" s="1"/>
  <c r="AV136" i="2" s="1" a="1"/>
  <c r="AV136" i="2" s="1"/>
  <c r="AR68" i="2" a="1"/>
  <c r="AR68" i="2" s="1"/>
  <c r="AV68" i="2" s="1" a="1"/>
  <c r="AV68" i="2" s="1"/>
  <c r="AU475" i="2"/>
  <c r="AU459" i="2"/>
  <c r="AU443" i="2"/>
  <c r="AU427" i="2"/>
  <c r="AU411" i="2"/>
  <c r="AU395" i="2"/>
  <c r="AU379" i="2"/>
  <c r="AU363" i="2"/>
  <c r="AU347" i="2"/>
  <c r="AU331" i="2"/>
  <c r="AU315" i="2"/>
  <c r="AU299" i="2"/>
  <c r="AU283" i="2"/>
  <c r="AU267" i="2"/>
  <c r="AU251" i="2"/>
  <c r="AU235" i="2"/>
  <c r="AU203" i="2"/>
  <c r="AU187" i="2"/>
  <c r="AU171" i="2"/>
  <c r="AU155" i="2"/>
  <c r="AU123" i="2"/>
  <c r="AU107" i="2"/>
  <c r="AU91" i="2"/>
  <c r="AU59" i="2"/>
  <c r="AU11" i="2"/>
  <c r="AR181" i="2" a="1"/>
  <c r="AR181" i="2" s="1"/>
  <c r="AV181" i="2" s="1" a="1"/>
  <c r="AV181" i="2" s="1"/>
  <c r="AR135" i="2" a="1"/>
  <c r="AR135" i="2" s="1"/>
  <c r="AV135" i="2" s="1" a="1"/>
  <c r="AV135" i="2" s="1"/>
  <c r="AU490" i="2"/>
  <c r="AU474" i="2"/>
  <c r="AU442" i="2"/>
  <c r="AU410" i="2"/>
  <c r="AU394" i="2"/>
  <c r="AU378" i="2"/>
  <c r="AU346" i="2"/>
  <c r="AU330" i="2"/>
  <c r="AU298" i="2"/>
  <c r="AU282" i="2"/>
  <c r="AU250" i="2"/>
  <c r="AU234" i="2"/>
  <c r="AU218" i="2"/>
  <c r="AU202" i="2"/>
  <c r="AU186" i="2"/>
  <c r="AU170" i="2"/>
  <c r="AU154" i="2"/>
  <c r="AU138" i="2"/>
  <c r="AU122" i="2"/>
  <c r="AU106" i="2"/>
  <c r="AU90" i="2"/>
  <c r="AU74" i="2"/>
  <c r="AU58" i="2"/>
  <c r="AU42" i="2"/>
  <c r="AU26" i="2"/>
  <c r="AU10" i="2"/>
  <c r="AR403" i="2" a="1"/>
  <c r="AR403" i="2" s="1"/>
  <c r="AV403" i="2" s="1" a="1"/>
  <c r="AV403" i="2" s="1"/>
  <c r="AR258" i="2" a="1"/>
  <c r="AR258" i="2" s="1"/>
  <c r="AV258" i="2" s="1" a="1"/>
  <c r="AV258" i="2" s="1"/>
  <c r="AR134" i="2" a="1"/>
  <c r="AR134" i="2" s="1"/>
  <c r="AV134" i="2" s="1" a="1"/>
  <c r="AV134" i="2" s="1"/>
  <c r="AU489" i="2"/>
  <c r="AU473" i="2"/>
  <c r="AU457" i="2"/>
  <c r="AU441" i="2"/>
  <c r="AU425" i="2"/>
  <c r="AU393" i="2"/>
  <c r="AU377" i="2"/>
  <c r="AU361" i="2"/>
  <c r="AU345" i="2"/>
  <c r="AU265" i="2"/>
  <c r="AU249" i="2"/>
  <c r="AU217" i="2"/>
  <c r="AU201" i="2"/>
  <c r="AU185" i="2"/>
  <c r="AU169" i="2"/>
  <c r="AU153" i="2"/>
  <c r="AU121" i="2"/>
  <c r="AU105" i="2"/>
  <c r="AU89" i="2"/>
  <c r="AU73" i="2"/>
  <c r="AU57" i="2"/>
  <c r="AU25" i="2"/>
  <c r="AU9" i="2"/>
  <c r="AR360" i="2" a="1"/>
  <c r="AR360" i="2" s="1"/>
  <c r="AV360" i="2" s="1" a="1"/>
  <c r="AV360" i="2" s="1"/>
  <c r="AR213" i="2" a="1"/>
  <c r="AR213" i="2" s="1"/>
  <c r="AV213" i="2" s="1" a="1"/>
  <c r="AV213" i="2" s="1"/>
  <c r="AR180" i="2" a="1"/>
  <c r="AR180" i="2" s="1"/>
  <c r="AV180" i="2" s="1" a="1"/>
  <c r="AV180" i="2" s="1"/>
  <c r="AR131" i="2" a="1"/>
  <c r="AR131" i="2" s="1"/>
  <c r="AV131" i="2" s="1" a="1"/>
  <c r="AV131" i="2" s="1"/>
  <c r="AR56" i="2" a="1"/>
  <c r="AR56" i="2" s="1"/>
  <c r="AV56" i="2" s="1" a="1"/>
  <c r="AV56" i="2" s="1"/>
  <c r="AR21" i="2" a="1"/>
  <c r="AR21" i="2" s="1"/>
  <c r="AV21" i="2" s="1" a="1"/>
  <c r="AV21" i="2" s="1"/>
  <c r="AU488" i="2"/>
  <c r="AU472" i="2"/>
  <c r="AU440" i="2"/>
  <c r="AU408" i="2"/>
  <c r="AU392" i="2"/>
  <c r="AU344" i="2"/>
  <c r="AU328" i="2"/>
  <c r="AU312" i="2"/>
  <c r="AU280" i="2"/>
  <c r="AU264" i="2"/>
  <c r="AU248" i="2"/>
  <c r="AU232" i="2"/>
  <c r="AU216" i="2"/>
  <c r="AU200" i="2"/>
  <c r="AU168" i="2"/>
  <c r="AU152" i="2"/>
  <c r="AU120" i="2"/>
  <c r="AU104" i="2"/>
  <c r="AU24" i="2"/>
  <c r="AU8" i="2"/>
  <c r="AR356" i="2" a="1"/>
  <c r="AR356" i="2" s="1"/>
  <c r="AV356" i="2" s="1" a="1"/>
  <c r="AV356" i="2" s="1"/>
  <c r="AR130" i="2" a="1"/>
  <c r="AR130" i="2" s="1"/>
  <c r="AV130" i="2" s="1" a="1"/>
  <c r="AV130" i="2" s="1"/>
  <c r="AR54" i="2" a="1"/>
  <c r="AR54" i="2" s="1"/>
  <c r="AV54" i="2" s="1" a="1"/>
  <c r="AV54" i="2" s="1"/>
  <c r="AR20" i="2" a="1"/>
  <c r="AR20" i="2" s="1"/>
  <c r="AV20" i="2" s="1" a="1"/>
  <c r="AV20" i="2" s="1"/>
  <c r="AU487" i="2"/>
  <c r="AU471" i="2"/>
  <c r="AU439" i="2"/>
  <c r="AU423" i="2"/>
  <c r="AU407" i="2"/>
  <c r="AU391" i="2"/>
  <c r="AU375" i="2"/>
  <c r="AU359" i="2"/>
  <c r="AU343" i="2"/>
  <c r="AU327" i="2"/>
  <c r="AU311" i="2"/>
  <c r="AU279" i="2"/>
  <c r="AU263" i="2"/>
  <c r="AU215" i="2"/>
  <c r="AU199" i="2"/>
  <c r="AU183" i="2"/>
  <c r="AU167" i="2"/>
  <c r="AU151" i="2"/>
  <c r="AU119" i="2"/>
  <c r="AU103" i="2"/>
  <c r="AU87" i="2"/>
  <c r="AU71" i="2"/>
  <c r="AU55" i="2"/>
  <c r="AU39" i="2"/>
  <c r="AU23" i="2"/>
  <c r="AU7" i="2"/>
  <c r="AU470" i="2"/>
  <c r="AU454" i="2"/>
  <c r="AU422" i="2"/>
  <c r="AU406" i="2"/>
  <c r="AU374" i="2"/>
  <c r="AU358" i="2"/>
  <c r="AU342" i="2"/>
  <c r="AU326" i="2"/>
  <c r="AU294" i="2"/>
  <c r="AU278" i="2"/>
  <c r="AU262" i="2"/>
  <c r="AU246" i="2"/>
  <c r="AU230" i="2"/>
  <c r="AU214" i="2"/>
  <c r="AU182" i="2"/>
  <c r="AU166" i="2"/>
  <c r="AU150" i="2"/>
  <c r="AU118" i="2"/>
  <c r="AU86" i="2"/>
  <c r="AU70" i="2"/>
  <c r="AU38" i="2"/>
  <c r="AU22" i="2"/>
  <c r="AU6" i="2"/>
  <c r="AR500" i="2" a="1"/>
  <c r="AR500" i="2" s="1"/>
  <c r="AV500" i="2" s="1" a="1"/>
  <c r="AV500" i="2" s="1"/>
  <c r="AR53" i="2" a="1"/>
  <c r="AR53" i="2" s="1"/>
  <c r="AV53" i="2" s="1" a="1"/>
  <c r="AV53" i="2" s="1"/>
  <c r="AR18" i="2" a="1"/>
  <c r="AR18" i="2" s="1"/>
  <c r="AV18" i="2" s="1" a="1"/>
  <c r="AV18" i="2" s="1"/>
  <c r="AU501" i="2"/>
  <c r="AU469" i="2"/>
  <c r="AU453" i="2"/>
  <c r="AU437" i="2"/>
  <c r="AU421" i="2"/>
  <c r="AU405" i="2"/>
  <c r="AU389" i="2"/>
  <c r="AU357" i="2"/>
  <c r="AU341" i="2"/>
  <c r="AU325" i="2"/>
  <c r="AU309" i="2"/>
  <c r="AU293" i="2"/>
  <c r="AU277" i="2"/>
  <c r="AU245" i="2"/>
  <c r="AU197" i="2"/>
  <c r="AU165" i="2"/>
  <c r="AU133" i="2"/>
  <c r="AU85" i="2"/>
  <c r="AU69" i="2"/>
  <c r="AU5" i="2"/>
  <c r="AU468" i="2"/>
  <c r="AU404" i="2"/>
  <c r="AU388" i="2"/>
  <c r="AU372" i="2"/>
  <c r="AU340" i="2"/>
  <c r="AU324" i="2"/>
  <c r="AU308" i="2"/>
  <c r="AU292" i="2"/>
  <c r="AU276" i="2"/>
  <c r="AU260" i="2"/>
  <c r="AU244" i="2"/>
  <c r="AU228" i="2"/>
  <c r="AU212" i="2"/>
  <c r="AU196" i="2"/>
  <c r="AU164" i="2"/>
  <c r="AU148" i="2"/>
  <c r="AU132" i="2"/>
  <c r="AU116" i="2"/>
  <c r="AU100" i="2"/>
  <c r="AU84" i="2"/>
  <c r="AU52" i="2"/>
  <c r="AU36" i="2"/>
  <c r="AU4" i="2"/>
  <c r="AR498" i="2" a="1"/>
  <c r="AR498" i="2" s="1"/>
  <c r="AV498" i="2" s="1" a="1"/>
  <c r="AV498" i="2" s="1"/>
  <c r="AU467" i="2"/>
  <c r="AU435" i="2"/>
  <c r="AU419" i="2"/>
  <c r="AU371" i="2"/>
  <c r="AU339" i="2"/>
  <c r="AU323" i="2"/>
  <c r="AU307" i="2"/>
  <c r="AU291" i="2"/>
  <c r="AU243" i="2"/>
  <c r="AU227" i="2"/>
  <c r="AU211" i="2"/>
  <c r="AU195" i="2"/>
  <c r="AU179" i="2"/>
  <c r="AU163" i="2"/>
  <c r="AU115" i="2"/>
  <c r="AU83" i="2"/>
  <c r="AU67" i="2"/>
  <c r="AU51" i="2"/>
  <c r="AR114" i="2" a="1"/>
  <c r="AR114" i="2" s="1"/>
  <c r="AV114" i="2" s="1" a="1"/>
  <c r="AV114" i="2" s="1"/>
  <c r="AU482" i="2"/>
  <c r="AU450" i="2"/>
  <c r="AU434" i="2"/>
  <c r="AU418" i="2"/>
  <c r="AU354" i="2"/>
  <c r="AU322" i="2"/>
  <c r="AU290" i="2"/>
  <c r="AU274" i="2"/>
  <c r="AU226" i="2"/>
  <c r="AU210" i="2"/>
  <c r="AU178" i="2"/>
  <c r="AU162" i="2"/>
  <c r="AU98" i="2"/>
  <c r="AU66" i="2"/>
  <c r="AU34" i="2"/>
  <c r="AP355" i="2"/>
  <c r="AP188" i="2"/>
  <c r="AP336" i="2"/>
  <c r="AP306" i="2"/>
  <c r="AP488" i="2"/>
  <c r="AP206" i="2"/>
  <c r="AP154" i="2"/>
  <c r="AP236" i="2"/>
  <c r="AP407" i="2"/>
  <c r="AP310" i="2"/>
  <c r="AP166" i="2"/>
  <c r="AP123" i="2"/>
  <c r="AP477" i="2"/>
  <c r="AP266" i="2"/>
  <c r="AP342" i="2"/>
  <c r="AP263" i="2"/>
  <c r="AP288" i="2"/>
  <c r="AP96" i="2"/>
  <c r="AP365" i="2"/>
  <c r="AP319" i="2"/>
  <c r="AP40" i="2"/>
  <c r="AP383" i="2"/>
  <c r="AP81" i="2"/>
  <c r="AP195" i="2"/>
  <c r="AP100" i="2"/>
  <c r="AP346" i="2"/>
  <c r="AP480" i="2"/>
  <c r="AP172" i="2"/>
  <c r="AP54" i="2"/>
  <c r="AP222" i="2"/>
  <c r="AP49" i="2"/>
  <c r="AP186" i="2"/>
  <c r="AP216" i="2"/>
  <c r="AP465" i="2"/>
  <c r="AP246" i="2"/>
  <c r="AP34" i="2"/>
  <c r="AP491" i="2"/>
  <c r="AP124" i="2"/>
  <c r="AP189" i="2"/>
  <c r="AP191" i="2"/>
  <c r="AP309" i="2"/>
  <c r="AP212" i="2"/>
  <c r="AP32" i="2"/>
  <c r="AP93" i="2"/>
  <c r="AP226" i="2"/>
  <c r="AP110" i="2"/>
  <c r="AP38" i="2"/>
  <c r="AP442" i="2"/>
  <c r="AP238" i="2"/>
  <c r="AP199" i="2"/>
  <c r="AP128" i="2"/>
  <c r="AP58" i="2"/>
  <c r="AP151" i="2"/>
  <c r="AP298" i="2"/>
  <c r="AP301" i="2"/>
  <c r="AP299" i="2"/>
  <c r="AP213" i="2"/>
  <c r="AP388" i="2"/>
  <c r="AP328" i="2"/>
  <c r="AP460" i="2"/>
  <c r="AP337" i="2"/>
  <c r="AP83" i="2"/>
  <c r="AP152" i="2"/>
  <c r="AP403" i="2"/>
  <c r="AP165" i="2"/>
  <c r="AP22" i="2"/>
  <c r="AP162" i="2"/>
  <c r="AP187" i="2"/>
  <c r="AP156" i="2"/>
  <c r="AP75" i="2"/>
  <c r="AP47" i="2"/>
  <c r="AP144" i="2"/>
  <c r="AP211" i="2"/>
  <c r="AP31" i="2"/>
  <c r="AP439" i="2"/>
  <c r="AP370" i="2"/>
  <c r="AP74" i="2"/>
  <c r="AP300" i="2"/>
  <c r="AP148" i="2"/>
  <c r="AP295" i="2"/>
  <c r="AP14" i="2"/>
  <c r="AP4" i="2"/>
  <c r="AP61" i="2"/>
  <c r="AP209" i="2"/>
  <c r="AP327" i="2"/>
  <c r="AP175" i="2"/>
  <c r="AP92" i="2"/>
  <c r="AP8" i="2"/>
  <c r="AP231" i="2"/>
  <c r="AP373" i="2"/>
  <c r="AP94" i="2"/>
  <c r="AP448" i="2"/>
  <c r="AP207" i="2"/>
  <c r="AP498" i="2"/>
  <c r="AP417" i="2"/>
  <c r="AP197" i="2"/>
  <c r="AP452" i="2"/>
  <c r="AP73" i="2"/>
  <c r="AP357" i="2"/>
  <c r="AP438" i="2"/>
  <c r="AP208" i="2"/>
  <c r="AP120" i="2"/>
  <c r="AP387" i="2"/>
  <c r="AP500" i="2"/>
  <c r="AP131" i="2"/>
  <c r="AP95" i="2"/>
  <c r="AP396" i="2"/>
  <c r="AP20" i="2"/>
  <c r="AP244" i="2"/>
  <c r="AP90" i="2"/>
  <c r="AP340" i="2"/>
  <c r="AP282" i="2"/>
  <c r="AP410" i="2"/>
  <c r="AP385" i="2"/>
  <c r="AP164" i="2"/>
  <c r="AP351" i="2"/>
  <c r="AP35" i="2"/>
  <c r="AP401" i="2"/>
  <c r="AP378" i="2"/>
  <c r="AP205" i="2"/>
  <c r="AP405" i="2"/>
  <c r="AP126" i="2"/>
  <c r="AP163" i="2"/>
  <c r="AP13" i="2"/>
  <c r="AP41" i="2"/>
  <c r="AP391" i="2"/>
  <c r="AP449" i="2"/>
  <c r="AP68" i="2"/>
  <c r="AP98" i="2"/>
  <c r="AP265" i="2"/>
  <c r="AP501" i="2"/>
  <c r="AP326" i="2"/>
  <c r="AP202" i="2"/>
  <c r="AP169" i="2"/>
  <c r="AP184" i="2"/>
  <c r="AP99" i="2"/>
  <c r="AP278" i="2"/>
  <c r="AP437" i="2"/>
  <c r="AP468" i="2"/>
  <c r="AP347" i="2"/>
  <c r="AP114" i="2"/>
  <c r="AP418" i="2"/>
  <c r="AP321" i="2"/>
  <c r="AP71" i="2"/>
  <c r="AP134" i="2"/>
  <c r="AP243" i="2"/>
  <c r="AP121" i="2"/>
  <c r="AP130" i="2"/>
  <c r="AP147" i="2"/>
  <c r="AP406" i="2"/>
  <c r="AP291" i="2"/>
  <c r="AP382" i="2"/>
  <c r="AP176" i="2"/>
  <c r="AP362" i="2"/>
  <c r="AP434" i="2"/>
  <c r="AP366" i="2"/>
  <c r="AP203" i="2"/>
  <c r="AP487" i="2"/>
  <c r="AP287" i="2"/>
  <c r="AP261" i="2"/>
  <c r="AP25" i="2"/>
  <c r="AP420" i="2"/>
  <c r="AP273" i="2"/>
  <c r="AP86" i="2"/>
  <c r="AP361" i="2"/>
  <c r="AP28" i="2"/>
  <c r="AP62" i="2"/>
  <c r="AP78" i="2"/>
  <c r="AP230" i="2"/>
  <c r="AP255" i="2"/>
  <c r="AP462" i="2"/>
  <c r="AP307" i="2"/>
  <c r="AP294" i="2"/>
  <c r="AP369" i="2"/>
  <c r="AP201" i="2"/>
  <c r="AP349" i="2"/>
  <c r="AP67" i="2"/>
  <c r="AP499" i="2"/>
  <c r="AP478" i="2"/>
  <c r="AP252" i="2"/>
  <c r="AP113" i="2"/>
  <c r="AP153" i="2"/>
  <c r="AP159" i="2"/>
  <c r="AP85" i="2"/>
  <c r="AP137" i="2"/>
  <c r="AP446" i="2"/>
  <c r="AP257" i="2"/>
  <c r="AP400" i="2"/>
  <c r="AP264" i="2"/>
  <c r="AP286" i="2"/>
  <c r="AP76" i="2"/>
  <c r="AP386" i="2"/>
  <c r="AP200" i="2"/>
  <c r="AP408" i="2"/>
  <c r="AP332" i="2"/>
  <c r="AP453" i="2"/>
  <c r="AP127" i="2"/>
  <c r="AP79" i="2"/>
  <c r="AP136" i="2"/>
  <c r="AP447" i="2"/>
  <c r="AP247" i="2"/>
  <c r="AP426" i="2"/>
  <c r="AP142" i="2"/>
  <c r="AP485" i="2"/>
  <c r="AP181" i="2"/>
  <c r="AP267" i="2"/>
  <c r="AP389" i="2"/>
  <c r="AP133" i="2"/>
  <c r="AP139" i="2"/>
  <c r="AP18" i="2"/>
  <c r="AP51" i="2"/>
  <c r="AP146" i="2"/>
  <c r="AP467" i="2"/>
  <c r="AP6" i="2"/>
  <c r="AP497" i="2"/>
  <c r="AP225" i="2"/>
  <c r="AP242" i="2"/>
  <c r="AP353" i="2"/>
  <c r="AP65" i="2"/>
  <c r="AP102" i="2"/>
  <c r="AP412" i="2"/>
  <c r="AP363" i="2"/>
  <c r="AP376" i="2"/>
  <c r="AP284" i="2"/>
  <c r="AP109" i="2"/>
  <c r="AP249" i="2"/>
  <c r="AP305" i="2"/>
  <c r="AP429" i="2"/>
  <c r="AP2" i="2"/>
  <c r="AP411" i="2"/>
  <c r="AP19" i="2"/>
  <c r="AP106" i="2"/>
  <c r="AP474" i="2"/>
  <c r="AP259" i="2"/>
  <c r="AP425" i="2"/>
  <c r="AP219" i="2"/>
  <c r="AP122" i="2"/>
  <c r="AP313" i="2"/>
  <c r="AP91" i="2"/>
  <c r="AP196" i="2"/>
  <c r="AP23" i="2"/>
  <c r="AP27" i="2"/>
  <c r="AP29" i="2"/>
  <c r="AP227" i="2"/>
  <c r="AP3" i="2"/>
  <c r="AP354" i="2"/>
  <c r="AP129" i="2"/>
  <c r="AP21" i="2"/>
  <c r="AP475" i="2"/>
  <c r="AP268" i="2"/>
  <c r="AP414" i="2"/>
  <c r="AP15" i="2"/>
  <c r="AP322" i="2"/>
  <c r="AP97" i="2"/>
  <c r="AP416" i="2"/>
  <c r="AP415" i="2"/>
  <c r="AP214" i="2"/>
  <c r="AP182" i="2"/>
  <c r="AP398" i="2"/>
  <c r="AP469" i="2"/>
  <c r="AP253" i="2"/>
  <c r="AP402" i="2"/>
  <c r="AP423" i="2"/>
  <c r="AP241" i="2"/>
  <c r="AP428" i="2"/>
  <c r="AP26" i="2"/>
  <c r="AP483" i="2"/>
  <c r="AP381" i="2"/>
  <c r="AP492" i="2"/>
  <c r="AP254" i="2"/>
  <c r="AP311" i="2"/>
  <c r="AP177" i="2"/>
  <c r="AP320" i="2"/>
  <c r="AP404" i="2"/>
  <c r="AP484" i="2"/>
  <c r="AP338" i="2"/>
  <c r="AP224" i="2"/>
  <c r="AP486" i="2"/>
  <c r="AP185" i="2"/>
  <c r="AP77" i="2"/>
  <c r="AP335" i="2"/>
  <c r="AP33" i="2"/>
  <c r="AP454" i="2"/>
  <c r="AP179" i="2"/>
  <c r="AP318" i="2"/>
  <c r="AP292" i="2"/>
  <c r="AP82" i="2"/>
  <c r="AP431" i="2"/>
  <c r="AP105" i="2"/>
  <c r="AP375" i="2"/>
  <c r="AP64" i="2"/>
  <c r="AP107" i="2"/>
  <c r="AP495" i="2"/>
  <c r="AP296" i="2"/>
  <c r="AP304" i="2"/>
  <c r="AP329" i="2"/>
  <c r="AP359" i="2"/>
  <c r="AP344" i="2"/>
  <c r="AP440" i="2"/>
  <c r="AP194" i="2"/>
  <c r="AP108" i="2"/>
  <c r="AP204" i="2"/>
  <c r="AP149" i="2"/>
  <c r="AP451" i="2"/>
  <c r="AP138" i="2"/>
  <c r="AP271" i="2"/>
  <c r="AP56" i="2"/>
  <c r="AP427" i="2"/>
  <c r="AP157" i="2"/>
  <c r="AP258" i="2"/>
  <c r="AP43" i="2"/>
  <c r="AP472" i="2"/>
  <c r="AP390" i="2"/>
  <c r="AP5" i="2"/>
  <c r="AP173" i="2"/>
  <c r="AP218" i="2"/>
  <c r="AP7" i="2"/>
  <c r="AP37" i="2"/>
  <c r="AP30" i="2"/>
  <c r="AP493" i="2"/>
  <c r="AP450" i="2"/>
  <c r="AP233" i="2"/>
  <c r="AP140" i="2"/>
  <c r="AP367" i="2"/>
  <c r="AP392" i="2"/>
  <c r="AP44" i="2"/>
  <c r="AP350" i="2"/>
  <c r="AP272" i="2"/>
  <c r="AP380" i="2"/>
  <c r="AP316" i="2"/>
  <c r="AP125" i="2"/>
  <c r="AP60" i="2"/>
  <c r="AP461" i="2"/>
  <c r="AP324" i="2"/>
  <c r="AP88" i="2"/>
  <c r="AP69" i="2"/>
  <c r="AP445" i="2"/>
  <c r="AP192" i="2"/>
  <c r="AP395" i="2"/>
  <c r="AP476" i="2"/>
  <c r="AP250" i="2"/>
  <c r="AP473" i="2"/>
  <c r="AP436" i="2"/>
  <c r="AP87" i="2"/>
  <c r="AP111" i="2"/>
  <c r="AP276" i="2"/>
  <c r="AP341" i="2"/>
  <c r="AP280" i="2"/>
  <c r="AP371" i="2"/>
  <c r="AP399" i="2"/>
  <c r="AP435" i="2"/>
  <c r="AP343" i="2"/>
  <c r="AP84" i="2"/>
  <c r="AP190" i="2"/>
  <c r="AP325" i="2"/>
  <c r="AP374" i="2"/>
  <c r="AP89" i="2"/>
  <c r="AP161" i="2"/>
  <c r="AP80" i="2"/>
  <c r="AP384" i="2"/>
  <c r="AP413" i="2"/>
  <c r="AP275" i="2"/>
  <c r="AP118" i="2"/>
  <c r="AP112" i="2"/>
  <c r="AP489" i="2"/>
  <c r="AP482" i="2"/>
  <c r="AP70" i="2"/>
  <c r="AP115" i="2"/>
  <c r="AP39" i="2"/>
  <c r="AP270" i="2"/>
  <c r="AP443" i="2"/>
  <c r="AP17" i="2"/>
  <c r="AP345" i="2"/>
  <c r="AP168" i="2"/>
  <c r="AP496" i="2"/>
  <c r="AP11" i="2"/>
  <c r="AP377" i="2"/>
  <c r="AP66" i="2"/>
  <c r="AP490" i="2"/>
  <c r="AP269" i="2"/>
  <c r="AP464" i="2"/>
  <c r="AP360" i="2"/>
  <c r="AP379" i="2"/>
  <c r="AP358" i="2"/>
  <c r="AP104" i="2"/>
  <c r="AP339" i="2"/>
  <c r="AP364" i="2"/>
  <c r="AP42" i="2"/>
  <c r="AP256" i="2"/>
  <c r="AP198" i="2"/>
  <c r="AP232" i="2"/>
  <c r="AP215" i="2"/>
  <c r="AP394" i="2"/>
  <c r="AP220" i="2"/>
  <c r="AP432" i="2"/>
  <c r="AP24" i="2"/>
  <c r="AP457" i="2"/>
  <c r="AP422" i="2"/>
  <c r="AP143" i="2"/>
  <c r="AP419" i="2"/>
  <c r="AP303" i="2"/>
  <c r="AP117" i="2"/>
  <c r="AP9" i="2"/>
  <c r="AP308" i="2"/>
  <c r="AP331" i="2"/>
  <c r="AP158" i="2"/>
  <c r="AP421" i="2"/>
  <c r="AP12" i="2"/>
  <c r="AP356" i="2"/>
  <c r="AP248" i="2"/>
  <c r="AP293" i="2"/>
  <c r="AP174" i="2"/>
  <c r="AP171" i="2"/>
  <c r="AP160" i="2"/>
  <c r="AP101" i="2"/>
  <c r="AP458" i="2"/>
  <c r="AP433" i="2"/>
  <c r="AP180" i="2"/>
  <c r="AP36" i="2"/>
  <c r="AP119" i="2"/>
  <c r="AP289" i="2"/>
  <c r="AP217" i="2"/>
  <c r="AP393" i="2"/>
  <c r="AP330" i="2"/>
  <c r="AP48" i="2"/>
  <c r="AP223" i="2"/>
  <c r="AP463" i="2"/>
  <c r="AP170" i="2"/>
  <c r="AP409" i="2"/>
  <c r="AP494" i="2"/>
  <c r="AP228" i="2"/>
  <c r="AP221" i="2"/>
  <c r="AP251" i="2"/>
  <c r="AP397" i="2"/>
  <c r="AP135" i="2"/>
  <c r="AP277" i="2"/>
  <c r="AP317" i="2"/>
  <c r="AP245" i="2"/>
  <c r="AP281" i="2"/>
  <c r="AP59" i="2"/>
  <c r="AP471" i="2"/>
  <c r="AP193" i="2"/>
  <c r="AP333" i="2"/>
  <c r="AP285" i="2"/>
  <c r="AP314" i="2"/>
  <c r="AP274" i="2"/>
  <c r="AP132" i="2"/>
  <c r="AP479" i="2"/>
  <c r="AP116" i="2"/>
  <c r="AP279" i="2"/>
  <c r="AP459" i="2"/>
  <c r="AP16" i="2"/>
  <c r="AP167" i="2"/>
  <c r="AP210" i="2"/>
  <c r="AP297" i="2"/>
  <c r="AP53" i="2"/>
  <c r="AP334" i="2"/>
  <c r="AP262" i="2"/>
  <c r="AP234" i="2"/>
  <c r="AP145" i="2"/>
  <c r="AP150" i="2"/>
  <c r="AP466" i="2"/>
  <c r="AP240" i="2"/>
  <c r="AP103" i="2"/>
  <c r="AP50" i="2"/>
  <c r="AP290" i="2"/>
  <c r="AP10" i="2"/>
  <c r="AP229" i="2"/>
  <c r="AP323" i="2"/>
  <c r="AP312" i="2"/>
  <c r="AP155" i="2"/>
  <c r="AP456" i="2"/>
  <c r="AP315" i="2"/>
  <c r="AP441" i="2"/>
  <c r="AP283" i="2"/>
  <c r="AP455" i="2"/>
  <c r="AP63" i="2"/>
  <c r="AP141" i="2"/>
  <c r="AP444" i="2"/>
  <c r="AP348" i="2"/>
  <c r="AP260" i="2"/>
  <c r="AP481" i="2"/>
  <c r="AP52" i="2"/>
  <c r="AP372" i="2"/>
  <c r="AP368" i="2"/>
  <c r="AP424" i="2"/>
  <c r="AP237" i="2"/>
  <c r="AP57" i="2"/>
  <c r="AP239" i="2"/>
  <c r="AP183" i="2"/>
  <c r="AP55" i="2"/>
  <c r="AP430" i="2"/>
  <c r="AP235" i="2"/>
  <c r="AP46" i="2"/>
  <c r="AP178" i="2"/>
  <c r="AP302" i="2"/>
  <c r="AP72" i="2"/>
  <c r="AP352" i="2"/>
  <c r="AP470" i="2"/>
  <c r="AP45" i="2"/>
  <c r="AZ24" i="2" l="1"/>
  <c r="AZ25" i="2"/>
  <c r="AZ26" i="2"/>
  <c r="AZ27" i="2"/>
  <c r="AZ28" i="2"/>
  <c r="AZ2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16DA45-F389-4CC1-9D35-4784C470FD4F}" keepAlive="1" name="Query - clean_data" description="Connection to the 'clean_data' query in the workbook." type="5" refreshedVersion="8" background="1" saveData="1">
    <dbPr connection="Provider=Microsoft.Mashup.OleDb.1;Data Source=$Workbook$;Location=clean_data;Extended Properties=&quot;&quot;" command="SELECT * FROM [clean_data]"/>
  </connection>
  <connection id="2" xr16:uid="{22A9B8B2-B537-4926-A66D-FFEFEE08472E}" keepAlive="1" name="Query - RPG_dataset" description="Connection to the 'RPG_dataset' query in the workbook." type="5" refreshedVersion="8" background="1" saveData="1">
    <dbPr connection="Provider=Microsoft.Mashup.OleDb.1;Data Source=$Workbook$;Location=RPG_dataset;Extended Properties=&quot;&quot;" command="SELECT * FROM [RPG_dataset]"/>
  </connection>
  <connection id="3" xr16:uid="{16077AF9-FADC-4EB9-BBC4-6B3B91004A90}" keepAlive="1" name="Query - RPG_dataset (2)" description="Connection to the 'RPG_dataset (2)' query in the workbook." type="5" refreshedVersion="0" background="1">
    <dbPr connection="Provider=Microsoft.Mashup.OleDb.1;Data Source=$Workbook$;Location=&quot;RPG_dataset (2)&quot;;Extended Properties=&quot;&quot;" command="SELECT * FROM [RPG_dataset (2)]"/>
  </connection>
  <connection id="4" xr16:uid="{72E0B9D2-8C0D-42A9-B64B-F88F6CC25BCF}" keepAlive="1" name="Query - RPG_dataset (3)" description="Connection to the 'RPG_dataset (3)' query in the workbook." type="5" refreshedVersion="8" background="1" saveData="1">
    <dbPr connection="Provider=Microsoft.Mashup.OleDb.1;Data Source=$Workbook$;Location=&quot;RPG_dataset (3)&quot;;Extended Properties=&quot;&quot;" command="SELECT * FROM [RPG_dataset (3)]"/>
  </connection>
  <connection id="5" xr16:uid="{0A6FE64C-3A91-4153-BB88-183BB369CC81}" keepAlive="1" name="Query - RPG_dataset8" description="Connection to the 'RPG_dataset8' query in the workbook." type="5" refreshedVersion="8" background="1" saveData="1">
    <dbPr connection="Provider=Microsoft.Mashup.OleDb.1;Data Source=$Workbook$;Location=RPG_dataset8;Extended Properties=&quot;&quot;" command="SELECT * FROM [RPG_dataset8]"/>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<sst xmlns="http://schemas.openxmlformats.org/spreadsheetml/2006/main" count="14233" uniqueCount="1763">
  <si>
    <t>Player ID</t>
  </si>
  <si>
    <t>Username</t>
  </si>
  <si>
    <t>First Name</t>
  </si>
  <si>
    <t>Last Name</t>
  </si>
  <si>
    <t>Race</t>
  </si>
  <si>
    <t>Class</t>
  </si>
  <si>
    <t>Level</t>
  </si>
  <si>
    <t>Region</t>
  </si>
  <si>
    <t>Guild</t>
  </si>
  <si>
    <t>Weapon</t>
  </si>
  <si>
    <t>Status</t>
  </si>
  <si>
    <t>Join Date</t>
  </si>
  <si>
    <t>ATK</t>
  </si>
  <si>
    <t>DEF</t>
  </si>
  <si>
    <t>SPD</t>
  </si>
  <si>
    <t>HP</t>
  </si>
  <si>
    <t>MP</t>
  </si>
  <si>
    <t>Total Stat</t>
  </si>
  <si>
    <t>Kills</t>
  </si>
  <si>
    <t>Deaths</t>
  </si>
  <si>
    <t>Quests Completed</t>
  </si>
  <si>
    <t>Win Rate (%)</t>
  </si>
  <si>
    <t>Playtime (hrs)</t>
  </si>
  <si>
    <t>Gold Earned</t>
  </si>
  <si>
    <t>Is Premium</t>
  </si>
  <si>
    <t>PL0001</t>
  </si>
  <si>
    <t>aiden_544</t>
  </si>
  <si>
    <t>Aiden</t>
  </si>
  <si>
    <t>Darkmantle</t>
  </si>
  <si>
    <t>Dwarf</t>
  </si>
  <si>
    <t>Rogue</t>
  </si>
  <si>
    <t>Northland</t>
  </si>
  <si>
    <t>Steel Fang</t>
  </si>
  <si>
    <t>Dagger</t>
  </si>
  <si>
    <t>Retired</t>
  </si>
  <si>
    <t>2021-02-14</t>
  </si>
  <si>
    <t>Yes</t>
  </si>
  <si>
    <t>PL0002</t>
  </si>
  <si>
    <t>yara_720</t>
  </si>
  <si>
    <t>Yara</t>
  </si>
  <si>
    <t>Flameborn</t>
  </si>
  <si>
    <t>Gnome</t>
  </si>
  <si>
    <t>Monk</t>
  </si>
  <si>
    <t>Ironpeak</t>
  </si>
  <si>
    <t>Active</t>
  </si>
  <si>
    <t>2019-08-28</t>
  </si>
  <si>
    <t>No</t>
  </si>
  <si>
    <t>PL0003</t>
  </si>
  <si>
    <t>dune_789</t>
  </si>
  <si>
    <t>Dune</t>
  </si>
  <si>
    <t>Wildhorn</t>
  </si>
  <si>
    <t>Tiefling</t>
  </si>
  <si>
    <t>Bard</t>
  </si>
  <si>
    <t>Darkwood</t>
  </si>
  <si>
    <t>Golden Leaf</t>
  </si>
  <si>
    <t>2020-05-18</t>
  </si>
  <si>
    <t>PL0004</t>
  </si>
  <si>
    <t>kael_438</t>
  </si>
  <si>
    <t>Kael</t>
  </si>
  <si>
    <t>Emberveil</t>
  </si>
  <si>
    <t>Human</t>
  </si>
  <si>
    <t>Ranger</t>
  </si>
  <si>
    <t>Suncoast</t>
  </si>
  <si>
    <t>None</t>
  </si>
  <si>
    <t>Spear</t>
  </si>
  <si>
    <t xml:space="preserve"> Retired </t>
  </si>
  <si>
    <t>2021-12-10</t>
  </si>
  <si>
    <t>PL0005</t>
  </si>
  <si>
    <t>seth_491</t>
  </si>
  <si>
    <t>Seth</t>
  </si>
  <si>
    <t>Frostborn</t>
  </si>
  <si>
    <t>Dragonborn</t>
  </si>
  <si>
    <t>Warrior</t>
  </si>
  <si>
    <t>Silverdale</t>
  </si>
  <si>
    <t>Iron Shield</t>
  </si>
  <si>
    <t/>
  </si>
  <si>
    <t>2018-03-12</t>
  </si>
  <si>
    <t>PL0006</t>
  </si>
  <si>
    <t>mira_877</t>
  </si>
  <si>
    <t>Mira</t>
  </si>
  <si>
    <t>Ashenvale</t>
  </si>
  <si>
    <t>Fists</t>
  </si>
  <si>
    <t>2022-11-06</t>
  </si>
  <si>
    <t>PL0007</t>
  </si>
  <si>
    <t>delia_887</t>
  </si>
  <si>
    <t>Delia</t>
  </si>
  <si>
    <t xml:space="preserve"> Stormcall </t>
  </si>
  <si>
    <t>Crimson Dawn</t>
  </si>
  <si>
    <t>Wand</t>
  </si>
  <si>
    <t>2022-09-22</t>
  </si>
  <si>
    <t>PL0008</t>
  </si>
  <si>
    <t>yara_356</t>
  </si>
  <si>
    <t>Axe</t>
  </si>
  <si>
    <t xml:space="preserve"> Banned </t>
  </si>
  <si>
    <t>2020-03-02</t>
  </si>
  <si>
    <t>PL0009</t>
  </si>
  <si>
    <t>hana_217</t>
  </si>
  <si>
    <t>Hana</t>
  </si>
  <si>
    <t>Mage</t>
  </si>
  <si>
    <t>Inactive</t>
  </si>
  <si>
    <t>2022-10-07</t>
  </si>
  <si>
    <t>PL0010</t>
  </si>
  <si>
    <t>aria_507</t>
  </si>
  <si>
    <t>Aria</t>
  </si>
  <si>
    <t>Ironfist</t>
  </si>
  <si>
    <t>Orc</t>
  </si>
  <si>
    <t>Banned</t>
  </si>
  <si>
    <t>2018-08-12</t>
  </si>
  <si>
    <t>PL0011</t>
  </si>
  <si>
    <t>tara_718</t>
  </si>
  <si>
    <t>Tara</t>
  </si>
  <si>
    <t>Staff</t>
  </si>
  <si>
    <t>2022-12-06</t>
  </si>
  <si>
    <t>PL0012</t>
  </si>
  <si>
    <t>seth_845</t>
  </si>
  <si>
    <t>2024-06-03</t>
  </si>
  <si>
    <t>PL0013</t>
  </si>
  <si>
    <t>IVAN_976</t>
  </si>
  <si>
    <t>Ivan</t>
  </si>
  <si>
    <t>Ashgrove</t>
  </si>
  <si>
    <t>Sword</t>
  </si>
  <si>
    <t>PL0014</t>
  </si>
  <si>
    <t>faye_108</t>
  </si>
  <si>
    <t>Faye</t>
  </si>
  <si>
    <t>Necromancer</t>
  </si>
  <si>
    <t>Eastmoor</t>
  </si>
  <si>
    <t>Shadow Veil</t>
  </si>
  <si>
    <t>2023-05-17</t>
  </si>
  <si>
    <t>PL0015</t>
  </si>
  <si>
    <t>ewan_425</t>
  </si>
  <si>
    <t>Ewan</t>
  </si>
  <si>
    <t>Wolfsbane</t>
  </si>
  <si>
    <t>2018-10-26</t>
  </si>
  <si>
    <t>PL0016</t>
  </si>
  <si>
    <t>delia_882</t>
  </si>
  <si>
    <t>2023-05-23</t>
  </si>
  <si>
    <t>PL0017</t>
  </si>
  <si>
    <t>grim_850</t>
  </si>
  <si>
    <t>Grim</t>
  </si>
  <si>
    <t>Stoneback</t>
  </si>
  <si>
    <t>Arcane Order</t>
  </si>
  <si>
    <t>2024-12-26</t>
  </si>
  <si>
    <t>PL0018</t>
  </si>
  <si>
    <t>aiden_847</t>
  </si>
  <si>
    <t>Shadowstep</t>
  </si>
  <si>
    <t>RANGER</t>
  </si>
  <si>
    <t>ACTIVE</t>
  </si>
  <si>
    <t>2019-02-23</t>
  </si>
  <si>
    <t>PL0019</t>
  </si>
  <si>
    <t>ivan_104</t>
  </si>
  <si>
    <t>Coldwater</t>
  </si>
  <si>
    <t>2018-10-14</t>
  </si>
  <si>
    <t>PL0020</t>
  </si>
  <si>
    <t>nolan_384</t>
  </si>
  <si>
    <t>Nolan</t>
  </si>
  <si>
    <t>Ironveil</t>
  </si>
  <si>
    <t>NECROMANCER</t>
  </si>
  <si>
    <t>Frostheim</t>
  </si>
  <si>
    <t>2022-04-19</t>
  </si>
  <si>
    <t>PL0021</t>
  </si>
  <si>
    <t>cedric_761</t>
  </si>
  <si>
    <t>Cedric</t>
  </si>
  <si>
    <t>Darkthorn</t>
  </si>
  <si>
    <t>Bow</t>
  </si>
  <si>
    <t>02/02/2021</t>
  </si>
  <si>
    <t>PL0022</t>
  </si>
  <si>
    <t>tilda_971</t>
  </si>
  <si>
    <t>Tilda</t>
  </si>
  <si>
    <t>Lightfoot</t>
  </si>
  <si>
    <t>Halfling</t>
  </si>
  <si>
    <t>2024-05-17</t>
  </si>
  <si>
    <t>PL0023</t>
  </si>
  <si>
    <t>rosa_446</t>
  </si>
  <si>
    <t>Rosa</t>
  </si>
  <si>
    <t>Ravencrest</t>
  </si>
  <si>
    <t>2022-02-21</t>
  </si>
  <si>
    <t>PL0024</t>
  </si>
  <si>
    <t>crix_626</t>
  </si>
  <si>
    <t>Crix</t>
  </si>
  <si>
    <t>2024-09-24</t>
  </si>
  <si>
    <t>PL0025</t>
  </si>
  <si>
    <t>rosa_995</t>
  </si>
  <si>
    <t>2024-07-18</t>
  </si>
  <si>
    <t>PL0026</t>
  </si>
  <si>
    <t>seth_192</t>
  </si>
  <si>
    <t>06/27/2021</t>
  </si>
  <si>
    <t>PL0027</t>
  </si>
  <si>
    <t>cedric_672</t>
  </si>
  <si>
    <t>CEDRIC</t>
  </si>
  <si>
    <t>2024-08-04</t>
  </si>
  <si>
    <t>PL0028</t>
  </si>
  <si>
    <t>oryn_384</t>
  </si>
  <si>
    <t xml:space="preserve"> Oryn </t>
  </si>
  <si>
    <t>LIGHTFOOT</t>
  </si>
  <si>
    <t>Paladin</t>
  </si>
  <si>
    <t>20/04/2020</t>
  </si>
  <si>
    <t>PL0029</t>
  </si>
  <si>
    <t>lira_866</t>
  </si>
  <si>
    <t>Lira</t>
  </si>
  <si>
    <t xml:space="preserve"> Northland </t>
  </si>
  <si>
    <t>2023-05-26</t>
  </si>
  <si>
    <t>PL0030</t>
  </si>
  <si>
    <t>leon_478</t>
  </si>
  <si>
    <t>Leon</t>
  </si>
  <si>
    <t>2020-09-15</t>
  </si>
  <si>
    <t>PL0031</t>
  </si>
  <si>
    <t>grim_608</t>
  </si>
  <si>
    <t>2024-01-18</t>
  </si>
  <si>
    <t>PL0032</t>
  </si>
  <si>
    <t>dune_150</t>
  </si>
  <si>
    <t>Grimstone</t>
  </si>
  <si>
    <t xml:space="preserve"> Human </t>
  </si>
  <si>
    <t>2020-07-23</t>
  </si>
  <si>
    <t>PL0033</t>
  </si>
  <si>
    <t>tara_758</t>
  </si>
  <si>
    <t xml:space="preserve"> Active </t>
  </si>
  <si>
    <t>2018-10-02</t>
  </si>
  <si>
    <t>PL0034</t>
  </si>
  <si>
    <t>torin_631</t>
  </si>
  <si>
    <t>Torin</t>
  </si>
  <si>
    <t>2019-01-17</t>
  </si>
  <si>
    <t>PL0035</t>
  </si>
  <si>
    <t>lyra_137</t>
  </si>
  <si>
    <t>Lyra</t>
  </si>
  <si>
    <t>2024-10-13</t>
  </si>
  <si>
    <t>PL0036</t>
  </si>
  <si>
    <t>nyx_949</t>
  </si>
  <si>
    <t>Nyx</t>
  </si>
  <si>
    <t>Elf</t>
  </si>
  <si>
    <t>SUNCOAST</t>
  </si>
  <si>
    <t>2020-07-04</t>
  </si>
  <si>
    <t>PL0037</t>
  </si>
  <si>
    <t>finn_122</t>
  </si>
  <si>
    <t>Finn</t>
  </si>
  <si>
    <t>Brightblade</t>
  </si>
  <si>
    <t>2018-11-11</t>
  </si>
  <si>
    <t>PL0038</t>
  </si>
  <si>
    <t>cael_120</t>
  </si>
  <si>
    <t>Cael</t>
  </si>
  <si>
    <t xml:space="preserve"> Frostheim </t>
  </si>
  <si>
    <t>2020-04-26</t>
  </si>
  <si>
    <t>PL0039</t>
  </si>
  <si>
    <t>cedric_604</t>
  </si>
  <si>
    <t>2023-09-18</t>
  </si>
  <si>
    <t>PL0040</t>
  </si>
  <si>
    <t>rosa_364</t>
  </si>
  <si>
    <t>2023-02-03</t>
  </si>
  <si>
    <t>PL0041</t>
  </si>
  <si>
    <t>aria_752</t>
  </si>
  <si>
    <t>ARIA</t>
  </si>
  <si>
    <t>Moonwhisper</t>
  </si>
  <si>
    <t>2019-03-06</t>
  </si>
  <si>
    <t>PL0042</t>
  </si>
  <si>
    <t>Freya</t>
  </si>
  <si>
    <t>Stormcall</t>
  </si>
  <si>
    <t>09/18/2023</t>
  </si>
  <si>
    <t>PL0043</t>
  </si>
  <si>
    <t>hana_536</t>
  </si>
  <si>
    <t>HANA</t>
  </si>
  <si>
    <t>2023-02-11</t>
  </si>
  <si>
    <t>PL0044</t>
  </si>
  <si>
    <t>oryn_815</t>
  </si>
  <si>
    <t>ORYN</t>
  </si>
  <si>
    <t>NORTHLAND</t>
  </si>
  <si>
    <t>2020-10-27</t>
  </si>
  <si>
    <t>PL0045</t>
  </si>
  <si>
    <t>ewan_452</t>
  </si>
  <si>
    <t xml:space="preserve"> Silverdale </t>
  </si>
  <si>
    <t>2018-12-02</t>
  </si>
  <si>
    <t>PL0046</t>
  </si>
  <si>
    <t>vesper_123</t>
  </si>
  <si>
    <t>Vesper</t>
  </si>
  <si>
    <t>Nightfall</t>
  </si>
  <si>
    <t>2018-03-23</t>
  </si>
  <si>
    <t>PL0047</t>
  </si>
  <si>
    <t>brynn_159</t>
  </si>
  <si>
    <t>Brynn</t>
  </si>
  <si>
    <t>Goldweave</t>
  </si>
  <si>
    <t>2021-05-26</t>
  </si>
  <si>
    <t>PL0048</t>
  </si>
  <si>
    <t>nova_478</t>
  </si>
  <si>
    <t>Nova</t>
  </si>
  <si>
    <t>2019-09-24</t>
  </si>
  <si>
    <t>PL0049</t>
  </si>
  <si>
    <t>cedric_606</t>
  </si>
  <si>
    <t>2019-04-21</t>
  </si>
  <si>
    <t>PL0050</t>
  </si>
  <si>
    <t>opal_856</t>
  </si>
  <si>
    <t>Opal</t>
  </si>
  <si>
    <t xml:space="preserve"> Ashenvale </t>
  </si>
  <si>
    <t>2021-11-23</t>
  </si>
  <si>
    <t>PL0051</t>
  </si>
  <si>
    <t>freya_316</t>
  </si>
  <si>
    <t>2021-04-06</t>
  </si>
  <si>
    <t>PL0052</t>
  </si>
  <si>
    <t>gareth_180</t>
  </si>
  <si>
    <t>Gareth</t>
  </si>
  <si>
    <t>2018-05-03</t>
  </si>
  <si>
    <t>PL0053</t>
  </si>
  <si>
    <t>freya_702</t>
  </si>
  <si>
    <t>DAWNRISE</t>
  </si>
  <si>
    <t>2018-06-08</t>
  </si>
  <si>
    <t>PL0054</t>
  </si>
  <si>
    <t>aria_641</t>
  </si>
  <si>
    <t>Silverbow</t>
  </si>
  <si>
    <t>2018-06-15</t>
  </si>
  <si>
    <t>PL0055</t>
  </si>
  <si>
    <t>grim_728</t>
  </si>
  <si>
    <t>2019-11-21</t>
  </si>
  <si>
    <t>PL0056</t>
  </si>
  <si>
    <t>cael_374</t>
  </si>
  <si>
    <t>2024-01-09</t>
  </si>
  <si>
    <t>PL0057</t>
  </si>
  <si>
    <t>zara_617</t>
  </si>
  <si>
    <t>Zara</t>
  </si>
  <si>
    <t>2020-06-09</t>
  </si>
  <si>
    <t>PL0058</t>
  </si>
  <si>
    <t>nyx_437</t>
  </si>
  <si>
    <t>2020-08-18</t>
  </si>
  <si>
    <t>PL0059</t>
  </si>
  <si>
    <t>lyra_173</t>
  </si>
  <si>
    <t>2022-07-01</t>
  </si>
  <si>
    <t>PL0060</t>
  </si>
  <si>
    <t>ivan_198</t>
  </si>
  <si>
    <t>STONEBACK</t>
  </si>
  <si>
    <t>2022-01-04</t>
  </si>
  <si>
    <t>PL0061</t>
  </si>
  <si>
    <t>aiden_492</t>
  </si>
  <si>
    <t>2022-02-14</t>
  </si>
  <si>
    <t>PL0062</t>
  </si>
  <si>
    <t>ewan_957</t>
  </si>
  <si>
    <t xml:space="preserve"> Ewan </t>
  </si>
  <si>
    <t xml:space="preserve"> Stoneback </t>
  </si>
  <si>
    <t>2024-06-06</t>
  </si>
  <si>
    <t>PL0063</t>
  </si>
  <si>
    <t>nova_668</t>
  </si>
  <si>
    <t>2019-05-17</t>
  </si>
  <si>
    <t>PL0064</t>
  </si>
  <si>
    <t>drak_920</t>
  </si>
  <si>
    <t>Drak</t>
  </si>
  <si>
    <t>2024-05-05</t>
  </si>
  <si>
    <t>PL0065</t>
  </si>
  <si>
    <t>grim_847</t>
  </si>
  <si>
    <t>2018-03-16</t>
  </si>
  <si>
    <t>PL0066</t>
  </si>
  <si>
    <t>aria_911</t>
  </si>
  <si>
    <t>2021-03-07</t>
  </si>
  <si>
    <t>PL0067</t>
  </si>
  <si>
    <t>nyx_441</t>
  </si>
  <si>
    <t>Bloodthorn</t>
  </si>
  <si>
    <t>2022-03-28</t>
  </si>
  <si>
    <t>PL0068</t>
  </si>
  <si>
    <t>percy_587</t>
  </si>
  <si>
    <t>Percy</t>
  </si>
  <si>
    <t>2024-02-08</t>
  </si>
  <si>
    <t>PL0069</t>
  </si>
  <si>
    <t>ewan_208</t>
  </si>
  <si>
    <t>04/26/2024</t>
  </si>
  <si>
    <t>PL0070</t>
  </si>
  <si>
    <t>oryn_564</t>
  </si>
  <si>
    <t>Oryn</t>
  </si>
  <si>
    <t>28/12/2019</t>
  </si>
  <si>
    <t>PL0071</t>
  </si>
  <si>
    <t>aiden_801</t>
  </si>
  <si>
    <t>2018-05-12</t>
  </si>
  <si>
    <t>PL0072</t>
  </si>
  <si>
    <t>sable_626</t>
  </si>
  <si>
    <t>Sable</t>
  </si>
  <si>
    <t>10/10/2020</t>
  </si>
  <si>
    <t>PL0073</t>
  </si>
  <si>
    <t>KIRA_679</t>
  </si>
  <si>
    <t>Kira</t>
  </si>
  <si>
    <t>2023-09-07</t>
  </si>
  <si>
    <t>PL0074</t>
  </si>
  <si>
    <t>mira_554</t>
  </si>
  <si>
    <t>2019-09-22</t>
  </si>
  <si>
    <t>PL0075</t>
  </si>
  <si>
    <t xml:space="preserve"> tilda_693 </t>
  </si>
  <si>
    <t xml:space="preserve"> Flameborn </t>
  </si>
  <si>
    <t>2020-03-22</t>
  </si>
  <si>
    <t>PL0076</t>
  </si>
  <si>
    <t>nyx_322</t>
  </si>
  <si>
    <t>2018-08-23</t>
  </si>
  <si>
    <t>PL0077</t>
  </si>
  <si>
    <t>cael_850</t>
  </si>
  <si>
    <t>2021-04-03</t>
  </si>
  <si>
    <t>PL0078</t>
  </si>
  <si>
    <t>lyra_106</t>
  </si>
  <si>
    <t>2018-03-05</t>
  </si>
  <si>
    <t>PL0079</t>
  </si>
  <si>
    <t>aldric_322</t>
  </si>
  <si>
    <t>Aldric</t>
  </si>
  <si>
    <t>2019-02-20</t>
  </si>
  <si>
    <t>PL0080</t>
  </si>
  <si>
    <t>kael_442</t>
  </si>
  <si>
    <t>2023-01-08</t>
  </si>
  <si>
    <t>PL0081</t>
  </si>
  <si>
    <t>brynn_449</t>
  </si>
  <si>
    <t>2018-12-18</t>
  </si>
  <si>
    <t>PL0082</t>
  </si>
  <si>
    <t>cael_842</t>
  </si>
  <si>
    <t>Dawnrise</t>
  </si>
  <si>
    <t>2018-11-02</t>
  </si>
  <si>
    <t>PL0083</t>
  </si>
  <si>
    <t>drak_755</t>
  </si>
  <si>
    <t>2021-07-14</t>
  </si>
  <si>
    <t>PL0084</t>
  </si>
  <si>
    <t>tilda_216</t>
  </si>
  <si>
    <t>2023-07-22</t>
  </si>
  <si>
    <t>PL0085</t>
  </si>
  <si>
    <t>ivan_846</t>
  </si>
  <si>
    <t>2024-01-02</t>
  </si>
  <si>
    <t>PL0086</t>
  </si>
  <si>
    <t>tara_475</t>
  </si>
  <si>
    <t>MOONWHISPER</t>
  </si>
  <si>
    <t>2020-12-05</t>
  </si>
  <si>
    <t>PL0087</t>
  </si>
  <si>
    <t>kael_245</t>
  </si>
  <si>
    <t>2021-10-06</t>
  </si>
  <si>
    <t>PL0088</t>
  </si>
  <si>
    <t>nova_465</t>
  </si>
  <si>
    <t>2020-11-22</t>
  </si>
  <si>
    <t>PL0089</t>
  </si>
  <si>
    <t>freya_923</t>
  </si>
  <si>
    <t>2019-05-12</t>
  </si>
  <si>
    <t>PL0090</t>
  </si>
  <si>
    <t>myra_236</t>
  </si>
  <si>
    <t xml:space="preserve"> Myra </t>
  </si>
  <si>
    <t>2021-11-21</t>
  </si>
  <si>
    <t>PL0091</t>
  </si>
  <si>
    <t>seth_781</t>
  </si>
  <si>
    <t xml:space="preserve"> Tiefling </t>
  </si>
  <si>
    <t>EASTMOOR</t>
  </si>
  <si>
    <t>04/27/2019</t>
  </si>
  <si>
    <t>PL0092</t>
  </si>
  <si>
    <t>sable_469</t>
  </si>
  <si>
    <t>2022-07-06</t>
  </si>
  <si>
    <t>PL0093</t>
  </si>
  <si>
    <t>nyx_598</t>
  </si>
  <si>
    <t>24/07/2024</t>
  </si>
  <si>
    <t>PL0094</t>
  </si>
  <si>
    <t>aria_413</t>
  </si>
  <si>
    <t>PL0095</t>
  </si>
  <si>
    <t>delia_743</t>
  </si>
  <si>
    <t>2021-08-04</t>
  </si>
  <si>
    <t>PL0096</t>
  </si>
  <si>
    <t>cael_512</t>
  </si>
  <si>
    <t>2021-08-21</t>
  </si>
  <si>
    <t>PL0097</t>
  </si>
  <si>
    <t>cael_122</t>
  </si>
  <si>
    <t>08/27/2019</t>
  </si>
  <si>
    <t>PL0098</t>
  </si>
  <si>
    <t>ewan_349</t>
  </si>
  <si>
    <t>RETIRED</t>
  </si>
  <si>
    <t>2020-07-16</t>
  </si>
  <si>
    <t>PL0099</t>
  </si>
  <si>
    <t>dune_664</t>
  </si>
  <si>
    <t>2022-09-24</t>
  </si>
  <si>
    <t>PL0100</t>
  </si>
  <si>
    <t>aldric_469</t>
  </si>
  <si>
    <t>2024-06-01</t>
  </si>
  <si>
    <t>PL0101</t>
  </si>
  <si>
    <t>crix_572</t>
  </si>
  <si>
    <t>2018-05-23</t>
  </si>
  <si>
    <t>PL0102</t>
  </si>
  <si>
    <t>torin_820</t>
  </si>
  <si>
    <t>2021-05-05</t>
  </si>
  <si>
    <t>PL0103</t>
  </si>
  <si>
    <t>delia_255</t>
  </si>
  <si>
    <t>2021-07-25</t>
  </si>
  <si>
    <t>PL0104</t>
  </si>
  <si>
    <t>kael_411</t>
  </si>
  <si>
    <t xml:space="preserve"> Kael </t>
  </si>
  <si>
    <t>2020-06-16</t>
  </si>
  <si>
    <t>PL0105</t>
  </si>
  <si>
    <t>brynn_192</t>
  </si>
  <si>
    <t>2021-07-24</t>
  </si>
  <si>
    <t>PL0106</t>
  </si>
  <si>
    <t>lira_961</t>
  </si>
  <si>
    <t>2019-11-06</t>
  </si>
  <si>
    <t>PL0107</t>
  </si>
  <si>
    <t>delia_570</t>
  </si>
  <si>
    <t>2018-05-13</t>
  </si>
  <si>
    <t>PL0108</t>
  </si>
  <si>
    <t>cael_897</t>
  </si>
  <si>
    <t>2019-01-14</t>
  </si>
  <si>
    <t>PL0109</t>
  </si>
  <si>
    <t>finn_825</t>
  </si>
  <si>
    <t xml:space="preserve"> Frostborn </t>
  </si>
  <si>
    <t>2024-06-05</t>
  </si>
  <si>
    <t>PL0110</t>
  </si>
  <si>
    <t>hana_902</t>
  </si>
  <si>
    <t>2020-09-23</t>
  </si>
  <si>
    <t>PL0111</t>
  </si>
  <si>
    <t>finn_703</t>
  </si>
  <si>
    <t>SILVERBOW</t>
  </si>
  <si>
    <t>2020-07-09</t>
  </si>
  <si>
    <t>PL0112</t>
  </si>
  <si>
    <t>vesper_667</t>
  </si>
  <si>
    <t>MONK</t>
  </si>
  <si>
    <t>2022-09-21</t>
  </si>
  <si>
    <t>PL0113</t>
  </si>
  <si>
    <t>gareth_860</t>
  </si>
  <si>
    <t>SHADOWSTEP</t>
  </si>
  <si>
    <t>2019-09-23</t>
  </si>
  <si>
    <t>PL0114</t>
  </si>
  <si>
    <t>vex_750</t>
  </si>
  <si>
    <t>Vex</t>
  </si>
  <si>
    <t>2020-05-02</t>
  </si>
  <si>
    <t>PL0115</t>
  </si>
  <si>
    <t>hana_747</t>
  </si>
  <si>
    <t>2024-06-20</t>
  </si>
  <si>
    <t>PL0116</t>
  </si>
  <si>
    <t>leon_107</t>
  </si>
  <si>
    <t>11/04/2019</t>
  </si>
  <si>
    <t>PL0117</t>
  </si>
  <si>
    <t>myra_582</t>
  </si>
  <si>
    <t>Myra</t>
  </si>
  <si>
    <t xml:space="preserve"> Ironpeak </t>
  </si>
  <si>
    <t>2024-09-08</t>
  </si>
  <si>
    <t>PL0118</t>
  </si>
  <si>
    <t>ewan_676</t>
  </si>
  <si>
    <t xml:space="preserve"> Bard </t>
  </si>
  <si>
    <t>2021-05-22</t>
  </si>
  <si>
    <t>PL0119</t>
  </si>
  <si>
    <t>brynn_585</t>
  </si>
  <si>
    <t>2020-12-07</t>
  </si>
  <si>
    <t>PL0120</t>
  </si>
  <si>
    <t>finn_668</t>
  </si>
  <si>
    <t>04/19/2018</t>
  </si>
  <si>
    <t>PL0121</t>
  </si>
  <si>
    <t>aiden_632</t>
  </si>
  <si>
    <t xml:space="preserve"> Necromancer </t>
  </si>
  <si>
    <t>2023-03-13</t>
  </si>
  <si>
    <t>PL0122</t>
  </si>
  <si>
    <t>leon_951</t>
  </si>
  <si>
    <t xml:space="preserve"> Ranger </t>
  </si>
  <si>
    <t>2020-08-12</t>
  </si>
  <si>
    <t>PL0123</t>
  </si>
  <si>
    <t>vex_417</t>
  </si>
  <si>
    <t>2019-01-02</t>
  </si>
  <si>
    <t>PL0124</t>
  </si>
  <si>
    <t>MORA_364</t>
  </si>
  <si>
    <t>Mora</t>
  </si>
  <si>
    <t>2019-04-24</t>
  </si>
  <si>
    <t>PL0125</t>
  </si>
  <si>
    <t>freya_335</t>
  </si>
  <si>
    <t xml:space="preserve"> Dragonborn </t>
  </si>
  <si>
    <t>2022-09-20</t>
  </si>
  <si>
    <t>PL0126</t>
  </si>
  <si>
    <t>yara_428</t>
  </si>
  <si>
    <t>HALFLING</t>
  </si>
  <si>
    <t>2018-02-08</t>
  </si>
  <si>
    <t>PL0127</t>
  </si>
  <si>
    <t>lyra_458</t>
  </si>
  <si>
    <t>2019-06-23</t>
  </si>
  <si>
    <t>PL0128</t>
  </si>
  <si>
    <t>seth_402</t>
  </si>
  <si>
    <t>2020-04-04</t>
  </si>
  <si>
    <t>PL0129</t>
  </si>
  <si>
    <t>freya_632</t>
  </si>
  <si>
    <t>DWARF</t>
  </si>
  <si>
    <t>2018-07-28</t>
  </si>
  <si>
    <t>PL0130</t>
  </si>
  <si>
    <t>aiden_266</t>
  </si>
  <si>
    <t>2024-12-13</t>
  </si>
  <si>
    <t>PL0131</t>
  </si>
  <si>
    <t>nyx_493</t>
  </si>
  <si>
    <t>2020-02-06</t>
  </si>
  <si>
    <t>PL0132</t>
  </si>
  <si>
    <t>HANA_991</t>
  </si>
  <si>
    <t>2018-06-12</t>
  </si>
  <si>
    <t>PL0133</t>
  </si>
  <si>
    <t>ivan_398</t>
  </si>
  <si>
    <t>2022-11-25</t>
  </si>
  <si>
    <t>PL0134</t>
  </si>
  <si>
    <t>sable_615</t>
  </si>
  <si>
    <t>2021-05-25</t>
  </si>
  <si>
    <t>PL0135</t>
  </si>
  <si>
    <t>tara_704</t>
  </si>
  <si>
    <t>11/15/2024</t>
  </si>
  <si>
    <t>PL0136</t>
  </si>
  <si>
    <t xml:space="preserve"> drak_553 </t>
  </si>
  <si>
    <t>2019-12-20</t>
  </si>
  <si>
    <t>PL0137</t>
  </si>
  <si>
    <t>selene_612</t>
  </si>
  <si>
    <t>Selene</t>
  </si>
  <si>
    <t>2020-12-12</t>
  </si>
  <si>
    <t>PL0138</t>
  </si>
  <si>
    <t>drak_196</t>
  </si>
  <si>
    <t>2021-05-11</t>
  </si>
  <si>
    <t>PL0139</t>
  </si>
  <si>
    <t>freya_665</t>
  </si>
  <si>
    <t>2024-10-19</t>
  </si>
  <si>
    <t>PL0140</t>
  </si>
  <si>
    <t>aria_135</t>
  </si>
  <si>
    <t>PL0141</t>
  </si>
  <si>
    <t>nyx_423</t>
  </si>
  <si>
    <t>2023-01-09</t>
  </si>
  <si>
    <t>PL0142</t>
  </si>
  <si>
    <t>freya_315</t>
  </si>
  <si>
    <t>08/15/2024</t>
  </si>
  <si>
    <t>PL0143</t>
  </si>
  <si>
    <t>roran_868</t>
  </si>
  <si>
    <t>Roran</t>
  </si>
  <si>
    <t>2018-03-28</t>
  </si>
  <si>
    <t>PL0144</t>
  </si>
  <si>
    <t>finn_689</t>
  </si>
  <si>
    <t>DRAGONBORN</t>
  </si>
  <si>
    <t>2023-11-26</t>
  </si>
  <si>
    <t>PL0145</t>
  </si>
  <si>
    <t>aldric_560</t>
  </si>
  <si>
    <t>2018-02-10</t>
  </si>
  <si>
    <t>PL0146</t>
  </si>
  <si>
    <t>faye_831</t>
  </si>
  <si>
    <t>2023-04-08</t>
  </si>
  <si>
    <t>PL0147</t>
  </si>
  <si>
    <t>yara_958</t>
  </si>
  <si>
    <t>Swiftwind</t>
  </si>
  <si>
    <t>2019-07-07</t>
  </si>
  <si>
    <t>PL0148</t>
  </si>
  <si>
    <t>percy_352</t>
  </si>
  <si>
    <t>2020-09-24</t>
  </si>
  <si>
    <t>PL0149</t>
  </si>
  <si>
    <t>2018-10-03</t>
  </si>
  <si>
    <t>PL0150</t>
  </si>
  <si>
    <t>yara_597</t>
  </si>
  <si>
    <t>YARA</t>
  </si>
  <si>
    <t>2019-12-17</t>
  </si>
  <si>
    <t>PL0151</t>
  </si>
  <si>
    <t>aldric_538</t>
  </si>
  <si>
    <t>2018-03-18</t>
  </si>
  <si>
    <t>PL0152</t>
  </si>
  <si>
    <t>lyra_842</t>
  </si>
  <si>
    <t>2018-06-26</t>
  </si>
  <si>
    <t>PL0153</t>
  </si>
  <si>
    <t>nova_963</t>
  </si>
  <si>
    <t>2019-09-27</t>
  </si>
  <si>
    <t>PL0154</t>
  </si>
  <si>
    <t>nyx_617</t>
  </si>
  <si>
    <t>2023-09-21</t>
  </si>
  <si>
    <t>PL0155</t>
  </si>
  <si>
    <t>rosa_350</t>
  </si>
  <si>
    <t>PL0156</t>
  </si>
  <si>
    <t>oryn_242</t>
  </si>
  <si>
    <t>2018-04-09</t>
  </si>
  <si>
    <t>PL0157</t>
  </si>
  <si>
    <t>gareth_438</t>
  </si>
  <si>
    <t>2021-04-24</t>
  </si>
  <si>
    <t>PL0158</t>
  </si>
  <si>
    <t>roran_470</t>
  </si>
  <si>
    <t>2020-11-19</t>
  </si>
  <si>
    <t>PL0159</t>
  </si>
  <si>
    <t>oryn_669</t>
  </si>
  <si>
    <t>07/11/2022</t>
  </si>
  <si>
    <t>PL0160</t>
  </si>
  <si>
    <t>grim_353</t>
  </si>
  <si>
    <t>2020-06-22</t>
  </si>
  <si>
    <t>PL0161</t>
  </si>
  <si>
    <t>torin_228</t>
  </si>
  <si>
    <t>2018-11-13</t>
  </si>
  <si>
    <t>PL0162</t>
  </si>
  <si>
    <t>faye_459</t>
  </si>
  <si>
    <t>2021-12-02</t>
  </si>
  <si>
    <t>PL0163</t>
  </si>
  <si>
    <t>kira_361</t>
  </si>
  <si>
    <t>KIRA</t>
  </si>
  <si>
    <t>10/12/2021</t>
  </si>
  <si>
    <t>PL0164</t>
  </si>
  <si>
    <t>myra_770</t>
  </si>
  <si>
    <t>2020-03-23</t>
  </si>
  <si>
    <t>PL0165</t>
  </si>
  <si>
    <t>torin_318</t>
  </si>
  <si>
    <t>TORIN</t>
  </si>
  <si>
    <t>2018-06-04</t>
  </si>
  <si>
    <t>PL0166</t>
  </si>
  <si>
    <t>aiden_630</t>
  </si>
  <si>
    <t>2022-01-05</t>
  </si>
  <si>
    <t>PL0167</t>
  </si>
  <si>
    <t>brix_222</t>
  </si>
  <si>
    <t>Brix</t>
  </si>
  <si>
    <t xml:space="preserve"> Ironveil </t>
  </si>
  <si>
    <t xml:space="preserve"> Monk </t>
  </si>
  <si>
    <t>2020-05-22</t>
  </si>
  <si>
    <t>PL0168</t>
  </si>
  <si>
    <t>nova_323</t>
  </si>
  <si>
    <t>2023-12-07</t>
  </si>
  <si>
    <t>PL0169</t>
  </si>
  <si>
    <t>theron_534</t>
  </si>
  <si>
    <t>Theron</t>
  </si>
  <si>
    <t>2022-05-03</t>
  </si>
  <si>
    <t>PL0170</t>
  </si>
  <si>
    <t>elara_939</t>
  </si>
  <si>
    <t>Elara</t>
  </si>
  <si>
    <t>2022-07-23</t>
  </si>
  <si>
    <t>PL0171</t>
  </si>
  <si>
    <t>lyra_134</t>
  </si>
  <si>
    <t>2022-01-18</t>
  </si>
  <si>
    <t>PL0172</t>
  </si>
  <si>
    <t>sable_910</t>
  </si>
  <si>
    <t>2022-05-27</t>
  </si>
  <si>
    <t>PL0173</t>
  </si>
  <si>
    <t>tilda_469</t>
  </si>
  <si>
    <t xml:space="preserve"> Tilda </t>
  </si>
  <si>
    <t>PL0174</t>
  </si>
  <si>
    <t>OPAL_569</t>
  </si>
  <si>
    <t>2023-10-08</t>
  </si>
  <si>
    <t>PL0175</t>
  </si>
  <si>
    <t>roran_858</t>
  </si>
  <si>
    <t>PL0176</t>
  </si>
  <si>
    <t>freya_480</t>
  </si>
  <si>
    <t>2023-06-22</t>
  </si>
  <si>
    <t>PL0177</t>
  </si>
  <si>
    <t>torin_100</t>
  </si>
  <si>
    <t>2024-07-17</t>
  </si>
  <si>
    <t>PL0178</t>
  </si>
  <si>
    <t>freya_597</t>
  </si>
  <si>
    <t>2021-11-18</t>
  </si>
  <si>
    <t>PL0179</t>
  </si>
  <si>
    <t>jade_611</t>
  </si>
  <si>
    <t>Jade</t>
  </si>
  <si>
    <t>2024-06-07</t>
  </si>
  <si>
    <t>PL0180</t>
  </si>
  <si>
    <t>borin_670</t>
  </si>
  <si>
    <t>Borin</t>
  </si>
  <si>
    <t>2020-12-27</t>
  </si>
  <si>
    <t>PL0181</t>
  </si>
  <si>
    <t>nolan_887</t>
  </si>
  <si>
    <t>2018-11-24</t>
  </si>
  <si>
    <t>PL0182</t>
  </si>
  <si>
    <t>aria_221</t>
  </si>
  <si>
    <t>2022-04-16</t>
  </si>
  <si>
    <t>PL0183</t>
  </si>
  <si>
    <t>aria_567</t>
  </si>
  <si>
    <t>04/23/2023</t>
  </si>
  <si>
    <t>PL0184</t>
  </si>
  <si>
    <t>torin_929</t>
  </si>
  <si>
    <t>2023-12-15</t>
  </si>
  <si>
    <t>PL0185</t>
  </si>
  <si>
    <t>ivan_590</t>
  </si>
  <si>
    <t xml:space="preserve"> Warrior </t>
  </si>
  <si>
    <t>2024-11-10</t>
  </si>
  <si>
    <t>PL0186</t>
  </si>
  <si>
    <t>yara_208</t>
  </si>
  <si>
    <t>2023-04-04</t>
  </si>
  <si>
    <t>PL0187</t>
  </si>
  <si>
    <t>selene_982</t>
  </si>
  <si>
    <t>2019-12-22</t>
  </si>
  <si>
    <t>PL0188</t>
  </si>
  <si>
    <t>mora_546</t>
  </si>
  <si>
    <t>2022-11-20</t>
  </si>
  <si>
    <t>PL0189</t>
  </si>
  <si>
    <t>myra_842</t>
  </si>
  <si>
    <t>2022-05-21</t>
  </si>
  <si>
    <t>PL0190</t>
  </si>
  <si>
    <t>cael_986</t>
  </si>
  <si>
    <t>2022-06-24</t>
  </si>
  <si>
    <t>PL0191</t>
  </si>
  <si>
    <t>vex_540</t>
  </si>
  <si>
    <t>2021-01-05</t>
  </si>
  <si>
    <t>PL0192</t>
  </si>
  <si>
    <t>nolan_680</t>
  </si>
  <si>
    <t>2021-09-17</t>
  </si>
  <si>
    <t>PL0193</t>
  </si>
  <si>
    <t>torin_411</t>
  </si>
  <si>
    <t>2021-07-15</t>
  </si>
  <si>
    <t>PL0194</t>
  </si>
  <si>
    <t>gareth_876</t>
  </si>
  <si>
    <t>2021-04-25</t>
  </si>
  <si>
    <t>PL0195</t>
  </si>
  <si>
    <t>nyx_758</t>
  </si>
  <si>
    <t>2024-05-28</t>
  </si>
  <si>
    <t>PL0196</t>
  </si>
  <si>
    <t>mira_786</t>
  </si>
  <si>
    <t>2018-02-26</t>
  </si>
  <si>
    <t>PL0197</t>
  </si>
  <si>
    <t>tara_379</t>
  </si>
  <si>
    <t>2022-10-20</t>
  </si>
  <si>
    <t>PL0198</t>
  </si>
  <si>
    <t>oryn_307</t>
  </si>
  <si>
    <t>2018-12-01</t>
  </si>
  <si>
    <t>PL0199</t>
  </si>
  <si>
    <t>kael_844</t>
  </si>
  <si>
    <t>2022-04-02</t>
  </si>
  <si>
    <t>PL0200</t>
  </si>
  <si>
    <t>vesper_664</t>
  </si>
  <si>
    <t>2024-10-11</t>
  </si>
  <si>
    <t>PL0201</t>
  </si>
  <si>
    <t>cedric_160</t>
  </si>
  <si>
    <t xml:space="preserve"> Gnome </t>
  </si>
  <si>
    <t>2019-03-02</t>
  </si>
  <si>
    <t>PL0202</t>
  </si>
  <si>
    <t>torin_439</t>
  </si>
  <si>
    <t>2021-02-04</t>
  </si>
  <si>
    <t>PL0203</t>
  </si>
  <si>
    <t>brix_250</t>
  </si>
  <si>
    <t>2019-12-08</t>
  </si>
  <si>
    <t>PL0204</t>
  </si>
  <si>
    <t>mora_997</t>
  </si>
  <si>
    <t>2020-07-25</t>
  </si>
  <si>
    <t>PL0205</t>
  </si>
  <si>
    <t>freya_630</t>
  </si>
  <si>
    <t>14/07/2019</t>
  </si>
  <si>
    <t>PL0206</t>
  </si>
  <si>
    <t>cael_377</t>
  </si>
  <si>
    <t>2018-08-03</t>
  </si>
  <si>
    <t>PL0207</t>
  </si>
  <si>
    <t>nolan_970</t>
  </si>
  <si>
    <t xml:space="preserve"> Nolan </t>
  </si>
  <si>
    <t>2022-02-09</t>
  </si>
  <si>
    <t>PL0208</t>
  </si>
  <si>
    <t>aiden_629</t>
  </si>
  <si>
    <t>2020-12-08</t>
  </si>
  <si>
    <t>PL0209</t>
  </si>
  <si>
    <t>ewan_299</t>
  </si>
  <si>
    <t>06/26/2023</t>
  </si>
  <si>
    <t>PL0210</t>
  </si>
  <si>
    <t>finn_375</t>
  </si>
  <si>
    <t>2018-01-08</t>
  </si>
  <si>
    <t>PL0211</t>
  </si>
  <si>
    <t>aria_976</t>
  </si>
  <si>
    <t>2021-01-07</t>
  </si>
  <si>
    <t>PL0212</t>
  </si>
  <si>
    <t>grim_480</t>
  </si>
  <si>
    <t>2018-12-17</t>
  </si>
  <si>
    <t>PL0213</t>
  </si>
  <si>
    <t>lira_969</t>
  </si>
  <si>
    <t>LIRA</t>
  </si>
  <si>
    <t>2018-09-17</t>
  </si>
  <si>
    <t>PL0214</t>
  </si>
  <si>
    <t>elara_469</t>
  </si>
  <si>
    <t>PL0215</t>
  </si>
  <si>
    <t>nyx_763</t>
  </si>
  <si>
    <t>2020-03-19</t>
  </si>
  <si>
    <t>PL0216</t>
  </si>
  <si>
    <t>nolan_884</t>
  </si>
  <si>
    <t>PL0217</t>
  </si>
  <si>
    <t>faye_786</t>
  </si>
  <si>
    <t>PL0218</t>
  </si>
  <si>
    <t xml:space="preserve"> torin_164 </t>
  </si>
  <si>
    <t>06/08/2020</t>
  </si>
  <si>
    <t>PL0219</t>
  </si>
  <si>
    <t>2021-05-27</t>
  </si>
  <si>
    <t>PL0220</t>
  </si>
  <si>
    <t>sable_340</t>
  </si>
  <si>
    <t>2020-01-07</t>
  </si>
  <si>
    <t>PL0221</t>
  </si>
  <si>
    <t>torin_574</t>
  </si>
  <si>
    <t>2020-10-25</t>
  </si>
  <si>
    <t>PL0222</t>
  </si>
  <si>
    <t>ewan_933</t>
  </si>
  <si>
    <t>2020-07-15</t>
  </si>
  <si>
    <t>PL0223</t>
  </si>
  <si>
    <t>torin_444</t>
  </si>
  <si>
    <t>2024-04-15</t>
  </si>
  <si>
    <t>PL0224</t>
  </si>
  <si>
    <t>crix_374</t>
  </si>
  <si>
    <t>NIGHTFALL</t>
  </si>
  <si>
    <t>PL0225</t>
  </si>
  <si>
    <t>ewan_622</t>
  </si>
  <si>
    <t>2022-05-22</t>
  </si>
  <si>
    <t>PL0226</t>
  </si>
  <si>
    <t>quinn_294</t>
  </si>
  <si>
    <t>PL0227</t>
  </si>
  <si>
    <t>aria_690</t>
  </si>
  <si>
    <t>2024-11-08</t>
  </si>
  <si>
    <t>PL0228</t>
  </si>
  <si>
    <t>vex_681</t>
  </si>
  <si>
    <t>2023-03-28</t>
  </si>
  <si>
    <t>PL0229</t>
  </si>
  <si>
    <t>aiden_874</t>
  </si>
  <si>
    <t>2021-12-13</t>
  </si>
  <si>
    <t>PL0230</t>
  </si>
  <si>
    <t>nyx_235</t>
  </si>
  <si>
    <t>2020-03-26</t>
  </si>
  <si>
    <t>PL0231</t>
  </si>
  <si>
    <t>ewan_272</t>
  </si>
  <si>
    <t>2021-03-01</t>
  </si>
  <si>
    <t>PL0232</t>
  </si>
  <si>
    <t>ivan_188</t>
  </si>
  <si>
    <t>2021-09-23</t>
  </si>
  <si>
    <t>PL0233</t>
  </si>
  <si>
    <t>aiden_245</t>
  </si>
  <si>
    <t>IRONVEIL</t>
  </si>
  <si>
    <t>2023-02-13</t>
  </si>
  <si>
    <t>PL0234</t>
  </si>
  <si>
    <t>oryn_273</t>
  </si>
  <si>
    <t>2021-02-08</t>
  </si>
  <si>
    <t>PL0235</t>
  </si>
  <si>
    <t>leon_250</t>
  </si>
  <si>
    <t>2024-07-09</t>
  </si>
  <si>
    <t>PL0236</t>
  </si>
  <si>
    <t>tilda_491</t>
  </si>
  <si>
    <t>2024-08-17</t>
  </si>
  <si>
    <t>PL0237</t>
  </si>
  <si>
    <t>jade_948</t>
  </si>
  <si>
    <t>PL0238</t>
  </si>
  <si>
    <t>zara_240</t>
  </si>
  <si>
    <t>PL0239</t>
  </si>
  <si>
    <t xml:space="preserve"> jade_123 </t>
  </si>
  <si>
    <t>2019-11-07</t>
  </si>
  <si>
    <t>PL0240</t>
  </si>
  <si>
    <t>brix_381</t>
  </si>
  <si>
    <t>2021-08-27</t>
  </si>
  <si>
    <t>PL0241</t>
  </si>
  <si>
    <t>faye_640</t>
  </si>
  <si>
    <t>2019-12-19</t>
  </si>
  <si>
    <t>PL0242</t>
  </si>
  <si>
    <t>grim_929</t>
  </si>
  <si>
    <t>2020-03-05</t>
  </si>
  <si>
    <t>PL0243</t>
  </si>
  <si>
    <t>nolan_879</t>
  </si>
  <si>
    <t>2023-01-10</t>
  </si>
  <si>
    <t>PL0244</t>
  </si>
  <si>
    <t>aldric_224</t>
  </si>
  <si>
    <t>2020-05-16</t>
  </si>
  <si>
    <t>PL0245</t>
  </si>
  <si>
    <t>mira_830</t>
  </si>
  <si>
    <t>2018-05-18</t>
  </si>
  <si>
    <t>PL0246</t>
  </si>
  <si>
    <t xml:space="preserve"> hana_632 </t>
  </si>
  <si>
    <t>05/16/2023</t>
  </si>
  <si>
    <t>PL0247</t>
  </si>
  <si>
    <t>selene_602</t>
  </si>
  <si>
    <t>2024-01-03</t>
  </si>
  <si>
    <t>PL0248</t>
  </si>
  <si>
    <t>FREYA_322</t>
  </si>
  <si>
    <t>PL0249</t>
  </si>
  <si>
    <t>mira_929</t>
  </si>
  <si>
    <t>2023-05-18</t>
  </si>
  <si>
    <t>PL0250</t>
  </si>
  <si>
    <t>hana_932</t>
  </si>
  <si>
    <t>2022-07-16</t>
  </si>
  <si>
    <t>PL0251</t>
  </si>
  <si>
    <t>faye_238</t>
  </si>
  <si>
    <t>2018-06-13</t>
  </si>
  <si>
    <t>PL0252</t>
  </si>
  <si>
    <t>tara_342</t>
  </si>
  <si>
    <t>2020-03-14</t>
  </si>
  <si>
    <t>PL0253</t>
  </si>
  <si>
    <t>tara_818</t>
  </si>
  <si>
    <t>2024-11-28</t>
  </si>
  <si>
    <t>PL0254</t>
  </si>
  <si>
    <t>elara_524</t>
  </si>
  <si>
    <t>FROSTBORN</t>
  </si>
  <si>
    <t>2019-12-25</t>
  </si>
  <si>
    <t>PL0255</t>
  </si>
  <si>
    <t>rosa_509</t>
  </si>
  <si>
    <t>2018-06-25</t>
  </si>
  <si>
    <t>PL0256</t>
  </si>
  <si>
    <t>aiden_468</t>
  </si>
  <si>
    <t>2024-06-14</t>
  </si>
  <si>
    <t>PL0257</t>
  </si>
  <si>
    <t>yara_300</t>
  </si>
  <si>
    <t>PL0258</t>
  </si>
  <si>
    <t>2021-08-08</t>
  </si>
  <si>
    <t>PL0259</t>
  </si>
  <si>
    <t>freya_489</t>
  </si>
  <si>
    <t>2022-04-15</t>
  </si>
  <si>
    <t>PL0260</t>
  </si>
  <si>
    <t>mora_652</t>
  </si>
  <si>
    <t>2019-08-24</t>
  </si>
  <si>
    <t>PL0261</t>
  </si>
  <si>
    <t>grim_687</t>
  </si>
  <si>
    <t>2021-02-06</t>
  </si>
  <si>
    <t>PL0262</t>
  </si>
  <si>
    <t>2024-10-04</t>
  </si>
  <si>
    <t>PL0263</t>
  </si>
  <si>
    <t>nolan_651</t>
  </si>
  <si>
    <t>06/05/2024</t>
  </si>
  <si>
    <t>PL0264</t>
  </si>
  <si>
    <t xml:space="preserve"> leon_260 </t>
  </si>
  <si>
    <t>2024-12-06</t>
  </si>
  <si>
    <t>PL0265</t>
  </si>
  <si>
    <t>aiden_520</t>
  </si>
  <si>
    <t>2018-07-02</t>
  </si>
  <si>
    <t>PL0266</t>
  </si>
  <si>
    <t>2021-09-24</t>
  </si>
  <si>
    <t>PL0267</t>
  </si>
  <si>
    <t>yara_225</t>
  </si>
  <si>
    <t>2023-01-18</t>
  </si>
  <si>
    <t>PL0268</t>
  </si>
  <si>
    <t>finn_809</t>
  </si>
  <si>
    <t>2022-12-18</t>
  </si>
  <si>
    <t>PL0269</t>
  </si>
  <si>
    <t>FREYA_323</t>
  </si>
  <si>
    <t>2024-09-20</t>
  </si>
  <si>
    <t>PL0270</t>
  </si>
  <si>
    <t>leon_740</t>
  </si>
  <si>
    <t>2022-11-24</t>
  </si>
  <si>
    <t>PL0271</t>
  </si>
  <si>
    <t>ELARA_387</t>
  </si>
  <si>
    <t>2020-02-11</t>
  </si>
  <si>
    <t>PL0272</t>
  </si>
  <si>
    <t>torin_664</t>
  </si>
  <si>
    <t>BARD</t>
  </si>
  <si>
    <t>06/02/2020</t>
  </si>
  <si>
    <t>PL0273</t>
  </si>
  <si>
    <t>aria_373</t>
  </si>
  <si>
    <t>2024-03-05</t>
  </si>
  <si>
    <t>PL0274</t>
  </si>
  <si>
    <t>jade_383</t>
  </si>
  <si>
    <t>PL0275</t>
  </si>
  <si>
    <t>aldric_161</t>
  </si>
  <si>
    <t>2021-07-22</t>
  </si>
  <si>
    <t>PL0276</t>
  </si>
  <si>
    <t>oryn_212</t>
  </si>
  <si>
    <t>24/04/2023</t>
  </si>
  <si>
    <t>PL0277</t>
  </si>
  <si>
    <t>drak_454</t>
  </si>
  <si>
    <t>2021-07-17</t>
  </si>
  <si>
    <t>PL0278</t>
  </si>
  <si>
    <t xml:space="preserve"> kira_261 </t>
  </si>
  <si>
    <t>2019-10-13</t>
  </si>
  <si>
    <t>PL0279</t>
  </si>
  <si>
    <t>drak_618</t>
  </si>
  <si>
    <t>PL0280</t>
  </si>
  <si>
    <t>gareth_792</t>
  </si>
  <si>
    <t>2018-06-24</t>
  </si>
  <si>
    <t>PL0281</t>
  </si>
  <si>
    <t>05/23/2018</t>
  </si>
  <si>
    <t>PL0282</t>
  </si>
  <si>
    <t>ivan_235</t>
  </si>
  <si>
    <t>WARRIOR</t>
  </si>
  <si>
    <t>DARKWOOD</t>
  </si>
  <si>
    <t>PL0283</t>
  </si>
  <si>
    <t>faye_209</t>
  </si>
  <si>
    <t>2021-12-23</t>
  </si>
  <si>
    <t>PL0284</t>
  </si>
  <si>
    <t>roran_611</t>
  </si>
  <si>
    <t>2020-04-23</t>
  </si>
  <si>
    <t>PL0285</t>
  </si>
  <si>
    <t>gareth_368</t>
  </si>
  <si>
    <t>2019-07-22</t>
  </si>
  <si>
    <t>PL0286</t>
  </si>
  <si>
    <t>vex_667</t>
  </si>
  <si>
    <t>2024-09-06</t>
  </si>
  <si>
    <t>PL0287</t>
  </si>
  <si>
    <t>leon_703</t>
  </si>
  <si>
    <t>2018-08-19</t>
  </si>
  <si>
    <t>PL0288</t>
  </si>
  <si>
    <t>dune_531</t>
  </si>
  <si>
    <t>2018-04-26</t>
  </si>
  <si>
    <t>PL0289</t>
  </si>
  <si>
    <t>kael_916</t>
  </si>
  <si>
    <t>2023-02-17</t>
  </si>
  <si>
    <t>PL0290</t>
  </si>
  <si>
    <t>sable_327</t>
  </si>
  <si>
    <t>2022-09-01</t>
  </si>
  <si>
    <t>PL0291</t>
  </si>
  <si>
    <t>gareth_481</t>
  </si>
  <si>
    <t>2019-01-10</t>
  </si>
  <si>
    <t>PL0292</t>
  </si>
  <si>
    <t xml:space="preserve"> Ironfist </t>
  </si>
  <si>
    <t>2018-02-18</t>
  </si>
  <si>
    <t>PL0293</t>
  </si>
  <si>
    <t>ewan_361</t>
  </si>
  <si>
    <t>10/11/2023</t>
  </si>
  <si>
    <t>PL0294</t>
  </si>
  <si>
    <t>percy_137</t>
  </si>
  <si>
    <t>2022-02-22</t>
  </si>
  <si>
    <t>PL0295</t>
  </si>
  <si>
    <t>leon_141</t>
  </si>
  <si>
    <t xml:space="preserve"> Inactive </t>
  </si>
  <si>
    <t>2023-02-09</t>
  </si>
  <si>
    <t>PL0296</t>
  </si>
  <si>
    <t>nova_481</t>
  </si>
  <si>
    <t>2022-05-16</t>
  </si>
  <si>
    <t>PL0297</t>
  </si>
  <si>
    <t>jade_223</t>
  </si>
  <si>
    <t>PL0298</t>
  </si>
  <si>
    <t>borin_420</t>
  </si>
  <si>
    <t>EMBERVEIL</t>
  </si>
  <si>
    <t>GNOME</t>
  </si>
  <si>
    <t>PALADIN</t>
  </si>
  <si>
    <t>2018-04-02</t>
  </si>
  <si>
    <t>PL0299</t>
  </si>
  <si>
    <t>dune_223</t>
  </si>
  <si>
    <t xml:space="preserve"> Darkwood </t>
  </si>
  <si>
    <t>2018-05-21</t>
  </si>
  <si>
    <t>PL0300</t>
  </si>
  <si>
    <t>cael_881</t>
  </si>
  <si>
    <t>2020-01-20</t>
  </si>
  <si>
    <t>PL0301</t>
  </si>
  <si>
    <t>jade_991</t>
  </si>
  <si>
    <t>2019-06-25</t>
  </si>
  <si>
    <t>PL0302</t>
  </si>
  <si>
    <t>oryn_980</t>
  </si>
  <si>
    <t>SILVERDALE</t>
  </si>
  <si>
    <t>2019-07-19</t>
  </si>
  <si>
    <t>PL0303</t>
  </si>
  <si>
    <t>tilda_714</t>
  </si>
  <si>
    <t>2022-12-16</t>
  </si>
  <si>
    <t>PL0304</t>
  </si>
  <si>
    <t>zara_101</t>
  </si>
  <si>
    <t>2018-07-06</t>
  </si>
  <si>
    <t>PL0305</t>
  </si>
  <si>
    <t>gareth_118</t>
  </si>
  <si>
    <t>PL0306</t>
  </si>
  <si>
    <t>drak_537</t>
  </si>
  <si>
    <t>2018-12-27</t>
  </si>
  <si>
    <t>PL0307</t>
  </si>
  <si>
    <t>cael_511</t>
  </si>
  <si>
    <t>2022-08-15</t>
  </si>
  <si>
    <t>PL0308</t>
  </si>
  <si>
    <t>brix_593</t>
  </si>
  <si>
    <t>BRIX</t>
  </si>
  <si>
    <t>PL0309</t>
  </si>
  <si>
    <t>theron_500</t>
  </si>
  <si>
    <t>2022-03-13</t>
  </si>
  <si>
    <t>PL0310</t>
  </si>
  <si>
    <t>kira_641</t>
  </si>
  <si>
    <t>2022-10-21</t>
  </si>
  <si>
    <t>PL0311</t>
  </si>
  <si>
    <t>nyx_748</t>
  </si>
  <si>
    <t>2024-01-05</t>
  </si>
  <si>
    <t>PL0312</t>
  </si>
  <si>
    <t>FAYE_178</t>
  </si>
  <si>
    <t>05/05/2024</t>
  </si>
  <si>
    <t>PL0313</t>
  </si>
  <si>
    <t>2021-08-26</t>
  </si>
  <si>
    <t>PL0314</t>
  </si>
  <si>
    <t>nolan_479</t>
  </si>
  <si>
    <t>2020-09-19</t>
  </si>
  <si>
    <t>PL0315</t>
  </si>
  <si>
    <t>percy_550</t>
  </si>
  <si>
    <t>2024-04-01</t>
  </si>
  <si>
    <t>PL0316</t>
  </si>
  <si>
    <t>2021-09-06</t>
  </si>
  <si>
    <t>PL0317</t>
  </si>
  <si>
    <t>nyx_976</t>
  </si>
  <si>
    <t>2021-06-01</t>
  </si>
  <si>
    <t>PL0318</t>
  </si>
  <si>
    <t>aria_574</t>
  </si>
  <si>
    <t>2018-11-03</t>
  </si>
  <si>
    <t>PL0319</t>
  </si>
  <si>
    <t>seth_358</t>
  </si>
  <si>
    <t>PL0320</t>
  </si>
  <si>
    <t>cedric_601</t>
  </si>
  <si>
    <t xml:space="preserve"> Cedric </t>
  </si>
  <si>
    <t>2023-09-12</t>
  </si>
  <si>
    <t>PL0321</t>
  </si>
  <si>
    <t>mira_356</t>
  </si>
  <si>
    <t>2022-02-07</t>
  </si>
  <si>
    <t>PL0322</t>
  </si>
  <si>
    <t>cael_878</t>
  </si>
  <si>
    <t>2022-04-01</t>
  </si>
  <si>
    <t>PL0323</t>
  </si>
  <si>
    <t>seth_217</t>
  </si>
  <si>
    <t>SETH</t>
  </si>
  <si>
    <t>2022-10-18</t>
  </si>
  <si>
    <t>PL0324</t>
  </si>
  <si>
    <t>kira_267</t>
  </si>
  <si>
    <t>2020-03-06</t>
  </si>
  <si>
    <t>PL0325</t>
  </si>
  <si>
    <t>tara_527</t>
  </si>
  <si>
    <t>2023-11-22</t>
  </si>
  <si>
    <t>PL0326</t>
  </si>
  <si>
    <t>yara_996</t>
  </si>
  <si>
    <t>07/12/2019</t>
  </si>
  <si>
    <t>PL0327</t>
  </si>
  <si>
    <t>brynn_324</t>
  </si>
  <si>
    <t>2020-06-11</t>
  </si>
  <si>
    <t>PL0328</t>
  </si>
  <si>
    <t>mora_253</t>
  </si>
  <si>
    <t>2018-04-06</t>
  </si>
  <si>
    <t>PL0329</t>
  </si>
  <si>
    <t>nova_147</t>
  </si>
  <si>
    <t>NOVA</t>
  </si>
  <si>
    <t>PL0330</t>
  </si>
  <si>
    <t>hana_392</t>
  </si>
  <si>
    <t>PL0331</t>
  </si>
  <si>
    <t>rosa_758</t>
  </si>
  <si>
    <t>2019-09-10</t>
  </si>
  <si>
    <t>PL0332</t>
  </si>
  <si>
    <t>yara_866</t>
  </si>
  <si>
    <t>HUMAN</t>
  </si>
  <si>
    <t>PL0333</t>
  </si>
  <si>
    <t>roran_531</t>
  </si>
  <si>
    <t>2023-10-24</t>
  </si>
  <si>
    <t>PL0334</t>
  </si>
  <si>
    <t>kael_915</t>
  </si>
  <si>
    <t>08/12/2024</t>
  </si>
  <si>
    <t>PL0335</t>
  </si>
  <si>
    <t>freya_728</t>
  </si>
  <si>
    <t>2024-08-15</t>
  </si>
  <si>
    <t>PL0336</t>
  </si>
  <si>
    <t>dune_389</t>
  </si>
  <si>
    <t>2018-12-07</t>
  </si>
  <si>
    <t>PL0337</t>
  </si>
  <si>
    <t>THERON_375</t>
  </si>
  <si>
    <t>2020-06-17</t>
  </si>
  <si>
    <t>PL0338</t>
  </si>
  <si>
    <t>nyx_972</t>
  </si>
  <si>
    <t>2023-10-14</t>
  </si>
  <si>
    <t>PL0339</t>
  </si>
  <si>
    <t>mora_207</t>
  </si>
  <si>
    <t>2024-02-21</t>
  </si>
  <si>
    <t>PL0340</t>
  </si>
  <si>
    <t>drak_275</t>
  </si>
  <si>
    <t>2023-12-27</t>
  </si>
  <si>
    <t>PL0341</t>
  </si>
  <si>
    <t>tilda_332</t>
  </si>
  <si>
    <t>03/06/2021</t>
  </si>
  <si>
    <t>PL0342</t>
  </si>
  <si>
    <t>lyra_373</t>
  </si>
  <si>
    <t>2020-10-24</t>
  </si>
  <si>
    <t>PL0343</t>
  </si>
  <si>
    <t>aiden_748</t>
  </si>
  <si>
    <t>2024-03-08</t>
  </si>
  <si>
    <t>PL0344</t>
  </si>
  <si>
    <t>theron_779</t>
  </si>
  <si>
    <t>PL0345</t>
  </si>
  <si>
    <t>faye_650</t>
  </si>
  <si>
    <t>2019-10-12</t>
  </si>
  <si>
    <t>PL0346</t>
  </si>
  <si>
    <t>freya_763</t>
  </si>
  <si>
    <t>2019-10-15</t>
  </si>
  <si>
    <t>PL0347</t>
  </si>
  <si>
    <t>borin_815</t>
  </si>
  <si>
    <t>2019-10-08</t>
  </si>
  <si>
    <t>PL0348</t>
  </si>
  <si>
    <t>dune_377</t>
  </si>
  <si>
    <t>2020-06-03</t>
  </si>
  <si>
    <t>PL0349</t>
  </si>
  <si>
    <t>quinn_356</t>
  </si>
  <si>
    <t>Quinn</t>
  </si>
  <si>
    <t>2019-04-05</t>
  </si>
  <si>
    <t>PL0350</t>
  </si>
  <si>
    <t>elara_731</t>
  </si>
  <si>
    <t>2024-01-08</t>
  </si>
  <si>
    <t>PL0351</t>
  </si>
  <si>
    <t>ivan_468</t>
  </si>
  <si>
    <t>2022-02-03</t>
  </si>
  <si>
    <t>PL0352</t>
  </si>
  <si>
    <t>aria_380</t>
  </si>
  <si>
    <t>2020-06-13</t>
  </si>
  <si>
    <t>PL0353</t>
  </si>
  <si>
    <t>seth_804</t>
  </si>
  <si>
    <t>2021-01-21</t>
  </si>
  <si>
    <t>PL0354</t>
  </si>
  <si>
    <t>nyx_148</t>
  </si>
  <si>
    <t>2018-08-14</t>
  </si>
  <si>
    <t>PL0355</t>
  </si>
  <si>
    <t>theron_966</t>
  </si>
  <si>
    <t xml:space="preserve"> Mage </t>
  </si>
  <si>
    <t>PL0356</t>
  </si>
  <si>
    <t>2024-08-01</t>
  </si>
  <si>
    <t>PL0357</t>
  </si>
  <si>
    <t>nyx_253</t>
  </si>
  <si>
    <t xml:space="preserve"> Orc </t>
  </si>
  <si>
    <t>PL0358</t>
  </si>
  <si>
    <t>drak_320</t>
  </si>
  <si>
    <t>2021-10-20</t>
  </si>
  <si>
    <t>PL0359</t>
  </si>
  <si>
    <t>nolan_617</t>
  </si>
  <si>
    <t>2018-01-18</t>
  </si>
  <si>
    <t>PL0360</t>
  </si>
  <si>
    <t>CAEL_185</t>
  </si>
  <si>
    <t>CAEL</t>
  </si>
  <si>
    <t>2020-08-27</t>
  </si>
  <si>
    <t>PL0361</t>
  </si>
  <si>
    <t>selene_316</t>
  </si>
  <si>
    <t>PL0362</t>
  </si>
  <si>
    <t>crix_520</t>
  </si>
  <si>
    <t>2023-07-13</t>
  </si>
  <si>
    <t>PL0363</t>
  </si>
  <si>
    <t>zara_331</t>
  </si>
  <si>
    <t>2020-10-28</t>
  </si>
  <si>
    <t>PL0364</t>
  </si>
  <si>
    <t>leon_860</t>
  </si>
  <si>
    <t>2020-11-09</t>
  </si>
  <si>
    <t>PL0365</t>
  </si>
  <si>
    <t>theron_329</t>
  </si>
  <si>
    <t>2024-06-25</t>
  </si>
  <si>
    <t>PL0366</t>
  </si>
  <si>
    <t>kael_920</t>
  </si>
  <si>
    <t>2020-01-26</t>
  </si>
  <si>
    <t>PL0367</t>
  </si>
  <si>
    <t>drak_220</t>
  </si>
  <si>
    <t>2024-11-24</t>
  </si>
  <si>
    <t>PL0368</t>
  </si>
  <si>
    <t>gareth_782</t>
  </si>
  <si>
    <t>PL0369</t>
  </si>
  <si>
    <t>03/25/2019</t>
  </si>
  <si>
    <t>PL0370</t>
  </si>
  <si>
    <t>gareth_376</t>
  </si>
  <si>
    <t>2021-08-20</t>
  </si>
  <si>
    <t>PL0371</t>
  </si>
  <si>
    <t>dune_994</t>
  </si>
  <si>
    <t>05/11/2023</t>
  </si>
  <si>
    <t>PL0372</t>
  </si>
  <si>
    <t>vex_161</t>
  </si>
  <si>
    <t xml:space="preserve"> Vex </t>
  </si>
  <si>
    <t>2022-12-02</t>
  </si>
  <si>
    <t>PL0373</t>
  </si>
  <si>
    <t>jade_567</t>
  </si>
  <si>
    <t>11/23/2023</t>
  </si>
  <si>
    <t>PL0374</t>
  </si>
  <si>
    <t>faye_764</t>
  </si>
  <si>
    <t>2021-07-10</t>
  </si>
  <si>
    <t>PL0375</t>
  </si>
  <si>
    <t>drak_801</t>
  </si>
  <si>
    <t>PL0376</t>
  </si>
  <si>
    <t>sable_477</t>
  </si>
  <si>
    <t>PL0377</t>
  </si>
  <si>
    <t>faye_180</t>
  </si>
  <si>
    <t>07/07/2020</t>
  </si>
  <si>
    <t>PL0378</t>
  </si>
  <si>
    <t>yara_173</t>
  </si>
  <si>
    <t>2019-01-20</t>
  </si>
  <si>
    <t>PL0379</t>
  </si>
  <si>
    <t>ZARA_544</t>
  </si>
  <si>
    <t>2018-11-28</t>
  </si>
  <si>
    <t>PL0380</t>
  </si>
  <si>
    <t>IVAN_356</t>
  </si>
  <si>
    <t>2020-07-05</t>
  </si>
  <si>
    <t>PL0381</t>
  </si>
  <si>
    <t>zara_766</t>
  </si>
  <si>
    <t>ZARA</t>
  </si>
  <si>
    <t>2024-04-14</t>
  </si>
  <si>
    <t>PL0382</t>
  </si>
  <si>
    <t>opal_945</t>
  </si>
  <si>
    <t>2020-06-18</t>
  </si>
  <si>
    <t>PL0383</t>
  </si>
  <si>
    <t>torin_150</t>
  </si>
  <si>
    <t>2018-12-09</t>
  </si>
  <si>
    <t>PL0384</t>
  </si>
  <si>
    <t>lira_937</t>
  </si>
  <si>
    <t>2018-07-11</t>
  </si>
  <si>
    <t>PL0385</t>
  </si>
  <si>
    <t>brix_347</t>
  </si>
  <si>
    <t>PL0386</t>
  </si>
  <si>
    <t>finn_859</t>
  </si>
  <si>
    <t xml:space="preserve"> Finn </t>
  </si>
  <si>
    <t>2023-04-24</t>
  </si>
  <si>
    <t>PL0387</t>
  </si>
  <si>
    <t>rosa_262</t>
  </si>
  <si>
    <t>ASHENVALE</t>
  </si>
  <si>
    <t>2023-08-26</t>
  </si>
  <si>
    <t>PL0388</t>
  </si>
  <si>
    <t>kira_828</t>
  </si>
  <si>
    <t>IRONPEAK</t>
  </si>
  <si>
    <t>2019-10-17</t>
  </si>
  <si>
    <t>PL0389</t>
  </si>
  <si>
    <t>CAEL_393</t>
  </si>
  <si>
    <t xml:space="preserve"> Cael </t>
  </si>
  <si>
    <t>2022-12-21</t>
  </si>
  <si>
    <t>PL0390</t>
  </si>
  <si>
    <t>crix_269</t>
  </si>
  <si>
    <t>BANNED</t>
  </si>
  <si>
    <t>2024-02-06</t>
  </si>
  <si>
    <t>PL0391</t>
  </si>
  <si>
    <t>myra_357</t>
  </si>
  <si>
    <t>PL0392</t>
  </si>
  <si>
    <t>myra_588</t>
  </si>
  <si>
    <t>2018-02-20</t>
  </si>
  <si>
    <t>PL0393</t>
  </si>
  <si>
    <t>elara_243</t>
  </si>
  <si>
    <t>2020-11-02</t>
  </si>
  <si>
    <t>PL0394</t>
  </si>
  <si>
    <t>lira_273</t>
  </si>
  <si>
    <t>2019-06-19</t>
  </si>
  <si>
    <t>PL0395</t>
  </si>
  <si>
    <t>zara_974</t>
  </si>
  <si>
    <t>2023-12-04</t>
  </si>
  <si>
    <t>PL0396</t>
  </si>
  <si>
    <t>theron_617</t>
  </si>
  <si>
    <t>IRONFIST</t>
  </si>
  <si>
    <t>07/11/2024</t>
  </si>
  <si>
    <t>PL0397</t>
  </si>
  <si>
    <t>finn_489</t>
  </si>
  <si>
    <t>2021-05-23</t>
  </si>
  <si>
    <t>PL0398</t>
  </si>
  <si>
    <t>nyx_285</t>
  </si>
  <si>
    <t>2021-07-23</t>
  </si>
  <si>
    <t>PL0399</t>
  </si>
  <si>
    <t>jade_804</t>
  </si>
  <si>
    <t xml:space="preserve"> Paladin </t>
  </si>
  <si>
    <t>PL0400</t>
  </si>
  <si>
    <t>opal_479</t>
  </si>
  <si>
    <t>23/02/2023</t>
  </si>
  <si>
    <t>PL0401</t>
  </si>
  <si>
    <t xml:space="preserve"> faye_906 </t>
  </si>
  <si>
    <t>2022-05-05</t>
  </si>
  <si>
    <t>PL0402</t>
  </si>
  <si>
    <t>seth_755</t>
  </si>
  <si>
    <t>2021-05-14</t>
  </si>
  <si>
    <t>PL0403</t>
  </si>
  <si>
    <t>percy_225</t>
  </si>
  <si>
    <t>INACTIVE</t>
  </si>
  <si>
    <t>2021-09-19</t>
  </si>
  <si>
    <t>PL0404</t>
  </si>
  <si>
    <t>myra_898</t>
  </si>
  <si>
    <t>2021-10-11</t>
  </si>
  <si>
    <t>PL0405</t>
  </si>
  <si>
    <t>nolan_119</t>
  </si>
  <si>
    <t>2022-09-15</t>
  </si>
  <si>
    <t>PL0406</t>
  </si>
  <si>
    <t>oryn_676</t>
  </si>
  <si>
    <t>04/22/2019</t>
  </si>
  <si>
    <t>PL0407</t>
  </si>
  <si>
    <t>hana_415</t>
  </si>
  <si>
    <t xml:space="preserve"> Dwarf </t>
  </si>
  <si>
    <t>2021-11-14</t>
  </si>
  <si>
    <t>PL0408</t>
  </si>
  <si>
    <t>nova_836</t>
  </si>
  <si>
    <t>2018-10-21</t>
  </si>
  <si>
    <t>PL0409</t>
  </si>
  <si>
    <t>nyx_664</t>
  </si>
  <si>
    <t>2021-02-01</t>
  </si>
  <si>
    <t>PL0410</t>
  </si>
  <si>
    <t>oryn_583</t>
  </si>
  <si>
    <t>05/20/2022</t>
  </si>
  <si>
    <t>PL0411</t>
  </si>
  <si>
    <t>mora_721</t>
  </si>
  <si>
    <t>MORA</t>
  </si>
  <si>
    <t xml:space="preserve"> Darkmantle </t>
  </si>
  <si>
    <t>2024-08-22</t>
  </si>
  <si>
    <t>PL0412</t>
  </si>
  <si>
    <t>aiden_475</t>
  </si>
  <si>
    <t>2020-11-10</t>
  </si>
  <si>
    <t>PL0413</t>
  </si>
  <si>
    <t>MIRA_140</t>
  </si>
  <si>
    <t>2023-10-04</t>
  </si>
  <si>
    <t>PL0414</t>
  </si>
  <si>
    <t>brynn_601</t>
  </si>
  <si>
    <t xml:space="preserve"> Halfling </t>
  </si>
  <si>
    <t>2018-12-24</t>
  </si>
  <si>
    <t>PL0415</t>
  </si>
  <si>
    <t>hana_234</t>
  </si>
  <si>
    <t>2022-04-27</t>
  </si>
  <si>
    <t>PL0416</t>
  </si>
  <si>
    <t>EWAN_326</t>
  </si>
  <si>
    <t>2018-07-03</t>
  </si>
  <si>
    <t>PL0417</t>
  </si>
  <si>
    <t>ewan_876</t>
  </si>
  <si>
    <t>2024-03-28</t>
  </si>
  <si>
    <t>PL0418</t>
  </si>
  <si>
    <t>theron_628</t>
  </si>
  <si>
    <t>2020-01-05</t>
  </si>
  <si>
    <t>PL0419</t>
  </si>
  <si>
    <t>mora_890</t>
  </si>
  <si>
    <t>2020-03-10</t>
  </si>
  <si>
    <t>PL0420</t>
  </si>
  <si>
    <t>kael_506</t>
  </si>
  <si>
    <t>2020-12-17</t>
  </si>
  <si>
    <t>PL0421</t>
  </si>
  <si>
    <t>mira_924</t>
  </si>
  <si>
    <t>2019-03-09</t>
  </si>
  <si>
    <t>PL0422</t>
  </si>
  <si>
    <t>elara_148</t>
  </si>
  <si>
    <t>2018-01-07</t>
  </si>
  <si>
    <t>PL0423</t>
  </si>
  <si>
    <t>lyra_742</t>
  </si>
  <si>
    <t>2022-09-18</t>
  </si>
  <si>
    <t>PL0424</t>
  </si>
  <si>
    <t>yara_325</t>
  </si>
  <si>
    <t>03/27/2024</t>
  </si>
  <si>
    <t>PL0425</t>
  </si>
  <si>
    <t>cael_856</t>
  </si>
  <si>
    <t>2019-03-11</t>
  </si>
  <si>
    <t>PL0426</t>
  </si>
  <si>
    <t>freya_712</t>
  </si>
  <si>
    <t>2019-07-27</t>
  </si>
  <si>
    <t>PL0427</t>
  </si>
  <si>
    <t>lyra_593</t>
  </si>
  <si>
    <t>2020-02-13</t>
  </si>
  <si>
    <t>PL0428</t>
  </si>
  <si>
    <t>ROSA_861</t>
  </si>
  <si>
    <t>2023-06-10</t>
  </si>
  <si>
    <t>PL0429</t>
  </si>
  <si>
    <t>aria_621</t>
  </si>
  <si>
    <t>2023-06-19</t>
  </si>
  <si>
    <t>PL0430</t>
  </si>
  <si>
    <t>faye_224</t>
  </si>
  <si>
    <t>2024-06-16</t>
  </si>
  <si>
    <t>PL0431</t>
  </si>
  <si>
    <t>nolan_159</t>
  </si>
  <si>
    <t>2022-10-13</t>
  </si>
  <si>
    <t>PL0432</t>
  </si>
  <si>
    <t>theron_499</t>
  </si>
  <si>
    <t>PL0433</t>
  </si>
  <si>
    <t>lyra_610</t>
  </si>
  <si>
    <t>2023-12-14</t>
  </si>
  <si>
    <t>PL0434</t>
  </si>
  <si>
    <t>grim_563</t>
  </si>
  <si>
    <t>2018-12-13</t>
  </si>
  <si>
    <t>PL0435</t>
  </si>
  <si>
    <t>BRYNN_853</t>
  </si>
  <si>
    <t>2019-02-07</t>
  </si>
  <si>
    <t>PL0436</t>
  </si>
  <si>
    <t>brynn_919</t>
  </si>
  <si>
    <t>2023-06-04</t>
  </si>
  <si>
    <t>PL0437</t>
  </si>
  <si>
    <t>aria_431</t>
  </si>
  <si>
    <t>2019-09-12</t>
  </si>
  <si>
    <t>PL0438</t>
  </si>
  <si>
    <t>ewan_835</t>
  </si>
  <si>
    <t>2023-08-17</t>
  </si>
  <si>
    <t>PL0439</t>
  </si>
  <si>
    <t>cedric_134</t>
  </si>
  <si>
    <t>28/11/2020</t>
  </si>
  <si>
    <t>PL0440</t>
  </si>
  <si>
    <t>myra_422</t>
  </si>
  <si>
    <t>2021-01-27</t>
  </si>
  <si>
    <t>PL0441</t>
  </si>
  <si>
    <t>leon_608</t>
  </si>
  <si>
    <t xml:space="preserve"> Brightblade </t>
  </si>
  <si>
    <t>PL0442</t>
  </si>
  <si>
    <t>aiden_782</t>
  </si>
  <si>
    <t>2024-03-14</t>
  </si>
  <si>
    <t>PL0443</t>
  </si>
  <si>
    <t>dune_711</t>
  </si>
  <si>
    <t>2022-01-28</t>
  </si>
  <si>
    <t>PL0444</t>
  </si>
  <si>
    <t>kira_305</t>
  </si>
  <si>
    <t>2018-01-03</t>
  </si>
  <si>
    <t>PL0445</t>
  </si>
  <si>
    <t>myra_930</t>
  </si>
  <si>
    <t>2022-04-11</t>
  </si>
  <si>
    <t>PL0446</t>
  </si>
  <si>
    <t>roran_231</t>
  </si>
  <si>
    <t>2020-09-14</t>
  </si>
  <si>
    <t>PL0447</t>
  </si>
  <si>
    <t>delia_645</t>
  </si>
  <si>
    <t>2022-11-22</t>
  </si>
  <si>
    <t>PL0448</t>
  </si>
  <si>
    <t>torin_737</t>
  </si>
  <si>
    <t>2018-07-23</t>
  </si>
  <si>
    <t>PL0449</t>
  </si>
  <si>
    <t>vex_484</t>
  </si>
  <si>
    <t>2022-08-14</t>
  </si>
  <si>
    <t>PL0450</t>
  </si>
  <si>
    <t>zara_777</t>
  </si>
  <si>
    <t>2020-03-16</t>
  </si>
  <si>
    <t>PL0451</t>
  </si>
  <si>
    <t>rosa_579</t>
  </si>
  <si>
    <t>2020-12-03</t>
  </si>
  <si>
    <t>PL0452</t>
  </si>
  <si>
    <t>freya_913</t>
  </si>
  <si>
    <t xml:space="preserve"> Goldweave </t>
  </si>
  <si>
    <t>2023-11-25</t>
  </si>
  <si>
    <t>PL0453</t>
  </si>
  <si>
    <t>delia_982</t>
  </si>
  <si>
    <t>2018-05-19</t>
  </si>
  <si>
    <t>PL0454</t>
  </si>
  <si>
    <t>yara_896</t>
  </si>
  <si>
    <t>2022-02-17</t>
  </si>
  <si>
    <t>PL0455</t>
  </si>
  <si>
    <t>torin_774</t>
  </si>
  <si>
    <t>PL0456</t>
  </si>
  <si>
    <t>finn_266</t>
  </si>
  <si>
    <t>2018-09-26</t>
  </si>
  <si>
    <t>PL0457</t>
  </si>
  <si>
    <t>cedric_740</t>
  </si>
  <si>
    <t>01/09/2019</t>
  </si>
  <si>
    <t>PL0458</t>
  </si>
  <si>
    <t>myra_488</t>
  </si>
  <si>
    <t>PL0459</t>
  </si>
  <si>
    <t>jade_954</t>
  </si>
  <si>
    <t>2023-08-04</t>
  </si>
  <si>
    <t>PL0460</t>
  </si>
  <si>
    <t>kira_100</t>
  </si>
  <si>
    <t>2019-01-03</t>
  </si>
  <si>
    <t>PL0461</t>
  </si>
  <si>
    <t>sable_492</t>
  </si>
  <si>
    <t>PL0462</t>
  </si>
  <si>
    <t>kira_470</t>
  </si>
  <si>
    <t>2020-07-12</t>
  </si>
  <si>
    <t>PL0463</t>
  </si>
  <si>
    <t>grim_548</t>
  </si>
  <si>
    <t>PL0464</t>
  </si>
  <si>
    <t>gareth_708</t>
  </si>
  <si>
    <t>PL0465</t>
  </si>
  <si>
    <t>sable_668</t>
  </si>
  <si>
    <t>2023-12-18</t>
  </si>
  <si>
    <t>PL0466</t>
  </si>
  <si>
    <t>brix_401</t>
  </si>
  <si>
    <t>2021-12-27</t>
  </si>
  <si>
    <t>PL0467</t>
  </si>
  <si>
    <t>gareth_524</t>
  </si>
  <si>
    <t xml:space="preserve"> Gareth </t>
  </si>
  <si>
    <t>2020-09-01</t>
  </si>
  <si>
    <t>PL0468</t>
  </si>
  <si>
    <t>seth_649</t>
  </si>
  <si>
    <t>2022-01-20</t>
  </si>
  <si>
    <t>PL0469</t>
  </si>
  <si>
    <t>aiden_822</t>
  </si>
  <si>
    <t>PL0470</t>
  </si>
  <si>
    <t>quinn_456</t>
  </si>
  <si>
    <t>2020-09-04</t>
  </si>
  <si>
    <t>PL0471</t>
  </si>
  <si>
    <t>borin_179</t>
  </si>
  <si>
    <t>2019-10-11</t>
  </si>
  <si>
    <t>PL0472</t>
  </si>
  <si>
    <t>nova_311</t>
  </si>
  <si>
    <t>BRIGHTBLADE</t>
  </si>
  <si>
    <t>2021-06-19</t>
  </si>
  <si>
    <t>PL0473</t>
  </si>
  <si>
    <t>zara_369</t>
  </si>
  <si>
    <t>25/07/2019</t>
  </si>
  <si>
    <t>PL0474</t>
  </si>
  <si>
    <t>nolan_968</t>
  </si>
  <si>
    <t>2019-09-18</t>
  </si>
  <si>
    <t>PL0475</t>
  </si>
  <si>
    <t>lira_293</t>
  </si>
  <si>
    <t>2020-11-06</t>
  </si>
  <si>
    <t>PL0476</t>
  </si>
  <si>
    <t>tilda_107</t>
  </si>
  <si>
    <t>2019-03-26</t>
  </si>
  <si>
    <t>PL0477</t>
  </si>
  <si>
    <t>aiden_364</t>
  </si>
  <si>
    <t>2023-09-02</t>
  </si>
  <si>
    <t>PL0478</t>
  </si>
  <si>
    <t>finn_997</t>
  </si>
  <si>
    <t>2019-10-04</t>
  </si>
  <si>
    <t>PL0479</t>
  </si>
  <si>
    <t>nolan_774</t>
  </si>
  <si>
    <t xml:space="preserve"> Nightfall </t>
  </si>
  <si>
    <t>2023-01-05</t>
  </si>
  <si>
    <t>PL0480</t>
  </si>
  <si>
    <t>nolan_750</t>
  </si>
  <si>
    <t>2022-06-08</t>
  </si>
  <si>
    <t>PL0481</t>
  </si>
  <si>
    <t>theron_433</t>
  </si>
  <si>
    <t>THERON</t>
  </si>
  <si>
    <t>2021-10-21</t>
  </si>
  <si>
    <t>PL0482</t>
  </si>
  <si>
    <t>opal_761</t>
  </si>
  <si>
    <t>2021-01-02</t>
  </si>
  <si>
    <t>PL0483</t>
  </si>
  <si>
    <t>jade_236</t>
  </si>
  <si>
    <t>2020-11-27</t>
  </si>
  <si>
    <t>PL0484</t>
  </si>
  <si>
    <t>dune_576</t>
  </si>
  <si>
    <t>PL0485</t>
  </si>
  <si>
    <t>jade_112</t>
  </si>
  <si>
    <t>2020-03-04</t>
  </si>
  <si>
    <t>PL0486</t>
  </si>
  <si>
    <t>percy_532</t>
  </si>
  <si>
    <t>2020-03-01</t>
  </si>
  <si>
    <t>PL0487</t>
  </si>
  <si>
    <t>rosa_705</t>
  </si>
  <si>
    <t xml:space="preserve"> Rogue </t>
  </si>
  <si>
    <t>2021-03-17</t>
  </si>
  <si>
    <t>PL0488</t>
  </si>
  <si>
    <t>crix_924</t>
  </si>
  <si>
    <t>2018-04-21</t>
  </si>
  <si>
    <t>PL0489</t>
  </si>
  <si>
    <t>brix_323</t>
  </si>
  <si>
    <t>PL0490</t>
  </si>
  <si>
    <t>lyra_549</t>
  </si>
  <si>
    <t xml:space="preserve"> Lyra </t>
  </si>
  <si>
    <t>2022-05-12</t>
  </si>
  <si>
    <t>PL0491</t>
  </si>
  <si>
    <t>roran_648</t>
  </si>
  <si>
    <t>2019-06-18</t>
  </si>
  <si>
    <t>PL0492</t>
  </si>
  <si>
    <t>brynn_251</t>
  </si>
  <si>
    <t>2022-02-10</t>
  </si>
  <si>
    <t>PL0493</t>
  </si>
  <si>
    <t>mira_344</t>
  </si>
  <si>
    <t>PL0494</t>
  </si>
  <si>
    <t>2020-02-22</t>
  </si>
  <si>
    <t>PL0495</t>
  </si>
  <si>
    <t>hana_792</t>
  </si>
  <si>
    <t>2022-04-18</t>
  </si>
  <si>
    <t>PL0496</t>
  </si>
  <si>
    <t>brynn_569</t>
  </si>
  <si>
    <t>2023-06-21</t>
  </si>
  <si>
    <t>PL0497</t>
  </si>
  <si>
    <t>2020-06-26</t>
  </si>
  <si>
    <t>PL0498</t>
  </si>
  <si>
    <t>finn_736</t>
  </si>
  <si>
    <t>2023-02-02</t>
  </si>
  <si>
    <t>PL0499</t>
  </si>
  <si>
    <t>brynn_765</t>
  </si>
  <si>
    <t>PL0500</t>
  </si>
  <si>
    <t xml:space="preserve"> cael_209 </t>
  </si>
  <si>
    <t>2024-11-17</t>
  </si>
  <si>
    <t>Clean Username</t>
  </si>
  <si>
    <t>Clean First Name</t>
  </si>
  <si>
    <t>Clean Race</t>
  </si>
  <si>
    <t>Clean Class</t>
  </si>
  <si>
    <t>Kolom kosong</t>
  </si>
  <si>
    <t>Clean ATK</t>
  </si>
  <si>
    <t>Clean DEF</t>
  </si>
  <si>
    <t>Clean SPD</t>
  </si>
  <si>
    <t>Clean Kills</t>
  </si>
  <si>
    <t>Clean Gold</t>
  </si>
  <si>
    <t>Cek Tanggal Join</t>
  </si>
  <si>
    <t>Rata Rata</t>
  </si>
  <si>
    <t>Gold</t>
  </si>
  <si>
    <t>Max</t>
  </si>
  <si>
    <t>Min</t>
  </si>
  <si>
    <t>Premuium</t>
  </si>
  <si>
    <t>Total Gold</t>
  </si>
  <si>
    <t>Total Personel</t>
  </si>
  <si>
    <t>Kategori Level</t>
  </si>
  <si>
    <t>&gt;50</t>
  </si>
  <si>
    <t>Peringkat Gold</t>
  </si>
  <si>
    <t>Bonus Multiplier</t>
  </si>
  <si>
    <t>Nama Player</t>
  </si>
  <si>
    <t>Clean Mp</t>
  </si>
  <si>
    <t>Clean Total Stat</t>
  </si>
  <si>
    <t>Clean Level</t>
  </si>
  <si>
    <t>Tier</t>
  </si>
  <si>
    <t>Status Aktif</t>
  </si>
  <si>
    <t>OP or Not</t>
  </si>
  <si>
    <t>Performance</t>
  </si>
  <si>
    <t>Clean Win Rate</t>
  </si>
  <si>
    <t>Recruitment Priority</t>
  </si>
  <si>
    <t>Status Squad</t>
  </si>
  <si>
    <t>Clean HP</t>
  </si>
  <si>
    <t>tilda_693</t>
  </si>
  <si>
    <t>drak_553</t>
  </si>
  <si>
    <t>torin_164</t>
  </si>
  <si>
    <t>jade_123</t>
  </si>
  <si>
    <t>hana_632</t>
  </si>
  <si>
    <t>leon_260</t>
  </si>
  <si>
    <t>kira_261</t>
  </si>
  <si>
    <t>faye_906</t>
  </si>
  <si>
    <t>cael_209</t>
  </si>
  <si>
    <t>Gold Rank</t>
  </si>
  <si>
    <t>Elite</t>
  </si>
  <si>
    <t>Poor</t>
  </si>
  <si>
    <t>Normal</t>
  </si>
  <si>
    <t>Medium</t>
  </si>
  <si>
    <t>Reguler</t>
  </si>
  <si>
    <t>Excellent</t>
  </si>
  <si>
    <t>High</t>
  </si>
  <si>
    <t>Brawler</t>
  </si>
  <si>
    <t>Veteran</t>
  </si>
  <si>
    <t>Tanker</t>
  </si>
  <si>
    <t>Rookie</t>
  </si>
  <si>
    <t>Elity Spy</t>
  </si>
  <si>
    <t>Legend</t>
  </si>
  <si>
    <t>Average</t>
  </si>
  <si>
    <t>Squad Inti</t>
  </si>
  <si>
    <t>Tactician</t>
  </si>
  <si>
    <t>Overpowered</t>
  </si>
  <si>
    <t>Low</t>
  </si>
  <si>
    <t>Avg WR</t>
  </si>
  <si>
    <t>Row Labels</t>
  </si>
  <si>
    <t>Grand Total</t>
  </si>
  <si>
    <t>Jumlah Player</t>
  </si>
  <si>
    <t>Sum of Gold Earned</t>
  </si>
  <si>
    <t>2018</t>
  </si>
  <si>
    <t>2019</t>
  </si>
  <si>
    <t>2020</t>
  </si>
  <si>
    <t>2021</t>
  </si>
  <si>
    <t>2022</t>
  </si>
  <si>
    <t>2023</t>
  </si>
  <si>
    <t>2024</t>
  </si>
  <si>
    <t>Join Year</t>
  </si>
  <si>
    <t>Rata-rata Level</t>
  </si>
  <si>
    <t>Jumlah Kill</t>
  </si>
  <si>
    <t>TOTAL PLAYER</t>
  </si>
  <si>
    <t>AVERAGE LEVEL</t>
  </si>
  <si>
    <t>TOTAL GOLD</t>
  </si>
  <si>
    <t>Balanced Score</t>
  </si>
  <si>
    <t>Is Most Balanced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</si>
</sst>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yyyy\-mm\-dd;@"/>
    <numFmt numFmtId="165" formatCode="0&quot;%&quot;"/>
    <numFmt numFmtId="174" formatCode="&quot;$&quot;#,##0,,&quot;M&quot;"/>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50"/>
      <color theme="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9">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1" xfId="0" applyBorder="1" applyAlignment="1">
      <alignment horizontal="center"/>
    </xf>
    <xf numFmtId="44" fontId="0" fillId="0" borderId="0" xfId="1" applyFont="1" applyAlignment="1">
      <alignment horizontal="center"/>
    </xf>
    <xf numFmtId="0" fontId="0" fillId="0" borderId="0" xfId="1" applyNumberFormat="1" applyFont="1" applyAlignment="1">
      <alignment horizontal="center"/>
    </xf>
    <xf numFmtId="164" fontId="0" fillId="0" borderId="0" xfId="0" applyNumberFormat="1" applyAlignment="1">
      <alignment horizontal="center" vertical="center"/>
    </xf>
    <xf numFmtId="2" fontId="0" fillId="0" borderId="1" xfId="0" applyNumberFormat="1" applyBorder="1" applyAlignment="1">
      <alignment horizontal="center"/>
    </xf>
    <xf numFmtId="44" fontId="0" fillId="0" borderId="1" xfId="1" applyFont="1" applyBorder="1" applyAlignment="1">
      <alignment horizontal="center"/>
    </xf>
    <xf numFmtId="44" fontId="0" fillId="0" borderId="0" xfId="1" applyFont="1" applyAlignment="1">
      <alignment horizontal="center" vertical="center"/>
    </xf>
    <xf numFmtId="0" fontId="0" fillId="0" borderId="1" xfId="0" applyBorder="1" applyAlignment="1">
      <alignment horizontal="center" vertical="center"/>
    </xf>
    <xf numFmtId="44" fontId="0" fillId="0" borderId="1" xfId="1" applyFont="1" applyBorder="1" applyAlignment="1">
      <alignment horizontal="center" vertical="center"/>
    </xf>
    <xf numFmtId="165" fontId="0" fillId="0" borderId="0" xfId="0" applyNumberFormat="1" applyAlignment="1">
      <alignment horizontal="center"/>
    </xf>
    <xf numFmtId="14" fontId="0" fillId="0" borderId="0" xfId="0" applyNumberFormat="1" applyAlignment="1">
      <alignment horizontal="center" vertical="center"/>
    </xf>
    <xf numFmtId="44" fontId="0" fillId="0" borderId="0" xfId="1" applyFont="1"/>
    <xf numFmtId="0" fontId="0" fillId="0" borderId="2" xfId="0" applyBorder="1" applyAlignment="1">
      <alignment horizontal="center"/>
    </xf>
    <xf numFmtId="0" fontId="0" fillId="0" borderId="3" xfId="0" applyBorder="1" applyAlignment="1">
      <alignment horizontal="center"/>
    </xf>
    <xf numFmtId="0" fontId="0" fillId="0" borderId="1" xfId="0" applyBorder="1" applyAlignment="1">
      <alignment horizontal="center"/>
    </xf>
    <xf numFmtId="0" fontId="0" fillId="0" borderId="0" xfId="0" pivotButton="1" applyAlignment="1">
      <alignment horizontal="center"/>
    </xf>
    <xf numFmtId="0" fontId="0" fillId="0" borderId="0" xfId="0" applyNumberFormat="1" applyAlignment="1">
      <alignment horizontal="center"/>
    </xf>
    <xf numFmtId="44" fontId="0" fillId="0" borderId="0" xfId="0" applyNumberFormat="1" applyAlignment="1">
      <alignment horizontal="center"/>
    </xf>
    <xf numFmtId="0" fontId="2" fillId="0" borderId="0" xfId="0" applyFont="1" applyAlignment="1">
      <alignment horizontal="center"/>
    </xf>
    <xf numFmtId="0" fontId="2" fillId="0" borderId="0" xfId="0" applyNumberFormat="1" applyFont="1" applyAlignment="1">
      <alignment horizontal="center"/>
    </xf>
    <xf numFmtId="0" fontId="0" fillId="3" borderId="0" xfId="0" applyFill="1"/>
    <xf numFmtId="0" fontId="0" fillId="3" borderId="0" xfId="0" applyFill="1" applyAlignment="1">
      <alignment horizontal="center"/>
    </xf>
    <xf numFmtId="0" fontId="3" fillId="2" borderId="0" xfId="0" applyFont="1" applyFill="1" applyAlignment="1">
      <alignment horizontal="center" vertical="center"/>
    </xf>
    <xf numFmtId="2" fontId="3" fillId="2" borderId="0" xfId="0" applyNumberFormat="1" applyFont="1" applyFill="1" applyAlignment="1">
      <alignment horizontal="center" vertical="center"/>
    </xf>
    <xf numFmtId="174" fontId="3" fillId="2" borderId="0" xfId="0" applyNumberFormat="1" applyFont="1" applyFill="1" applyAlignment="1">
      <alignment horizontal="center" vertical="center"/>
    </xf>
    <xf numFmtId="0" fontId="0" fillId="0" borderId="0" xfId="0" applyNumberFormat="1" applyAlignment="1">
      <alignment horizontal="center" vertical="center"/>
    </xf>
  </cellXfs>
  <cellStyles count="2">
    <cellStyle name="Currency" xfId="1" builtinId="4"/>
    <cellStyle name="Normal" xfId="0" builtinId="0"/>
  </cellStyles>
  <dxfs count="147">
    <dxf>
      <fill>
        <patternFill>
          <bgColor rgb="FF00B050"/>
        </patternFill>
      </fill>
    </dxf>
    <dxf>
      <fill>
        <patternFill>
          <bgColor rgb="FFFFC000"/>
        </patternFill>
      </fill>
    </dxf>
    <dxf>
      <fill>
        <patternFill>
          <bgColor rgb="FFFFC000"/>
        </patternFill>
      </fill>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34" formatCode="_(&quot;$&quot;* #,##0.00_);_(&quot;$&quot;* \(#,##0.00\);_(&quot;$&quot;* &quot;-&quot;??_);_(@_)"/>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0&quot;%&quo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yyyy\-mm\-dd;@"/>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0&quot;%&quot;"/>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[RPG_dataset.xlsx]Pivot!PivotTable7</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3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
        <c:idx val="12"/>
        <c:spPr>
          <a:solidFill>
            <a:schemeClr val="accent3"/>
          </a:solidFill>
          <a:ln>
            <a:noFill/>
          </a:ln>
          <a:effectLst>
            <a:outerShdw blurRad="254000" sx="102000" sy="102000" algn="ctr" rotWithShape="0">
              <a:prstClr val="black">
                <a:alpha val="20000"/>
              </a:prstClr>
            </a:outerShdw>
          </a:effectLst>
        </c:spPr>
      </c:pivotFmt>
      <c:pivotFmt>
        <c:idx val="13"/>
        <c:spPr>
          <a:solidFill>
            <a:schemeClr val="accent4"/>
          </a:solidFill>
          <a:ln>
            <a:noFill/>
          </a:ln>
          <a:effectLst>
            <a:outerShdw blurRad="254000" sx="102000" sy="102000" algn="ctr" rotWithShape="0">
              <a:prstClr val="black">
                <a:alpha val="20000"/>
              </a:prstClr>
            </a:outerShdw>
          </a:effectLst>
        </c:spPr>
      </c:pivotFmt>
      <c:pivotFmt>
        <c:idx val="14"/>
        <c:spPr>
          <a:solidFill>
            <a:schemeClr val="accent1"/>
          </a:solidFill>
          <a:ln w="15875">
            <a:solidFill>
              <a:schemeClr val="bg1"/>
            </a:solidFill>
          </a:ln>
          <a:effectLst>
            <a:glow rad="165100">
              <a:schemeClr val="bg1">
                <a:alpha val="77000"/>
              </a:schemeClr>
            </a:glow>
          </a:effectLst>
        </c:spPr>
      </c:pivotFmt>
      <c:pivotFmt>
        <c:idx val="15"/>
        <c:spPr>
          <a:solidFill>
            <a:schemeClr val="accent6"/>
          </a:solidFill>
          <a:ln>
            <a:noFill/>
          </a:ln>
          <a:effectLst>
            <a:outerShdw blurRad="254000" sx="102000" sy="102000" algn="ctr" rotWithShape="0">
              <a:prstClr val="black">
                <a:alpha val="20000"/>
              </a:prstClr>
            </a:outerShdw>
          </a:effectLst>
        </c:spPr>
      </c:pivotFmt>
      <c:pivotFmt>
        <c:idx val="16"/>
        <c:spPr>
          <a:solidFill>
            <a:schemeClr val="accent1">
              <a:lumMod val="60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Pivot!$B$40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F7E-43C0-A6D9-298B6B37B4D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F7E-43C0-A6D9-298B6B37B4D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F7E-43C0-A6D9-298B6B37B4D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F7E-43C0-A6D9-298B6B37B4D8}"/>
              </c:ext>
            </c:extLst>
          </c:dPt>
          <c:dPt>
            <c:idx val="4"/>
            <c:bubble3D val="0"/>
            <c:explosion val="7"/>
            <c:spPr>
              <a:solidFill>
                <a:schemeClr val="accent5"/>
              </a:solidFill>
              <a:ln w="15875">
                <a:solidFill>
                  <a:schemeClr val="bg1"/>
                </a:solidFill>
              </a:ln>
              <a:effectLst>
                <a:glow rad="165100">
                  <a:schemeClr val="bg1">
                    <a:alpha val="77000"/>
                  </a:schemeClr>
                </a:glow>
              </a:effectLst>
            </c:spPr>
            <c:extLst>
              <c:ext xmlns:c16="http://schemas.microsoft.com/office/drawing/2014/chart" uri="{C3380CC4-5D6E-409C-BE32-E72D297353CC}">
                <c16:uniqueId val="{00000009-CF7E-43C0-A6D9-298B6B37B4D8}"/>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F7E-43C0-A6D9-298B6B37B4D8}"/>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F7E-43C0-A6D9-298B6B37B4D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3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Pivot!$A$41:$A$48</c:f>
              <c:strCache>
                <c:ptCount val="7"/>
                <c:pt idx="0">
                  <c:v>Arcane Order</c:v>
                </c:pt>
                <c:pt idx="1">
                  <c:v>Crimson Dawn</c:v>
                </c:pt>
                <c:pt idx="2">
                  <c:v>Golden Leaf</c:v>
                </c:pt>
                <c:pt idx="3">
                  <c:v>Iron Shield</c:v>
                </c:pt>
                <c:pt idx="4">
                  <c:v>None</c:v>
                </c:pt>
                <c:pt idx="5">
                  <c:v>Shadow Veil</c:v>
                </c:pt>
                <c:pt idx="6">
                  <c:v>Steel Fang</c:v>
                </c:pt>
              </c:strCache>
            </c:strRef>
          </c:cat>
          <c:val>
            <c:numRef>
              <c:f>Pivot!$B$41:$B$48</c:f>
              <c:numCache>
                <c:formatCode>General</c:formatCode>
                <c:ptCount val="7"/>
                <c:pt idx="0">
                  <c:v>62</c:v>
                </c:pt>
                <c:pt idx="1">
                  <c:v>52</c:v>
                </c:pt>
                <c:pt idx="2">
                  <c:v>76</c:v>
                </c:pt>
                <c:pt idx="3">
                  <c:v>65</c:v>
                </c:pt>
                <c:pt idx="4">
                  <c:v>118</c:v>
                </c:pt>
                <c:pt idx="5">
                  <c:v>63</c:v>
                </c:pt>
                <c:pt idx="6">
                  <c:v>64</c:v>
                </c:pt>
              </c:numCache>
            </c:numRef>
          </c:val>
          <c:extLst>
            <c:ext xmlns:c16="http://schemas.microsoft.com/office/drawing/2014/chart" uri="{C3380CC4-5D6E-409C-BE32-E72D297353CC}">
              <c16:uniqueId val="{0000000E-CF7E-43C0-A6D9-298B6B37B4D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6425046997636703"/>
          <c:y val="0.22721848834984973"/>
          <c:w val="0.20420177444026036"/>
          <c:h val="0.54580651900620358"/>
        </c:manualLayout>
      </c:layout>
      <c:overlay val="0"/>
      <c:spPr>
        <a:noFill/>
        <a:ln>
          <a:noFill/>
        </a:ln>
        <a:effectLst>
          <a:glow rad="787400">
            <a:schemeClr val="bg1">
              <a:alpha val="57000"/>
            </a:schemeClr>
          </a:glow>
        </a:effectLst>
      </c:spPr>
      <c:txPr>
        <a:bodyPr rot="0" spcFirstLastPara="1" vertOverflow="ellipsis" vert="horz" wrap="square" anchor="ctr" anchorCtr="1"/>
        <a:lstStyle/>
        <a:p>
          <a:pPr>
            <a:defRPr sz="3000" b="1" i="0" u="none" strike="noStrike" kern="1200" baseline="0">
              <a:solidFill>
                <a:schemeClr val="bg1"/>
              </a:solidFill>
              <a:effectLst>
                <a:glow rad="279400">
                  <a:schemeClr val="bg1">
                    <a:alpha val="16000"/>
                  </a:schemeClr>
                </a:glo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[RPG_dataset.xlsx]Pivot!PivotTable1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w="9525" cap="flat" cmpd="sng" algn="ctr">
            <a:solidFill>
              <a:schemeClr val="lt1">
                <a:alpha val="50000"/>
              </a:schemeClr>
            </a:solidFill>
            <a:round/>
          </a:ln>
          <a:effectLst>
            <a:glow rad="38100">
              <a:schemeClr val="bg1">
                <a:alpha val="48000"/>
              </a:schemeClr>
            </a:glow>
          </a:effectLst>
        </c:spPr>
        <c:marker>
          <c:symbol val="circle"/>
          <c:size val="6"/>
          <c:spPr>
            <a:solidFill>
              <a:schemeClr val="dk1">
                <a:tint val="88500"/>
                <a:alpha val="85000"/>
              </a:schemeClr>
            </a:solidFill>
            <a:ln>
              <a:noFill/>
            </a:ln>
            <a:effectLst/>
          </c:spPr>
        </c:marker>
        <c:dLbl>
          <c:idx val="0"/>
          <c:spPr>
            <a:noFill/>
            <a:ln>
              <a:noFill/>
            </a:ln>
            <a:effectLst/>
          </c:spPr>
          <c:txPr>
            <a:bodyPr rot="0" spcFirstLastPara="1" vertOverflow="ellipsis" vert="horz" wrap="square" anchor="ctr" anchorCtr="1"/>
            <a:lstStyle/>
            <a:p>
              <a:pPr>
                <a:defRPr sz="3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rgbClr val="FFFF00"/>
            </a:solidFill>
            <a:ln w="9525" cap="flat" cmpd="sng" algn="ctr">
              <a:solidFill>
                <a:schemeClr val="lt1">
                  <a:alpha val="50000"/>
                </a:schemeClr>
              </a:solidFill>
              <a:round/>
            </a:ln>
            <a:effectLst>
              <a:glow rad="38100">
                <a:schemeClr val="bg1">
                  <a:alpha val="48000"/>
                </a:schemeClr>
              </a:glow>
            </a:effectLst>
          </c:spPr>
          <c:invertIfNegative val="1"/>
          <c:dLbls>
            <c:spPr>
              <a:noFill/>
              <a:ln>
                <a:noFill/>
              </a:ln>
              <a:effectLst/>
            </c:spPr>
            <c:txPr>
              <a:bodyPr rot="0" spcFirstLastPara="1" vertOverflow="ellipsis" vert="horz" wrap="square" anchor="ctr" anchorCtr="1"/>
              <a:lstStyle/>
              <a:p>
                <a:pPr>
                  <a:defRPr sz="3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Pivot!$A$4:$A$13</c:f>
              <c:strCache>
                <c:ptCount val="9"/>
                <c:pt idx="1">
                  <c:v>Bard</c:v>
                </c:pt>
                <c:pt idx="2">
                  <c:v>Mage</c:v>
                </c:pt>
                <c:pt idx="3">
                  <c:v>Monk</c:v>
                </c:pt>
                <c:pt idx="4">
                  <c:v>Necromancer</c:v>
                </c:pt>
                <c:pt idx="5">
                  <c:v>Paladin</c:v>
                </c:pt>
                <c:pt idx="6">
                  <c:v>Ranger</c:v>
                </c:pt>
                <c:pt idx="7">
                  <c:v>Rogue</c:v>
                </c:pt>
                <c:pt idx="8">
                  <c:v>Warrior</c:v>
                </c:pt>
              </c:strCache>
            </c:strRef>
          </c:cat>
          <c:val>
            <c:numRef>
              <c:f>Pivot!$B$4:$B$13</c:f>
              <c:numCache>
                <c:formatCode>General</c:formatCode>
                <c:ptCount val="9"/>
                <c:pt idx="0">
                  <c:v>8</c:v>
                </c:pt>
                <c:pt idx="1">
                  <c:v>68</c:v>
                </c:pt>
                <c:pt idx="2">
                  <c:v>62</c:v>
                </c:pt>
                <c:pt idx="3">
                  <c:v>60</c:v>
                </c:pt>
                <c:pt idx="4">
                  <c:v>53</c:v>
                </c:pt>
                <c:pt idx="5">
                  <c:v>74</c:v>
                </c:pt>
                <c:pt idx="6">
                  <c:v>50</c:v>
                </c:pt>
                <c:pt idx="7">
                  <c:v>62</c:v>
                </c:pt>
                <c:pt idx="8">
                  <c:v>63</c:v>
                </c:pt>
              </c:numCache>
            </c:numRef>
          </c:val>
          <c:extLst>
            <c:ext xmlns:c14="http://schemas.microsoft.com/office/drawing/2007/8/2/chart" uri="{6F2FDCE9-48DA-4B69-8628-5D25D57E5C99}">
              <c14:invertSolidFillFmt>
                <c14:spPr xmlns:c14="http://schemas.microsoft.com/office/drawing/2007/8/2/chart">
                  <a:solidFill>
                    <a:srgbClr val="FFFFFF"/>
                  </a:solidFill>
                  <a:ln w="9525" cap="flat" cmpd="sng" algn="ctr">
                    <a:solidFill>
                      <a:schemeClr val="lt1">
                        <a:alpha val="50000"/>
                      </a:schemeClr>
                    </a:solidFill>
                    <a:round/>
                  </a:ln>
                  <a:effectLst>
                    <a:glow rad="38100">
                      <a:schemeClr val="bg1">
                        <a:alpha val="48000"/>
                      </a:schemeClr>
                    </a:glow>
                  </a:effectLst>
                </c14:spPr>
              </c14:invertSolidFillFmt>
            </c:ext>
            <c:ext xmlns:c16="http://schemas.microsoft.com/office/drawing/2014/chart" uri="{C3380CC4-5D6E-409C-BE32-E72D297353CC}">
              <c16:uniqueId val="{00000000-5515-4071-BBC4-48CF36F510F9}"/>
            </c:ext>
          </c:extLst>
        </c:ser>
        <c:dLbls>
          <c:dLblPos val="inEnd"/>
          <c:showLegendKey val="0"/>
          <c:showVal val="1"/>
          <c:showCatName val="0"/>
          <c:showSerName val="0"/>
          <c:showPercent val="0"/>
          <c:showBubbleSize val="0"/>
        </c:dLbls>
        <c:gapWidth val="65"/>
        <c:axId val="1825589632"/>
        <c:axId val="1825595872"/>
      </c:barChart>
      <c:catAx>
        <c:axId val="18255896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3000" b="0" i="0" u="none" strike="noStrike" kern="1200" cap="all" baseline="0">
                <a:solidFill>
                  <a:schemeClr val="bg1"/>
                </a:solidFill>
                <a:latin typeface="+mn-lt"/>
                <a:ea typeface="+mn-ea"/>
                <a:cs typeface="+mn-cs"/>
              </a:defRPr>
            </a:pPr>
            <a:endParaRPr lang="en-US"/>
          </a:p>
        </c:txPr>
        <c:crossAx val="1825595872"/>
        <c:crosses val="autoZero"/>
        <c:auto val="1"/>
        <c:lblAlgn val="ctr"/>
        <c:lblOffset val="100"/>
        <c:noMultiLvlLbl val="0"/>
      </c:catAx>
      <c:valAx>
        <c:axId val="182559587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3000" b="1" i="0" u="none" strike="noStrike" kern="1200" baseline="0">
                    <a:solidFill>
                      <a:schemeClr val="bg1"/>
                    </a:solidFill>
                    <a:latin typeface="+mn-lt"/>
                    <a:ea typeface="+mn-ea"/>
                    <a:cs typeface="+mn-cs"/>
                  </a:defRPr>
                </a:pPr>
                <a:r>
                  <a:rPr lang="en-US"/>
                  <a:t>Sum of Players</a:t>
                </a:r>
              </a:p>
            </c:rich>
          </c:tx>
          <c:overlay val="0"/>
          <c:spPr>
            <a:noFill/>
            <a:ln>
              <a:noFill/>
            </a:ln>
            <a:effectLst/>
          </c:spPr>
          <c:txPr>
            <a:bodyPr rot="0" spcFirstLastPara="1" vertOverflow="ellipsis" vert="horz" wrap="square" anchor="ctr" anchorCtr="1"/>
            <a:lstStyle/>
            <a:p>
              <a:pPr>
                <a:defRPr sz="3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000" b="0" i="0" u="none" strike="noStrike" kern="1200" baseline="0">
                <a:solidFill>
                  <a:schemeClr val="bg1"/>
                </a:solidFill>
                <a:latin typeface="+mn-lt"/>
                <a:ea typeface="+mn-ea"/>
                <a:cs typeface="+mn-cs"/>
              </a:defRPr>
            </a:pPr>
            <a:endParaRPr lang="en-US"/>
          </a:p>
        </c:txPr>
        <c:crossAx val="182558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1"/>
        </a:gs>
        <a:gs pos="50000">
          <a:srgbClr val="00B0F0"/>
        </a:gs>
        <a:gs pos="100000">
          <a:schemeClr val="tx1"/>
        </a:gs>
      </a:gsLst>
      <a:lin ang="16200000" scaled="1"/>
      <a:tileRect/>
    </a:gradFill>
    <a:ln w="9525" cap="flat" cmpd="sng" algn="ctr">
      <a:noFill/>
      <a:round/>
    </a:ln>
    <a:effectLst>
      <a:outerShdw blurRad="50800" dist="38100" dir="8100000" algn="tr" rotWithShape="0">
        <a:prstClr val="black">
          <a:alpha val="40000"/>
        </a:prstClr>
      </a:outerShdw>
    </a:effectLst>
  </c:spPr>
  <c:txPr>
    <a:bodyPr/>
    <a:lstStyle/>
    <a:p>
      <a:pPr>
        <a:defRPr sz="30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1"/>
          <c:tx>
            <c:v>ATK on Gold</c:v>
          </c:tx>
          <c:spPr>
            <a:ln w="25400" cap="rnd">
              <a:noFill/>
              <a:round/>
            </a:ln>
            <a:effectLst>
              <a:glow>
                <a:srgbClr val="FFFF00">
                  <a:alpha val="65000"/>
                </a:srgbClr>
              </a:glow>
            </a:effectLst>
          </c:spPr>
          <c:marker>
            <c:symbol val="circle"/>
            <c:size val="11"/>
            <c:spPr>
              <a:solidFill>
                <a:srgbClr val="FFFF00"/>
              </a:solidFill>
              <a:ln w="9525">
                <a:noFill/>
              </a:ln>
              <a:effectLst>
                <a:glow>
                  <a:srgbClr val="FFFF00">
                    <a:alpha val="65000"/>
                  </a:srgbClr>
                </a:glow>
              </a:effectLst>
            </c:spPr>
          </c:marker>
          <c:xVal>
            <c:numRef>
              <c:f>'clean_data'!$M$2:$M$501</c:f>
              <c:numCache>
                <c:formatCode>General</c:formatCode>
                <c:ptCount val="500"/>
                <c:pt idx="0">
                  <c:v>128</c:v>
                </c:pt>
                <c:pt idx="1">
                  <c:v>88</c:v>
                </c:pt>
                <c:pt idx="2">
                  <c:v>92</c:v>
                </c:pt>
                <c:pt idx="3">
                  <c:v>113</c:v>
                </c:pt>
                <c:pt idx="4">
                  <c:v>46</c:v>
                </c:pt>
                <c:pt idx="5">
                  <c:v>14</c:v>
                </c:pt>
                <c:pt idx="6">
                  <c:v>68</c:v>
                </c:pt>
                <c:pt idx="7">
                  <c:v>66</c:v>
                </c:pt>
                <c:pt idx="8">
                  <c:v>87</c:v>
                </c:pt>
                <c:pt idx="9">
                  <c:v>76</c:v>
                </c:pt>
                <c:pt idx="11">
                  <c:v>95</c:v>
                </c:pt>
                <c:pt idx="12">
                  <c:v>48</c:v>
                </c:pt>
                <c:pt idx="13">
                  <c:v>127</c:v>
                </c:pt>
                <c:pt idx="14">
                  <c:v>105</c:v>
                </c:pt>
                <c:pt idx="15">
                  <c:v>16</c:v>
                </c:pt>
                <c:pt idx="16">
                  <c:v>10</c:v>
                </c:pt>
                <c:pt idx="17">
                  <c:v>112</c:v>
                </c:pt>
                <c:pt idx="18">
                  <c:v>31</c:v>
                </c:pt>
                <c:pt idx="19">
                  <c:v>146</c:v>
                </c:pt>
                <c:pt idx="20">
                  <c:v>149</c:v>
                </c:pt>
                <c:pt idx="21">
                  <c:v>140</c:v>
                </c:pt>
                <c:pt idx="22">
                  <c:v>97</c:v>
                </c:pt>
                <c:pt idx="23">
                  <c:v>37</c:v>
                </c:pt>
                <c:pt idx="24">
                  <c:v>110</c:v>
                </c:pt>
                <c:pt idx="25">
                  <c:v>133</c:v>
                </c:pt>
                <c:pt idx="26">
                  <c:v>27</c:v>
                </c:pt>
                <c:pt idx="27">
                  <c:v>95</c:v>
                </c:pt>
                <c:pt idx="28">
                  <c:v>78</c:v>
                </c:pt>
                <c:pt idx="29">
                  <c:v>76</c:v>
                </c:pt>
                <c:pt idx="30">
                  <c:v>69</c:v>
                </c:pt>
                <c:pt idx="31">
                  <c:v>102</c:v>
                </c:pt>
                <c:pt idx="32">
                  <c:v>85</c:v>
                </c:pt>
                <c:pt idx="33">
                  <c:v>33</c:v>
                </c:pt>
                <c:pt idx="34">
                  <c:v>29</c:v>
                </c:pt>
                <c:pt idx="35">
                  <c:v>59</c:v>
                </c:pt>
                <c:pt idx="36">
                  <c:v>117</c:v>
                </c:pt>
                <c:pt idx="37">
                  <c:v>150</c:v>
                </c:pt>
                <c:pt idx="38">
                  <c:v>128</c:v>
                </c:pt>
                <c:pt idx="39">
                  <c:v>110</c:v>
                </c:pt>
                <c:pt idx="40">
                  <c:v>38</c:v>
                </c:pt>
                <c:pt idx="41">
                  <c:v>22</c:v>
                </c:pt>
                <c:pt idx="42">
                  <c:v>94</c:v>
                </c:pt>
                <c:pt idx="43">
                  <c:v>78</c:v>
                </c:pt>
                <c:pt idx="44">
                  <c:v>31</c:v>
                </c:pt>
                <c:pt idx="45">
                  <c:v>95</c:v>
                </c:pt>
                <c:pt idx="46">
                  <c:v>139</c:v>
                </c:pt>
                <c:pt idx="47">
                  <c:v>53</c:v>
                </c:pt>
                <c:pt idx="48">
                  <c:v>133</c:v>
                </c:pt>
                <c:pt idx="49">
                  <c:v>120</c:v>
                </c:pt>
                <c:pt idx="50">
                  <c:v>120</c:v>
                </c:pt>
                <c:pt idx="51">
                  <c:v>32</c:v>
                </c:pt>
                <c:pt idx="52">
                  <c:v>83</c:v>
                </c:pt>
                <c:pt idx="53">
                  <c:v>10</c:v>
                </c:pt>
                <c:pt idx="54">
                  <c:v>31</c:v>
                </c:pt>
                <c:pt idx="55">
                  <c:v>130</c:v>
                </c:pt>
                <c:pt idx="56">
                  <c:v>110</c:v>
                </c:pt>
                <c:pt idx="57">
                  <c:v>103</c:v>
                </c:pt>
                <c:pt idx="58">
                  <c:v>100</c:v>
                </c:pt>
                <c:pt idx="59">
                  <c:v>117</c:v>
                </c:pt>
                <c:pt idx="60">
                  <c:v>36</c:v>
                </c:pt>
                <c:pt idx="61">
                  <c:v>114</c:v>
                </c:pt>
                <c:pt idx="62">
                  <c:v>60</c:v>
                </c:pt>
                <c:pt idx="63">
                  <c:v>83</c:v>
                </c:pt>
                <c:pt idx="64">
                  <c:v>50</c:v>
                </c:pt>
                <c:pt idx="65">
                  <c:v>44</c:v>
                </c:pt>
                <c:pt idx="66">
                  <c:v>108</c:v>
                </c:pt>
                <c:pt idx="67">
                  <c:v>142</c:v>
                </c:pt>
                <c:pt idx="68">
                  <c:v>95</c:v>
                </c:pt>
                <c:pt idx="69">
                  <c:v>19</c:v>
                </c:pt>
                <c:pt idx="70">
                  <c:v>70</c:v>
                </c:pt>
                <c:pt idx="71">
                  <c:v>137</c:v>
                </c:pt>
                <c:pt idx="72">
                  <c:v>79</c:v>
                </c:pt>
                <c:pt idx="73">
                  <c:v>60</c:v>
                </c:pt>
                <c:pt idx="74">
                  <c:v>50</c:v>
                </c:pt>
                <c:pt idx="75">
                  <c:v>94</c:v>
                </c:pt>
                <c:pt idx="76">
                  <c:v>150</c:v>
                </c:pt>
                <c:pt idx="77">
                  <c:v>63</c:v>
                </c:pt>
                <c:pt idx="78">
                  <c:v>19</c:v>
                </c:pt>
                <c:pt idx="79">
                  <c:v>60</c:v>
                </c:pt>
                <c:pt idx="80">
                  <c:v>51</c:v>
                </c:pt>
                <c:pt idx="81">
                  <c:v>27</c:v>
                </c:pt>
                <c:pt idx="82">
                  <c:v>55</c:v>
                </c:pt>
                <c:pt idx="83">
                  <c:v>30</c:v>
                </c:pt>
                <c:pt idx="84">
                  <c:v>71</c:v>
                </c:pt>
                <c:pt idx="85">
                  <c:v>125</c:v>
                </c:pt>
                <c:pt idx="86">
                  <c:v>12</c:v>
                </c:pt>
                <c:pt idx="87">
                  <c:v>122</c:v>
                </c:pt>
                <c:pt idx="88">
                  <c:v>102</c:v>
                </c:pt>
                <c:pt idx="89">
                  <c:v>92</c:v>
                </c:pt>
                <c:pt idx="90">
                  <c:v>70</c:v>
                </c:pt>
                <c:pt idx="91">
                  <c:v>26</c:v>
                </c:pt>
                <c:pt idx="92">
                  <c:v>82</c:v>
                </c:pt>
                <c:pt idx="93">
                  <c:v>15</c:v>
                </c:pt>
                <c:pt idx="94">
                  <c:v>107</c:v>
                </c:pt>
                <c:pt idx="95">
                  <c:v>123</c:v>
                </c:pt>
                <c:pt idx="96">
                  <c:v>147</c:v>
                </c:pt>
                <c:pt idx="97">
                  <c:v>83</c:v>
                </c:pt>
                <c:pt idx="98">
                  <c:v>106</c:v>
                </c:pt>
                <c:pt idx="99">
                  <c:v>32</c:v>
                </c:pt>
                <c:pt idx="100">
                  <c:v>16</c:v>
                </c:pt>
                <c:pt idx="101">
                  <c:v>38</c:v>
                </c:pt>
                <c:pt idx="102">
                  <c:v>47</c:v>
                </c:pt>
                <c:pt idx="103">
                  <c:v>93</c:v>
                </c:pt>
                <c:pt idx="104">
                  <c:v>84</c:v>
                </c:pt>
                <c:pt idx="105">
                  <c:v>28</c:v>
                </c:pt>
                <c:pt idx="106">
                  <c:v>136</c:v>
                </c:pt>
                <c:pt idx="107">
                  <c:v>144</c:v>
                </c:pt>
                <c:pt idx="108">
                  <c:v>45</c:v>
                </c:pt>
                <c:pt idx="109">
                  <c:v>108</c:v>
                </c:pt>
                <c:pt idx="110">
                  <c:v>81</c:v>
                </c:pt>
                <c:pt idx="111">
                  <c:v>136</c:v>
                </c:pt>
                <c:pt idx="112">
                  <c:v>19</c:v>
                </c:pt>
                <c:pt idx="113">
                  <c:v>96</c:v>
                </c:pt>
                <c:pt idx="114">
                  <c:v>138</c:v>
                </c:pt>
                <c:pt idx="115">
                  <c:v>127</c:v>
                </c:pt>
                <c:pt idx="116">
                  <c:v>96</c:v>
                </c:pt>
                <c:pt idx="117">
                  <c:v>75</c:v>
                </c:pt>
                <c:pt idx="118">
                  <c:v>127</c:v>
                </c:pt>
                <c:pt idx="119">
                  <c:v>94</c:v>
                </c:pt>
                <c:pt idx="120">
                  <c:v>129</c:v>
                </c:pt>
                <c:pt idx="121">
                  <c:v>46</c:v>
                </c:pt>
                <c:pt idx="122">
                  <c:v>44</c:v>
                </c:pt>
                <c:pt idx="123">
                  <c:v>133</c:v>
                </c:pt>
                <c:pt idx="124">
                  <c:v>125</c:v>
                </c:pt>
                <c:pt idx="125">
                  <c:v>61</c:v>
                </c:pt>
                <c:pt idx="126">
                  <c:v>59</c:v>
                </c:pt>
                <c:pt idx="127">
                  <c:v>82</c:v>
                </c:pt>
                <c:pt idx="128">
                  <c:v>147</c:v>
                </c:pt>
                <c:pt idx="129">
                  <c:v>38</c:v>
                </c:pt>
                <c:pt idx="130">
                  <c:v>137</c:v>
                </c:pt>
                <c:pt idx="131">
                  <c:v>46</c:v>
                </c:pt>
                <c:pt idx="132">
                  <c:v>30</c:v>
                </c:pt>
                <c:pt idx="133">
                  <c:v>47</c:v>
                </c:pt>
                <c:pt idx="134">
                  <c:v>95</c:v>
                </c:pt>
                <c:pt idx="135">
                  <c:v>129</c:v>
                </c:pt>
                <c:pt idx="136">
                  <c:v>75</c:v>
                </c:pt>
                <c:pt idx="137">
                  <c:v>20</c:v>
                </c:pt>
                <c:pt idx="138">
                  <c:v>55</c:v>
                </c:pt>
                <c:pt idx="139">
                  <c:v>76</c:v>
                </c:pt>
                <c:pt idx="140">
                  <c:v>62</c:v>
                </c:pt>
                <c:pt idx="141">
                  <c:v>30</c:v>
                </c:pt>
                <c:pt idx="142">
                  <c:v>125</c:v>
                </c:pt>
                <c:pt idx="143">
                  <c:v>136</c:v>
                </c:pt>
                <c:pt idx="144">
                  <c:v>144</c:v>
                </c:pt>
                <c:pt idx="145">
                  <c:v>14</c:v>
                </c:pt>
                <c:pt idx="146">
                  <c:v>134</c:v>
                </c:pt>
                <c:pt idx="147">
                  <c:v>78</c:v>
                </c:pt>
                <c:pt idx="148">
                  <c:v>11</c:v>
                </c:pt>
                <c:pt idx="149">
                  <c:v>32</c:v>
                </c:pt>
                <c:pt idx="150">
                  <c:v>20</c:v>
                </c:pt>
                <c:pt idx="151">
                  <c:v>118</c:v>
                </c:pt>
                <c:pt idx="153">
                  <c:v>10</c:v>
                </c:pt>
                <c:pt idx="154">
                  <c:v>90</c:v>
                </c:pt>
                <c:pt idx="155">
                  <c:v>125</c:v>
                </c:pt>
                <c:pt idx="156">
                  <c:v>57</c:v>
                </c:pt>
                <c:pt idx="157">
                  <c:v>38</c:v>
                </c:pt>
                <c:pt idx="158">
                  <c:v>137</c:v>
                </c:pt>
                <c:pt idx="159">
                  <c:v>95</c:v>
                </c:pt>
                <c:pt idx="160">
                  <c:v>59</c:v>
                </c:pt>
                <c:pt idx="161">
                  <c:v>129</c:v>
                </c:pt>
                <c:pt idx="162">
                  <c:v>94</c:v>
                </c:pt>
                <c:pt idx="163">
                  <c:v>122</c:v>
                </c:pt>
                <c:pt idx="164">
                  <c:v>110</c:v>
                </c:pt>
                <c:pt idx="165">
                  <c:v>39</c:v>
                </c:pt>
                <c:pt idx="166">
                  <c:v>148</c:v>
                </c:pt>
                <c:pt idx="167">
                  <c:v>139</c:v>
                </c:pt>
                <c:pt idx="168">
                  <c:v>149</c:v>
                </c:pt>
                <c:pt idx="169">
                  <c:v>114</c:v>
                </c:pt>
                <c:pt idx="170">
                  <c:v>114</c:v>
                </c:pt>
                <c:pt idx="171">
                  <c:v>72</c:v>
                </c:pt>
                <c:pt idx="172">
                  <c:v>62</c:v>
                </c:pt>
                <c:pt idx="173">
                  <c:v>11</c:v>
                </c:pt>
                <c:pt idx="174">
                  <c:v>105</c:v>
                </c:pt>
                <c:pt idx="175">
                  <c:v>31</c:v>
                </c:pt>
                <c:pt idx="176">
                  <c:v>137</c:v>
                </c:pt>
                <c:pt idx="177">
                  <c:v>122</c:v>
                </c:pt>
                <c:pt idx="178">
                  <c:v>149</c:v>
                </c:pt>
                <c:pt idx="179">
                  <c:v>134</c:v>
                </c:pt>
                <c:pt idx="180">
                  <c:v>111</c:v>
                </c:pt>
                <c:pt idx="181">
                  <c:v>70</c:v>
                </c:pt>
                <c:pt idx="182">
                  <c:v>143</c:v>
                </c:pt>
                <c:pt idx="183">
                  <c:v>144</c:v>
                </c:pt>
                <c:pt idx="184">
                  <c:v>59</c:v>
                </c:pt>
                <c:pt idx="185">
                  <c:v>113</c:v>
                </c:pt>
                <c:pt idx="186">
                  <c:v>138</c:v>
                </c:pt>
                <c:pt idx="187">
                  <c:v>117</c:v>
                </c:pt>
                <c:pt idx="188">
                  <c:v>129</c:v>
                </c:pt>
                <c:pt idx="189">
                  <c:v>70</c:v>
                </c:pt>
                <c:pt idx="190">
                  <c:v>99</c:v>
                </c:pt>
                <c:pt idx="191">
                  <c:v>23</c:v>
                </c:pt>
                <c:pt idx="192">
                  <c:v>65</c:v>
                </c:pt>
                <c:pt idx="193">
                  <c:v>141</c:v>
                </c:pt>
                <c:pt idx="194">
                  <c:v>116</c:v>
                </c:pt>
                <c:pt idx="195">
                  <c:v>58</c:v>
                </c:pt>
                <c:pt idx="197">
                  <c:v>61</c:v>
                </c:pt>
                <c:pt idx="198">
                  <c:v>61</c:v>
                </c:pt>
                <c:pt idx="199">
                  <c:v>102</c:v>
                </c:pt>
                <c:pt idx="200">
                  <c:v>70</c:v>
                </c:pt>
                <c:pt idx="201">
                  <c:v>77</c:v>
                </c:pt>
                <c:pt idx="202">
                  <c:v>125</c:v>
                </c:pt>
                <c:pt idx="203">
                  <c:v>82</c:v>
                </c:pt>
                <c:pt idx="204">
                  <c:v>146</c:v>
                </c:pt>
                <c:pt idx="205">
                  <c:v>96</c:v>
                </c:pt>
                <c:pt idx="206">
                  <c:v>129</c:v>
                </c:pt>
                <c:pt idx="207">
                  <c:v>102</c:v>
                </c:pt>
                <c:pt idx="208">
                  <c:v>106</c:v>
                </c:pt>
                <c:pt idx="209">
                  <c:v>138</c:v>
                </c:pt>
                <c:pt idx="210">
                  <c:v>133</c:v>
                </c:pt>
                <c:pt idx="211">
                  <c:v>78</c:v>
                </c:pt>
                <c:pt idx="212">
                  <c:v>143</c:v>
                </c:pt>
                <c:pt idx="213">
                  <c:v>100</c:v>
                </c:pt>
                <c:pt idx="214">
                  <c:v>132</c:v>
                </c:pt>
                <c:pt idx="215">
                  <c:v>42</c:v>
                </c:pt>
                <c:pt idx="216">
                  <c:v>112</c:v>
                </c:pt>
                <c:pt idx="217">
                  <c:v>72</c:v>
                </c:pt>
                <c:pt idx="218">
                  <c:v>136</c:v>
                </c:pt>
                <c:pt idx="219">
                  <c:v>13</c:v>
                </c:pt>
                <c:pt idx="220">
                  <c:v>118</c:v>
                </c:pt>
                <c:pt idx="221">
                  <c:v>13</c:v>
                </c:pt>
                <c:pt idx="222">
                  <c:v>69</c:v>
                </c:pt>
                <c:pt idx="223">
                  <c:v>31</c:v>
                </c:pt>
                <c:pt idx="224">
                  <c:v>106</c:v>
                </c:pt>
                <c:pt idx="225">
                  <c:v>127</c:v>
                </c:pt>
                <c:pt idx="226">
                  <c:v>80</c:v>
                </c:pt>
                <c:pt idx="227">
                  <c:v>29</c:v>
                </c:pt>
                <c:pt idx="228">
                  <c:v>18</c:v>
                </c:pt>
                <c:pt idx="229">
                  <c:v>67</c:v>
                </c:pt>
                <c:pt idx="230">
                  <c:v>10</c:v>
                </c:pt>
                <c:pt idx="231">
                  <c:v>65</c:v>
                </c:pt>
                <c:pt idx="232">
                  <c:v>27</c:v>
                </c:pt>
                <c:pt idx="233">
                  <c:v>44</c:v>
                </c:pt>
                <c:pt idx="234">
                  <c:v>89</c:v>
                </c:pt>
                <c:pt idx="235">
                  <c:v>33</c:v>
                </c:pt>
                <c:pt idx="236">
                  <c:v>104</c:v>
                </c:pt>
                <c:pt idx="238">
                  <c:v>52</c:v>
                </c:pt>
                <c:pt idx="239">
                  <c:v>103</c:v>
                </c:pt>
                <c:pt idx="240">
                  <c:v>112</c:v>
                </c:pt>
                <c:pt idx="241">
                  <c:v>115</c:v>
                </c:pt>
                <c:pt idx="242">
                  <c:v>42</c:v>
                </c:pt>
                <c:pt idx="244">
                  <c:v>127</c:v>
                </c:pt>
                <c:pt idx="245">
                  <c:v>106</c:v>
                </c:pt>
                <c:pt idx="246">
                  <c:v>92</c:v>
                </c:pt>
                <c:pt idx="247">
                  <c:v>90</c:v>
                </c:pt>
                <c:pt idx="248">
                  <c:v>52</c:v>
                </c:pt>
                <c:pt idx="249">
                  <c:v>69</c:v>
                </c:pt>
                <c:pt idx="250">
                  <c:v>137</c:v>
                </c:pt>
                <c:pt idx="251">
                  <c:v>67</c:v>
                </c:pt>
                <c:pt idx="252">
                  <c:v>44</c:v>
                </c:pt>
                <c:pt idx="253">
                  <c:v>110</c:v>
                </c:pt>
                <c:pt idx="254">
                  <c:v>92</c:v>
                </c:pt>
                <c:pt idx="255">
                  <c:v>37</c:v>
                </c:pt>
                <c:pt idx="256">
                  <c:v>116</c:v>
                </c:pt>
                <c:pt idx="257">
                  <c:v>88</c:v>
                </c:pt>
                <c:pt idx="259">
                  <c:v>30</c:v>
                </c:pt>
                <c:pt idx="261">
                  <c:v>122</c:v>
                </c:pt>
                <c:pt idx="262">
                  <c:v>64</c:v>
                </c:pt>
                <c:pt idx="263">
                  <c:v>127</c:v>
                </c:pt>
                <c:pt idx="264">
                  <c:v>34</c:v>
                </c:pt>
                <c:pt idx="265">
                  <c:v>21</c:v>
                </c:pt>
                <c:pt idx="266">
                  <c:v>45</c:v>
                </c:pt>
                <c:pt idx="267">
                  <c:v>45</c:v>
                </c:pt>
                <c:pt idx="268">
                  <c:v>120</c:v>
                </c:pt>
                <c:pt idx="269">
                  <c:v>141</c:v>
                </c:pt>
                <c:pt idx="270">
                  <c:v>140</c:v>
                </c:pt>
                <c:pt idx="271">
                  <c:v>81</c:v>
                </c:pt>
                <c:pt idx="272">
                  <c:v>75</c:v>
                </c:pt>
                <c:pt idx="273">
                  <c:v>109</c:v>
                </c:pt>
                <c:pt idx="274">
                  <c:v>132</c:v>
                </c:pt>
                <c:pt idx="275">
                  <c:v>107</c:v>
                </c:pt>
                <c:pt idx="276">
                  <c:v>80</c:v>
                </c:pt>
                <c:pt idx="277">
                  <c:v>31</c:v>
                </c:pt>
                <c:pt idx="278">
                  <c:v>134</c:v>
                </c:pt>
                <c:pt idx="279">
                  <c:v>51</c:v>
                </c:pt>
                <c:pt idx="280">
                  <c:v>82</c:v>
                </c:pt>
                <c:pt idx="281">
                  <c:v>89</c:v>
                </c:pt>
                <c:pt idx="282">
                  <c:v>78</c:v>
                </c:pt>
                <c:pt idx="283">
                  <c:v>67</c:v>
                </c:pt>
                <c:pt idx="284">
                  <c:v>28</c:v>
                </c:pt>
                <c:pt idx="285">
                  <c:v>46</c:v>
                </c:pt>
                <c:pt idx="286">
                  <c:v>105</c:v>
                </c:pt>
                <c:pt idx="287">
                  <c:v>84</c:v>
                </c:pt>
                <c:pt idx="288">
                  <c:v>28</c:v>
                </c:pt>
                <c:pt idx="290">
                  <c:v>20</c:v>
                </c:pt>
                <c:pt idx="292">
                  <c:v>142</c:v>
                </c:pt>
                <c:pt idx="293">
                  <c:v>107</c:v>
                </c:pt>
                <c:pt idx="294">
                  <c:v>136</c:v>
                </c:pt>
                <c:pt idx="295">
                  <c:v>26</c:v>
                </c:pt>
                <c:pt idx="296">
                  <c:v>142</c:v>
                </c:pt>
                <c:pt idx="297">
                  <c:v>77</c:v>
                </c:pt>
                <c:pt idx="298">
                  <c:v>130</c:v>
                </c:pt>
                <c:pt idx="299">
                  <c:v>83</c:v>
                </c:pt>
                <c:pt idx="300">
                  <c:v>57</c:v>
                </c:pt>
                <c:pt idx="301">
                  <c:v>118</c:v>
                </c:pt>
                <c:pt idx="302">
                  <c:v>100</c:v>
                </c:pt>
                <c:pt idx="303">
                  <c:v>13</c:v>
                </c:pt>
                <c:pt idx="304">
                  <c:v>49</c:v>
                </c:pt>
                <c:pt idx="305">
                  <c:v>87</c:v>
                </c:pt>
                <c:pt idx="306">
                  <c:v>54</c:v>
                </c:pt>
                <c:pt idx="307">
                  <c:v>106</c:v>
                </c:pt>
                <c:pt idx="308">
                  <c:v>84</c:v>
                </c:pt>
                <c:pt idx="309">
                  <c:v>70</c:v>
                </c:pt>
                <c:pt idx="310">
                  <c:v>23</c:v>
                </c:pt>
                <c:pt idx="311">
                  <c:v>52</c:v>
                </c:pt>
                <c:pt idx="312">
                  <c:v>73</c:v>
                </c:pt>
                <c:pt idx="313">
                  <c:v>32</c:v>
                </c:pt>
                <c:pt idx="314">
                  <c:v>148</c:v>
                </c:pt>
                <c:pt idx="315">
                  <c:v>77</c:v>
                </c:pt>
                <c:pt idx="316">
                  <c:v>15</c:v>
                </c:pt>
                <c:pt idx="317">
                  <c:v>58</c:v>
                </c:pt>
                <c:pt idx="318">
                  <c:v>125</c:v>
                </c:pt>
                <c:pt idx="319">
                  <c:v>88</c:v>
                </c:pt>
                <c:pt idx="320">
                  <c:v>43</c:v>
                </c:pt>
                <c:pt idx="321">
                  <c:v>46</c:v>
                </c:pt>
                <c:pt idx="322">
                  <c:v>76</c:v>
                </c:pt>
                <c:pt idx="323">
                  <c:v>142</c:v>
                </c:pt>
                <c:pt idx="324">
                  <c:v>27</c:v>
                </c:pt>
                <c:pt idx="325">
                  <c:v>124</c:v>
                </c:pt>
                <c:pt idx="326">
                  <c:v>68</c:v>
                </c:pt>
                <c:pt idx="327">
                  <c:v>25</c:v>
                </c:pt>
                <c:pt idx="328">
                  <c:v>50</c:v>
                </c:pt>
                <c:pt idx="329">
                  <c:v>38</c:v>
                </c:pt>
                <c:pt idx="330">
                  <c:v>28</c:v>
                </c:pt>
                <c:pt idx="331">
                  <c:v>75</c:v>
                </c:pt>
                <c:pt idx="332">
                  <c:v>137</c:v>
                </c:pt>
                <c:pt idx="333">
                  <c:v>73</c:v>
                </c:pt>
                <c:pt idx="334">
                  <c:v>10</c:v>
                </c:pt>
                <c:pt idx="335">
                  <c:v>98</c:v>
                </c:pt>
                <c:pt idx="336">
                  <c:v>104</c:v>
                </c:pt>
                <c:pt idx="337">
                  <c:v>118</c:v>
                </c:pt>
                <c:pt idx="338">
                  <c:v>32</c:v>
                </c:pt>
                <c:pt idx="339">
                  <c:v>80</c:v>
                </c:pt>
                <c:pt idx="340">
                  <c:v>12</c:v>
                </c:pt>
                <c:pt idx="341">
                  <c:v>11</c:v>
                </c:pt>
                <c:pt idx="342">
                  <c:v>75</c:v>
                </c:pt>
                <c:pt idx="343">
                  <c:v>85</c:v>
                </c:pt>
                <c:pt idx="344">
                  <c:v>70</c:v>
                </c:pt>
                <c:pt idx="345">
                  <c:v>48</c:v>
                </c:pt>
                <c:pt idx="346">
                  <c:v>124</c:v>
                </c:pt>
                <c:pt idx="347">
                  <c:v>83</c:v>
                </c:pt>
                <c:pt idx="348">
                  <c:v>118</c:v>
                </c:pt>
                <c:pt idx="349">
                  <c:v>68</c:v>
                </c:pt>
                <c:pt idx="350">
                  <c:v>78</c:v>
                </c:pt>
                <c:pt idx="351">
                  <c:v>47</c:v>
                </c:pt>
                <c:pt idx="352">
                  <c:v>84</c:v>
                </c:pt>
                <c:pt idx="353">
                  <c:v>121</c:v>
                </c:pt>
                <c:pt idx="354">
                  <c:v>43</c:v>
                </c:pt>
                <c:pt idx="355">
                  <c:v>69</c:v>
                </c:pt>
                <c:pt idx="356">
                  <c:v>48</c:v>
                </c:pt>
                <c:pt idx="357">
                  <c:v>146</c:v>
                </c:pt>
                <c:pt idx="358">
                  <c:v>148</c:v>
                </c:pt>
                <c:pt idx="359">
                  <c:v>147</c:v>
                </c:pt>
                <c:pt idx="360">
                  <c:v>53</c:v>
                </c:pt>
                <c:pt idx="361">
                  <c:v>21</c:v>
                </c:pt>
                <c:pt idx="362">
                  <c:v>83</c:v>
                </c:pt>
                <c:pt idx="363">
                  <c:v>92</c:v>
                </c:pt>
                <c:pt idx="364">
                  <c:v>135</c:v>
                </c:pt>
                <c:pt idx="365">
                  <c:v>83</c:v>
                </c:pt>
                <c:pt idx="366">
                  <c:v>71</c:v>
                </c:pt>
                <c:pt idx="367">
                  <c:v>125</c:v>
                </c:pt>
                <c:pt idx="368">
                  <c:v>77</c:v>
                </c:pt>
                <c:pt idx="369">
                  <c:v>71</c:v>
                </c:pt>
                <c:pt idx="370">
                  <c:v>109</c:v>
                </c:pt>
                <c:pt idx="371">
                  <c:v>98</c:v>
                </c:pt>
                <c:pt idx="372">
                  <c:v>30</c:v>
                </c:pt>
                <c:pt idx="373">
                  <c:v>14</c:v>
                </c:pt>
                <c:pt idx="374">
                  <c:v>149</c:v>
                </c:pt>
                <c:pt idx="376">
                  <c:v>106</c:v>
                </c:pt>
                <c:pt idx="378">
                  <c:v>42</c:v>
                </c:pt>
                <c:pt idx="379">
                  <c:v>98</c:v>
                </c:pt>
                <c:pt idx="380">
                  <c:v>136</c:v>
                </c:pt>
                <c:pt idx="381">
                  <c:v>22</c:v>
                </c:pt>
                <c:pt idx="382">
                  <c:v>91</c:v>
                </c:pt>
                <c:pt idx="383">
                  <c:v>102</c:v>
                </c:pt>
                <c:pt idx="384">
                  <c:v>88</c:v>
                </c:pt>
                <c:pt idx="385">
                  <c:v>29</c:v>
                </c:pt>
                <c:pt idx="386">
                  <c:v>82</c:v>
                </c:pt>
                <c:pt idx="387">
                  <c:v>84</c:v>
                </c:pt>
                <c:pt idx="388">
                  <c:v>56</c:v>
                </c:pt>
                <c:pt idx="389">
                  <c:v>18</c:v>
                </c:pt>
                <c:pt idx="390">
                  <c:v>54</c:v>
                </c:pt>
                <c:pt idx="391">
                  <c:v>26</c:v>
                </c:pt>
                <c:pt idx="392">
                  <c:v>16</c:v>
                </c:pt>
                <c:pt idx="393">
                  <c:v>114</c:v>
                </c:pt>
                <c:pt idx="394">
                  <c:v>59</c:v>
                </c:pt>
                <c:pt idx="395">
                  <c:v>46</c:v>
                </c:pt>
                <c:pt idx="396">
                  <c:v>130</c:v>
                </c:pt>
                <c:pt idx="397">
                  <c:v>36</c:v>
                </c:pt>
                <c:pt idx="398">
                  <c:v>87</c:v>
                </c:pt>
                <c:pt idx="399">
                  <c:v>139</c:v>
                </c:pt>
                <c:pt idx="400">
                  <c:v>56</c:v>
                </c:pt>
                <c:pt idx="401">
                  <c:v>148</c:v>
                </c:pt>
                <c:pt idx="402">
                  <c:v>113</c:v>
                </c:pt>
                <c:pt idx="403">
                  <c:v>51</c:v>
                </c:pt>
                <c:pt idx="404">
                  <c:v>16</c:v>
                </c:pt>
                <c:pt idx="405">
                  <c:v>46</c:v>
                </c:pt>
                <c:pt idx="406">
                  <c:v>144</c:v>
                </c:pt>
                <c:pt idx="407">
                  <c:v>86</c:v>
                </c:pt>
                <c:pt idx="408">
                  <c:v>22</c:v>
                </c:pt>
                <c:pt idx="409">
                  <c:v>67</c:v>
                </c:pt>
                <c:pt idx="410">
                  <c:v>81</c:v>
                </c:pt>
                <c:pt idx="411">
                  <c:v>71</c:v>
                </c:pt>
                <c:pt idx="412">
                  <c:v>48</c:v>
                </c:pt>
                <c:pt idx="413">
                  <c:v>28</c:v>
                </c:pt>
                <c:pt idx="414">
                  <c:v>102</c:v>
                </c:pt>
                <c:pt idx="415">
                  <c:v>146</c:v>
                </c:pt>
                <c:pt idx="416">
                  <c:v>84</c:v>
                </c:pt>
                <c:pt idx="417">
                  <c:v>147</c:v>
                </c:pt>
                <c:pt idx="418">
                  <c:v>66</c:v>
                </c:pt>
                <c:pt idx="419">
                  <c:v>11</c:v>
                </c:pt>
                <c:pt idx="420">
                  <c:v>127</c:v>
                </c:pt>
                <c:pt idx="421">
                  <c:v>34</c:v>
                </c:pt>
                <c:pt idx="422">
                  <c:v>146</c:v>
                </c:pt>
                <c:pt idx="423">
                  <c:v>69</c:v>
                </c:pt>
                <c:pt idx="424">
                  <c:v>28</c:v>
                </c:pt>
                <c:pt idx="425">
                  <c:v>47</c:v>
                </c:pt>
                <c:pt idx="426">
                  <c:v>70</c:v>
                </c:pt>
                <c:pt idx="427">
                  <c:v>54</c:v>
                </c:pt>
                <c:pt idx="428">
                  <c:v>25</c:v>
                </c:pt>
                <c:pt idx="429">
                  <c:v>120</c:v>
                </c:pt>
                <c:pt idx="430">
                  <c:v>136</c:v>
                </c:pt>
                <c:pt idx="431">
                  <c:v>140</c:v>
                </c:pt>
                <c:pt idx="432">
                  <c:v>99</c:v>
                </c:pt>
                <c:pt idx="433">
                  <c:v>82</c:v>
                </c:pt>
                <c:pt idx="434">
                  <c:v>20</c:v>
                </c:pt>
                <c:pt idx="435">
                  <c:v>44</c:v>
                </c:pt>
                <c:pt idx="436">
                  <c:v>33</c:v>
                </c:pt>
                <c:pt idx="437">
                  <c:v>50</c:v>
                </c:pt>
                <c:pt idx="438">
                  <c:v>30</c:v>
                </c:pt>
                <c:pt idx="439">
                  <c:v>58</c:v>
                </c:pt>
                <c:pt idx="440">
                  <c:v>109</c:v>
                </c:pt>
                <c:pt idx="441">
                  <c:v>137</c:v>
                </c:pt>
                <c:pt idx="442">
                  <c:v>31</c:v>
                </c:pt>
                <c:pt idx="443">
                  <c:v>116</c:v>
                </c:pt>
                <c:pt idx="444">
                  <c:v>104</c:v>
                </c:pt>
                <c:pt idx="445">
                  <c:v>130</c:v>
                </c:pt>
                <c:pt idx="446">
                  <c:v>66</c:v>
                </c:pt>
                <c:pt idx="447">
                  <c:v>30</c:v>
                </c:pt>
                <c:pt idx="448">
                  <c:v>50</c:v>
                </c:pt>
                <c:pt idx="449">
                  <c:v>43</c:v>
                </c:pt>
                <c:pt idx="450">
                  <c:v>144</c:v>
                </c:pt>
                <c:pt idx="451">
                  <c:v>20</c:v>
                </c:pt>
                <c:pt idx="452">
                  <c:v>110</c:v>
                </c:pt>
                <c:pt idx="453">
                  <c:v>41</c:v>
                </c:pt>
                <c:pt idx="454">
                  <c:v>123</c:v>
                </c:pt>
                <c:pt idx="455">
                  <c:v>17</c:v>
                </c:pt>
                <c:pt idx="456">
                  <c:v>28</c:v>
                </c:pt>
                <c:pt idx="457">
                  <c:v>111</c:v>
                </c:pt>
                <c:pt idx="458">
                  <c:v>73</c:v>
                </c:pt>
                <c:pt idx="459">
                  <c:v>12</c:v>
                </c:pt>
                <c:pt idx="460">
                  <c:v>113</c:v>
                </c:pt>
                <c:pt idx="461">
                  <c:v>88</c:v>
                </c:pt>
                <c:pt idx="462">
                  <c:v>89</c:v>
                </c:pt>
                <c:pt idx="463">
                  <c:v>144</c:v>
                </c:pt>
                <c:pt idx="464">
                  <c:v>90</c:v>
                </c:pt>
                <c:pt idx="465">
                  <c:v>144</c:v>
                </c:pt>
                <c:pt idx="466">
                  <c:v>60</c:v>
                </c:pt>
                <c:pt idx="467">
                  <c:v>53</c:v>
                </c:pt>
                <c:pt idx="468">
                  <c:v>51</c:v>
                </c:pt>
                <c:pt idx="469">
                  <c:v>113</c:v>
                </c:pt>
                <c:pt idx="470">
                  <c:v>124</c:v>
                </c:pt>
                <c:pt idx="471">
                  <c:v>129</c:v>
                </c:pt>
                <c:pt idx="472">
                  <c:v>29</c:v>
                </c:pt>
                <c:pt idx="473">
                  <c:v>89</c:v>
                </c:pt>
                <c:pt idx="474">
                  <c:v>75</c:v>
                </c:pt>
                <c:pt idx="475">
                  <c:v>106</c:v>
                </c:pt>
                <c:pt idx="476">
                  <c:v>35</c:v>
                </c:pt>
                <c:pt idx="477">
                  <c:v>24</c:v>
                </c:pt>
                <c:pt idx="478">
                  <c:v>101</c:v>
                </c:pt>
                <c:pt idx="479">
                  <c:v>44</c:v>
                </c:pt>
                <c:pt idx="480">
                  <c:v>119</c:v>
                </c:pt>
                <c:pt idx="481">
                  <c:v>130</c:v>
                </c:pt>
                <c:pt idx="482">
                  <c:v>32</c:v>
                </c:pt>
                <c:pt idx="483">
                  <c:v>56</c:v>
                </c:pt>
                <c:pt idx="484">
                  <c:v>75</c:v>
                </c:pt>
                <c:pt idx="485">
                  <c:v>81</c:v>
                </c:pt>
                <c:pt idx="486">
                  <c:v>72</c:v>
                </c:pt>
                <c:pt idx="487">
                  <c:v>62</c:v>
                </c:pt>
                <c:pt idx="488">
                  <c:v>148</c:v>
                </c:pt>
                <c:pt idx="489">
                  <c:v>53</c:v>
                </c:pt>
                <c:pt idx="490">
                  <c:v>133</c:v>
                </c:pt>
                <c:pt idx="491">
                  <c:v>68</c:v>
                </c:pt>
                <c:pt idx="492">
                  <c:v>44</c:v>
                </c:pt>
                <c:pt idx="493">
                  <c:v>128</c:v>
                </c:pt>
                <c:pt idx="494">
                  <c:v>101</c:v>
                </c:pt>
                <c:pt idx="495">
                  <c:v>40</c:v>
                </c:pt>
                <c:pt idx="496">
                  <c:v>107</c:v>
                </c:pt>
                <c:pt idx="497">
                  <c:v>95</c:v>
                </c:pt>
                <c:pt idx="498">
                  <c:v>88</c:v>
                </c:pt>
                <c:pt idx="499">
                  <c:v>99</c:v>
                </c:pt>
              </c:numCache>
            </c:numRef>
          </c:xVal>
          <c:yVal>
            <c:numRef>
              <c:f>'clean_data'!$X$2:$X$501</c:f>
              <c:numCache>
                <c:formatCode>_("$"* #,##0.00_);_("$"* \(#,##0.00\);_("$"* "-"??_);_(@_)</c:formatCode>
                <c:ptCount val="500"/>
                <c:pt idx="0">
                  <c:v>533299</c:v>
                </c:pt>
                <c:pt idx="1">
                  <c:v>187683</c:v>
                </c:pt>
                <c:pt idx="2">
                  <c:v>334478</c:v>
                </c:pt>
                <c:pt idx="3">
                  <c:v>798358</c:v>
                </c:pt>
                <c:pt idx="4">
                  <c:v>607955</c:v>
                </c:pt>
                <c:pt idx="5">
                  <c:v>864710</c:v>
                </c:pt>
                <c:pt idx="6">
                  <c:v>954984</c:v>
                </c:pt>
                <c:pt idx="7">
                  <c:v>629663</c:v>
                </c:pt>
                <c:pt idx="8">
                  <c:v>806099</c:v>
                </c:pt>
                <c:pt idx="9">
                  <c:v>652078</c:v>
                </c:pt>
                <c:pt idx="10">
                  <c:v>858203</c:v>
                </c:pt>
                <c:pt idx="11">
                  <c:v>73314</c:v>
                </c:pt>
                <c:pt idx="12">
                  <c:v>156160</c:v>
                </c:pt>
                <c:pt idx="13">
                  <c:v>63346</c:v>
                </c:pt>
                <c:pt idx="14">
                  <c:v>631609</c:v>
                </c:pt>
                <c:pt idx="15">
                  <c:v>384813</c:v>
                </c:pt>
                <c:pt idx="16">
                  <c:v>374988</c:v>
                </c:pt>
                <c:pt idx="17">
                  <c:v>700363</c:v>
                </c:pt>
                <c:pt idx="18">
                  <c:v>469301</c:v>
                </c:pt>
                <c:pt idx="19">
                  <c:v>152375</c:v>
                </c:pt>
                <c:pt idx="20">
                  <c:v>106423</c:v>
                </c:pt>
                <c:pt idx="21">
                  <c:v>58595</c:v>
                </c:pt>
                <c:pt idx="22">
                  <c:v>228593</c:v>
                </c:pt>
                <c:pt idx="23">
                  <c:v>431681</c:v>
                </c:pt>
                <c:pt idx="24">
                  <c:v>202945</c:v>
                </c:pt>
                <c:pt idx="25">
                  <c:v>455853</c:v>
                </c:pt>
                <c:pt idx="26">
                  <c:v>445111</c:v>
                </c:pt>
                <c:pt idx="27">
                  <c:v>900650</c:v>
                </c:pt>
                <c:pt idx="28">
                  <c:v>610938</c:v>
                </c:pt>
                <c:pt idx="29">
                  <c:v>110151</c:v>
                </c:pt>
                <c:pt idx="30">
                  <c:v>136307</c:v>
                </c:pt>
                <c:pt idx="31">
                  <c:v>637419</c:v>
                </c:pt>
                <c:pt idx="32">
                  <c:v>558606</c:v>
                </c:pt>
                <c:pt idx="33">
                  <c:v>630672</c:v>
                </c:pt>
                <c:pt idx="34">
                  <c:v>739463</c:v>
                </c:pt>
                <c:pt idx="35">
                  <c:v>499403</c:v>
                </c:pt>
                <c:pt idx="36">
                  <c:v>573092</c:v>
                </c:pt>
                <c:pt idx="37">
                  <c:v>991709</c:v>
                </c:pt>
                <c:pt idx="38">
                  <c:v>419793</c:v>
                </c:pt>
                <c:pt idx="39">
                  <c:v>708023</c:v>
                </c:pt>
                <c:pt idx="40">
                  <c:v>110358</c:v>
                </c:pt>
                <c:pt idx="41">
                  <c:v>290799</c:v>
                </c:pt>
                <c:pt idx="42">
                  <c:v>957455</c:v>
                </c:pt>
                <c:pt idx="43">
                  <c:v>170044</c:v>
                </c:pt>
                <c:pt idx="44">
                  <c:v>730610</c:v>
                </c:pt>
                <c:pt idx="45">
                  <c:v>173793</c:v>
                </c:pt>
                <c:pt idx="46">
                  <c:v>612213</c:v>
                </c:pt>
                <c:pt idx="47">
                  <c:v>522412</c:v>
                </c:pt>
                <c:pt idx="48">
                  <c:v>791345</c:v>
                </c:pt>
                <c:pt idx="49">
                  <c:v>752665</c:v>
                </c:pt>
                <c:pt idx="50">
                  <c:v>211925</c:v>
                </c:pt>
                <c:pt idx="51">
                  <c:v>901161</c:v>
                </c:pt>
                <c:pt idx="52">
                  <c:v>549107</c:v>
                </c:pt>
                <c:pt idx="53">
                  <c:v>103761</c:v>
                </c:pt>
                <c:pt idx="54">
                  <c:v>458737</c:v>
                </c:pt>
                <c:pt idx="55">
                  <c:v>4499</c:v>
                </c:pt>
                <c:pt idx="56">
                  <c:v>330527</c:v>
                </c:pt>
                <c:pt idx="57">
                  <c:v>609620</c:v>
                </c:pt>
                <c:pt idx="58">
                  <c:v>689730</c:v>
                </c:pt>
                <c:pt idx="59">
                  <c:v>236718</c:v>
                </c:pt>
                <c:pt idx="60">
                  <c:v>603924</c:v>
                </c:pt>
                <c:pt idx="61">
                  <c:v>517814</c:v>
                </c:pt>
                <c:pt idx="62">
                  <c:v>3782</c:v>
                </c:pt>
                <c:pt idx="63">
                  <c:v>440999</c:v>
                </c:pt>
                <c:pt idx="64">
                  <c:v>561649</c:v>
                </c:pt>
                <c:pt idx="65">
                  <c:v>590957</c:v>
                </c:pt>
                <c:pt idx="66">
                  <c:v>723128</c:v>
                </c:pt>
                <c:pt idx="67">
                  <c:v>806207</c:v>
                </c:pt>
                <c:pt idx="68">
                  <c:v>97928</c:v>
                </c:pt>
                <c:pt idx="69">
                  <c:v>712799</c:v>
                </c:pt>
                <c:pt idx="70">
                  <c:v>645682</c:v>
                </c:pt>
                <c:pt idx="71">
                  <c:v>338166</c:v>
                </c:pt>
                <c:pt idx="72">
                  <c:v>334038</c:v>
                </c:pt>
                <c:pt idx="73">
                  <c:v>343573</c:v>
                </c:pt>
                <c:pt idx="74">
                  <c:v>187135</c:v>
                </c:pt>
                <c:pt idx="75">
                  <c:v>598158</c:v>
                </c:pt>
                <c:pt idx="76">
                  <c:v>687558</c:v>
                </c:pt>
                <c:pt idx="77">
                  <c:v>273640</c:v>
                </c:pt>
                <c:pt idx="78">
                  <c:v>958221</c:v>
                </c:pt>
                <c:pt idx="79">
                  <c:v>663012</c:v>
                </c:pt>
                <c:pt idx="80">
                  <c:v>323751</c:v>
                </c:pt>
                <c:pt idx="81">
                  <c:v>427075</c:v>
                </c:pt>
                <c:pt idx="82">
                  <c:v>681262</c:v>
                </c:pt>
                <c:pt idx="83">
                  <c:v>759563</c:v>
                </c:pt>
                <c:pt idx="84">
                  <c:v>809708</c:v>
                </c:pt>
                <c:pt idx="85">
                  <c:v>456301</c:v>
                </c:pt>
                <c:pt idx="86">
                  <c:v>552192</c:v>
                </c:pt>
                <c:pt idx="87">
                  <c:v>408029</c:v>
                </c:pt>
                <c:pt idx="88">
                  <c:v>575625</c:v>
                </c:pt>
                <c:pt idx="89">
                  <c:v>631917</c:v>
                </c:pt>
                <c:pt idx="90">
                  <c:v>761233</c:v>
                </c:pt>
                <c:pt idx="91">
                  <c:v>793446</c:v>
                </c:pt>
                <c:pt idx="92">
                  <c:v>388067</c:v>
                </c:pt>
                <c:pt idx="93">
                  <c:v>915539</c:v>
                </c:pt>
                <c:pt idx="94">
                  <c:v>944012</c:v>
                </c:pt>
                <c:pt idx="95">
                  <c:v>791613</c:v>
                </c:pt>
                <c:pt idx="96">
                  <c:v>960499</c:v>
                </c:pt>
                <c:pt idx="97">
                  <c:v>520675</c:v>
                </c:pt>
                <c:pt idx="98">
                  <c:v>178291</c:v>
                </c:pt>
                <c:pt idx="99">
                  <c:v>581184</c:v>
                </c:pt>
                <c:pt idx="100">
                  <c:v>64772</c:v>
                </c:pt>
                <c:pt idx="101">
                  <c:v>598809</c:v>
                </c:pt>
                <c:pt idx="102">
                  <c:v>281128</c:v>
                </c:pt>
                <c:pt idx="103">
                  <c:v>82559</c:v>
                </c:pt>
                <c:pt idx="104">
                  <c:v>919133</c:v>
                </c:pt>
                <c:pt idx="105">
                  <c:v>838224</c:v>
                </c:pt>
                <c:pt idx="106">
                  <c:v>780620</c:v>
                </c:pt>
                <c:pt idx="107">
                  <c:v>27213</c:v>
                </c:pt>
                <c:pt idx="108">
                  <c:v>301385</c:v>
                </c:pt>
                <c:pt idx="109">
                  <c:v>347044</c:v>
                </c:pt>
                <c:pt idx="110">
                  <c:v>121668</c:v>
                </c:pt>
                <c:pt idx="112">
                  <c:v>500364</c:v>
                </c:pt>
                <c:pt idx="113">
                  <c:v>552111</c:v>
                </c:pt>
                <c:pt idx="114">
                  <c:v>539435</c:v>
                </c:pt>
                <c:pt idx="115">
                  <c:v>923221</c:v>
                </c:pt>
                <c:pt idx="116">
                  <c:v>645584</c:v>
                </c:pt>
                <c:pt idx="118">
                  <c:v>498015</c:v>
                </c:pt>
                <c:pt idx="119">
                  <c:v>482919</c:v>
                </c:pt>
                <c:pt idx="120">
                  <c:v>786217</c:v>
                </c:pt>
                <c:pt idx="121">
                  <c:v>259646</c:v>
                </c:pt>
                <c:pt idx="122">
                  <c:v>668400</c:v>
                </c:pt>
                <c:pt idx="123">
                  <c:v>627722</c:v>
                </c:pt>
                <c:pt idx="124">
                  <c:v>701780</c:v>
                </c:pt>
                <c:pt idx="125">
                  <c:v>872225</c:v>
                </c:pt>
                <c:pt idx="126">
                  <c:v>434387</c:v>
                </c:pt>
                <c:pt idx="127">
                  <c:v>479148</c:v>
                </c:pt>
                <c:pt idx="128">
                  <c:v>838092</c:v>
                </c:pt>
                <c:pt idx="130">
                  <c:v>842176</c:v>
                </c:pt>
                <c:pt idx="131">
                  <c:v>941974</c:v>
                </c:pt>
                <c:pt idx="133">
                  <c:v>896003</c:v>
                </c:pt>
                <c:pt idx="134">
                  <c:v>265990</c:v>
                </c:pt>
                <c:pt idx="135">
                  <c:v>667046</c:v>
                </c:pt>
                <c:pt idx="136">
                  <c:v>914714</c:v>
                </c:pt>
                <c:pt idx="137">
                  <c:v>233738</c:v>
                </c:pt>
                <c:pt idx="138">
                  <c:v>780031</c:v>
                </c:pt>
                <c:pt idx="139">
                  <c:v>279917</c:v>
                </c:pt>
                <c:pt idx="140">
                  <c:v>484530</c:v>
                </c:pt>
                <c:pt idx="141">
                  <c:v>341589</c:v>
                </c:pt>
                <c:pt idx="142">
                  <c:v>187053</c:v>
                </c:pt>
                <c:pt idx="143">
                  <c:v>236468</c:v>
                </c:pt>
                <c:pt idx="144">
                  <c:v>900709</c:v>
                </c:pt>
                <c:pt idx="145">
                  <c:v>858802</c:v>
                </c:pt>
                <c:pt idx="146">
                  <c:v>289851</c:v>
                </c:pt>
                <c:pt idx="147">
                  <c:v>72788</c:v>
                </c:pt>
                <c:pt idx="148">
                  <c:v>657980</c:v>
                </c:pt>
                <c:pt idx="149">
                  <c:v>341092</c:v>
                </c:pt>
                <c:pt idx="150">
                  <c:v>216491</c:v>
                </c:pt>
                <c:pt idx="151">
                  <c:v>49084</c:v>
                </c:pt>
                <c:pt idx="152">
                  <c:v>228433</c:v>
                </c:pt>
                <c:pt idx="153">
                  <c:v>866419</c:v>
                </c:pt>
                <c:pt idx="154">
                  <c:v>970336</c:v>
                </c:pt>
                <c:pt idx="155">
                  <c:v>143046</c:v>
                </c:pt>
                <c:pt idx="156">
                  <c:v>119929</c:v>
                </c:pt>
                <c:pt idx="157">
                  <c:v>710046</c:v>
                </c:pt>
                <c:pt idx="158">
                  <c:v>579921</c:v>
                </c:pt>
                <c:pt idx="159">
                  <c:v>372846</c:v>
                </c:pt>
                <c:pt idx="160">
                  <c:v>905300</c:v>
                </c:pt>
                <c:pt idx="161">
                  <c:v>991621</c:v>
                </c:pt>
                <c:pt idx="162">
                  <c:v>819018</c:v>
                </c:pt>
                <c:pt idx="163">
                  <c:v>502845</c:v>
                </c:pt>
                <c:pt idx="164">
                  <c:v>901036</c:v>
                </c:pt>
                <c:pt idx="165">
                  <c:v>886109</c:v>
                </c:pt>
                <c:pt idx="166">
                  <c:v>841598</c:v>
                </c:pt>
                <c:pt idx="167">
                  <c:v>302621</c:v>
                </c:pt>
                <c:pt idx="168">
                  <c:v>449045</c:v>
                </c:pt>
                <c:pt idx="169">
                  <c:v>377955</c:v>
                </c:pt>
                <c:pt idx="170">
                  <c:v>441909</c:v>
                </c:pt>
                <c:pt idx="171">
                  <c:v>856300</c:v>
                </c:pt>
                <c:pt idx="172">
                  <c:v>997277</c:v>
                </c:pt>
                <c:pt idx="173">
                  <c:v>867020</c:v>
                </c:pt>
                <c:pt idx="176">
                  <c:v>25940</c:v>
                </c:pt>
                <c:pt idx="177">
                  <c:v>822270</c:v>
                </c:pt>
                <c:pt idx="178">
                  <c:v>798306</c:v>
                </c:pt>
                <c:pt idx="179">
                  <c:v>362300</c:v>
                </c:pt>
                <c:pt idx="180">
                  <c:v>821355</c:v>
                </c:pt>
                <c:pt idx="181">
                  <c:v>935313</c:v>
                </c:pt>
                <c:pt idx="182">
                  <c:v>669875</c:v>
                </c:pt>
                <c:pt idx="183">
                  <c:v>684137</c:v>
                </c:pt>
                <c:pt idx="184">
                  <c:v>195714</c:v>
                </c:pt>
                <c:pt idx="185">
                  <c:v>888917</c:v>
                </c:pt>
                <c:pt idx="186">
                  <c:v>561062</c:v>
                </c:pt>
                <c:pt idx="187">
                  <c:v>671764</c:v>
                </c:pt>
                <c:pt idx="188">
                  <c:v>509697</c:v>
                </c:pt>
                <c:pt idx="189">
                  <c:v>999412</c:v>
                </c:pt>
                <c:pt idx="190">
                  <c:v>290604</c:v>
                </c:pt>
                <c:pt idx="191">
                  <c:v>851518</c:v>
                </c:pt>
                <c:pt idx="192">
                  <c:v>676303</c:v>
                </c:pt>
                <c:pt idx="193">
                  <c:v>454794</c:v>
                </c:pt>
                <c:pt idx="194">
                  <c:v>98417</c:v>
                </c:pt>
                <c:pt idx="195">
                  <c:v>710725</c:v>
                </c:pt>
                <c:pt idx="196">
                  <c:v>840809</c:v>
                </c:pt>
                <c:pt idx="197">
                  <c:v>932115</c:v>
                </c:pt>
                <c:pt idx="198">
                  <c:v>8886</c:v>
                </c:pt>
                <c:pt idx="199">
                  <c:v>223694</c:v>
                </c:pt>
                <c:pt idx="200">
                  <c:v>207279</c:v>
                </c:pt>
                <c:pt idx="201">
                  <c:v>392971</c:v>
                </c:pt>
                <c:pt idx="202">
                  <c:v>340695</c:v>
                </c:pt>
                <c:pt idx="203">
                  <c:v>844130</c:v>
                </c:pt>
                <c:pt idx="204">
                  <c:v>741624</c:v>
                </c:pt>
                <c:pt idx="205">
                  <c:v>496705</c:v>
                </c:pt>
                <c:pt idx="206">
                  <c:v>710384</c:v>
                </c:pt>
                <c:pt idx="207">
                  <c:v>924324</c:v>
                </c:pt>
                <c:pt idx="208">
                  <c:v>196618</c:v>
                </c:pt>
                <c:pt idx="209">
                  <c:v>105285</c:v>
                </c:pt>
                <c:pt idx="210">
                  <c:v>413004</c:v>
                </c:pt>
                <c:pt idx="211">
                  <c:v>441563</c:v>
                </c:pt>
                <c:pt idx="212">
                  <c:v>979651</c:v>
                </c:pt>
                <c:pt idx="213">
                  <c:v>822422</c:v>
                </c:pt>
                <c:pt idx="214">
                  <c:v>24232</c:v>
                </c:pt>
                <c:pt idx="215">
                  <c:v>443523</c:v>
                </c:pt>
                <c:pt idx="216">
                  <c:v>970824</c:v>
                </c:pt>
                <c:pt idx="217">
                  <c:v>14765</c:v>
                </c:pt>
                <c:pt idx="218">
                  <c:v>423010</c:v>
                </c:pt>
                <c:pt idx="219">
                  <c:v>944971</c:v>
                </c:pt>
                <c:pt idx="220">
                  <c:v>932509</c:v>
                </c:pt>
                <c:pt idx="221">
                  <c:v>13152</c:v>
                </c:pt>
                <c:pt idx="222">
                  <c:v>889419</c:v>
                </c:pt>
                <c:pt idx="223">
                  <c:v>775298</c:v>
                </c:pt>
                <c:pt idx="224">
                  <c:v>628131</c:v>
                </c:pt>
                <c:pt idx="225">
                  <c:v>908971</c:v>
                </c:pt>
                <c:pt idx="226">
                  <c:v>390035</c:v>
                </c:pt>
                <c:pt idx="227">
                  <c:v>853003</c:v>
                </c:pt>
                <c:pt idx="228">
                  <c:v>389624</c:v>
                </c:pt>
                <c:pt idx="229">
                  <c:v>615475</c:v>
                </c:pt>
                <c:pt idx="230">
                  <c:v>166363</c:v>
                </c:pt>
                <c:pt idx="231">
                  <c:v>658982</c:v>
                </c:pt>
                <c:pt idx="232">
                  <c:v>458162</c:v>
                </c:pt>
                <c:pt idx="233">
                  <c:v>391910</c:v>
                </c:pt>
                <c:pt idx="234">
                  <c:v>481027</c:v>
                </c:pt>
                <c:pt idx="235">
                  <c:v>308899</c:v>
                </c:pt>
                <c:pt idx="236">
                  <c:v>564191</c:v>
                </c:pt>
                <c:pt idx="237">
                  <c:v>358582</c:v>
                </c:pt>
                <c:pt idx="238">
                  <c:v>553891</c:v>
                </c:pt>
                <c:pt idx="239">
                  <c:v>395769</c:v>
                </c:pt>
                <c:pt idx="240">
                  <c:v>534067</c:v>
                </c:pt>
                <c:pt idx="241">
                  <c:v>199651</c:v>
                </c:pt>
                <c:pt idx="242">
                  <c:v>866667</c:v>
                </c:pt>
                <c:pt idx="243">
                  <c:v>920045</c:v>
                </c:pt>
                <c:pt idx="244">
                  <c:v>727780</c:v>
                </c:pt>
                <c:pt idx="245">
                  <c:v>545938</c:v>
                </c:pt>
                <c:pt idx="246">
                  <c:v>317742</c:v>
                </c:pt>
                <c:pt idx="247">
                  <c:v>638655</c:v>
                </c:pt>
                <c:pt idx="248">
                  <c:v>829403</c:v>
                </c:pt>
                <c:pt idx="249">
                  <c:v>549104</c:v>
                </c:pt>
                <c:pt idx="250">
                  <c:v>750024</c:v>
                </c:pt>
                <c:pt idx="251">
                  <c:v>167049</c:v>
                </c:pt>
                <c:pt idx="252">
                  <c:v>14041</c:v>
                </c:pt>
                <c:pt idx="253">
                  <c:v>471998</c:v>
                </c:pt>
                <c:pt idx="254">
                  <c:v>983925</c:v>
                </c:pt>
                <c:pt idx="255">
                  <c:v>825559</c:v>
                </c:pt>
                <c:pt idx="256">
                  <c:v>665155</c:v>
                </c:pt>
                <c:pt idx="257">
                  <c:v>265150</c:v>
                </c:pt>
                <c:pt idx="258">
                  <c:v>640313</c:v>
                </c:pt>
                <c:pt idx="259">
                  <c:v>363316</c:v>
                </c:pt>
                <c:pt idx="260">
                  <c:v>791695</c:v>
                </c:pt>
                <c:pt idx="261">
                  <c:v>669537</c:v>
                </c:pt>
                <c:pt idx="262">
                  <c:v>133954</c:v>
                </c:pt>
                <c:pt idx="263">
                  <c:v>398427</c:v>
                </c:pt>
                <c:pt idx="264">
                  <c:v>229024</c:v>
                </c:pt>
                <c:pt idx="265">
                  <c:v>793350</c:v>
                </c:pt>
                <c:pt idx="266">
                  <c:v>507088</c:v>
                </c:pt>
                <c:pt idx="267">
                  <c:v>169744</c:v>
                </c:pt>
                <c:pt idx="268">
                  <c:v>419076</c:v>
                </c:pt>
                <c:pt idx="269">
                  <c:v>23695</c:v>
                </c:pt>
                <c:pt idx="270">
                  <c:v>472838</c:v>
                </c:pt>
                <c:pt idx="271">
                  <c:v>489166</c:v>
                </c:pt>
                <c:pt idx="272">
                  <c:v>488931</c:v>
                </c:pt>
                <c:pt idx="273">
                  <c:v>10036</c:v>
                </c:pt>
                <c:pt idx="274">
                  <c:v>687305</c:v>
                </c:pt>
                <c:pt idx="275">
                  <c:v>484521</c:v>
                </c:pt>
                <c:pt idx="276">
                  <c:v>581073</c:v>
                </c:pt>
                <c:pt idx="277">
                  <c:v>697160</c:v>
                </c:pt>
                <c:pt idx="278">
                  <c:v>94453</c:v>
                </c:pt>
                <c:pt idx="279">
                  <c:v>916899</c:v>
                </c:pt>
                <c:pt idx="280">
                  <c:v>932094</c:v>
                </c:pt>
                <c:pt idx="281">
                  <c:v>230035</c:v>
                </c:pt>
                <c:pt idx="282">
                  <c:v>277949</c:v>
                </c:pt>
                <c:pt idx="284">
                  <c:v>263600</c:v>
                </c:pt>
                <c:pt idx="285">
                  <c:v>526139</c:v>
                </c:pt>
                <c:pt idx="286">
                  <c:v>21881</c:v>
                </c:pt>
                <c:pt idx="287">
                  <c:v>390986</c:v>
                </c:pt>
                <c:pt idx="288">
                  <c:v>624129</c:v>
                </c:pt>
                <c:pt idx="289">
                  <c:v>736738</c:v>
                </c:pt>
                <c:pt idx="290">
                  <c:v>857904</c:v>
                </c:pt>
                <c:pt idx="291">
                  <c:v>677135</c:v>
                </c:pt>
                <c:pt idx="292">
                  <c:v>913442</c:v>
                </c:pt>
                <c:pt idx="293">
                  <c:v>456008</c:v>
                </c:pt>
                <c:pt idx="294">
                  <c:v>989282</c:v>
                </c:pt>
                <c:pt idx="295">
                  <c:v>764550</c:v>
                </c:pt>
                <c:pt idx="296">
                  <c:v>36872</c:v>
                </c:pt>
                <c:pt idx="298">
                  <c:v>741986</c:v>
                </c:pt>
                <c:pt idx="299">
                  <c:v>30730</c:v>
                </c:pt>
                <c:pt idx="300">
                  <c:v>745639</c:v>
                </c:pt>
                <c:pt idx="301">
                  <c:v>203183</c:v>
                </c:pt>
                <c:pt idx="302">
                  <c:v>250359</c:v>
                </c:pt>
                <c:pt idx="303">
                  <c:v>447976</c:v>
                </c:pt>
                <c:pt idx="304">
                  <c:v>305319</c:v>
                </c:pt>
                <c:pt idx="305">
                  <c:v>603484</c:v>
                </c:pt>
                <c:pt idx="306">
                  <c:v>752406</c:v>
                </c:pt>
                <c:pt idx="307">
                  <c:v>13216</c:v>
                </c:pt>
                <c:pt idx="308">
                  <c:v>958277</c:v>
                </c:pt>
                <c:pt idx="309">
                  <c:v>539629</c:v>
                </c:pt>
                <c:pt idx="310">
                  <c:v>898470</c:v>
                </c:pt>
                <c:pt idx="311">
                  <c:v>440793</c:v>
                </c:pt>
                <c:pt idx="312">
                  <c:v>544861</c:v>
                </c:pt>
                <c:pt idx="313">
                  <c:v>938801</c:v>
                </c:pt>
                <c:pt idx="314">
                  <c:v>93257</c:v>
                </c:pt>
                <c:pt idx="315">
                  <c:v>654738</c:v>
                </c:pt>
                <c:pt idx="316">
                  <c:v>618686</c:v>
                </c:pt>
                <c:pt idx="317">
                  <c:v>296575</c:v>
                </c:pt>
                <c:pt idx="318">
                  <c:v>857060</c:v>
                </c:pt>
                <c:pt idx="319">
                  <c:v>784495</c:v>
                </c:pt>
                <c:pt idx="321">
                  <c:v>183756</c:v>
                </c:pt>
                <c:pt idx="322">
                  <c:v>495743</c:v>
                </c:pt>
                <c:pt idx="323">
                  <c:v>398297</c:v>
                </c:pt>
                <c:pt idx="324">
                  <c:v>918853</c:v>
                </c:pt>
                <c:pt idx="325">
                  <c:v>586773</c:v>
                </c:pt>
                <c:pt idx="326">
                  <c:v>58665</c:v>
                </c:pt>
                <c:pt idx="327">
                  <c:v>444766</c:v>
                </c:pt>
                <c:pt idx="329">
                  <c:v>612849</c:v>
                </c:pt>
                <c:pt idx="330">
                  <c:v>173315</c:v>
                </c:pt>
                <c:pt idx="331">
                  <c:v>400882</c:v>
                </c:pt>
                <c:pt idx="332">
                  <c:v>105715</c:v>
                </c:pt>
                <c:pt idx="333">
                  <c:v>583805</c:v>
                </c:pt>
                <c:pt idx="334">
                  <c:v>565189</c:v>
                </c:pt>
                <c:pt idx="335">
                  <c:v>136462</c:v>
                </c:pt>
                <c:pt idx="336">
                  <c:v>30892</c:v>
                </c:pt>
                <c:pt idx="337">
                  <c:v>91866</c:v>
                </c:pt>
                <c:pt idx="338">
                  <c:v>479455</c:v>
                </c:pt>
                <c:pt idx="339">
                  <c:v>369513</c:v>
                </c:pt>
                <c:pt idx="340">
                  <c:v>657356</c:v>
                </c:pt>
                <c:pt idx="341">
                  <c:v>416829</c:v>
                </c:pt>
                <c:pt idx="342">
                  <c:v>271746</c:v>
                </c:pt>
                <c:pt idx="344">
                  <c:v>236651</c:v>
                </c:pt>
                <c:pt idx="345">
                  <c:v>423963</c:v>
                </c:pt>
                <c:pt idx="346">
                  <c:v>863815</c:v>
                </c:pt>
                <c:pt idx="347">
                  <c:v>235285</c:v>
                </c:pt>
                <c:pt idx="348">
                  <c:v>302838</c:v>
                </c:pt>
                <c:pt idx="349">
                  <c:v>223321</c:v>
                </c:pt>
                <c:pt idx="350">
                  <c:v>701292</c:v>
                </c:pt>
                <c:pt idx="351">
                  <c:v>977964</c:v>
                </c:pt>
                <c:pt idx="352">
                  <c:v>819066</c:v>
                </c:pt>
                <c:pt idx="353">
                  <c:v>493446</c:v>
                </c:pt>
                <c:pt idx="354">
                  <c:v>549878</c:v>
                </c:pt>
                <c:pt idx="355">
                  <c:v>861395</c:v>
                </c:pt>
                <c:pt idx="356">
                  <c:v>707710</c:v>
                </c:pt>
                <c:pt idx="357">
                  <c:v>233422</c:v>
                </c:pt>
                <c:pt idx="358">
                  <c:v>198728</c:v>
                </c:pt>
                <c:pt idx="359">
                  <c:v>790066</c:v>
                </c:pt>
                <c:pt idx="360">
                  <c:v>554253</c:v>
                </c:pt>
                <c:pt idx="361">
                  <c:v>391601</c:v>
                </c:pt>
                <c:pt idx="362">
                  <c:v>340694</c:v>
                </c:pt>
                <c:pt idx="363">
                  <c:v>21529</c:v>
                </c:pt>
                <c:pt idx="364">
                  <c:v>237230</c:v>
                </c:pt>
                <c:pt idx="365">
                  <c:v>650561</c:v>
                </c:pt>
                <c:pt idx="366">
                  <c:v>348435</c:v>
                </c:pt>
                <c:pt idx="367">
                  <c:v>818030</c:v>
                </c:pt>
                <c:pt idx="368">
                  <c:v>357594</c:v>
                </c:pt>
                <c:pt idx="369">
                  <c:v>486533</c:v>
                </c:pt>
                <c:pt idx="370">
                  <c:v>345899</c:v>
                </c:pt>
                <c:pt idx="371">
                  <c:v>796644</c:v>
                </c:pt>
                <c:pt idx="372">
                  <c:v>27840</c:v>
                </c:pt>
                <c:pt idx="373">
                  <c:v>454404</c:v>
                </c:pt>
                <c:pt idx="374">
                  <c:v>760001</c:v>
                </c:pt>
                <c:pt idx="375">
                  <c:v>904527</c:v>
                </c:pt>
                <c:pt idx="376">
                  <c:v>707551</c:v>
                </c:pt>
                <c:pt idx="377">
                  <c:v>751945</c:v>
                </c:pt>
                <c:pt idx="378">
                  <c:v>282526</c:v>
                </c:pt>
                <c:pt idx="379">
                  <c:v>364249</c:v>
                </c:pt>
                <c:pt idx="380">
                  <c:v>628207</c:v>
                </c:pt>
                <c:pt idx="381">
                  <c:v>258636</c:v>
                </c:pt>
                <c:pt idx="382">
                  <c:v>856737</c:v>
                </c:pt>
                <c:pt idx="383">
                  <c:v>112508</c:v>
                </c:pt>
                <c:pt idx="384">
                  <c:v>640791</c:v>
                </c:pt>
                <c:pt idx="385">
                  <c:v>847031</c:v>
                </c:pt>
                <c:pt idx="386">
                  <c:v>269983</c:v>
                </c:pt>
                <c:pt idx="387">
                  <c:v>529730</c:v>
                </c:pt>
                <c:pt idx="388">
                  <c:v>43257</c:v>
                </c:pt>
                <c:pt idx="389">
                  <c:v>817438</c:v>
                </c:pt>
                <c:pt idx="390">
                  <c:v>800722</c:v>
                </c:pt>
                <c:pt idx="391">
                  <c:v>816231</c:v>
                </c:pt>
                <c:pt idx="392">
                  <c:v>200227</c:v>
                </c:pt>
                <c:pt idx="393">
                  <c:v>966345</c:v>
                </c:pt>
                <c:pt idx="394">
                  <c:v>841455</c:v>
                </c:pt>
                <c:pt idx="395">
                  <c:v>70446</c:v>
                </c:pt>
                <c:pt idx="396">
                  <c:v>611700</c:v>
                </c:pt>
                <c:pt idx="397">
                  <c:v>622081</c:v>
                </c:pt>
                <c:pt idx="398">
                  <c:v>48025</c:v>
                </c:pt>
                <c:pt idx="399">
                  <c:v>943707</c:v>
                </c:pt>
                <c:pt idx="400">
                  <c:v>512566</c:v>
                </c:pt>
                <c:pt idx="401">
                  <c:v>179907</c:v>
                </c:pt>
                <c:pt idx="402">
                  <c:v>926222</c:v>
                </c:pt>
                <c:pt idx="403">
                  <c:v>287992</c:v>
                </c:pt>
                <c:pt idx="404">
                  <c:v>547147</c:v>
                </c:pt>
                <c:pt idx="405">
                  <c:v>760750</c:v>
                </c:pt>
                <c:pt idx="406">
                  <c:v>319637</c:v>
                </c:pt>
                <c:pt idx="407">
                  <c:v>110702</c:v>
                </c:pt>
                <c:pt idx="408">
                  <c:v>981906</c:v>
                </c:pt>
                <c:pt idx="409">
                  <c:v>106809</c:v>
                </c:pt>
                <c:pt idx="410">
                  <c:v>29105</c:v>
                </c:pt>
                <c:pt idx="411">
                  <c:v>735863</c:v>
                </c:pt>
                <c:pt idx="412">
                  <c:v>452062</c:v>
                </c:pt>
                <c:pt idx="413">
                  <c:v>990122</c:v>
                </c:pt>
                <c:pt idx="414">
                  <c:v>813373</c:v>
                </c:pt>
                <c:pt idx="415">
                  <c:v>426999</c:v>
                </c:pt>
                <c:pt idx="416">
                  <c:v>800361</c:v>
                </c:pt>
                <c:pt idx="417">
                  <c:v>930317</c:v>
                </c:pt>
                <c:pt idx="418">
                  <c:v>502559</c:v>
                </c:pt>
                <c:pt idx="419">
                  <c:v>45907</c:v>
                </c:pt>
                <c:pt idx="420">
                  <c:v>354305</c:v>
                </c:pt>
                <c:pt idx="421">
                  <c:v>84095</c:v>
                </c:pt>
                <c:pt idx="422">
                  <c:v>291652</c:v>
                </c:pt>
                <c:pt idx="423">
                  <c:v>986359</c:v>
                </c:pt>
                <c:pt idx="424">
                  <c:v>424915</c:v>
                </c:pt>
                <c:pt idx="426">
                  <c:v>161850</c:v>
                </c:pt>
                <c:pt idx="427">
                  <c:v>134947</c:v>
                </c:pt>
                <c:pt idx="428">
                  <c:v>627261</c:v>
                </c:pt>
                <c:pt idx="429">
                  <c:v>504525</c:v>
                </c:pt>
                <c:pt idx="430">
                  <c:v>697241</c:v>
                </c:pt>
                <c:pt idx="431">
                  <c:v>548888</c:v>
                </c:pt>
                <c:pt idx="432">
                  <c:v>971305</c:v>
                </c:pt>
                <c:pt idx="433">
                  <c:v>214633</c:v>
                </c:pt>
                <c:pt idx="434">
                  <c:v>207356</c:v>
                </c:pt>
                <c:pt idx="435">
                  <c:v>493928</c:v>
                </c:pt>
                <c:pt idx="436">
                  <c:v>523695</c:v>
                </c:pt>
                <c:pt idx="437">
                  <c:v>656549</c:v>
                </c:pt>
                <c:pt idx="438">
                  <c:v>62372</c:v>
                </c:pt>
                <c:pt idx="439">
                  <c:v>362743</c:v>
                </c:pt>
                <c:pt idx="441">
                  <c:v>336695</c:v>
                </c:pt>
                <c:pt idx="443">
                  <c:v>960532</c:v>
                </c:pt>
                <c:pt idx="444">
                  <c:v>362603</c:v>
                </c:pt>
                <c:pt idx="445">
                  <c:v>45389</c:v>
                </c:pt>
                <c:pt idx="446">
                  <c:v>920365</c:v>
                </c:pt>
                <c:pt idx="447">
                  <c:v>112784</c:v>
                </c:pt>
                <c:pt idx="448">
                  <c:v>701972</c:v>
                </c:pt>
                <c:pt idx="449">
                  <c:v>367987</c:v>
                </c:pt>
                <c:pt idx="450">
                  <c:v>177075</c:v>
                </c:pt>
                <c:pt idx="451">
                  <c:v>696503</c:v>
                </c:pt>
                <c:pt idx="452">
                  <c:v>790213</c:v>
                </c:pt>
                <c:pt idx="453">
                  <c:v>144249</c:v>
                </c:pt>
                <c:pt idx="454">
                  <c:v>849000</c:v>
                </c:pt>
                <c:pt idx="455">
                  <c:v>82083</c:v>
                </c:pt>
                <c:pt idx="456">
                  <c:v>857803</c:v>
                </c:pt>
                <c:pt idx="457">
                  <c:v>425995</c:v>
                </c:pt>
                <c:pt idx="458">
                  <c:v>309775</c:v>
                </c:pt>
                <c:pt idx="459">
                  <c:v>943688</c:v>
                </c:pt>
                <c:pt idx="460">
                  <c:v>884369</c:v>
                </c:pt>
                <c:pt idx="461">
                  <c:v>46231</c:v>
                </c:pt>
                <c:pt idx="462">
                  <c:v>108077</c:v>
                </c:pt>
                <c:pt idx="463">
                  <c:v>512892</c:v>
                </c:pt>
                <c:pt idx="464">
                  <c:v>3185</c:v>
                </c:pt>
                <c:pt idx="465">
                  <c:v>611480</c:v>
                </c:pt>
                <c:pt idx="466">
                  <c:v>837410</c:v>
                </c:pt>
                <c:pt idx="467">
                  <c:v>226409</c:v>
                </c:pt>
                <c:pt idx="468">
                  <c:v>610682</c:v>
                </c:pt>
                <c:pt idx="469">
                  <c:v>218831</c:v>
                </c:pt>
                <c:pt idx="470">
                  <c:v>228585</c:v>
                </c:pt>
                <c:pt idx="471">
                  <c:v>920184</c:v>
                </c:pt>
                <c:pt idx="472">
                  <c:v>939403</c:v>
                </c:pt>
                <c:pt idx="473">
                  <c:v>975314</c:v>
                </c:pt>
                <c:pt idx="474">
                  <c:v>574898</c:v>
                </c:pt>
                <c:pt idx="475">
                  <c:v>258704</c:v>
                </c:pt>
                <c:pt idx="476">
                  <c:v>858849</c:v>
                </c:pt>
                <c:pt idx="477">
                  <c:v>751926</c:v>
                </c:pt>
                <c:pt idx="478">
                  <c:v>993117</c:v>
                </c:pt>
                <c:pt idx="480">
                  <c:v>381395</c:v>
                </c:pt>
                <c:pt idx="481">
                  <c:v>66919</c:v>
                </c:pt>
                <c:pt idx="482">
                  <c:v>350490</c:v>
                </c:pt>
                <c:pt idx="483">
                  <c:v>696778</c:v>
                </c:pt>
                <c:pt idx="484">
                  <c:v>248969</c:v>
                </c:pt>
                <c:pt idx="485">
                  <c:v>9522</c:v>
                </c:pt>
                <c:pt idx="486">
                  <c:v>445843</c:v>
                </c:pt>
                <c:pt idx="487">
                  <c:v>341034</c:v>
                </c:pt>
                <c:pt idx="488">
                  <c:v>373665</c:v>
                </c:pt>
                <c:pt idx="489">
                  <c:v>507098</c:v>
                </c:pt>
                <c:pt idx="490">
                  <c:v>217079</c:v>
                </c:pt>
                <c:pt idx="491">
                  <c:v>20985</c:v>
                </c:pt>
                <c:pt idx="492">
                  <c:v>828756</c:v>
                </c:pt>
                <c:pt idx="493">
                  <c:v>32883</c:v>
                </c:pt>
                <c:pt idx="494">
                  <c:v>796173</c:v>
                </c:pt>
                <c:pt idx="495">
                  <c:v>492393</c:v>
                </c:pt>
                <c:pt idx="496">
                  <c:v>272805</c:v>
                </c:pt>
                <c:pt idx="497">
                  <c:v>333113</c:v>
                </c:pt>
                <c:pt idx="498">
                  <c:v>514150</c:v>
                </c:pt>
                <c:pt idx="499">
                  <c:v>586676</c:v>
                </c:pt>
              </c:numCache>
            </c:numRef>
          </c:yVal>
          <c:smooth val="0"/>
          <c:extLst>
            <c:ext xmlns:c16="http://schemas.microsoft.com/office/drawing/2014/chart" uri="{C3380CC4-5D6E-409C-BE32-E72D297353CC}">
              <c16:uniqueId val="{00000002-3CE1-4017-BF5F-1464A27E3DDE}"/>
            </c:ext>
          </c:extLst>
        </c:ser>
        <c:dLbls>
          <c:showLegendKey val="0"/>
          <c:showVal val="0"/>
          <c:showCatName val="0"/>
          <c:showSerName val="0"/>
          <c:showPercent val="0"/>
          <c:showBubbleSize val="0"/>
        </c:dLbls>
        <c:axId val="847627056"/>
        <c:axId val="847628016"/>
        <c:extLst>
          <c:ext xmlns:c15="http://schemas.microsoft.com/office/drawing/2012/chart" uri="{02D57815-91ED-43cb-92C2-25804820EDAC}">
            <c15:filteredScatterSeries>
              <c15:ser>
                <c:idx val="0"/>
                <c:order val="0"/>
                <c:spPr>
                  <a:ln w="25400" cap="rnd">
                    <a:noFill/>
                    <a:round/>
                  </a:ln>
                  <a:effectLst/>
                </c:spPr>
                <c:marker>
                  <c:symbol val="circle"/>
                  <c:size val="5"/>
                  <c:spPr>
                    <a:solidFill>
                      <a:schemeClr val="accent1"/>
                    </a:solidFill>
                    <a:ln w="9525">
                      <a:solidFill>
                        <a:schemeClr val="accent1"/>
                      </a:solidFill>
                    </a:ln>
                    <a:effectLst/>
                  </c:spPr>
                </c:marker>
                <c:yVal>
                  <c:numRef>
                    <c:extLst>
                      <c:ext uri="{02D57815-91ED-43cb-92C2-25804820EDAC}">
                        <c15:formulaRef>
                          <c15:sqref>'clean_data'!$M$2:$M$501</c15:sqref>
                        </c15:formulaRef>
                      </c:ext>
                    </c:extLst>
                    <c:numCache>
                      <c:formatCode>General</c:formatCode>
                      <c:ptCount val="500"/>
                      <c:pt idx="0">
                        <c:v>128</c:v>
                      </c:pt>
                      <c:pt idx="1">
                        <c:v>88</c:v>
                      </c:pt>
                      <c:pt idx="2">
                        <c:v>92</c:v>
                      </c:pt>
                      <c:pt idx="3">
                        <c:v>113</c:v>
                      </c:pt>
                      <c:pt idx="4">
                        <c:v>46</c:v>
                      </c:pt>
                      <c:pt idx="5">
                        <c:v>14</c:v>
                      </c:pt>
                      <c:pt idx="6">
                        <c:v>68</c:v>
                      </c:pt>
                      <c:pt idx="7">
                        <c:v>66</c:v>
                      </c:pt>
                      <c:pt idx="8">
                        <c:v>87</c:v>
                      </c:pt>
                      <c:pt idx="9">
                        <c:v>76</c:v>
                      </c:pt>
                      <c:pt idx="11">
                        <c:v>95</c:v>
                      </c:pt>
                      <c:pt idx="12">
                        <c:v>48</c:v>
                      </c:pt>
                      <c:pt idx="13">
                        <c:v>127</c:v>
                      </c:pt>
                      <c:pt idx="14">
                        <c:v>105</c:v>
                      </c:pt>
                      <c:pt idx="15">
                        <c:v>16</c:v>
                      </c:pt>
                      <c:pt idx="16">
                        <c:v>10</c:v>
                      </c:pt>
                      <c:pt idx="17">
                        <c:v>112</c:v>
                      </c:pt>
                      <c:pt idx="18">
                        <c:v>31</c:v>
                      </c:pt>
                      <c:pt idx="19">
                        <c:v>146</c:v>
                      </c:pt>
                      <c:pt idx="20">
                        <c:v>149</c:v>
                      </c:pt>
                      <c:pt idx="21">
                        <c:v>140</c:v>
                      </c:pt>
                      <c:pt idx="22">
                        <c:v>97</c:v>
                      </c:pt>
                      <c:pt idx="23">
                        <c:v>37</c:v>
                      </c:pt>
                      <c:pt idx="24">
                        <c:v>110</c:v>
                      </c:pt>
                      <c:pt idx="25">
                        <c:v>133</c:v>
                      </c:pt>
                      <c:pt idx="26">
                        <c:v>27</c:v>
                      </c:pt>
                      <c:pt idx="27">
                        <c:v>95</c:v>
                      </c:pt>
                      <c:pt idx="28">
                        <c:v>78</c:v>
                      </c:pt>
                      <c:pt idx="29">
                        <c:v>76</c:v>
                      </c:pt>
                      <c:pt idx="30">
                        <c:v>69</c:v>
                      </c:pt>
                      <c:pt idx="31">
                        <c:v>102</c:v>
                      </c:pt>
                      <c:pt idx="32">
                        <c:v>85</c:v>
                      </c:pt>
                      <c:pt idx="33">
                        <c:v>33</c:v>
                      </c:pt>
                      <c:pt idx="34">
                        <c:v>29</c:v>
                      </c:pt>
                      <c:pt idx="35">
                        <c:v>59</c:v>
                      </c:pt>
                      <c:pt idx="36">
                        <c:v>117</c:v>
                      </c:pt>
                      <c:pt idx="37">
                        <c:v>150</c:v>
                      </c:pt>
                      <c:pt idx="38">
                        <c:v>128</c:v>
                      </c:pt>
                      <c:pt idx="39">
                        <c:v>110</c:v>
                      </c:pt>
                      <c:pt idx="40">
                        <c:v>38</c:v>
                      </c:pt>
                      <c:pt idx="41">
                        <c:v>22</c:v>
                      </c:pt>
                      <c:pt idx="42">
                        <c:v>94</c:v>
                      </c:pt>
                      <c:pt idx="43">
                        <c:v>78</c:v>
                      </c:pt>
                      <c:pt idx="44">
                        <c:v>31</c:v>
                      </c:pt>
                      <c:pt idx="45">
                        <c:v>95</c:v>
                      </c:pt>
                      <c:pt idx="46">
                        <c:v>139</c:v>
                      </c:pt>
                      <c:pt idx="47">
                        <c:v>53</c:v>
                      </c:pt>
                      <c:pt idx="48">
                        <c:v>133</c:v>
                      </c:pt>
                      <c:pt idx="49">
                        <c:v>120</c:v>
                      </c:pt>
                      <c:pt idx="50">
                        <c:v>120</c:v>
                      </c:pt>
                      <c:pt idx="51">
                        <c:v>32</c:v>
                      </c:pt>
                      <c:pt idx="52">
                        <c:v>83</c:v>
                      </c:pt>
                      <c:pt idx="53">
                        <c:v>10</c:v>
                      </c:pt>
                      <c:pt idx="54">
                        <c:v>31</c:v>
                      </c:pt>
                      <c:pt idx="55">
                        <c:v>130</c:v>
                      </c:pt>
                      <c:pt idx="56">
                        <c:v>110</c:v>
                      </c:pt>
                      <c:pt idx="57">
                        <c:v>103</c:v>
                      </c:pt>
                      <c:pt idx="58">
                        <c:v>100</c:v>
                      </c:pt>
                      <c:pt idx="59">
                        <c:v>117</c:v>
                      </c:pt>
                      <c:pt idx="60">
                        <c:v>36</c:v>
                      </c:pt>
                      <c:pt idx="61">
                        <c:v>114</c:v>
                      </c:pt>
                      <c:pt idx="62">
                        <c:v>60</c:v>
                      </c:pt>
                      <c:pt idx="63">
                        <c:v>83</c:v>
                      </c:pt>
                      <c:pt idx="64">
                        <c:v>50</c:v>
                      </c:pt>
                      <c:pt idx="65">
                        <c:v>44</c:v>
                      </c:pt>
                      <c:pt idx="66">
                        <c:v>108</c:v>
                      </c:pt>
                      <c:pt idx="67">
                        <c:v>142</c:v>
                      </c:pt>
                      <c:pt idx="68">
                        <c:v>95</c:v>
                      </c:pt>
                      <c:pt idx="69">
                        <c:v>19</c:v>
                      </c:pt>
                      <c:pt idx="70">
                        <c:v>70</c:v>
                      </c:pt>
                      <c:pt idx="71">
                        <c:v>137</c:v>
                      </c:pt>
                      <c:pt idx="72">
                        <c:v>79</c:v>
                      </c:pt>
                      <c:pt idx="73">
                        <c:v>60</c:v>
                      </c:pt>
                      <c:pt idx="74">
                        <c:v>50</c:v>
                      </c:pt>
                      <c:pt idx="75">
                        <c:v>94</c:v>
                      </c:pt>
                      <c:pt idx="76">
                        <c:v>150</c:v>
                      </c:pt>
                      <c:pt idx="77">
                        <c:v>63</c:v>
                      </c:pt>
                      <c:pt idx="78">
                        <c:v>19</c:v>
                      </c:pt>
                      <c:pt idx="79">
                        <c:v>60</c:v>
                      </c:pt>
                      <c:pt idx="80">
                        <c:v>51</c:v>
                      </c:pt>
                      <c:pt idx="81">
                        <c:v>27</c:v>
                      </c:pt>
                      <c:pt idx="82">
                        <c:v>55</c:v>
                      </c:pt>
                      <c:pt idx="83">
                        <c:v>30</c:v>
                      </c:pt>
                      <c:pt idx="84">
                        <c:v>71</c:v>
                      </c:pt>
                      <c:pt idx="85">
                        <c:v>125</c:v>
                      </c:pt>
                      <c:pt idx="86">
                        <c:v>12</c:v>
                      </c:pt>
                      <c:pt idx="87">
                        <c:v>122</c:v>
                      </c:pt>
                      <c:pt idx="88">
                        <c:v>102</c:v>
                      </c:pt>
                      <c:pt idx="89">
                        <c:v>92</c:v>
                      </c:pt>
                      <c:pt idx="90">
                        <c:v>70</c:v>
                      </c:pt>
                      <c:pt idx="91">
                        <c:v>26</c:v>
                      </c:pt>
                      <c:pt idx="92">
                        <c:v>82</c:v>
                      </c:pt>
                      <c:pt idx="93">
                        <c:v>15</c:v>
                      </c:pt>
                      <c:pt idx="94">
                        <c:v>107</c:v>
                      </c:pt>
                      <c:pt idx="95">
                        <c:v>123</c:v>
                      </c:pt>
                      <c:pt idx="96">
                        <c:v>147</c:v>
                      </c:pt>
                      <c:pt idx="97">
                        <c:v>83</c:v>
                      </c:pt>
                      <c:pt idx="98">
                        <c:v>106</c:v>
                      </c:pt>
                      <c:pt idx="99">
                        <c:v>32</c:v>
                      </c:pt>
                      <c:pt idx="100">
                        <c:v>16</c:v>
                      </c:pt>
                      <c:pt idx="101">
                        <c:v>38</c:v>
                      </c:pt>
                      <c:pt idx="102">
                        <c:v>47</c:v>
                      </c:pt>
                      <c:pt idx="103">
                        <c:v>93</c:v>
                      </c:pt>
                      <c:pt idx="104">
                        <c:v>84</c:v>
                      </c:pt>
                      <c:pt idx="105">
                        <c:v>28</c:v>
                      </c:pt>
                      <c:pt idx="106">
                        <c:v>136</c:v>
                      </c:pt>
                      <c:pt idx="107">
                        <c:v>144</c:v>
                      </c:pt>
                      <c:pt idx="108">
                        <c:v>45</c:v>
                      </c:pt>
                      <c:pt idx="109">
                        <c:v>108</c:v>
                      </c:pt>
                      <c:pt idx="110">
                        <c:v>81</c:v>
                      </c:pt>
                      <c:pt idx="111">
                        <c:v>136</c:v>
                      </c:pt>
                      <c:pt idx="112">
                        <c:v>19</c:v>
                      </c:pt>
                      <c:pt idx="113">
                        <c:v>96</c:v>
                      </c:pt>
                      <c:pt idx="114">
                        <c:v>138</c:v>
                      </c:pt>
                      <c:pt idx="115">
                        <c:v>127</c:v>
                      </c:pt>
                      <c:pt idx="116">
                        <c:v>96</c:v>
                      </c:pt>
                      <c:pt idx="117">
                        <c:v>75</c:v>
                      </c:pt>
                      <c:pt idx="118">
                        <c:v>127</c:v>
                      </c:pt>
                      <c:pt idx="119">
                        <c:v>94</c:v>
                      </c:pt>
                      <c:pt idx="120">
                        <c:v>129</c:v>
                      </c:pt>
                      <c:pt idx="121">
                        <c:v>46</c:v>
                      </c:pt>
                      <c:pt idx="122">
                        <c:v>44</c:v>
                      </c:pt>
                      <c:pt idx="123">
                        <c:v>133</c:v>
                      </c:pt>
                      <c:pt idx="124">
                        <c:v>125</c:v>
                      </c:pt>
                      <c:pt idx="125">
                        <c:v>61</c:v>
                      </c:pt>
                      <c:pt idx="126">
                        <c:v>59</c:v>
                      </c:pt>
                      <c:pt idx="127">
                        <c:v>82</c:v>
                      </c:pt>
                      <c:pt idx="128">
                        <c:v>147</c:v>
                      </c:pt>
                      <c:pt idx="129">
                        <c:v>38</c:v>
                      </c:pt>
                      <c:pt idx="130">
                        <c:v>137</c:v>
                      </c:pt>
                      <c:pt idx="131">
                        <c:v>46</c:v>
                      </c:pt>
                      <c:pt idx="132">
                        <c:v>30</c:v>
                      </c:pt>
                      <c:pt idx="133">
                        <c:v>47</c:v>
                      </c:pt>
                      <c:pt idx="134">
                        <c:v>95</c:v>
                      </c:pt>
                      <c:pt idx="135">
                        <c:v>129</c:v>
                      </c:pt>
                      <c:pt idx="136">
                        <c:v>75</c:v>
                      </c:pt>
                      <c:pt idx="137">
                        <c:v>20</c:v>
                      </c:pt>
                      <c:pt idx="138">
                        <c:v>55</c:v>
                      </c:pt>
                      <c:pt idx="139">
                        <c:v>76</c:v>
                      </c:pt>
                      <c:pt idx="140">
                        <c:v>62</c:v>
                      </c:pt>
                      <c:pt idx="141">
                        <c:v>30</c:v>
                      </c:pt>
                      <c:pt idx="142">
                        <c:v>125</c:v>
                      </c:pt>
                      <c:pt idx="143">
                        <c:v>136</c:v>
                      </c:pt>
                      <c:pt idx="144">
                        <c:v>144</c:v>
                      </c:pt>
                      <c:pt idx="145">
                        <c:v>14</c:v>
                      </c:pt>
                      <c:pt idx="146">
                        <c:v>134</c:v>
                      </c:pt>
                      <c:pt idx="147">
                        <c:v>78</c:v>
                      </c:pt>
                      <c:pt idx="148">
                        <c:v>11</c:v>
                      </c:pt>
                      <c:pt idx="149">
                        <c:v>32</c:v>
                      </c:pt>
                      <c:pt idx="150">
                        <c:v>20</c:v>
                      </c:pt>
                      <c:pt idx="151">
                        <c:v>118</c:v>
                      </c:pt>
                      <c:pt idx="153">
                        <c:v>10</c:v>
                      </c:pt>
                      <c:pt idx="154">
                        <c:v>90</c:v>
                      </c:pt>
                      <c:pt idx="155">
                        <c:v>125</c:v>
                      </c:pt>
                      <c:pt idx="156">
                        <c:v>57</c:v>
                      </c:pt>
                      <c:pt idx="157">
                        <c:v>38</c:v>
                      </c:pt>
                      <c:pt idx="158">
                        <c:v>137</c:v>
                      </c:pt>
                      <c:pt idx="159">
                        <c:v>95</c:v>
                      </c:pt>
                      <c:pt idx="160">
                        <c:v>59</c:v>
                      </c:pt>
                      <c:pt idx="161">
                        <c:v>129</c:v>
                      </c:pt>
                      <c:pt idx="162">
                        <c:v>94</c:v>
                      </c:pt>
                      <c:pt idx="163">
                        <c:v>122</c:v>
                      </c:pt>
                      <c:pt idx="164">
                        <c:v>110</c:v>
                      </c:pt>
                      <c:pt idx="165">
                        <c:v>39</c:v>
                      </c:pt>
                      <c:pt idx="166">
                        <c:v>148</c:v>
                      </c:pt>
                      <c:pt idx="167">
                        <c:v>139</c:v>
                      </c:pt>
                      <c:pt idx="168">
                        <c:v>149</c:v>
                      </c:pt>
                      <c:pt idx="169">
                        <c:v>114</c:v>
                      </c:pt>
                      <c:pt idx="170">
                        <c:v>114</c:v>
                      </c:pt>
                      <c:pt idx="171">
                        <c:v>72</c:v>
                      </c:pt>
                      <c:pt idx="172">
                        <c:v>62</c:v>
                      </c:pt>
                      <c:pt idx="173">
                        <c:v>11</c:v>
                      </c:pt>
                      <c:pt idx="174">
                        <c:v>105</c:v>
                      </c:pt>
                      <c:pt idx="175">
                        <c:v>31</c:v>
                      </c:pt>
                      <c:pt idx="176">
                        <c:v>137</c:v>
                      </c:pt>
                      <c:pt idx="177">
                        <c:v>122</c:v>
                      </c:pt>
                      <c:pt idx="178">
                        <c:v>149</c:v>
                      </c:pt>
                      <c:pt idx="179">
                        <c:v>134</c:v>
                      </c:pt>
                      <c:pt idx="180">
                        <c:v>111</c:v>
                      </c:pt>
                      <c:pt idx="181">
                        <c:v>70</c:v>
                      </c:pt>
                      <c:pt idx="182">
                        <c:v>143</c:v>
                      </c:pt>
                      <c:pt idx="183">
                        <c:v>144</c:v>
                      </c:pt>
                      <c:pt idx="184">
                        <c:v>59</c:v>
                      </c:pt>
                      <c:pt idx="185">
                        <c:v>113</c:v>
                      </c:pt>
                      <c:pt idx="186">
                        <c:v>138</c:v>
                      </c:pt>
                      <c:pt idx="187">
                        <c:v>117</c:v>
                      </c:pt>
                      <c:pt idx="188">
                        <c:v>129</c:v>
                      </c:pt>
                      <c:pt idx="189">
                        <c:v>70</c:v>
                      </c:pt>
                      <c:pt idx="190">
                        <c:v>99</c:v>
                      </c:pt>
                      <c:pt idx="191">
                        <c:v>23</c:v>
                      </c:pt>
                      <c:pt idx="192">
                        <c:v>65</c:v>
                      </c:pt>
                      <c:pt idx="193">
                        <c:v>141</c:v>
                      </c:pt>
                      <c:pt idx="194">
                        <c:v>116</c:v>
                      </c:pt>
                      <c:pt idx="195">
                        <c:v>58</c:v>
                      </c:pt>
                      <c:pt idx="197">
                        <c:v>61</c:v>
                      </c:pt>
                      <c:pt idx="198">
                        <c:v>61</c:v>
                      </c:pt>
                      <c:pt idx="199">
                        <c:v>102</c:v>
                      </c:pt>
                      <c:pt idx="200">
                        <c:v>70</c:v>
                      </c:pt>
                      <c:pt idx="201">
                        <c:v>77</c:v>
                      </c:pt>
                      <c:pt idx="202">
                        <c:v>125</c:v>
                      </c:pt>
                      <c:pt idx="203">
                        <c:v>82</c:v>
                      </c:pt>
                      <c:pt idx="204">
                        <c:v>146</c:v>
                      </c:pt>
                      <c:pt idx="205">
                        <c:v>96</c:v>
                      </c:pt>
                      <c:pt idx="206">
                        <c:v>129</c:v>
                      </c:pt>
                      <c:pt idx="207">
                        <c:v>102</c:v>
                      </c:pt>
                      <c:pt idx="208">
                        <c:v>106</c:v>
                      </c:pt>
                      <c:pt idx="209">
                        <c:v>138</c:v>
                      </c:pt>
                      <c:pt idx="210">
                        <c:v>133</c:v>
                      </c:pt>
                      <c:pt idx="211">
                        <c:v>78</c:v>
                      </c:pt>
                      <c:pt idx="212">
                        <c:v>143</c:v>
                      </c:pt>
                      <c:pt idx="213">
                        <c:v>100</c:v>
                      </c:pt>
                      <c:pt idx="214">
                        <c:v>132</c:v>
                      </c:pt>
                      <c:pt idx="215">
                        <c:v>42</c:v>
                      </c:pt>
                      <c:pt idx="216">
                        <c:v>112</c:v>
                      </c:pt>
                      <c:pt idx="217">
                        <c:v>72</c:v>
                      </c:pt>
                      <c:pt idx="218">
                        <c:v>136</c:v>
                      </c:pt>
                      <c:pt idx="219">
                        <c:v>13</c:v>
                      </c:pt>
                      <c:pt idx="220">
                        <c:v>118</c:v>
                      </c:pt>
                      <c:pt idx="221">
                        <c:v>13</c:v>
                      </c:pt>
                      <c:pt idx="222">
                        <c:v>69</c:v>
                      </c:pt>
                      <c:pt idx="223">
                        <c:v>31</c:v>
                      </c:pt>
                      <c:pt idx="224">
                        <c:v>106</c:v>
                      </c:pt>
                      <c:pt idx="225">
                        <c:v>127</c:v>
                      </c:pt>
                      <c:pt idx="226">
                        <c:v>80</c:v>
                      </c:pt>
                      <c:pt idx="227">
                        <c:v>29</c:v>
                      </c:pt>
                      <c:pt idx="228">
                        <c:v>18</c:v>
                      </c:pt>
                      <c:pt idx="229">
                        <c:v>67</c:v>
                      </c:pt>
                      <c:pt idx="230">
                        <c:v>10</c:v>
                      </c:pt>
                      <c:pt idx="231">
                        <c:v>65</c:v>
                      </c:pt>
                      <c:pt idx="232">
                        <c:v>27</c:v>
                      </c:pt>
                      <c:pt idx="233">
                        <c:v>44</c:v>
                      </c:pt>
                      <c:pt idx="234">
                        <c:v>89</c:v>
                      </c:pt>
                      <c:pt idx="235">
                        <c:v>33</c:v>
                      </c:pt>
                      <c:pt idx="236">
                        <c:v>104</c:v>
                      </c:pt>
                      <c:pt idx="238">
                        <c:v>52</c:v>
                      </c:pt>
                      <c:pt idx="239">
                        <c:v>103</c:v>
                      </c:pt>
                      <c:pt idx="240">
                        <c:v>112</c:v>
                      </c:pt>
                      <c:pt idx="241">
                        <c:v>115</c:v>
                      </c:pt>
                      <c:pt idx="242">
                        <c:v>42</c:v>
                      </c:pt>
                      <c:pt idx="244">
                        <c:v>127</c:v>
                      </c:pt>
                      <c:pt idx="245">
                        <c:v>106</c:v>
                      </c:pt>
                      <c:pt idx="246">
                        <c:v>92</c:v>
                      </c:pt>
                      <c:pt idx="247">
                        <c:v>90</c:v>
                      </c:pt>
                      <c:pt idx="248">
                        <c:v>52</c:v>
                      </c:pt>
                      <c:pt idx="249">
                        <c:v>69</c:v>
                      </c:pt>
                      <c:pt idx="250">
                        <c:v>137</c:v>
                      </c:pt>
                      <c:pt idx="251">
                        <c:v>67</c:v>
                      </c:pt>
                      <c:pt idx="252">
                        <c:v>44</c:v>
                      </c:pt>
                      <c:pt idx="253">
                        <c:v>110</c:v>
                      </c:pt>
                      <c:pt idx="254">
                        <c:v>92</c:v>
                      </c:pt>
                      <c:pt idx="255">
                        <c:v>37</c:v>
                      </c:pt>
                      <c:pt idx="256">
                        <c:v>116</c:v>
                      </c:pt>
                      <c:pt idx="257">
                        <c:v>88</c:v>
                      </c:pt>
                      <c:pt idx="259">
                        <c:v>30</c:v>
                      </c:pt>
                      <c:pt idx="261">
                        <c:v>122</c:v>
                      </c:pt>
                      <c:pt idx="262">
                        <c:v>64</c:v>
                      </c:pt>
                      <c:pt idx="263">
                        <c:v>127</c:v>
                      </c:pt>
                      <c:pt idx="264">
                        <c:v>34</c:v>
                      </c:pt>
                      <c:pt idx="265">
                        <c:v>21</c:v>
                      </c:pt>
                      <c:pt idx="266">
                        <c:v>45</c:v>
                      </c:pt>
                      <c:pt idx="267">
                        <c:v>45</c:v>
                      </c:pt>
                      <c:pt idx="268">
                        <c:v>120</c:v>
                      </c:pt>
                      <c:pt idx="269">
                        <c:v>141</c:v>
                      </c:pt>
                      <c:pt idx="270">
                        <c:v>140</c:v>
                      </c:pt>
                      <c:pt idx="271">
                        <c:v>81</c:v>
                      </c:pt>
                      <c:pt idx="272">
                        <c:v>75</c:v>
                      </c:pt>
                      <c:pt idx="273">
                        <c:v>109</c:v>
                      </c:pt>
                      <c:pt idx="274">
                        <c:v>132</c:v>
                      </c:pt>
                      <c:pt idx="275">
                        <c:v>107</c:v>
                      </c:pt>
                      <c:pt idx="276">
                        <c:v>80</c:v>
                      </c:pt>
                      <c:pt idx="277">
                        <c:v>31</c:v>
                      </c:pt>
                      <c:pt idx="278">
                        <c:v>134</c:v>
                      </c:pt>
                      <c:pt idx="279">
                        <c:v>51</c:v>
                      </c:pt>
                      <c:pt idx="280">
                        <c:v>82</c:v>
                      </c:pt>
                      <c:pt idx="281">
                        <c:v>89</c:v>
                      </c:pt>
                      <c:pt idx="282">
                        <c:v>78</c:v>
                      </c:pt>
                      <c:pt idx="283">
                        <c:v>67</c:v>
                      </c:pt>
                      <c:pt idx="284">
                        <c:v>28</c:v>
                      </c:pt>
                      <c:pt idx="285">
                        <c:v>46</c:v>
                      </c:pt>
                      <c:pt idx="286">
                        <c:v>105</c:v>
                      </c:pt>
                      <c:pt idx="287">
                        <c:v>84</c:v>
                      </c:pt>
                      <c:pt idx="288">
                        <c:v>28</c:v>
                      </c:pt>
                      <c:pt idx="290">
                        <c:v>20</c:v>
                      </c:pt>
                      <c:pt idx="292">
                        <c:v>142</c:v>
                      </c:pt>
                      <c:pt idx="293">
                        <c:v>107</c:v>
                      </c:pt>
                      <c:pt idx="294">
                        <c:v>136</c:v>
                      </c:pt>
                      <c:pt idx="295">
                        <c:v>26</c:v>
                      </c:pt>
                      <c:pt idx="296">
                        <c:v>142</c:v>
                      </c:pt>
                      <c:pt idx="297">
                        <c:v>77</c:v>
                      </c:pt>
                      <c:pt idx="298">
                        <c:v>130</c:v>
                      </c:pt>
                      <c:pt idx="299">
                        <c:v>83</c:v>
                      </c:pt>
                      <c:pt idx="300">
                        <c:v>57</c:v>
                      </c:pt>
                      <c:pt idx="301">
                        <c:v>118</c:v>
                      </c:pt>
                      <c:pt idx="302">
                        <c:v>100</c:v>
                      </c:pt>
                      <c:pt idx="303">
                        <c:v>13</c:v>
                      </c:pt>
                      <c:pt idx="304">
                        <c:v>49</c:v>
                      </c:pt>
                      <c:pt idx="305">
                        <c:v>87</c:v>
                      </c:pt>
                      <c:pt idx="306">
                        <c:v>54</c:v>
                      </c:pt>
                      <c:pt idx="307">
                        <c:v>106</c:v>
                      </c:pt>
                      <c:pt idx="308">
                        <c:v>84</c:v>
                      </c:pt>
                      <c:pt idx="309">
                        <c:v>70</c:v>
                      </c:pt>
                      <c:pt idx="310">
                        <c:v>23</c:v>
                      </c:pt>
                      <c:pt idx="311">
                        <c:v>52</c:v>
                      </c:pt>
                      <c:pt idx="312">
                        <c:v>73</c:v>
                      </c:pt>
                      <c:pt idx="313">
                        <c:v>32</c:v>
                      </c:pt>
                      <c:pt idx="314">
                        <c:v>148</c:v>
                      </c:pt>
                      <c:pt idx="315">
                        <c:v>77</c:v>
                      </c:pt>
                      <c:pt idx="316">
                        <c:v>15</c:v>
                      </c:pt>
                      <c:pt idx="317">
                        <c:v>58</c:v>
                      </c:pt>
                      <c:pt idx="318">
                        <c:v>125</c:v>
                      </c:pt>
                      <c:pt idx="319">
                        <c:v>88</c:v>
                      </c:pt>
                      <c:pt idx="320">
                        <c:v>43</c:v>
                      </c:pt>
                      <c:pt idx="321">
                        <c:v>46</c:v>
                      </c:pt>
                      <c:pt idx="322">
                        <c:v>76</c:v>
                      </c:pt>
                      <c:pt idx="323">
                        <c:v>142</c:v>
                      </c:pt>
                      <c:pt idx="324">
                        <c:v>27</c:v>
                      </c:pt>
                      <c:pt idx="325">
                        <c:v>124</c:v>
                      </c:pt>
                      <c:pt idx="326">
                        <c:v>68</c:v>
                      </c:pt>
                      <c:pt idx="327">
                        <c:v>25</c:v>
                      </c:pt>
                      <c:pt idx="328">
                        <c:v>50</c:v>
                      </c:pt>
                      <c:pt idx="329">
                        <c:v>38</c:v>
                      </c:pt>
                      <c:pt idx="330">
                        <c:v>28</c:v>
                      </c:pt>
                      <c:pt idx="331">
                        <c:v>75</c:v>
                      </c:pt>
                      <c:pt idx="332">
                        <c:v>137</c:v>
                      </c:pt>
                      <c:pt idx="333">
                        <c:v>73</c:v>
                      </c:pt>
                      <c:pt idx="334">
                        <c:v>10</c:v>
                      </c:pt>
                      <c:pt idx="335">
                        <c:v>98</c:v>
                      </c:pt>
                      <c:pt idx="336">
                        <c:v>104</c:v>
                      </c:pt>
                      <c:pt idx="337">
                        <c:v>118</c:v>
                      </c:pt>
                      <c:pt idx="338">
                        <c:v>32</c:v>
                      </c:pt>
                      <c:pt idx="339">
                        <c:v>80</c:v>
                      </c:pt>
                      <c:pt idx="340">
                        <c:v>12</c:v>
                      </c:pt>
                      <c:pt idx="341">
                        <c:v>11</c:v>
                      </c:pt>
                      <c:pt idx="342">
                        <c:v>75</c:v>
                      </c:pt>
                      <c:pt idx="343">
                        <c:v>85</c:v>
                      </c:pt>
                      <c:pt idx="344">
                        <c:v>70</c:v>
                      </c:pt>
                      <c:pt idx="345">
                        <c:v>48</c:v>
                      </c:pt>
                      <c:pt idx="346">
                        <c:v>124</c:v>
                      </c:pt>
                      <c:pt idx="347">
                        <c:v>83</c:v>
                      </c:pt>
                      <c:pt idx="348">
                        <c:v>118</c:v>
                      </c:pt>
                      <c:pt idx="349">
                        <c:v>68</c:v>
                      </c:pt>
                      <c:pt idx="350">
                        <c:v>78</c:v>
                      </c:pt>
                      <c:pt idx="351">
                        <c:v>47</c:v>
                      </c:pt>
                      <c:pt idx="352">
                        <c:v>84</c:v>
                      </c:pt>
                      <c:pt idx="353">
                        <c:v>121</c:v>
                      </c:pt>
                      <c:pt idx="354">
                        <c:v>43</c:v>
                      </c:pt>
                      <c:pt idx="355">
                        <c:v>69</c:v>
                      </c:pt>
                      <c:pt idx="356">
                        <c:v>48</c:v>
                      </c:pt>
                      <c:pt idx="357">
                        <c:v>146</c:v>
                      </c:pt>
                      <c:pt idx="358">
                        <c:v>148</c:v>
                      </c:pt>
                      <c:pt idx="359">
                        <c:v>147</c:v>
                      </c:pt>
                      <c:pt idx="360">
                        <c:v>53</c:v>
                      </c:pt>
                      <c:pt idx="361">
                        <c:v>21</c:v>
                      </c:pt>
                      <c:pt idx="362">
                        <c:v>83</c:v>
                      </c:pt>
                      <c:pt idx="363">
                        <c:v>92</c:v>
                      </c:pt>
                      <c:pt idx="364">
                        <c:v>135</c:v>
                      </c:pt>
                      <c:pt idx="365">
                        <c:v>83</c:v>
                      </c:pt>
                      <c:pt idx="366">
                        <c:v>71</c:v>
                      </c:pt>
                      <c:pt idx="367">
                        <c:v>125</c:v>
                      </c:pt>
                      <c:pt idx="368">
                        <c:v>77</c:v>
                      </c:pt>
                      <c:pt idx="369">
                        <c:v>71</c:v>
                      </c:pt>
                      <c:pt idx="370">
                        <c:v>109</c:v>
                      </c:pt>
                      <c:pt idx="371">
                        <c:v>98</c:v>
                      </c:pt>
                      <c:pt idx="372">
                        <c:v>30</c:v>
                      </c:pt>
                      <c:pt idx="373">
                        <c:v>14</c:v>
                      </c:pt>
                      <c:pt idx="374">
                        <c:v>149</c:v>
                      </c:pt>
                      <c:pt idx="376">
                        <c:v>106</c:v>
                      </c:pt>
                      <c:pt idx="378">
                        <c:v>42</c:v>
                      </c:pt>
                      <c:pt idx="379">
                        <c:v>98</c:v>
                      </c:pt>
                      <c:pt idx="380">
                        <c:v>136</c:v>
                      </c:pt>
                      <c:pt idx="381">
                        <c:v>22</c:v>
                      </c:pt>
                      <c:pt idx="382">
                        <c:v>91</c:v>
                      </c:pt>
                      <c:pt idx="383">
                        <c:v>102</c:v>
                      </c:pt>
                      <c:pt idx="384">
                        <c:v>88</c:v>
                      </c:pt>
                      <c:pt idx="385">
                        <c:v>29</c:v>
                      </c:pt>
                      <c:pt idx="386">
                        <c:v>82</c:v>
                      </c:pt>
                      <c:pt idx="387">
                        <c:v>84</c:v>
                      </c:pt>
                      <c:pt idx="388">
                        <c:v>56</c:v>
                      </c:pt>
                      <c:pt idx="389">
                        <c:v>18</c:v>
                      </c:pt>
                      <c:pt idx="390">
                        <c:v>54</c:v>
                      </c:pt>
                      <c:pt idx="391">
                        <c:v>26</c:v>
                      </c:pt>
                      <c:pt idx="392">
                        <c:v>16</c:v>
                      </c:pt>
                      <c:pt idx="393">
                        <c:v>114</c:v>
                      </c:pt>
                      <c:pt idx="394">
                        <c:v>59</c:v>
                      </c:pt>
                      <c:pt idx="395">
                        <c:v>46</c:v>
                      </c:pt>
                      <c:pt idx="396">
                        <c:v>130</c:v>
                      </c:pt>
                      <c:pt idx="397">
                        <c:v>36</c:v>
                      </c:pt>
                      <c:pt idx="398">
                        <c:v>87</c:v>
                      </c:pt>
                      <c:pt idx="399">
                        <c:v>139</c:v>
                      </c:pt>
                      <c:pt idx="400">
                        <c:v>56</c:v>
                      </c:pt>
                      <c:pt idx="401">
                        <c:v>148</c:v>
                      </c:pt>
                      <c:pt idx="402">
                        <c:v>113</c:v>
                      </c:pt>
                      <c:pt idx="403">
                        <c:v>51</c:v>
                      </c:pt>
                      <c:pt idx="404">
                        <c:v>16</c:v>
                      </c:pt>
                      <c:pt idx="405">
                        <c:v>46</c:v>
                      </c:pt>
                      <c:pt idx="406">
                        <c:v>144</c:v>
                      </c:pt>
                      <c:pt idx="407">
                        <c:v>86</c:v>
                      </c:pt>
                      <c:pt idx="408">
                        <c:v>22</c:v>
                      </c:pt>
                      <c:pt idx="409">
                        <c:v>67</c:v>
                      </c:pt>
                      <c:pt idx="410">
                        <c:v>81</c:v>
                      </c:pt>
                      <c:pt idx="411">
                        <c:v>71</c:v>
                      </c:pt>
                      <c:pt idx="412">
                        <c:v>48</c:v>
                      </c:pt>
                      <c:pt idx="413">
                        <c:v>28</c:v>
                      </c:pt>
                      <c:pt idx="414">
                        <c:v>102</c:v>
                      </c:pt>
                      <c:pt idx="415">
                        <c:v>146</c:v>
                      </c:pt>
                      <c:pt idx="416">
                        <c:v>84</c:v>
                      </c:pt>
                      <c:pt idx="417">
                        <c:v>147</c:v>
                      </c:pt>
                      <c:pt idx="418">
                        <c:v>66</c:v>
                      </c:pt>
                      <c:pt idx="419">
                        <c:v>11</c:v>
                      </c:pt>
                      <c:pt idx="420">
                        <c:v>127</c:v>
                      </c:pt>
                      <c:pt idx="421">
                        <c:v>34</c:v>
                      </c:pt>
                      <c:pt idx="422">
                        <c:v>146</c:v>
                      </c:pt>
                      <c:pt idx="423">
                        <c:v>69</c:v>
                      </c:pt>
                      <c:pt idx="424">
                        <c:v>28</c:v>
                      </c:pt>
                      <c:pt idx="425">
                        <c:v>47</c:v>
                      </c:pt>
                      <c:pt idx="426">
                        <c:v>70</c:v>
                      </c:pt>
                      <c:pt idx="427">
                        <c:v>54</c:v>
                      </c:pt>
                      <c:pt idx="428">
                        <c:v>25</c:v>
                      </c:pt>
                      <c:pt idx="429">
                        <c:v>120</c:v>
                      </c:pt>
                      <c:pt idx="430">
                        <c:v>136</c:v>
                      </c:pt>
                      <c:pt idx="431">
                        <c:v>140</c:v>
                      </c:pt>
                      <c:pt idx="432">
                        <c:v>99</c:v>
                      </c:pt>
                      <c:pt idx="433">
                        <c:v>82</c:v>
                      </c:pt>
                      <c:pt idx="434">
                        <c:v>20</c:v>
                      </c:pt>
                      <c:pt idx="435">
                        <c:v>44</c:v>
                      </c:pt>
                      <c:pt idx="436">
                        <c:v>33</c:v>
                      </c:pt>
                      <c:pt idx="437">
                        <c:v>50</c:v>
                      </c:pt>
                      <c:pt idx="438">
                        <c:v>30</c:v>
                      </c:pt>
                      <c:pt idx="439">
                        <c:v>58</c:v>
                      </c:pt>
                      <c:pt idx="440">
                        <c:v>109</c:v>
                      </c:pt>
                      <c:pt idx="441">
                        <c:v>137</c:v>
                      </c:pt>
                      <c:pt idx="442">
                        <c:v>31</c:v>
                      </c:pt>
                      <c:pt idx="443">
                        <c:v>116</c:v>
                      </c:pt>
                      <c:pt idx="444">
                        <c:v>104</c:v>
                      </c:pt>
                      <c:pt idx="445">
                        <c:v>130</c:v>
                      </c:pt>
                      <c:pt idx="446">
                        <c:v>66</c:v>
                      </c:pt>
                      <c:pt idx="447">
                        <c:v>30</c:v>
                      </c:pt>
                      <c:pt idx="448">
                        <c:v>50</c:v>
                      </c:pt>
                      <c:pt idx="449">
                        <c:v>43</c:v>
                      </c:pt>
                      <c:pt idx="450">
                        <c:v>144</c:v>
                      </c:pt>
                      <c:pt idx="451">
                        <c:v>20</c:v>
                      </c:pt>
                      <c:pt idx="452">
                        <c:v>110</c:v>
                      </c:pt>
                      <c:pt idx="453">
                        <c:v>41</c:v>
                      </c:pt>
                      <c:pt idx="454">
                        <c:v>123</c:v>
                      </c:pt>
                      <c:pt idx="455">
                        <c:v>17</c:v>
                      </c:pt>
                      <c:pt idx="456">
                        <c:v>28</c:v>
                      </c:pt>
                      <c:pt idx="457">
                        <c:v>111</c:v>
                      </c:pt>
                      <c:pt idx="458">
                        <c:v>73</c:v>
                      </c:pt>
                      <c:pt idx="459">
                        <c:v>12</c:v>
                      </c:pt>
                      <c:pt idx="460">
                        <c:v>113</c:v>
                      </c:pt>
                      <c:pt idx="461">
                        <c:v>88</c:v>
                      </c:pt>
                      <c:pt idx="462">
                        <c:v>89</c:v>
                      </c:pt>
                      <c:pt idx="463">
                        <c:v>144</c:v>
                      </c:pt>
                      <c:pt idx="464">
                        <c:v>90</c:v>
                      </c:pt>
                      <c:pt idx="465">
                        <c:v>144</c:v>
                      </c:pt>
                      <c:pt idx="466">
                        <c:v>60</c:v>
                      </c:pt>
                      <c:pt idx="467">
                        <c:v>53</c:v>
                      </c:pt>
                      <c:pt idx="468">
                        <c:v>51</c:v>
                      </c:pt>
                      <c:pt idx="469">
                        <c:v>113</c:v>
                      </c:pt>
                      <c:pt idx="470">
                        <c:v>124</c:v>
                      </c:pt>
                      <c:pt idx="471">
                        <c:v>129</c:v>
                      </c:pt>
                      <c:pt idx="472">
                        <c:v>29</c:v>
                      </c:pt>
                      <c:pt idx="473">
                        <c:v>89</c:v>
                      </c:pt>
                      <c:pt idx="474">
                        <c:v>75</c:v>
                      </c:pt>
                      <c:pt idx="475">
                        <c:v>106</c:v>
                      </c:pt>
                      <c:pt idx="476">
                        <c:v>35</c:v>
                      </c:pt>
                      <c:pt idx="477">
                        <c:v>24</c:v>
                      </c:pt>
                      <c:pt idx="478">
                        <c:v>101</c:v>
                      </c:pt>
                      <c:pt idx="479">
                        <c:v>44</c:v>
                      </c:pt>
                      <c:pt idx="480">
                        <c:v>119</c:v>
                      </c:pt>
                      <c:pt idx="481">
                        <c:v>130</c:v>
                      </c:pt>
                      <c:pt idx="482">
                        <c:v>32</c:v>
                      </c:pt>
                      <c:pt idx="483">
                        <c:v>56</c:v>
                      </c:pt>
                      <c:pt idx="484">
                        <c:v>75</c:v>
                      </c:pt>
                      <c:pt idx="485">
                        <c:v>81</c:v>
                      </c:pt>
                      <c:pt idx="486">
                        <c:v>72</c:v>
                      </c:pt>
                      <c:pt idx="487">
                        <c:v>62</c:v>
                      </c:pt>
                      <c:pt idx="488">
                        <c:v>148</c:v>
                      </c:pt>
                      <c:pt idx="489">
                        <c:v>53</c:v>
                      </c:pt>
                      <c:pt idx="490">
                        <c:v>133</c:v>
                      </c:pt>
                      <c:pt idx="491">
                        <c:v>68</c:v>
                      </c:pt>
                      <c:pt idx="492">
                        <c:v>44</c:v>
                      </c:pt>
                      <c:pt idx="493">
                        <c:v>128</c:v>
                      </c:pt>
                      <c:pt idx="494">
                        <c:v>101</c:v>
                      </c:pt>
                      <c:pt idx="495">
                        <c:v>40</c:v>
                      </c:pt>
                      <c:pt idx="496">
                        <c:v>107</c:v>
                      </c:pt>
                      <c:pt idx="497">
                        <c:v>95</c:v>
                      </c:pt>
                      <c:pt idx="498">
                        <c:v>88</c:v>
                      </c:pt>
                      <c:pt idx="499">
                        <c:v>99</c:v>
                      </c:pt>
                    </c:numCache>
                  </c:numRef>
                </c:yVal>
                <c:smooth val="0"/>
                <c:extLst>
                  <c:ext xmlns:c16="http://schemas.microsoft.com/office/drawing/2014/chart" uri="{C3380CC4-5D6E-409C-BE32-E72D297353CC}">
                    <c16:uniqueId val="{00000001-3CE1-4017-BF5F-1464A27E3DDE}"/>
                  </c:ext>
                </c:extLst>
              </c15:ser>
            </c15:filteredScatterSeries>
          </c:ext>
        </c:extLst>
      </c:scatterChart>
      <c:valAx>
        <c:axId val="8476270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3000" b="0" i="0" u="none" strike="noStrike" kern="1200" baseline="0">
                    <a:solidFill>
                      <a:schemeClr val="bg1"/>
                    </a:solidFill>
                    <a:latin typeface="+mn-lt"/>
                    <a:ea typeface="+mn-ea"/>
                    <a:cs typeface="+mn-cs"/>
                  </a:defRPr>
                </a:pPr>
                <a:r>
                  <a:rPr lang="en-US" sz="3000" b="1">
                    <a:solidFill>
                      <a:schemeClr val="bg1"/>
                    </a:solidFill>
                  </a:rPr>
                  <a:t>ATK</a:t>
                </a:r>
              </a:p>
            </c:rich>
          </c:tx>
          <c:overlay val="0"/>
          <c:spPr>
            <a:noFill/>
            <a:ln>
              <a:noFill/>
            </a:ln>
            <a:effectLst/>
          </c:spPr>
          <c:txPr>
            <a:bodyPr rot="0" spcFirstLastPara="1" vertOverflow="ellipsis" vert="horz" wrap="square" anchor="ctr" anchorCtr="1"/>
            <a:lstStyle/>
            <a:p>
              <a:pPr>
                <a:defRPr sz="3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3000" b="0" i="0" u="none" strike="noStrike" kern="1200" baseline="0">
                <a:solidFill>
                  <a:schemeClr val="bg1"/>
                </a:solidFill>
                <a:latin typeface="+mn-lt"/>
                <a:ea typeface="+mn-ea"/>
                <a:cs typeface="+mn-cs"/>
              </a:defRPr>
            </a:pPr>
            <a:endParaRPr lang="en-US"/>
          </a:p>
        </c:txPr>
        <c:crossAx val="847628016"/>
        <c:crosses val="autoZero"/>
        <c:crossBetween val="midCat"/>
      </c:valAx>
      <c:valAx>
        <c:axId val="84762801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3000" b="0" i="0" u="none" strike="noStrike" kern="1200" baseline="0">
                <a:solidFill>
                  <a:schemeClr val="bg1"/>
                </a:solidFill>
                <a:effectLst>
                  <a:glow rad="127000">
                    <a:schemeClr val="bg1">
                      <a:alpha val="32000"/>
                    </a:schemeClr>
                  </a:glow>
                </a:effectLst>
                <a:latin typeface="+mn-lt"/>
                <a:ea typeface="+mn-ea"/>
                <a:cs typeface="+mn-cs"/>
              </a:defRPr>
            </a:pPr>
            <a:endParaRPr lang="en-US"/>
          </a:p>
        </c:txPr>
        <c:crossAx val="8476270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1"/>
        </a:gs>
        <a:gs pos="50000">
          <a:srgbClr val="00B0F0"/>
        </a:gs>
        <a:gs pos="100000">
          <a:schemeClr val="tx1"/>
        </a:gs>
      </a:gsLst>
      <a:lin ang="16200000" scaled="1"/>
    </a:gradFill>
    <a:ln w="9525" cap="flat" cmpd="sng" algn="ctr">
      <a:no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198120</xdr:colOff>
      <xdr:row>16</xdr:row>
      <xdr:rowOff>45721</xdr:rowOff>
    </xdr:from>
    <xdr:to>
      <xdr:col>9</xdr:col>
      <xdr:colOff>426720</xdr:colOff>
      <xdr:row>21</xdr:row>
      <xdr:rowOff>68581</xdr:rowOff>
    </xdr:to>
    <mc:AlternateContent xmlns:mc="http://schemas.openxmlformats.org/markup-compatibility/2006">
      <mc:Choice xmlns:a14="http://schemas.microsoft.com/office/drawing/2010/main" Requires="a14">
        <xdr:graphicFrame macro="">
          <xdr:nvGraphicFramePr>
            <xdr:cNvPr id="2" name="Is Premium">
              <a:extLst>
                <a:ext uri="{FF2B5EF4-FFF2-40B4-BE49-F238E27FC236}">
                  <a16:creationId xmlns:a16="http://schemas.microsoft.com/office/drawing/2014/main" id="{D02E2C5D-2F6A-E386-FD7B-D5833F35DBD6}"/>
                </a:ext>
              </a:extLst>
            </xdr:cNvPr>
            <xdr:cNvGraphicFramePr/>
          </xdr:nvGraphicFramePr>
          <xdr:xfrm>
            <a:off x="0" y="0"/>
            <a:ext cx="0" cy="0"/>
          </xdr:xfrm>
          <a:graphic>
            <a:graphicData uri="http://schemas.microsoft.com/office/drawing/2010/slicer">
              <sle:slicer xmlns:sle="http://schemas.microsoft.com/office/drawing/2010/slicer" name="Is Premium"/>
            </a:graphicData>
          </a:graphic>
        </xdr:graphicFrame>
      </mc:Choice>
      <mc:Fallback>
        <xdr:sp macro="" textlink="">
          <xdr:nvSpPr>
            <xdr:cNvPr id="0" name=""/>
            <xdr:cNvSpPr>
              <a:spLocks noTextEdit="1"/>
            </xdr:cNvSpPr>
          </xdr:nvSpPr>
          <xdr:spPr>
            <a:xfrm>
              <a:off x="6393180" y="2971801"/>
              <a:ext cx="1828800" cy="937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69274</xdr:colOff>
      <xdr:row>42</xdr:row>
      <xdr:rowOff>138546</xdr:rowOff>
    </xdr:from>
    <xdr:to>
      <xdr:col>112</xdr:col>
      <xdr:colOff>484910</xdr:colOff>
      <xdr:row>151</xdr:row>
      <xdr:rowOff>117231</xdr:rowOff>
    </xdr:to>
    <xdr:sp macro="" textlink="">
      <xdr:nvSpPr>
        <xdr:cNvPr id="25" name="Rectangle: Rounded Corners 24">
          <a:extLst>
            <a:ext uri="{FF2B5EF4-FFF2-40B4-BE49-F238E27FC236}">
              <a16:creationId xmlns:a16="http://schemas.microsoft.com/office/drawing/2014/main" id="{C8348AB1-EDDB-42C8-6F6E-846BE2FBF291}"/>
            </a:ext>
          </a:extLst>
        </xdr:cNvPr>
        <xdr:cNvSpPr/>
      </xdr:nvSpPr>
      <xdr:spPr>
        <a:xfrm>
          <a:off x="3586197" y="7524084"/>
          <a:ext cx="62547944" cy="19145916"/>
        </a:xfrm>
        <a:prstGeom prst="roundRect">
          <a:avLst/>
        </a:prstGeom>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44</xdr:col>
      <xdr:colOff>59916</xdr:colOff>
      <xdr:row>55</xdr:row>
      <xdr:rowOff>58616</xdr:rowOff>
    </xdr:from>
    <xdr:to>
      <xdr:col>72</xdr:col>
      <xdr:colOff>351692</xdr:colOff>
      <xdr:row>137</xdr:row>
      <xdr:rowOff>47674</xdr:rowOff>
    </xdr:to>
    <xdr:grpSp>
      <xdr:nvGrpSpPr>
        <xdr:cNvPr id="19" name="Group 18">
          <a:extLst>
            <a:ext uri="{FF2B5EF4-FFF2-40B4-BE49-F238E27FC236}">
              <a16:creationId xmlns:a16="http://schemas.microsoft.com/office/drawing/2014/main" id="{E7E40B97-1AAC-706B-D96B-2E62BBF9950F}"/>
            </a:ext>
          </a:extLst>
        </xdr:cNvPr>
        <xdr:cNvGrpSpPr/>
      </xdr:nvGrpSpPr>
      <xdr:grpSpPr>
        <a:xfrm>
          <a:off x="26137249" y="9371949"/>
          <a:ext cx="16886443" cy="13874392"/>
          <a:chOff x="11244900" y="432932"/>
          <a:chExt cx="5802384" cy="4818073"/>
        </a:xfrm>
      </xdr:grpSpPr>
      <xdr:sp macro="" textlink="">
        <xdr:nvSpPr>
          <xdr:cNvPr id="12" name="Rectangle: Rounded Corners 11">
            <a:extLst>
              <a:ext uri="{FF2B5EF4-FFF2-40B4-BE49-F238E27FC236}">
                <a16:creationId xmlns:a16="http://schemas.microsoft.com/office/drawing/2014/main" id="{2D432F17-5FCB-874A-1158-5F8DD76E8DDC}"/>
              </a:ext>
            </a:extLst>
          </xdr:cNvPr>
          <xdr:cNvSpPr/>
        </xdr:nvSpPr>
        <xdr:spPr>
          <a:xfrm>
            <a:off x="11244900" y="432932"/>
            <a:ext cx="5788526" cy="4818073"/>
          </a:xfrm>
          <a:prstGeom prst="roundRect">
            <a:avLst/>
          </a:prstGeom>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C4C8DB67-7E8C-4449-8586-A0310615469E}"/>
              </a:ext>
            </a:extLst>
          </xdr:cNvPr>
          <xdr:cNvSpPr/>
        </xdr:nvSpPr>
        <xdr:spPr>
          <a:xfrm>
            <a:off x="12796555" y="2334178"/>
            <a:ext cx="3778116" cy="1902304"/>
          </a:xfrm>
          <a:prstGeom prst="roundRect">
            <a:avLst/>
          </a:prstGeom>
          <a:gradFill>
            <a:gsLst>
              <a:gs pos="100000">
                <a:schemeClr val="accent1">
                  <a:lumMod val="35000"/>
                </a:schemeClr>
              </a:gs>
              <a:gs pos="0">
                <a:schemeClr val="tx1"/>
              </a:gs>
              <a:gs pos="50000">
                <a:srgbClr val="00B0F0"/>
              </a:gs>
            </a:gsLst>
            <a:lin ang="5400000" scaled="1"/>
          </a:gradFill>
          <a:ln>
            <a:noFill/>
          </a:ln>
          <a:effectLst>
            <a:outerShdw blurRad="50800" dist="38100" dir="8100000" algn="tr"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b="1"/>
          </a:p>
        </xdr:txBody>
      </xdr:sp>
      <xdr:sp macro="" textlink="">
        <xdr:nvSpPr>
          <xdr:cNvPr id="7" name="Oval 6">
            <a:extLst>
              <a:ext uri="{FF2B5EF4-FFF2-40B4-BE49-F238E27FC236}">
                <a16:creationId xmlns:a16="http://schemas.microsoft.com/office/drawing/2014/main" id="{5269E872-83F6-860C-664B-01577E8C47DA}"/>
              </a:ext>
            </a:extLst>
          </xdr:cNvPr>
          <xdr:cNvSpPr/>
        </xdr:nvSpPr>
        <xdr:spPr>
          <a:xfrm>
            <a:off x="11839581" y="1723363"/>
            <a:ext cx="3329873" cy="3135748"/>
          </a:xfrm>
          <a:prstGeom prst="ellipse">
            <a:avLst/>
          </a:prstGeom>
          <a:gradFill>
            <a:gsLst>
              <a:gs pos="100000">
                <a:schemeClr val="accent1">
                  <a:lumMod val="35000"/>
                </a:schemeClr>
              </a:gs>
              <a:gs pos="50000">
                <a:srgbClr val="00B0F0"/>
              </a:gs>
              <a:gs pos="0">
                <a:schemeClr val="tx1"/>
              </a:gs>
            </a:gsLst>
            <a:lin ang="5400000" scaled="1"/>
          </a:gradFill>
          <a:ln>
            <a:noFill/>
          </a:ln>
          <a:effectLst>
            <a:outerShdw blurRad="50800" dist="38100" dir="8100000" algn="tr"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graphicFrame macro="">
        <xdr:nvGraphicFramePr>
          <xdr:cNvPr id="8" name="Chart 7">
            <a:extLst>
              <a:ext uri="{FF2B5EF4-FFF2-40B4-BE49-F238E27FC236}">
                <a16:creationId xmlns:a16="http://schemas.microsoft.com/office/drawing/2014/main" id="{FAD12FC0-8444-41F3-92E6-7E3876EB7C9D}"/>
              </a:ext>
            </a:extLst>
          </xdr:cNvPr>
          <xdr:cNvGraphicFramePr>
            <a:graphicFrameLocks/>
          </xdr:cNvGraphicFramePr>
        </xdr:nvGraphicFramePr>
        <xdr:xfrm>
          <a:off x="11525515" y="1882309"/>
          <a:ext cx="4950551" cy="2776522"/>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3" name="TextBox 12">
            <a:extLst>
              <a:ext uri="{FF2B5EF4-FFF2-40B4-BE49-F238E27FC236}">
                <a16:creationId xmlns:a16="http://schemas.microsoft.com/office/drawing/2014/main" id="{93AA19AD-084B-B789-B08A-583FDF9BBF2B}"/>
              </a:ext>
            </a:extLst>
          </xdr:cNvPr>
          <xdr:cNvSpPr txBox="1"/>
        </xdr:nvSpPr>
        <xdr:spPr>
          <a:xfrm>
            <a:off x="11258546" y="1001450"/>
            <a:ext cx="5788738" cy="496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0" b="1">
                <a:solidFill>
                  <a:schemeClr val="bg1"/>
                </a:solidFill>
                <a:effectLst>
                  <a:glow rad="25400">
                    <a:schemeClr val="bg1">
                      <a:alpha val="0"/>
                    </a:schemeClr>
                  </a:glow>
                </a:effectLst>
              </a:rPr>
              <a:t>GUILD</a:t>
            </a:r>
          </a:p>
        </xdr:txBody>
      </xdr:sp>
    </xdr:grpSp>
    <xdr:clientData/>
  </xdr:twoCellAnchor>
  <xdr:twoCellAnchor>
    <xdr:from>
      <xdr:col>10</xdr:col>
      <xdr:colOff>164114</xdr:colOff>
      <xdr:row>55</xdr:row>
      <xdr:rowOff>6003</xdr:rowOff>
    </xdr:from>
    <xdr:to>
      <xdr:col>41</xdr:col>
      <xdr:colOff>417606</xdr:colOff>
      <xdr:row>136</xdr:row>
      <xdr:rowOff>135781</xdr:rowOff>
    </xdr:to>
    <xdr:grpSp>
      <xdr:nvGrpSpPr>
        <xdr:cNvPr id="20" name="Group 19">
          <a:extLst>
            <a:ext uri="{FF2B5EF4-FFF2-40B4-BE49-F238E27FC236}">
              <a16:creationId xmlns:a16="http://schemas.microsoft.com/office/drawing/2014/main" id="{1AD5D076-5B7F-B326-F584-9336BB360B70}"/>
            </a:ext>
          </a:extLst>
        </xdr:cNvPr>
        <xdr:cNvGrpSpPr/>
      </xdr:nvGrpSpPr>
      <xdr:grpSpPr>
        <a:xfrm>
          <a:off x="6090781" y="9319336"/>
          <a:ext cx="18626158" cy="13845778"/>
          <a:chOff x="13292760" y="6347661"/>
          <a:chExt cx="6364267" cy="4893019"/>
        </a:xfrm>
      </xdr:grpSpPr>
      <xdr:sp macro="" textlink="">
        <xdr:nvSpPr>
          <xdr:cNvPr id="14" name="Rectangle: Rounded Corners 13">
            <a:extLst>
              <a:ext uri="{FF2B5EF4-FFF2-40B4-BE49-F238E27FC236}">
                <a16:creationId xmlns:a16="http://schemas.microsoft.com/office/drawing/2014/main" id="{037C896E-CF60-4A6B-A0A6-1026E7D36207}"/>
              </a:ext>
            </a:extLst>
          </xdr:cNvPr>
          <xdr:cNvSpPr/>
        </xdr:nvSpPr>
        <xdr:spPr>
          <a:xfrm>
            <a:off x="13292760" y="6347661"/>
            <a:ext cx="6353314" cy="4893019"/>
          </a:xfrm>
          <a:prstGeom prst="roundRect">
            <a:avLst/>
          </a:prstGeom>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graphicFrame macro="">
        <xdr:nvGraphicFramePr>
          <xdr:cNvPr id="2" name="Chart 1">
            <a:extLst>
              <a:ext uri="{FF2B5EF4-FFF2-40B4-BE49-F238E27FC236}">
                <a16:creationId xmlns:a16="http://schemas.microsoft.com/office/drawing/2014/main" id="{1F048C10-CA21-401F-AD0F-CCD1B19331FB}"/>
              </a:ext>
            </a:extLst>
          </xdr:cNvPr>
          <xdr:cNvGraphicFramePr>
            <a:graphicFrameLocks/>
          </xdr:cNvGraphicFramePr>
        </xdr:nvGraphicFramePr>
        <xdr:xfrm>
          <a:off x="14231195" y="7880109"/>
          <a:ext cx="4620153" cy="2807367"/>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5" name="TextBox 14">
            <a:extLst>
              <a:ext uri="{FF2B5EF4-FFF2-40B4-BE49-F238E27FC236}">
                <a16:creationId xmlns:a16="http://schemas.microsoft.com/office/drawing/2014/main" id="{BC005ED6-04EB-4BFF-BF88-35CE307187DA}"/>
              </a:ext>
            </a:extLst>
          </xdr:cNvPr>
          <xdr:cNvSpPr txBox="1"/>
        </xdr:nvSpPr>
        <xdr:spPr>
          <a:xfrm>
            <a:off x="13317635" y="6950616"/>
            <a:ext cx="6339392" cy="646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0" b="1">
                <a:solidFill>
                  <a:schemeClr val="bg1"/>
                </a:solidFill>
                <a:effectLst>
                  <a:glow rad="25400">
                    <a:schemeClr val="bg1">
                      <a:alpha val="0"/>
                    </a:schemeClr>
                  </a:glow>
                </a:effectLst>
              </a:rPr>
              <a:t>CLASS</a:t>
            </a:r>
          </a:p>
        </xdr:txBody>
      </xdr:sp>
    </xdr:grpSp>
    <xdr:clientData/>
  </xdr:twoCellAnchor>
  <xdr:twoCellAnchor>
    <xdr:from>
      <xdr:col>75</xdr:col>
      <xdr:colOff>152401</xdr:colOff>
      <xdr:row>55</xdr:row>
      <xdr:rowOff>158728</xdr:rowOff>
    </xdr:from>
    <xdr:to>
      <xdr:col>108</xdr:col>
      <xdr:colOff>370419</xdr:colOff>
      <xdr:row>137</xdr:row>
      <xdr:rowOff>7842</xdr:rowOff>
    </xdr:to>
    <xdr:grpSp>
      <xdr:nvGrpSpPr>
        <xdr:cNvPr id="18" name="Group 17">
          <a:extLst>
            <a:ext uri="{FF2B5EF4-FFF2-40B4-BE49-F238E27FC236}">
              <a16:creationId xmlns:a16="http://schemas.microsoft.com/office/drawing/2014/main" id="{2BE1B9E9-64B1-FDAC-6C82-B3D8EE8F14A8}"/>
            </a:ext>
          </a:extLst>
        </xdr:cNvPr>
        <xdr:cNvGrpSpPr/>
      </xdr:nvGrpSpPr>
      <xdr:grpSpPr>
        <a:xfrm>
          <a:off x="44602401" y="9472061"/>
          <a:ext cx="19776018" cy="13734448"/>
          <a:chOff x="27107745" y="11974639"/>
          <a:chExt cx="10783412" cy="7484004"/>
        </a:xfrm>
      </xdr:grpSpPr>
      <xdr:sp macro="" textlink="">
        <xdr:nvSpPr>
          <xdr:cNvPr id="16" name="Rectangle: Rounded Corners 15">
            <a:extLst>
              <a:ext uri="{FF2B5EF4-FFF2-40B4-BE49-F238E27FC236}">
                <a16:creationId xmlns:a16="http://schemas.microsoft.com/office/drawing/2014/main" id="{42B7A874-515D-442F-B776-E3D031DD6CCB}"/>
              </a:ext>
            </a:extLst>
          </xdr:cNvPr>
          <xdr:cNvSpPr/>
        </xdr:nvSpPr>
        <xdr:spPr>
          <a:xfrm>
            <a:off x="27107745" y="11974639"/>
            <a:ext cx="10783412" cy="7484004"/>
          </a:xfrm>
          <a:prstGeom prst="roundRect">
            <a:avLst/>
          </a:prstGeom>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shape">
              <a:fillToRect l="50000" t="50000" r="50000" b="50000"/>
            </a:path>
            <a:tileRect/>
          </a:gra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graphicFrame macro="">
        <xdr:nvGraphicFramePr>
          <xdr:cNvPr id="10" name="Chart 9">
            <a:extLst>
              <a:ext uri="{FF2B5EF4-FFF2-40B4-BE49-F238E27FC236}">
                <a16:creationId xmlns:a16="http://schemas.microsoft.com/office/drawing/2014/main" id="{E88C3F71-3E99-BF44-FB78-ECD59E6EFC0E}"/>
              </a:ext>
            </a:extLst>
          </xdr:cNvPr>
          <xdr:cNvGraphicFramePr/>
        </xdr:nvGraphicFramePr>
        <xdr:xfrm>
          <a:off x="28238397" y="13766057"/>
          <a:ext cx="8613985" cy="5160664"/>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7" name="TextBox 16">
            <a:extLst>
              <a:ext uri="{FF2B5EF4-FFF2-40B4-BE49-F238E27FC236}">
                <a16:creationId xmlns:a16="http://schemas.microsoft.com/office/drawing/2014/main" id="{C1440F0D-003A-4D73-A8C2-BF2E24549FED}"/>
              </a:ext>
            </a:extLst>
          </xdr:cNvPr>
          <xdr:cNvSpPr txBox="1"/>
        </xdr:nvSpPr>
        <xdr:spPr>
          <a:xfrm>
            <a:off x="27114871" y="12578577"/>
            <a:ext cx="10742200" cy="619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0" b="1">
                <a:solidFill>
                  <a:schemeClr val="bg1"/>
                </a:solidFill>
                <a:effectLst>
                  <a:glow rad="25400">
                    <a:schemeClr val="bg1">
                      <a:alpha val="0"/>
                    </a:schemeClr>
                  </a:glow>
                </a:effectLst>
              </a:rPr>
              <a:t>ATK</a:t>
            </a:r>
            <a:r>
              <a:rPr lang="en-US" sz="10000" b="1" baseline="0">
                <a:solidFill>
                  <a:schemeClr val="bg1"/>
                </a:solidFill>
                <a:effectLst>
                  <a:glow rad="25400">
                    <a:schemeClr val="bg1">
                      <a:alpha val="0"/>
                    </a:schemeClr>
                  </a:glow>
                </a:effectLst>
              </a:rPr>
              <a:t> vs GOLD EARNED</a:t>
            </a:r>
            <a:endParaRPr lang="en-US" sz="10000" b="1">
              <a:solidFill>
                <a:schemeClr val="bg1"/>
              </a:solidFill>
              <a:effectLst>
                <a:glow rad="25400">
                  <a:schemeClr val="bg1">
                    <a:alpha val="0"/>
                  </a:schemeClr>
                </a:glow>
              </a:effectLst>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gion" refreshedDate="46178.415099999998" createdVersion="8" refreshedVersion="8" minRefreshableVersion="3" recordCount="500" xr:uid="{55F5A24D-5761-4E7E-9E45-239CB1A22C6D}">
  <cacheSource type="worksheet">
    <worksheetSource name="clean_data"/>
  </cacheSource>
  <cacheFields count="35">
    <cacheField name="Player ID" numFmtId="0">
      <sharedItems/>
    </cacheField>
    <cacheField name="Username" numFmtId="0">
      <sharedItems/>
    </cacheField>
    <cacheField name="First Name" numFmtId="0">
      <sharedItems/>
    </cacheField>
    <cacheField name="Last Name" numFmtId="0">
      <sharedItems/>
    </cacheField>
    <cacheField name="Race" numFmtId="0">
      <sharedItems count="9">
        <s v="Dwarf"/>
        <s v="Gnome"/>
        <s v="Tiefling"/>
        <s v="Human"/>
        <s v="Dragonborn"/>
        <s v=""/>
        <s v="Orc"/>
        <s v="Halfling"/>
        <s v="Elf"/>
      </sharedItems>
    </cacheField>
    <cacheField name="Class" numFmtId="0">
      <sharedItems count="9">
        <s v="Rogue"/>
        <s v="Monk"/>
        <s v="Bard"/>
        <s v="Ranger"/>
        <s v="Warrior"/>
        <s v=""/>
        <s v="Mage"/>
        <s v="Necromancer"/>
        <s v="Paladin"/>
      </sharedItems>
    </cacheField>
    <cacheField name="Level" numFmtId="0">
      <sharedItems containsString="0" containsBlank="1" containsNumber="1" containsInteger="1" minValue="1" maxValue="100"/>
    </cacheField>
    <cacheField name="Region" numFmtId="0">
      <sharedItems count="9">
        <s v="Northland"/>
        <s v="Ironpeak"/>
        <s v="Darkwood"/>
        <s v="Suncoast"/>
        <s v="Silverdale"/>
        <s v="Ashenvale"/>
        <s v=""/>
        <s v="Eastmoor"/>
        <s v="Frostheim"/>
      </sharedItems>
    </cacheField>
    <cacheField name="Guild" numFmtId="0">
      <sharedItems count="7">
        <s v="Steel Fang"/>
        <s v="Golden Leaf"/>
        <s v="None"/>
        <s v="Iron Shield"/>
        <s v="Crimson Dawn"/>
        <s v="Shadow Veil"/>
        <s v="Arcane Order"/>
      </sharedItems>
    </cacheField>
    <cacheField name="Weapon" numFmtId="0">
      <sharedItems/>
    </cacheField>
    <cacheField name="Status" numFmtId="0">
      <sharedItems/>
    </cacheField>
    <cacheField name="Join Date" numFmtId="14">
      <sharedItems containsSemiMixedTypes="0" containsNonDate="0" containsDate="1" containsString="0" minDate="2018-01-03T00:00:00" maxDate="2024-12-27T00:00:00" count="447">
        <d v="2021-02-14T00:00:00"/>
        <d v="2019-08-28T00:00:00"/>
        <d v="2020-05-18T00:00:00"/>
        <d v="2021-12-10T00:00:00"/>
        <d v="2018-03-12T00:00:00"/>
        <d v="2022-11-06T00:00:00"/>
        <d v="2022-09-22T00:00:00"/>
        <d v="2020-03-02T00:00:00"/>
        <d v="2022-10-07T00:00:00"/>
        <d v="2018-08-12T00:00:00"/>
        <d v="2022-12-06T00:00:00"/>
        <d v="2024-06-03T00:00:00"/>
        <d v="2023-05-17T00:00:00"/>
        <d v="2018-10-26T00:00:00"/>
        <d v="2023-05-23T00:00:00"/>
        <d v="2024-12-26T00:00:00"/>
        <d v="2019-02-23T00:00:00"/>
        <d v="2018-10-14T00:00:00"/>
        <d v="2022-04-19T00:00:00"/>
        <d v="2021-02-02T00:00:00"/>
        <d v="2024-05-17T00:00:00"/>
        <d v="2022-02-21T00:00:00"/>
        <d v="2024-09-24T00:00:00"/>
        <d v="2024-07-18T00:00:00"/>
        <d v="2021-06-27T00:00:00"/>
        <d v="2024-08-04T00:00:00"/>
        <d v="2020-04-20T00:00:00"/>
        <d v="2023-05-26T00:00:00"/>
        <d v="2020-09-15T00:00:00"/>
        <d v="2024-01-18T00:00:00"/>
        <d v="2020-07-23T00:00:00"/>
        <d v="2018-10-02T00:00:00"/>
        <d v="2019-01-17T00:00:00"/>
        <d v="2024-10-13T00:00:00"/>
        <d v="2020-07-04T00:00:00"/>
        <d v="2018-11-11T00:00:00"/>
        <d v="2020-04-26T00:00:00"/>
        <d v="2023-09-18T00:00:00"/>
        <d v="2023-02-03T00:00:00"/>
        <d v="2019-03-06T00:00:00"/>
        <d v="2023-02-11T00:00:00"/>
        <d v="2020-10-27T00:00:00"/>
        <d v="2018-12-02T00:00:00"/>
        <d v="2018-03-23T00:00:00"/>
        <d v="2021-05-26T00:00:00"/>
        <d v="2019-09-24T00:00:00"/>
        <d v="2019-04-21T00:00:00"/>
        <d v="2021-11-23T00:00:00"/>
        <d v="2021-04-06T00:00:00"/>
        <d v="2018-05-03T00:00:00"/>
        <d v="2018-06-08T00:00:00"/>
        <d v="2018-06-15T00:00:00"/>
        <d v="2019-11-21T00:00:00"/>
        <d v="2024-01-09T00:00:00"/>
        <d v="2020-06-09T00:00:00"/>
        <d v="2020-08-18T00:00:00"/>
        <d v="2022-07-01T00:00:00"/>
        <d v="2022-01-04T00:00:00"/>
        <d v="2022-02-14T00:00:00"/>
        <d v="2024-06-06T00:00:00"/>
        <d v="2019-05-17T00:00:00"/>
        <d v="2024-05-05T00:00:00"/>
        <d v="2018-03-16T00:00:00"/>
        <d v="2021-03-07T00:00:00"/>
        <d v="2022-03-28T00:00:00"/>
        <d v="2024-02-08T00:00:00"/>
        <d v="2024-04-26T00:00:00"/>
        <d v="2019-12-28T00:00:00"/>
        <d v="2018-05-12T00:00:00"/>
        <d v="2020-10-10T00:00:00"/>
        <d v="2023-09-07T00:00:00"/>
        <d v="2019-09-22T00:00:00"/>
        <d v="2020-03-22T00:00:00"/>
        <d v="2018-08-23T00:00:00"/>
        <d v="2021-04-03T00:00:00"/>
        <d v="2018-03-05T00:00:00"/>
        <d v="2019-02-20T00:00:00"/>
        <d v="2023-01-08T00:00:00"/>
        <d v="2018-12-18T00:00:00"/>
        <d v="2018-11-02T00:00:00"/>
        <d v="2021-07-14T00:00:00"/>
        <d v="2023-07-22T00:00:00"/>
        <d v="2024-01-02T00:00:00"/>
        <d v="2020-12-05T00:00:00"/>
        <d v="2021-10-06T00:00:00"/>
        <d v="2020-11-22T00:00:00"/>
        <d v="2019-05-12T00:00:00"/>
        <d v="2021-11-21T00:00:00"/>
        <d v="2019-04-27T00:00:00"/>
        <d v="2022-07-06T00:00:00"/>
        <d v="2024-07-24T00:00:00"/>
        <d v="2021-08-04T00:00:00"/>
        <d v="2021-08-21T00:00:00"/>
        <d v="2019-08-27T00:00:00"/>
        <d v="2020-07-16T00:00:00"/>
        <d v="2022-09-24T00:00:00"/>
        <d v="2024-06-01T00:00:00"/>
        <d v="2018-05-23T00:00:00"/>
        <d v="2021-05-05T00:00:00"/>
        <d v="2021-07-25T00:00:00"/>
        <d v="2020-06-16T00:00:00"/>
        <d v="2021-07-24T00:00:00"/>
        <d v="2019-11-06T00:00:00"/>
        <d v="2018-05-13T00:00:00"/>
        <d v="2019-01-14T00:00:00"/>
        <d v="2024-06-05T00:00:00"/>
        <d v="2020-09-23T00:00:00"/>
        <d v="2020-07-09T00:00:00"/>
        <d v="2022-09-21T00:00:00"/>
        <d v="2019-09-23T00:00:00"/>
        <d v="2020-05-02T00:00:00"/>
        <d v="2024-06-20T00:00:00"/>
        <d v="2019-11-04T00:00:00"/>
        <d v="2024-09-08T00:00:00"/>
        <d v="2021-05-22T00:00:00"/>
        <d v="2020-12-07T00:00:00"/>
        <d v="2018-04-19T00:00:00"/>
        <d v="2023-03-13T00:00:00"/>
        <d v="2020-08-12T00:00:00"/>
        <d v="2019-01-02T00:00:00"/>
        <d v="2019-04-24T00:00:00"/>
        <d v="2022-09-20T00:00:00"/>
        <d v="2018-02-08T00:00:00"/>
        <d v="2019-06-23T00:00:00"/>
        <d v="2020-04-04T00:00:00"/>
        <d v="2018-07-28T00:00:00"/>
        <d v="2024-12-13T00:00:00"/>
        <d v="2020-02-06T00:00:00"/>
        <d v="2018-06-12T00:00:00"/>
        <d v="2022-11-25T00:00:00"/>
        <d v="2021-05-25T00:00:00"/>
        <d v="2024-11-15T00:00:00"/>
        <d v="2019-12-20T00:00:00"/>
        <d v="2020-12-12T00:00:00"/>
        <d v="2021-05-11T00:00:00"/>
        <d v="2024-10-19T00:00:00"/>
        <d v="2023-01-09T00:00:00"/>
        <d v="2024-08-15T00:00:00"/>
        <d v="2018-03-28T00:00:00"/>
        <d v="2023-11-26T00:00:00"/>
        <d v="2018-02-10T00:00:00"/>
        <d v="2023-04-08T00:00:00"/>
        <d v="2019-07-07T00:00:00"/>
        <d v="2020-09-24T00:00:00"/>
        <d v="2018-10-03T00:00:00"/>
        <d v="2019-12-17T00:00:00"/>
        <d v="2018-03-18T00:00:00"/>
        <d v="2018-06-26T00:00:00"/>
        <d v="2019-09-27T00:00:00"/>
        <d v="2023-09-21T00:00:00"/>
        <d v="2018-04-09T00:00:00"/>
        <d v="2021-04-24T00:00:00"/>
        <d v="2020-11-19T00:00:00"/>
        <d v="2022-07-11T00:00:00"/>
        <d v="2020-06-22T00:00:00"/>
        <d v="2018-11-13T00:00:00"/>
        <d v="2021-12-02T00:00:00"/>
        <d v="2021-10-12T00:00:00"/>
        <d v="2020-03-23T00:00:00"/>
        <d v="2018-06-04T00:00:00"/>
        <d v="2022-01-05T00:00:00"/>
        <d v="2020-05-22T00:00:00"/>
        <d v="2023-12-07T00:00:00"/>
        <d v="2022-05-03T00:00:00"/>
        <d v="2022-07-23T00:00:00"/>
        <d v="2022-01-18T00:00:00"/>
        <d v="2022-05-27T00:00:00"/>
        <d v="2023-10-08T00:00:00"/>
        <d v="2023-06-22T00:00:00"/>
        <d v="2024-07-17T00:00:00"/>
        <d v="2021-11-18T00:00:00"/>
        <d v="2024-06-07T00:00:00"/>
        <d v="2020-12-27T00:00:00"/>
        <d v="2018-11-24T00:00:00"/>
        <d v="2022-04-16T00:00:00"/>
        <d v="2023-04-23T00:00:00"/>
        <d v="2023-12-15T00:00:00"/>
        <d v="2024-11-10T00:00:00"/>
        <d v="2023-04-04T00:00:00"/>
        <d v="2019-12-22T00:00:00"/>
        <d v="2022-11-20T00:00:00"/>
        <d v="2022-05-21T00:00:00"/>
        <d v="2022-06-24T00:00:00"/>
        <d v="2021-01-05T00:00:00"/>
        <d v="2021-09-17T00:00:00"/>
        <d v="2021-07-15T00:00:00"/>
        <d v="2021-04-25T00:00:00"/>
        <d v="2024-05-28T00:00:00"/>
        <d v="2018-02-26T00:00:00"/>
        <d v="2022-10-20T00:00:00"/>
        <d v="2018-12-01T00:00:00"/>
        <d v="2022-04-02T00:00:00"/>
        <d v="2024-10-11T00:00:00"/>
        <d v="2019-03-02T00:00:00"/>
        <d v="2021-02-04T00:00:00"/>
        <d v="2019-12-08T00:00:00"/>
        <d v="2020-07-25T00:00:00"/>
        <d v="2019-07-14T00:00:00"/>
        <d v="2018-08-03T00:00:00"/>
        <d v="2022-02-09T00:00:00"/>
        <d v="2020-12-08T00:00:00"/>
        <d v="2023-06-26T00:00:00"/>
        <d v="2018-01-08T00:00:00"/>
        <d v="2021-01-07T00:00:00"/>
        <d v="2018-12-17T00:00:00"/>
        <d v="2018-09-17T00:00:00"/>
        <d v="2020-03-19T00:00:00"/>
        <d v="2020-06-08T00:00:00"/>
        <d v="2021-05-27T00:00:00"/>
        <d v="2020-01-07T00:00:00"/>
        <d v="2020-10-25T00:00:00"/>
        <d v="2020-07-15T00:00:00"/>
        <d v="2024-04-15T00:00:00"/>
        <d v="2022-05-22T00:00:00"/>
        <d v="2024-11-08T00:00:00"/>
        <d v="2023-03-28T00:00:00"/>
        <d v="2021-12-13T00:00:00"/>
        <d v="2020-03-26T00:00:00"/>
        <d v="2021-03-01T00:00:00"/>
        <d v="2021-09-23T00:00:00"/>
        <d v="2023-02-13T00:00:00"/>
        <d v="2021-02-08T00:00:00"/>
        <d v="2024-07-09T00:00:00"/>
        <d v="2024-08-17T00:00:00"/>
        <d v="2019-11-07T00:00:00"/>
        <d v="2021-08-27T00:00:00"/>
        <d v="2019-12-19T00:00:00"/>
        <d v="2020-03-05T00:00:00"/>
        <d v="2023-01-10T00:00:00"/>
        <d v="2020-05-16T00:00:00"/>
        <d v="2018-05-18T00:00:00"/>
        <d v="2023-05-16T00:00:00"/>
        <d v="2024-01-03T00:00:00"/>
        <d v="2023-05-18T00:00:00"/>
        <d v="2022-07-16T00:00:00"/>
        <d v="2018-06-13T00:00:00"/>
        <d v="2020-03-14T00:00:00"/>
        <d v="2024-11-28T00:00:00"/>
        <d v="2019-12-25T00:00:00"/>
        <d v="2018-06-25T00:00:00"/>
        <d v="2024-06-14T00:00:00"/>
        <d v="2021-08-08T00:00:00"/>
        <d v="2022-04-15T00:00:00"/>
        <d v="2019-08-24T00:00:00"/>
        <d v="2021-02-06T00:00:00"/>
        <d v="2024-10-04T00:00:00"/>
        <d v="2024-12-06T00:00:00"/>
        <d v="2018-07-02T00:00:00"/>
        <d v="2021-09-24T00:00:00"/>
        <d v="2023-01-18T00:00:00"/>
        <d v="2022-12-18T00:00:00"/>
        <d v="2024-09-20T00:00:00"/>
        <d v="2022-11-24T00:00:00"/>
        <d v="2020-02-11T00:00:00"/>
        <d v="2020-06-02T00:00:00"/>
        <d v="2024-03-05T00:00:00"/>
        <d v="2021-07-22T00:00:00"/>
        <d v="2023-04-24T00:00:00"/>
        <d v="2021-07-17T00:00:00"/>
        <d v="2019-10-13T00:00:00"/>
        <d v="2018-06-24T00:00:00"/>
        <d v="2021-12-23T00:00:00"/>
        <d v="2020-04-23T00:00:00"/>
        <d v="2019-07-22T00:00:00"/>
        <d v="2024-09-06T00:00:00"/>
        <d v="2018-08-19T00:00:00"/>
        <d v="2018-04-26T00:00:00"/>
        <d v="2023-02-17T00:00:00"/>
        <d v="2022-09-01T00:00:00"/>
        <d v="2019-01-10T00:00:00"/>
        <d v="2018-02-18T00:00:00"/>
        <d v="2023-10-11T00:00:00"/>
        <d v="2022-02-22T00:00:00"/>
        <d v="2023-02-09T00:00:00"/>
        <d v="2022-05-16T00:00:00"/>
        <d v="2018-04-02T00:00:00"/>
        <d v="2018-05-21T00:00:00"/>
        <d v="2020-01-20T00:00:00"/>
        <d v="2019-06-25T00:00:00"/>
        <d v="2019-07-19T00:00:00"/>
        <d v="2022-12-16T00:00:00"/>
        <d v="2018-07-06T00:00:00"/>
        <d v="2018-12-27T00:00:00"/>
        <d v="2022-08-15T00:00:00"/>
        <d v="2022-03-13T00:00:00"/>
        <d v="2022-10-21T00:00:00"/>
        <d v="2024-01-05T00:00:00"/>
        <d v="2021-08-26T00:00:00"/>
        <d v="2020-09-19T00:00:00"/>
        <d v="2024-04-01T00:00:00"/>
        <d v="2021-09-06T00:00:00"/>
        <d v="2021-06-01T00:00:00"/>
        <d v="2018-11-03T00:00:00"/>
        <d v="2023-09-12T00:00:00"/>
        <d v="2022-02-07T00:00:00"/>
        <d v="2022-04-01T00:00:00"/>
        <d v="2022-10-18T00:00:00"/>
        <d v="2020-03-06T00:00:00"/>
        <d v="2023-11-22T00:00:00"/>
        <d v="2019-07-12T00:00:00"/>
        <d v="2020-06-11T00:00:00"/>
        <d v="2018-04-06T00:00:00"/>
        <d v="2019-09-10T00:00:00"/>
        <d v="2023-10-24T00:00:00"/>
        <d v="2024-08-12T00:00:00"/>
        <d v="2018-12-07T00:00:00"/>
        <d v="2020-06-17T00:00:00"/>
        <d v="2023-10-14T00:00:00"/>
        <d v="2024-02-21T00:00:00"/>
        <d v="2023-12-27T00:00:00"/>
        <d v="2021-03-06T00:00:00"/>
        <d v="2020-10-24T00:00:00"/>
        <d v="2024-03-08T00:00:00"/>
        <d v="2019-10-12T00:00:00"/>
        <d v="2019-10-15T00:00:00"/>
        <d v="2019-10-08T00:00:00"/>
        <d v="2020-06-03T00:00:00"/>
        <d v="2019-04-05T00:00:00"/>
        <d v="2024-01-08T00:00:00"/>
        <d v="2022-02-03T00:00:00"/>
        <d v="2020-06-13T00:00:00"/>
        <d v="2021-01-21T00:00:00"/>
        <d v="2018-08-14T00:00:00"/>
        <d v="2024-08-01T00:00:00"/>
        <d v="2021-10-20T00:00:00"/>
        <d v="2018-01-18T00:00:00"/>
        <d v="2020-08-27T00:00:00"/>
        <d v="2023-07-13T00:00:00"/>
        <d v="2020-10-28T00:00:00"/>
        <d v="2020-11-09T00:00:00"/>
        <d v="2024-06-25T00:00:00"/>
        <d v="2020-01-26T00:00:00"/>
        <d v="2024-11-24T00:00:00"/>
        <d v="2019-03-25T00:00:00"/>
        <d v="2021-08-20T00:00:00"/>
        <d v="2023-05-11T00:00:00"/>
        <d v="2022-12-02T00:00:00"/>
        <d v="2023-11-23T00:00:00"/>
        <d v="2021-07-10T00:00:00"/>
        <d v="2020-07-07T00:00:00"/>
        <d v="2019-01-20T00:00:00"/>
        <d v="2018-11-28T00:00:00"/>
        <d v="2020-07-05T00:00:00"/>
        <d v="2024-04-14T00:00:00"/>
        <d v="2020-06-18T00:00:00"/>
        <d v="2018-12-09T00:00:00"/>
        <d v="2018-07-11T00:00:00"/>
        <d v="2023-08-26T00:00:00"/>
        <d v="2019-10-17T00:00:00"/>
        <d v="2022-12-21T00:00:00"/>
        <d v="2024-02-06T00:00:00"/>
        <d v="2018-02-20T00:00:00"/>
        <d v="2020-11-02T00:00:00"/>
        <d v="2019-06-19T00:00:00"/>
        <d v="2023-12-04T00:00:00"/>
        <d v="2024-07-11T00:00:00"/>
        <d v="2021-05-23T00:00:00"/>
        <d v="2021-07-23T00:00:00"/>
        <d v="2023-02-23T00:00:00"/>
        <d v="2022-05-05T00:00:00"/>
        <d v="2021-05-14T00:00:00"/>
        <d v="2021-09-19T00:00:00"/>
        <d v="2021-10-11T00:00:00"/>
        <d v="2022-09-15T00:00:00"/>
        <d v="2019-04-22T00:00:00"/>
        <d v="2021-11-14T00:00:00"/>
        <d v="2018-10-21T00:00:00"/>
        <d v="2021-02-01T00:00:00"/>
        <d v="2022-05-20T00:00:00"/>
        <d v="2024-08-22T00:00:00"/>
        <d v="2020-11-10T00:00:00"/>
        <d v="2023-10-04T00:00:00"/>
        <d v="2018-12-24T00:00:00"/>
        <d v="2022-04-27T00:00:00"/>
        <d v="2018-07-03T00:00:00"/>
        <d v="2024-03-28T00:00:00"/>
        <d v="2020-01-05T00:00:00"/>
        <d v="2020-03-10T00:00:00"/>
        <d v="2020-12-17T00:00:00"/>
        <d v="2019-03-09T00:00:00"/>
        <d v="2018-01-07T00:00:00"/>
        <d v="2022-09-18T00:00:00"/>
        <d v="2024-03-27T00:00:00"/>
        <d v="2019-03-11T00:00:00"/>
        <d v="2019-07-27T00:00:00"/>
        <d v="2020-02-13T00:00:00"/>
        <d v="2023-06-10T00:00:00"/>
        <d v="2023-06-19T00:00:00"/>
        <d v="2024-06-16T00:00:00"/>
        <d v="2022-10-13T00:00:00"/>
        <d v="2023-12-14T00:00:00"/>
        <d v="2018-12-13T00:00:00"/>
        <d v="2019-02-07T00:00:00"/>
        <d v="2023-06-04T00:00:00"/>
        <d v="2019-09-12T00:00:00"/>
        <d v="2023-08-17T00:00:00"/>
        <d v="2020-11-28T00:00:00"/>
        <d v="2021-01-27T00:00:00"/>
        <d v="2024-03-14T00:00:00"/>
        <d v="2022-01-28T00:00:00"/>
        <d v="2018-01-03T00:00:00"/>
        <d v="2022-04-11T00:00:00"/>
        <d v="2020-09-14T00:00:00"/>
        <d v="2022-11-22T00:00:00"/>
        <d v="2018-07-23T00:00:00"/>
        <d v="2022-08-14T00:00:00"/>
        <d v="2020-03-16T00:00:00"/>
        <d v="2020-12-03T00:00:00"/>
        <d v="2023-11-25T00:00:00"/>
        <d v="2018-05-19T00:00:00"/>
        <d v="2022-02-17T00:00:00"/>
        <d v="2018-09-26T00:00:00"/>
        <d v="2019-01-09T00:00:00"/>
        <d v="2023-08-04T00:00:00"/>
        <d v="2019-01-03T00:00:00"/>
        <d v="2020-07-12T00:00:00"/>
        <d v="2023-12-18T00:00:00"/>
        <d v="2021-12-27T00:00:00"/>
        <d v="2020-09-01T00:00:00"/>
        <d v="2022-01-20T00:00:00"/>
        <d v="2020-09-04T00:00:00"/>
        <d v="2019-10-11T00:00:00"/>
        <d v="2021-06-19T00:00:00"/>
        <d v="2019-07-25T00:00:00"/>
        <d v="2019-09-18T00:00:00"/>
        <d v="2020-11-06T00:00:00"/>
        <d v="2019-03-26T00:00:00"/>
        <d v="2023-09-02T00:00:00"/>
        <d v="2019-10-04T00:00:00"/>
        <d v="2023-01-05T00:00:00"/>
        <d v="2022-06-08T00:00:00"/>
        <d v="2021-10-21T00:00:00"/>
        <d v="2021-01-02T00:00:00"/>
        <d v="2020-11-27T00:00:00"/>
        <d v="2020-03-04T00:00:00"/>
        <d v="2020-03-01T00:00:00"/>
        <d v="2021-03-17T00:00:00"/>
        <d v="2018-04-21T00:00:00"/>
        <d v="2022-05-12T00:00:00"/>
        <d v="2019-06-18T00:00:00"/>
        <d v="2022-02-10T00:00:00"/>
        <d v="2020-02-22T00:00:00"/>
        <d v="2022-04-18T00:00:00"/>
        <d v="2023-06-21T00:00:00"/>
        <d v="2020-06-26T00:00:00"/>
        <d v="2023-02-02T00:00:00"/>
        <d v="2024-11-17T00:00:00"/>
      </sharedItems>
      <fieldGroup par="34"/>
    </cacheField>
    <cacheField name="ATK" numFmtId="0">
      <sharedItems containsString="0" containsBlank="1" containsNumber="1" containsInteger="1" minValue="10" maxValue="150" count="138">
        <n v="128"/>
        <n v="88"/>
        <n v="92"/>
        <n v="113"/>
        <n v="46"/>
        <n v="14"/>
        <n v="68"/>
        <n v="66"/>
        <n v="87"/>
        <n v="76"/>
        <m/>
        <n v="95"/>
        <n v="48"/>
        <n v="127"/>
        <n v="105"/>
        <n v="16"/>
        <n v="10"/>
        <n v="112"/>
        <n v="31"/>
        <n v="146"/>
        <n v="149"/>
        <n v="140"/>
        <n v="97"/>
        <n v="37"/>
        <n v="110"/>
        <n v="133"/>
        <n v="27"/>
        <n v="78"/>
        <n v="69"/>
        <n v="102"/>
        <n v="85"/>
        <n v="33"/>
        <n v="29"/>
        <n v="59"/>
        <n v="117"/>
        <n v="150"/>
        <n v="38"/>
        <n v="22"/>
        <n v="94"/>
        <n v="139"/>
        <n v="53"/>
        <n v="120"/>
        <n v="32"/>
        <n v="83"/>
        <n v="130"/>
        <n v="103"/>
        <n v="100"/>
        <n v="36"/>
        <n v="114"/>
        <n v="60"/>
        <n v="50"/>
        <n v="44"/>
        <n v="108"/>
        <n v="142"/>
        <n v="19"/>
        <n v="70"/>
        <n v="137"/>
        <n v="79"/>
        <n v="63"/>
        <n v="51"/>
        <n v="55"/>
        <n v="30"/>
        <n v="71"/>
        <n v="125"/>
        <n v="12"/>
        <n v="122"/>
        <n v="26"/>
        <n v="82"/>
        <n v="15"/>
        <n v="107"/>
        <n v="123"/>
        <n v="147"/>
        <n v="106"/>
        <n v="47"/>
        <n v="93"/>
        <n v="84"/>
        <n v="28"/>
        <n v="136"/>
        <n v="144"/>
        <n v="45"/>
        <n v="81"/>
        <n v="96"/>
        <n v="138"/>
        <n v="75"/>
        <n v="129"/>
        <n v="61"/>
        <n v="20"/>
        <n v="62"/>
        <n v="134"/>
        <n v="11"/>
        <n v="118"/>
        <n v="90"/>
        <n v="57"/>
        <n v="39"/>
        <n v="148"/>
        <n v="72"/>
        <n v="111"/>
        <n v="143"/>
        <n v="99"/>
        <n v="23"/>
        <n v="65"/>
        <n v="141"/>
        <n v="116"/>
        <n v="58"/>
        <n v="77"/>
        <n v="132"/>
        <n v="42"/>
        <n v="13"/>
        <n v="80"/>
        <n v="18"/>
        <n v="67"/>
        <n v="89"/>
        <n v="104"/>
        <n v="52"/>
        <n v="115"/>
        <n v="64"/>
        <n v="34"/>
        <n v="21"/>
        <n v="109"/>
        <n v="49"/>
        <n v="54"/>
        <n v="73"/>
        <n v="43"/>
        <n v="124"/>
        <n v="25"/>
        <n v="98"/>
        <n v="121"/>
        <n v="135"/>
        <n v="91"/>
        <n v="56"/>
        <n v="86"/>
        <n v="41"/>
        <n v="17"/>
        <n v="35"/>
        <n v="24"/>
        <n v="101"/>
        <n v="119"/>
        <n v="40"/>
      </sharedItems>
    </cacheField>
    <cacheField name="DEF" numFmtId="0">
      <sharedItems containsString="0" containsBlank="1" containsNumber="1" containsInteger="1" minValue="10" maxValue="150"/>
    </cacheField>
    <cacheField name="SPD" numFmtId="0">
      <sharedItems containsString="0" containsBlank="1" containsNumber="1" containsInteger="1" minValue="10" maxValue="150"/>
    </cacheField>
    <cacheField name="HP" numFmtId="0">
      <sharedItems containsString="0" containsBlank="1" containsNumber="1" containsInteger="1" minValue="102" maxValue="4973"/>
    </cacheField>
    <cacheField name="MP" numFmtId="0">
      <sharedItems containsString="0" containsBlank="1" containsNumber="1" containsInteger="1" minValue="50" maxValue="2990"/>
    </cacheField>
    <cacheField name="Total Stat" numFmtId="0">
      <sharedItems containsString="0" containsBlank="1" containsNumber="1" containsInteger="1" minValue="84" maxValue="410"/>
    </cacheField>
    <cacheField name="Kills" numFmtId="0">
      <sharedItems containsString="0" containsBlank="1" containsNumber="1" containsInteger="1" minValue="1" maxValue="4999" count="454">
        <n v="148"/>
        <n v="1865"/>
        <n v="3889"/>
        <n v="2605"/>
        <n v="242"/>
        <n v="1108"/>
        <n v="4545"/>
        <n v="3617"/>
        <n v="2633"/>
        <n v="1747"/>
        <n v="4899"/>
        <n v="504"/>
        <n v="1262"/>
        <n v="453"/>
        <n v="1389"/>
        <n v="4567"/>
        <n v="4870"/>
        <n v="2451"/>
        <n v="4749"/>
        <n v="1649"/>
        <n v="2873"/>
        <n v="423"/>
        <n v="3196"/>
        <n v="451"/>
        <n v="3945"/>
        <n v="2651"/>
        <n v="137"/>
        <n v="1154"/>
        <n v="1401"/>
        <n v="1881"/>
        <m/>
        <n v="667"/>
        <n v="1883"/>
        <n v="3550"/>
        <n v="1415"/>
        <n v="4068"/>
        <n v="4739"/>
        <n v="3904"/>
        <n v="2296"/>
        <n v="3983"/>
        <n v="88"/>
        <n v="3610"/>
        <n v="2860"/>
        <n v="2940"/>
        <n v="932"/>
        <n v="2941"/>
        <n v="3946"/>
        <n v="4999"/>
        <n v="4374"/>
        <n v="4242"/>
        <n v="4970"/>
        <n v="93"/>
        <n v="1340"/>
        <n v="704"/>
        <n v="3994"/>
        <n v="4797"/>
        <n v="937"/>
        <n v="3735"/>
        <n v="4076"/>
        <n v="1943"/>
        <n v="1177"/>
        <n v="3455"/>
        <n v="489"/>
        <n v="1169"/>
        <n v="3475"/>
        <n v="1900"/>
        <n v="3483"/>
        <n v="4449"/>
        <n v="991"/>
        <n v="1386"/>
        <n v="2291"/>
        <n v="356"/>
        <n v="4609"/>
        <n v="4346"/>
        <n v="337"/>
        <n v="2412"/>
        <n v="4637"/>
        <n v="4353"/>
        <n v="3841"/>
        <n v="2589"/>
        <n v="4217"/>
        <n v="1406"/>
        <n v="4210"/>
        <n v="1029"/>
        <n v="2246"/>
        <n v="4612"/>
        <n v="109"/>
        <n v="1822"/>
        <n v="3965"/>
        <n v="676"/>
        <n v="4591"/>
        <n v="3468"/>
        <n v="2601"/>
        <n v="1981"/>
        <n v="969"/>
        <n v="724"/>
        <n v="2869"/>
        <n v="108"/>
        <n v="184"/>
        <n v="447"/>
        <n v="2321"/>
        <n v="497"/>
        <n v="1726"/>
        <n v="2051"/>
        <n v="4665"/>
        <n v="4349"/>
        <n v="635"/>
        <n v="785"/>
        <n v="4127"/>
        <n v="964"/>
        <n v="2816"/>
        <n v="2186"/>
        <n v="761"/>
        <n v="1880"/>
        <n v="2842"/>
        <n v="4048"/>
        <n v="1405"/>
        <n v="3259"/>
        <n v="2528"/>
        <n v="30"/>
        <n v="1933"/>
        <n v="458"/>
        <n v="523"/>
        <n v="4469"/>
        <n v="3340"/>
        <n v="986"/>
        <n v="1"/>
        <n v="3566"/>
        <n v="3541"/>
        <n v="4348"/>
        <n v="1973"/>
        <n v="1060"/>
        <n v="4903"/>
        <n v="2272"/>
        <n v="2509"/>
        <n v="2719"/>
        <n v="2540"/>
        <n v="2909"/>
        <n v="4904"/>
        <n v="2980"/>
        <n v="3587"/>
        <n v="1481"/>
        <n v="2358"/>
        <n v="4206"/>
        <n v="3049"/>
        <n v="1836"/>
        <n v="2527"/>
        <n v="2266"/>
        <n v="4065"/>
        <n v="2355"/>
        <n v="469"/>
        <n v="1625"/>
        <n v="1645"/>
        <n v="2897"/>
        <n v="4059"/>
        <n v="3052"/>
        <n v="564"/>
        <n v="2590"/>
        <n v="3271"/>
        <n v="1861"/>
        <n v="1050"/>
        <n v="4169"/>
        <n v="3838"/>
        <n v="4514"/>
        <n v="678"/>
        <n v="70"/>
        <n v="1815"/>
        <n v="2664"/>
        <n v="814"/>
        <n v="1354"/>
        <n v="446"/>
        <n v="822"/>
        <n v="3348"/>
        <n v="3242"/>
        <n v="3948"/>
        <n v="2923"/>
        <n v="188"/>
        <n v="3030"/>
        <n v="4535"/>
        <n v="522"/>
        <n v="656"/>
        <n v="1951"/>
        <n v="4145"/>
        <n v="3920"/>
        <n v="3419"/>
        <n v="1532"/>
        <n v="3221"/>
        <n v="730"/>
        <n v="1852"/>
        <n v="163"/>
        <n v="2701"/>
        <n v="301"/>
        <n v="3297"/>
        <n v="296"/>
        <n v="4554"/>
        <n v="193"/>
        <n v="1324"/>
        <n v="4853"/>
        <n v="3886"/>
        <n v="4211"/>
        <n v="2952"/>
        <n v="2960"/>
        <n v="1841"/>
        <n v="4641"/>
        <n v="361"/>
        <n v="1650"/>
        <n v="1575"/>
        <n v="2176"/>
        <n v="2890"/>
        <n v="3879"/>
        <n v="1761"/>
        <n v="2384"/>
        <n v="3812"/>
        <n v="1932"/>
        <n v="4119"/>
        <n v="2285"/>
        <n v="918"/>
        <n v="4519"/>
        <n v="4398"/>
        <n v="1858"/>
        <n v="1341"/>
        <n v="686"/>
        <n v="968"/>
        <n v="2782"/>
        <n v="1266"/>
        <n v="1712"/>
        <n v="430"/>
        <n v="478"/>
        <n v="4411"/>
        <n v="1860"/>
        <n v="2921"/>
        <n v="4922"/>
        <n v="3751"/>
        <n v="4255"/>
        <n v="2233"/>
        <n v="113"/>
        <n v="3257"/>
        <n v="2339"/>
        <n v="3911"/>
        <n v="4473"/>
        <n v="3323"/>
        <n v="2166"/>
        <n v="1907"/>
        <n v="4959"/>
        <n v="3086"/>
        <n v="1014"/>
        <n v="3800"/>
        <n v="3999"/>
        <n v="2006"/>
        <n v="1833"/>
        <n v="951"/>
        <n v="633"/>
        <n v="2751"/>
        <n v="4262"/>
        <n v="616"/>
        <n v="1304"/>
        <n v="357"/>
        <n v="125"/>
        <n v="2819"/>
        <n v="2799"/>
        <n v="275"/>
        <n v="4688"/>
        <n v="3739"/>
        <n v="3995"/>
        <n v="2084"/>
        <n v="4496"/>
        <n v="4547"/>
        <n v="4397"/>
        <n v="4435"/>
        <n v="1180"/>
        <n v="3890"/>
        <n v="4035"/>
        <n v="2315"/>
        <n v="2624"/>
        <n v="3247"/>
        <n v="1713"/>
        <n v="326"/>
        <n v="1571"/>
        <n v="981"/>
        <n v="4778"/>
        <n v="1869"/>
        <n v="4188"/>
        <n v="4421"/>
        <n v="587"/>
        <n v="4652"/>
        <n v="545"/>
        <n v="4610"/>
        <n v="4234"/>
        <n v="1724"/>
        <n v="4895"/>
        <n v="56"/>
        <n v="817"/>
        <n v="4847"/>
        <n v="3155"/>
        <n v="460"/>
        <n v="4534"/>
        <n v="3232"/>
        <n v="2380"/>
        <n v="3737"/>
        <n v="4981"/>
        <n v="2957"/>
        <n v="3561"/>
        <n v="824"/>
        <n v="501"/>
        <n v="4392"/>
        <n v="4781"/>
        <n v="2844"/>
        <n v="402"/>
        <n v="1707"/>
        <n v="2838"/>
        <n v="4066"/>
        <n v="312"/>
        <n v="269"/>
        <n v="1604"/>
        <n v="3721"/>
        <n v="4756"/>
        <n v="199"/>
        <n v="662"/>
        <n v="2117"/>
        <n v="3503"/>
        <n v="4488"/>
        <n v="4789"/>
        <n v="881"/>
        <n v="2703"/>
        <n v="1274"/>
        <n v="106"/>
        <n v="2122"/>
        <n v="3162"/>
        <n v="4768"/>
        <n v="3699"/>
        <n v="2172"/>
        <n v="3805"/>
        <n v="2494"/>
        <n v="3537"/>
        <n v="3666"/>
        <n v="707"/>
        <n v="1045"/>
        <n v="4422"/>
        <n v="3328"/>
        <n v="2290"/>
        <n v="3195"/>
        <n v="3544"/>
        <n v="4724"/>
        <n v="3977"/>
        <n v="2211"/>
        <n v="1476"/>
        <n v="282"/>
        <n v="444"/>
        <n v="441"/>
        <n v="4973"/>
        <n v="161"/>
        <n v="2511"/>
        <n v="1162"/>
        <n v="3831"/>
        <n v="1229"/>
        <n v="4684"/>
        <n v="2157"/>
        <n v="2910"/>
        <n v="1145"/>
        <n v="3624"/>
        <n v="2604"/>
        <n v="3498"/>
        <n v="3562"/>
        <n v="515"/>
        <n v="4508"/>
        <n v="1790"/>
        <n v="3705"/>
        <n v="2616"/>
        <n v="3767"/>
        <n v="1913"/>
        <n v="3783"/>
        <n v="4736"/>
        <n v="4764"/>
        <n v="4972"/>
        <n v="2238"/>
        <n v="97"/>
        <n v="3543"/>
        <n v="4651"/>
        <n v="1039"/>
        <n v="3836"/>
        <n v="3017"/>
        <n v="2610"/>
        <n v="1615"/>
        <n v="2158"/>
        <n v="1961"/>
        <n v="16"/>
        <n v="4966"/>
        <n v="3914"/>
        <n v="4945"/>
        <n v="3585"/>
        <n v="1513"/>
        <n v="818"/>
        <n v="1719"/>
        <n v="2369"/>
        <n v="4916"/>
        <n v="4227"/>
        <n v="4542"/>
        <n v="2505"/>
        <n v="1215"/>
        <n v="1894"/>
        <n v="2073"/>
        <n v="765"/>
        <n v="2190"/>
        <n v="4070"/>
        <n v="4282"/>
        <n v="3615"/>
        <n v="3438"/>
        <n v="4200"/>
        <n v="2506"/>
        <n v="1918"/>
        <n v="1436"/>
        <n v="3014"/>
        <n v="4418"/>
        <n v="3978"/>
        <n v="2867"/>
        <n v="2895"/>
        <n v="1254"/>
        <n v="3063"/>
        <n v="1948"/>
        <n v="3574"/>
        <n v="2171"/>
        <n v="1512"/>
        <n v="3511"/>
        <n v="1991"/>
        <n v="3628"/>
        <n v="2306"/>
        <n v="2309"/>
        <n v="4433"/>
        <n v="2438"/>
        <n v="3833"/>
        <n v="3075"/>
        <n v="3094"/>
        <n v="983"/>
        <n v="3043"/>
        <n v="4504"/>
        <n v="938"/>
        <n v="610"/>
        <n v="586"/>
        <n v="800"/>
        <n v="3991"/>
        <n v="4934"/>
        <n v="3238"/>
        <n v="3720"/>
        <n v="3938"/>
        <n v="3641"/>
        <n v="2716"/>
        <n v="2047"/>
        <n v="1745"/>
        <n v="1681"/>
        <n v="260"/>
        <n v="1972"/>
        <n v="1898"/>
        <n v="3925"/>
        <n v="1590"/>
      </sharedItems>
    </cacheField>
    <cacheField name="Deaths" numFmtId="0">
      <sharedItems containsString="0" containsBlank="1" containsNumber="1" containsInteger="1" minValue="2" maxValue="1000"/>
    </cacheField>
    <cacheField name="Quests Completed" numFmtId="0">
      <sharedItems containsString="0" containsBlank="1" containsNumber="1" containsInteger="1" minValue="0" maxValue="300"/>
    </cacheField>
    <cacheField name="Win Rate (%)" numFmtId="165">
      <sharedItems containsSemiMixedTypes="0" containsString="0" containsNumber="1" containsInteger="1" minValue="0" maxValue="100"/>
    </cacheField>
    <cacheField name="Playtime (hrs)" numFmtId="0">
      <sharedItems containsString="0" containsBlank="1" containsNumber="1" containsInteger="1" minValue="47" maxValue="9993"/>
    </cacheField>
    <cacheField name="Gold Earned" numFmtId="44">
      <sharedItems containsString="0" containsBlank="1" containsNumber="1" containsInteger="1" minValue="3185" maxValue="999412"/>
    </cacheField>
    <cacheField name="Is Premium" numFmtId="0">
      <sharedItems count="2">
        <s v="Yes"/>
        <s v="No"/>
      </sharedItems>
    </cacheField>
    <cacheField name="Gold Rank" numFmtId="0">
      <sharedItems containsSemiMixedTypes="0" containsString="0" containsNumber="1" containsInteger="1" minValue="1" maxValue="486"/>
    </cacheField>
    <cacheField name="Tier" numFmtId="0">
      <sharedItems/>
    </cacheField>
    <cacheField name="Status Aktif" numFmtId="0">
      <sharedItems/>
    </cacheField>
    <cacheField name="Performance" numFmtId="0">
      <sharedItems/>
    </cacheField>
    <cacheField name="OP or Not" numFmtId="0">
      <sharedItems/>
    </cacheField>
    <cacheField name="Recruitment Priority" numFmtId="0">
      <sharedItems/>
    </cacheField>
    <cacheField name="Status Squad" numFmtId="0">
      <sharedItems/>
    </cacheField>
    <cacheField name="Months (Join Date)" numFmtId="0" databaseField="0">
      <fieldGroup base="11">
        <rangePr groupBy="months" startDate="2018-01-03T00:00:00" endDate="2024-12-27T00:00:00"/>
        <groupItems count="14">
          <s v="&lt;1/3/2018"/>
          <s v="Jan"/>
          <s v="Feb"/>
          <s v="Mar"/>
          <s v="Apr"/>
          <s v="May"/>
          <s v="Jun"/>
          <s v="Jul"/>
          <s v="Aug"/>
          <s v="Sep"/>
          <s v="Oct"/>
          <s v="Nov"/>
          <s v="Dec"/>
          <s v="&gt;12/27/2024"/>
        </groupItems>
      </fieldGroup>
    </cacheField>
    <cacheField name="Quarters (Join Date)" numFmtId="0" databaseField="0">
      <fieldGroup base="11">
        <rangePr groupBy="quarters" startDate="2018-01-03T00:00:00" endDate="2024-12-27T00:00:00"/>
        <groupItems count="6">
          <s v="&lt;1/3/2018"/>
          <s v="Qtr1"/>
          <s v="Qtr2"/>
          <s v="Qtr3"/>
          <s v="Qtr4"/>
          <s v="&gt;12/27/2024"/>
        </groupItems>
      </fieldGroup>
    </cacheField>
    <cacheField name="Years (Join Date)" numFmtId="0" databaseField="0">
      <fieldGroup base="11">
        <rangePr groupBy="years" startDate="2018-01-03T00:00:00" endDate="2024-12-27T00:00:00"/>
        <groupItems count="9">
          <s v="&lt;1/3/2018"/>
          <s v="2018"/>
          <s v="2019"/>
          <s v="2020"/>
          <s v="2021"/>
          <s v="2022"/>
          <s v="2023"/>
          <s v="2024"/>
          <s v="&gt;12/27/2024"/>
        </groupItems>
      </fieldGroup>
    </cacheField>
  </cacheFields>
  <extLst>
    <ext xmlns:x14="http://schemas.microsoft.com/office/spreadsheetml/2009/9/main" uri="{725AE2AE-9491-48be-B2B4-4EB974FC3084}">
      <x14:pivotCacheDefinition pivotCacheId="2797728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PL0001"/>
    <s v="aiden_544"/>
    <s v="Aiden"/>
    <s v="Darkmantle"/>
    <x v="0"/>
    <x v="0"/>
    <n v="75"/>
    <x v="0"/>
    <x v="0"/>
    <s v="Dagger"/>
    <s v="Retired"/>
    <x v="0"/>
    <x v="0"/>
    <n v="63"/>
    <n v="27"/>
    <n v="4917"/>
    <n v="2081"/>
    <n v="218"/>
    <x v="0"/>
    <n v="267"/>
    <n v="200"/>
    <n v="36"/>
    <n v="7574"/>
    <n v="533299"/>
    <x v="0"/>
    <n v="235"/>
    <s v="Elite"/>
    <b v="0"/>
    <s v="Poor"/>
    <s v="Normal"/>
    <s v="Medium"/>
    <s v="Reguler"/>
  </r>
  <r>
    <s v="PL0002"/>
    <s v="yara_720"/>
    <s v="Yara"/>
    <s v="Flameborn"/>
    <x v="1"/>
    <x v="1"/>
    <n v="55"/>
    <x v="1"/>
    <x v="0"/>
    <s v="Dagger"/>
    <s v="Active"/>
    <x v="1"/>
    <x v="1"/>
    <n v="33"/>
    <n v="37"/>
    <n v="4482"/>
    <n v="2100"/>
    <n v="158"/>
    <x v="1"/>
    <n v="412"/>
    <n v="109"/>
    <n v="82"/>
    <m/>
    <n v="187683"/>
    <x v="1"/>
    <n v="405"/>
    <s v="Elite"/>
    <b v="1"/>
    <s v="Excellent"/>
    <s v="Normal"/>
    <s v="Medium"/>
    <s v="Reguler"/>
  </r>
  <r>
    <s v="PL0003"/>
    <s v="dune_789"/>
    <s v="Dune"/>
    <s v="Wildhorn"/>
    <x v="2"/>
    <x v="2"/>
    <n v="73"/>
    <x v="2"/>
    <x v="1"/>
    <s v="Dagger"/>
    <s v="Retired"/>
    <x v="2"/>
    <x v="2"/>
    <n v="60"/>
    <n v="60"/>
    <n v="853"/>
    <n v="556"/>
    <n v="212"/>
    <x v="2"/>
    <n v="844"/>
    <n v="66"/>
    <n v="82"/>
    <n v="1423"/>
    <n v="334478"/>
    <x v="0"/>
    <n v="341"/>
    <s v="Elite"/>
    <b v="0"/>
    <s v="Excellent"/>
    <s v="Normal"/>
    <s v="High"/>
    <s v="Brawler"/>
  </r>
  <r>
    <s v="PL0004"/>
    <s v="kael_438"/>
    <s v="Kael"/>
    <s v="Emberveil"/>
    <x v="3"/>
    <x v="3"/>
    <n v="50"/>
    <x v="3"/>
    <x v="2"/>
    <s v="Spear"/>
    <s v="Retired"/>
    <x v="3"/>
    <x v="3"/>
    <n v="108"/>
    <n v="77"/>
    <n v="2644"/>
    <n v="512"/>
    <n v="298"/>
    <x v="3"/>
    <n v="905"/>
    <n v="204"/>
    <n v="74"/>
    <n v="3900"/>
    <n v="798358"/>
    <x v="0"/>
    <n v="105"/>
    <s v="Veteran"/>
    <b v="0"/>
    <s v="Excellent"/>
    <s v="Normal"/>
    <s v="Medium"/>
    <s v="Brawler"/>
  </r>
  <r>
    <s v="PL0005"/>
    <s v="seth_491"/>
    <s v="Seth"/>
    <s v="Frostborn"/>
    <x v="4"/>
    <x v="4"/>
    <n v="64"/>
    <x v="4"/>
    <x v="3"/>
    <s v="Spear"/>
    <s v=""/>
    <x v="4"/>
    <x v="4"/>
    <n v="51"/>
    <n v="43"/>
    <n v="4009"/>
    <n v="71"/>
    <n v="140"/>
    <x v="4"/>
    <n v="444"/>
    <n v="232"/>
    <n v="35"/>
    <n v="8531"/>
    <n v="607955"/>
    <x v="0"/>
    <n v="201"/>
    <s v="Elite"/>
    <b v="0"/>
    <s v="Poor"/>
    <s v="Normal"/>
    <s v="Medium"/>
    <s v="Reguler"/>
  </r>
  <r>
    <s v="PL0006"/>
    <s v="mira_877"/>
    <s v="Mira"/>
    <s v="Darkmantle"/>
    <x v="5"/>
    <x v="4"/>
    <n v="43"/>
    <x v="5"/>
    <x v="2"/>
    <s v="Fists"/>
    <s v="Retired"/>
    <x v="5"/>
    <x v="5"/>
    <n v="123"/>
    <n v="23"/>
    <n v="4104"/>
    <n v="1355"/>
    <n v="160"/>
    <x v="5"/>
    <n v="229"/>
    <n v="7"/>
    <n v="83"/>
    <n v="1499"/>
    <n v="864710"/>
    <x v="1"/>
    <n v="65"/>
    <s v="Veteran"/>
    <b v="0"/>
    <s v="Excellent"/>
    <s v="Normal"/>
    <s v="Medium"/>
    <s v="Tanker"/>
  </r>
  <r>
    <s v="PL0007"/>
    <s v="delia_887"/>
    <s v="Delia"/>
    <s v="Stormcall"/>
    <x v="3"/>
    <x v="5"/>
    <n v="22"/>
    <x v="0"/>
    <x v="4"/>
    <s v="Wand"/>
    <s v="Active"/>
    <x v="6"/>
    <x v="6"/>
    <n v="129"/>
    <n v="139"/>
    <n v="2832"/>
    <n v="1161"/>
    <n v="336"/>
    <x v="6"/>
    <n v="178"/>
    <n v="255"/>
    <n v="96"/>
    <n v="4184"/>
    <n v="954984"/>
    <x v="0"/>
    <n v="23"/>
    <s v="Rookie"/>
    <b v="1"/>
    <s v="Excellent"/>
    <s v="Normal"/>
    <s v="Medium"/>
    <s v="Elity Spy"/>
  </r>
  <r>
    <s v="PL0008"/>
    <s v="yara_356"/>
    <s v="Yara"/>
    <s v="Frostborn"/>
    <x v="0"/>
    <x v="4"/>
    <n v="39"/>
    <x v="6"/>
    <x v="0"/>
    <s v="Axe"/>
    <s v="Banned"/>
    <x v="7"/>
    <x v="7"/>
    <n v="139"/>
    <n v="31"/>
    <n v="3035"/>
    <n v="715"/>
    <n v="236"/>
    <x v="7"/>
    <n v="487"/>
    <n v="18"/>
    <n v="88"/>
    <n v="9899"/>
    <n v="629663"/>
    <x v="1"/>
    <n v="185"/>
    <s v="Veteran"/>
    <b v="0"/>
    <s v="Excellent"/>
    <s v="Normal"/>
    <s v="Medium"/>
    <s v="Tanker"/>
  </r>
  <r>
    <s v="PL0009"/>
    <s v="hana_217"/>
    <s v="Hana"/>
    <s v="Darkmantle"/>
    <x v="4"/>
    <x v="6"/>
    <n v="66"/>
    <x v="0"/>
    <x v="3"/>
    <s v="Dagger"/>
    <s v="Inactive"/>
    <x v="8"/>
    <x v="8"/>
    <n v="60"/>
    <n v="72"/>
    <n v="1712"/>
    <n v="121"/>
    <n v="219"/>
    <x v="8"/>
    <n v="147"/>
    <n v="121"/>
    <n v="95"/>
    <n v="457"/>
    <n v="806099"/>
    <x v="1"/>
    <n v="102"/>
    <s v="Elite"/>
    <b v="0"/>
    <s v="Excellent"/>
    <s v="Normal"/>
    <s v="Medium"/>
    <s v="Brawler"/>
  </r>
  <r>
    <s v="PL0010"/>
    <s v="aria_507"/>
    <s v="Aria"/>
    <s v="Ironfist"/>
    <x v="6"/>
    <x v="1"/>
    <n v="98"/>
    <x v="5"/>
    <x v="3"/>
    <s v="Fists"/>
    <s v="Banned"/>
    <x v="9"/>
    <x v="9"/>
    <n v="107"/>
    <n v="91"/>
    <n v="1624"/>
    <n v="630"/>
    <n v="274"/>
    <x v="9"/>
    <n v="672"/>
    <n v="293"/>
    <n v="72"/>
    <n v="5441"/>
    <n v="652078"/>
    <x v="1"/>
    <n v="174"/>
    <s v="Legend"/>
    <b v="0"/>
    <s v="Excellent"/>
    <s v="Normal"/>
    <s v="Medium"/>
    <s v="Elity Spy"/>
  </r>
  <r>
    <s v="PL0011"/>
    <s v="tara_718"/>
    <s v="Tara"/>
    <s v="Flameborn"/>
    <x v="2"/>
    <x v="0"/>
    <n v="7"/>
    <x v="5"/>
    <x v="0"/>
    <s v="Staff"/>
    <s v="Active"/>
    <x v="10"/>
    <x v="10"/>
    <n v="86"/>
    <m/>
    <n v="2823"/>
    <n v="2095"/>
    <n v="280"/>
    <x v="10"/>
    <n v="257"/>
    <n v="56"/>
    <n v="95"/>
    <n v="5690"/>
    <n v="858203"/>
    <x v="1"/>
    <n v="70"/>
    <s v="Rookie"/>
    <b v="1"/>
    <s v="Excellent"/>
    <s v="Normal"/>
    <s v="Medium"/>
    <s v="Reguler"/>
  </r>
  <r>
    <s v="PL0012"/>
    <s v="seth_845"/>
    <s v="Seth"/>
    <s v=""/>
    <x v="0"/>
    <x v="0"/>
    <n v="70"/>
    <x v="3"/>
    <x v="2"/>
    <s v="Fists"/>
    <s v=""/>
    <x v="11"/>
    <x v="11"/>
    <n v="42"/>
    <n v="147"/>
    <n v="3213"/>
    <n v="2265"/>
    <n v="284"/>
    <x v="11"/>
    <n v="336"/>
    <n v="252"/>
    <n v="60"/>
    <n v="5495"/>
    <n v="73314"/>
    <x v="1"/>
    <n v="448"/>
    <s v="Elite"/>
    <b v="0"/>
    <s v="Average"/>
    <s v="Normal"/>
    <s v="Medium"/>
    <s v="Elity Spy"/>
  </r>
  <r>
    <s v="PL0013"/>
    <s v="IVAN_976"/>
    <s v="Ivan"/>
    <s v="Ashgrove"/>
    <x v="0"/>
    <x v="6"/>
    <n v="53"/>
    <x v="3"/>
    <x v="1"/>
    <s v="Sword"/>
    <s v="Active"/>
    <x v="11"/>
    <x v="12"/>
    <n v="51"/>
    <n v="139"/>
    <n v="4833"/>
    <n v="1088"/>
    <n v="238"/>
    <x v="12"/>
    <n v="722"/>
    <n v="265"/>
    <n v="64"/>
    <n v="9944"/>
    <n v="156160"/>
    <x v="0"/>
    <n v="419"/>
    <s v="Elite"/>
    <b v="1"/>
    <s v="Average"/>
    <s v="Normal"/>
    <s v="Medium"/>
    <s v="Elity Spy"/>
  </r>
  <r>
    <s v="PL0014"/>
    <s v="faye_108"/>
    <s v="Faye"/>
    <s v="Frostborn"/>
    <x v="1"/>
    <x v="7"/>
    <n v="15"/>
    <x v="7"/>
    <x v="5"/>
    <s v="Axe"/>
    <s v="Banned"/>
    <x v="12"/>
    <x v="13"/>
    <n v="51"/>
    <n v="134"/>
    <n v="363"/>
    <n v="1870"/>
    <n v="312"/>
    <x v="13"/>
    <n v="188"/>
    <n v="276"/>
    <n v="71"/>
    <n v="539"/>
    <n v="63346"/>
    <x v="0"/>
    <n v="453"/>
    <s v="Rookie"/>
    <b v="0"/>
    <s v="Excellent"/>
    <s v="Normal"/>
    <s v="Medium"/>
    <s v="Elity Spy"/>
  </r>
  <r>
    <s v="PL0015"/>
    <s v="ewan_425"/>
    <s v="Ewan"/>
    <s v="Wolfsbane"/>
    <x v="6"/>
    <x v="4"/>
    <n v="47"/>
    <x v="7"/>
    <x v="5"/>
    <s v="Axe"/>
    <s v="Active"/>
    <x v="13"/>
    <x v="14"/>
    <n v="141"/>
    <n v="81"/>
    <n v="4225"/>
    <n v="1976"/>
    <n v="327"/>
    <x v="14"/>
    <n v="46"/>
    <n v="89"/>
    <n v="97"/>
    <n v="7877"/>
    <n v="631609"/>
    <x v="1"/>
    <n v="183"/>
    <s v="Veteran"/>
    <b v="1"/>
    <s v="Excellent"/>
    <s v="Normal"/>
    <s v="Medium"/>
    <s v="Squad Inti"/>
  </r>
  <r>
    <s v="PL0016"/>
    <s v="delia_882"/>
    <s v="Delia"/>
    <s v="Ashgrove"/>
    <x v="0"/>
    <x v="2"/>
    <n v="51"/>
    <x v="2"/>
    <x v="2"/>
    <s v="Axe"/>
    <s v="Inactive"/>
    <x v="14"/>
    <x v="15"/>
    <n v="27"/>
    <n v="130"/>
    <n v="3640"/>
    <n v="2506"/>
    <n v="173"/>
    <x v="15"/>
    <n v="683"/>
    <n v="200"/>
    <n v="87"/>
    <n v="3708"/>
    <n v="384813"/>
    <x v="1"/>
    <n v="313"/>
    <s v="Elite"/>
    <b v="0"/>
    <s v="Excellent"/>
    <s v="Normal"/>
    <s v="Medium"/>
    <s v="Elity Spy"/>
  </r>
  <r>
    <s v="PL0017"/>
    <s v="grim_850"/>
    <s v="Grim"/>
    <s v="Stoneback"/>
    <x v="1"/>
    <x v="0"/>
    <n v="55"/>
    <x v="2"/>
    <x v="6"/>
    <s v="Sword"/>
    <s v="Inactive"/>
    <x v="15"/>
    <x v="16"/>
    <n v="63"/>
    <n v="138"/>
    <n v="2931"/>
    <n v="2865"/>
    <m/>
    <x v="16"/>
    <n v="750"/>
    <n v="194"/>
    <n v="87"/>
    <m/>
    <n v="374988"/>
    <x v="0"/>
    <n v="316"/>
    <s v="Elite"/>
    <b v="0"/>
    <s v="Excellent"/>
    <s v="Normal"/>
    <s v="High"/>
    <s v="Tactician"/>
  </r>
  <r>
    <s v="PL0018"/>
    <s v="aiden_847"/>
    <s v="Aiden"/>
    <s v="Shadowstep"/>
    <x v="4"/>
    <x v="3"/>
    <n v="91"/>
    <x v="3"/>
    <x v="5"/>
    <s v="Spear"/>
    <s v="Active"/>
    <x v="16"/>
    <x v="17"/>
    <n v="124"/>
    <n v="145"/>
    <n v="179"/>
    <n v="382"/>
    <n v="381"/>
    <x v="17"/>
    <n v="533"/>
    <n v="148"/>
    <n v="82"/>
    <n v="2807"/>
    <n v="700363"/>
    <x v="0"/>
    <n v="150"/>
    <s v="Legend"/>
    <b v="1"/>
    <s v="Excellent"/>
    <s v="Overpowered"/>
    <s v="High"/>
    <s v="Elity Spy"/>
  </r>
  <r>
    <s v="PL0019"/>
    <s v="ivan_104"/>
    <s v="Ivan"/>
    <s v="Coldwater"/>
    <x v="6"/>
    <x v="6"/>
    <n v="3"/>
    <x v="5"/>
    <x v="0"/>
    <s v="Spear"/>
    <s v="Retired"/>
    <x v="17"/>
    <x v="18"/>
    <n v="57"/>
    <n v="96"/>
    <n v="1322"/>
    <n v="1851"/>
    <n v="184"/>
    <x v="18"/>
    <n v="685"/>
    <n v="264"/>
    <n v="87"/>
    <n v="5309"/>
    <n v="469301"/>
    <x v="1"/>
    <n v="270"/>
    <s v="Rookie"/>
    <b v="0"/>
    <s v="Excellent"/>
    <s v="Normal"/>
    <s v="Medium"/>
    <s v="Elity Spy"/>
  </r>
  <r>
    <s v="PL0020"/>
    <s v="nolan_384"/>
    <s v="Nolan"/>
    <s v="Ironveil"/>
    <x v="3"/>
    <x v="7"/>
    <n v="7"/>
    <x v="8"/>
    <x v="3"/>
    <s v="Dagger"/>
    <s v=""/>
    <x v="18"/>
    <x v="19"/>
    <n v="140"/>
    <n v="27"/>
    <n v="211"/>
    <n v="2833"/>
    <n v="313"/>
    <x v="19"/>
    <n v="149"/>
    <n v="226"/>
    <n v="92"/>
    <m/>
    <n v="152375"/>
    <x v="0"/>
    <n v="420"/>
    <s v="Rookie"/>
    <b v="0"/>
    <s v="Excellent"/>
    <s v="Normal"/>
    <s v="Medium"/>
    <s v="Reguler"/>
  </r>
  <r>
    <s v="PL0021"/>
    <s v="cedric_761"/>
    <s v="Cedric"/>
    <s v="Darkthorn"/>
    <x v="6"/>
    <x v="6"/>
    <n v="26"/>
    <x v="7"/>
    <x v="0"/>
    <s v="Bow"/>
    <s v="Inactive"/>
    <x v="19"/>
    <x v="20"/>
    <n v="50"/>
    <n v="75"/>
    <n v="1023"/>
    <n v="2897"/>
    <n v="274"/>
    <x v="20"/>
    <n v="558"/>
    <n v="112"/>
    <n v="0"/>
    <m/>
    <n v="106423"/>
    <x v="1"/>
    <n v="436"/>
    <s v="Veteran"/>
    <b v="0"/>
    <s v="Poor"/>
    <s v="Normal"/>
    <s v="Low"/>
    <s v="Brawler"/>
  </r>
  <r>
    <s v="PL0022"/>
    <s v="tilda_971"/>
    <s v="Tilda"/>
    <s v="Lightfoot"/>
    <x v="7"/>
    <x v="1"/>
    <n v="29"/>
    <x v="7"/>
    <x v="3"/>
    <s v="Wand"/>
    <s v="Active"/>
    <x v="20"/>
    <x v="21"/>
    <m/>
    <n v="78"/>
    <n v="3141"/>
    <n v="758"/>
    <n v="270"/>
    <x v="21"/>
    <n v="795"/>
    <n v="218"/>
    <n v="35"/>
    <n v="9823"/>
    <n v="58595"/>
    <x v="0"/>
    <n v="456"/>
    <s v="Veteran"/>
    <b v="1"/>
    <s v="Poor"/>
    <s v="Normal"/>
    <s v="Medium"/>
    <s v="Brawler"/>
  </r>
  <r>
    <s v="PL0023"/>
    <s v="rosa_446"/>
    <s v="Rosa"/>
    <s v="Ravencrest"/>
    <x v="2"/>
    <x v="6"/>
    <n v="39"/>
    <x v="0"/>
    <x v="3"/>
    <s v="Dagger"/>
    <s v="Retired"/>
    <x v="21"/>
    <x v="22"/>
    <n v="57"/>
    <n v="139"/>
    <n v="109"/>
    <n v="2132"/>
    <n v="293"/>
    <x v="22"/>
    <n v="732"/>
    <n v="199"/>
    <n v="81"/>
    <n v="5110"/>
    <n v="228593"/>
    <x v="0"/>
    <n v="385"/>
    <s v="Veteran"/>
    <b v="0"/>
    <s v="Excellent"/>
    <s v="Normal"/>
    <s v="Medium"/>
    <s v="Elity Spy"/>
  </r>
  <r>
    <s v="PL0024"/>
    <s v="crix_626"/>
    <s v="Crix"/>
    <s v="Darkthorn"/>
    <x v="2"/>
    <x v="2"/>
    <n v="21"/>
    <x v="4"/>
    <x v="6"/>
    <s v="Bow"/>
    <s v="Active"/>
    <x v="22"/>
    <x v="23"/>
    <n v="38"/>
    <n v="105"/>
    <n v="1897"/>
    <n v="2274"/>
    <n v="180"/>
    <x v="23"/>
    <n v="521"/>
    <n v="177"/>
    <n v="0"/>
    <n v="9761"/>
    <n v="431681"/>
    <x v="1"/>
    <n v="290"/>
    <s v="Rookie"/>
    <b v="1"/>
    <s v="Poor"/>
    <s v="Normal"/>
    <s v="Low"/>
    <s v="Tactician"/>
  </r>
  <r>
    <s v="PL0025"/>
    <s v="rosa_995"/>
    <s v="Rosa"/>
    <s v="Ashgrove"/>
    <x v="1"/>
    <x v="7"/>
    <n v="66"/>
    <x v="1"/>
    <x v="1"/>
    <s v="Fists"/>
    <s v="Inactive"/>
    <x v="23"/>
    <x v="24"/>
    <n v="19"/>
    <n v="112"/>
    <n v="3279"/>
    <n v="1354"/>
    <n v="241"/>
    <x v="24"/>
    <n v="142"/>
    <n v="46"/>
    <n v="97"/>
    <n v="7037"/>
    <n v="202945"/>
    <x v="1"/>
    <n v="399"/>
    <s v="Elite"/>
    <b v="0"/>
    <s v="Excellent"/>
    <s v="Normal"/>
    <s v="Medium"/>
    <s v="Elity Spy"/>
  </r>
  <r>
    <s v="PL0026"/>
    <s v="seth_192"/>
    <s v="Seth"/>
    <s v="Wildhorn"/>
    <x v="7"/>
    <x v="7"/>
    <n v="23"/>
    <x v="5"/>
    <x v="3"/>
    <s v="Wand"/>
    <s v="Retired"/>
    <x v="24"/>
    <x v="25"/>
    <n v="65"/>
    <n v="39"/>
    <n v="2465"/>
    <n v="1025"/>
    <n v="237"/>
    <x v="25"/>
    <n v="434"/>
    <m/>
    <n v="86"/>
    <n v="8791"/>
    <n v="455853"/>
    <x v="0"/>
    <n v="275"/>
    <s v="Rookie"/>
    <b v="0"/>
    <s v="Excellent"/>
    <s v="Normal"/>
    <s v="Medium"/>
    <s v="Reguler"/>
  </r>
  <r>
    <s v="PL0027"/>
    <s v="cedric_672"/>
    <s v="Cedric"/>
    <s v="Flameborn"/>
    <x v="3"/>
    <x v="7"/>
    <n v="77"/>
    <x v="2"/>
    <x v="3"/>
    <s v="Bow"/>
    <s v="Inactive"/>
    <x v="25"/>
    <x v="26"/>
    <n v="97"/>
    <n v="133"/>
    <n v="2660"/>
    <n v="556"/>
    <n v="257"/>
    <x v="26"/>
    <n v="18"/>
    <n v="91"/>
    <n v="88"/>
    <n v="4126"/>
    <n v="445111"/>
    <x v="0"/>
    <n v="282"/>
    <s v="Legend"/>
    <b v="0"/>
    <s v="Excellent"/>
    <s v="Normal"/>
    <s v="High"/>
    <s v="Elity Spy"/>
  </r>
  <r>
    <s v="PL0028"/>
    <s v="oryn_384"/>
    <s v="Oryn"/>
    <s v="Lightfoot"/>
    <x v="2"/>
    <x v="8"/>
    <n v="58"/>
    <x v="1"/>
    <x v="5"/>
    <s v="Fists"/>
    <s v="Inactive"/>
    <x v="26"/>
    <x v="11"/>
    <n v="114"/>
    <n v="45"/>
    <n v="3044"/>
    <n v="1917"/>
    <n v="254"/>
    <x v="27"/>
    <n v="830"/>
    <n v="29"/>
    <n v="58"/>
    <m/>
    <n v="900650"/>
    <x v="1"/>
    <n v="54"/>
    <s v="Elite"/>
    <b v="0"/>
    <s v="Average"/>
    <s v="Normal"/>
    <s v="Medium"/>
    <s v="Tanker"/>
  </r>
  <r>
    <s v="PL0029"/>
    <s v="lira_866"/>
    <s v="Lira"/>
    <s v="Wolfsbane"/>
    <x v="6"/>
    <x v="6"/>
    <n v="67"/>
    <x v="0"/>
    <x v="4"/>
    <s v="Sword"/>
    <s v="Active"/>
    <x v="27"/>
    <x v="27"/>
    <n v="123"/>
    <n v="76"/>
    <n v="3341"/>
    <n v="931"/>
    <n v="277"/>
    <x v="28"/>
    <n v="464"/>
    <n v="101"/>
    <n v="75"/>
    <n v="4750"/>
    <n v="610938"/>
    <x v="0"/>
    <n v="198"/>
    <s v="Elite"/>
    <b v="1"/>
    <s v="Excellent"/>
    <s v="Normal"/>
    <s v="High"/>
    <s v="Tanker"/>
  </r>
  <r>
    <s v="PL0030"/>
    <s v="leon_478"/>
    <s v="Leon"/>
    <s v="Ironveil"/>
    <x v="7"/>
    <x v="3"/>
    <n v="73"/>
    <x v="4"/>
    <x v="3"/>
    <s v="Bow"/>
    <s v="Retired"/>
    <x v="28"/>
    <x v="9"/>
    <n v="139"/>
    <n v="53"/>
    <m/>
    <n v="372"/>
    <n v="268"/>
    <x v="29"/>
    <n v="881"/>
    <n v="90"/>
    <n v="68"/>
    <n v="5792"/>
    <n v="110151"/>
    <x v="1"/>
    <n v="433"/>
    <s v="Elite"/>
    <b v="0"/>
    <s v="Average"/>
    <s v="Normal"/>
    <s v="Medium"/>
    <s v="Reguler"/>
  </r>
  <r>
    <s v="PL0031"/>
    <s v="grim_608"/>
    <s v="Grim"/>
    <s v="Wildhorn"/>
    <x v="4"/>
    <x v="4"/>
    <n v="31"/>
    <x v="3"/>
    <x v="0"/>
    <s v="Axe"/>
    <s v=""/>
    <x v="29"/>
    <x v="28"/>
    <n v="82"/>
    <n v="135"/>
    <n v="1943"/>
    <n v="2758"/>
    <n v="286"/>
    <x v="30"/>
    <n v="655"/>
    <n v="276"/>
    <n v="87"/>
    <n v="3185"/>
    <n v="136307"/>
    <x v="1"/>
    <n v="424"/>
    <s v="Veteran"/>
    <b v="0"/>
    <s v="Excellent"/>
    <s v="Normal"/>
    <s v="Medium"/>
    <s v="Elity Spy"/>
  </r>
  <r>
    <s v="PL0032"/>
    <s v="dune_150"/>
    <s v="Dune"/>
    <s v="Grimstone"/>
    <x v="3"/>
    <x v="0"/>
    <n v="2"/>
    <x v="7"/>
    <x v="2"/>
    <s v="Dagger"/>
    <s v="Active"/>
    <x v="30"/>
    <x v="29"/>
    <n v="109"/>
    <n v="62"/>
    <n v="2990"/>
    <n v="304"/>
    <n v="273"/>
    <x v="31"/>
    <n v="739"/>
    <n v="8"/>
    <n v="47"/>
    <n v="9553"/>
    <n v="637419"/>
    <x v="1"/>
    <n v="181"/>
    <s v="Rookie"/>
    <b v="1"/>
    <s v="Average"/>
    <s v="Normal"/>
    <s v="Low"/>
    <s v="Brawler"/>
  </r>
  <r>
    <s v="PL0033"/>
    <s v="tara_758"/>
    <s v="Tara"/>
    <s v="Darkthorn"/>
    <x v="0"/>
    <x v="8"/>
    <n v="1"/>
    <x v="3"/>
    <x v="4"/>
    <s v="Staff"/>
    <s v="Active"/>
    <x v="31"/>
    <x v="30"/>
    <n v="148"/>
    <n v="73"/>
    <n v="991"/>
    <n v="2097"/>
    <n v="306"/>
    <x v="32"/>
    <n v="431"/>
    <n v="28"/>
    <n v="81"/>
    <n v="3175"/>
    <n v="558606"/>
    <x v="0"/>
    <n v="220"/>
    <s v="Rookie"/>
    <b v="0"/>
    <s v="Excellent"/>
    <s v="Normal"/>
    <s v="Medium"/>
    <s v="Brawler"/>
  </r>
  <r>
    <s v="PL0034"/>
    <s v="torin_631"/>
    <s v="Torin"/>
    <s v="Stoneback"/>
    <x v="2"/>
    <x v="4"/>
    <n v="94"/>
    <x v="8"/>
    <x v="5"/>
    <s v="Sword"/>
    <s v="Active"/>
    <x v="32"/>
    <x v="31"/>
    <n v="118"/>
    <n v="17"/>
    <n v="1929"/>
    <n v="1988"/>
    <n v="168"/>
    <x v="33"/>
    <n v="679"/>
    <n v="271"/>
    <n v="84"/>
    <n v="8712"/>
    <n v="630672"/>
    <x v="0"/>
    <n v="184"/>
    <s v="Legend"/>
    <b v="1"/>
    <s v="Excellent"/>
    <s v="Normal"/>
    <s v="High"/>
    <s v="Reguler"/>
  </r>
  <r>
    <s v="PL0035"/>
    <s v="lyra_137"/>
    <s v="Lyra"/>
    <s v="Wolfsbane"/>
    <x v="0"/>
    <x v="6"/>
    <n v="86"/>
    <x v="5"/>
    <x v="5"/>
    <s v="Bow"/>
    <s v=""/>
    <x v="33"/>
    <x v="32"/>
    <n v="16"/>
    <n v="40"/>
    <n v="3743"/>
    <n v="695"/>
    <n v="85"/>
    <x v="34"/>
    <n v="299"/>
    <n v="214"/>
    <n v="83"/>
    <n v="2348"/>
    <n v="739463"/>
    <x v="0"/>
    <n v="134"/>
    <s v="Legend"/>
    <b v="0"/>
    <s v="Excellent"/>
    <s v="Normal"/>
    <s v="High"/>
    <s v="Reguler"/>
  </r>
  <r>
    <s v="PL0036"/>
    <s v="nyx_949"/>
    <s v="Nyx"/>
    <s v="Coldwater"/>
    <x v="8"/>
    <x v="8"/>
    <n v="78"/>
    <x v="3"/>
    <x v="2"/>
    <s v="Fists"/>
    <s v="Banned"/>
    <x v="34"/>
    <x v="33"/>
    <n v="96"/>
    <n v="52"/>
    <n v="1781"/>
    <n v="2160"/>
    <n v="207"/>
    <x v="35"/>
    <n v="655"/>
    <n v="264"/>
    <n v="86"/>
    <n v="6224"/>
    <n v="499403"/>
    <x v="1"/>
    <n v="252"/>
    <s v="Legend"/>
    <b v="0"/>
    <s v="Excellent"/>
    <s v="Normal"/>
    <s v="Medium"/>
    <s v="Reguler"/>
  </r>
  <r>
    <s v="PL0037"/>
    <s v="finn_122"/>
    <s v="Finn"/>
    <s v="Brightblade"/>
    <x v="7"/>
    <x v="4"/>
    <n v="23"/>
    <x v="0"/>
    <x v="1"/>
    <s v="Fists"/>
    <s v="Active"/>
    <x v="35"/>
    <x v="34"/>
    <n v="25"/>
    <n v="131"/>
    <n v="4007"/>
    <n v="2012"/>
    <n v="273"/>
    <x v="36"/>
    <n v="775"/>
    <n v="186"/>
    <n v="86"/>
    <n v="2237"/>
    <n v="573092"/>
    <x v="0"/>
    <n v="215"/>
    <s v="Rookie"/>
    <b v="1"/>
    <s v="Excellent"/>
    <s v="Normal"/>
    <s v="Medium"/>
    <s v="Elity Spy"/>
  </r>
  <r>
    <s v="PL0038"/>
    <s v="cael_120"/>
    <s v="Cael"/>
    <s v="Coldwater"/>
    <x v="7"/>
    <x v="0"/>
    <n v="69"/>
    <x v="8"/>
    <x v="5"/>
    <s v="Staff"/>
    <s v="Banned"/>
    <x v="36"/>
    <x v="35"/>
    <n v="124"/>
    <n v="96"/>
    <n v="3669"/>
    <n v="2324"/>
    <n v="370"/>
    <x v="37"/>
    <n v="152"/>
    <n v="106"/>
    <n v="96"/>
    <n v="6089"/>
    <n v="991709"/>
    <x v="1"/>
    <n v="4"/>
    <s v="Elite"/>
    <b v="0"/>
    <s v="Excellent"/>
    <s v="Normal"/>
    <s v="Medium"/>
    <s v="Elity Spy"/>
  </r>
  <r>
    <s v="PL0039"/>
    <s v="cedric_604"/>
    <s v=""/>
    <s v="Lightfoot"/>
    <x v="1"/>
    <x v="6"/>
    <n v="83"/>
    <x v="2"/>
    <x v="5"/>
    <s v="Dagger"/>
    <s v="Active"/>
    <x v="37"/>
    <x v="0"/>
    <n v="103"/>
    <n v="35"/>
    <n v="2201"/>
    <n v="1317"/>
    <n v="266"/>
    <x v="38"/>
    <n v="427"/>
    <n v="298"/>
    <n v="84"/>
    <n v="4022"/>
    <n v="419793"/>
    <x v="1"/>
    <n v="297"/>
    <s v="Legend"/>
    <b v="1"/>
    <s v="Excellent"/>
    <s v="Normal"/>
    <s v="Medium"/>
    <s v="Reguler"/>
  </r>
  <r>
    <s v="PL0040"/>
    <s v="rosa_364"/>
    <s v="Rosa"/>
    <s v="Darkthorn"/>
    <x v="3"/>
    <x v="3"/>
    <n v="29"/>
    <x v="4"/>
    <x v="1"/>
    <s v="Staff"/>
    <s v="Active"/>
    <x v="38"/>
    <x v="24"/>
    <n v="26"/>
    <n v="120"/>
    <n v="1625"/>
    <n v="2828"/>
    <n v="256"/>
    <x v="39"/>
    <n v="454"/>
    <n v="7"/>
    <n v="90"/>
    <n v="5410"/>
    <n v="708023"/>
    <x v="0"/>
    <n v="144"/>
    <s v="Veteran"/>
    <b v="1"/>
    <s v="Excellent"/>
    <s v="Normal"/>
    <s v="Medium"/>
    <s v="Elity Spy"/>
  </r>
  <r>
    <s v="PL0041"/>
    <s v="aria_752"/>
    <s v="Aria"/>
    <s v="Moonwhisper"/>
    <x v="0"/>
    <x v="4"/>
    <n v="87"/>
    <x v="8"/>
    <x v="2"/>
    <s v="Axe"/>
    <s v="Active"/>
    <x v="39"/>
    <x v="36"/>
    <n v="103"/>
    <n v="29"/>
    <n v="524"/>
    <n v="2725"/>
    <n v="170"/>
    <x v="40"/>
    <n v="864"/>
    <n v="259"/>
    <n v="9"/>
    <n v="8186"/>
    <n v="110358"/>
    <x v="1"/>
    <n v="432"/>
    <s v="Legend"/>
    <b v="1"/>
    <s v="Poor"/>
    <s v="Normal"/>
    <s v="Medium"/>
    <s v="Reguler"/>
  </r>
  <r>
    <s v="PL0042"/>
    <s v=""/>
    <s v="Freya"/>
    <s v="Stormcall"/>
    <x v="3"/>
    <x v="6"/>
    <m/>
    <x v="7"/>
    <x v="2"/>
    <s v="Bow"/>
    <s v="Active"/>
    <x v="37"/>
    <x v="37"/>
    <n v="140"/>
    <n v="133"/>
    <n v="155"/>
    <n v="443"/>
    <n v="295"/>
    <x v="30"/>
    <n v="793"/>
    <n v="74"/>
    <n v="50"/>
    <n v="7765"/>
    <n v="290799"/>
    <x v="1"/>
    <n v="356"/>
    <s v="Rookie"/>
    <b v="1"/>
    <s v="Average"/>
    <s v="Normal"/>
    <s v="Low"/>
    <s v="Elity Spy"/>
  </r>
  <r>
    <s v="PL0043"/>
    <s v="hana_536"/>
    <s v="Hana"/>
    <s v="Stoneback"/>
    <x v="7"/>
    <x v="8"/>
    <n v="84"/>
    <x v="7"/>
    <x v="5"/>
    <s v="Staff"/>
    <s v="Active"/>
    <x v="40"/>
    <x v="38"/>
    <n v="54"/>
    <n v="94"/>
    <n v="1622"/>
    <m/>
    <n v="242"/>
    <x v="41"/>
    <n v="302"/>
    <n v="176"/>
    <n v="92"/>
    <n v="4388"/>
    <n v="957455"/>
    <x v="1"/>
    <n v="22"/>
    <s v="Legend"/>
    <b v="1"/>
    <s v="Excellent"/>
    <s v="Normal"/>
    <s v="Medium"/>
    <s v="Elity Spy"/>
  </r>
  <r>
    <s v="PL0044"/>
    <s v="oryn_815"/>
    <s v="Oryn"/>
    <s v="Stormcall"/>
    <x v="4"/>
    <x v="1"/>
    <n v="88"/>
    <x v="0"/>
    <x v="0"/>
    <s v="Staff"/>
    <s v="Active"/>
    <x v="41"/>
    <x v="27"/>
    <n v="55"/>
    <n v="141"/>
    <n v="3750"/>
    <n v="2935"/>
    <n v="274"/>
    <x v="42"/>
    <n v="654"/>
    <n v="191"/>
    <n v="81"/>
    <n v="1392"/>
    <n v="170044"/>
    <x v="1"/>
    <n v="414"/>
    <s v="Legend"/>
    <b v="1"/>
    <s v="Excellent"/>
    <s v="Normal"/>
    <s v="Medium"/>
    <s v="Elity Spy"/>
  </r>
  <r>
    <s v="PL0045"/>
    <s v="ewan_452"/>
    <s v="Ewan"/>
    <s v="Darkthorn"/>
    <x v="1"/>
    <x v="2"/>
    <n v="69"/>
    <x v="4"/>
    <x v="6"/>
    <s v="Bow"/>
    <s v="Active"/>
    <x v="42"/>
    <x v="18"/>
    <n v="52"/>
    <n v="48"/>
    <n v="627"/>
    <n v="331"/>
    <n v="131"/>
    <x v="43"/>
    <n v="296"/>
    <n v="128"/>
    <n v="91"/>
    <n v="3879"/>
    <n v="730610"/>
    <x v="1"/>
    <n v="137"/>
    <s v="Elite"/>
    <b v="1"/>
    <s v="Excellent"/>
    <s v="Normal"/>
    <s v="Medium"/>
    <s v="Tactician"/>
  </r>
  <r>
    <s v="PL0046"/>
    <s v="vesper_123"/>
    <s v="Vesper"/>
    <s v="Nightfall"/>
    <x v="8"/>
    <x v="7"/>
    <n v="68"/>
    <x v="3"/>
    <x v="2"/>
    <s v="Staff"/>
    <s v="Active"/>
    <x v="43"/>
    <x v="11"/>
    <n v="74"/>
    <n v="19"/>
    <n v="4259"/>
    <n v="2911"/>
    <n v="188"/>
    <x v="44"/>
    <n v="518"/>
    <n v="102"/>
    <n v="64"/>
    <n v="5036"/>
    <n v="173793"/>
    <x v="0"/>
    <n v="412"/>
    <s v="Elite"/>
    <b v="1"/>
    <s v="Average"/>
    <s v="Normal"/>
    <s v="Medium"/>
    <s v="Reguler"/>
  </r>
  <r>
    <s v="PL0047"/>
    <s v="brynn_159"/>
    <s v="Brynn"/>
    <s v="Goldweave"/>
    <x v="0"/>
    <x v="8"/>
    <n v="91"/>
    <x v="7"/>
    <x v="0"/>
    <s v="Dagger"/>
    <s v="Active"/>
    <x v="44"/>
    <x v="39"/>
    <n v="124"/>
    <n v="126"/>
    <n v="1587"/>
    <m/>
    <n v="389"/>
    <x v="30"/>
    <n v="573"/>
    <n v="184"/>
    <n v="86"/>
    <n v="3941"/>
    <n v="612213"/>
    <x v="1"/>
    <n v="195"/>
    <s v="Legend"/>
    <b v="1"/>
    <s v="Excellent"/>
    <s v="Overpowered"/>
    <s v="Medium"/>
    <s v="Elity Spy"/>
  </r>
  <r>
    <s v="PL0048"/>
    <s v="nova_478"/>
    <s v="Nova"/>
    <s v="Ashgrove"/>
    <x v="5"/>
    <x v="7"/>
    <n v="2"/>
    <x v="7"/>
    <x v="4"/>
    <s v="Bow"/>
    <s v="Retired"/>
    <x v="45"/>
    <x v="40"/>
    <n v="134"/>
    <n v="99"/>
    <n v="3797"/>
    <n v="1390"/>
    <n v="286"/>
    <x v="45"/>
    <n v="299"/>
    <n v="14"/>
    <n v="91"/>
    <n v="153"/>
    <n v="522412"/>
    <x v="0"/>
    <n v="239"/>
    <s v="Rookie"/>
    <b v="0"/>
    <s v="Excellent"/>
    <s v="Normal"/>
    <s v="Medium"/>
    <s v="Elity Spy"/>
  </r>
  <r>
    <s v="PL0049"/>
    <s v="cedric_606"/>
    <s v="Cedric"/>
    <s v="Ravencrest"/>
    <x v="6"/>
    <x v="8"/>
    <n v="98"/>
    <x v="0"/>
    <x v="4"/>
    <s v="Bow"/>
    <s v="Active"/>
    <x v="46"/>
    <x v="25"/>
    <n v="131"/>
    <n v="27"/>
    <n v="911"/>
    <n v="1391"/>
    <n v="291"/>
    <x v="46"/>
    <n v="831"/>
    <n v="54"/>
    <n v="83"/>
    <n v="6439"/>
    <n v="791345"/>
    <x v="1"/>
    <n v="113"/>
    <s v="Legend"/>
    <b v="1"/>
    <s v="Excellent"/>
    <s v="Normal"/>
    <s v="Medium"/>
    <s v="Reguler"/>
  </r>
  <r>
    <s v="PL0050"/>
    <s v="opal_856"/>
    <s v="Opal"/>
    <s v="Stormcall"/>
    <x v="0"/>
    <x v="3"/>
    <n v="67"/>
    <x v="5"/>
    <x v="4"/>
    <s v="Axe"/>
    <s v="Inactive"/>
    <x v="47"/>
    <x v="41"/>
    <n v="57"/>
    <n v="72"/>
    <n v="4784"/>
    <n v="2075"/>
    <n v="249"/>
    <x v="47"/>
    <n v="560"/>
    <n v="4"/>
    <n v="90"/>
    <n v="9354"/>
    <n v="752665"/>
    <x v="1"/>
    <n v="126"/>
    <s v="Elite"/>
    <b v="0"/>
    <s v="Excellent"/>
    <s v="Normal"/>
    <s v="Medium"/>
    <s v="Brawler"/>
  </r>
  <r>
    <s v="PL0051"/>
    <s v="freya_316"/>
    <s v="Freya"/>
    <s v="Goldweave"/>
    <x v="3"/>
    <x v="2"/>
    <n v="47"/>
    <x v="0"/>
    <x v="2"/>
    <s v="Spear"/>
    <s v="Inactive"/>
    <x v="48"/>
    <x v="41"/>
    <n v="83"/>
    <n v="21"/>
    <n v="2679"/>
    <m/>
    <m/>
    <x v="48"/>
    <n v="463"/>
    <n v="164"/>
    <n v="90"/>
    <n v="3664"/>
    <n v="211925"/>
    <x v="0"/>
    <n v="395"/>
    <s v="Veteran"/>
    <b v="0"/>
    <s v="Excellent"/>
    <s v="Normal"/>
    <s v="Medium"/>
    <s v="Reguler"/>
  </r>
  <r>
    <s v="PL0052"/>
    <s v="gareth_180"/>
    <s v="Gareth"/>
    <s v="Flameborn"/>
    <x v="1"/>
    <x v="1"/>
    <n v="37"/>
    <x v="6"/>
    <x v="2"/>
    <s v="Dagger"/>
    <s v="Inactive"/>
    <x v="49"/>
    <x v="42"/>
    <n v="125"/>
    <n v="27"/>
    <n v="574"/>
    <n v="702"/>
    <m/>
    <x v="49"/>
    <n v="497"/>
    <m/>
    <n v="90"/>
    <n v="9619"/>
    <n v="901161"/>
    <x v="0"/>
    <n v="51"/>
    <s v="Veteran"/>
    <b v="0"/>
    <s v="Excellent"/>
    <s v="Normal"/>
    <s v="Medium"/>
    <s v="Reguler"/>
  </r>
  <r>
    <s v="PL0053"/>
    <s v="freya_702"/>
    <s v="Freya"/>
    <s v="Dawnrise"/>
    <x v="2"/>
    <x v="6"/>
    <n v="10"/>
    <x v="1"/>
    <x v="2"/>
    <s v="Staff"/>
    <s v="Active"/>
    <x v="50"/>
    <x v="43"/>
    <n v="55"/>
    <n v="78"/>
    <n v="1518"/>
    <n v="886"/>
    <n v="216"/>
    <x v="50"/>
    <n v="349"/>
    <n v="290"/>
    <n v="93"/>
    <n v="6161"/>
    <n v="549107"/>
    <x v="1"/>
    <n v="226"/>
    <s v="Rookie"/>
    <b v="1"/>
    <s v="Excellent"/>
    <s v="Normal"/>
    <s v="Medium"/>
    <s v="Brawler"/>
  </r>
  <r>
    <s v="PL0054"/>
    <s v="aria_641"/>
    <s v="Aria"/>
    <s v="Silverbow"/>
    <x v="3"/>
    <x v="4"/>
    <n v="78"/>
    <x v="3"/>
    <x v="1"/>
    <s v="Spear"/>
    <s v="Active"/>
    <x v="51"/>
    <x v="16"/>
    <n v="111"/>
    <n v="73"/>
    <n v="1292"/>
    <n v="1611"/>
    <n v="194"/>
    <x v="51"/>
    <n v="606"/>
    <n v="233"/>
    <n v="13"/>
    <n v="2810"/>
    <n v="103761"/>
    <x v="1"/>
    <n v="439"/>
    <s v="Legend"/>
    <b v="1"/>
    <s v="Poor"/>
    <s v="Normal"/>
    <s v="Medium"/>
    <s v="Ranger"/>
  </r>
  <r>
    <s v="PL0055"/>
    <s v="grim_728"/>
    <s v="Grim"/>
    <s v="Ravencrest"/>
    <x v="0"/>
    <x v="4"/>
    <n v="86"/>
    <x v="4"/>
    <x v="2"/>
    <s v="Dagger"/>
    <s v="Banned"/>
    <x v="52"/>
    <x v="18"/>
    <n v="138"/>
    <n v="140"/>
    <n v="1603"/>
    <n v="2649"/>
    <n v="309"/>
    <x v="52"/>
    <n v="959"/>
    <n v="14"/>
    <n v="58"/>
    <n v="120"/>
    <n v="458737"/>
    <x v="1"/>
    <n v="271"/>
    <s v="Legend"/>
    <b v="0"/>
    <s v="Average"/>
    <s v="Normal"/>
    <s v="Medium"/>
    <s v="Squad Inti"/>
  </r>
  <r>
    <s v="PL0056"/>
    <s v="cael_374"/>
    <s v="Cael"/>
    <s v="Silverbow"/>
    <x v="1"/>
    <x v="6"/>
    <n v="59"/>
    <x v="7"/>
    <x v="1"/>
    <s v="Bow"/>
    <s v="Active"/>
    <x v="53"/>
    <x v="44"/>
    <n v="51"/>
    <n v="132"/>
    <n v="3721"/>
    <n v="1004"/>
    <n v="313"/>
    <x v="53"/>
    <n v="311"/>
    <n v="202"/>
    <n v="69"/>
    <n v="6192"/>
    <n v="4499"/>
    <x v="0"/>
    <n v="483"/>
    <s v="Elite"/>
    <b v="1"/>
    <s v="Average"/>
    <s v="Normal"/>
    <s v="Medium"/>
    <s v="Elity Spy"/>
  </r>
  <r>
    <s v="PL0057"/>
    <s v="zara_617"/>
    <s v="Zara"/>
    <s v="Wildhorn"/>
    <x v="2"/>
    <x v="2"/>
    <n v="99"/>
    <x v="8"/>
    <x v="4"/>
    <s v="Staff"/>
    <s v="Banned"/>
    <x v="54"/>
    <x v="24"/>
    <n v="146"/>
    <n v="74"/>
    <n v="4741"/>
    <n v="2516"/>
    <n v="330"/>
    <x v="54"/>
    <n v="188"/>
    <n v="53"/>
    <n v="96"/>
    <n v="9659"/>
    <n v="330527"/>
    <x v="0"/>
    <n v="344"/>
    <s v="Legend"/>
    <b v="0"/>
    <s v="Excellent"/>
    <s v="Normal"/>
    <s v="High"/>
    <s v="Tanker"/>
  </r>
  <r>
    <s v="PL0058"/>
    <s v="nyx_437"/>
    <s v="Nyx"/>
    <s v="Emberveil"/>
    <x v="2"/>
    <x v="6"/>
    <n v="76"/>
    <x v="0"/>
    <x v="1"/>
    <s v="Wand"/>
    <s v="Retired"/>
    <x v="55"/>
    <x v="45"/>
    <n v="112"/>
    <n v="16"/>
    <n v="4489"/>
    <n v="2328"/>
    <m/>
    <x v="55"/>
    <m/>
    <n v="6"/>
    <n v="93"/>
    <n v="3634"/>
    <n v="609620"/>
    <x v="1"/>
    <n v="200"/>
    <s v="Legend"/>
    <b v="0"/>
    <s v="Excellent"/>
    <s v="Normal"/>
    <s v="Medium"/>
    <s v="Tanker"/>
  </r>
  <r>
    <s v="PL0059"/>
    <s v="lyra_173"/>
    <s v="Lyra"/>
    <s v="Ironfist"/>
    <x v="8"/>
    <x v="4"/>
    <n v="21"/>
    <x v="5"/>
    <x v="2"/>
    <s v="Fists"/>
    <s v="Retired"/>
    <x v="56"/>
    <x v="46"/>
    <n v="120"/>
    <n v="28"/>
    <n v="4633"/>
    <n v="2172"/>
    <n v="248"/>
    <x v="56"/>
    <n v="987"/>
    <n v="2"/>
    <n v="49"/>
    <n v="2271"/>
    <n v="689730"/>
    <x v="0"/>
    <n v="155"/>
    <s v="Rookie"/>
    <b v="0"/>
    <s v="Average"/>
    <s v="Normal"/>
    <s v="Medium"/>
    <s v="Tanker"/>
  </r>
  <r>
    <s v="PL0060"/>
    <s v="ivan_198"/>
    <s v="Ivan"/>
    <s v="Stoneback"/>
    <x v="8"/>
    <x v="0"/>
    <n v="86"/>
    <x v="4"/>
    <x v="1"/>
    <s v="Sword"/>
    <s v="Retired"/>
    <x v="57"/>
    <x v="34"/>
    <n v="56"/>
    <n v="101"/>
    <n v="2682"/>
    <n v="793"/>
    <n v="274"/>
    <x v="57"/>
    <n v="279"/>
    <n v="99"/>
    <n v="93"/>
    <n v="7673"/>
    <n v="236718"/>
    <x v="1"/>
    <n v="377"/>
    <s v="Legend"/>
    <b v="0"/>
    <s v="Excellent"/>
    <s v="Normal"/>
    <s v="Medium"/>
    <s v="Elity Spy"/>
  </r>
  <r>
    <s v="PL0061"/>
    <s v="aiden_492"/>
    <s v="Aiden"/>
    <s v="Emberveil"/>
    <x v="2"/>
    <x v="7"/>
    <n v="45"/>
    <x v="4"/>
    <x v="5"/>
    <s v="Bow"/>
    <s v="Active"/>
    <x v="58"/>
    <x v="47"/>
    <n v="41"/>
    <n v="13"/>
    <n v="3343"/>
    <n v="1457"/>
    <n v="90"/>
    <x v="58"/>
    <n v="696"/>
    <n v="106"/>
    <n v="85"/>
    <n v="4612"/>
    <n v="603924"/>
    <x v="1"/>
    <n v="202"/>
    <s v="Veteran"/>
    <b v="1"/>
    <s v="Excellent"/>
    <s v="Normal"/>
    <s v="Medium"/>
    <s v="Reguler"/>
  </r>
  <r>
    <s v="PL0062"/>
    <s v="ewan_957"/>
    <s v="Ewan"/>
    <s v="Stoneback"/>
    <x v="5"/>
    <x v="0"/>
    <n v="15"/>
    <x v="5"/>
    <x v="5"/>
    <s v="Sword"/>
    <s v="Active"/>
    <x v="59"/>
    <x v="48"/>
    <n v="124"/>
    <n v="37"/>
    <n v="313"/>
    <n v="2917"/>
    <n v="275"/>
    <x v="59"/>
    <n v="580"/>
    <n v="103"/>
    <n v="77"/>
    <n v="1655"/>
    <n v="517814"/>
    <x v="1"/>
    <n v="241"/>
    <s v="Rookie"/>
    <b v="1"/>
    <s v="Excellent"/>
    <s v="Normal"/>
    <s v="Medium"/>
    <s v="Reguler"/>
  </r>
  <r>
    <s v="PL0063"/>
    <s v="nova_668"/>
    <s v="Nova"/>
    <s v="Silverbow"/>
    <x v="1"/>
    <x v="0"/>
    <n v="8"/>
    <x v="2"/>
    <x v="5"/>
    <s v="Fists"/>
    <s v="Active"/>
    <x v="60"/>
    <x v="49"/>
    <n v="93"/>
    <n v="131"/>
    <n v="3385"/>
    <n v="1427"/>
    <n v="284"/>
    <x v="16"/>
    <n v="760"/>
    <n v="85"/>
    <n v="87"/>
    <n v="5361"/>
    <n v="3782"/>
    <x v="0"/>
    <n v="484"/>
    <s v="Rookie"/>
    <b v="1"/>
    <s v="Excellent"/>
    <s v="Normal"/>
    <s v="Medium"/>
    <s v="Elity Spy"/>
  </r>
  <r>
    <s v="PL0064"/>
    <s v="drak_920"/>
    <s v="Drak"/>
    <s v="Ravencrest"/>
    <x v="4"/>
    <x v="0"/>
    <n v="71"/>
    <x v="2"/>
    <x v="1"/>
    <s v="Bow"/>
    <s v="Inactive"/>
    <x v="61"/>
    <x v="43"/>
    <n v="87"/>
    <n v="21"/>
    <n v="4924"/>
    <n v="632"/>
    <n v="191"/>
    <x v="60"/>
    <n v="592"/>
    <n v="68"/>
    <n v="67"/>
    <n v="6583"/>
    <n v="440999"/>
    <x v="1"/>
    <n v="287"/>
    <s v="Elite"/>
    <b v="0"/>
    <s v="Average"/>
    <s v="Normal"/>
    <s v="Medium"/>
    <s v="Ranger"/>
  </r>
  <r>
    <s v="PL0065"/>
    <s v="grim_847"/>
    <s v="Grim"/>
    <s v="Ravencrest"/>
    <x v="0"/>
    <x v="2"/>
    <n v="13"/>
    <x v="2"/>
    <x v="0"/>
    <s v="Staff"/>
    <s v="Inactive"/>
    <x v="62"/>
    <x v="50"/>
    <n v="109"/>
    <n v="77"/>
    <n v="4622"/>
    <n v="354"/>
    <n v="236"/>
    <x v="61"/>
    <n v="203"/>
    <n v="180"/>
    <n v="94"/>
    <n v="8366"/>
    <n v="561649"/>
    <x v="0"/>
    <n v="218"/>
    <s v="Rookie"/>
    <b v="0"/>
    <s v="Excellent"/>
    <s v="Normal"/>
    <s v="Medium"/>
    <s v="Tanker"/>
  </r>
  <r>
    <s v="PL0066"/>
    <s v="aria_911"/>
    <s v="Aria"/>
    <s v="Darkthorn"/>
    <x v="4"/>
    <x v="1"/>
    <n v="43"/>
    <x v="2"/>
    <x v="2"/>
    <s v="Dagger"/>
    <s v="Active"/>
    <x v="63"/>
    <x v="51"/>
    <n v="38"/>
    <n v="85"/>
    <n v="134"/>
    <n v="1128"/>
    <n v="167"/>
    <x v="62"/>
    <n v="293"/>
    <n v="235"/>
    <n v="63"/>
    <n v="3990"/>
    <n v="590957"/>
    <x v="0"/>
    <n v="206"/>
    <s v="Veteran"/>
    <b v="1"/>
    <s v="Average"/>
    <s v="Normal"/>
    <s v="Medium"/>
    <s v="Elity Spy"/>
  </r>
  <r>
    <s v="PL0067"/>
    <s v="nyx_441"/>
    <s v="Nyx"/>
    <s v="Bloodthorn"/>
    <x v="2"/>
    <x v="2"/>
    <n v="78"/>
    <x v="5"/>
    <x v="5"/>
    <s v="Fists"/>
    <s v="Active"/>
    <x v="64"/>
    <x v="52"/>
    <n v="95"/>
    <n v="148"/>
    <n v="2016"/>
    <n v="2953"/>
    <n v="351"/>
    <x v="63"/>
    <n v="546"/>
    <n v="204"/>
    <n v="68"/>
    <m/>
    <n v="723128"/>
    <x v="1"/>
    <n v="139"/>
    <s v="Legend"/>
    <b v="0"/>
    <s v="Average"/>
    <s v="Normal"/>
    <s v="Medium"/>
    <s v="Elity Spy"/>
  </r>
  <r>
    <s v="PL0068"/>
    <s v="percy_587"/>
    <s v="Percy"/>
    <s v="Ironfist"/>
    <x v="3"/>
    <x v="7"/>
    <n v="59"/>
    <x v="2"/>
    <x v="6"/>
    <s v="Dagger"/>
    <s v="Inactive"/>
    <x v="65"/>
    <x v="53"/>
    <n v="121"/>
    <n v="126"/>
    <n v="1643"/>
    <n v="2486"/>
    <n v="389"/>
    <x v="64"/>
    <n v="553"/>
    <n v="108"/>
    <n v="0"/>
    <n v="5550"/>
    <n v="806207"/>
    <x v="0"/>
    <n v="101"/>
    <s v="Elite"/>
    <b v="0"/>
    <s v="Poor"/>
    <s v="Normal"/>
    <s v="Medium"/>
    <s v="Tactician"/>
  </r>
  <r>
    <s v="PL0069"/>
    <s v="ewan_208"/>
    <s v="Ewan"/>
    <s v="Wildhorn"/>
    <x v="4"/>
    <x v="8"/>
    <n v="53"/>
    <x v="4"/>
    <x v="5"/>
    <s v="Staff"/>
    <s v="Inactive"/>
    <x v="66"/>
    <x v="11"/>
    <n v="123"/>
    <n v="77"/>
    <n v="1594"/>
    <n v="825"/>
    <n v="295"/>
    <x v="65"/>
    <n v="327"/>
    <n v="154"/>
    <n v="85"/>
    <n v="5318"/>
    <n v="97928"/>
    <x v="1"/>
    <n v="441"/>
    <s v="Elite"/>
    <b v="0"/>
    <s v="Excellent"/>
    <s v="Normal"/>
    <s v="Medium"/>
    <s v="Brawler"/>
  </r>
  <r>
    <s v="PL0070"/>
    <s v="oryn_564"/>
    <s v="Oryn"/>
    <s v="Wolfsbane"/>
    <x v="0"/>
    <x v="6"/>
    <n v="44"/>
    <x v="7"/>
    <x v="2"/>
    <s v="Spear"/>
    <s v="Inactive"/>
    <x v="67"/>
    <x v="54"/>
    <n v="37"/>
    <n v="58"/>
    <n v="1414"/>
    <n v="1638"/>
    <n v="114"/>
    <x v="66"/>
    <n v="360"/>
    <n v="156"/>
    <n v="91"/>
    <m/>
    <n v="712799"/>
    <x v="0"/>
    <n v="140"/>
    <s v="Veteran"/>
    <b v="0"/>
    <s v="Excellent"/>
    <s v="Normal"/>
    <s v="Medium"/>
    <s v="Reguler"/>
  </r>
  <r>
    <s v="PL0071"/>
    <s v="aiden_801"/>
    <s v="Aiden"/>
    <s v="Coldwater"/>
    <x v="5"/>
    <x v="2"/>
    <n v="14"/>
    <x v="5"/>
    <x v="1"/>
    <s v="Wand"/>
    <s v="Active"/>
    <x v="68"/>
    <x v="55"/>
    <n v="36"/>
    <n v="26"/>
    <n v="990"/>
    <n v="915"/>
    <n v="132"/>
    <x v="67"/>
    <n v="314"/>
    <n v="173"/>
    <n v="93"/>
    <n v="2892"/>
    <n v="645682"/>
    <x v="0"/>
    <n v="176"/>
    <s v="Rookie"/>
    <b v="1"/>
    <s v="Excellent"/>
    <s v="Normal"/>
    <s v="Medium"/>
    <s v="Ranger"/>
  </r>
  <r>
    <s v="PL0072"/>
    <s v="sable_626"/>
    <s v="Sable"/>
    <s v="Goldweave"/>
    <x v="3"/>
    <x v="7"/>
    <m/>
    <x v="8"/>
    <x v="4"/>
    <s v="Spear"/>
    <s v="Active"/>
    <x v="69"/>
    <x v="56"/>
    <n v="59"/>
    <n v="133"/>
    <n v="1131"/>
    <n v="2446"/>
    <n v="329"/>
    <x v="68"/>
    <n v="323"/>
    <n v="285"/>
    <n v="75"/>
    <n v="3299"/>
    <n v="338166"/>
    <x v="1"/>
    <n v="339"/>
    <s v="Rookie"/>
    <b v="1"/>
    <s v="Excellent"/>
    <s v="Normal"/>
    <s v="Medium"/>
    <s v="Elity Spy"/>
  </r>
  <r>
    <s v="PL0073"/>
    <s v="KIRA_679"/>
    <s v="Kira"/>
    <s v="Lightfoot"/>
    <x v="7"/>
    <x v="8"/>
    <n v="48"/>
    <x v="7"/>
    <x v="2"/>
    <s v="Spear"/>
    <s v="Active"/>
    <x v="70"/>
    <x v="57"/>
    <n v="29"/>
    <n v="39"/>
    <n v="1710"/>
    <n v="470"/>
    <m/>
    <x v="69"/>
    <n v="22"/>
    <n v="45"/>
    <n v="98"/>
    <n v="7516"/>
    <n v="334038"/>
    <x v="0"/>
    <n v="342"/>
    <s v="Veteran"/>
    <b v="1"/>
    <s v="Excellent"/>
    <s v="Normal"/>
    <s v="Medium"/>
    <s v="Reguler"/>
  </r>
  <r>
    <s v="PL0074"/>
    <s v="mira_554"/>
    <s v="Mira"/>
    <s v="Silverbow"/>
    <x v="4"/>
    <x v="3"/>
    <n v="79"/>
    <x v="0"/>
    <x v="6"/>
    <s v="Fists"/>
    <s v="Retired"/>
    <x v="71"/>
    <x v="49"/>
    <n v="83"/>
    <n v="143"/>
    <n v="936"/>
    <n v="155"/>
    <n v="286"/>
    <x v="70"/>
    <n v="578"/>
    <n v="112"/>
    <n v="80"/>
    <n v="1640"/>
    <n v="343573"/>
    <x v="0"/>
    <n v="333"/>
    <s v="Legend"/>
    <b v="0"/>
    <s v="Excellent"/>
    <s v="Normal"/>
    <s v="High"/>
    <s v="Tactician"/>
  </r>
  <r>
    <s v="PL0075"/>
    <s v="tilda_693"/>
    <s v="Tilda"/>
    <s v="Flameborn"/>
    <x v="0"/>
    <x v="8"/>
    <n v="73"/>
    <x v="8"/>
    <x v="4"/>
    <s v="Fists"/>
    <s v="Inactive"/>
    <x v="72"/>
    <x v="50"/>
    <n v="57"/>
    <n v="124"/>
    <n v="3049"/>
    <n v="87"/>
    <m/>
    <x v="71"/>
    <n v="137"/>
    <n v="110"/>
    <n v="72"/>
    <n v="6620"/>
    <n v="187135"/>
    <x v="0"/>
    <n v="406"/>
    <s v="Elite"/>
    <b v="0"/>
    <s v="Excellent"/>
    <s v="Normal"/>
    <s v="High"/>
    <s v="Elity Spy"/>
  </r>
  <r>
    <s v="PL0076"/>
    <s v="nyx_322"/>
    <s v="Nyx"/>
    <s v="Emberveil"/>
    <x v="5"/>
    <x v="7"/>
    <n v="55"/>
    <x v="2"/>
    <x v="0"/>
    <s v="Spear"/>
    <s v="Active"/>
    <x v="73"/>
    <x v="38"/>
    <n v="134"/>
    <n v="40"/>
    <n v="3817"/>
    <n v="2511"/>
    <n v="268"/>
    <x v="72"/>
    <m/>
    <n v="14"/>
    <n v="93"/>
    <n v="1574"/>
    <n v="598158"/>
    <x v="1"/>
    <n v="205"/>
    <s v="Elite"/>
    <b v="1"/>
    <s v="Excellent"/>
    <s v="Normal"/>
    <s v="Medium"/>
    <s v="Tanker"/>
  </r>
  <r>
    <s v="PL0077"/>
    <s v="cael_850"/>
    <s v="Cael"/>
    <s v="Ironfist"/>
    <x v="1"/>
    <x v="4"/>
    <n v="67"/>
    <x v="8"/>
    <x v="3"/>
    <s v="Staff"/>
    <s v="Active"/>
    <x v="74"/>
    <x v="35"/>
    <n v="49"/>
    <n v="38"/>
    <n v="792"/>
    <m/>
    <n v="237"/>
    <x v="73"/>
    <n v="287"/>
    <n v="101"/>
    <n v="94"/>
    <n v="6612"/>
    <n v="687558"/>
    <x v="1"/>
    <n v="156"/>
    <s v="Elite"/>
    <b v="1"/>
    <s v="Excellent"/>
    <s v="Normal"/>
    <s v="Medium"/>
    <s v="Reguler"/>
  </r>
  <r>
    <s v="PL0078"/>
    <s v="lyra_106"/>
    <s v="Lyra"/>
    <s v="Stoneback"/>
    <x v="8"/>
    <x v="4"/>
    <n v="6"/>
    <x v="1"/>
    <x v="6"/>
    <s v="Dagger"/>
    <s v="Inactive"/>
    <x v="75"/>
    <x v="58"/>
    <n v="116"/>
    <n v="105"/>
    <n v="4125"/>
    <n v="1857"/>
    <n v="284"/>
    <x v="30"/>
    <n v="192"/>
    <n v="234"/>
    <n v="76"/>
    <n v="4152"/>
    <n v="273640"/>
    <x v="0"/>
    <n v="364"/>
    <s v="Rookie"/>
    <b v="0"/>
    <s v="Excellent"/>
    <s v="Normal"/>
    <s v="Medium"/>
    <s v="Tactician"/>
  </r>
  <r>
    <s v="PL0079"/>
    <s v="aldric_322"/>
    <s v="Aldric"/>
    <s v="Grimstone"/>
    <x v="0"/>
    <x v="3"/>
    <n v="14"/>
    <x v="2"/>
    <x v="2"/>
    <s v="Dagger"/>
    <s v="Active"/>
    <x v="76"/>
    <x v="54"/>
    <n v="16"/>
    <n v="84"/>
    <n v="663"/>
    <n v="1083"/>
    <m/>
    <x v="74"/>
    <n v="971"/>
    <n v="83"/>
    <n v="26"/>
    <n v="2570"/>
    <n v="958221"/>
    <x v="0"/>
    <n v="21"/>
    <s v="Rookie"/>
    <b v="1"/>
    <s v="Poor"/>
    <s v="Normal"/>
    <s v="Medium"/>
    <s v="Elity Spy"/>
  </r>
  <r>
    <s v="PL0080"/>
    <s v="kael_442"/>
    <s v="Kael"/>
    <s v="Bloodthorn"/>
    <x v="8"/>
    <x v="3"/>
    <n v="6"/>
    <x v="3"/>
    <x v="1"/>
    <s v="Staff"/>
    <s v="Active"/>
    <x v="77"/>
    <x v="49"/>
    <n v="57"/>
    <n v="26"/>
    <n v="523"/>
    <n v="2390"/>
    <n v="143"/>
    <x v="75"/>
    <n v="577"/>
    <n v="56"/>
    <n v="81"/>
    <n v="3074"/>
    <n v="663012"/>
    <x v="0"/>
    <n v="168"/>
    <s v="Rookie"/>
    <b v="1"/>
    <s v="Excellent"/>
    <s v="Normal"/>
    <s v="Medium"/>
    <s v="Ranger"/>
  </r>
  <r>
    <s v="PL0081"/>
    <s v="brynn_449"/>
    <s v="Brynn"/>
    <s v="Stoneback"/>
    <x v="6"/>
    <x v="3"/>
    <n v="21"/>
    <x v="8"/>
    <x v="5"/>
    <s v="Sword"/>
    <s v="Banned"/>
    <x v="78"/>
    <x v="59"/>
    <n v="114"/>
    <n v="40"/>
    <n v="2864"/>
    <n v="1943"/>
    <n v="205"/>
    <x v="76"/>
    <n v="354"/>
    <n v="244"/>
    <n v="93"/>
    <n v="1325"/>
    <n v="323751"/>
    <x v="0"/>
    <n v="345"/>
    <s v="Rookie"/>
    <b v="0"/>
    <s v="Excellent"/>
    <s v="Normal"/>
    <s v="Medium"/>
    <s v="Reguler"/>
  </r>
  <r>
    <s v="PL0082"/>
    <s v="cael_842"/>
    <s v="Cael"/>
    <s v="Dawnrise"/>
    <x v="2"/>
    <x v="2"/>
    <m/>
    <x v="0"/>
    <x v="2"/>
    <s v="Bow"/>
    <s v="Retired"/>
    <x v="79"/>
    <x v="26"/>
    <n v="40"/>
    <n v="126"/>
    <n v="1331"/>
    <n v="2652"/>
    <n v="193"/>
    <x v="77"/>
    <n v="781"/>
    <n v="230"/>
    <n v="85"/>
    <n v="1690"/>
    <n v="427075"/>
    <x v="1"/>
    <n v="291"/>
    <s v="Rookie"/>
    <b v="0"/>
    <s v="Excellent"/>
    <s v="Normal"/>
    <s v="Medium"/>
    <s v="Elity Spy"/>
  </r>
  <r>
    <s v="PL0083"/>
    <s v="drak_755"/>
    <s v="Drak"/>
    <s v="Stormcall"/>
    <x v="2"/>
    <x v="2"/>
    <n v="1"/>
    <x v="8"/>
    <x v="3"/>
    <s v="Bow"/>
    <s v="Active"/>
    <x v="80"/>
    <x v="60"/>
    <n v="48"/>
    <n v="88"/>
    <n v="4591"/>
    <n v="2348"/>
    <n v="191"/>
    <x v="78"/>
    <n v="398"/>
    <n v="195"/>
    <n v="91"/>
    <n v="7754"/>
    <n v="681262"/>
    <x v="1"/>
    <n v="159"/>
    <s v="Rookie"/>
    <b v="1"/>
    <s v="Excellent"/>
    <s v="Normal"/>
    <s v="Medium"/>
    <s v="Elity Spy"/>
  </r>
  <r>
    <s v="PL0084"/>
    <s v="tilda_216"/>
    <s v="Tilda"/>
    <s v="Emberveil"/>
    <x v="3"/>
    <x v="8"/>
    <n v="87"/>
    <x v="4"/>
    <x v="0"/>
    <s v="Dagger"/>
    <s v="Banned"/>
    <x v="81"/>
    <x v="61"/>
    <n v="78"/>
    <n v="14"/>
    <n v="3662"/>
    <n v="955"/>
    <n v="122"/>
    <x v="79"/>
    <n v="389"/>
    <n v="224"/>
    <n v="87"/>
    <m/>
    <n v="759563"/>
    <x v="1"/>
    <n v="125"/>
    <s v="Legend"/>
    <b v="0"/>
    <s v="Excellent"/>
    <s v="Normal"/>
    <s v="Medium"/>
    <s v="Reguler"/>
  </r>
  <r>
    <s v="PL0085"/>
    <s v="ivan_846"/>
    <s v="Ivan"/>
    <s v=""/>
    <x v="4"/>
    <x v="5"/>
    <n v="31"/>
    <x v="7"/>
    <x v="1"/>
    <s v="Axe"/>
    <s v="Banned"/>
    <x v="82"/>
    <x v="62"/>
    <n v="27"/>
    <n v="18"/>
    <n v="4401"/>
    <n v="2028"/>
    <n v="116"/>
    <x v="80"/>
    <n v="786"/>
    <n v="299"/>
    <n v="84"/>
    <n v="3538"/>
    <n v="809708"/>
    <x v="1"/>
    <n v="100"/>
    <s v="Veteran"/>
    <b v="0"/>
    <s v="Excellent"/>
    <s v="Normal"/>
    <s v="Medium"/>
    <s v="Ranger"/>
  </r>
  <r>
    <s v="PL0086"/>
    <s v="tara_475"/>
    <s v="Tara"/>
    <s v="Moonwhisper"/>
    <x v="3"/>
    <x v="7"/>
    <n v="21"/>
    <x v="3"/>
    <x v="1"/>
    <s v="Fists"/>
    <s v="Inactive"/>
    <x v="83"/>
    <x v="63"/>
    <n v="141"/>
    <n v="39"/>
    <n v="2390"/>
    <n v="2139"/>
    <n v="305"/>
    <x v="81"/>
    <n v="506"/>
    <n v="28"/>
    <n v="74"/>
    <n v="5054"/>
    <n v="456301"/>
    <x v="0"/>
    <n v="273"/>
    <s v="Rookie"/>
    <b v="0"/>
    <s v="Excellent"/>
    <s v="Normal"/>
    <s v="Medium"/>
    <s v="Ranger"/>
  </r>
  <r>
    <s v="PL0087"/>
    <s v="kael_245"/>
    <s v="Kael"/>
    <s v="Emberveil"/>
    <x v="4"/>
    <x v="6"/>
    <n v="43"/>
    <x v="3"/>
    <x v="4"/>
    <s v="Fists"/>
    <s v="Active"/>
    <x v="84"/>
    <x v="64"/>
    <n v="92"/>
    <n v="75"/>
    <n v="4908"/>
    <n v="486"/>
    <n v="179"/>
    <x v="82"/>
    <n v="460"/>
    <n v="235"/>
    <n v="90"/>
    <n v="3122"/>
    <n v="552192"/>
    <x v="0"/>
    <n v="223"/>
    <s v="Veteran"/>
    <b v="1"/>
    <s v="Excellent"/>
    <s v="Normal"/>
    <s v="Medium"/>
    <s v="Tanker"/>
  </r>
  <r>
    <s v="PL0088"/>
    <s v="nova_465"/>
    <s v="Nova"/>
    <s v="Dawnrise"/>
    <x v="3"/>
    <x v="1"/>
    <n v="63"/>
    <x v="5"/>
    <x v="2"/>
    <s v="Spear"/>
    <s v="Retired"/>
    <x v="85"/>
    <x v="65"/>
    <n v="111"/>
    <n v="108"/>
    <n v="4266"/>
    <n v="1928"/>
    <n v="341"/>
    <x v="83"/>
    <n v="374"/>
    <n v="50"/>
    <n v="73"/>
    <n v="6883"/>
    <n v="408029"/>
    <x v="0"/>
    <n v="301"/>
    <s v="Elite"/>
    <b v="0"/>
    <s v="Excellent"/>
    <s v="Normal"/>
    <s v="High"/>
    <s v="Elity Spy"/>
  </r>
  <r>
    <s v="PL0089"/>
    <s v="freya_923"/>
    <s v="Freya"/>
    <s v="Brightblade"/>
    <x v="1"/>
    <x v="0"/>
    <m/>
    <x v="7"/>
    <x v="0"/>
    <s v="Dagger"/>
    <s v="Active"/>
    <x v="86"/>
    <x v="29"/>
    <n v="150"/>
    <n v="45"/>
    <n v="1762"/>
    <n v="184"/>
    <n v="297"/>
    <x v="84"/>
    <n v="642"/>
    <n v="1"/>
    <n v="78"/>
    <n v="3917"/>
    <n v="575625"/>
    <x v="0"/>
    <n v="213"/>
    <s v="Rookie"/>
    <b v="1"/>
    <s v="Excellent"/>
    <s v="Normal"/>
    <s v="Medium"/>
    <s v="Reguler"/>
  </r>
  <r>
    <s v="PL0090"/>
    <s v="myra_236"/>
    <s v="Myra"/>
    <s v="Nightfall"/>
    <x v="3"/>
    <x v="8"/>
    <n v="25"/>
    <x v="8"/>
    <x v="0"/>
    <s v="Spear"/>
    <s v="Active"/>
    <x v="87"/>
    <x v="2"/>
    <n v="118"/>
    <n v="68"/>
    <n v="3175"/>
    <n v="2668"/>
    <n v="278"/>
    <x v="85"/>
    <n v="461"/>
    <n v="270"/>
    <n v="91"/>
    <n v="714"/>
    <n v="631917"/>
    <x v="0"/>
    <n v="182"/>
    <s v="Rookie"/>
    <b v="1"/>
    <s v="Excellent"/>
    <s v="Normal"/>
    <s v="Medium"/>
    <s v="Tanker"/>
  </r>
  <r>
    <s v="PL0091"/>
    <s v="seth_781"/>
    <s v="Seth"/>
    <s v="Wolfsbane"/>
    <x v="2"/>
    <x v="2"/>
    <n v="71"/>
    <x v="7"/>
    <x v="6"/>
    <s v="Wand"/>
    <s v="Active"/>
    <x v="88"/>
    <x v="55"/>
    <n v="10"/>
    <n v="76"/>
    <n v="110"/>
    <n v="1034"/>
    <n v="156"/>
    <x v="86"/>
    <n v="198"/>
    <n v="13"/>
    <n v="36"/>
    <n v="8981"/>
    <n v="761233"/>
    <x v="1"/>
    <n v="122"/>
    <s v="Elite"/>
    <b v="1"/>
    <s v="Poor"/>
    <s v="Normal"/>
    <s v="Medium"/>
    <s v="Tactician"/>
  </r>
  <r>
    <s v="PL0092"/>
    <s v="sable_469"/>
    <s v="Sable"/>
    <s v="Coldwater"/>
    <x v="1"/>
    <x v="7"/>
    <n v="9"/>
    <x v="5"/>
    <x v="5"/>
    <s v="Staff"/>
    <s v="Active"/>
    <x v="89"/>
    <x v="66"/>
    <n v="28"/>
    <n v="30"/>
    <n v="2239"/>
    <n v="2399"/>
    <n v="84"/>
    <x v="87"/>
    <n v="61"/>
    <n v="108"/>
    <n v="97"/>
    <n v="2385"/>
    <n v="793446"/>
    <x v="1"/>
    <n v="109"/>
    <s v="Rookie"/>
    <b v="1"/>
    <s v="Excellent"/>
    <s v="Normal"/>
    <s v="Medium"/>
    <s v="Reguler"/>
  </r>
  <r>
    <s v="PL0093"/>
    <s v="nyx_598"/>
    <s v="Nyx"/>
    <s v="Wolfsbane"/>
    <x v="6"/>
    <x v="1"/>
    <n v="7"/>
    <x v="1"/>
    <x v="2"/>
    <s v="Staff"/>
    <s v="Retired"/>
    <x v="90"/>
    <x v="67"/>
    <n v="102"/>
    <n v="81"/>
    <n v="118"/>
    <n v="2605"/>
    <n v="265"/>
    <x v="88"/>
    <n v="909"/>
    <m/>
    <n v="81"/>
    <n v="3834"/>
    <n v="388067"/>
    <x v="0"/>
    <n v="312"/>
    <s v="Rookie"/>
    <b v="0"/>
    <s v="Excellent"/>
    <s v="Normal"/>
    <s v="Medium"/>
    <s v="Brawler"/>
  </r>
  <r>
    <s v="PL0094"/>
    <s v="aria_413"/>
    <s v="Aria"/>
    <s v="Ironveil"/>
    <x v="1"/>
    <x v="3"/>
    <n v="65"/>
    <x v="3"/>
    <x v="1"/>
    <s v="Wand"/>
    <s v="Inactive"/>
    <x v="80"/>
    <x v="68"/>
    <n v="65"/>
    <n v="76"/>
    <n v="4066"/>
    <n v="2938"/>
    <n v="156"/>
    <x v="89"/>
    <n v="415"/>
    <n v="32"/>
    <n v="62"/>
    <n v="6617"/>
    <n v="915539"/>
    <x v="1"/>
    <n v="45"/>
    <s v="Elite"/>
    <b v="0"/>
    <s v="Average"/>
    <s v="Normal"/>
    <s v="Medium"/>
    <s v="Ranger"/>
  </r>
  <r>
    <s v="PL0095"/>
    <s v="delia_743"/>
    <s v="Delia"/>
    <s v="Ravencrest"/>
    <x v="3"/>
    <x v="3"/>
    <n v="10"/>
    <x v="3"/>
    <x v="6"/>
    <s v="Spear"/>
    <s v="Active"/>
    <x v="91"/>
    <x v="69"/>
    <n v="98"/>
    <n v="22"/>
    <n v="2016"/>
    <n v="805"/>
    <n v="227"/>
    <x v="90"/>
    <n v="196"/>
    <n v="143"/>
    <n v="96"/>
    <n v="4206"/>
    <n v="944012"/>
    <x v="1"/>
    <n v="25"/>
    <s v="Rookie"/>
    <b v="1"/>
    <s v="Excellent"/>
    <s v="Normal"/>
    <s v="Medium"/>
    <s v="Tactician"/>
  </r>
  <r>
    <s v="PL0096"/>
    <s v="cael_512"/>
    <s v="Cael"/>
    <s v="Grimstone"/>
    <x v="3"/>
    <x v="8"/>
    <n v="1"/>
    <x v="2"/>
    <x v="2"/>
    <s v="Fists"/>
    <s v="Active"/>
    <x v="92"/>
    <x v="70"/>
    <n v="85"/>
    <n v="15"/>
    <n v="3156"/>
    <n v="531"/>
    <n v="223"/>
    <x v="91"/>
    <m/>
    <n v="273"/>
    <n v="94"/>
    <n v="3993"/>
    <n v="791613"/>
    <x v="1"/>
    <n v="112"/>
    <s v="Rookie"/>
    <b v="1"/>
    <s v="Excellent"/>
    <s v="Normal"/>
    <s v="Medium"/>
    <s v="Reguler"/>
  </r>
  <r>
    <s v="PL0097"/>
    <s v="cael_122"/>
    <s v="Cael"/>
    <s v="Coldwater"/>
    <x v="7"/>
    <x v="0"/>
    <n v="91"/>
    <x v="2"/>
    <x v="3"/>
    <s v="Sword"/>
    <s v="Active"/>
    <x v="93"/>
    <x v="71"/>
    <n v="103"/>
    <n v="47"/>
    <n v="4363"/>
    <n v="2489"/>
    <n v="297"/>
    <x v="92"/>
    <n v="454"/>
    <n v="152"/>
    <n v="85"/>
    <n v="6107"/>
    <n v="960499"/>
    <x v="1"/>
    <n v="19"/>
    <s v="Legend"/>
    <b v="1"/>
    <s v="Excellent"/>
    <s v="Normal"/>
    <s v="Medium"/>
    <s v="Tanker"/>
  </r>
  <r>
    <s v="PL0098"/>
    <s v="ewan_349"/>
    <s v="Ewan"/>
    <s v="Wildhorn"/>
    <x v="7"/>
    <x v="0"/>
    <n v="27"/>
    <x v="8"/>
    <x v="4"/>
    <s v="Spear"/>
    <s v="Retired"/>
    <x v="94"/>
    <x v="43"/>
    <n v="115"/>
    <n v="92"/>
    <n v="3299"/>
    <m/>
    <n v="290"/>
    <x v="93"/>
    <n v="580"/>
    <n v="132"/>
    <n v="77"/>
    <n v="8278"/>
    <n v="520675"/>
    <x v="0"/>
    <n v="240"/>
    <s v="Veteran"/>
    <b v="0"/>
    <s v="Excellent"/>
    <s v="Normal"/>
    <s v="Medium"/>
    <s v="Elity Spy"/>
  </r>
  <r>
    <s v="PL0099"/>
    <s v="dune_664"/>
    <s v="Dune"/>
    <s v="Ashgrove"/>
    <x v="5"/>
    <x v="4"/>
    <n v="32"/>
    <x v="6"/>
    <x v="0"/>
    <s v="Sword"/>
    <s v="Active"/>
    <x v="95"/>
    <x v="72"/>
    <n v="34"/>
    <n v="145"/>
    <m/>
    <n v="184"/>
    <n v="285"/>
    <x v="94"/>
    <n v="507"/>
    <n v="169"/>
    <n v="0"/>
    <n v="4371"/>
    <n v="178291"/>
    <x v="0"/>
    <n v="410"/>
    <s v="Veteran"/>
    <b v="1"/>
    <s v="Poor"/>
    <s v="Normal"/>
    <s v="Medium"/>
    <s v="Elity Spy"/>
  </r>
  <r>
    <s v="PL0100"/>
    <s v="aldric_469"/>
    <s v="Aldric"/>
    <s v="Dawnrise"/>
    <x v="5"/>
    <x v="3"/>
    <n v="24"/>
    <x v="1"/>
    <x v="5"/>
    <s v="Staff"/>
    <s v="Active"/>
    <x v="96"/>
    <x v="42"/>
    <n v="109"/>
    <n v="75"/>
    <n v="4484"/>
    <n v="427"/>
    <n v="216"/>
    <x v="95"/>
    <n v="379"/>
    <n v="231"/>
    <n v="66"/>
    <n v="3322"/>
    <n v="581184"/>
    <x v="0"/>
    <n v="210"/>
    <s v="Rookie"/>
    <b v="1"/>
    <s v="Average"/>
    <s v="Normal"/>
    <s v="Medium"/>
    <s v="Tanker"/>
  </r>
  <r>
    <s v="PL0101"/>
    <s v="crix_572"/>
    <s v="Crix"/>
    <s v="Bloodthorn"/>
    <x v="4"/>
    <x v="0"/>
    <m/>
    <x v="4"/>
    <x v="1"/>
    <s v="Dagger"/>
    <s v="Active"/>
    <x v="97"/>
    <x v="15"/>
    <n v="103"/>
    <n v="133"/>
    <n v="3735"/>
    <n v="1722"/>
    <n v="252"/>
    <x v="96"/>
    <n v="716"/>
    <n v="211"/>
    <n v="80"/>
    <n v="6130"/>
    <n v="64772"/>
    <x v="1"/>
    <n v="452"/>
    <s v="Rookie"/>
    <b v="1"/>
    <s v="Excellent"/>
    <s v="Normal"/>
    <s v="Medium"/>
    <s v="Elity Spy"/>
  </r>
  <r>
    <s v="PL0102"/>
    <s v="torin_820"/>
    <s v="Torin"/>
    <s v="Darkthorn"/>
    <x v="8"/>
    <x v="2"/>
    <n v="48"/>
    <x v="1"/>
    <x v="5"/>
    <s v="Fists"/>
    <s v="Inactive"/>
    <x v="98"/>
    <x v="36"/>
    <n v="56"/>
    <n v="99"/>
    <n v="3714"/>
    <n v="577"/>
    <n v="193"/>
    <x v="97"/>
    <n v="43"/>
    <n v="247"/>
    <n v="72"/>
    <n v="4184"/>
    <n v="598809"/>
    <x v="1"/>
    <n v="204"/>
    <s v="Veteran"/>
    <b v="0"/>
    <s v="Excellent"/>
    <s v="Normal"/>
    <s v="Medium"/>
    <s v="Elity Spy"/>
  </r>
  <r>
    <s v="PL0103"/>
    <s v="delia_255"/>
    <s v="Delia"/>
    <s v="Wildhorn"/>
    <x v="6"/>
    <x v="2"/>
    <m/>
    <x v="0"/>
    <x v="3"/>
    <s v="Sword"/>
    <s v="Retired"/>
    <x v="99"/>
    <x v="73"/>
    <n v="92"/>
    <n v="113"/>
    <n v="428"/>
    <n v="1330"/>
    <m/>
    <x v="23"/>
    <n v="358"/>
    <n v="172"/>
    <n v="56"/>
    <n v="8394"/>
    <n v="281128"/>
    <x v="0"/>
    <n v="361"/>
    <s v="Rookie"/>
    <b v="0"/>
    <s v="Average"/>
    <s v="Normal"/>
    <s v="Medium"/>
    <s v="Elity Spy"/>
  </r>
  <r>
    <s v="PL0104"/>
    <s v="kael_411"/>
    <s v="Kael"/>
    <s v="Stormcall"/>
    <x v="0"/>
    <x v="2"/>
    <n v="32"/>
    <x v="2"/>
    <x v="1"/>
    <s v="Bow"/>
    <s v="Inactive"/>
    <x v="100"/>
    <x v="74"/>
    <n v="75"/>
    <n v="106"/>
    <n v="3527"/>
    <n v="1549"/>
    <n v="274"/>
    <x v="98"/>
    <n v="498"/>
    <n v="207"/>
    <n v="27"/>
    <n v="9584"/>
    <n v="82559"/>
    <x v="1"/>
    <n v="446"/>
    <s v="Veteran"/>
    <b v="0"/>
    <s v="Poor"/>
    <s v="Normal"/>
    <s v="Low"/>
    <s v="Elity Spy"/>
  </r>
  <r>
    <s v="PL0105"/>
    <s v="brynn_192"/>
    <s v="Brynn"/>
    <s v="Frostborn"/>
    <x v="4"/>
    <x v="0"/>
    <n v="36"/>
    <x v="5"/>
    <x v="6"/>
    <s v="Axe"/>
    <s v="Banned"/>
    <x v="101"/>
    <x v="75"/>
    <n v="29"/>
    <n v="60"/>
    <n v="1779"/>
    <m/>
    <n v="173"/>
    <x v="99"/>
    <n v="93"/>
    <n v="149"/>
    <n v="83"/>
    <n v="1459"/>
    <n v="919133"/>
    <x v="1"/>
    <n v="42"/>
    <s v="Veteran"/>
    <b v="0"/>
    <s v="Excellent"/>
    <s v="Normal"/>
    <s v="Medium"/>
    <s v="Tactician"/>
  </r>
  <r>
    <s v="PL0106"/>
    <s v="lira_961"/>
    <s v="Lira"/>
    <s v="Ravencrest"/>
    <x v="8"/>
    <x v="6"/>
    <n v="93"/>
    <x v="7"/>
    <x v="3"/>
    <s v="Bow"/>
    <s v="Active"/>
    <x v="102"/>
    <x v="76"/>
    <n v="29"/>
    <n v="82"/>
    <n v="4787"/>
    <n v="2023"/>
    <n v="139"/>
    <x v="100"/>
    <n v="913"/>
    <n v="161"/>
    <n v="72"/>
    <n v="5851"/>
    <n v="838224"/>
    <x v="0"/>
    <n v="85"/>
    <s v="Legend"/>
    <b v="1"/>
    <s v="Excellent"/>
    <s v="Normal"/>
    <s v="High"/>
    <s v="Reguler"/>
  </r>
  <r>
    <s v="PL0107"/>
    <s v="delia_570"/>
    <s v="Delia"/>
    <s v="Grimstone"/>
    <x v="6"/>
    <x v="1"/>
    <n v="26"/>
    <x v="0"/>
    <x v="1"/>
    <s v="Bow"/>
    <s v="Active"/>
    <x v="103"/>
    <x v="77"/>
    <n v="104"/>
    <n v="68"/>
    <n v="1526"/>
    <n v="1754"/>
    <n v="308"/>
    <x v="101"/>
    <n v="537"/>
    <n v="57"/>
    <n v="48"/>
    <n v="1078"/>
    <n v="780620"/>
    <x v="1"/>
    <n v="118"/>
    <s v="Veteran"/>
    <b v="1"/>
    <s v="Average"/>
    <s v="Normal"/>
    <s v="Low"/>
    <s v="Brawler"/>
  </r>
  <r>
    <s v="PL0108"/>
    <s v="cael_897"/>
    <s v="Cael"/>
    <s v="Ashgrove"/>
    <x v="3"/>
    <x v="8"/>
    <n v="43"/>
    <x v="1"/>
    <x v="3"/>
    <s v="Dagger"/>
    <s v="Active"/>
    <x v="104"/>
    <x v="78"/>
    <n v="53"/>
    <n v="93"/>
    <n v="2131"/>
    <n v="2689"/>
    <n v="290"/>
    <x v="102"/>
    <n v="527"/>
    <n v="122"/>
    <n v="77"/>
    <n v="6630"/>
    <n v="27213"/>
    <x v="0"/>
    <n v="469"/>
    <s v="Veteran"/>
    <b v="1"/>
    <s v="Excellent"/>
    <s v="Normal"/>
    <s v="Medium"/>
    <s v="Elity Spy"/>
  </r>
  <r>
    <s v="PL0109"/>
    <s v="finn_825"/>
    <s v="Finn"/>
    <s v="Frostborn"/>
    <x v="3"/>
    <x v="2"/>
    <n v="85"/>
    <x v="8"/>
    <x v="2"/>
    <s v="Fists"/>
    <s v="Retired"/>
    <x v="105"/>
    <x v="79"/>
    <n v="94"/>
    <n v="111"/>
    <n v="2116"/>
    <n v="605"/>
    <n v="250"/>
    <x v="103"/>
    <n v="910"/>
    <n v="91"/>
    <n v="69"/>
    <n v="3295"/>
    <n v="301385"/>
    <x v="0"/>
    <n v="353"/>
    <s v="Legend"/>
    <b v="0"/>
    <s v="Average"/>
    <s v="Normal"/>
    <s v="Medium"/>
    <s v="Elity Spy"/>
  </r>
  <r>
    <s v="PL0110"/>
    <s v="hana_902"/>
    <s v="Hana"/>
    <s v="Ironveil"/>
    <x v="6"/>
    <x v="3"/>
    <n v="69"/>
    <x v="8"/>
    <x v="2"/>
    <s v="Axe"/>
    <s v="Retired"/>
    <x v="106"/>
    <x v="52"/>
    <n v="76"/>
    <n v="10"/>
    <n v="711"/>
    <n v="2120"/>
    <n v="194"/>
    <x v="104"/>
    <n v="784"/>
    <n v="268"/>
    <n v="86"/>
    <n v="7440"/>
    <n v="347044"/>
    <x v="1"/>
    <n v="331"/>
    <s v="Elite"/>
    <b v="0"/>
    <s v="Excellent"/>
    <s v="Normal"/>
    <s v="Medium"/>
    <s v="Reguler"/>
  </r>
  <r>
    <s v="PL0111"/>
    <s v="finn_703"/>
    <s v="Finn"/>
    <s v="Silverbow"/>
    <x v="3"/>
    <x v="2"/>
    <n v="47"/>
    <x v="2"/>
    <x v="4"/>
    <s v="Bow"/>
    <s v="Active"/>
    <x v="107"/>
    <x v="80"/>
    <n v="46"/>
    <n v="68"/>
    <n v="4662"/>
    <m/>
    <n v="195"/>
    <x v="105"/>
    <n v="337"/>
    <m/>
    <n v="93"/>
    <n v="4319"/>
    <n v="121668"/>
    <x v="0"/>
    <n v="427"/>
    <s v="Veteran"/>
    <b v="1"/>
    <s v="Excellent"/>
    <s v="Normal"/>
    <s v="Medium"/>
    <s v="Reguler"/>
  </r>
  <r>
    <s v="PL0112"/>
    <s v="vesper_667"/>
    <s v="Vesper"/>
    <s v="Dawnrise"/>
    <x v="2"/>
    <x v="1"/>
    <n v="37"/>
    <x v="5"/>
    <x v="1"/>
    <s v="Wand"/>
    <s v="Active"/>
    <x v="108"/>
    <x v="77"/>
    <n v="74"/>
    <n v="100"/>
    <n v="1335"/>
    <n v="593"/>
    <n v="310"/>
    <x v="106"/>
    <n v="370"/>
    <n v="245"/>
    <n v="63"/>
    <n v="3000"/>
    <m/>
    <x v="0"/>
    <n v="486"/>
    <s v="Veteran"/>
    <b v="1"/>
    <s v="Average"/>
    <s v="Normal"/>
    <s v="Medium"/>
    <s v="Elity Spy"/>
  </r>
  <r>
    <s v="PL0113"/>
    <s v="gareth_860"/>
    <s v="Gareth"/>
    <s v="Shadowstep"/>
    <x v="3"/>
    <x v="6"/>
    <n v="60"/>
    <x v="2"/>
    <x v="3"/>
    <s v="Sword"/>
    <s v="Banned"/>
    <x v="109"/>
    <x v="54"/>
    <n v="87"/>
    <n v="87"/>
    <n v="1784"/>
    <n v="2142"/>
    <m/>
    <x v="107"/>
    <n v="173"/>
    <n v="236"/>
    <n v="82"/>
    <n v="5396"/>
    <n v="500364"/>
    <x v="1"/>
    <n v="251"/>
    <s v="Elite"/>
    <b v="0"/>
    <s v="Excellent"/>
    <s v="Normal"/>
    <s v="Medium"/>
    <s v="Elity Spy"/>
  </r>
  <r>
    <s v="PL0114"/>
    <s v="vex_750"/>
    <s v="Vex"/>
    <s v="Ironfist"/>
    <x v="6"/>
    <x v="0"/>
    <n v="46"/>
    <x v="0"/>
    <x v="6"/>
    <s v="Dagger"/>
    <s v="Retired"/>
    <x v="110"/>
    <x v="81"/>
    <n v="134"/>
    <n v="138"/>
    <n v="1507"/>
    <n v="698"/>
    <n v="368"/>
    <x v="108"/>
    <n v="839"/>
    <n v="60"/>
    <n v="83"/>
    <n v="7358"/>
    <n v="552111"/>
    <x v="0"/>
    <n v="224"/>
    <s v="Veteran"/>
    <b v="0"/>
    <s v="Excellent"/>
    <s v="Normal"/>
    <s v="Medium"/>
    <s v="Tactician"/>
  </r>
  <r>
    <s v="PL0115"/>
    <s v="hana_747"/>
    <s v="Hana"/>
    <s v="Grimstone"/>
    <x v="0"/>
    <x v="1"/>
    <n v="85"/>
    <x v="0"/>
    <x v="0"/>
    <s v="Axe"/>
    <s v="Active"/>
    <x v="111"/>
    <x v="82"/>
    <n v="120"/>
    <n v="31"/>
    <n v="659"/>
    <n v="2194"/>
    <n v="289"/>
    <x v="109"/>
    <m/>
    <n v="234"/>
    <n v="75"/>
    <n v="8531"/>
    <n v="539435"/>
    <x v="1"/>
    <n v="233"/>
    <s v="Legend"/>
    <b v="1"/>
    <s v="Excellent"/>
    <s v="Normal"/>
    <s v="Medium"/>
    <s v="Reguler"/>
  </r>
  <r>
    <s v="PL0116"/>
    <s v="leon_107"/>
    <s v="Leon"/>
    <s v="Ironfist"/>
    <x v="8"/>
    <x v="6"/>
    <n v="98"/>
    <x v="4"/>
    <x v="6"/>
    <s v="Bow"/>
    <s v="Active"/>
    <x v="112"/>
    <x v="13"/>
    <n v="138"/>
    <n v="138"/>
    <n v="2484"/>
    <n v="2814"/>
    <n v="403"/>
    <x v="110"/>
    <n v="490"/>
    <n v="193"/>
    <n v="85"/>
    <n v="7018"/>
    <n v="923221"/>
    <x v="0"/>
    <n v="38"/>
    <s v="Legend"/>
    <b v="1"/>
    <s v="Excellent"/>
    <s v="Overpowered"/>
    <s v="High"/>
    <s v="Tactician"/>
  </r>
  <r>
    <s v="PL0117"/>
    <s v="myra_582"/>
    <s v="Myra"/>
    <s v="Silverbow"/>
    <x v="1"/>
    <x v="7"/>
    <n v="4"/>
    <x v="1"/>
    <x v="2"/>
    <s v="Spear"/>
    <s v="Inactive"/>
    <x v="113"/>
    <x v="81"/>
    <n v="95"/>
    <n v="19"/>
    <n v="3194"/>
    <n v="2596"/>
    <n v="210"/>
    <x v="111"/>
    <n v="653"/>
    <n v="33"/>
    <n v="77"/>
    <n v="9532"/>
    <n v="645584"/>
    <x v="0"/>
    <n v="177"/>
    <s v="Rookie"/>
    <b v="0"/>
    <s v="Excellent"/>
    <s v="Normal"/>
    <s v="Medium"/>
    <s v="Tanker"/>
  </r>
  <r>
    <s v="PL0118"/>
    <s v="ewan_676"/>
    <s v="Ewan"/>
    <s v="Frostborn"/>
    <x v="8"/>
    <x v="2"/>
    <n v="95"/>
    <x v="3"/>
    <x v="2"/>
    <s v="Sword"/>
    <s v="Active"/>
    <x v="114"/>
    <x v="83"/>
    <n v="70"/>
    <n v="76"/>
    <n v="4383"/>
    <n v="2228"/>
    <n v="221"/>
    <x v="112"/>
    <n v="733"/>
    <n v="125"/>
    <n v="51"/>
    <n v="9861"/>
    <m/>
    <x v="0"/>
    <n v="486"/>
    <s v="Legend"/>
    <b v="1"/>
    <s v="Average"/>
    <s v="Normal"/>
    <s v="Medium"/>
    <s v="Reguler"/>
  </r>
  <r>
    <s v="PL0119"/>
    <s v="brynn_585"/>
    <s v="Brynn"/>
    <s v="Shadowstep"/>
    <x v="8"/>
    <x v="7"/>
    <n v="95"/>
    <x v="8"/>
    <x v="3"/>
    <s v="Axe"/>
    <s v="Active"/>
    <x v="115"/>
    <x v="13"/>
    <n v="15"/>
    <n v="136"/>
    <n v="365"/>
    <n v="326"/>
    <n v="278"/>
    <x v="113"/>
    <n v="797"/>
    <n v="67"/>
    <n v="70"/>
    <n v="4862"/>
    <n v="498015"/>
    <x v="1"/>
    <n v="253"/>
    <s v="Legend"/>
    <b v="1"/>
    <s v="Average"/>
    <s v="Normal"/>
    <s v="Medium"/>
    <s v="Elity Spy"/>
  </r>
  <r>
    <s v="PL0120"/>
    <s v="finn_668"/>
    <s v="Finn"/>
    <s v="Darkmantle"/>
    <x v="4"/>
    <x v="7"/>
    <n v="85"/>
    <x v="2"/>
    <x v="2"/>
    <s v="Sword"/>
    <s v="Inactive"/>
    <x v="116"/>
    <x v="38"/>
    <n v="66"/>
    <n v="73"/>
    <n v="4758"/>
    <n v="687"/>
    <n v="233"/>
    <x v="114"/>
    <n v="300"/>
    <n v="19"/>
    <n v="90"/>
    <n v="1589"/>
    <n v="482919"/>
    <x v="0"/>
    <n v="264"/>
    <s v="Legend"/>
    <b v="0"/>
    <s v="Excellent"/>
    <s v="Normal"/>
    <s v="High"/>
    <s v="Brawler"/>
  </r>
  <r>
    <s v="PL0121"/>
    <s v="aiden_632"/>
    <s v="Aiden"/>
    <s v="Stormcall"/>
    <x v="6"/>
    <x v="7"/>
    <n v="86"/>
    <x v="0"/>
    <x v="4"/>
    <s v="Axe"/>
    <s v="Active"/>
    <x v="117"/>
    <x v="84"/>
    <n v="27"/>
    <n v="19"/>
    <n v="1458"/>
    <n v="656"/>
    <n v="175"/>
    <x v="115"/>
    <n v="368"/>
    <n v="46"/>
    <n v="92"/>
    <n v="2910"/>
    <n v="786217"/>
    <x v="0"/>
    <n v="116"/>
    <s v="Legend"/>
    <b v="1"/>
    <s v="Excellent"/>
    <s v="Normal"/>
    <s v="High"/>
    <s v="Reguler"/>
  </r>
  <r>
    <s v="PL0122"/>
    <s v="leon_951"/>
    <s v="Leon"/>
    <s v="Dawnrise"/>
    <x v="1"/>
    <x v="3"/>
    <n v="33"/>
    <x v="2"/>
    <x v="2"/>
    <s v="Dagger"/>
    <s v="Retired"/>
    <x v="118"/>
    <x v="4"/>
    <n v="20"/>
    <n v="30"/>
    <n v="3841"/>
    <n v="2543"/>
    <n v="96"/>
    <x v="116"/>
    <n v="787"/>
    <n v="89"/>
    <n v="64"/>
    <n v="4553"/>
    <n v="259646"/>
    <x v="1"/>
    <n v="371"/>
    <s v="Veteran"/>
    <b v="0"/>
    <s v="Average"/>
    <s v="Normal"/>
    <s v="Low"/>
    <s v="Reguler"/>
  </r>
  <r>
    <s v="PL0123"/>
    <s v="vex_417"/>
    <s v="Vex"/>
    <s v="Emberveil"/>
    <x v="6"/>
    <x v="0"/>
    <n v="90"/>
    <x v="4"/>
    <x v="4"/>
    <s v="Spear"/>
    <s v="Banned"/>
    <x v="119"/>
    <x v="51"/>
    <n v="92"/>
    <n v="94"/>
    <n v="443"/>
    <n v="1249"/>
    <n v="230"/>
    <x v="117"/>
    <n v="608"/>
    <n v="292"/>
    <n v="84"/>
    <n v="9053"/>
    <n v="668400"/>
    <x v="1"/>
    <n v="165"/>
    <s v="Legend"/>
    <b v="0"/>
    <s v="Excellent"/>
    <s v="Normal"/>
    <s v="Medium"/>
    <s v="Elity Spy"/>
  </r>
  <r>
    <s v="PL0124"/>
    <s v="MORA_364"/>
    <s v="Mora"/>
    <s v="Stoneback"/>
    <x v="6"/>
    <x v="6"/>
    <n v="64"/>
    <x v="5"/>
    <x v="3"/>
    <s v="Dagger"/>
    <s v="Active"/>
    <x v="120"/>
    <x v="25"/>
    <n v="145"/>
    <n v="16"/>
    <n v="616"/>
    <n v="2496"/>
    <n v="294"/>
    <x v="118"/>
    <n v="917"/>
    <n v="106"/>
    <n v="73"/>
    <n v="1918"/>
    <n v="627722"/>
    <x v="0"/>
    <n v="188"/>
    <s v="Elite"/>
    <b v="1"/>
    <s v="Excellent"/>
    <s v="Normal"/>
    <s v="High"/>
    <s v="Reguler"/>
  </r>
  <r>
    <s v="PL0125"/>
    <s v="freya_335"/>
    <s v="Freya"/>
    <s v="Grimstone"/>
    <x v="4"/>
    <x v="0"/>
    <n v="23"/>
    <x v="7"/>
    <x v="3"/>
    <s v="Bow"/>
    <s v="Inactive"/>
    <x v="121"/>
    <x v="63"/>
    <n v="136"/>
    <n v="27"/>
    <n v="3343"/>
    <n v="405"/>
    <n v="288"/>
    <x v="119"/>
    <n v="161"/>
    <n v="35"/>
    <n v="16"/>
    <n v="259"/>
    <n v="701780"/>
    <x v="0"/>
    <n v="148"/>
    <s v="Rookie"/>
    <b v="0"/>
    <s v="Poor"/>
    <s v="Normal"/>
    <s v="Medium"/>
    <s v="Tanker"/>
  </r>
  <r>
    <s v="PL0126"/>
    <s v="yara_428"/>
    <s v="Yara"/>
    <s v="Shadowstep"/>
    <x v="7"/>
    <x v="7"/>
    <n v="96"/>
    <x v="8"/>
    <x v="0"/>
    <s v="Sword"/>
    <s v="Active"/>
    <x v="122"/>
    <x v="85"/>
    <n v="40"/>
    <n v="58"/>
    <n v="4691"/>
    <n v="1834"/>
    <n v="159"/>
    <x v="120"/>
    <n v="765"/>
    <n v="76"/>
    <n v="72"/>
    <n v="2565"/>
    <n v="872225"/>
    <x v="1"/>
    <n v="61"/>
    <s v="Legend"/>
    <b v="1"/>
    <s v="Excellent"/>
    <s v="Normal"/>
    <s v="Medium"/>
    <s v="Reguler"/>
  </r>
  <r>
    <s v="PL0127"/>
    <s v="lyra_458"/>
    <s v="Lyra"/>
    <s v="Ashgrove"/>
    <x v="7"/>
    <x v="8"/>
    <n v="12"/>
    <x v="0"/>
    <x v="3"/>
    <s v="Spear"/>
    <s v="Banned"/>
    <x v="123"/>
    <x v="33"/>
    <n v="40"/>
    <m/>
    <n v="207"/>
    <n v="521"/>
    <n v="175"/>
    <x v="28"/>
    <n v="29"/>
    <n v="244"/>
    <n v="98"/>
    <n v="6638"/>
    <n v="434387"/>
    <x v="1"/>
    <n v="289"/>
    <s v="Rookie"/>
    <b v="0"/>
    <s v="Excellent"/>
    <s v="Normal"/>
    <s v="Medium"/>
    <s v="Reguler"/>
  </r>
  <r>
    <s v="PL0128"/>
    <s v="seth_402"/>
    <s v="Seth"/>
    <s v="Wolfsbane"/>
    <x v="7"/>
    <x v="2"/>
    <n v="95"/>
    <x v="2"/>
    <x v="6"/>
    <s v="Sword"/>
    <s v="Active"/>
    <x v="124"/>
    <x v="67"/>
    <n v="42"/>
    <n v="84"/>
    <n v="3530"/>
    <n v="274"/>
    <n v="208"/>
    <x v="121"/>
    <n v="330"/>
    <n v="15"/>
    <n v="58"/>
    <n v="2213"/>
    <n v="479148"/>
    <x v="1"/>
    <n v="267"/>
    <s v="Legend"/>
    <b v="1"/>
    <s v="Average"/>
    <s v="Normal"/>
    <s v="Medium"/>
    <s v="Tactician"/>
  </r>
  <r>
    <s v="PL0129"/>
    <s v="freya_632"/>
    <s v="Freya"/>
    <s v="Moonwhisper"/>
    <x v="0"/>
    <x v="2"/>
    <n v="29"/>
    <x v="5"/>
    <x v="4"/>
    <s v="Bow"/>
    <s v="Active"/>
    <x v="125"/>
    <x v="71"/>
    <n v="79"/>
    <n v="55"/>
    <n v="2604"/>
    <n v="2880"/>
    <n v="281"/>
    <x v="122"/>
    <n v="703"/>
    <n v="71"/>
    <n v="43"/>
    <n v="7331"/>
    <n v="838092"/>
    <x v="0"/>
    <n v="86"/>
    <s v="Veteran"/>
    <b v="1"/>
    <s v="Average"/>
    <s v="Normal"/>
    <s v="Medium"/>
    <s v="Reguler"/>
  </r>
  <r>
    <s v="PL0130"/>
    <s v="aiden_266"/>
    <s v="Aiden"/>
    <s v="Stoneback"/>
    <x v="3"/>
    <x v="2"/>
    <n v="12"/>
    <x v="1"/>
    <x v="4"/>
    <s v="Wand"/>
    <s v="Banned"/>
    <x v="126"/>
    <x v="36"/>
    <n v="48"/>
    <n v="40"/>
    <n v="3501"/>
    <n v="1951"/>
    <n v="126"/>
    <x v="123"/>
    <m/>
    <n v="54"/>
    <n v="97"/>
    <n v="783"/>
    <m/>
    <x v="1"/>
    <n v="486"/>
    <s v="Rookie"/>
    <b v="0"/>
    <s v="Excellent"/>
    <s v="Normal"/>
    <s v="Medium"/>
    <s v="Reguler"/>
  </r>
  <r>
    <s v="PL0131"/>
    <s v="nyx_493"/>
    <s v="Nyx"/>
    <s v="Lightfoot"/>
    <x v="8"/>
    <x v="1"/>
    <n v="6"/>
    <x v="2"/>
    <x v="2"/>
    <s v="Staff"/>
    <s v="Active"/>
    <x v="127"/>
    <x v="56"/>
    <n v="102"/>
    <n v="84"/>
    <n v="1230"/>
    <n v="2633"/>
    <n v="323"/>
    <x v="124"/>
    <n v="492"/>
    <n v="272"/>
    <n v="87"/>
    <n v="5213"/>
    <n v="842176"/>
    <x v="0"/>
    <n v="81"/>
    <s v="Rookie"/>
    <b v="1"/>
    <s v="Excellent"/>
    <s v="Normal"/>
    <s v="Medium"/>
    <s v="Elity Spy"/>
  </r>
  <r>
    <s v="PL0132"/>
    <s v="HANA_991"/>
    <s v="Hana"/>
    <s v="Stoneback"/>
    <x v="8"/>
    <x v="7"/>
    <n v="36"/>
    <x v="2"/>
    <x v="4"/>
    <s v="Staff"/>
    <s v="Retired"/>
    <x v="128"/>
    <x v="4"/>
    <n v="35"/>
    <n v="131"/>
    <n v="4652"/>
    <n v="2251"/>
    <n v="212"/>
    <x v="125"/>
    <n v="595"/>
    <n v="90"/>
    <n v="62"/>
    <n v="4673"/>
    <n v="941974"/>
    <x v="1"/>
    <n v="28"/>
    <s v="Veteran"/>
    <b v="0"/>
    <s v="Average"/>
    <s v="Normal"/>
    <s v="Low"/>
    <s v="Elity Spy"/>
  </r>
  <r>
    <s v="PL0133"/>
    <s v="ivan_398"/>
    <s v="Ivan"/>
    <s v="Emberveil"/>
    <x v="0"/>
    <x v="7"/>
    <n v="18"/>
    <x v="3"/>
    <x v="2"/>
    <s v="Bow"/>
    <s v="Inactive"/>
    <x v="129"/>
    <x v="61"/>
    <n v="114"/>
    <n v="98"/>
    <n v="1578"/>
    <n v="243"/>
    <n v="242"/>
    <x v="126"/>
    <n v="46"/>
    <n v="17"/>
    <n v="2"/>
    <n v="145"/>
    <m/>
    <x v="1"/>
    <n v="486"/>
    <s v="Rookie"/>
    <b v="0"/>
    <s v="Poor"/>
    <s v="Normal"/>
    <s v="Low"/>
    <s v="Elity Spy"/>
  </r>
  <r>
    <s v="PL0134"/>
    <s v="sable_615"/>
    <s v="Sable"/>
    <s v="Wolfsbane"/>
    <x v="7"/>
    <x v="8"/>
    <n v="11"/>
    <x v="0"/>
    <x v="0"/>
    <s v="Fists"/>
    <s v="Banned"/>
    <x v="130"/>
    <x v="73"/>
    <n v="123"/>
    <n v="46"/>
    <n v="3494"/>
    <n v="2393"/>
    <n v="216"/>
    <x v="127"/>
    <n v="942"/>
    <n v="289"/>
    <n v="79"/>
    <n v="8559"/>
    <n v="896003"/>
    <x v="0"/>
    <n v="56"/>
    <s v="Rookie"/>
    <b v="0"/>
    <s v="Excellent"/>
    <s v="Normal"/>
    <s v="Medium"/>
    <s v="Tanker"/>
  </r>
  <r>
    <s v="PL0135"/>
    <s v="tara_704"/>
    <s v="Tara"/>
    <s v="Bloodthorn"/>
    <x v="0"/>
    <x v="4"/>
    <n v="46"/>
    <x v="8"/>
    <x v="1"/>
    <s v="Fists"/>
    <s v="Active"/>
    <x v="131"/>
    <x v="11"/>
    <n v="11"/>
    <n v="95"/>
    <n v="601"/>
    <n v="1159"/>
    <n v="201"/>
    <x v="128"/>
    <n v="367"/>
    <n v="235"/>
    <n v="91"/>
    <n v="7706"/>
    <n v="265990"/>
    <x v="1"/>
    <n v="368"/>
    <s v="Veteran"/>
    <b v="1"/>
    <s v="Excellent"/>
    <s v="Normal"/>
    <s v="Medium"/>
    <s v="Elity Spy"/>
  </r>
  <r>
    <s v="PL0136"/>
    <s v="drak_553"/>
    <s v="Drak"/>
    <s v="Silverbow"/>
    <x v="3"/>
    <x v="6"/>
    <n v="4"/>
    <x v="1"/>
    <x v="1"/>
    <s v="Staff"/>
    <s v="Inactive"/>
    <x v="132"/>
    <x v="84"/>
    <n v="14"/>
    <n v="78"/>
    <n v="2525"/>
    <n v="2326"/>
    <n v="221"/>
    <x v="129"/>
    <n v="386"/>
    <n v="24"/>
    <n v="92"/>
    <n v="8328"/>
    <n v="667046"/>
    <x v="0"/>
    <n v="166"/>
    <s v="Rookie"/>
    <b v="0"/>
    <s v="Excellent"/>
    <s v="Normal"/>
    <s v="Medium"/>
    <s v="Brawler"/>
  </r>
  <r>
    <s v="PL0137"/>
    <s v="selene_612"/>
    <s v="Selene"/>
    <s v="Darkthorn"/>
    <x v="6"/>
    <x v="4"/>
    <n v="60"/>
    <x v="3"/>
    <x v="3"/>
    <s v="Spear"/>
    <s v="Active"/>
    <x v="133"/>
    <x v="83"/>
    <n v="54"/>
    <n v="95"/>
    <n v="654"/>
    <n v="454"/>
    <n v="224"/>
    <x v="130"/>
    <n v="394"/>
    <n v="133"/>
    <n v="83"/>
    <n v="5813"/>
    <n v="914714"/>
    <x v="1"/>
    <n v="46"/>
    <s v="Elite"/>
    <b v="1"/>
    <s v="Excellent"/>
    <s v="Normal"/>
    <s v="Medium"/>
    <s v="Elity Spy"/>
  </r>
  <r>
    <s v="PL0138"/>
    <s v="drak_196"/>
    <s v="Drak"/>
    <s v="Flameborn"/>
    <x v="3"/>
    <x v="0"/>
    <n v="88"/>
    <x v="8"/>
    <x v="1"/>
    <s v="Staff"/>
    <s v="Retired"/>
    <x v="134"/>
    <x v="86"/>
    <n v="147"/>
    <n v="91"/>
    <m/>
    <n v="385"/>
    <n v="258"/>
    <x v="131"/>
    <n v="537"/>
    <n v="127"/>
    <n v="66"/>
    <n v="6883"/>
    <n v="233738"/>
    <x v="0"/>
    <n v="381"/>
    <s v="Legend"/>
    <b v="0"/>
    <s v="Average"/>
    <s v="Normal"/>
    <s v="Medium"/>
    <s v="Elity Spy"/>
  </r>
  <r>
    <s v="PL0139"/>
    <s v="freya_665"/>
    <s v="Freya"/>
    <s v="Grimstone"/>
    <x v="1"/>
    <x v="1"/>
    <n v="96"/>
    <x v="7"/>
    <x v="1"/>
    <s v="Bow"/>
    <s v="Inactive"/>
    <x v="135"/>
    <x v="60"/>
    <n v="10"/>
    <n v="112"/>
    <n v="4927"/>
    <n v="50"/>
    <n v="177"/>
    <x v="132"/>
    <n v="226"/>
    <n v="286"/>
    <n v="96"/>
    <n v="4081"/>
    <n v="780031"/>
    <x v="1"/>
    <n v="119"/>
    <s v="Legend"/>
    <b v="0"/>
    <s v="Excellent"/>
    <s v="Normal"/>
    <s v="Medium"/>
    <s v="Elity Spy"/>
  </r>
  <r>
    <s v="PL0140"/>
    <s v="aria_135"/>
    <s v="Aria"/>
    <s v="Ironveil"/>
    <x v="3"/>
    <x v="0"/>
    <n v="27"/>
    <x v="8"/>
    <x v="6"/>
    <s v="Wand"/>
    <s v="Active"/>
    <x v="126"/>
    <x v="9"/>
    <n v="64"/>
    <n v="10"/>
    <n v="2183"/>
    <n v="688"/>
    <n v="150"/>
    <x v="133"/>
    <n v="586"/>
    <n v="228"/>
    <n v="79"/>
    <n v="5778"/>
    <n v="279917"/>
    <x v="0"/>
    <n v="362"/>
    <s v="Veteran"/>
    <b v="1"/>
    <s v="Excellent"/>
    <s v="Normal"/>
    <s v="Medium"/>
    <s v="Tactician"/>
  </r>
  <r>
    <s v="PL0141"/>
    <s v="nyx_423"/>
    <s v="Nyx"/>
    <s v="Ashgrove"/>
    <x v="3"/>
    <x v="4"/>
    <n v="68"/>
    <x v="3"/>
    <x v="4"/>
    <s v="Axe"/>
    <s v="Inactive"/>
    <x v="136"/>
    <x v="87"/>
    <n v="64"/>
    <n v="48"/>
    <n v="4923"/>
    <n v="633"/>
    <m/>
    <x v="134"/>
    <n v="566"/>
    <n v="73"/>
    <n v="82"/>
    <n v="8094"/>
    <n v="484530"/>
    <x v="1"/>
    <n v="262"/>
    <s v="Elite"/>
    <b v="0"/>
    <s v="Excellent"/>
    <s v="Normal"/>
    <s v="Medium"/>
    <s v="Reguler"/>
  </r>
  <r>
    <s v="PL0142"/>
    <s v="freya_315"/>
    <s v="Freya"/>
    <s v="Darkthorn"/>
    <x v="2"/>
    <x v="1"/>
    <n v="89"/>
    <x v="4"/>
    <x v="2"/>
    <s v="Spear"/>
    <s v="Active"/>
    <x v="137"/>
    <x v="61"/>
    <n v="88"/>
    <n v="145"/>
    <n v="2990"/>
    <n v="1717"/>
    <n v="263"/>
    <x v="135"/>
    <n v="907"/>
    <n v="140"/>
    <n v="75"/>
    <n v="5362"/>
    <n v="341589"/>
    <x v="1"/>
    <n v="334"/>
    <s v="Legend"/>
    <b v="1"/>
    <s v="Excellent"/>
    <s v="Normal"/>
    <s v="Medium"/>
    <s v="Elity Spy"/>
  </r>
  <r>
    <s v="PL0143"/>
    <s v="roran_868"/>
    <s v="Roran"/>
    <s v="Brightblade"/>
    <x v="3"/>
    <x v="8"/>
    <n v="22"/>
    <x v="7"/>
    <x v="5"/>
    <s v="Dagger"/>
    <s v="Retired"/>
    <x v="138"/>
    <x v="63"/>
    <n v="43"/>
    <n v="31"/>
    <n v="3411"/>
    <n v="506"/>
    <n v="199"/>
    <x v="136"/>
    <n v="215"/>
    <n v="293"/>
    <n v="92"/>
    <n v="267"/>
    <n v="187053"/>
    <x v="1"/>
    <n v="407"/>
    <s v="Rookie"/>
    <b v="0"/>
    <s v="Excellent"/>
    <s v="Normal"/>
    <s v="Medium"/>
    <s v="Reguler"/>
  </r>
  <r>
    <s v="PL0144"/>
    <s v="finn_689"/>
    <s v="Finn"/>
    <s v="Darkmantle"/>
    <x v="4"/>
    <x v="1"/>
    <n v="88"/>
    <x v="2"/>
    <x v="0"/>
    <s v="Dagger"/>
    <s v="Inactive"/>
    <x v="139"/>
    <x v="77"/>
    <n v="38"/>
    <n v="41"/>
    <n v="2368"/>
    <n v="2899"/>
    <n v="215"/>
    <x v="137"/>
    <n v="585"/>
    <n v="232"/>
    <n v="83"/>
    <n v="1749"/>
    <n v="236468"/>
    <x v="1"/>
    <n v="379"/>
    <s v="Legend"/>
    <b v="0"/>
    <s v="Excellent"/>
    <s v="Normal"/>
    <s v="Medium"/>
    <s v="Reguler"/>
  </r>
  <r>
    <s v="PL0145"/>
    <s v="aldric_560"/>
    <s v="Aldric"/>
    <s v="Emberveil"/>
    <x v="6"/>
    <x v="8"/>
    <n v="68"/>
    <x v="5"/>
    <x v="6"/>
    <s v="Wand"/>
    <s v="Active"/>
    <x v="140"/>
    <x v="78"/>
    <n v="144"/>
    <n v="97"/>
    <n v="3289"/>
    <n v="1882"/>
    <n v="385"/>
    <x v="138"/>
    <n v="147"/>
    <m/>
    <n v="97"/>
    <n v="8843"/>
    <n v="900709"/>
    <x v="1"/>
    <n v="53"/>
    <s v="Elite"/>
    <b v="1"/>
    <s v="Excellent"/>
    <s v="Normal"/>
    <s v="Medium"/>
    <s v="Tactician"/>
  </r>
  <r>
    <s v="PL0146"/>
    <s v="faye_831"/>
    <s v="Faye"/>
    <s v="Stoneback"/>
    <x v="3"/>
    <x v="1"/>
    <m/>
    <x v="2"/>
    <x v="1"/>
    <s v="Staff"/>
    <s v="Active"/>
    <x v="141"/>
    <x v="5"/>
    <n v="68"/>
    <n v="149"/>
    <n v="1176"/>
    <n v="2652"/>
    <n v="231"/>
    <x v="6"/>
    <n v="847"/>
    <n v="181"/>
    <n v="84"/>
    <n v="4220"/>
    <n v="858802"/>
    <x v="1"/>
    <n v="69"/>
    <s v="Rookie"/>
    <b v="1"/>
    <s v="Excellent"/>
    <s v="Normal"/>
    <s v="Medium"/>
    <s v="Elity Spy"/>
  </r>
  <r>
    <s v="PL0147"/>
    <s v="yara_958"/>
    <s v="Yara"/>
    <s v="Swiftwind"/>
    <x v="7"/>
    <x v="2"/>
    <n v="98"/>
    <x v="4"/>
    <x v="4"/>
    <s v="Wand"/>
    <s v="Active"/>
    <x v="142"/>
    <x v="88"/>
    <n v="86"/>
    <n v="95"/>
    <n v="4825"/>
    <n v="1601"/>
    <n v="315"/>
    <x v="14"/>
    <n v="448"/>
    <n v="244"/>
    <n v="76"/>
    <n v="1745"/>
    <n v="289851"/>
    <x v="1"/>
    <n v="358"/>
    <s v="Legend"/>
    <b v="1"/>
    <s v="Excellent"/>
    <s v="Normal"/>
    <s v="Medium"/>
    <s v="Elity Spy"/>
  </r>
  <r>
    <s v="PL0148"/>
    <s v="percy_352"/>
    <s v="Percy"/>
    <s v="Flameborn"/>
    <x v="0"/>
    <x v="8"/>
    <n v="8"/>
    <x v="3"/>
    <x v="0"/>
    <s v="Axe"/>
    <s v="Active"/>
    <x v="143"/>
    <x v="27"/>
    <n v="68"/>
    <n v="91"/>
    <n v="2442"/>
    <n v="1715"/>
    <n v="237"/>
    <x v="139"/>
    <n v="614"/>
    <n v="192"/>
    <n v="83"/>
    <n v="8843"/>
    <n v="72788"/>
    <x v="1"/>
    <n v="449"/>
    <s v="Rookie"/>
    <b v="1"/>
    <s v="Excellent"/>
    <s v="Normal"/>
    <s v="Medium"/>
    <s v="Elity Spy"/>
  </r>
  <r>
    <s v="PL0149"/>
    <s v=""/>
    <s v="Torin"/>
    <s v="Coldwater"/>
    <x v="1"/>
    <x v="0"/>
    <n v="37"/>
    <x v="3"/>
    <x v="2"/>
    <s v="Spear"/>
    <s v=""/>
    <x v="144"/>
    <x v="89"/>
    <n v="101"/>
    <n v="149"/>
    <n v="4400"/>
    <n v="1132"/>
    <n v="261"/>
    <x v="140"/>
    <n v="342"/>
    <n v="91"/>
    <n v="91"/>
    <n v="3733"/>
    <n v="657980"/>
    <x v="0"/>
    <n v="170"/>
    <s v="Veteran"/>
    <b v="0"/>
    <s v="Excellent"/>
    <s v="Normal"/>
    <s v="Medium"/>
    <s v="Elity Spy"/>
  </r>
  <r>
    <s v="PL0150"/>
    <s v="yara_597"/>
    <s v="Yara"/>
    <s v="Goldweave"/>
    <x v="6"/>
    <x v="6"/>
    <n v="51"/>
    <x v="8"/>
    <x v="2"/>
    <s v="Bow"/>
    <s v="Active"/>
    <x v="145"/>
    <x v="42"/>
    <n v="114"/>
    <n v="82"/>
    <n v="2561"/>
    <m/>
    <n v="228"/>
    <x v="141"/>
    <n v="463"/>
    <n v="148"/>
    <n v="76"/>
    <m/>
    <n v="341092"/>
    <x v="1"/>
    <n v="335"/>
    <s v="Elite"/>
    <b v="1"/>
    <s v="Excellent"/>
    <s v="Normal"/>
    <s v="Medium"/>
    <s v="Reguler"/>
  </r>
  <r>
    <s v="PL0151"/>
    <s v="aldric_538"/>
    <s v="Aldric"/>
    <s v="Ironfist"/>
    <x v="4"/>
    <x v="3"/>
    <n v="20"/>
    <x v="4"/>
    <x v="5"/>
    <s v="Axe"/>
    <s v="Retired"/>
    <x v="146"/>
    <x v="86"/>
    <n v="81"/>
    <n v="14"/>
    <n v="1388"/>
    <n v="1749"/>
    <n v="115"/>
    <x v="142"/>
    <n v="83"/>
    <n v="270"/>
    <n v="97"/>
    <n v="6257"/>
    <n v="216491"/>
    <x v="1"/>
    <n v="393"/>
    <s v="Rookie"/>
    <b v="0"/>
    <s v="Excellent"/>
    <s v="Normal"/>
    <s v="Medium"/>
    <s v="Reguler"/>
  </r>
  <r>
    <s v="PL0152"/>
    <s v="lyra_842"/>
    <s v="Lyra"/>
    <s v="Nightfall"/>
    <x v="4"/>
    <x v="4"/>
    <n v="49"/>
    <x v="1"/>
    <x v="2"/>
    <s v="Dagger"/>
    <s v="Active"/>
    <x v="147"/>
    <x v="90"/>
    <n v="66"/>
    <n v="15"/>
    <n v="1175"/>
    <n v="2917"/>
    <n v="199"/>
    <x v="143"/>
    <n v="778"/>
    <n v="88"/>
    <n v="84"/>
    <n v="8910"/>
    <n v="49084"/>
    <x v="0"/>
    <n v="457"/>
    <s v="Veteran"/>
    <b v="1"/>
    <s v="Excellent"/>
    <s v="Normal"/>
    <s v="Medium"/>
    <s v="Reguler"/>
  </r>
  <r>
    <s v="PL0153"/>
    <s v="nova_963"/>
    <s v="Nova"/>
    <s v="Lightfoot"/>
    <x v="2"/>
    <x v="0"/>
    <n v="70"/>
    <x v="5"/>
    <x v="3"/>
    <s v="Wand"/>
    <s v="Banned"/>
    <x v="148"/>
    <x v="10"/>
    <n v="95"/>
    <m/>
    <n v="1008"/>
    <n v="1914"/>
    <n v="231"/>
    <x v="144"/>
    <n v="16"/>
    <n v="141"/>
    <n v="99"/>
    <n v="6451"/>
    <n v="228433"/>
    <x v="0"/>
    <n v="387"/>
    <s v="Elite"/>
    <b v="0"/>
    <s v="Excellent"/>
    <s v="Normal"/>
    <s v="High"/>
    <s v="Reguler"/>
  </r>
  <r>
    <s v="PL0154"/>
    <s v="nyx_617"/>
    <s v="Nyx"/>
    <s v="Frostborn"/>
    <x v="0"/>
    <x v="8"/>
    <n v="85"/>
    <x v="1"/>
    <x v="0"/>
    <s v="Wand"/>
    <s v="Active"/>
    <x v="149"/>
    <x v="16"/>
    <n v="117"/>
    <n v="56"/>
    <n v="1777"/>
    <n v="2623"/>
    <n v="183"/>
    <x v="145"/>
    <n v="528"/>
    <n v="58"/>
    <n v="78"/>
    <n v="9706"/>
    <n v="866419"/>
    <x v="0"/>
    <n v="64"/>
    <s v="Legend"/>
    <b v="1"/>
    <s v="Excellent"/>
    <s v="Normal"/>
    <s v="High"/>
    <s v="Reguler"/>
  </r>
  <r>
    <s v="PL0155"/>
    <s v="rosa_350"/>
    <s v="Rosa"/>
    <s v="Swiftwind"/>
    <x v="7"/>
    <x v="0"/>
    <n v="49"/>
    <x v="8"/>
    <x v="4"/>
    <s v="Axe"/>
    <s v="Banned"/>
    <x v="76"/>
    <x v="91"/>
    <m/>
    <n v="65"/>
    <n v="2378"/>
    <n v="422"/>
    <n v="213"/>
    <x v="146"/>
    <n v="532"/>
    <n v="128"/>
    <n v="83"/>
    <n v="47"/>
    <n v="970336"/>
    <x v="1"/>
    <n v="16"/>
    <s v="Veteran"/>
    <b v="0"/>
    <s v="Excellent"/>
    <s v="Normal"/>
    <s v="Medium"/>
    <s v="Brawler"/>
  </r>
  <r>
    <s v="PL0156"/>
    <s v="oryn_242"/>
    <s v="Oryn"/>
    <s v="Swiftwind"/>
    <x v="6"/>
    <x v="4"/>
    <n v="77"/>
    <x v="3"/>
    <x v="2"/>
    <s v="Sword"/>
    <s v="Banned"/>
    <x v="150"/>
    <x v="63"/>
    <n v="33"/>
    <n v="46"/>
    <n v="289"/>
    <n v="1895"/>
    <n v="204"/>
    <x v="147"/>
    <n v="763"/>
    <n v="94"/>
    <n v="75"/>
    <n v="3112"/>
    <n v="143046"/>
    <x v="0"/>
    <n v="422"/>
    <s v="Legend"/>
    <b v="0"/>
    <s v="Excellent"/>
    <s v="Normal"/>
    <s v="High"/>
    <s v="Reguler"/>
  </r>
  <r>
    <s v="PL0157"/>
    <s v="gareth_438"/>
    <s v="Gareth"/>
    <s v="Wildhorn"/>
    <x v="4"/>
    <x v="3"/>
    <n v="2"/>
    <x v="8"/>
    <x v="0"/>
    <s v="Dagger"/>
    <s v="Inactive"/>
    <x v="151"/>
    <x v="92"/>
    <n v="30"/>
    <n v="139"/>
    <m/>
    <n v="2356"/>
    <n v="226"/>
    <x v="148"/>
    <m/>
    <n v="137"/>
    <n v="86"/>
    <n v="9980"/>
    <n v="119929"/>
    <x v="1"/>
    <n v="428"/>
    <s v="Rookie"/>
    <b v="0"/>
    <s v="Excellent"/>
    <s v="Normal"/>
    <s v="Medium"/>
    <s v="Elity Spy"/>
  </r>
  <r>
    <s v="PL0158"/>
    <s v="roran_470"/>
    <s v="Roran"/>
    <s v="Stormcall"/>
    <x v="8"/>
    <x v="2"/>
    <n v="82"/>
    <x v="8"/>
    <x v="4"/>
    <s v="Fists"/>
    <s v="Retired"/>
    <x v="152"/>
    <x v="36"/>
    <m/>
    <n v="87"/>
    <n v="356"/>
    <n v="2037"/>
    <n v="248"/>
    <x v="149"/>
    <n v="59"/>
    <n v="61"/>
    <n v="98"/>
    <n v="7372"/>
    <n v="710046"/>
    <x v="1"/>
    <n v="143"/>
    <s v="Legend"/>
    <b v="0"/>
    <s v="Excellent"/>
    <s v="Normal"/>
    <s v="Medium"/>
    <s v="Elity Spy"/>
  </r>
  <r>
    <s v="PL0159"/>
    <s v="oryn_669"/>
    <s v="Oryn"/>
    <s v="Goldweave"/>
    <x v="0"/>
    <x v="1"/>
    <n v="25"/>
    <x v="4"/>
    <x v="3"/>
    <s v="Bow"/>
    <s v="Active"/>
    <x v="153"/>
    <x v="56"/>
    <n v="141"/>
    <n v="59"/>
    <n v="4604"/>
    <n v="2412"/>
    <n v="337"/>
    <x v="150"/>
    <n v="335"/>
    <n v="9"/>
    <n v="58"/>
    <n v="5026"/>
    <n v="579921"/>
    <x v="0"/>
    <n v="212"/>
    <s v="Rookie"/>
    <b v="1"/>
    <s v="Average"/>
    <s v="Normal"/>
    <s v="Medium"/>
    <s v="Tanker"/>
  </r>
  <r>
    <s v="PL0160"/>
    <s v="grim_353"/>
    <s v="Grim"/>
    <s v="Shadowstep"/>
    <x v="2"/>
    <x v="3"/>
    <n v="84"/>
    <x v="7"/>
    <x v="2"/>
    <s v="Fists"/>
    <s v="Banned"/>
    <x v="154"/>
    <x v="11"/>
    <n v="89"/>
    <n v="112"/>
    <n v="2451"/>
    <n v="820"/>
    <n v="296"/>
    <x v="151"/>
    <n v="273"/>
    <n v="246"/>
    <n v="86"/>
    <n v="9361"/>
    <n v="372846"/>
    <x v="1"/>
    <n v="318"/>
    <s v="Legend"/>
    <b v="0"/>
    <s v="Excellent"/>
    <s v="Normal"/>
    <s v="Medium"/>
    <s v="Elity Spy"/>
  </r>
  <r>
    <s v="PL0161"/>
    <s v="torin_228"/>
    <s v="Torin"/>
    <s v="Ironveil"/>
    <x v="8"/>
    <x v="4"/>
    <n v="4"/>
    <x v="7"/>
    <x v="3"/>
    <s v="Spear"/>
    <s v="Retired"/>
    <x v="155"/>
    <x v="33"/>
    <n v="137"/>
    <n v="58"/>
    <m/>
    <n v="240"/>
    <n v="254"/>
    <x v="30"/>
    <n v="820"/>
    <n v="247"/>
    <n v="65"/>
    <n v="5218"/>
    <n v="905300"/>
    <x v="0"/>
    <n v="49"/>
    <s v="Rookie"/>
    <b v="0"/>
    <s v="Average"/>
    <s v="Normal"/>
    <s v="Medium"/>
    <s v="Reguler"/>
  </r>
  <r>
    <s v="PL0162"/>
    <s v="faye_459"/>
    <s v="Faye"/>
    <s v="Stormcall"/>
    <x v="2"/>
    <x v="1"/>
    <n v="96"/>
    <x v="2"/>
    <x v="3"/>
    <s v="Dagger"/>
    <s v="Active"/>
    <x v="156"/>
    <x v="84"/>
    <n v="61"/>
    <n v="70"/>
    <n v="375"/>
    <n v="2410"/>
    <n v="260"/>
    <x v="30"/>
    <n v="235"/>
    <n v="26"/>
    <n v="81"/>
    <n v="4908"/>
    <n v="991621"/>
    <x v="0"/>
    <n v="5"/>
    <s v="Legend"/>
    <b v="1"/>
    <s v="Excellent"/>
    <s v="Normal"/>
    <s v="High"/>
    <s v="Brawler"/>
  </r>
  <r>
    <s v="PL0163"/>
    <s v="kira_361"/>
    <s v="Kira"/>
    <s v="Grimstone"/>
    <x v="7"/>
    <x v="2"/>
    <n v="61"/>
    <x v="6"/>
    <x v="1"/>
    <s v="Wand"/>
    <s v="Active"/>
    <x v="157"/>
    <x v="38"/>
    <n v="42"/>
    <n v="129"/>
    <n v="2442"/>
    <n v="2277"/>
    <n v="265"/>
    <x v="152"/>
    <n v="524"/>
    <n v="120"/>
    <n v="76"/>
    <n v="3946"/>
    <n v="819018"/>
    <x v="1"/>
    <n v="95"/>
    <s v="Elite"/>
    <b v="1"/>
    <s v="Excellent"/>
    <s v="Normal"/>
    <s v="Medium"/>
    <s v="Elity Spy"/>
  </r>
  <r>
    <s v="PL0164"/>
    <s v="myra_770"/>
    <s v="Myra"/>
    <s v="Ironfist"/>
    <x v="2"/>
    <x v="0"/>
    <n v="96"/>
    <x v="1"/>
    <x v="1"/>
    <s v="Dagger"/>
    <s v="Active"/>
    <x v="158"/>
    <x v="65"/>
    <n v="98"/>
    <n v="42"/>
    <n v="358"/>
    <n v="1793"/>
    <m/>
    <x v="153"/>
    <n v="707"/>
    <n v="133"/>
    <n v="80"/>
    <n v="755"/>
    <n v="502845"/>
    <x v="1"/>
    <n v="249"/>
    <s v="Legend"/>
    <b v="1"/>
    <s v="Excellent"/>
    <s v="Normal"/>
    <s v="Medium"/>
    <s v="Ranger"/>
  </r>
  <r>
    <s v="PL0165"/>
    <s v="torin_318"/>
    <s v="Torin"/>
    <s v="Stormcall"/>
    <x v="3"/>
    <x v="6"/>
    <n v="95"/>
    <x v="5"/>
    <x v="3"/>
    <s v="Dagger"/>
    <s v="Active"/>
    <x v="159"/>
    <x v="24"/>
    <n v="74"/>
    <n v="14"/>
    <n v="178"/>
    <n v="2955"/>
    <n v="198"/>
    <x v="154"/>
    <n v="35"/>
    <n v="58"/>
    <n v="99"/>
    <n v="5940"/>
    <n v="901036"/>
    <x v="0"/>
    <n v="52"/>
    <s v="Legend"/>
    <b v="1"/>
    <s v="Excellent"/>
    <s v="Normal"/>
    <s v="High"/>
    <s v="Reguler"/>
  </r>
  <r>
    <s v="PL0166"/>
    <s v="aiden_630"/>
    <s v="Aiden"/>
    <s v="Nightfall"/>
    <x v="3"/>
    <x v="6"/>
    <n v="65"/>
    <x v="7"/>
    <x v="3"/>
    <s v="Bow"/>
    <s v="Banned"/>
    <x v="160"/>
    <x v="93"/>
    <n v="149"/>
    <n v="128"/>
    <n v="4207"/>
    <n v="1597"/>
    <m/>
    <x v="155"/>
    <n v="491"/>
    <n v="16"/>
    <n v="86"/>
    <n v="7039"/>
    <n v="886109"/>
    <x v="1"/>
    <n v="59"/>
    <s v="Elite"/>
    <b v="0"/>
    <s v="Excellent"/>
    <s v="Normal"/>
    <s v="Medium"/>
    <s v="Elity Spy"/>
  </r>
  <r>
    <s v="PL0167"/>
    <s v="brix_222"/>
    <s v="Brix"/>
    <s v="Ironveil"/>
    <x v="8"/>
    <x v="1"/>
    <n v="41"/>
    <x v="5"/>
    <x v="1"/>
    <s v="Axe"/>
    <s v="Active"/>
    <x v="161"/>
    <x v="94"/>
    <n v="111"/>
    <n v="124"/>
    <n v="2298"/>
    <n v="682"/>
    <n v="383"/>
    <x v="156"/>
    <n v="50"/>
    <n v="131"/>
    <n v="92"/>
    <n v="8007"/>
    <n v="841598"/>
    <x v="0"/>
    <n v="82"/>
    <s v="Veteran"/>
    <b v="1"/>
    <s v="Excellent"/>
    <s v="Normal"/>
    <s v="Medium"/>
    <s v="Elity Spy"/>
  </r>
  <r>
    <s v="PL0168"/>
    <s v="nova_323"/>
    <s v="Nova"/>
    <s v="Ashgrove"/>
    <x v="1"/>
    <x v="3"/>
    <n v="57"/>
    <x v="7"/>
    <x v="2"/>
    <s v="Wand"/>
    <s v="Active"/>
    <x v="162"/>
    <x v="39"/>
    <n v="92"/>
    <n v="117"/>
    <n v="2340"/>
    <n v="156"/>
    <n v="348"/>
    <x v="157"/>
    <m/>
    <n v="233"/>
    <n v="100"/>
    <n v="2122"/>
    <n v="302621"/>
    <x v="1"/>
    <n v="352"/>
    <s v="Elite"/>
    <b v="1"/>
    <s v="Excellent"/>
    <s v="Normal"/>
    <s v="Medium"/>
    <s v="Elity Spy"/>
  </r>
  <r>
    <s v="PL0169"/>
    <s v="theron_534"/>
    <s v="Theron"/>
    <s v="Moonwhisper"/>
    <x v="8"/>
    <x v="2"/>
    <n v="43"/>
    <x v="5"/>
    <x v="0"/>
    <s v="Sword"/>
    <s v="Active"/>
    <x v="163"/>
    <x v="20"/>
    <n v="44"/>
    <n v="68"/>
    <n v="4497"/>
    <n v="1491"/>
    <n v="261"/>
    <x v="158"/>
    <n v="692"/>
    <n v="256"/>
    <n v="83"/>
    <n v="4174"/>
    <n v="449045"/>
    <x v="1"/>
    <n v="279"/>
    <s v="Veteran"/>
    <b v="1"/>
    <s v="Excellent"/>
    <s v="Normal"/>
    <s v="Medium"/>
    <s v="Brawler"/>
  </r>
  <r>
    <s v="PL0170"/>
    <s v="elara_939"/>
    <s v="Elara"/>
    <s v="Darkmantle"/>
    <x v="1"/>
    <x v="0"/>
    <n v="21"/>
    <x v="0"/>
    <x v="2"/>
    <s v="Sword"/>
    <s v="Retired"/>
    <x v="164"/>
    <x v="48"/>
    <n v="46"/>
    <n v="141"/>
    <n v="1299"/>
    <n v="1932"/>
    <n v="301"/>
    <x v="159"/>
    <n v="313"/>
    <n v="273"/>
    <n v="86"/>
    <n v="8001"/>
    <n v="377955"/>
    <x v="0"/>
    <n v="315"/>
    <s v="Rookie"/>
    <b v="0"/>
    <s v="Excellent"/>
    <s v="Normal"/>
    <s v="Medium"/>
    <s v="Elity Spy"/>
  </r>
  <r>
    <s v="PL0171"/>
    <s v="lyra_134"/>
    <s v="Lyra"/>
    <s v="Bloodthorn"/>
    <x v="7"/>
    <x v="2"/>
    <n v="12"/>
    <x v="8"/>
    <x v="3"/>
    <s v="Spear"/>
    <s v="Retired"/>
    <x v="165"/>
    <x v="48"/>
    <n v="14"/>
    <n v="53"/>
    <n v="3163"/>
    <n v="830"/>
    <n v="181"/>
    <x v="160"/>
    <n v="826"/>
    <n v="254"/>
    <n v="56"/>
    <n v="722"/>
    <n v="441909"/>
    <x v="0"/>
    <n v="285"/>
    <s v="Rookie"/>
    <b v="0"/>
    <s v="Average"/>
    <s v="Normal"/>
    <s v="Medium"/>
    <s v="Reguler"/>
  </r>
  <r>
    <s v="PL0172"/>
    <s v="sable_910"/>
    <s v="Sable"/>
    <s v="Wolfsbane"/>
    <x v="6"/>
    <x v="6"/>
    <n v="32"/>
    <x v="8"/>
    <x v="2"/>
    <s v="Wand"/>
    <s v="Active"/>
    <x v="166"/>
    <x v="95"/>
    <n v="79"/>
    <n v="99"/>
    <n v="2767"/>
    <n v="306"/>
    <n v="250"/>
    <x v="161"/>
    <n v="3"/>
    <n v="71"/>
    <n v="100"/>
    <n v="769"/>
    <n v="856300"/>
    <x v="0"/>
    <n v="75"/>
    <s v="Veteran"/>
    <b v="1"/>
    <s v="Excellent"/>
    <s v="Normal"/>
    <s v="Medium"/>
    <s v="Elity Spy"/>
  </r>
  <r>
    <s v="PL0173"/>
    <s v="tilda_469"/>
    <s v="Tilda"/>
    <s v="Swiftwind"/>
    <x v="0"/>
    <x v="2"/>
    <n v="15"/>
    <x v="4"/>
    <x v="4"/>
    <s v="Sword"/>
    <s v="Active"/>
    <x v="42"/>
    <x v="87"/>
    <n v="35"/>
    <n v="29"/>
    <n v="1855"/>
    <n v="2867"/>
    <n v="126"/>
    <x v="162"/>
    <n v="601"/>
    <n v="252"/>
    <n v="86"/>
    <n v="1981"/>
    <n v="997277"/>
    <x v="0"/>
    <n v="2"/>
    <s v="Rookie"/>
    <b v="1"/>
    <s v="Excellent"/>
    <s v="Normal"/>
    <s v="Medium"/>
    <s v="Reguler"/>
  </r>
  <r>
    <s v="PL0174"/>
    <s v="OPAL_569"/>
    <s v="Opal"/>
    <s v="Dawnrise"/>
    <x v="2"/>
    <x v="7"/>
    <n v="71"/>
    <x v="5"/>
    <x v="0"/>
    <s v="Sword"/>
    <s v="Active"/>
    <x v="167"/>
    <x v="89"/>
    <n v="32"/>
    <n v="137"/>
    <n v="571"/>
    <n v="157"/>
    <n v="180"/>
    <x v="163"/>
    <n v="573"/>
    <n v="174"/>
    <n v="89"/>
    <n v="6896"/>
    <n v="867020"/>
    <x v="1"/>
    <n v="62"/>
    <s v="Elite"/>
    <b v="1"/>
    <s v="Excellent"/>
    <s v="Normal"/>
    <s v="Medium"/>
    <s v="Elity Spy"/>
  </r>
  <r>
    <s v="PL0175"/>
    <s v="roran_858"/>
    <s v="Roran"/>
    <s v="Moonwhisper"/>
    <x v="4"/>
    <x v="5"/>
    <n v="86"/>
    <x v="8"/>
    <x v="2"/>
    <s v="Sword"/>
    <s v="Retired"/>
    <x v="96"/>
    <x v="14"/>
    <n v="96"/>
    <n v="107"/>
    <n v="914"/>
    <n v="2409"/>
    <n v="308"/>
    <x v="164"/>
    <n v="4"/>
    <n v="191"/>
    <n v="99"/>
    <m/>
    <m/>
    <x v="1"/>
    <n v="486"/>
    <s v="Legend"/>
    <b v="0"/>
    <s v="Excellent"/>
    <s v="Normal"/>
    <s v="Medium"/>
    <s v="Elity Spy"/>
  </r>
  <r>
    <s v="PL0176"/>
    <s v="freya_480"/>
    <s v="Freya"/>
    <s v="Ashgrove"/>
    <x v="7"/>
    <x v="7"/>
    <n v="65"/>
    <x v="4"/>
    <x v="2"/>
    <s v="Fists"/>
    <s v=""/>
    <x v="168"/>
    <x v="18"/>
    <n v="126"/>
    <n v="127"/>
    <n v="4460"/>
    <n v="2810"/>
    <n v="284"/>
    <x v="165"/>
    <n v="962"/>
    <n v="266"/>
    <n v="7"/>
    <n v="1194"/>
    <m/>
    <x v="0"/>
    <n v="486"/>
    <s v="Elite"/>
    <b v="0"/>
    <s v="Poor"/>
    <s v="Normal"/>
    <s v="Medium"/>
    <s v="Elity Spy"/>
  </r>
  <r>
    <s v="PL0177"/>
    <s v="torin_100"/>
    <s v="Torin"/>
    <s v="Stormcall"/>
    <x v="8"/>
    <x v="0"/>
    <n v="7"/>
    <x v="8"/>
    <x v="6"/>
    <s v="Axe"/>
    <s v="Active"/>
    <x v="169"/>
    <x v="56"/>
    <n v="102"/>
    <n v="36"/>
    <n v="1335"/>
    <n v="2354"/>
    <n v="275"/>
    <x v="166"/>
    <n v="556"/>
    <n v="114"/>
    <n v="77"/>
    <n v="8858"/>
    <n v="25940"/>
    <x v="0"/>
    <n v="470"/>
    <s v="Rookie"/>
    <b v="1"/>
    <s v="Excellent"/>
    <s v="Normal"/>
    <s v="Medium"/>
    <s v="Tactician"/>
  </r>
  <r>
    <s v="PL0178"/>
    <s v="freya_597"/>
    <s v="Freya"/>
    <s v=""/>
    <x v="4"/>
    <x v="2"/>
    <m/>
    <x v="5"/>
    <x v="1"/>
    <s v="Wand"/>
    <s v="Retired"/>
    <x v="170"/>
    <x v="65"/>
    <n v="94"/>
    <n v="78"/>
    <n v="2838"/>
    <n v="2665"/>
    <n v="294"/>
    <x v="29"/>
    <n v="437"/>
    <n v="226"/>
    <n v="81"/>
    <n v="9064"/>
    <n v="822270"/>
    <x v="0"/>
    <n v="92"/>
    <s v="Rookie"/>
    <b v="0"/>
    <s v="Excellent"/>
    <s v="Normal"/>
    <s v="Medium"/>
    <s v="Brawler"/>
  </r>
  <r>
    <s v="PL0179"/>
    <s v="jade_611"/>
    <s v="Jade"/>
    <s v="Flameborn"/>
    <x v="8"/>
    <x v="3"/>
    <n v="93"/>
    <x v="1"/>
    <x v="3"/>
    <s v="Staff"/>
    <s v="Active"/>
    <x v="171"/>
    <x v="20"/>
    <n v="99"/>
    <n v="103"/>
    <n v="2859"/>
    <n v="813"/>
    <n v="351"/>
    <x v="167"/>
    <n v="186"/>
    <n v="256"/>
    <n v="93"/>
    <n v="7558"/>
    <n v="798306"/>
    <x v="1"/>
    <n v="106"/>
    <s v="Legend"/>
    <b v="1"/>
    <s v="Excellent"/>
    <s v="Overpowered"/>
    <s v="Medium"/>
    <s v="Elity Spy"/>
  </r>
  <r>
    <s v="PL0180"/>
    <s v="borin_670"/>
    <s v="Borin"/>
    <s v="Frostborn"/>
    <x v="3"/>
    <x v="1"/>
    <n v="92"/>
    <x v="0"/>
    <x v="2"/>
    <s v="Bow"/>
    <s v="Active"/>
    <x v="172"/>
    <x v="88"/>
    <n v="53"/>
    <n v="41"/>
    <n v="1015"/>
    <n v="1953"/>
    <n v="228"/>
    <x v="168"/>
    <n v="5"/>
    <n v="165"/>
    <n v="0"/>
    <n v="1128"/>
    <n v="362300"/>
    <x v="1"/>
    <n v="325"/>
    <s v="Legend"/>
    <b v="1"/>
    <s v="Poor"/>
    <s v="Normal"/>
    <s v="Medium"/>
    <s v="Reguler"/>
  </r>
  <r>
    <s v="PL0181"/>
    <s v="nolan_887"/>
    <s v="Nolan"/>
    <s v="Darkthorn"/>
    <x v="0"/>
    <x v="8"/>
    <n v="68"/>
    <x v="1"/>
    <x v="2"/>
    <s v="Bow"/>
    <s v="Banned"/>
    <x v="173"/>
    <x v="96"/>
    <n v="100"/>
    <n v="28"/>
    <n v="2605"/>
    <n v="2752"/>
    <n v="239"/>
    <x v="169"/>
    <n v="946"/>
    <n v="152"/>
    <n v="59"/>
    <n v="1457"/>
    <n v="821355"/>
    <x v="0"/>
    <n v="93"/>
    <s v="Elite"/>
    <b v="0"/>
    <s v="Average"/>
    <s v="Normal"/>
    <s v="Medium"/>
    <s v="Reguler"/>
  </r>
  <r>
    <s v="PL0182"/>
    <s v="aria_221"/>
    <s v="Aria"/>
    <s v="Nightfall"/>
    <x v="0"/>
    <x v="4"/>
    <n v="100"/>
    <x v="1"/>
    <x v="2"/>
    <s v="Sword"/>
    <s v="Active"/>
    <x v="174"/>
    <x v="55"/>
    <n v="110"/>
    <n v="20"/>
    <m/>
    <n v="878"/>
    <n v="200"/>
    <x v="170"/>
    <n v="21"/>
    <n v="277"/>
    <n v="96"/>
    <n v="8025"/>
    <n v="935313"/>
    <x v="1"/>
    <n v="31"/>
    <s v="Legend"/>
    <b v="1"/>
    <s v="Excellent"/>
    <s v="Normal"/>
    <s v="Medium"/>
    <s v="Reguler"/>
  </r>
  <r>
    <s v="PL0183"/>
    <s v="aria_567"/>
    <s v="Aria"/>
    <s v="Dawnrise"/>
    <x v="8"/>
    <x v="2"/>
    <m/>
    <x v="1"/>
    <x v="2"/>
    <s v="Wand"/>
    <s v="Retired"/>
    <x v="175"/>
    <x v="97"/>
    <n v="140"/>
    <n v="16"/>
    <n v="3304"/>
    <n v="2527"/>
    <n v="299"/>
    <x v="171"/>
    <n v="688"/>
    <n v="63"/>
    <n v="54"/>
    <n v="2453"/>
    <n v="669875"/>
    <x v="0"/>
    <n v="163"/>
    <s v="Rookie"/>
    <b v="0"/>
    <s v="Average"/>
    <s v="Normal"/>
    <s v="Medium"/>
    <s v="Tanker"/>
  </r>
  <r>
    <s v="PL0184"/>
    <s v="torin_929"/>
    <s v="Torin"/>
    <s v="Lightfoot"/>
    <x v="7"/>
    <x v="1"/>
    <n v="65"/>
    <x v="1"/>
    <x v="6"/>
    <s v="Fists"/>
    <s v="Inactive"/>
    <x v="176"/>
    <x v="78"/>
    <m/>
    <n v="133"/>
    <n v="764"/>
    <n v="1372"/>
    <n v="323"/>
    <x v="172"/>
    <n v="379"/>
    <n v="78"/>
    <n v="90"/>
    <n v="3594"/>
    <n v="684137"/>
    <x v="1"/>
    <n v="158"/>
    <s v="Elite"/>
    <b v="0"/>
    <s v="Excellent"/>
    <s v="Normal"/>
    <s v="Medium"/>
    <s v="Tactician"/>
  </r>
  <r>
    <s v="PL0185"/>
    <s v="ivan_590"/>
    <s v="Ivan"/>
    <s v="Brightblade"/>
    <x v="6"/>
    <x v="4"/>
    <n v="73"/>
    <x v="7"/>
    <x v="4"/>
    <s v="Staff"/>
    <s v="Active"/>
    <x v="177"/>
    <x v="33"/>
    <n v="24"/>
    <n v="66"/>
    <n v="2655"/>
    <n v="1060"/>
    <n v="149"/>
    <x v="173"/>
    <n v="236"/>
    <n v="42"/>
    <n v="93"/>
    <n v="1021"/>
    <n v="195714"/>
    <x v="0"/>
    <n v="404"/>
    <s v="Elite"/>
    <b v="1"/>
    <s v="Excellent"/>
    <s v="Normal"/>
    <s v="High"/>
    <s v="Reguler"/>
  </r>
  <r>
    <s v="PL0186"/>
    <s v="yara_208"/>
    <s v="Yara"/>
    <s v="Emberveil"/>
    <x v="3"/>
    <x v="8"/>
    <m/>
    <x v="5"/>
    <x v="4"/>
    <s v="Fists"/>
    <s v="Banned"/>
    <x v="178"/>
    <x v="3"/>
    <n v="37"/>
    <n v="26"/>
    <n v="418"/>
    <n v="646"/>
    <n v="176"/>
    <x v="174"/>
    <n v="214"/>
    <n v="131"/>
    <n v="95"/>
    <n v="580"/>
    <n v="888917"/>
    <x v="1"/>
    <n v="58"/>
    <s v="Rookie"/>
    <b v="0"/>
    <s v="Excellent"/>
    <s v="Normal"/>
    <s v="Medium"/>
    <s v="Reguler"/>
  </r>
  <r>
    <s v="PL0187"/>
    <s v="selene_982"/>
    <s v="Selene"/>
    <s v="Flameborn"/>
    <x v="7"/>
    <x v="3"/>
    <n v="11"/>
    <x v="0"/>
    <x v="4"/>
    <s v="Fists"/>
    <s v="Retired"/>
    <x v="179"/>
    <x v="82"/>
    <n v="71"/>
    <n v="20"/>
    <n v="2863"/>
    <n v="2990"/>
    <m/>
    <x v="175"/>
    <n v="518"/>
    <n v="49"/>
    <n v="85"/>
    <n v="3720"/>
    <n v="561062"/>
    <x v="1"/>
    <n v="219"/>
    <s v="Rookie"/>
    <b v="0"/>
    <s v="Excellent"/>
    <s v="Normal"/>
    <s v="Medium"/>
    <s v="Reguler"/>
  </r>
  <r>
    <s v="PL0188"/>
    <s v="mora_546"/>
    <s v="Mora"/>
    <s v="Flameborn"/>
    <x v="7"/>
    <x v="2"/>
    <n v="70"/>
    <x v="5"/>
    <x v="3"/>
    <s v="Staff"/>
    <s v="Active"/>
    <x v="180"/>
    <x v="34"/>
    <n v="93"/>
    <n v="59"/>
    <n v="1162"/>
    <m/>
    <n v="269"/>
    <x v="176"/>
    <n v="341"/>
    <n v="165"/>
    <n v="36"/>
    <n v="4805"/>
    <n v="671764"/>
    <x v="1"/>
    <n v="162"/>
    <s v="Elite"/>
    <b v="1"/>
    <s v="Poor"/>
    <s v="Normal"/>
    <s v="Medium"/>
    <s v="Reguler"/>
  </r>
  <r>
    <s v="PL0189"/>
    <s v="myra_842"/>
    <s v="Myra"/>
    <s v="Ashgrove"/>
    <x v="4"/>
    <x v="1"/>
    <n v="40"/>
    <x v="1"/>
    <x v="6"/>
    <s v="Sword"/>
    <s v="Inactive"/>
    <x v="181"/>
    <x v="84"/>
    <n v="68"/>
    <n v="119"/>
    <n v="2247"/>
    <n v="1632"/>
    <n v="316"/>
    <x v="177"/>
    <n v="230"/>
    <n v="11"/>
    <n v="93"/>
    <n v="3570"/>
    <n v="509697"/>
    <x v="0"/>
    <n v="245"/>
    <s v="Veteran"/>
    <b v="0"/>
    <s v="Excellent"/>
    <s v="Normal"/>
    <s v="Medium"/>
    <s v="Tactician"/>
  </r>
  <r>
    <s v="PL0190"/>
    <s v="cael_986"/>
    <s v="Cael"/>
    <s v="Ironfist"/>
    <x v="4"/>
    <x v="6"/>
    <n v="54"/>
    <x v="7"/>
    <x v="2"/>
    <s v="Axe"/>
    <s v="Inactive"/>
    <x v="182"/>
    <x v="55"/>
    <n v="138"/>
    <n v="14"/>
    <n v="953"/>
    <n v="1239"/>
    <n v="222"/>
    <x v="178"/>
    <n v="431"/>
    <n v="37"/>
    <n v="91"/>
    <n v="4280"/>
    <n v="999412"/>
    <x v="1"/>
    <n v="1"/>
    <s v="Elite"/>
    <b v="0"/>
    <s v="Excellent"/>
    <s v="Normal"/>
    <s v="Medium"/>
    <s v="Reguler"/>
  </r>
  <r>
    <s v="PL0191"/>
    <s v="vex_540"/>
    <s v=""/>
    <s v="Brightblade"/>
    <x v="8"/>
    <x v="1"/>
    <n v="45"/>
    <x v="8"/>
    <x v="3"/>
    <s v="Wand"/>
    <s v="Inactive"/>
    <x v="183"/>
    <x v="98"/>
    <n v="126"/>
    <n v="89"/>
    <n v="4961"/>
    <n v="2868"/>
    <n v="314"/>
    <x v="179"/>
    <n v="967"/>
    <n v="253"/>
    <n v="35"/>
    <n v="1181"/>
    <n v="290604"/>
    <x v="1"/>
    <n v="357"/>
    <s v="Veteran"/>
    <b v="0"/>
    <s v="Poor"/>
    <s v="Normal"/>
    <s v="Low"/>
    <s v="Elity Spy"/>
  </r>
  <r>
    <s v="PL0192"/>
    <s v="nolan_680"/>
    <s v="Nolan"/>
    <s v="Goldweave"/>
    <x v="6"/>
    <x v="8"/>
    <n v="69"/>
    <x v="8"/>
    <x v="6"/>
    <s v="Fists"/>
    <s v="Active"/>
    <x v="184"/>
    <x v="99"/>
    <n v="47"/>
    <n v="62"/>
    <n v="3965"/>
    <n v="2405"/>
    <n v="132"/>
    <x v="180"/>
    <n v="639"/>
    <n v="100"/>
    <n v="51"/>
    <n v="7524"/>
    <n v="851518"/>
    <x v="1"/>
    <n v="77"/>
    <s v="Elite"/>
    <b v="1"/>
    <s v="Average"/>
    <s v="Normal"/>
    <s v="Medium"/>
    <s v="Tactician"/>
  </r>
  <r>
    <s v="PL0193"/>
    <s v="torin_411"/>
    <s v="Torin"/>
    <s v="Wildhorn"/>
    <x v="4"/>
    <x v="4"/>
    <n v="5"/>
    <x v="4"/>
    <x v="0"/>
    <s v="Fists"/>
    <s v="Active"/>
    <x v="185"/>
    <x v="100"/>
    <n v="10"/>
    <n v="43"/>
    <n v="3952"/>
    <n v="764"/>
    <n v="118"/>
    <x v="181"/>
    <n v="677"/>
    <n v="49"/>
    <n v="74"/>
    <n v="5384"/>
    <n v="676303"/>
    <x v="0"/>
    <n v="161"/>
    <s v="Rookie"/>
    <b v="1"/>
    <s v="Excellent"/>
    <s v="Normal"/>
    <s v="Medium"/>
    <s v="Reguler"/>
  </r>
  <r>
    <s v="PL0194"/>
    <s v="gareth_876"/>
    <s v="Gareth"/>
    <s v="Goldweave"/>
    <x v="8"/>
    <x v="3"/>
    <n v="6"/>
    <x v="0"/>
    <x v="1"/>
    <s v="Spear"/>
    <s v="Active"/>
    <x v="186"/>
    <x v="101"/>
    <n v="105"/>
    <n v="28"/>
    <n v="2121"/>
    <n v="1376"/>
    <n v="274"/>
    <x v="182"/>
    <n v="557"/>
    <n v="55"/>
    <n v="88"/>
    <n v="2561"/>
    <n v="454794"/>
    <x v="0"/>
    <n v="276"/>
    <s v="Rookie"/>
    <b v="1"/>
    <s v="Excellent"/>
    <s v="Normal"/>
    <s v="Medium"/>
    <s v="Ranger"/>
  </r>
  <r>
    <s v="PL0195"/>
    <s v="nyx_758"/>
    <s v="Nyx"/>
    <s v="Silverbow"/>
    <x v="3"/>
    <x v="1"/>
    <n v="35"/>
    <x v="0"/>
    <x v="5"/>
    <s v="Sword"/>
    <s v="Inactive"/>
    <x v="187"/>
    <x v="102"/>
    <n v="33"/>
    <n v="143"/>
    <m/>
    <n v="2513"/>
    <n v="292"/>
    <x v="150"/>
    <n v="457"/>
    <n v="115"/>
    <n v="51"/>
    <n v="6114"/>
    <n v="98417"/>
    <x v="1"/>
    <n v="440"/>
    <s v="Veteran"/>
    <b v="0"/>
    <s v="Average"/>
    <s v="Normal"/>
    <s v="Low"/>
    <s v="Elity Spy"/>
  </r>
  <r>
    <s v="PL0196"/>
    <s v="mira_786"/>
    <s v="Mira"/>
    <s v="Stormcall"/>
    <x v="8"/>
    <x v="3"/>
    <n v="7"/>
    <x v="5"/>
    <x v="1"/>
    <s v="Sword"/>
    <s v="Active"/>
    <x v="188"/>
    <x v="103"/>
    <n v="100"/>
    <n v="54"/>
    <n v="2548"/>
    <n v="2633"/>
    <n v="212"/>
    <x v="183"/>
    <n v="5"/>
    <n v="98"/>
    <n v="100"/>
    <n v="9627"/>
    <n v="710725"/>
    <x v="1"/>
    <n v="141"/>
    <s v="Rookie"/>
    <b v="1"/>
    <s v="Excellent"/>
    <s v="Normal"/>
    <s v="Medium"/>
    <s v="Ranger"/>
  </r>
  <r>
    <s v="PL0197"/>
    <s v="tara_379"/>
    <s v="Tara"/>
    <s v="Shadowstep"/>
    <x v="7"/>
    <x v="4"/>
    <n v="71"/>
    <x v="7"/>
    <x v="4"/>
    <s v="Staff"/>
    <s v="Active"/>
    <x v="189"/>
    <x v="10"/>
    <n v="130"/>
    <n v="103"/>
    <n v="2311"/>
    <n v="1736"/>
    <n v="332"/>
    <x v="184"/>
    <n v="189"/>
    <n v="279"/>
    <n v="95"/>
    <n v="4401"/>
    <n v="840809"/>
    <x v="1"/>
    <n v="84"/>
    <s v="Elite"/>
    <b v="1"/>
    <s v="Excellent"/>
    <s v="Normal"/>
    <s v="Medium"/>
    <s v="Squad Inti"/>
  </r>
  <r>
    <s v="PL0198"/>
    <s v="oryn_307"/>
    <s v="Oryn"/>
    <s v="Nightfall"/>
    <x v="8"/>
    <x v="8"/>
    <n v="67"/>
    <x v="8"/>
    <x v="5"/>
    <s v="Fists"/>
    <s v="Active"/>
    <x v="190"/>
    <x v="85"/>
    <m/>
    <n v="82"/>
    <n v="3819"/>
    <n v="2370"/>
    <n v="239"/>
    <x v="185"/>
    <n v="946"/>
    <n v="37"/>
    <n v="62"/>
    <n v="3625"/>
    <n v="932115"/>
    <x v="1"/>
    <n v="33"/>
    <s v="Elite"/>
    <b v="1"/>
    <s v="Average"/>
    <s v="Normal"/>
    <s v="Medium"/>
    <s v="Reguler"/>
  </r>
  <r>
    <s v="PL0199"/>
    <s v="kael_844"/>
    <s v="Kael"/>
    <s v="Ironveil"/>
    <x v="1"/>
    <x v="7"/>
    <n v="91"/>
    <x v="0"/>
    <x v="4"/>
    <s v="Fists"/>
    <s v="Active"/>
    <x v="191"/>
    <x v="85"/>
    <n v="12"/>
    <n v="111"/>
    <n v="403"/>
    <n v="96"/>
    <n v="184"/>
    <x v="186"/>
    <n v="243"/>
    <n v="30"/>
    <n v="93"/>
    <n v="9920"/>
    <n v="8886"/>
    <x v="0"/>
    <n v="482"/>
    <s v="Legend"/>
    <b v="1"/>
    <s v="Excellent"/>
    <s v="Normal"/>
    <s v="High"/>
    <s v="Elity Spy"/>
  </r>
  <r>
    <s v="PL0200"/>
    <s v="vesper_664"/>
    <s v="Vesper"/>
    <s v="Darkmantle"/>
    <x v="1"/>
    <x v="3"/>
    <n v="99"/>
    <x v="1"/>
    <x v="2"/>
    <s v="Sword"/>
    <s v="Active"/>
    <x v="192"/>
    <x v="29"/>
    <n v="69"/>
    <n v="135"/>
    <n v="2215"/>
    <n v="2438"/>
    <n v="306"/>
    <x v="187"/>
    <n v="715"/>
    <n v="206"/>
    <n v="51"/>
    <n v="2424"/>
    <n v="223694"/>
    <x v="1"/>
    <n v="389"/>
    <s v="Legend"/>
    <b v="1"/>
    <s v="Average"/>
    <s v="Normal"/>
    <s v="Medium"/>
    <s v="Elity Spy"/>
  </r>
  <r>
    <s v="PL0201"/>
    <s v="cedric_160"/>
    <s v="Cedric"/>
    <s v="Frostborn"/>
    <x v="1"/>
    <x v="8"/>
    <n v="26"/>
    <x v="1"/>
    <x v="2"/>
    <s v="Spear"/>
    <s v="Retired"/>
    <x v="193"/>
    <x v="55"/>
    <n v="144"/>
    <n v="59"/>
    <n v="3728"/>
    <n v="912"/>
    <n v="273"/>
    <x v="188"/>
    <n v="530"/>
    <n v="248"/>
    <n v="78"/>
    <n v="1547"/>
    <n v="207279"/>
    <x v="1"/>
    <n v="397"/>
    <s v="Veteran"/>
    <b v="0"/>
    <s v="Excellent"/>
    <s v="Normal"/>
    <s v="Medium"/>
    <s v="Tanker"/>
  </r>
  <r>
    <s v="PL0202"/>
    <s v="torin_439"/>
    <s v="Torin"/>
    <s v="Stoneback"/>
    <x v="1"/>
    <x v="6"/>
    <n v="69"/>
    <x v="8"/>
    <x v="2"/>
    <s v="Fists"/>
    <s v="Banned"/>
    <x v="194"/>
    <x v="104"/>
    <n v="145"/>
    <n v="119"/>
    <n v="259"/>
    <n v="2273"/>
    <n v="341"/>
    <x v="22"/>
    <n v="810"/>
    <n v="241"/>
    <n v="80"/>
    <n v="3930"/>
    <n v="392971"/>
    <x v="1"/>
    <n v="306"/>
    <s v="Elite"/>
    <b v="0"/>
    <s v="Excellent"/>
    <s v="Normal"/>
    <s v="Medium"/>
    <s v="Elity Spy"/>
  </r>
  <r>
    <s v="PL0203"/>
    <s v="brix_250"/>
    <s v="Brix"/>
    <s v="Dawnrise"/>
    <x v="2"/>
    <x v="0"/>
    <n v="45"/>
    <x v="0"/>
    <x v="1"/>
    <s v="Sword"/>
    <s v="Active"/>
    <x v="195"/>
    <x v="63"/>
    <n v="63"/>
    <n v="67"/>
    <n v="3511"/>
    <n v="865"/>
    <n v="255"/>
    <x v="189"/>
    <n v="859"/>
    <n v="24"/>
    <n v="16"/>
    <m/>
    <n v="340695"/>
    <x v="0"/>
    <n v="337"/>
    <s v="Veteran"/>
    <b v="1"/>
    <s v="Poor"/>
    <s v="Normal"/>
    <s v="Medium"/>
    <s v="Brawler"/>
  </r>
  <r>
    <s v="PL0204"/>
    <s v="mora_997"/>
    <s v="Mora"/>
    <s v="Nightfall"/>
    <x v="1"/>
    <x v="8"/>
    <n v="96"/>
    <x v="1"/>
    <x v="6"/>
    <s v="Sword"/>
    <s v="Active"/>
    <x v="196"/>
    <x v="67"/>
    <n v="10"/>
    <n v="126"/>
    <n v="1023"/>
    <n v="2946"/>
    <n v="218"/>
    <x v="190"/>
    <n v="992"/>
    <n v="219"/>
    <n v="73"/>
    <n v="738"/>
    <n v="844130"/>
    <x v="1"/>
    <n v="80"/>
    <s v="Legend"/>
    <b v="1"/>
    <s v="Excellent"/>
    <s v="Normal"/>
    <s v="Medium"/>
    <s v="Tactician"/>
  </r>
  <r>
    <s v="PL0205"/>
    <s v="freya_630"/>
    <s v="Freya"/>
    <s v="Stoneback"/>
    <x v="7"/>
    <x v="3"/>
    <n v="67"/>
    <x v="3"/>
    <x v="0"/>
    <s v="Dagger"/>
    <s v="Active"/>
    <x v="197"/>
    <x v="19"/>
    <n v="53"/>
    <n v="36"/>
    <n v="3550"/>
    <n v="2702"/>
    <m/>
    <x v="191"/>
    <n v="312"/>
    <n v="166"/>
    <n v="49"/>
    <n v="7697"/>
    <n v="741624"/>
    <x v="1"/>
    <n v="133"/>
    <s v="Elite"/>
    <b v="1"/>
    <s v="Average"/>
    <s v="Normal"/>
    <s v="Medium"/>
    <s v="Reguler"/>
  </r>
  <r>
    <s v="PL0206"/>
    <s v="cael_377"/>
    <s v="Cael"/>
    <s v="Stoneback"/>
    <x v="8"/>
    <x v="7"/>
    <n v="39"/>
    <x v="5"/>
    <x v="5"/>
    <s v="Wand"/>
    <s v="Retired"/>
    <x v="198"/>
    <x v="81"/>
    <n v="51"/>
    <m/>
    <n v="4116"/>
    <n v="883"/>
    <n v="244"/>
    <x v="192"/>
    <n v="923"/>
    <n v="130"/>
    <n v="78"/>
    <n v="8993"/>
    <n v="496705"/>
    <x v="1"/>
    <n v="254"/>
    <s v="Veteran"/>
    <b v="0"/>
    <s v="Excellent"/>
    <s v="Normal"/>
    <s v="Medium"/>
    <s v="Reguler"/>
  </r>
  <r>
    <s v="PL0207"/>
    <s v="nolan_970"/>
    <s v="Nolan"/>
    <s v="Coldwater"/>
    <x v="6"/>
    <x v="6"/>
    <n v="67"/>
    <x v="4"/>
    <x v="3"/>
    <s v="Staff"/>
    <s v="Inactive"/>
    <x v="199"/>
    <x v="84"/>
    <n v="133"/>
    <n v="80"/>
    <n v="2117"/>
    <n v="1854"/>
    <n v="342"/>
    <x v="193"/>
    <n v="766"/>
    <n v="295"/>
    <n v="28"/>
    <n v="6034"/>
    <n v="710384"/>
    <x v="0"/>
    <n v="142"/>
    <s v="Elite"/>
    <b v="0"/>
    <s v="Poor"/>
    <s v="Normal"/>
    <s v="Medium"/>
    <s v="Brawler"/>
  </r>
  <r>
    <s v="PL0208"/>
    <s v="aiden_629"/>
    <s v="Aiden"/>
    <s v="Darkthorn"/>
    <x v="0"/>
    <x v="2"/>
    <n v="43"/>
    <x v="3"/>
    <x v="5"/>
    <s v="Axe"/>
    <s v="Retired"/>
    <x v="200"/>
    <x v="29"/>
    <n v="133"/>
    <n v="106"/>
    <n v="3115"/>
    <n v="494"/>
    <n v="341"/>
    <x v="194"/>
    <n v="962"/>
    <n v="244"/>
    <n v="83"/>
    <m/>
    <n v="924324"/>
    <x v="0"/>
    <n v="37"/>
    <s v="Veteran"/>
    <b v="0"/>
    <s v="Excellent"/>
    <s v="Normal"/>
    <s v="Medium"/>
    <s v="Elity Spy"/>
  </r>
  <r>
    <s v="PL0209"/>
    <s v="ewan_299"/>
    <s v="Ewan"/>
    <s v="Moonwhisper"/>
    <x v="2"/>
    <x v="3"/>
    <n v="97"/>
    <x v="5"/>
    <x v="4"/>
    <s v="Axe"/>
    <s v="Banned"/>
    <x v="201"/>
    <x v="72"/>
    <n v="27"/>
    <n v="133"/>
    <n v="1868"/>
    <n v="2743"/>
    <n v="266"/>
    <x v="195"/>
    <n v="712"/>
    <n v="192"/>
    <n v="21"/>
    <n v="3938"/>
    <n v="196618"/>
    <x v="1"/>
    <n v="403"/>
    <s v="Legend"/>
    <b v="0"/>
    <s v="Poor"/>
    <s v="Normal"/>
    <s v="Medium"/>
    <s v="Elity Spy"/>
  </r>
  <r>
    <s v="PL0210"/>
    <s v="finn_375"/>
    <s v="Finn"/>
    <s v="Grimstone"/>
    <x v="1"/>
    <x v="3"/>
    <n v="93"/>
    <x v="1"/>
    <x v="3"/>
    <s v="Bow"/>
    <s v="Banned"/>
    <x v="202"/>
    <x v="82"/>
    <n v="90"/>
    <n v="45"/>
    <n v="3220"/>
    <n v="2633"/>
    <n v="273"/>
    <x v="196"/>
    <n v="672"/>
    <n v="141"/>
    <n v="66"/>
    <n v="5952"/>
    <n v="105285"/>
    <x v="1"/>
    <n v="438"/>
    <s v="Legend"/>
    <b v="0"/>
    <s v="Average"/>
    <s v="Normal"/>
    <s v="Medium"/>
    <s v="Tanker"/>
  </r>
  <r>
    <s v="PL0211"/>
    <s v="aria_976"/>
    <s v="Aria"/>
    <s v="Darkthorn"/>
    <x v="7"/>
    <x v="2"/>
    <n v="56"/>
    <x v="7"/>
    <x v="6"/>
    <s v="Staff"/>
    <s v="Inactive"/>
    <x v="203"/>
    <x v="25"/>
    <n v="128"/>
    <n v="65"/>
    <n v="4915"/>
    <n v="2937"/>
    <n v="326"/>
    <x v="197"/>
    <n v="605"/>
    <m/>
    <n v="89"/>
    <n v="1786"/>
    <n v="413004"/>
    <x v="0"/>
    <n v="300"/>
    <s v="Elite"/>
    <b v="0"/>
    <s v="Excellent"/>
    <s v="Normal"/>
    <s v="High"/>
    <s v="Tactician"/>
  </r>
  <r>
    <s v="PL0212"/>
    <s v="grim_480"/>
    <s v="Grim"/>
    <s v="Lightfoot"/>
    <x v="1"/>
    <x v="7"/>
    <n v="29"/>
    <x v="1"/>
    <x v="2"/>
    <s v="Sword"/>
    <s v=""/>
    <x v="204"/>
    <x v="27"/>
    <n v="10"/>
    <n v="126"/>
    <n v="2736"/>
    <n v="474"/>
    <n v="214"/>
    <x v="30"/>
    <n v="620"/>
    <n v="105"/>
    <n v="85"/>
    <n v="2143"/>
    <n v="441563"/>
    <x v="1"/>
    <n v="286"/>
    <s v="Veteran"/>
    <b v="0"/>
    <s v="Excellent"/>
    <s v="Normal"/>
    <s v="Medium"/>
    <s v="Elity Spy"/>
  </r>
  <r>
    <s v="PL0213"/>
    <s v="lira_969"/>
    <s v="Lira"/>
    <s v="Stoneback"/>
    <x v="6"/>
    <x v="0"/>
    <n v="50"/>
    <x v="7"/>
    <x v="0"/>
    <s v="Sword"/>
    <s v="Active"/>
    <x v="205"/>
    <x v="97"/>
    <n v="99"/>
    <n v="130"/>
    <n v="4629"/>
    <n v="128"/>
    <n v="372"/>
    <x v="198"/>
    <n v="391"/>
    <n v="294"/>
    <n v="91"/>
    <n v="6086"/>
    <n v="979651"/>
    <x v="1"/>
    <n v="11"/>
    <s v="Veteran"/>
    <b v="1"/>
    <s v="Excellent"/>
    <s v="Normal"/>
    <s v="Medium"/>
    <s v="Elity Spy"/>
  </r>
  <r>
    <s v="PL0214"/>
    <s v="elara_469"/>
    <s v="Elara"/>
    <s v="Darkmantle"/>
    <x v="3"/>
    <x v="2"/>
    <n v="24"/>
    <x v="2"/>
    <x v="6"/>
    <s v="Fists"/>
    <s v="Retired"/>
    <x v="1"/>
    <x v="46"/>
    <n v="44"/>
    <n v="125"/>
    <n v="3528"/>
    <n v="2572"/>
    <n v="269"/>
    <x v="199"/>
    <n v="280"/>
    <n v="56"/>
    <n v="94"/>
    <n v="2049"/>
    <n v="822422"/>
    <x v="1"/>
    <n v="91"/>
    <s v="Rookie"/>
    <b v="0"/>
    <s v="Excellent"/>
    <s v="Normal"/>
    <s v="Medium"/>
    <s v="Tactician"/>
  </r>
  <r>
    <s v="PL0215"/>
    <s v="nyx_763"/>
    <s v="Nyx"/>
    <s v="Ironveil"/>
    <x v="0"/>
    <x v="0"/>
    <n v="20"/>
    <x v="7"/>
    <x v="1"/>
    <s v="Spear"/>
    <s v="Active"/>
    <x v="206"/>
    <x v="105"/>
    <n v="105"/>
    <n v="32"/>
    <n v="1623"/>
    <n v="1352"/>
    <n v="269"/>
    <x v="200"/>
    <n v="933"/>
    <n v="219"/>
    <n v="76"/>
    <n v="75"/>
    <n v="24232"/>
    <x v="0"/>
    <n v="471"/>
    <s v="Rookie"/>
    <b v="1"/>
    <s v="Excellent"/>
    <s v="Normal"/>
    <s v="Medium"/>
    <s v="Ranger"/>
  </r>
  <r>
    <s v="PL0216"/>
    <s v="nolan_884"/>
    <s v="Nolan"/>
    <s v="Nightfall"/>
    <x v="0"/>
    <x v="8"/>
    <n v="99"/>
    <x v="7"/>
    <x v="0"/>
    <s v="Dagger"/>
    <s v="Banned"/>
    <x v="95"/>
    <x v="106"/>
    <n v="121"/>
    <n v="81"/>
    <n v="1682"/>
    <n v="1789"/>
    <n v="244"/>
    <x v="201"/>
    <n v="789"/>
    <n v="84"/>
    <n v="79"/>
    <n v="3364"/>
    <n v="443523"/>
    <x v="0"/>
    <n v="284"/>
    <s v="Legend"/>
    <b v="0"/>
    <s v="Excellent"/>
    <s v="Normal"/>
    <s v="High"/>
    <s v="Reguler"/>
  </r>
  <r>
    <s v="PL0217"/>
    <s v="faye_786"/>
    <s v="Faye"/>
    <s v="Lightfoot"/>
    <x v="4"/>
    <x v="2"/>
    <n v="52"/>
    <x v="5"/>
    <x v="2"/>
    <s v="Dagger"/>
    <s v="Banned"/>
    <x v="33"/>
    <x v="17"/>
    <n v="17"/>
    <n v="94"/>
    <n v="1152"/>
    <n v="1915"/>
    <n v="223"/>
    <x v="202"/>
    <n v="872"/>
    <n v="51"/>
    <n v="68"/>
    <n v="4090"/>
    <n v="970824"/>
    <x v="1"/>
    <n v="15"/>
    <s v="Elite"/>
    <b v="0"/>
    <s v="Average"/>
    <s v="Normal"/>
    <s v="Medium"/>
    <s v="Elity Spy"/>
  </r>
  <r>
    <s v="PL0218"/>
    <s v="torin_164"/>
    <s v="Torin"/>
    <s v="Dawnrise"/>
    <x v="6"/>
    <x v="8"/>
    <n v="81"/>
    <x v="1"/>
    <x v="2"/>
    <s v="Axe"/>
    <s v="Active"/>
    <x v="207"/>
    <x v="95"/>
    <n v="73"/>
    <n v="25"/>
    <n v="3953"/>
    <n v="491"/>
    <n v="170"/>
    <x v="203"/>
    <n v="484"/>
    <n v="20"/>
    <n v="91"/>
    <n v="803"/>
    <n v="14765"/>
    <x v="0"/>
    <n v="476"/>
    <s v="Legend"/>
    <b v="1"/>
    <s v="Excellent"/>
    <s v="Normal"/>
    <s v="High"/>
    <s v="Reguler"/>
  </r>
  <r>
    <s v="PL0219"/>
    <s v=""/>
    <s v="Nolan"/>
    <s v="Brightblade"/>
    <x v="6"/>
    <x v="6"/>
    <n v="78"/>
    <x v="8"/>
    <x v="4"/>
    <s v="Fists"/>
    <s v="Active"/>
    <x v="208"/>
    <x v="77"/>
    <n v="32"/>
    <n v="82"/>
    <n v="1415"/>
    <n v="2184"/>
    <n v="250"/>
    <x v="204"/>
    <n v="96"/>
    <n v="1"/>
    <n v="79"/>
    <n v="5518"/>
    <n v="423010"/>
    <x v="0"/>
    <n v="296"/>
    <s v="Legend"/>
    <b v="1"/>
    <s v="Excellent"/>
    <s v="Normal"/>
    <s v="High"/>
    <s v="Brawler"/>
  </r>
  <r>
    <s v="PL0220"/>
    <s v="sable_340"/>
    <s v="Sable"/>
    <s v="Flameborn"/>
    <x v="3"/>
    <x v="6"/>
    <n v="52"/>
    <x v="0"/>
    <x v="5"/>
    <s v="Sword"/>
    <s v="Retired"/>
    <x v="209"/>
    <x v="107"/>
    <n v="73"/>
    <m/>
    <n v="1301"/>
    <n v="2704"/>
    <n v="111"/>
    <x v="205"/>
    <n v="1000"/>
    <n v="268"/>
    <n v="62"/>
    <n v="2995"/>
    <n v="944971"/>
    <x v="1"/>
    <n v="24"/>
    <s v="Elite"/>
    <b v="0"/>
    <s v="Average"/>
    <s v="Normal"/>
    <s v="Medium"/>
    <s v="Reguler"/>
  </r>
  <r>
    <s v="PL0221"/>
    <s v="torin_574"/>
    <s v="Torin"/>
    <s v="Stormcall"/>
    <x v="4"/>
    <x v="7"/>
    <n v="87"/>
    <x v="8"/>
    <x v="6"/>
    <s v="Staff"/>
    <s v="Active"/>
    <x v="210"/>
    <x v="90"/>
    <n v="33"/>
    <n v="48"/>
    <n v="910"/>
    <n v="893"/>
    <n v="199"/>
    <x v="206"/>
    <n v="236"/>
    <n v="4"/>
    <n v="87"/>
    <n v="6990"/>
    <n v="932509"/>
    <x v="1"/>
    <n v="32"/>
    <s v="Legend"/>
    <b v="1"/>
    <s v="Excellent"/>
    <s v="Normal"/>
    <s v="Medium"/>
    <s v="Tactician"/>
  </r>
  <r>
    <s v="PL0222"/>
    <s v="ewan_933"/>
    <s v="Ewan"/>
    <s v="Silverbow"/>
    <x v="4"/>
    <x v="2"/>
    <n v="85"/>
    <x v="5"/>
    <x v="5"/>
    <s v="Wand"/>
    <s v="Inactive"/>
    <x v="211"/>
    <x v="107"/>
    <m/>
    <n v="67"/>
    <m/>
    <n v="675"/>
    <n v="138"/>
    <x v="207"/>
    <n v="19"/>
    <n v="73"/>
    <n v="99"/>
    <n v="412"/>
    <n v="13152"/>
    <x v="1"/>
    <n v="479"/>
    <s v="Legend"/>
    <b v="0"/>
    <s v="Excellent"/>
    <s v="Normal"/>
    <s v="Medium"/>
    <s v="Reguler"/>
  </r>
  <r>
    <s v="PL0223"/>
    <s v="torin_444"/>
    <s v="Torin"/>
    <s v="Grimstone"/>
    <x v="3"/>
    <x v="8"/>
    <m/>
    <x v="5"/>
    <x v="0"/>
    <s v="Staff"/>
    <s v="Active"/>
    <x v="212"/>
    <x v="28"/>
    <n v="53"/>
    <n v="31"/>
    <n v="4544"/>
    <n v="1772"/>
    <n v="153"/>
    <x v="208"/>
    <n v="750"/>
    <n v="185"/>
    <n v="79"/>
    <n v="5645"/>
    <n v="889419"/>
    <x v="1"/>
    <n v="57"/>
    <s v="Rookie"/>
    <b v="1"/>
    <s v="Excellent"/>
    <s v="Normal"/>
    <s v="Medium"/>
    <s v="Reguler"/>
  </r>
  <r>
    <s v="PL0224"/>
    <s v="crix_374"/>
    <s v="Crix"/>
    <s v="Nightfall"/>
    <x v="2"/>
    <x v="6"/>
    <n v="3"/>
    <x v="8"/>
    <x v="0"/>
    <s v="Fists"/>
    <s v="Active"/>
    <x v="113"/>
    <x v="18"/>
    <n v="19"/>
    <n v="67"/>
    <n v="2919"/>
    <n v="1189"/>
    <n v="117"/>
    <x v="209"/>
    <n v="499"/>
    <n v="194"/>
    <n v="89"/>
    <n v="7266"/>
    <n v="775298"/>
    <x v="0"/>
    <n v="120"/>
    <s v="Rookie"/>
    <b v="1"/>
    <s v="Excellent"/>
    <s v="Normal"/>
    <s v="Medium"/>
    <s v="Reguler"/>
  </r>
  <r>
    <s v="PL0225"/>
    <s v="ewan_622"/>
    <s v="Ewan"/>
    <s v="Dawnrise"/>
    <x v="1"/>
    <x v="8"/>
    <n v="36"/>
    <x v="4"/>
    <x v="1"/>
    <s v="Spear"/>
    <s v="Banned"/>
    <x v="213"/>
    <x v="72"/>
    <n v="118"/>
    <n v="58"/>
    <m/>
    <n v="83"/>
    <n v="282"/>
    <x v="210"/>
    <n v="451"/>
    <n v="77"/>
    <n v="80"/>
    <n v="3389"/>
    <n v="628131"/>
    <x v="0"/>
    <n v="187"/>
    <s v="Veteran"/>
    <b v="0"/>
    <s v="Excellent"/>
    <s v="Normal"/>
    <s v="Medium"/>
    <s v="Ranger"/>
  </r>
  <r>
    <s v="PL0226"/>
    <s v="quinn_294"/>
    <s v=""/>
    <s v="Wildhorn"/>
    <x v="6"/>
    <x v="8"/>
    <n v="19"/>
    <x v="7"/>
    <x v="1"/>
    <s v="Axe"/>
    <s v="Active"/>
    <x v="92"/>
    <x v="13"/>
    <n v="48"/>
    <n v="31"/>
    <n v="579"/>
    <n v="1819"/>
    <n v="206"/>
    <x v="211"/>
    <n v="832"/>
    <n v="156"/>
    <n v="74"/>
    <n v="8543"/>
    <n v="908971"/>
    <x v="0"/>
    <n v="48"/>
    <s v="Rookie"/>
    <b v="1"/>
    <s v="Excellent"/>
    <s v="Normal"/>
    <s v="Medium"/>
    <s v="Ranger"/>
  </r>
  <r>
    <s v="PL0227"/>
    <s v="aria_690"/>
    <s v="Aria"/>
    <s v="Stoneback"/>
    <x v="0"/>
    <x v="3"/>
    <m/>
    <x v="0"/>
    <x v="1"/>
    <s v="Wand"/>
    <s v="Inactive"/>
    <x v="214"/>
    <x v="108"/>
    <n v="95"/>
    <n v="37"/>
    <n v="3732"/>
    <n v="1595"/>
    <n v="212"/>
    <x v="212"/>
    <n v="332"/>
    <n v="119"/>
    <n v="92"/>
    <n v="9143"/>
    <n v="390035"/>
    <x v="0"/>
    <n v="310"/>
    <s v="Rookie"/>
    <b v="0"/>
    <s v="Excellent"/>
    <s v="Normal"/>
    <s v="Medium"/>
    <s v="Tanker"/>
  </r>
  <r>
    <s v="PL0228"/>
    <s v="vex_681"/>
    <s v="Vex"/>
    <s v="Ironfist"/>
    <x v="6"/>
    <x v="4"/>
    <n v="25"/>
    <x v="3"/>
    <x v="2"/>
    <s v="Sword"/>
    <s v="Active"/>
    <x v="215"/>
    <x v="32"/>
    <n v="90"/>
    <n v="23"/>
    <n v="2761"/>
    <n v="1327"/>
    <n v="142"/>
    <x v="213"/>
    <n v="949"/>
    <n v="159"/>
    <n v="67"/>
    <n v="97"/>
    <n v="853003"/>
    <x v="0"/>
    <n v="76"/>
    <s v="Rookie"/>
    <b v="1"/>
    <s v="Average"/>
    <s v="Normal"/>
    <s v="Medium"/>
    <s v="Reguler"/>
  </r>
  <r>
    <s v="PL0229"/>
    <s v="aiden_874"/>
    <s v="Aiden"/>
    <s v="Nightfall"/>
    <x v="4"/>
    <x v="7"/>
    <n v="18"/>
    <x v="7"/>
    <x v="5"/>
    <s v="Fists"/>
    <s v="Active"/>
    <x v="216"/>
    <x v="109"/>
    <n v="121"/>
    <n v="91"/>
    <n v="1668"/>
    <n v="2156"/>
    <n v="230"/>
    <x v="214"/>
    <n v="74"/>
    <n v="258"/>
    <n v="98"/>
    <n v="3676"/>
    <n v="389624"/>
    <x v="1"/>
    <n v="311"/>
    <s v="Rookie"/>
    <b v="1"/>
    <s v="Excellent"/>
    <s v="Normal"/>
    <s v="Medium"/>
    <s v="Elity Spy"/>
  </r>
  <r>
    <s v="PL0230"/>
    <s v="nyx_235"/>
    <s v="Nyx"/>
    <s v="Shadowstep"/>
    <x v="4"/>
    <x v="0"/>
    <n v="69"/>
    <x v="7"/>
    <x v="2"/>
    <s v="Wand"/>
    <s v="Retired"/>
    <x v="217"/>
    <x v="110"/>
    <n v="73"/>
    <n v="40"/>
    <n v="2390"/>
    <n v="1350"/>
    <n v="180"/>
    <x v="215"/>
    <n v="902"/>
    <n v="198"/>
    <n v="72"/>
    <n v="9151"/>
    <n v="615475"/>
    <x v="0"/>
    <n v="193"/>
    <s v="Elite"/>
    <b v="0"/>
    <s v="Excellent"/>
    <s v="Normal"/>
    <s v="High"/>
    <s v="Reguler"/>
  </r>
  <r>
    <s v="PL0231"/>
    <s v="ewan_272"/>
    <s v="Ewan"/>
    <s v="Coldwater"/>
    <x v="2"/>
    <x v="6"/>
    <n v="77"/>
    <x v="6"/>
    <x v="5"/>
    <s v="Axe"/>
    <s v="Inactive"/>
    <x v="218"/>
    <x v="16"/>
    <n v="63"/>
    <n v="34"/>
    <n v="2571"/>
    <n v="1298"/>
    <n v="107"/>
    <x v="216"/>
    <n v="299"/>
    <n v="269"/>
    <n v="75"/>
    <n v="4669"/>
    <n v="166363"/>
    <x v="1"/>
    <n v="417"/>
    <s v="Legend"/>
    <b v="0"/>
    <s v="Excellent"/>
    <s v="Normal"/>
    <s v="Medium"/>
    <s v="Reguler"/>
  </r>
  <r>
    <s v="PL0232"/>
    <s v="ivan_188"/>
    <s v="Ivan"/>
    <s v="Shadowstep"/>
    <x v="8"/>
    <x v="0"/>
    <n v="90"/>
    <x v="4"/>
    <x v="1"/>
    <s v="Spear"/>
    <s v="Retired"/>
    <x v="219"/>
    <x v="100"/>
    <n v="147"/>
    <n v="29"/>
    <n v="4427"/>
    <n v="251"/>
    <n v="241"/>
    <x v="217"/>
    <n v="604"/>
    <n v="288"/>
    <n v="88"/>
    <n v="846"/>
    <n v="658982"/>
    <x v="0"/>
    <n v="169"/>
    <s v="Legend"/>
    <b v="0"/>
    <s v="Excellent"/>
    <s v="Normal"/>
    <s v="High"/>
    <s v="Tanker"/>
  </r>
  <r>
    <s v="PL0233"/>
    <s v="aiden_245"/>
    <s v="Aiden"/>
    <s v="Ironveil"/>
    <x v="3"/>
    <x v="0"/>
    <n v="62"/>
    <x v="5"/>
    <x v="2"/>
    <s v="Axe"/>
    <s v="Active"/>
    <x v="220"/>
    <x v="26"/>
    <n v="103"/>
    <n v="27"/>
    <m/>
    <n v="1767"/>
    <n v="157"/>
    <x v="218"/>
    <n v="556"/>
    <n v="225"/>
    <n v="89"/>
    <n v="4771"/>
    <n v="458162"/>
    <x v="0"/>
    <n v="272"/>
    <s v="Elite"/>
    <b v="1"/>
    <s v="Excellent"/>
    <s v="Normal"/>
    <s v="High"/>
    <s v="Reguler"/>
  </r>
  <r>
    <s v="PL0234"/>
    <s v="oryn_273"/>
    <s v="Oryn"/>
    <s v="Stormcall"/>
    <x v="0"/>
    <x v="8"/>
    <n v="3"/>
    <x v="3"/>
    <x v="4"/>
    <s v="Spear"/>
    <s v="Inactive"/>
    <x v="221"/>
    <x v="51"/>
    <n v="54"/>
    <n v="36"/>
    <n v="4293"/>
    <n v="540"/>
    <n v="134"/>
    <x v="219"/>
    <n v="668"/>
    <n v="119"/>
    <n v="74"/>
    <n v="2588"/>
    <n v="391910"/>
    <x v="1"/>
    <n v="307"/>
    <s v="Rookie"/>
    <b v="0"/>
    <s v="Excellent"/>
    <s v="Normal"/>
    <s v="Medium"/>
    <s v="Reguler"/>
  </r>
  <r>
    <s v="PL0235"/>
    <s v="leon_250"/>
    <s v="Leon"/>
    <s v="Moonwhisper"/>
    <x v="2"/>
    <x v="2"/>
    <n v="5"/>
    <x v="6"/>
    <x v="5"/>
    <s v="Bow"/>
    <s v="Retired"/>
    <x v="222"/>
    <x v="111"/>
    <n v="99"/>
    <n v="150"/>
    <n v="1473"/>
    <n v="2753"/>
    <n v="338"/>
    <x v="220"/>
    <n v="440"/>
    <n v="280"/>
    <n v="75"/>
    <m/>
    <n v="481027"/>
    <x v="1"/>
    <n v="265"/>
    <s v="Rookie"/>
    <b v="0"/>
    <s v="Excellent"/>
    <s v="Normal"/>
    <s v="Medium"/>
    <s v="Elity Spy"/>
  </r>
  <r>
    <s v="PL0236"/>
    <s v="tilda_491"/>
    <s v="Tilda"/>
    <s v="Dawnrise"/>
    <x v="6"/>
    <x v="1"/>
    <n v="40"/>
    <x v="3"/>
    <x v="0"/>
    <s v="Dagger"/>
    <s v="Active"/>
    <x v="223"/>
    <x v="31"/>
    <n v="137"/>
    <n v="20"/>
    <n v="3412"/>
    <n v="1146"/>
    <n v="190"/>
    <x v="221"/>
    <n v="945"/>
    <n v="118"/>
    <n v="42"/>
    <m/>
    <n v="308899"/>
    <x v="0"/>
    <n v="349"/>
    <s v="Veteran"/>
    <b v="1"/>
    <s v="Average"/>
    <s v="Normal"/>
    <s v="Medium"/>
    <s v="Tanker"/>
  </r>
  <r>
    <s v="PL0237"/>
    <s v="jade_948"/>
    <s v="Jade"/>
    <s v="Flameborn"/>
    <x v="3"/>
    <x v="6"/>
    <n v="53"/>
    <x v="2"/>
    <x v="4"/>
    <s v="Axe"/>
    <s v="Banned"/>
    <x v="36"/>
    <x v="112"/>
    <n v="130"/>
    <n v="90"/>
    <n v="2748"/>
    <n v="56"/>
    <n v="324"/>
    <x v="222"/>
    <n v="846"/>
    <m/>
    <n v="53"/>
    <n v="9867"/>
    <n v="564191"/>
    <x v="1"/>
    <n v="217"/>
    <s v="Elite"/>
    <b v="0"/>
    <s v="Average"/>
    <s v="Normal"/>
    <s v="Medium"/>
    <s v="Elity Spy"/>
  </r>
  <r>
    <s v="PL0238"/>
    <s v="zara_240"/>
    <s v="Zara"/>
    <s v="Ashgrove"/>
    <x v="6"/>
    <x v="8"/>
    <n v="65"/>
    <x v="7"/>
    <x v="2"/>
    <s v="Spear"/>
    <s v="Active"/>
    <x v="54"/>
    <x v="10"/>
    <n v="113"/>
    <n v="120"/>
    <n v="507"/>
    <n v="1803"/>
    <n v="275"/>
    <x v="223"/>
    <n v="555"/>
    <n v="69"/>
    <n v="83"/>
    <n v="1273"/>
    <n v="358582"/>
    <x v="1"/>
    <n v="326"/>
    <s v="Elite"/>
    <b v="1"/>
    <s v="Excellent"/>
    <s v="Normal"/>
    <s v="Medium"/>
    <s v="Elity Spy"/>
  </r>
  <r>
    <s v="PL0239"/>
    <s v="jade_123"/>
    <s v="Jade"/>
    <s v="Brightblade"/>
    <x v="1"/>
    <x v="7"/>
    <n v="98"/>
    <x v="7"/>
    <x v="0"/>
    <s v="Staff"/>
    <s v="Active"/>
    <x v="224"/>
    <x v="113"/>
    <n v="62"/>
    <n v="93"/>
    <n v="3874"/>
    <n v="1430"/>
    <m/>
    <x v="224"/>
    <n v="462"/>
    <n v="160"/>
    <n v="73"/>
    <n v="1795"/>
    <n v="553891"/>
    <x v="1"/>
    <n v="222"/>
    <s v="Legend"/>
    <b v="1"/>
    <s v="Excellent"/>
    <s v="Normal"/>
    <s v="Medium"/>
    <s v="Elity Spy"/>
  </r>
  <r>
    <s v="PL0240"/>
    <s v="brix_381"/>
    <s v="Brix"/>
    <s v="Swiftwind"/>
    <x v="8"/>
    <x v="0"/>
    <n v="79"/>
    <x v="3"/>
    <x v="3"/>
    <s v="Dagger"/>
    <s v="Active"/>
    <x v="225"/>
    <x v="45"/>
    <n v="57"/>
    <n v="34"/>
    <n v="3711"/>
    <n v="2141"/>
    <n v="194"/>
    <x v="225"/>
    <n v="487"/>
    <n v="270"/>
    <n v="78"/>
    <n v="356"/>
    <n v="395769"/>
    <x v="1"/>
    <n v="305"/>
    <s v="Legend"/>
    <b v="1"/>
    <s v="Excellent"/>
    <s v="Normal"/>
    <s v="Medium"/>
    <s v="Reguler"/>
  </r>
  <r>
    <s v="PL0241"/>
    <s v="faye_640"/>
    <s v="Faye"/>
    <s v="Ironveil"/>
    <x v="8"/>
    <x v="7"/>
    <m/>
    <x v="1"/>
    <x v="2"/>
    <s v="Dagger"/>
    <s v="Retired"/>
    <x v="226"/>
    <x v="17"/>
    <m/>
    <n v="20"/>
    <n v="104"/>
    <n v="1853"/>
    <n v="205"/>
    <x v="36"/>
    <n v="607"/>
    <n v="136"/>
    <n v="89"/>
    <n v="3454"/>
    <n v="534067"/>
    <x v="0"/>
    <n v="234"/>
    <s v="Rookie"/>
    <b v="0"/>
    <s v="Excellent"/>
    <s v="Normal"/>
    <s v="Medium"/>
    <s v="Reguler"/>
  </r>
  <r>
    <s v="PL0242"/>
    <s v="grim_929"/>
    <s v="Grim"/>
    <s v="Flameborn"/>
    <x v="3"/>
    <x v="6"/>
    <n v="71"/>
    <x v="0"/>
    <x v="2"/>
    <s v="Wand"/>
    <s v="Active"/>
    <x v="227"/>
    <x v="114"/>
    <n v="16"/>
    <n v="81"/>
    <n v="919"/>
    <n v="1231"/>
    <m/>
    <x v="226"/>
    <n v="234"/>
    <n v="265"/>
    <n v="65"/>
    <n v="2992"/>
    <n v="199651"/>
    <x v="1"/>
    <n v="401"/>
    <s v="Elite"/>
    <b v="1"/>
    <s v="Average"/>
    <s v="Normal"/>
    <s v="Medium"/>
    <s v="Brawler"/>
  </r>
  <r>
    <s v="PL0243"/>
    <s v="nolan_879"/>
    <s v="Nolan"/>
    <s v="Dawnrise"/>
    <x v="7"/>
    <x v="0"/>
    <n v="44"/>
    <x v="2"/>
    <x v="5"/>
    <s v="Dagger"/>
    <s v="Active"/>
    <x v="228"/>
    <x v="106"/>
    <n v="97"/>
    <n v="41"/>
    <n v="1346"/>
    <n v="188"/>
    <n v="180"/>
    <x v="227"/>
    <n v="321"/>
    <n v="285"/>
    <n v="60"/>
    <n v="5772"/>
    <n v="866667"/>
    <x v="0"/>
    <n v="63"/>
    <s v="Veteran"/>
    <b v="1"/>
    <s v="Average"/>
    <s v="Normal"/>
    <s v="Medium"/>
    <s v="Reguler"/>
  </r>
  <r>
    <s v="PL0244"/>
    <s v="aldric_224"/>
    <s v="Aldric"/>
    <s v="Ashgrove"/>
    <x v="8"/>
    <x v="2"/>
    <n v="91"/>
    <x v="8"/>
    <x v="2"/>
    <s v="Bow"/>
    <s v="Banned"/>
    <x v="229"/>
    <x v="10"/>
    <n v="110"/>
    <n v="138"/>
    <n v="430"/>
    <n v="549"/>
    <n v="307"/>
    <x v="228"/>
    <n v="426"/>
    <n v="52"/>
    <n v="91"/>
    <n v="1922"/>
    <n v="920045"/>
    <x v="1"/>
    <n v="41"/>
    <s v="Legend"/>
    <b v="0"/>
    <s v="Excellent"/>
    <s v="Normal"/>
    <s v="Medium"/>
    <s v="Elity Spy"/>
  </r>
  <r>
    <s v="PL0245"/>
    <s v="mira_830"/>
    <s v="Mira"/>
    <s v="Dawnrise"/>
    <x v="7"/>
    <x v="4"/>
    <n v="73"/>
    <x v="1"/>
    <x v="2"/>
    <s v="Spear"/>
    <s v=""/>
    <x v="230"/>
    <x v="13"/>
    <n v="18"/>
    <n v="130"/>
    <n v="2474"/>
    <m/>
    <n v="275"/>
    <x v="189"/>
    <n v="715"/>
    <n v="7"/>
    <n v="19"/>
    <n v="2728"/>
    <n v="727780"/>
    <x v="1"/>
    <n v="138"/>
    <s v="Elite"/>
    <b v="0"/>
    <s v="Poor"/>
    <s v="Normal"/>
    <s v="Medium"/>
    <s v="Elity Spy"/>
  </r>
  <r>
    <s v="PL0246"/>
    <s v="hana_632"/>
    <s v="Hana"/>
    <s v="Dawnrise"/>
    <x v="6"/>
    <x v="6"/>
    <n v="73"/>
    <x v="7"/>
    <x v="1"/>
    <s v="Sword"/>
    <s v="Active"/>
    <x v="231"/>
    <x v="72"/>
    <n v="59"/>
    <n v="39"/>
    <n v="2993"/>
    <n v="55"/>
    <n v="204"/>
    <x v="229"/>
    <n v="77"/>
    <n v="1"/>
    <n v="96"/>
    <n v="6212"/>
    <n v="545938"/>
    <x v="1"/>
    <n v="230"/>
    <s v="Elite"/>
    <b v="1"/>
    <s v="Excellent"/>
    <s v="Normal"/>
    <s v="Medium"/>
    <s v="Ranger"/>
  </r>
  <r>
    <s v="PL0247"/>
    <s v="selene_602"/>
    <s v="Selene"/>
    <s v="Flameborn"/>
    <x v="8"/>
    <x v="0"/>
    <n v="36"/>
    <x v="3"/>
    <x v="6"/>
    <s v="Axe"/>
    <s v="Banned"/>
    <x v="232"/>
    <x v="2"/>
    <n v="99"/>
    <n v="142"/>
    <n v="3033"/>
    <n v="767"/>
    <n v="333"/>
    <x v="230"/>
    <n v="893"/>
    <n v="32"/>
    <n v="77"/>
    <n v="1113"/>
    <n v="317742"/>
    <x v="0"/>
    <n v="347"/>
    <s v="Veteran"/>
    <b v="0"/>
    <s v="Excellent"/>
    <s v="Normal"/>
    <s v="Medium"/>
    <s v="Tactician"/>
  </r>
  <r>
    <s v="PL0248"/>
    <s v="FREYA_322"/>
    <s v="Freya"/>
    <s v="Stoneback"/>
    <x v="6"/>
    <x v="4"/>
    <n v="29"/>
    <x v="1"/>
    <x v="6"/>
    <s v="Dagger"/>
    <s v="Active"/>
    <x v="209"/>
    <x v="91"/>
    <n v="16"/>
    <n v="85"/>
    <n v="1860"/>
    <n v="1686"/>
    <n v="191"/>
    <x v="231"/>
    <n v="656"/>
    <m/>
    <n v="88"/>
    <n v="5628"/>
    <n v="638655"/>
    <x v="1"/>
    <n v="180"/>
    <s v="Veteran"/>
    <b v="1"/>
    <s v="Excellent"/>
    <s v="Normal"/>
    <s v="Medium"/>
    <s v="Tactician"/>
  </r>
  <r>
    <s v="PL0249"/>
    <s v="mira_929"/>
    <s v="Mira"/>
    <s v="Stormcall"/>
    <x v="8"/>
    <x v="2"/>
    <n v="8"/>
    <x v="7"/>
    <x v="2"/>
    <s v="Axe"/>
    <s v="Inactive"/>
    <x v="233"/>
    <x v="113"/>
    <n v="65"/>
    <n v="51"/>
    <n v="4938"/>
    <n v="1058"/>
    <n v="168"/>
    <x v="232"/>
    <n v="123"/>
    <n v="279"/>
    <n v="97"/>
    <n v="5305"/>
    <n v="829403"/>
    <x v="1"/>
    <n v="88"/>
    <s v="Rookie"/>
    <b v="0"/>
    <s v="Excellent"/>
    <s v="Normal"/>
    <s v="Medium"/>
    <s v="Reguler"/>
  </r>
  <r>
    <s v="PL0250"/>
    <s v="hana_932"/>
    <s v="Hana"/>
    <s v="Lightfoot"/>
    <x v="6"/>
    <x v="1"/>
    <n v="43"/>
    <x v="1"/>
    <x v="6"/>
    <s v="Spear"/>
    <s v="Retired"/>
    <x v="234"/>
    <x v="28"/>
    <n v="117"/>
    <n v="147"/>
    <n v="2283"/>
    <n v="2381"/>
    <n v="333"/>
    <x v="233"/>
    <n v="600"/>
    <n v="218"/>
    <n v="88"/>
    <n v="3959"/>
    <n v="549104"/>
    <x v="1"/>
    <n v="227"/>
    <s v="Veteran"/>
    <b v="0"/>
    <s v="Excellent"/>
    <s v="Normal"/>
    <s v="Medium"/>
    <s v="Tactician"/>
  </r>
  <r>
    <s v="PL0251"/>
    <s v="faye_238"/>
    <s v="Faye"/>
    <s v="Ironfist"/>
    <x v="6"/>
    <x v="6"/>
    <n v="52"/>
    <x v="8"/>
    <x v="0"/>
    <s v="Spear"/>
    <s v="Inactive"/>
    <x v="235"/>
    <x v="56"/>
    <n v="61"/>
    <n v="91"/>
    <n v="567"/>
    <n v="2837"/>
    <m/>
    <x v="234"/>
    <n v="856"/>
    <n v="262"/>
    <n v="72"/>
    <n v="638"/>
    <n v="750024"/>
    <x v="1"/>
    <n v="130"/>
    <s v="Elite"/>
    <b v="0"/>
    <s v="Excellent"/>
    <s v="Normal"/>
    <s v="Medium"/>
    <s v="Elity Spy"/>
  </r>
  <r>
    <s v="PL0252"/>
    <s v="tara_342"/>
    <s v="Tara"/>
    <s v="Stormcall"/>
    <x v="8"/>
    <x v="6"/>
    <n v="94"/>
    <x v="0"/>
    <x v="1"/>
    <s v="Spear"/>
    <s v="Active"/>
    <x v="236"/>
    <x v="110"/>
    <n v="124"/>
    <n v="101"/>
    <n v="4677"/>
    <n v="1302"/>
    <n v="292"/>
    <x v="92"/>
    <n v="696"/>
    <n v="261"/>
    <n v="79"/>
    <n v="8138"/>
    <n v="167049"/>
    <x v="1"/>
    <n v="416"/>
    <s v="Legend"/>
    <b v="1"/>
    <s v="Excellent"/>
    <s v="Normal"/>
    <s v="Medium"/>
    <s v="Elity Spy"/>
  </r>
  <r>
    <s v="PL0253"/>
    <s v="tara_818"/>
    <s v="Tara"/>
    <s v="Dawnrise"/>
    <x v="7"/>
    <x v="7"/>
    <n v="86"/>
    <x v="1"/>
    <x v="6"/>
    <s v="Staff"/>
    <s v="Retired"/>
    <x v="237"/>
    <x v="51"/>
    <n v="74"/>
    <n v="14"/>
    <n v="4938"/>
    <n v="2221"/>
    <n v="132"/>
    <x v="235"/>
    <n v="58"/>
    <n v="73"/>
    <n v="66"/>
    <n v="1252"/>
    <n v="14041"/>
    <x v="0"/>
    <n v="477"/>
    <s v="Legend"/>
    <b v="0"/>
    <s v="Average"/>
    <s v="Normal"/>
    <s v="Medium"/>
    <s v="Tactician"/>
  </r>
  <r>
    <s v="PL0254"/>
    <s v="elara_524"/>
    <s v="Elara"/>
    <s v="Frostborn"/>
    <x v="7"/>
    <x v="6"/>
    <n v="60"/>
    <x v="1"/>
    <x v="2"/>
    <s v="Wand"/>
    <s v="Inactive"/>
    <x v="238"/>
    <x v="24"/>
    <n v="62"/>
    <n v="114"/>
    <n v="4651"/>
    <n v="1200"/>
    <n v="286"/>
    <x v="236"/>
    <n v="836"/>
    <n v="240"/>
    <n v="80"/>
    <n v="1152"/>
    <n v="471998"/>
    <x v="0"/>
    <n v="269"/>
    <s v="Elite"/>
    <b v="0"/>
    <s v="Excellent"/>
    <s v="Normal"/>
    <s v="High"/>
    <s v="Elity Spy"/>
  </r>
  <r>
    <s v="PL0255"/>
    <s v="rosa_509"/>
    <s v="Rosa"/>
    <s v="Ashgrove"/>
    <x v="0"/>
    <x v="8"/>
    <n v="100"/>
    <x v="0"/>
    <x v="1"/>
    <s v="Sword"/>
    <s v="Inactive"/>
    <x v="239"/>
    <x v="2"/>
    <n v="57"/>
    <n v="82"/>
    <n v="2714"/>
    <n v="861"/>
    <n v="231"/>
    <x v="237"/>
    <n v="983"/>
    <n v="96"/>
    <n v="70"/>
    <n v="8345"/>
    <n v="983925"/>
    <x v="1"/>
    <n v="9"/>
    <s v="Legend"/>
    <b v="0"/>
    <s v="Average"/>
    <s v="Normal"/>
    <s v="Medium"/>
    <s v="Brawler"/>
  </r>
  <r>
    <s v="PL0256"/>
    <s v="aiden_468"/>
    <s v="Aiden"/>
    <s v="Ashgrove"/>
    <x v="6"/>
    <x v="6"/>
    <n v="98"/>
    <x v="5"/>
    <x v="0"/>
    <s v="Staff"/>
    <s v="Retired"/>
    <x v="240"/>
    <x v="23"/>
    <n v="123"/>
    <n v="123"/>
    <n v="3813"/>
    <n v="1352"/>
    <n v="283"/>
    <x v="238"/>
    <n v="357"/>
    <n v="161"/>
    <n v="92"/>
    <n v="5165"/>
    <n v="825559"/>
    <x v="1"/>
    <n v="90"/>
    <s v="Legend"/>
    <b v="0"/>
    <s v="Excellent"/>
    <s v="Normal"/>
    <s v="Medium"/>
    <s v="Elity Spy"/>
  </r>
  <r>
    <s v="PL0257"/>
    <s v="yara_300"/>
    <s v="Yara"/>
    <s v="Frostborn"/>
    <x v="8"/>
    <x v="6"/>
    <n v="39"/>
    <x v="0"/>
    <x v="1"/>
    <s v="Wand"/>
    <s v="Retired"/>
    <x v="4"/>
    <x v="102"/>
    <n v="17"/>
    <n v="42"/>
    <n v="2896"/>
    <n v="931"/>
    <n v="175"/>
    <x v="239"/>
    <n v="230"/>
    <n v="241"/>
    <n v="95"/>
    <n v="9676"/>
    <n v="665155"/>
    <x v="1"/>
    <n v="167"/>
    <s v="Veteran"/>
    <b v="0"/>
    <s v="Excellent"/>
    <s v="Normal"/>
    <s v="Medium"/>
    <s v="Ranger"/>
  </r>
  <r>
    <s v="PL0258"/>
    <s v=""/>
    <s v="Leon"/>
    <s v="Emberveil"/>
    <x v="1"/>
    <x v="8"/>
    <n v="99"/>
    <x v="4"/>
    <x v="0"/>
    <s v="Dagger"/>
    <s v="Active"/>
    <x v="241"/>
    <x v="1"/>
    <n v="17"/>
    <n v="131"/>
    <n v="3145"/>
    <n v="636"/>
    <n v="236"/>
    <x v="240"/>
    <n v="119"/>
    <n v="290"/>
    <n v="97"/>
    <n v="507"/>
    <n v="265150"/>
    <x v="0"/>
    <n v="369"/>
    <s v="Legend"/>
    <b v="1"/>
    <s v="Excellent"/>
    <s v="Normal"/>
    <s v="High"/>
    <s v="Elity Spy"/>
  </r>
  <r>
    <s v="PL0259"/>
    <s v="freya_489"/>
    <s v="Freya"/>
    <s v="Coldwater"/>
    <x v="3"/>
    <x v="7"/>
    <n v="25"/>
    <x v="8"/>
    <x v="6"/>
    <s v="Sword"/>
    <s v="Active"/>
    <x v="242"/>
    <x v="10"/>
    <n v="15"/>
    <n v="22"/>
    <n v="1872"/>
    <m/>
    <n v="138"/>
    <x v="241"/>
    <n v="688"/>
    <n v="115"/>
    <n v="76"/>
    <n v="431"/>
    <n v="640313"/>
    <x v="0"/>
    <n v="179"/>
    <s v="Rookie"/>
    <b v="1"/>
    <s v="Excellent"/>
    <s v="Normal"/>
    <s v="Medium"/>
    <s v="Tactician"/>
  </r>
  <r>
    <s v="PL0260"/>
    <s v="mora_652"/>
    <s v="Mora"/>
    <s v="Swiftwind"/>
    <x v="3"/>
    <x v="7"/>
    <n v="28"/>
    <x v="3"/>
    <x v="2"/>
    <s v="Dagger"/>
    <s v="Active"/>
    <x v="243"/>
    <x v="61"/>
    <n v="134"/>
    <n v="122"/>
    <n v="3205"/>
    <n v="259"/>
    <n v="286"/>
    <x v="242"/>
    <n v="763"/>
    <n v="175"/>
    <n v="71"/>
    <n v="8333"/>
    <n v="363316"/>
    <x v="1"/>
    <n v="322"/>
    <s v="Veteran"/>
    <b v="1"/>
    <s v="Excellent"/>
    <s v="Normal"/>
    <s v="Medium"/>
    <s v="Elity Spy"/>
  </r>
  <r>
    <s v="PL0261"/>
    <s v="grim_687"/>
    <s v="Grim"/>
    <s v="Grimstone"/>
    <x v="3"/>
    <x v="2"/>
    <n v="97"/>
    <x v="8"/>
    <x v="0"/>
    <s v="Wand"/>
    <s v="Active"/>
    <x v="244"/>
    <x v="10"/>
    <n v="16"/>
    <n v="96"/>
    <n v="3659"/>
    <n v="2962"/>
    <n v="162"/>
    <x v="243"/>
    <n v="725"/>
    <n v="17"/>
    <n v="87"/>
    <n v="448"/>
    <n v="791695"/>
    <x v="0"/>
    <n v="111"/>
    <s v="Legend"/>
    <b v="1"/>
    <s v="Excellent"/>
    <s v="Normal"/>
    <s v="High"/>
    <s v="Elity Spy"/>
  </r>
  <r>
    <s v="PL0262"/>
    <s v="aria_135"/>
    <s v="Aria"/>
    <s v="Silverbow"/>
    <x v="1"/>
    <x v="0"/>
    <n v="97"/>
    <x v="2"/>
    <x v="5"/>
    <s v="Bow"/>
    <s v="Inactive"/>
    <x v="245"/>
    <x v="65"/>
    <n v="41"/>
    <n v="136"/>
    <n v="4227"/>
    <n v="2030"/>
    <n v="299"/>
    <x v="244"/>
    <n v="4"/>
    <n v="105"/>
    <n v="100"/>
    <n v="8081"/>
    <n v="669537"/>
    <x v="0"/>
    <n v="164"/>
    <s v="Legend"/>
    <b v="0"/>
    <s v="Excellent"/>
    <s v="Normal"/>
    <s v="High"/>
    <s v="Elity Spy"/>
  </r>
  <r>
    <s v="PL0263"/>
    <s v="nolan_651"/>
    <s v="Nolan"/>
    <s v="Silverbow"/>
    <x v="8"/>
    <x v="3"/>
    <n v="5"/>
    <x v="8"/>
    <x v="6"/>
    <s v="Sword"/>
    <s v="Inactive"/>
    <x v="105"/>
    <x v="115"/>
    <n v="42"/>
    <n v="33"/>
    <n v="1300"/>
    <n v="756"/>
    <n v="139"/>
    <x v="245"/>
    <n v="685"/>
    <n v="55"/>
    <n v="60"/>
    <n v="6958"/>
    <n v="133954"/>
    <x v="1"/>
    <n v="426"/>
    <s v="Rookie"/>
    <b v="0"/>
    <s v="Average"/>
    <s v="Normal"/>
    <s v="Low"/>
    <s v="Tactician"/>
  </r>
  <r>
    <s v="PL0264"/>
    <s v="leon_260"/>
    <s v="Leon"/>
    <s v="Dawnrise"/>
    <x v="4"/>
    <x v="0"/>
    <n v="91"/>
    <x v="8"/>
    <x v="2"/>
    <s v="Axe"/>
    <s v="Inactive"/>
    <x v="246"/>
    <x v="13"/>
    <n v="43"/>
    <n v="47"/>
    <n v="1121"/>
    <n v="667"/>
    <n v="217"/>
    <x v="246"/>
    <n v="544"/>
    <n v="113"/>
    <n v="87"/>
    <n v="4794"/>
    <n v="398427"/>
    <x v="1"/>
    <n v="303"/>
    <s v="Legend"/>
    <b v="0"/>
    <s v="Excellent"/>
    <s v="Normal"/>
    <s v="Medium"/>
    <s v="Reguler"/>
  </r>
  <r>
    <s v="PL0265"/>
    <s v="aiden_520"/>
    <s v="Aiden"/>
    <s v="Bloodthorn"/>
    <x v="3"/>
    <x v="3"/>
    <n v="9"/>
    <x v="8"/>
    <x v="1"/>
    <s v="Dagger"/>
    <s v="Retired"/>
    <x v="247"/>
    <x v="116"/>
    <n v="45"/>
    <n v="124"/>
    <n v="2030"/>
    <n v="2894"/>
    <n v="203"/>
    <x v="247"/>
    <n v="652"/>
    <n v="4"/>
    <n v="86"/>
    <n v="1392"/>
    <n v="229024"/>
    <x v="0"/>
    <n v="384"/>
    <s v="Rookie"/>
    <b v="0"/>
    <s v="Excellent"/>
    <s v="Normal"/>
    <s v="Medium"/>
    <s v="Elity Spy"/>
  </r>
  <r>
    <s v="PL0266"/>
    <s v=""/>
    <s v="Mora"/>
    <s v="Goldweave"/>
    <x v="3"/>
    <x v="4"/>
    <n v="93"/>
    <x v="3"/>
    <x v="0"/>
    <s v="Staff"/>
    <s v="Active"/>
    <x v="248"/>
    <x v="117"/>
    <n v="104"/>
    <n v="87"/>
    <n v="2995"/>
    <n v="2129"/>
    <n v="212"/>
    <x v="248"/>
    <n v="851"/>
    <n v="242"/>
    <n v="70"/>
    <n v="1736"/>
    <n v="793350"/>
    <x v="0"/>
    <n v="110"/>
    <s v="Legend"/>
    <b v="1"/>
    <s v="Average"/>
    <s v="Normal"/>
    <s v="Medium"/>
    <s v="Elity Spy"/>
  </r>
  <r>
    <s v="PL0267"/>
    <s v="yara_225"/>
    <s v="Yara"/>
    <s v="Frostborn"/>
    <x v="4"/>
    <x v="1"/>
    <n v="61"/>
    <x v="8"/>
    <x v="2"/>
    <s v="Dagger"/>
    <s v="Active"/>
    <x v="249"/>
    <x v="79"/>
    <n v="52"/>
    <n v="19"/>
    <n v="3934"/>
    <n v="1361"/>
    <n v="116"/>
    <x v="249"/>
    <n v="203"/>
    <n v="197"/>
    <n v="90"/>
    <n v="6882"/>
    <n v="507088"/>
    <x v="0"/>
    <n v="247"/>
    <s v="Elite"/>
    <b v="1"/>
    <s v="Excellent"/>
    <s v="Normal"/>
    <s v="High"/>
    <s v="Reguler"/>
  </r>
  <r>
    <s v="PL0268"/>
    <s v="finn_809"/>
    <s v="Finn"/>
    <s v="Stoneback"/>
    <x v="5"/>
    <x v="2"/>
    <n v="78"/>
    <x v="1"/>
    <x v="3"/>
    <s v="Sword"/>
    <s v="Banned"/>
    <x v="250"/>
    <x v="79"/>
    <n v="127"/>
    <n v="57"/>
    <n v="2040"/>
    <n v="1198"/>
    <n v="229"/>
    <x v="250"/>
    <n v="391"/>
    <n v="139"/>
    <n v="71"/>
    <n v="8009"/>
    <n v="169744"/>
    <x v="1"/>
    <n v="415"/>
    <s v="Legend"/>
    <b v="0"/>
    <s v="Excellent"/>
    <s v="Normal"/>
    <s v="Medium"/>
    <s v="Reguler"/>
  </r>
  <r>
    <s v="PL0269"/>
    <s v="FREYA_323"/>
    <s v="Freya"/>
    <s v="Ravencrest"/>
    <x v="4"/>
    <x v="7"/>
    <n v="32"/>
    <x v="5"/>
    <x v="0"/>
    <s v="Wand"/>
    <s v=""/>
    <x v="251"/>
    <x v="41"/>
    <n v="94"/>
    <n v="39"/>
    <n v="888"/>
    <n v="2780"/>
    <n v="253"/>
    <x v="251"/>
    <n v="63"/>
    <n v="255"/>
    <n v="91"/>
    <n v="9058"/>
    <n v="419076"/>
    <x v="0"/>
    <n v="298"/>
    <s v="Veteran"/>
    <b v="0"/>
    <s v="Excellent"/>
    <s v="Normal"/>
    <s v="Medium"/>
    <s v="Reguler"/>
  </r>
  <r>
    <s v="PL0270"/>
    <s v="leon_740"/>
    <s v="Leon"/>
    <s v="Brightblade"/>
    <x v="0"/>
    <x v="0"/>
    <n v="66"/>
    <x v="5"/>
    <x v="1"/>
    <s v="Axe"/>
    <s v="Active"/>
    <x v="252"/>
    <x v="101"/>
    <n v="111"/>
    <n v="82"/>
    <n v="2929"/>
    <n v="656"/>
    <n v="334"/>
    <x v="252"/>
    <n v="678"/>
    <n v="277"/>
    <n v="80"/>
    <n v="2366"/>
    <n v="23695"/>
    <x v="0"/>
    <n v="472"/>
    <s v="Elite"/>
    <b v="1"/>
    <s v="Excellent"/>
    <s v="Normal"/>
    <s v="High"/>
    <s v="Brawler"/>
  </r>
  <r>
    <s v="PL0271"/>
    <s v="ELARA_387"/>
    <s v="Elara"/>
    <s v="Silverbow"/>
    <x v="1"/>
    <x v="3"/>
    <n v="46"/>
    <x v="4"/>
    <x v="0"/>
    <s v="Fists"/>
    <s v="Active"/>
    <x v="253"/>
    <x v="21"/>
    <n v="100"/>
    <n v="38"/>
    <n v="1994"/>
    <n v="1472"/>
    <n v="278"/>
    <x v="253"/>
    <n v="175"/>
    <n v="12"/>
    <n v="96"/>
    <n v="2290"/>
    <n v="472838"/>
    <x v="0"/>
    <n v="268"/>
    <s v="Veteran"/>
    <b v="1"/>
    <s v="Excellent"/>
    <s v="Normal"/>
    <s v="Medium"/>
    <s v="Reguler"/>
  </r>
  <r>
    <s v="PL0272"/>
    <s v="torin_664"/>
    <s v="Torin"/>
    <s v="Wolfsbane"/>
    <x v="7"/>
    <x v="2"/>
    <n v="6"/>
    <x v="3"/>
    <x v="2"/>
    <s v="Sword"/>
    <s v="Active"/>
    <x v="254"/>
    <x v="80"/>
    <n v="44"/>
    <n v="74"/>
    <n v="3953"/>
    <n v="724"/>
    <n v="199"/>
    <x v="254"/>
    <n v="242"/>
    <n v="155"/>
    <n v="72"/>
    <n v="100"/>
    <n v="489166"/>
    <x v="0"/>
    <n v="259"/>
    <s v="Rookie"/>
    <b v="1"/>
    <s v="Excellent"/>
    <s v="Normal"/>
    <s v="Medium"/>
    <s v="Reguler"/>
  </r>
  <r>
    <s v="PL0273"/>
    <s v="aria_373"/>
    <s v="Aria"/>
    <s v="Coldwater"/>
    <x v="4"/>
    <x v="2"/>
    <n v="18"/>
    <x v="5"/>
    <x v="2"/>
    <s v="Spear"/>
    <s v="Active"/>
    <x v="255"/>
    <x v="83"/>
    <n v="99"/>
    <n v="90"/>
    <n v="3765"/>
    <n v="223"/>
    <n v="264"/>
    <x v="255"/>
    <n v="147"/>
    <n v="43"/>
    <n v="90"/>
    <n v="72"/>
    <n v="488931"/>
    <x v="1"/>
    <n v="260"/>
    <s v="Rookie"/>
    <b v="1"/>
    <s v="Excellent"/>
    <s v="Normal"/>
    <s v="Medium"/>
    <s v="Elity Spy"/>
  </r>
  <r>
    <s v="PL0274"/>
    <s v="jade_383"/>
    <s v="Jade"/>
    <s v="Ashgrove"/>
    <x v="3"/>
    <x v="8"/>
    <n v="73"/>
    <x v="8"/>
    <x v="5"/>
    <s v="Sword"/>
    <s v="Retired"/>
    <x v="202"/>
    <x v="118"/>
    <n v="50"/>
    <n v="127"/>
    <n v="2240"/>
    <n v="200"/>
    <m/>
    <x v="256"/>
    <n v="197"/>
    <n v="155"/>
    <n v="0"/>
    <n v="6078"/>
    <n v="10036"/>
    <x v="1"/>
    <n v="480"/>
    <s v="Elite"/>
    <b v="0"/>
    <s v="Poor"/>
    <s v="Normal"/>
    <s v="Medium"/>
    <s v="Elity Spy"/>
  </r>
  <r>
    <s v="PL0275"/>
    <s v="aldric_161"/>
    <s v="Aldric"/>
    <s v="Moonwhisper"/>
    <x v="4"/>
    <x v="6"/>
    <n v="27"/>
    <x v="3"/>
    <x v="3"/>
    <s v="Spear"/>
    <s v="Retired"/>
    <x v="256"/>
    <x v="105"/>
    <n v="27"/>
    <n v="13"/>
    <n v="1837"/>
    <n v="508"/>
    <n v="172"/>
    <x v="257"/>
    <n v="357"/>
    <n v="30"/>
    <n v="26"/>
    <n v="6236"/>
    <n v="687305"/>
    <x v="0"/>
    <n v="157"/>
    <s v="Veteran"/>
    <b v="0"/>
    <s v="Poor"/>
    <s v="Normal"/>
    <s v="Medium"/>
    <s v="Reguler"/>
  </r>
  <r>
    <s v="PL0276"/>
    <s v="oryn_212"/>
    <s v="Oryn"/>
    <s v="Dawnrise"/>
    <x v="3"/>
    <x v="8"/>
    <n v="63"/>
    <x v="7"/>
    <x v="5"/>
    <s v="Axe"/>
    <s v="Active"/>
    <x v="257"/>
    <x v="69"/>
    <n v="78"/>
    <n v="102"/>
    <n v="3460"/>
    <n v="1443"/>
    <n v="287"/>
    <x v="258"/>
    <n v="2"/>
    <n v="115"/>
    <n v="100"/>
    <n v="814"/>
    <n v="484521"/>
    <x v="0"/>
    <n v="263"/>
    <s v="Elite"/>
    <b v="1"/>
    <s v="Excellent"/>
    <s v="Normal"/>
    <s v="High"/>
    <s v="Elity Spy"/>
  </r>
  <r>
    <s v="PL0277"/>
    <s v="drak_454"/>
    <s v="Drak"/>
    <s v="Nightfall"/>
    <x v="3"/>
    <x v="2"/>
    <n v="47"/>
    <x v="1"/>
    <x v="6"/>
    <s v="Fists"/>
    <s v="Retired"/>
    <x v="258"/>
    <x v="108"/>
    <n v="20"/>
    <n v="14"/>
    <n v="4110"/>
    <n v="2391"/>
    <n v="114"/>
    <x v="259"/>
    <n v="625"/>
    <n v="139"/>
    <n v="82"/>
    <n v="3655"/>
    <n v="581073"/>
    <x v="1"/>
    <n v="211"/>
    <s v="Veteran"/>
    <b v="0"/>
    <s v="Excellent"/>
    <s v="Normal"/>
    <s v="Medium"/>
    <s v="Tactician"/>
  </r>
  <r>
    <s v="PL0278"/>
    <s v="kira_261"/>
    <s v="Kira"/>
    <s v="Ashgrove"/>
    <x v="7"/>
    <x v="1"/>
    <n v="96"/>
    <x v="0"/>
    <x v="3"/>
    <s v="Bow"/>
    <s v="Retired"/>
    <x v="259"/>
    <x v="18"/>
    <n v="119"/>
    <n v="70"/>
    <n v="459"/>
    <n v="794"/>
    <n v="220"/>
    <x v="260"/>
    <n v="467"/>
    <n v="213"/>
    <n v="37"/>
    <n v="3225"/>
    <n v="697160"/>
    <x v="1"/>
    <n v="152"/>
    <s v="Legend"/>
    <b v="0"/>
    <s v="Poor"/>
    <s v="Normal"/>
    <s v="Medium"/>
    <s v="Reguler"/>
  </r>
  <r>
    <s v="PL0279"/>
    <s v="drak_618"/>
    <s v="Drak"/>
    <s v="Wildhorn"/>
    <x v="6"/>
    <x v="8"/>
    <n v="10"/>
    <x v="5"/>
    <x v="5"/>
    <s v="Bow"/>
    <s v="Retired"/>
    <x v="164"/>
    <x v="88"/>
    <n v="11"/>
    <n v="31"/>
    <n v="4844"/>
    <n v="1673"/>
    <n v="176"/>
    <x v="261"/>
    <n v="500"/>
    <m/>
    <n v="90"/>
    <n v="4693"/>
    <n v="94453"/>
    <x v="1"/>
    <n v="442"/>
    <s v="Rookie"/>
    <b v="0"/>
    <s v="Excellent"/>
    <s v="Normal"/>
    <s v="Medium"/>
    <s v="Reguler"/>
  </r>
  <r>
    <s v="PL0280"/>
    <s v="gareth_792"/>
    <s v="Gareth"/>
    <s v="Stormcall"/>
    <x v="0"/>
    <x v="2"/>
    <n v="55"/>
    <x v="3"/>
    <x v="3"/>
    <s v="Axe"/>
    <s v="Banned"/>
    <x v="260"/>
    <x v="59"/>
    <n v="64"/>
    <n v="121"/>
    <n v="1737"/>
    <n v="2860"/>
    <n v="236"/>
    <x v="262"/>
    <n v="59"/>
    <n v="156"/>
    <n v="98"/>
    <n v="2124"/>
    <n v="916899"/>
    <x v="0"/>
    <n v="44"/>
    <s v="Elite"/>
    <b v="0"/>
    <s v="Excellent"/>
    <s v="Normal"/>
    <s v="High"/>
    <s v="Elity Spy"/>
  </r>
  <r>
    <s v="PL0281"/>
    <s v=""/>
    <s v="Roran"/>
    <s v="Swiftwind"/>
    <x v="2"/>
    <x v="0"/>
    <n v="1"/>
    <x v="2"/>
    <x v="0"/>
    <s v="Bow"/>
    <s v=""/>
    <x v="97"/>
    <x v="67"/>
    <n v="136"/>
    <n v="103"/>
    <n v="1538"/>
    <n v="2254"/>
    <n v="321"/>
    <x v="263"/>
    <n v="616"/>
    <n v="10"/>
    <n v="87"/>
    <n v="2296"/>
    <n v="932094"/>
    <x v="0"/>
    <n v="34"/>
    <s v="Rookie"/>
    <b v="0"/>
    <s v="Excellent"/>
    <s v="Normal"/>
    <s v="Medium"/>
    <s v="Elity Spy"/>
  </r>
  <r>
    <s v="PL0282"/>
    <s v="ivan_235"/>
    <s v="Ivan"/>
    <s v="Flameborn"/>
    <x v="1"/>
    <x v="4"/>
    <n v="31"/>
    <x v="2"/>
    <x v="0"/>
    <s v="Axe"/>
    <s v="Active"/>
    <x v="124"/>
    <x v="111"/>
    <n v="121"/>
    <n v="44"/>
    <n v="4075"/>
    <n v="2893"/>
    <n v="254"/>
    <x v="264"/>
    <n v="540"/>
    <n v="19"/>
    <n v="79"/>
    <n v="4561"/>
    <n v="230035"/>
    <x v="0"/>
    <n v="383"/>
    <s v="Veteran"/>
    <b v="1"/>
    <s v="Excellent"/>
    <s v="Normal"/>
    <s v="Medium"/>
    <s v="Tanker"/>
  </r>
  <r>
    <s v="PL0283"/>
    <s v="faye_209"/>
    <s v="Faye"/>
    <s v="Silverbow"/>
    <x v="6"/>
    <x v="2"/>
    <n v="50"/>
    <x v="0"/>
    <x v="3"/>
    <s v="Spear"/>
    <s v="Inactive"/>
    <x v="261"/>
    <x v="27"/>
    <n v="93"/>
    <n v="30"/>
    <n v="2443"/>
    <n v="2039"/>
    <n v="201"/>
    <x v="265"/>
    <n v="547"/>
    <n v="69"/>
    <n v="89"/>
    <n v="3366"/>
    <n v="277949"/>
    <x v="0"/>
    <n v="363"/>
    <s v="Veteran"/>
    <b v="0"/>
    <s v="Excellent"/>
    <s v="Normal"/>
    <s v="Medium"/>
    <s v="Reguler"/>
  </r>
  <r>
    <s v="PL0284"/>
    <s v="roran_611"/>
    <s v="Roran"/>
    <s v="Frostborn"/>
    <x v="4"/>
    <x v="6"/>
    <n v="36"/>
    <x v="3"/>
    <x v="6"/>
    <s v="Axe"/>
    <s v="Active"/>
    <x v="262"/>
    <x v="110"/>
    <n v="70"/>
    <n v="111"/>
    <n v="2681"/>
    <n v="1647"/>
    <n v="248"/>
    <x v="266"/>
    <n v="841"/>
    <n v="254"/>
    <n v="84"/>
    <n v="9751"/>
    <m/>
    <x v="1"/>
    <n v="486"/>
    <s v="Veteran"/>
    <b v="1"/>
    <s v="Excellent"/>
    <s v="Normal"/>
    <s v="Medium"/>
    <s v="Tactician"/>
  </r>
  <r>
    <s v="PL0285"/>
    <s v="gareth_368"/>
    <s v="Gareth"/>
    <s v="Emberveil"/>
    <x v="1"/>
    <x v="0"/>
    <n v="31"/>
    <x v="6"/>
    <x v="0"/>
    <s v="Dagger"/>
    <s v="Active"/>
    <x v="263"/>
    <x v="76"/>
    <n v="47"/>
    <n v="87"/>
    <n v="2618"/>
    <n v="1613"/>
    <n v="162"/>
    <x v="267"/>
    <n v="566"/>
    <n v="298"/>
    <n v="89"/>
    <n v="9704"/>
    <n v="263600"/>
    <x v="1"/>
    <n v="370"/>
    <s v="Veteran"/>
    <b v="1"/>
    <s v="Excellent"/>
    <s v="Normal"/>
    <s v="Medium"/>
    <s v="Elity Spy"/>
  </r>
  <r>
    <s v="PL0286"/>
    <s v="vex_667"/>
    <s v="Vex"/>
    <s v="Darkthorn"/>
    <x v="4"/>
    <x v="1"/>
    <n v="65"/>
    <x v="0"/>
    <x v="2"/>
    <s v="Wand"/>
    <s v="Banned"/>
    <x v="264"/>
    <x v="4"/>
    <n v="124"/>
    <n v="43"/>
    <n v="2061"/>
    <n v="1089"/>
    <n v="213"/>
    <x v="268"/>
    <n v="263"/>
    <n v="220"/>
    <n v="94"/>
    <n v="4455"/>
    <n v="526139"/>
    <x v="1"/>
    <n v="237"/>
    <s v="Elite"/>
    <b v="0"/>
    <s v="Excellent"/>
    <s v="Normal"/>
    <s v="Medium"/>
    <s v="Reguler"/>
  </r>
  <r>
    <s v="PL0287"/>
    <s v="leon_703"/>
    <s v="Leon"/>
    <s v="Flameborn"/>
    <x v="6"/>
    <x v="5"/>
    <n v="60"/>
    <x v="3"/>
    <x v="2"/>
    <s v="Spear"/>
    <s v="Active"/>
    <x v="265"/>
    <x v="14"/>
    <n v="129"/>
    <n v="12"/>
    <n v="4289"/>
    <n v="202"/>
    <n v="246"/>
    <x v="269"/>
    <n v="102"/>
    <n v="105"/>
    <n v="92"/>
    <n v="9279"/>
    <n v="21881"/>
    <x v="1"/>
    <n v="473"/>
    <s v="Elite"/>
    <b v="0"/>
    <s v="Excellent"/>
    <s v="Normal"/>
    <s v="Medium"/>
    <s v="Tanker"/>
  </r>
  <r>
    <s v="PL0288"/>
    <s v="dune_531"/>
    <s v="Dune"/>
    <s v="Lightfoot"/>
    <x v="4"/>
    <x v="8"/>
    <n v="71"/>
    <x v="0"/>
    <x v="5"/>
    <s v="Spear"/>
    <s v="Retired"/>
    <x v="266"/>
    <x v="75"/>
    <n v="148"/>
    <n v="28"/>
    <n v="4525"/>
    <n v="2170"/>
    <n v="260"/>
    <x v="270"/>
    <n v="311"/>
    <n v="122"/>
    <n v="93"/>
    <n v="2349"/>
    <n v="390986"/>
    <x v="1"/>
    <n v="309"/>
    <s v="Elite"/>
    <b v="0"/>
    <s v="Excellent"/>
    <s v="Normal"/>
    <s v="Medium"/>
    <s v="Tanker"/>
  </r>
  <r>
    <s v="PL0289"/>
    <s v="kael_916"/>
    <s v="Kael"/>
    <s v="Dawnrise"/>
    <x v="1"/>
    <x v="7"/>
    <n v="93"/>
    <x v="8"/>
    <x v="2"/>
    <s v="Wand"/>
    <s v="Banned"/>
    <x v="267"/>
    <x v="76"/>
    <n v="143"/>
    <n v="25"/>
    <n v="3829"/>
    <m/>
    <m/>
    <x v="271"/>
    <n v="932"/>
    <n v="202"/>
    <n v="81"/>
    <n v="8632"/>
    <n v="624129"/>
    <x v="1"/>
    <n v="190"/>
    <s v="Legend"/>
    <b v="0"/>
    <s v="Excellent"/>
    <s v="Normal"/>
    <s v="Medium"/>
    <s v="Tanker"/>
  </r>
  <r>
    <s v="PL0290"/>
    <s v="sable_327"/>
    <s v="Sable"/>
    <s v="Darkmantle"/>
    <x v="0"/>
    <x v="3"/>
    <n v="90"/>
    <x v="3"/>
    <x v="1"/>
    <s v="Dagger"/>
    <s v="Banned"/>
    <x v="268"/>
    <x v="10"/>
    <n v="111"/>
    <n v="46"/>
    <n v="3912"/>
    <n v="267"/>
    <n v="180"/>
    <x v="272"/>
    <n v="96"/>
    <m/>
    <n v="96"/>
    <n v="8285"/>
    <n v="736738"/>
    <x v="1"/>
    <n v="135"/>
    <s v="Legend"/>
    <b v="0"/>
    <s v="Excellent"/>
    <s v="Normal"/>
    <s v="Medium"/>
    <s v="Tanker"/>
  </r>
  <r>
    <s v="PL0291"/>
    <s v="gareth_481"/>
    <s v="Gareth"/>
    <s v="Dawnrise"/>
    <x v="0"/>
    <x v="1"/>
    <n v="96"/>
    <x v="0"/>
    <x v="5"/>
    <s v="Axe"/>
    <s v="Active"/>
    <x v="269"/>
    <x v="86"/>
    <n v="44"/>
    <n v="36"/>
    <m/>
    <n v="824"/>
    <n v="100"/>
    <x v="273"/>
    <n v="804"/>
    <n v="38"/>
    <n v="77"/>
    <n v="7287"/>
    <n v="857904"/>
    <x v="1"/>
    <n v="71"/>
    <s v="Legend"/>
    <b v="1"/>
    <s v="Excellent"/>
    <s v="Normal"/>
    <s v="Medium"/>
    <s v="Reguler"/>
  </r>
  <r>
    <s v="PL0292"/>
    <s v="torin_574"/>
    <s v="Torin"/>
    <s v="Ironfist"/>
    <x v="0"/>
    <x v="3"/>
    <n v="71"/>
    <x v="1"/>
    <x v="0"/>
    <s v="Dagger"/>
    <s v="Inactive"/>
    <x v="270"/>
    <x v="10"/>
    <n v="46"/>
    <n v="108"/>
    <n v="2612"/>
    <n v="279"/>
    <n v="240"/>
    <x v="274"/>
    <n v="326"/>
    <n v="213"/>
    <n v="91"/>
    <n v="4088"/>
    <n v="677135"/>
    <x v="0"/>
    <n v="160"/>
    <s v="Elite"/>
    <b v="0"/>
    <s v="Excellent"/>
    <s v="Normal"/>
    <s v="High"/>
    <s v="Elity Spy"/>
  </r>
  <r>
    <s v="PL0293"/>
    <s v="ewan_361"/>
    <s v="Ewan"/>
    <s v="Nightfall"/>
    <x v="4"/>
    <x v="0"/>
    <n v="87"/>
    <x v="7"/>
    <x v="3"/>
    <s v="Sword"/>
    <s v="Banned"/>
    <x v="271"/>
    <x v="53"/>
    <n v="79"/>
    <n v="77"/>
    <n v="1841"/>
    <n v="928"/>
    <n v="298"/>
    <x v="275"/>
    <n v="727"/>
    <n v="159"/>
    <n v="70"/>
    <n v="7579"/>
    <n v="913442"/>
    <x v="1"/>
    <n v="47"/>
    <s v="Legend"/>
    <b v="0"/>
    <s v="Average"/>
    <s v="Normal"/>
    <s v="Medium"/>
    <s v="Brawler"/>
  </r>
  <r>
    <s v="PL0294"/>
    <s v="percy_137"/>
    <s v="Percy"/>
    <s v="Lightfoot"/>
    <x v="5"/>
    <x v="0"/>
    <n v="40"/>
    <x v="5"/>
    <x v="5"/>
    <s v="Sword"/>
    <s v="Inactive"/>
    <x v="272"/>
    <x v="69"/>
    <n v="15"/>
    <n v="144"/>
    <n v="1539"/>
    <n v="895"/>
    <n v="266"/>
    <x v="276"/>
    <n v="360"/>
    <n v="162"/>
    <n v="48"/>
    <n v="3654"/>
    <n v="456008"/>
    <x v="0"/>
    <n v="274"/>
    <s v="Veteran"/>
    <b v="0"/>
    <s v="Average"/>
    <s v="Normal"/>
    <s v="Medium"/>
    <s v="Elity Spy"/>
  </r>
  <r>
    <s v="PL0295"/>
    <s v="leon_141"/>
    <s v="Leon"/>
    <s v="Frostborn"/>
    <x v="7"/>
    <x v="6"/>
    <n v="87"/>
    <x v="3"/>
    <x v="5"/>
    <s v="Dagger"/>
    <s v="Inactive"/>
    <x v="273"/>
    <x v="77"/>
    <n v="33"/>
    <n v="38"/>
    <n v="2520"/>
    <n v="265"/>
    <n v="207"/>
    <x v="277"/>
    <n v="91"/>
    <n v="54"/>
    <n v="95"/>
    <n v="5203"/>
    <n v="989282"/>
    <x v="1"/>
    <n v="7"/>
    <s v="Legend"/>
    <b v="0"/>
    <s v="Excellent"/>
    <s v="Normal"/>
    <s v="Medium"/>
    <s v="Reguler"/>
  </r>
  <r>
    <s v="PL0296"/>
    <s v="nova_481"/>
    <s v="Nova"/>
    <s v="Shadowstep"/>
    <x v="2"/>
    <x v="8"/>
    <n v="25"/>
    <x v="0"/>
    <x v="5"/>
    <s v="Dagger"/>
    <s v="Retired"/>
    <x v="274"/>
    <x v="66"/>
    <n v="85"/>
    <n v="113"/>
    <n v="1248"/>
    <n v="419"/>
    <n v="224"/>
    <x v="278"/>
    <n v="275"/>
    <n v="73"/>
    <n v="78"/>
    <n v="7917"/>
    <n v="764550"/>
    <x v="1"/>
    <n v="121"/>
    <s v="Rookie"/>
    <b v="0"/>
    <s v="Excellent"/>
    <s v="Normal"/>
    <s v="Medium"/>
    <s v="Elity Spy"/>
  </r>
  <r>
    <s v="PL0297"/>
    <s v="jade_223"/>
    <s v="Jade"/>
    <s v="Flameborn"/>
    <x v="4"/>
    <x v="4"/>
    <n v="23"/>
    <x v="2"/>
    <x v="6"/>
    <s v="Staff"/>
    <s v="Retired"/>
    <x v="164"/>
    <x v="53"/>
    <n v="131"/>
    <n v="116"/>
    <n v="1354"/>
    <n v="154"/>
    <n v="389"/>
    <x v="279"/>
    <n v="373"/>
    <n v="139"/>
    <n v="93"/>
    <n v="1739"/>
    <n v="36872"/>
    <x v="1"/>
    <n v="463"/>
    <s v="Rookie"/>
    <b v="0"/>
    <s v="Excellent"/>
    <s v="Normal"/>
    <s v="Medium"/>
    <s v="Squad Inti"/>
  </r>
  <r>
    <s v="PL0298"/>
    <s v="borin_420"/>
    <s v="Borin"/>
    <s v="Emberveil"/>
    <x v="1"/>
    <x v="8"/>
    <n v="42"/>
    <x v="7"/>
    <x v="6"/>
    <s v="Bow"/>
    <s v="Retired"/>
    <x v="275"/>
    <x v="104"/>
    <n v="22"/>
    <n v="31"/>
    <n v="2364"/>
    <n v="56"/>
    <n v="130"/>
    <x v="280"/>
    <n v="993"/>
    <n v="64"/>
    <n v="65"/>
    <n v="2293"/>
    <m/>
    <x v="0"/>
    <n v="486"/>
    <s v="Veteran"/>
    <b v="0"/>
    <s v="Average"/>
    <s v="Normal"/>
    <s v="Medium"/>
    <s v="Tactician"/>
  </r>
  <r>
    <s v="PL0299"/>
    <s v="dune_223"/>
    <s v="Dune"/>
    <s v="Brightblade"/>
    <x v="6"/>
    <x v="2"/>
    <n v="27"/>
    <x v="2"/>
    <x v="3"/>
    <s v="Axe"/>
    <s v="Active"/>
    <x v="276"/>
    <x v="44"/>
    <n v="51"/>
    <n v="61"/>
    <n v="3972"/>
    <n v="1443"/>
    <n v="242"/>
    <x v="281"/>
    <n v="670"/>
    <n v="111"/>
    <n v="86"/>
    <n v="6710"/>
    <n v="741986"/>
    <x v="0"/>
    <n v="132"/>
    <s v="Veteran"/>
    <b v="1"/>
    <s v="Excellent"/>
    <s v="Normal"/>
    <s v="Medium"/>
    <s v="Brawler"/>
  </r>
  <r>
    <s v="PL0300"/>
    <s v="cael_881"/>
    <s v="Cael"/>
    <s v="Silverbow"/>
    <x v="3"/>
    <x v="8"/>
    <n v="15"/>
    <x v="3"/>
    <x v="1"/>
    <s v="Axe"/>
    <s v="Active"/>
    <x v="277"/>
    <x v="43"/>
    <n v="10"/>
    <n v="90"/>
    <n v="3943"/>
    <n v="402"/>
    <n v="183"/>
    <x v="282"/>
    <n v="114"/>
    <n v="88"/>
    <n v="97"/>
    <n v="512"/>
    <n v="30730"/>
    <x v="0"/>
    <n v="466"/>
    <s v="Rookie"/>
    <b v="1"/>
    <s v="Excellent"/>
    <s v="Normal"/>
    <s v="Medium"/>
    <s v="Elity Spy"/>
  </r>
  <r>
    <s v="PL0301"/>
    <s v="jade_991"/>
    <s v="Jade"/>
    <s v="Stoneback"/>
    <x v="6"/>
    <x v="0"/>
    <n v="8"/>
    <x v="7"/>
    <x v="2"/>
    <s v="Bow"/>
    <s v="Active"/>
    <x v="278"/>
    <x v="92"/>
    <n v="66"/>
    <n v="128"/>
    <n v="690"/>
    <n v="2112"/>
    <n v="251"/>
    <x v="283"/>
    <n v="568"/>
    <n v="4"/>
    <n v="51"/>
    <n v="1675"/>
    <n v="745639"/>
    <x v="1"/>
    <n v="131"/>
    <s v="Rookie"/>
    <b v="1"/>
    <s v="Average"/>
    <s v="Normal"/>
    <s v="Low"/>
    <s v="Elity Spy"/>
  </r>
  <r>
    <s v="PL0302"/>
    <s v="oryn_980"/>
    <s v="Oryn"/>
    <s v="Swiftwind"/>
    <x v="1"/>
    <x v="1"/>
    <n v="42"/>
    <x v="4"/>
    <x v="2"/>
    <s v="Dagger"/>
    <s v="Banned"/>
    <x v="279"/>
    <x v="90"/>
    <n v="62"/>
    <n v="81"/>
    <n v="3925"/>
    <n v="69"/>
    <n v="261"/>
    <x v="284"/>
    <n v="786"/>
    <n v="19"/>
    <n v="86"/>
    <n v="86"/>
    <n v="203183"/>
    <x v="1"/>
    <n v="398"/>
    <s v="Veteran"/>
    <b v="0"/>
    <s v="Excellent"/>
    <s v="Normal"/>
    <s v="Medium"/>
    <s v="Brawler"/>
  </r>
  <r>
    <s v="PL0303"/>
    <s v="tilda_714"/>
    <s v="Tilda"/>
    <s v="Frostborn"/>
    <x v="1"/>
    <x v="2"/>
    <n v="6"/>
    <x v="1"/>
    <x v="3"/>
    <s v="Staff"/>
    <s v="Active"/>
    <x v="280"/>
    <x v="46"/>
    <n v="146"/>
    <n v="89"/>
    <n v="4703"/>
    <n v="956"/>
    <n v="335"/>
    <x v="30"/>
    <n v="590"/>
    <n v="131"/>
    <n v="89"/>
    <n v="1406"/>
    <n v="250359"/>
    <x v="0"/>
    <n v="374"/>
    <s v="Rookie"/>
    <b v="1"/>
    <s v="Excellent"/>
    <s v="Normal"/>
    <s v="Medium"/>
    <s v="Elity Spy"/>
  </r>
  <r>
    <s v="PL0304"/>
    <s v="zara_101"/>
    <s v="Zara"/>
    <s v="Stormcall"/>
    <x v="2"/>
    <x v="4"/>
    <m/>
    <x v="2"/>
    <x v="3"/>
    <s v="Bow"/>
    <s v="Banned"/>
    <x v="281"/>
    <x v="107"/>
    <n v="18"/>
    <n v="147"/>
    <n v="1492"/>
    <n v="2836"/>
    <n v="178"/>
    <x v="285"/>
    <n v="590"/>
    <n v="136"/>
    <n v="48"/>
    <n v="9170"/>
    <n v="447976"/>
    <x v="0"/>
    <n v="280"/>
    <s v="Rookie"/>
    <b v="0"/>
    <s v="Average"/>
    <s v="Normal"/>
    <s v="Medium"/>
    <s v="Elity Spy"/>
  </r>
  <r>
    <s v="PL0305"/>
    <s v="gareth_118"/>
    <s v="Gareth"/>
    <s v="Nightfall"/>
    <x v="2"/>
    <x v="1"/>
    <m/>
    <x v="3"/>
    <x v="2"/>
    <s v="Spear"/>
    <s v="Banned"/>
    <x v="167"/>
    <x v="119"/>
    <n v="50"/>
    <n v="36"/>
    <m/>
    <n v="189"/>
    <n v="135"/>
    <x v="286"/>
    <n v="356"/>
    <n v="6"/>
    <n v="93"/>
    <n v="7346"/>
    <n v="305319"/>
    <x v="0"/>
    <n v="350"/>
    <s v="Rookie"/>
    <b v="0"/>
    <s v="Excellent"/>
    <s v="Normal"/>
    <s v="Medium"/>
    <s v="Reguler"/>
  </r>
  <r>
    <s v="PL0306"/>
    <s v="drak_537"/>
    <s v="Drak"/>
    <s v="Ironveil"/>
    <x v="7"/>
    <x v="8"/>
    <n v="36"/>
    <x v="0"/>
    <x v="6"/>
    <s v="Sword"/>
    <s v="Active"/>
    <x v="282"/>
    <x v="8"/>
    <n v="129"/>
    <n v="26"/>
    <n v="2457"/>
    <n v="2492"/>
    <n v="242"/>
    <x v="287"/>
    <n v="700"/>
    <n v="26"/>
    <n v="86"/>
    <n v="8910"/>
    <n v="603484"/>
    <x v="0"/>
    <n v="203"/>
    <s v="Veteran"/>
    <b v="1"/>
    <s v="Excellent"/>
    <s v="Normal"/>
    <s v="Medium"/>
    <s v="Tactician"/>
  </r>
  <r>
    <s v="PL0307"/>
    <s v="cael_511"/>
    <s v="Cael"/>
    <s v="Ironfist"/>
    <x v="4"/>
    <x v="8"/>
    <n v="43"/>
    <x v="5"/>
    <x v="3"/>
    <s v="Bow"/>
    <s v="Banned"/>
    <x v="283"/>
    <x v="120"/>
    <n v="12"/>
    <n v="18"/>
    <n v="699"/>
    <n v="2146"/>
    <n v="84"/>
    <x v="288"/>
    <n v="574"/>
    <n v="243"/>
    <n v="75"/>
    <n v="8457"/>
    <n v="752406"/>
    <x v="1"/>
    <n v="127"/>
    <s v="Veteran"/>
    <b v="0"/>
    <s v="Excellent"/>
    <s v="Normal"/>
    <s v="Medium"/>
    <s v="Reguler"/>
  </r>
  <r>
    <s v="PL0308"/>
    <s v="brix_593"/>
    <s v="Brix"/>
    <s v="Stormcall"/>
    <x v="3"/>
    <x v="6"/>
    <n v="30"/>
    <x v="3"/>
    <x v="6"/>
    <s v="Staff"/>
    <s v="Inactive"/>
    <x v="202"/>
    <x v="72"/>
    <n v="88"/>
    <n v="78"/>
    <n v="2874"/>
    <n v="57"/>
    <n v="272"/>
    <x v="289"/>
    <n v="977"/>
    <n v="149"/>
    <n v="83"/>
    <n v="5977"/>
    <n v="13216"/>
    <x v="1"/>
    <n v="478"/>
    <s v="Veteran"/>
    <b v="0"/>
    <s v="Excellent"/>
    <s v="Normal"/>
    <s v="Medium"/>
    <s v="Tactician"/>
  </r>
  <r>
    <s v="PL0309"/>
    <s v="theron_500"/>
    <s v="Theron"/>
    <s v="Shadowstep"/>
    <x v="6"/>
    <x v="1"/>
    <n v="89"/>
    <x v="7"/>
    <x v="2"/>
    <s v="Spear"/>
    <s v="Active"/>
    <x v="284"/>
    <x v="75"/>
    <n v="132"/>
    <n v="26"/>
    <n v="1841"/>
    <n v="2988"/>
    <n v="242"/>
    <x v="290"/>
    <n v="259"/>
    <n v="85"/>
    <n v="18"/>
    <m/>
    <n v="958277"/>
    <x v="1"/>
    <n v="20"/>
    <s v="Legend"/>
    <b v="1"/>
    <s v="Poor"/>
    <s v="Normal"/>
    <s v="Medium"/>
    <s v="Reguler"/>
  </r>
  <r>
    <s v="PL0310"/>
    <s v="kira_641"/>
    <s v="Kira"/>
    <s v="Brightblade"/>
    <x v="6"/>
    <x v="0"/>
    <n v="81"/>
    <x v="4"/>
    <x v="4"/>
    <s v="Spear"/>
    <s v="Banned"/>
    <x v="285"/>
    <x v="55"/>
    <n v="86"/>
    <n v="14"/>
    <n v="524"/>
    <n v="2199"/>
    <n v="170"/>
    <x v="291"/>
    <n v="993"/>
    <n v="19"/>
    <n v="45"/>
    <n v="5589"/>
    <n v="539629"/>
    <x v="0"/>
    <n v="232"/>
    <s v="Legend"/>
    <b v="0"/>
    <s v="Average"/>
    <s v="Normal"/>
    <s v="Medium"/>
    <s v="Reguler"/>
  </r>
  <r>
    <s v="PL0311"/>
    <s v="nyx_748"/>
    <s v="Nyx"/>
    <s v="Moonwhisper"/>
    <x v="6"/>
    <x v="2"/>
    <n v="99"/>
    <x v="0"/>
    <x v="3"/>
    <s v="Bow"/>
    <s v="Retired"/>
    <x v="286"/>
    <x v="99"/>
    <n v="48"/>
    <n v="87"/>
    <m/>
    <n v="2460"/>
    <n v="158"/>
    <x v="292"/>
    <n v="78"/>
    <n v="216"/>
    <n v="98"/>
    <n v="4756"/>
    <n v="898470"/>
    <x v="0"/>
    <n v="55"/>
    <s v="Legend"/>
    <b v="0"/>
    <s v="Excellent"/>
    <s v="Normal"/>
    <s v="High"/>
    <s v="Elity Spy"/>
  </r>
  <r>
    <s v="PL0312"/>
    <s v="FAYE_178"/>
    <s v="Faye"/>
    <s v="Nightfall"/>
    <x v="4"/>
    <x v="0"/>
    <n v="78"/>
    <x v="0"/>
    <x v="0"/>
    <s v="Dagger"/>
    <s v="Active"/>
    <x v="61"/>
    <x v="113"/>
    <n v="102"/>
    <n v="47"/>
    <n v="4709"/>
    <n v="518"/>
    <n v="201"/>
    <x v="293"/>
    <n v="154"/>
    <n v="168"/>
    <n v="95"/>
    <n v="6069"/>
    <n v="440793"/>
    <x v="0"/>
    <n v="288"/>
    <s v="Legend"/>
    <b v="1"/>
    <s v="Excellent"/>
    <s v="Normal"/>
    <s v="High"/>
    <s v="Tanker"/>
  </r>
  <r>
    <s v="PL0313"/>
    <s v=""/>
    <s v="Aria"/>
    <s v="Coldwater"/>
    <x v="2"/>
    <x v="8"/>
    <n v="8"/>
    <x v="2"/>
    <x v="1"/>
    <s v="Axe"/>
    <s v="Active"/>
    <x v="287"/>
    <x v="121"/>
    <n v="108"/>
    <n v="32"/>
    <n v="4691"/>
    <n v="636"/>
    <n v="213"/>
    <x v="29"/>
    <n v="62"/>
    <n v="11"/>
    <n v="97"/>
    <n v="6058"/>
    <n v="544861"/>
    <x v="0"/>
    <n v="231"/>
    <s v="Rookie"/>
    <b v="1"/>
    <s v="Excellent"/>
    <s v="Normal"/>
    <s v="Medium"/>
    <s v="Tanker"/>
  </r>
  <r>
    <s v="PL0314"/>
    <s v="nolan_479"/>
    <s v="Nolan"/>
    <s v="Darkthorn"/>
    <x v="7"/>
    <x v="8"/>
    <n v="64"/>
    <x v="8"/>
    <x v="1"/>
    <s v="Sword"/>
    <s v="Active"/>
    <x v="288"/>
    <x v="42"/>
    <n v="90"/>
    <n v="63"/>
    <n v="2466"/>
    <n v="1110"/>
    <n v="185"/>
    <x v="294"/>
    <n v="768"/>
    <n v="214"/>
    <n v="37"/>
    <n v="3217"/>
    <n v="938801"/>
    <x v="1"/>
    <n v="30"/>
    <s v="Elite"/>
    <b v="1"/>
    <s v="Poor"/>
    <s v="Normal"/>
    <s v="Medium"/>
    <s v="Ranger"/>
  </r>
  <r>
    <s v="PL0315"/>
    <s v="percy_550"/>
    <s v="Percy"/>
    <s v="Coldwater"/>
    <x v="5"/>
    <x v="8"/>
    <n v="100"/>
    <x v="3"/>
    <x v="0"/>
    <s v="Axe"/>
    <s v="Active"/>
    <x v="289"/>
    <x v="94"/>
    <n v="34"/>
    <n v="119"/>
    <n v="1898"/>
    <n v="2929"/>
    <n v="301"/>
    <x v="295"/>
    <n v="795"/>
    <n v="54"/>
    <n v="85"/>
    <n v="1276"/>
    <n v="93257"/>
    <x v="1"/>
    <n v="443"/>
    <s v="Legend"/>
    <b v="1"/>
    <s v="Excellent"/>
    <s v="Normal"/>
    <s v="Medium"/>
    <s v="Elity Spy"/>
  </r>
  <r>
    <s v="PL0316"/>
    <s v=""/>
    <s v="Leon"/>
    <s v="Ironfist"/>
    <x v="1"/>
    <x v="8"/>
    <n v="15"/>
    <x v="0"/>
    <x v="5"/>
    <s v="Fists"/>
    <s v="Inactive"/>
    <x v="290"/>
    <x v="104"/>
    <n v="25"/>
    <n v="107"/>
    <n v="2962"/>
    <n v="2107"/>
    <n v="209"/>
    <x v="296"/>
    <n v="628"/>
    <n v="0"/>
    <n v="84"/>
    <n v="455"/>
    <n v="654738"/>
    <x v="1"/>
    <n v="173"/>
    <s v="Rookie"/>
    <b v="0"/>
    <s v="Excellent"/>
    <s v="Normal"/>
    <s v="Medium"/>
    <s v="Elity Spy"/>
  </r>
  <r>
    <s v="PL0317"/>
    <s v="nyx_976"/>
    <s v="Nyx"/>
    <s v="Brightblade"/>
    <x v="0"/>
    <x v="4"/>
    <n v="27"/>
    <x v="5"/>
    <x v="2"/>
    <s v="Staff"/>
    <s v="Active"/>
    <x v="291"/>
    <x v="68"/>
    <n v="62"/>
    <n v="55"/>
    <n v="542"/>
    <n v="1818"/>
    <n v="132"/>
    <x v="30"/>
    <n v="863"/>
    <n v="227"/>
    <n v="83"/>
    <n v="3687"/>
    <n v="618686"/>
    <x v="1"/>
    <n v="192"/>
    <s v="Veteran"/>
    <b v="1"/>
    <s v="Excellent"/>
    <s v="Normal"/>
    <s v="Medium"/>
    <s v="Reguler"/>
  </r>
  <r>
    <s v="PL0318"/>
    <s v="aria_574"/>
    <s v="Aria"/>
    <s v="Darkmantle"/>
    <x v="4"/>
    <x v="1"/>
    <n v="7"/>
    <x v="3"/>
    <x v="6"/>
    <s v="Staff"/>
    <s v="Inactive"/>
    <x v="292"/>
    <x v="103"/>
    <n v="106"/>
    <n v="14"/>
    <n v="2650"/>
    <n v="2363"/>
    <n v="178"/>
    <x v="106"/>
    <n v="949"/>
    <n v="56"/>
    <n v="40"/>
    <n v="861"/>
    <n v="296575"/>
    <x v="1"/>
    <n v="354"/>
    <s v="Rookie"/>
    <b v="0"/>
    <s v="Average"/>
    <s v="Normal"/>
    <s v="Low"/>
    <s v="Tactician"/>
  </r>
  <r>
    <s v="PL0319"/>
    <s v="seth_358"/>
    <s v="Seth"/>
    <s v="Coldwater"/>
    <x v="0"/>
    <x v="7"/>
    <n v="5"/>
    <x v="8"/>
    <x v="1"/>
    <s v="Spear"/>
    <s v="Inactive"/>
    <x v="227"/>
    <x v="63"/>
    <n v="84"/>
    <n v="31"/>
    <m/>
    <n v="2398"/>
    <n v="240"/>
    <x v="297"/>
    <n v="479"/>
    <n v="1"/>
    <n v="83"/>
    <n v="4150"/>
    <n v="857060"/>
    <x v="1"/>
    <n v="73"/>
    <s v="Rookie"/>
    <b v="0"/>
    <s v="Excellent"/>
    <s v="Normal"/>
    <s v="Medium"/>
    <s v="Ranger"/>
  </r>
  <r>
    <s v="PL0320"/>
    <s v="cedric_601"/>
    <s v="Cedric"/>
    <s v="Stormcall"/>
    <x v="6"/>
    <x v="2"/>
    <n v="13"/>
    <x v="2"/>
    <x v="5"/>
    <s v="Spear"/>
    <s v="Inactive"/>
    <x v="293"/>
    <x v="1"/>
    <n v="113"/>
    <n v="83"/>
    <n v="1827"/>
    <n v="1927"/>
    <n v="284"/>
    <x v="298"/>
    <n v="126"/>
    <n v="253"/>
    <n v="97"/>
    <n v="1420"/>
    <n v="784495"/>
    <x v="1"/>
    <n v="117"/>
    <s v="Rookie"/>
    <b v="0"/>
    <s v="Excellent"/>
    <s v="Normal"/>
    <s v="Medium"/>
    <s v="Elity Spy"/>
  </r>
  <r>
    <s v="PL0321"/>
    <s v="mira_356"/>
    <s v="Mira"/>
    <s v="Grimstone"/>
    <x v="7"/>
    <x v="2"/>
    <n v="63"/>
    <x v="3"/>
    <x v="3"/>
    <s v="Fists"/>
    <s v="Inactive"/>
    <x v="294"/>
    <x v="122"/>
    <n v="34"/>
    <n v="76"/>
    <n v="1596"/>
    <n v="2094"/>
    <n v="153"/>
    <x v="299"/>
    <n v="569"/>
    <n v="153"/>
    <n v="90"/>
    <n v="7364"/>
    <m/>
    <x v="0"/>
    <n v="486"/>
    <s v="Elite"/>
    <b v="0"/>
    <s v="Excellent"/>
    <s v="Normal"/>
    <s v="High"/>
    <s v="Reguler"/>
  </r>
  <r>
    <s v="PL0322"/>
    <s v="cael_878"/>
    <s v="Cael"/>
    <s v="Dawnrise"/>
    <x v="3"/>
    <x v="3"/>
    <n v="75"/>
    <x v="1"/>
    <x v="1"/>
    <s v="Sword"/>
    <s v="Inactive"/>
    <x v="295"/>
    <x v="4"/>
    <n v="51"/>
    <n v="29"/>
    <n v="1131"/>
    <n v="751"/>
    <n v="126"/>
    <x v="300"/>
    <n v="836"/>
    <n v="34"/>
    <n v="78"/>
    <n v="6924"/>
    <n v="183756"/>
    <x v="1"/>
    <n v="408"/>
    <s v="Elite"/>
    <b v="0"/>
    <s v="Excellent"/>
    <s v="Normal"/>
    <s v="Medium"/>
    <s v="Ranger"/>
  </r>
  <r>
    <s v="PL0323"/>
    <s v="seth_217"/>
    <s v="Seth"/>
    <s v="Nightfall"/>
    <x v="4"/>
    <x v="7"/>
    <n v="65"/>
    <x v="7"/>
    <x v="2"/>
    <s v="Staff"/>
    <s v="Active"/>
    <x v="296"/>
    <x v="9"/>
    <n v="50"/>
    <n v="53"/>
    <n v="3786"/>
    <n v="428"/>
    <n v="179"/>
    <x v="301"/>
    <n v="844"/>
    <m/>
    <n v="81"/>
    <n v="3193"/>
    <n v="495743"/>
    <x v="1"/>
    <n v="255"/>
    <s v="Elite"/>
    <b v="1"/>
    <s v="Excellent"/>
    <s v="Normal"/>
    <s v="Medium"/>
    <s v="Reguler"/>
  </r>
  <r>
    <s v="PL0324"/>
    <s v="kira_267"/>
    <s v="Kira"/>
    <s v="Frostborn"/>
    <x v="6"/>
    <x v="7"/>
    <n v="71"/>
    <x v="3"/>
    <x v="5"/>
    <s v="Bow"/>
    <s v="Inactive"/>
    <x v="297"/>
    <x v="53"/>
    <n v="137"/>
    <m/>
    <n v="545"/>
    <n v="270"/>
    <n v="385"/>
    <x v="302"/>
    <n v="991"/>
    <n v="210"/>
    <n v="45"/>
    <n v="5583"/>
    <n v="398297"/>
    <x v="0"/>
    <n v="304"/>
    <s v="Elite"/>
    <b v="0"/>
    <s v="Average"/>
    <s v="Normal"/>
    <s v="Medium"/>
    <s v="Reguler"/>
  </r>
  <r>
    <s v="PL0325"/>
    <s v="tara_527"/>
    <s v="Tara"/>
    <s v="Ironveil"/>
    <x v="8"/>
    <x v="1"/>
    <n v="7"/>
    <x v="2"/>
    <x v="6"/>
    <s v="Axe"/>
    <s v="Active"/>
    <x v="298"/>
    <x v="26"/>
    <n v="92"/>
    <m/>
    <n v="2599"/>
    <n v="1152"/>
    <n v="146"/>
    <x v="303"/>
    <n v="15"/>
    <m/>
    <n v="97"/>
    <n v="1632"/>
    <n v="918853"/>
    <x v="0"/>
    <n v="43"/>
    <s v="Rookie"/>
    <b v="1"/>
    <s v="Excellent"/>
    <s v="Normal"/>
    <s v="Medium"/>
    <s v="Tactician"/>
  </r>
  <r>
    <s v="PL0326"/>
    <s v="yara_996"/>
    <s v="Yara"/>
    <s v="Ravencrest"/>
    <x v="1"/>
    <x v="1"/>
    <n v="87"/>
    <x v="3"/>
    <x v="3"/>
    <s v="Sword"/>
    <s v="Banned"/>
    <x v="299"/>
    <x v="123"/>
    <n v="62"/>
    <n v="14"/>
    <n v="2384"/>
    <n v="1074"/>
    <n v="200"/>
    <x v="30"/>
    <n v="779"/>
    <n v="54"/>
    <n v="79"/>
    <n v="2750"/>
    <n v="586773"/>
    <x v="1"/>
    <n v="207"/>
    <s v="Legend"/>
    <b v="0"/>
    <s v="Excellent"/>
    <s v="Normal"/>
    <s v="Medium"/>
    <s v="Reguler"/>
  </r>
  <r>
    <s v="PL0327"/>
    <s v="brynn_324"/>
    <s v="Brynn"/>
    <s v="Ashgrove"/>
    <x v="4"/>
    <x v="2"/>
    <n v="39"/>
    <x v="2"/>
    <x v="2"/>
    <s v="Fists"/>
    <s v="Inactive"/>
    <x v="300"/>
    <x v="6"/>
    <n v="21"/>
    <n v="34"/>
    <n v="4876"/>
    <n v="2130"/>
    <n v="123"/>
    <x v="304"/>
    <n v="8"/>
    <n v="136"/>
    <n v="100"/>
    <n v="1377"/>
    <n v="58665"/>
    <x v="1"/>
    <n v="455"/>
    <s v="Veteran"/>
    <b v="0"/>
    <s v="Excellent"/>
    <s v="Normal"/>
    <s v="Medium"/>
    <s v="Reguler"/>
  </r>
  <r>
    <s v="PL0328"/>
    <s v="mora_253"/>
    <s v="Mora"/>
    <s v="Moonwhisper"/>
    <x v="7"/>
    <x v="5"/>
    <n v="29"/>
    <x v="5"/>
    <x v="5"/>
    <s v="Wand"/>
    <s v="Active"/>
    <x v="301"/>
    <x v="124"/>
    <n v="40"/>
    <n v="21"/>
    <n v="3752"/>
    <n v="275"/>
    <n v="86"/>
    <x v="305"/>
    <n v="473"/>
    <n v="107"/>
    <n v="91"/>
    <n v="1308"/>
    <n v="444766"/>
    <x v="1"/>
    <n v="283"/>
    <s v="Veteran"/>
    <b v="1"/>
    <s v="Excellent"/>
    <s v="Normal"/>
    <s v="Medium"/>
    <s v="Reguler"/>
  </r>
  <r>
    <s v="PL0329"/>
    <s v="nova_147"/>
    <s v="Nova"/>
    <s v="Wolfsbane"/>
    <x v="3"/>
    <x v="1"/>
    <n v="84"/>
    <x v="8"/>
    <x v="1"/>
    <s v="Dagger"/>
    <s v="Active"/>
    <x v="139"/>
    <x v="50"/>
    <n v="149"/>
    <n v="62"/>
    <m/>
    <n v="2560"/>
    <n v="261"/>
    <x v="306"/>
    <n v="843"/>
    <n v="187"/>
    <n v="77"/>
    <n v="4645"/>
    <m/>
    <x v="0"/>
    <n v="486"/>
    <s v="Legend"/>
    <b v="1"/>
    <s v="Excellent"/>
    <s v="Normal"/>
    <s v="High"/>
    <s v="Ranger"/>
  </r>
  <r>
    <s v="PL0330"/>
    <s v="hana_392"/>
    <s v="Hana"/>
    <s v=""/>
    <x v="6"/>
    <x v="4"/>
    <n v="47"/>
    <x v="2"/>
    <x v="5"/>
    <s v="Dagger"/>
    <s v="Active"/>
    <x v="123"/>
    <x v="36"/>
    <n v="130"/>
    <n v="62"/>
    <n v="2602"/>
    <m/>
    <n v="230"/>
    <x v="307"/>
    <n v="32"/>
    <n v="190"/>
    <n v="93"/>
    <n v="2942"/>
    <n v="612849"/>
    <x v="1"/>
    <n v="194"/>
    <s v="Veteran"/>
    <b v="1"/>
    <s v="Excellent"/>
    <s v="Normal"/>
    <s v="Medium"/>
    <s v="Reguler"/>
  </r>
  <r>
    <s v="PL0331"/>
    <s v="rosa_758"/>
    <s v="Rosa"/>
    <s v="Swiftwind"/>
    <x v="7"/>
    <x v="3"/>
    <n v="49"/>
    <x v="2"/>
    <x v="2"/>
    <s v="Axe"/>
    <s v="Inactive"/>
    <x v="302"/>
    <x v="76"/>
    <n v="58"/>
    <n v="91"/>
    <n v="624"/>
    <m/>
    <n v="177"/>
    <x v="308"/>
    <n v="990"/>
    <n v="246"/>
    <n v="63"/>
    <n v="1759"/>
    <n v="173315"/>
    <x v="0"/>
    <n v="413"/>
    <s v="Veteran"/>
    <b v="0"/>
    <s v="Average"/>
    <s v="Normal"/>
    <s v="Medium"/>
    <s v="Elity Spy"/>
  </r>
  <r>
    <s v="PL0332"/>
    <s v="yara_866"/>
    <s v="Yara"/>
    <s v="Flameborn"/>
    <x v="3"/>
    <x v="0"/>
    <n v="34"/>
    <x v="4"/>
    <x v="0"/>
    <s v="Wand"/>
    <s v="Banned"/>
    <x v="163"/>
    <x v="83"/>
    <n v="115"/>
    <n v="49"/>
    <n v="648"/>
    <n v="1163"/>
    <n v="239"/>
    <x v="309"/>
    <n v="706"/>
    <n v="236"/>
    <n v="80"/>
    <n v="3423"/>
    <n v="400882"/>
    <x v="1"/>
    <n v="302"/>
    <s v="Veteran"/>
    <b v="0"/>
    <s v="Excellent"/>
    <s v="Normal"/>
    <s v="Medium"/>
    <s v="Reguler"/>
  </r>
  <r>
    <s v="PL0333"/>
    <s v="roran_531"/>
    <s v="Roran"/>
    <s v="Wildhorn"/>
    <x v="8"/>
    <x v="2"/>
    <n v="67"/>
    <x v="3"/>
    <x v="2"/>
    <s v="Wand"/>
    <s v="Active"/>
    <x v="303"/>
    <x v="56"/>
    <n v="129"/>
    <n v="111"/>
    <n v="554"/>
    <n v="1844"/>
    <n v="377"/>
    <x v="310"/>
    <n v="59"/>
    <n v="85"/>
    <n v="99"/>
    <n v="6231"/>
    <n v="105715"/>
    <x v="0"/>
    <n v="437"/>
    <s v="Elite"/>
    <b v="1"/>
    <s v="Excellent"/>
    <s v="Normal"/>
    <s v="High"/>
    <s v="Elity Spy"/>
  </r>
  <r>
    <s v="PL0334"/>
    <s v="kael_915"/>
    <s v="Kael"/>
    <s v="Emberveil"/>
    <x v="4"/>
    <x v="4"/>
    <n v="43"/>
    <x v="1"/>
    <x v="2"/>
    <s v="Sword"/>
    <s v="Active"/>
    <x v="304"/>
    <x v="121"/>
    <n v="21"/>
    <n v="34"/>
    <n v="4174"/>
    <n v="323"/>
    <n v="128"/>
    <x v="311"/>
    <n v="247"/>
    <n v="293"/>
    <n v="56"/>
    <n v="3104"/>
    <n v="583805"/>
    <x v="0"/>
    <n v="209"/>
    <s v="Veteran"/>
    <b v="1"/>
    <s v="Average"/>
    <s v="Normal"/>
    <s v="Medium"/>
    <s v="Reguler"/>
  </r>
  <r>
    <s v="PL0335"/>
    <s v="freya_728"/>
    <s v="Freya"/>
    <s v="Emberveil"/>
    <x v="0"/>
    <x v="8"/>
    <n v="41"/>
    <x v="0"/>
    <x v="2"/>
    <s v="Bow"/>
    <s v="Active"/>
    <x v="137"/>
    <x v="16"/>
    <n v="41"/>
    <n v="38"/>
    <n v="2684"/>
    <n v="1441"/>
    <n v="89"/>
    <x v="312"/>
    <n v="564"/>
    <n v="222"/>
    <n v="32"/>
    <n v="9020"/>
    <n v="565189"/>
    <x v="1"/>
    <n v="216"/>
    <s v="Veteran"/>
    <b v="1"/>
    <s v="Poor"/>
    <s v="Normal"/>
    <s v="Low"/>
    <s v="Reguler"/>
  </r>
  <r>
    <s v="PL0336"/>
    <s v="dune_389"/>
    <s v="Dune"/>
    <s v="Wildhorn"/>
    <x v="6"/>
    <x v="4"/>
    <n v="99"/>
    <x v="1"/>
    <x v="0"/>
    <s v="Wand"/>
    <s v="Active"/>
    <x v="305"/>
    <x v="125"/>
    <n v="30"/>
    <n v="28"/>
    <n v="223"/>
    <n v="133"/>
    <n v="156"/>
    <x v="212"/>
    <n v="222"/>
    <n v="57"/>
    <n v="94"/>
    <n v="8474"/>
    <n v="136462"/>
    <x v="1"/>
    <n v="423"/>
    <s v="Legend"/>
    <b v="1"/>
    <s v="Excellent"/>
    <s v="Normal"/>
    <s v="Medium"/>
    <s v="Reguler"/>
  </r>
  <r>
    <s v="PL0337"/>
    <s v="THERON_375"/>
    <s v="Theron"/>
    <s v="Ravencrest"/>
    <x v="0"/>
    <x v="7"/>
    <n v="32"/>
    <x v="8"/>
    <x v="5"/>
    <s v="Staff"/>
    <s v="Active"/>
    <x v="306"/>
    <x v="112"/>
    <n v="43"/>
    <n v="67"/>
    <n v="4407"/>
    <n v="2658"/>
    <n v="214"/>
    <x v="313"/>
    <n v="523"/>
    <n v="271"/>
    <n v="75"/>
    <n v="2395"/>
    <n v="30892"/>
    <x v="1"/>
    <n v="465"/>
    <s v="Veteran"/>
    <b v="1"/>
    <s v="Excellent"/>
    <s v="Normal"/>
    <s v="Medium"/>
    <s v="Brawler"/>
  </r>
  <r>
    <s v="PL0338"/>
    <s v="nyx_972"/>
    <s v="Nyx"/>
    <s v="Swiftwind"/>
    <x v="1"/>
    <x v="4"/>
    <n v="69"/>
    <x v="4"/>
    <x v="3"/>
    <s v="Spear"/>
    <s v="Active"/>
    <x v="307"/>
    <x v="90"/>
    <n v="24"/>
    <n v="31"/>
    <m/>
    <n v="2540"/>
    <n v="173"/>
    <x v="65"/>
    <n v="31"/>
    <n v="253"/>
    <n v="98"/>
    <n v="9947"/>
    <n v="91866"/>
    <x v="0"/>
    <n v="444"/>
    <s v="Elite"/>
    <b v="1"/>
    <s v="Excellent"/>
    <s v="Normal"/>
    <s v="High"/>
    <s v="Reguler"/>
  </r>
  <r>
    <s v="PL0339"/>
    <s v="mora_207"/>
    <s v="Mora"/>
    <s v="Goldweave"/>
    <x v="8"/>
    <x v="2"/>
    <n v="13"/>
    <x v="5"/>
    <x v="2"/>
    <s v="Fists"/>
    <s v="Banned"/>
    <x v="308"/>
    <x v="42"/>
    <n v="34"/>
    <n v="32"/>
    <n v="4837"/>
    <n v="1473"/>
    <n v="98"/>
    <x v="314"/>
    <n v="882"/>
    <n v="35"/>
    <n v="81"/>
    <n v="2395"/>
    <n v="479455"/>
    <x v="1"/>
    <n v="266"/>
    <s v="Rookie"/>
    <b v="0"/>
    <s v="Excellent"/>
    <s v="Normal"/>
    <s v="Medium"/>
    <s v="Reguler"/>
  </r>
  <r>
    <s v="PL0340"/>
    <s v="drak_275"/>
    <s v="Drak"/>
    <s v="Wildhorn"/>
    <x v="8"/>
    <x v="8"/>
    <n v="51"/>
    <x v="3"/>
    <x v="2"/>
    <s v="Wand"/>
    <s v="Active"/>
    <x v="309"/>
    <x v="108"/>
    <n v="143"/>
    <n v="28"/>
    <n v="3533"/>
    <n v="1921"/>
    <n v="251"/>
    <x v="256"/>
    <n v="966"/>
    <n v="119"/>
    <n v="27"/>
    <n v="110"/>
    <n v="369513"/>
    <x v="0"/>
    <n v="319"/>
    <s v="Elite"/>
    <b v="1"/>
    <s v="Poor"/>
    <s v="Normal"/>
    <s v="Medium"/>
    <s v="Tanker"/>
  </r>
  <r>
    <s v="PL0341"/>
    <s v="tilda_332"/>
    <s v="Tilda"/>
    <s v="Shadowstep"/>
    <x v="7"/>
    <x v="8"/>
    <n v="70"/>
    <x v="1"/>
    <x v="1"/>
    <s v="Axe"/>
    <s v="Inactive"/>
    <x v="310"/>
    <x v="64"/>
    <n v="28"/>
    <n v="115"/>
    <n v="290"/>
    <n v="802"/>
    <n v="155"/>
    <x v="315"/>
    <n v="220"/>
    <n v="293"/>
    <n v="96"/>
    <n v="145"/>
    <n v="657356"/>
    <x v="1"/>
    <n v="171"/>
    <s v="Elite"/>
    <b v="0"/>
    <s v="Excellent"/>
    <s v="Normal"/>
    <s v="Medium"/>
    <s v="Elity Spy"/>
  </r>
  <r>
    <s v="PL0342"/>
    <s v="lyra_373"/>
    <s v="Lyra"/>
    <s v="Lightfoot"/>
    <x v="4"/>
    <x v="0"/>
    <n v="9"/>
    <x v="8"/>
    <x v="3"/>
    <s v="Bow"/>
    <s v="Banned"/>
    <x v="311"/>
    <x v="89"/>
    <n v="112"/>
    <n v="88"/>
    <n v="2454"/>
    <n v="2252"/>
    <n v="211"/>
    <x v="316"/>
    <n v="465"/>
    <n v="222"/>
    <n v="30"/>
    <n v="7796"/>
    <n v="416829"/>
    <x v="0"/>
    <n v="299"/>
    <s v="Rookie"/>
    <b v="0"/>
    <s v="Poor"/>
    <s v="Normal"/>
    <s v="Medium"/>
    <s v="Elity Spy"/>
  </r>
  <r>
    <s v="PL0343"/>
    <s v="aiden_748"/>
    <s v="Aiden"/>
    <s v="Brightblade"/>
    <x v="4"/>
    <x v="4"/>
    <n v="65"/>
    <x v="2"/>
    <x v="1"/>
    <s v="Sword"/>
    <s v="Active"/>
    <x v="312"/>
    <x v="83"/>
    <n v="115"/>
    <n v="42"/>
    <n v="2137"/>
    <n v="253"/>
    <n v="232"/>
    <x v="317"/>
    <n v="959"/>
    <n v="31"/>
    <n v="41"/>
    <n v="5087"/>
    <n v="271746"/>
    <x v="0"/>
    <n v="366"/>
    <s v="Elite"/>
    <b v="1"/>
    <s v="Average"/>
    <s v="Normal"/>
    <s v="Medium"/>
    <s v="Ranger"/>
  </r>
  <r>
    <s v="PL0344"/>
    <s v="theron_779"/>
    <s v="Theron"/>
    <s v="Flameborn"/>
    <x v="2"/>
    <x v="8"/>
    <n v="86"/>
    <x v="5"/>
    <x v="5"/>
    <s v="Wand"/>
    <s v="Active"/>
    <x v="213"/>
    <x v="30"/>
    <n v="59"/>
    <n v="66"/>
    <n v="328"/>
    <n v="2653"/>
    <n v="210"/>
    <x v="318"/>
    <n v="71"/>
    <n v="38"/>
    <n v="97"/>
    <n v="6456"/>
    <m/>
    <x v="1"/>
    <n v="486"/>
    <s v="Legend"/>
    <b v="1"/>
    <s v="Excellent"/>
    <s v="Normal"/>
    <s v="Medium"/>
    <s v="Brawler"/>
  </r>
  <r>
    <s v="PL0345"/>
    <s v="faye_650"/>
    <s v="Faye"/>
    <s v="Dawnrise"/>
    <x v="2"/>
    <x v="4"/>
    <n v="76"/>
    <x v="2"/>
    <x v="2"/>
    <s v="Fists"/>
    <s v="Retired"/>
    <x v="313"/>
    <x v="55"/>
    <n v="56"/>
    <n v="111"/>
    <n v="3729"/>
    <n v="1762"/>
    <n v="237"/>
    <x v="319"/>
    <n v="673"/>
    <n v="125"/>
    <n v="84"/>
    <n v="9813"/>
    <n v="236651"/>
    <x v="1"/>
    <n v="378"/>
    <s v="Legend"/>
    <b v="0"/>
    <s v="Excellent"/>
    <s v="Normal"/>
    <s v="Medium"/>
    <s v="Elity Spy"/>
  </r>
  <r>
    <s v="PL0346"/>
    <s v="freya_763"/>
    <s v="Freya"/>
    <s v="Brightblade"/>
    <x v="2"/>
    <x v="2"/>
    <n v="57"/>
    <x v="8"/>
    <x v="6"/>
    <s v="Spear"/>
    <s v="Banned"/>
    <x v="314"/>
    <x v="12"/>
    <n v="98"/>
    <n v="106"/>
    <n v="3507"/>
    <n v="783"/>
    <n v="252"/>
    <x v="320"/>
    <n v="862"/>
    <n v="144"/>
    <n v="84"/>
    <n v="6049"/>
    <n v="423963"/>
    <x v="1"/>
    <n v="295"/>
    <s v="Elite"/>
    <b v="0"/>
    <s v="Excellent"/>
    <s v="Normal"/>
    <s v="Medium"/>
    <s v="Tactician"/>
  </r>
  <r>
    <s v="PL0347"/>
    <s v="borin_815"/>
    <s v="Borin"/>
    <s v=""/>
    <x v="4"/>
    <x v="3"/>
    <n v="26"/>
    <x v="4"/>
    <x v="6"/>
    <s v="Dagger"/>
    <s v="Inactive"/>
    <x v="315"/>
    <x v="123"/>
    <n v="137"/>
    <n v="92"/>
    <n v="2138"/>
    <n v="2232"/>
    <n v="353"/>
    <x v="321"/>
    <n v="952"/>
    <n v="19"/>
    <n v="83"/>
    <n v="5579"/>
    <n v="863815"/>
    <x v="0"/>
    <n v="66"/>
    <s v="Veteran"/>
    <b v="0"/>
    <s v="Excellent"/>
    <s v="Normal"/>
    <s v="Medium"/>
    <s v="Tactician"/>
  </r>
  <r>
    <s v="PL0348"/>
    <s v="dune_377"/>
    <s v="Dune"/>
    <s v="Stoneback"/>
    <x v="6"/>
    <x v="4"/>
    <n v="20"/>
    <x v="2"/>
    <x v="3"/>
    <s v="Wand"/>
    <s v="Active"/>
    <x v="316"/>
    <x v="43"/>
    <n v="19"/>
    <m/>
    <n v="102"/>
    <n v="1217"/>
    <n v="196"/>
    <x v="322"/>
    <n v="376"/>
    <n v="264"/>
    <n v="70"/>
    <n v="428"/>
    <n v="235285"/>
    <x v="0"/>
    <n v="380"/>
    <s v="Rookie"/>
    <b v="1"/>
    <s v="Average"/>
    <s v="Normal"/>
    <s v="Medium"/>
    <s v="Reguler"/>
  </r>
  <r>
    <s v="PL0349"/>
    <s v="quinn_356"/>
    <s v="Quinn"/>
    <s v="Stormcall"/>
    <x v="2"/>
    <x v="1"/>
    <n v="53"/>
    <x v="3"/>
    <x v="5"/>
    <s v="Axe"/>
    <s v="Banned"/>
    <x v="317"/>
    <x v="90"/>
    <n v="36"/>
    <n v="60"/>
    <n v="708"/>
    <n v="2505"/>
    <n v="214"/>
    <x v="323"/>
    <n v="584"/>
    <n v="47"/>
    <n v="82"/>
    <n v="7077"/>
    <n v="302838"/>
    <x v="1"/>
    <n v="351"/>
    <s v="Elite"/>
    <b v="0"/>
    <s v="Excellent"/>
    <s v="Normal"/>
    <s v="Medium"/>
    <s v="Brawler"/>
  </r>
  <r>
    <s v="PL0350"/>
    <s v="elara_731"/>
    <s v="Elara"/>
    <s v="Dawnrise"/>
    <x v="0"/>
    <x v="2"/>
    <n v="58"/>
    <x v="0"/>
    <x v="2"/>
    <s v="Staff"/>
    <s v="Active"/>
    <x v="318"/>
    <x v="6"/>
    <n v="144"/>
    <n v="136"/>
    <n v="3241"/>
    <n v="1513"/>
    <n v="348"/>
    <x v="324"/>
    <n v="785"/>
    <n v="13"/>
    <n v="62"/>
    <n v="7906"/>
    <n v="223321"/>
    <x v="1"/>
    <n v="390"/>
    <s v="Elite"/>
    <b v="1"/>
    <s v="Average"/>
    <s v="Normal"/>
    <s v="Medium"/>
    <s v="Elity Spy"/>
  </r>
  <r>
    <s v="PL0351"/>
    <s v="ivan_468"/>
    <s v="Ivan"/>
    <s v="Ravencrest"/>
    <x v="0"/>
    <x v="8"/>
    <n v="70"/>
    <x v="0"/>
    <x v="2"/>
    <s v="Sword"/>
    <s v="Active"/>
    <x v="319"/>
    <x v="27"/>
    <n v="58"/>
    <n v="106"/>
    <n v="1918"/>
    <n v="770"/>
    <n v="242"/>
    <x v="17"/>
    <n v="768"/>
    <n v="283"/>
    <n v="76"/>
    <n v="9341"/>
    <n v="701292"/>
    <x v="1"/>
    <n v="149"/>
    <s v="Elite"/>
    <b v="1"/>
    <s v="Excellent"/>
    <s v="Normal"/>
    <s v="Medium"/>
    <s v="Elity Spy"/>
  </r>
  <r>
    <s v="PL0352"/>
    <s v="aria_380"/>
    <s v="Aria"/>
    <s v="Stoneback"/>
    <x v="0"/>
    <x v="8"/>
    <n v="60"/>
    <x v="8"/>
    <x v="5"/>
    <s v="Wand"/>
    <s v="Active"/>
    <x v="320"/>
    <x v="73"/>
    <m/>
    <n v="92"/>
    <n v="2677"/>
    <m/>
    <n v="282"/>
    <x v="30"/>
    <n v="493"/>
    <n v="126"/>
    <n v="89"/>
    <n v="6086"/>
    <n v="977964"/>
    <x v="0"/>
    <n v="12"/>
    <s v="Elite"/>
    <b v="1"/>
    <s v="Excellent"/>
    <s v="Normal"/>
    <s v="High"/>
    <s v="Elity Spy"/>
  </r>
  <r>
    <s v="PL0353"/>
    <s v="seth_804"/>
    <s v="Seth"/>
    <s v=""/>
    <x v="5"/>
    <x v="8"/>
    <n v="94"/>
    <x v="1"/>
    <x v="3"/>
    <s v="Staff"/>
    <s v="Banned"/>
    <x v="321"/>
    <x v="75"/>
    <n v="55"/>
    <n v="89"/>
    <n v="4961"/>
    <n v="817"/>
    <n v="228"/>
    <x v="325"/>
    <n v="291"/>
    <n v="2"/>
    <n v="27"/>
    <n v="1656"/>
    <n v="819066"/>
    <x v="1"/>
    <n v="94"/>
    <s v="Legend"/>
    <b v="0"/>
    <s v="Poor"/>
    <s v="Normal"/>
    <s v="Medium"/>
    <s v="Elity Spy"/>
  </r>
  <r>
    <s v="PL0354"/>
    <s v="nyx_148"/>
    <s v=""/>
    <s v="Shadowstep"/>
    <x v="6"/>
    <x v="1"/>
    <n v="65"/>
    <x v="6"/>
    <x v="5"/>
    <s v="Spear"/>
    <s v="Active"/>
    <x v="322"/>
    <x v="126"/>
    <n v="77"/>
    <n v="111"/>
    <n v="4676"/>
    <n v="2499"/>
    <n v="309"/>
    <x v="326"/>
    <n v="191"/>
    <n v="187"/>
    <n v="92"/>
    <n v="6285"/>
    <n v="493446"/>
    <x v="1"/>
    <n v="257"/>
    <s v="Elite"/>
    <b v="1"/>
    <s v="Excellent"/>
    <s v="Normal"/>
    <s v="Medium"/>
    <s v="Elity Spy"/>
  </r>
  <r>
    <s v="PL0355"/>
    <s v="theron_966"/>
    <s v="Theron"/>
    <s v="Ravencrest"/>
    <x v="4"/>
    <x v="6"/>
    <n v="91"/>
    <x v="3"/>
    <x v="4"/>
    <s v="Bow"/>
    <s v="Banned"/>
    <x v="79"/>
    <x v="122"/>
    <n v="131"/>
    <n v="135"/>
    <n v="2870"/>
    <n v="2804"/>
    <n v="309"/>
    <x v="83"/>
    <n v="817"/>
    <n v="224"/>
    <n v="56"/>
    <n v="4351"/>
    <n v="549878"/>
    <x v="1"/>
    <n v="225"/>
    <s v="Legend"/>
    <b v="0"/>
    <s v="Average"/>
    <s v="Normal"/>
    <s v="Medium"/>
    <s v="Elity Spy"/>
  </r>
  <r>
    <s v="PL0356"/>
    <s v=""/>
    <s v="Finn"/>
    <s v="Ironfist"/>
    <x v="4"/>
    <x v="4"/>
    <n v="39"/>
    <x v="5"/>
    <x v="5"/>
    <s v="Spear"/>
    <s v="Active"/>
    <x v="323"/>
    <x v="28"/>
    <n v="72"/>
    <n v="62"/>
    <n v="1713"/>
    <n v="2914"/>
    <n v="203"/>
    <x v="327"/>
    <n v="422"/>
    <n v="226"/>
    <n v="88"/>
    <n v="4964"/>
    <n v="861395"/>
    <x v="1"/>
    <n v="67"/>
    <s v="Veteran"/>
    <b v="1"/>
    <s v="Excellent"/>
    <s v="Normal"/>
    <s v="Medium"/>
    <s v="Reguler"/>
  </r>
  <r>
    <s v="PL0357"/>
    <s v="nyx_253"/>
    <s v="Nyx"/>
    <s v="Ironveil"/>
    <x v="6"/>
    <x v="2"/>
    <n v="10"/>
    <x v="2"/>
    <x v="0"/>
    <s v="Bow"/>
    <s v="Inactive"/>
    <x v="206"/>
    <x v="12"/>
    <n v="132"/>
    <n v="71"/>
    <n v="3646"/>
    <n v="385"/>
    <n v="251"/>
    <x v="328"/>
    <n v="9"/>
    <n v="108"/>
    <n v="100"/>
    <n v="7306"/>
    <n v="707710"/>
    <x v="1"/>
    <n v="145"/>
    <s v="Rookie"/>
    <b v="0"/>
    <s v="Excellent"/>
    <s v="Normal"/>
    <s v="Medium"/>
    <s v="Tanker"/>
  </r>
  <r>
    <s v="PL0358"/>
    <s v="drak_320"/>
    <s v="Drak"/>
    <s v="Moonwhisper"/>
    <x v="1"/>
    <x v="8"/>
    <n v="8"/>
    <x v="8"/>
    <x v="3"/>
    <s v="Wand"/>
    <s v="Active"/>
    <x v="324"/>
    <x v="19"/>
    <n v="35"/>
    <n v="149"/>
    <n v="1935"/>
    <m/>
    <n v="330"/>
    <x v="329"/>
    <n v="18"/>
    <n v="300"/>
    <n v="100"/>
    <n v="7324"/>
    <n v="233422"/>
    <x v="1"/>
    <n v="382"/>
    <s v="Rookie"/>
    <b v="1"/>
    <s v="Excellent"/>
    <s v="Normal"/>
    <s v="Medium"/>
    <s v="Elity Spy"/>
  </r>
  <r>
    <s v="PL0359"/>
    <s v="nolan_617"/>
    <s v="Nolan"/>
    <s v="Frostborn"/>
    <x v="0"/>
    <x v="8"/>
    <n v="52"/>
    <x v="4"/>
    <x v="6"/>
    <s v="Fists"/>
    <s v="Retired"/>
    <x v="325"/>
    <x v="94"/>
    <n v="111"/>
    <n v="142"/>
    <n v="2663"/>
    <n v="1853"/>
    <n v="401"/>
    <x v="330"/>
    <n v="440"/>
    <n v="11"/>
    <n v="83"/>
    <n v="566"/>
    <n v="198728"/>
    <x v="1"/>
    <n v="402"/>
    <s v="Elite"/>
    <b v="0"/>
    <s v="Excellent"/>
    <s v="Normal"/>
    <s v="Medium"/>
    <s v="Tactician"/>
  </r>
  <r>
    <s v="PL0360"/>
    <s v="CAEL_185"/>
    <s v="Cael"/>
    <s v="Shadowstep"/>
    <x v="6"/>
    <x v="8"/>
    <n v="97"/>
    <x v="0"/>
    <x v="5"/>
    <s v="Sword"/>
    <s v="Inactive"/>
    <x v="326"/>
    <x v="71"/>
    <m/>
    <n v="23"/>
    <n v="2123"/>
    <n v="82"/>
    <n v="271"/>
    <x v="331"/>
    <n v="132"/>
    <n v="176"/>
    <n v="97"/>
    <n v="9987"/>
    <n v="790066"/>
    <x v="1"/>
    <n v="115"/>
    <s v="Legend"/>
    <b v="0"/>
    <s v="Excellent"/>
    <s v="Normal"/>
    <s v="Medium"/>
    <s v="Reguler"/>
  </r>
  <r>
    <s v="PL0361"/>
    <s v="selene_316"/>
    <s v="Selene"/>
    <s v="Shadowstep"/>
    <x v="3"/>
    <x v="0"/>
    <n v="56"/>
    <x v="2"/>
    <x v="5"/>
    <s v="Bow"/>
    <s v="Active"/>
    <x v="192"/>
    <x v="40"/>
    <n v="146"/>
    <n v="37"/>
    <n v="3223"/>
    <n v="2473"/>
    <m/>
    <x v="332"/>
    <n v="32"/>
    <n v="278"/>
    <n v="0"/>
    <n v="8611"/>
    <n v="554253"/>
    <x v="1"/>
    <n v="221"/>
    <s v="Elite"/>
    <b v="1"/>
    <s v="Poor"/>
    <s v="Normal"/>
    <s v="Medium"/>
    <s v="Tanker"/>
  </r>
  <r>
    <s v="PL0362"/>
    <s v="crix_520"/>
    <s v="Crix"/>
    <s v="Ironveil"/>
    <x v="7"/>
    <x v="8"/>
    <n v="10"/>
    <x v="4"/>
    <x v="0"/>
    <s v="Dagger"/>
    <s v="Active"/>
    <x v="327"/>
    <x v="117"/>
    <n v="13"/>
    <n v="97"/>
    <n v="4462"/>
    <n v="1376"/>
    <n v="131"/>
    <x v="5"/>
    <n v="356"/>
    <n v="184"/>
    <n v="76"/>
    <n v="7749"/>
    <n v="391601"/>
    <x v="1"/>
    <n v="308"/>
    <s v="Rookie"/>
    <b v="1"/>
    <s v="Excellent"/>
    <s v="Normal"/>
    <s v="Medium"/>
    <s v="Elity Spy"/>
  </r>
  <r>
    <s v="PL0363"/>
    <s v="zara_331"/>
    <s v="Zara"/>
    <s v="Bloodthorn"/>
    <x v="0"/>
    <x v="0"/>
    <n v="5"/>
    <x v="3"/>
    <x v="6"/>
    <s v="Spear"/>
    <s v="Retired"/>
    <x v="328"/>
    <x v="43"/>
    <m/>
    <n v="106"/>
    <n v="2034"/>
    <n v="679"/>
    <n v="269"/>
    <x v="333"/>
    <n v="624"/>
    <n v="21"/>
    <n v="85"/>
    <n v="4060"/>
    <n v="340694"/>
    <x v="0"/>
    <n v="338"/>
    <s v="Rookie"/>
    <b v="0"/>
    <s v="Excellent"/>
    <s v="Normal"/>
    <s v="Medium"/>
    <s v="Tactician"/>
  </r>
  <r>
    <s v="PL0364"/>
    <s v="leon_860"/>
    <s v="Leon"/>
    <s v="Nightfall"/>
    <x v="8"/>
    <x v="4"/>
    <n v="14"/>
    <x v="1"/>
    <x v="3"/>
    <s v="Spear"/>
    <s v="Active"/>
    <x v="329"/>
    <x v="2"/>
    <n v="75"/>
    <n v="138"/>
    <n v="876"/>
    <n v="1649"/>
    <n v="305"/>
    <x v="334"/>
    <n v="362"/>
    <n v="174"/>
    <n v="91"/>
    <n v="3904"/>
    <n v="21529"/>
    <x v="1"/>
    <n v="474"/>
    <s v="Rookie"/>
    <b v="1"/>
    <s v="Excellent"/>
    <s v="Normal"/>
    <s v="Medium"/>
    <s v="Squad Inti"/>
  </r>
  <r>
    <s v="PL0365"/>
    <s v="theron_329"/>
    <s v="Theron"/>
    <s v="Stoneback"/>
    <x v="7"/>
    <x v="4"/>
    <n v="62"/>
    <x v="0"/>
    <x v="0"/>
    <s v="Bow"/>
    <s v="Retired"/>
    <x v="330"/>
    <x v="127"/>
    <m/>
    <n v="139"/>
    <n v="217"/>
    <n v="490"/>
    <n v="356"/>
    <x v="30"/>
    <n v="697"/>
    <n v="246"/>
    <n v="85"/>
    <n v="5571"/>
    <n v="237230"/>
    <x v="1"/>
    <n v="376"/>
    <s v="Elite"/>
    <b v="0"/>
    <s v="Excellent"/>
    <s v="Normal"/>
    <s v="Medium"/>
    <s v="Squad Inti"/>
  </r>
  <r>
    <s v="PL0366"/>
    <s v="kael_920"/>
    <s v="Kael"/>
    <s v="Wolfsbane"/>
    <x v="7"/>
    <x v="6"/>
    <n v="7"/>
    <x v="5"/>
    <x v="6"/>
    <s v="Sword"/>
    <s v="Active"/>
    <x v="331"/>
    <x v="43"/>
    <n v="37"/>
    <n v="22"/>
    <n v="1921"/>
    <m/>
    <n v="142"/>
    <x v="335"/>
    <n v="827"/>
    <n v="55"/>
    <n v="46"/>
    <n v="5960"/>
    <n v="650561"/>
    <x v="1"/>
    <n v="175"/>
    <s v="Rookie"/>
    <b v="1"/>
    <s v="Average"/>
    <s v="Normal"/>
    <s v="Low"/>
    <s v="Tactician"/>
  </r>
  <r>
    <s v="PL0367"/>
    <s v="drak_220"/>
    <s v="Drak"/>
    <s v="Wolfsbane"/>
    <x v="4"/>
    <x v="4"/>
    <n v="58"/>
    <x v="7"/>
    <x v="5"/>
    <s v="Spear"/>
    <s v="Active"/>
    <x v="332"/>
    <x v="62"/>
    <n v="107"/>
    <n v="134"/>
    <n v="648"/>
    <n v="1291"/>
    <n v="312"/>
    <x v="336"/>
    <n v="814"/>
    <n v="72"/>
    <n v="56"/>
    <n v="6177"/>
    <n v="348435"/>
    <x v="0"/>
    <n v="330"/>
    <s v="Elite"/>
    <b v="1"/>
    <s v="Average"/>
    <s v="Normal"/>
    <s v="Medium"/>
    <s v="Squad Inti"/>
  </r>
  <r>
    <s v="PL0368"/>
    <s v="gareth_782"/>
    <s v="Gareth"/>
    <s v="Darkthorn"/>
    <x v="1"/>
    <x v="5"/>
    <n v="71"/>
    <x v="1"/>
    <x v="5"/>
    <s v="Wand"/>
    <s v="Inactive"/>
    <x v="173"/>
    <x v="63"/>
    <n v="26"/>
    <n v="34"/>
    <n v="4874"/>
    <n v="590"/>
    <n v="185"/>
    <x v="337"/>
    <n v="931"/>
    <n v="290"/>
    <n v="83"/>
    <n v="6354"/>
    <n v="818030"/>
    <x v="1"/>
    <n v="96"/>
    <s v="Elite"/>
    <b v="0"/>
    <s v="Excellent"/>
    <s v="Normal"/>
    <s v="Medium"/>
    <s v="Reguler"/>
  </r>
  <r>
    <s v="PL0369"/>
    <s v="leon_107"/>
    <s v="Leon"/>
    <s v="Silverbow"/>
    <x v="6"/>
    <x v="7"/>
    <n v="35"/>
    <x v="2"/>
    <x v="2"/>
    <s v="Wand"/>
    <s v="Active"/>
    <x v="333"/>
    <x v="104"/>
    <n v="100"/>
    <n v="113"/>
    <n v="1162"/>
    <n v="1317"/>
    <n v="290"/>
    <x v="338"/>
    <n v="677"/>
    <n v="96"/>
    <n v="83"/>
    <n v="8374"/>
    <n v="357594"/>
    <x v="0"/>
    <n v="327"/>
    <s v="Veteran"/>
    <b v="1"/>
    <s v="Excellent"/>
    <s v="Normal"/>
    <s v="Medium"/>
    <s v="Elity Spy"/>
  </r>
  <r>
    <s v="PL0370"/>
    <s v="gareth_376"/>
    <s v="Gareth"/>
    <s v="Shadowstep"/>
    <x v="0"/>
    <x v="4"/>
    <n v="21"/>
    <x v="0"/>
    <x v="1"/>
    <s v="Sword"/>
    <s v="Active"/>
    <x v="334"/>
    <x v="62"/>
    <n v="13"/>
    <n v="109"/>
    <m/>
    <n v="1343"/>
    <n v="193"/>
    <x v="339"/>
    <n v="787"/>
    <n v="85"/>
    <n v="74"/>
    <n v="7353"/>
    <n v="486533"/>
    <x v="0"/>
    <n v="261"/>
    <s v="Rookie"/>
    <b v="1"/>
    <s v="Excellent"/>
    <s v="Normal"/>
    <s v="Medium"/>
    <s v="Elity Spy"/>
  </r>
  <r>
    <s v="PL0371"/>
    <s v="dune_994"/>
    <s v="Dune"/>
    <s v="Stoneback"/>
    <x v="0"/>
    <x v="2"/>
    <n v="17"/>
    <x v="2"/>
    <x v="4"/>
    <s v="Fists"/>
    <s v="Active"/>
    <x v="335"/>
    <x v="118"/>
    <n v="150"/>
    <n v="74"/>
    <n v="3700"/>
    <n v="1613"/>
    <n v="333"/>
    <x v="198"/>
    <n v="698"/>
    <n v="153"/>
    <n v="85"/>
    <n v="6063"/>
    <n v="345899"/>
    <x v="0"/>
    <n v="332"/>
    <s v="Rookie"/>
    <b v="1"/>
    <s v="Excellent"/>
    <s v="Normal"/>
    <s v="Medium"/>
    <s v="Tanker"/>
  </r>
  <r>
    <s v="PL0372"/>
    <s v="vex_161"/>
    <s v="Vex"/>
    <s v="Ironveil"/>
    <x v="4"/>
    <x v="0"/>
    <n v="56"/>
    <x v="8"/>
    <x v="2"/>
    <s v="Dagger"/>
    <s v="Banned"/>
    <x v="336"/>
    <x v="125"/>
    <n v="29"/>
    <n v="100"/>
    <n v="1988"/>
    <n v="584"/>
    <n v="227"/>
    <x v="340"/>
    <n v="58"/>
    <n v="207"/>
    <n v="98"/>
    <n v="5710"/>
    <n v="796644"/>
    <x v="1"/>
    <n v="107"/>
    <s v="Elite"/>
    <b v="0"/>
    <s v="Excellent"/>
    <s v="Normal"/>
    <s v="Medium"/>
    <s v="Elity Spy"/>
  </r>
  <r>
    <s v="PL0373"/>
    <s v="jade_567"/>
    <s v="Jade"/>
    <s v="Brightblade"/>
    <x v="4"/>
    <x v="6"/>
    <n v="17"/>
    <x v="7"/>
    <x v="5"/>
    <s v="Dagger"/>
    <s v="Active"/>
    <x v="337"/>
    <x v="61"/>
    <n v="137"/>
    <n v="103"/>
    <m/>
    <n v="1507"/>
    <n v="270"/>
    <x v="341"/>
    <n v="979"/>
    <n v="214"/>
    <n v="78"/>
    <n v="5480"/>
    <n v="27840"/>
    <x v="1"/>
    <n v="468"/>
    <s v="Rookie"/>
    <b v="1"/>
    <s v="Excellent"/>
    <s v="Normal"/>
    <s v="Medium"/>
    <s v="Elity Spy"/>
  </r>
  <r>
    <s v="PL0374"/>
    <s v="faye_764"/>
    <s v="Faye"/>
    <s v="Darkthorn"/>
    <x v="3"/>
    <x v="7"/>
    <n v="78"/>
    <x v="0"/>
    <x v="4"/>
    <s v="Axe"/>
    <s v="Active"/>
    <x v="338"/>
    <x v="5"/>
    <n v="125"/>
    <m/>
    <n v="1780"/>
    <n v="1583"/>
    <n v="168"/>
    <x v="342"/>
    <n v="947"/>
    <n v="219"/>
    <n v="83"/>
    <n v="9146"/>
    <n v="454404"/>
    <x v="0"/>
    <n v="277"/>
    <s v="Legend"/>
    <b v="1"/>
    <s v="Excellent"/>
    <s v="Normal"/>
    <s v="High"/>
    <s v="Reguler"/>
  </r>
  <r>
    <s v="PL0375"/>
    <s v="drak_801"/>
    <s v="Drak"/>
    <s v="Moonwhisper"/>
    <x v="6"/>
    <x v="4"/>
    <n v="92"/>
    <x v="3"/>
    <x v="4"/>
    <s v="Wand"/>
    <s v="Active"/>
    <x v="121"/>
    <x v="20"/>
    <n v="75"/>
    <n v="94"/>
    <n v="4905"/>
    <n v="220"/>
    <m/>
    <x v="343"/>
    <n v="246"/>
    <n v="209"/>
    <n v="94"/>
    <n v="5086"/>
    <n v="760001"/>
    <x v="0"/>
    <n v="124"/>
    <s v="Legend"/>
    <b v="1"/>
    <s v="Excellent"/>
    <s v="Normal"/>
    <s v="High"/>
    <s v="Elity Spy"/>
  </r>
  <r>
    <s v="PL0376"/>
    <s v="sable_477"/>
    <s v="Sable"/>
    <s v="Darkmantle"/>
    <x v="5"/>
    <x v="6"/>
    <n v="100"/>
    <x v="5"/>
    <x v="2"/>
    <s v="Sword"/>
    <s v="Active"/>
    <x v="11"/>
    <x v="10"/>
    <m/>
    <n v="143"/>
    <n v="2062"/>
    <n v="1612"/>
    <n v="323"/>
    <x v="344"/>
    <n v="234"/>
    <n v="83"/>
    <n v="90"/>
    <n v="5034"/>
    <n v="904527"/>
    <x v="1"/>
    <n v="50"/>
    <s v="Legend"/>
    <b v="1"/>
    <s v="Excellent"/>
    <s v="Normal"/>
    <s v="Medium"/>
    <s v="Elity Spy"/>
  </r>
  <r>
    <s v="PL0377"/>
    <s v="faye_180"/>
    <s v="Faye"/>
    <s v="Stoneback"/>
    <x v="6"/>
    <x v="0"/>
    <n v="56"/>
    <x v="7"/>
    <x v="1"/>
    <s v="Spear"/>
    <s v="Retired"/>
    <x v="339"/>
    <x v="72"/>
    <n v="120"/>
    <n v="40"/>
    <n v="4229"/>
    <n v="2700"/>
    <n v="266"/>
    <x v="135"/>
    <n v="284"/>
    <n v="182"/>
    <n v="91"/>
    <n v="4785"/>
    <n v="707551"/>
    <x v="1"/>
    <n v="146"/>
    <s v="Elite"/>
    <b v="0"/>
    <s v="Excellent"/>
    <s v="Normal"/>
    <s v="Medium"/>
    <s v="Tanker"/>
  </r>
  <r>
    <s v="PL0378"/>
    <s v="yara_173"/>
    <s v="Yara"/>
    <s v="Dawnrise"/>
    <x v="8"/>
    <x v="4"/>
    <n v="97"/>
    <x v="1"/>
    <x v="6"/>
    <s v="Dagger"/>
    <s v="Active"/>
    <x v="340"/>
    <x v="10"/>
    <n v="108"/>
    <n v="14"/>
    <n v="2519"/>
    <n v="1424"/>
    <n v="148"/>
    <x v="345"/>
    <n v="799"/>
    <n v="83"/>
    <n v="65"/>
    <n v="6466"/>
    <n v="751945"/>
    <x v="1"/>
    <n v="128"/>
    <s v="Legend"/>
    <b v="1"/>
    <s v="Average"/>
    <s v="Normal"/>
    <s v="Medium"/>
    <s v="Tactician"/>
  </r>
  <r>
    <s v="PL0379"/>
    <s v="ZARA_544"/>
    <s v="Zara"/>
    <s v="Ashgrove"/>
    <x v="2"/>
    <x v="4"/>
    <n v="40"/>
    <x v="0"/>
    <x v="4"/>
    <s v="Sword"/>
    <s v="Active"/>
    <x v="341"/>
    <x v="106"/>
    <n v="19"/>
    <n v="95"/>
    <n v="2842"/>
    <n v="2721"/>
    <n v="156"/>
    <x v="346"/>
    <n v="232"/>
    <n v="228"/>
    <n v="55"/>
    <n v="4345"/>
    <n v="282526"/>
    <x v="1"/>
    <n v="360"/>
    <s v="Veteran"/>
    <b v="1"/>
    <s v="Average"/>
    <s v="Normal"/>
    <s v="Low"/>
    <s v="Elity Spy"/>
  </r>
  <r>
    <s v="PL0380"/>
    <s v="IVAN_356"/>
    <s v="Ivan"/>
    <s v="Stormcall"/>
    <x v="8"/>
    <x v="2"/>
    <n v="7"/>
    <x v="4"/>
    <x v="6"/>
    <s v="Axe"/>
    <s v="Banned"/>
    <x v="342"/>
    <x v="125"/>
    <n v="145"/>
    <n v="137"/>
    <n v="818"/>
    <m/>
    <n v="380"/>
    <x v="347"/>
    <n v="358"/>
    <n v="274"/>
    <n v="55"/>
    <n v="125"/>
    <n v="364249"/>
    <x v="0"/>
    <n v="321"/>
    <s v="Rookie"/>
    <b v="0"/>
    <s v="Average"/>
    <s v="Normal"/>
    <s v="Medium"/>
    <s v="Tactician"/>
  </r>
  <r>
    <s v="PL0381"/>
    <s v="zara_766"/>
    <s v="Zara"/>
    <s v="Shadowstep"/>
    <x v="4"/>
    <x v="3"/>
    <n v="45"/>
    <x v="5"/>
    <x v="1"/>
    <s v="Axe"/>
    <s v=""/>
    <x v="343"/>
    <x v="77"/>
    <m/>
    <n v="96"/>
    <n v="853"/>
    <n v="1223"/>
    <n v="284"/>
    <x v="348"/>
    <n v="693"/>
    <n v="241"/>
    <n v="39"/>
    <n v="6204"/>
    <n v="628207"/>
    <x v="1"/>
    <n v="186"/>
    <s v="Veteran"/>
    <b v="0"/>
    <s v="Poor"/>
    <s v="Normal"/>
    <s v="Low"/>
    <s v="Elity Spy"/>
  </r>
  <r>
    <s v="PL0382"/>
    <s v="opal_945"/>
    <s v="Opal"/>
    <s v="Coldwater"/>
    <x v="6"/>
    <x v="7"/>
    <n v="60"/>
    <x v="3"/>
    <x v="0"/>
    <s v="Spear"/>
    <s v="Active"/>
    <x v="344"/>
    <x v="37"/>
    <n v="97"/>
    <n v="123"/>
    <n v="2481"/>
    <n v="819"/>
    <n v="242"/>
    <x v="244"/>
    <n v="509"/>
    <n v="254"/>
    <n v="86"/>
    <n v="897"/>
    <n v="258636"/>
    <x v="0"/>
    <n v="373"/>
    <s v="Elite"/>
    <b v="0"/>
    <s v="Excellent"/>
    <s v="Normal"/>
    <s v="High"/>
    <s v="Elity Spy"/>
  </r>
  <r>
    <s v="PL0383"/>
    <s v="torin_150"/>
    <s v="Torin"/>
    <s v="Darkmantle"/>
    <x v="0"/>
    <x v="5"/>
    <n v="97"/>
    <x v="6"/>
    <x v="2"/>
    <s v="Dagger"/>
    <s v="Banned"/>
    <x v="345"/>
    <x v="128"/>
    <n v="52"/>
    <n v="111"/>
    <n v="2329"/>
    <n v="1214"/>
    <n v="254"/>
    <x v="349"/>
    <n v="394"/>
    <n v="184"/>
    <n v="93"/>
    <n v="5465"/>
    <n v="856737"/>
    <x v="1"/>
    <n v="74"/>
    <s v="Legend"/>
    <b v="0"/>
    <s v="Excellent"/>
    <s v="Normal"/>
    <s v="Medium"/>
    <s v="Elity Spy"/>
  </r>
  <r>
    <s v="PL0384"/>
    <s v="lira_937"/>
    <s v="Lira"/>
    <s v=""/>
    <x v="3"/>
    <x v="1"/>
    <n v="43"/>
    <x v="5"/>
    <x v="1"/>
    <s v="Spear"/>
    <s v="Active"/>
    <x v="346"/>
    <x v="29"/>
    <n v="103"/>
    <n v="113"/>
    <n v="224"/>
    <n v="255"/>
    <n v="318"/>
    <x v="350"/>
    <n v="44"/>
    <n v="90"/>
    <n v="79"/>
    <n v="6637"/>
    <n v="112508"/>
    <x v="1"/>
    <n v="430"/>
    <s v="Veteran"/>
    <b v="0"/>
    <s v="Excellent"/>
    <s v="Normal"/>
    <s v="Medium"/>
    <s v="Elity Spy"/>
  </r>
  <r>
    <s v="PL0385"/>
    <s v="brix_347"/>
    <s v="Brix"/>
    <s v="Darkmantle"/>
    <x v="6"/>
    <x v="4"/>
    <n v="77"/>
    <x v="0"/>
    <x v="3"/>
    <s v="Wand"/>
    <s v="Active"/>
    <x v="79"/>
    <x v="1"/>
    <n v="131"/>
    <n v="131"/>
    <n v="1399"/>
    <n v="2148"/>
    <n v="350"/>
    <x v="351"/>
    <n v="238"/>
    <n v="55"/>
    <n v="91"/>
    <n v="7572"/>
    <n v="640791"/>
    <x v="1"/>
    <n v="178"/>
    <s v="Legend"/>
    <b v="1"/>
    <s v="Excellent"/>
    <s v="Normal"/>
    <s v="Medium"/>
    <s v="Squad Inti"/>
  </r>
  <r>
    <s v="PL0386"/>
    <s v="finn_859"/>
    <s v="Finn"/>
    <s v="Lightfoot"/>
    <x v="1"/>
    <x v="2"/>
    <n v="47"/>
    <x v="0"/>
    <x v="6"/>
    <s v="Fists"/>
    <s v="Retired"/>
    <x v="257"/>
    <x v="32"/>
    <n v="113"/>
    <n v="21"/>
    <n v="1541"/>
    <n v="1804"/>
    <n v="163"/>
    <x v="352"/>
    <n v="494"/>
    <n v="187"/>
    <n v="70"/>
    <n v="1421"/>
    <n v="847031"/>
    <x v="1"/>
    <n v="79"/>
    <s v="Veteran"/>
    <b v="0"/>
    <s v="Average"/>
    <s v="Normal"/>
    <s v="Low"/>
    <s v="Tactician"/>
  </r>
  <r>
    <s v="PL0387"/>
    <s v="rosa_262"/>
    <s v="Rosa"/>
    <s v="Nightfall"/>
    <x v="4"/>
    <x v="6"/>
    <n v="10"/>
    <x v="5"/>
    <x v="0"/>
    <s v="Fists"/>
    <s v="Inactive"/>
    <x v="347"/>
    <x v="67"/>
    <n v="130"/>
    <n v="127"/>
    <n v="678"/>
    <n v="1227"/>
    <n v="339"/>
    <x v="353"/>
    <n v="26"/>
    <n v="69"/>
    <n v="99"/>
    <n v="5156"/>
    <n v="269983"/>
    <x v="0"/>
    <n v="367"/>
    <s v="Rookie"/>
    <b v="0"/>
    <s v="Excellent"/>
    <s v="Normal"/>
    <s v="Medium"/>
    <s v="Elity Spy"/>
  </r>
  <r>
    <s v="PL0388"/>
    <s v="kira_828"/>
    <s v="Kira"/>
    <s v="Emberveil"/>
    <x v="0"/>
    <x v="4"/>
    <n v="65"/>
    <x v="1"/>
    <x v="2"/>
    <s v="Bow"/>
    <s v="Inactive"/>
    <x v="348"/>
    <x v="75"/>
    <n v="100"/>
    <m/>
    <n v="3256"/>
    <n v="936"/>
    <n v="284"/>
    <x v="354"/>
    <n v="63"/>
    <n v="70"/>
    <n v="95"/>
    <n v="5619"/>
    <n v="529730"/>
    <x v="1"/>
    <n v="236"/>
    <s v="Elite"/>
    <b v="0"/>
    <s v="Excellent"/>
    <s v="Normal"/>
    <s v="Medium"/>
    <s v="Tanker"/>
  </r>
  <r>
    <s v="PL0389"/>
    <s v="CAEL_393"/>
    <s v="Cael"/>
    <s v="Moonwhisper"/>
    <x v="3"/>
    <x v="3"/>
    <n v="29"/>
    <x v="7"/>
    <x v="2"/>
    <s v="Axe"/>
    <s v="Banned"/>
    <x v="349"/>
    <x v="129"/>
    <n v="140"/>
    <n v="78"/>
    <n v="4500"/>
    <n v="2372"/>
    <n v="274"/>
    <x v="355"/>
    <n v="44"/>
    <n v="242"/>
    <n v="99"/>
    <n v="2280"/>
    <n v="43257"/>
    <x v="1"/>
    <n v="462"/>
    <s v="Veteran"/>
    <b v="0"/>
    <s v="Excellent"/>
    <s v="Normal"/>
    <s v="Medium"/>
    <s v="Tanker"/>
  </r>
  <r>
    <s v="PL0390"/>
    <s v="crix_269"/>
    <s v="Crix"/>
    <s v="Darkmantle"/>
    <x v="1"/>
    <x v="0"/>
    <n v="21"/>
    <x v="5"/>
    <x v="6"/>
    <s v="Bow"/>
    <s v="Banned"/>
    <x v="350"/>
    <x v="109"/>
    <n v="13"/>
    <n v="85"/>
    <n v="3943"/>
    <n v="539"/>
    <n v="116"/>
    <x v="356"/>
    <n v="37"/>
    <n v="85"/>
    <n v="98"/>
    <n v="6796"/>
    <n v="817438"/>
    <x v="0"/>
    <n v="97"/>
    <s v="Rookie"/>
    <b v="0"/>
    <s v="Excellent"/>
    <s v="Normal"/>
    <s v="Medium"/>
    <s v="Tactician"/>
  </r>
  <r>
    <s v="PL0391"/>
    <s v="myra_357"/>
    <s v="Myra"/>
    <s v="Frostborn"/>
    <x v="1"/>
    <x v="0"/>
    <n v="42"/>
    <x v="2"/>
    <x v="5"/>
    <s v="Dagger"/>
    <s v="Active"/>
    <x v="184"/>
    <x v="120"/>
    <n v="130"/>
    <n v="12"/>
    <n v="2322"/>
    <n v="565"/>
    <n v="196"/>
    <x v="357"/>
    <n v="442"/>
    <n v="182"/>
    <n v="87"/>
    <n v="5868"/>
    <n v="800722"/>
    <x v="0"/>
    <n v="103"/>
    <s v="Veteran"/>
    <b v="1"/>
    <s v="Excellent"/>
    <s v="Normal"/>
    <s v="Medium"/>
    <s v="Reguler"/>
  </r>
  <r>
    <s v="PL0392"/>
    <s v="myra_588"/>
    <s v="Myra"/>
    <s v="Ironfist"/>
    <x v="7"/>
    <x v="6"/>
    <n v="95"/>
    <x v="3"/>
    <x v="3"/>
    <s v="Spear"/>
    <s v="Active"/>
    <x v="351"/>
    <x v="66"/>
    <n v="149"/>
    <n v="25"/>
    <n v="2409"/>
    <n v="207"/>
    <n v="200"/>
    <x v="358"/>
    <n v="504"/>
    <n v="57"/>
    <n v="69"/>
    <n v="5110"/>
    <n v="816231"/>
    <x v="0"/>
    <n v="98"/>
    <s v="Legend"/>
    <b v="1"/>
    <s v="Average"/>
    <s v="Normal"/>
    <s v="Medium"/>
    <s v="Reguler"/>
  </r>
  <r>
    <s v="PL0393"/>
    <s v="elara_243"/>
    <s v="Elara"/>
    <s v="Moonwhisper"/>
    <x v="6"/>
    <x v="4"/>
    <n v="43"/>
    <x v="4"/>
    <x v="2"/>
    <s v="Axe"/>
    <s v="Active"/>
    <x v="352"/>
    <x v="15"/>
    <n v="112"/>
    <n v="39"/>
    <n v="3955"/>
    <n v="959"/>
    <n v="167"/>
    <x v="359"/>
    <n v="121"/>
    <m/>
    <n v="97"/>
    <n v="452"/>
    <n v="200227"/>
    <x v="0"/>
    <n v="400"/>
    <s v="Veteran"/>
    <b v="1"/>
    <s v="Excellent"/>
    <s v="Normal"/>
    <s v="Medium"/>
    <s v="Tanker"/>
  </r>
  <r>
    <s v="PL0394"/>
    <s v="lira_273"/>
    <s v="Lira"/>
    <s v="Stormcall"/>
    <x v="8"/>
    <x v="3"/>
    <n v="13"/>
    <x v="5"/>
    <x v="0"/>
    <s v="Dagger"/>
    <s v="Retired"/>
    <x v="353"/>
    <x v="48"/>
    <n v="115"/>
    <n v="42"/>
    <n v="4965"/>
    <n v="197"/>
    <n v="271"/>
    <x v="360"/>
    <n v="923"/>
    <n v="248"/>
    <n v="74"/>
    <n v="1599"/>
    <n v="966345"/>
    <x v="1"/>
    <n v="17"/>
    <s v="Rookie"/>
    <b v="0"/>
    <s v="Excellent"/>
    <s v="Normal"/>
    <s v="Medium"/>
    <s v="Tanker"/>
  </r>
  <r>
    <s v="PL0395"/>
    <s v="zara_974"/>
    <s v="Zara"/>
    <s v="Grimstone"/>
    <x v="6"/>
    <x v="2"/>
    <n v="52"/>
    <x v="4"/>
    <x v="1"/>
    <s v="Staff"/>
    <s v="Inactive"/>
    <x v="354"/>
    <x v="33"/>
    <n v="150"/>
    <n v="133"/>
    <n v="4973"/>
    <n v="2203"/>
    <n v="342"/>
    <x v="42"/>
    <n v="423"/>
    <n v="232"/>
    <n v="87"/>
    <n v="352"/>
    <n v="841455"/>
    <x v="1"/>
    <n v="83"/>
    <s v="Elite"/>
    <b v="0"/>
    <s v="Excellent"/>
    <s v="Normal"/>
    <s v="Medium"/>
    <s v="Elity Spy"/>
  </r>
  <r>
    <s v="PL0396"/>
    <s v="theron_617"/>
    <s v="Theron"/>
    <s v="Ironfist"/>
    <x v="4"/>
    <x v="1"/>
    <n v="27"/>
    <x v="5"/>
    <x v="3"/>
    <s v="Dagger"/>
    <s v="Retired"/>
    <x v="355"/>
    <x v="4"/>
    <n v="16"/>
    <m/>
    <n v="3468"/>
    <n v="1411"/>
    <n v="146"/>
    <x v="361"/>
    <n v="889"/>
    <n v="274"/>
    <n v="80"/>
    <n v="3386"/>
    <n v="70446"/>
    <x v="1"/>
    <n v="450"/>
    <s v="Veteran"/>
    <b v="0"/>
    <s v="Excellent"/>
    <s v="Normal"/>
    <s v="Medium"/>
    <s v="Reguler"/>
  </r>
  <r>
    <s v="PL0397"/>
    <s v="finn_489"/>
    <s v="Finn"/>
    <s v="Nightfall"/>
    <x v="1"/>
    <x v="3"/>
    <n v="56"/>
    <x v="4"/>
    <x v="4"/>
    <s v="Axe"/>
    <s v="Active"/>
    <x v="356"/>
    <x v="44"/>
    <n v="70"/>
    <n v="132"/>
    <n v="1086"/>
    <n v="387"/>
    <n v="332"/>
    <x v="362"/>
    <n v="710"/>
    <n v="241"/>
    <n v="83"/>
    <n v="8018"/>
    <n v="611700"/>
    <x v="1"/>
    <n v="196"/>
    <s v="Elite"/>
    <b v="1"/>
    <s v="Excellent"/>
    <s v="Normal"/>
    <s v="Medium"/>
    <s v="Elity Spy"/>
  </r>
  <r>
    <s v="PL0398"/>
    <s v="nyx_285"/>
    <s v="Nyx"/>
    <s v="Coldwater"/>
    <x v="4"/>
    <x v="8"/>
    <n v="64"/>
    <x v="8"/>
    <x v="2"/>
    <s v="Spear"/>
    <s v="Active"/>
    <x v="357"/>
    <x v="47"/>
    <n v="69"/>
    <n v="28"/>
    <n v="1371"/>
    <n v="1219"/>
    <n v="133"/>
    <x v="363"/>
    <m/>
    <n v="58"/>
    <n v="97"/>
    <n v="9860"/>
    <n v="622081"/>
    <x v="1"/>
    <n v="191"/>
    <s v="Elite"/>
    <b v="1"/>
    <s v="Excellent"/>
    <s v="Normal"/>
    <s v="Medium"/>
    <s v="Reguler"/>
  </r>
  <r>
    <s v="PL0399"/>
    <s v="jade_804"/>
    <s v="Jade"/>
    <s v="Swiftwind"/>
    <x v="1"/>
    <x v="8"/>
    <n v="66"/>
    <x v="0"/>
    <x v="0"/>
    <s v="Wand"/>
    <s v="Retired"/>
    <x v="59"/>
    <x v="8"/>
    <n v="38"/>
    <n v="123"/>
    <n v="4882"/>
    <n v="2721"/>
    <n v="248"/>
    <x v="364"/>
    <n v="385"/>
    <n v="254"/>
    <n v="92"/>
    <n v="2455"/>
    <n v="48025"/>
    <x v="1"/>
    <n v="458"/>
    <s v="Elite"/>
    <b v="0"/>
    <s v="Excellent"/>
    <s v="Normal"/>
    <s v="Medium"/>
    <s v="Elity Spy"/>
  </r>
  <r>
    <s v="PL0400"/>
    <s v="opal_479"/>
    <s v="Opal"/>
    <s v="Goldweave"/>
    <x v="6"/>
    <x v="1"/>
    <n v="11"/>
    <x v="0"/>
    <x v="6"/>
    <s v="Wand"/>
    <s v="Active"/>
    <x v="358"/>
    <x v="39"/>
    <n v="73"/>
    <n v="88"/>
    <n v="2063"/>
    <m/>
    <m/>
    <x v="365"/>
    <n v="605"/>
    <n v="124"/>
    <n v="75"/>
    <n v="9236"/>
    <n v="943707"/>
    <x v="1"/>
    <n v="26"/>
    <s v="Rookie"/>
    <b v="1"/>
    <s v="Excellent"/>
    <s v="Normal"/>
    <s v="Medium"/>
    <s v="Tactician"/>
  </r>
  <r>
    <s v="PL0401"/>
    <s v="faye_906"/>
    <s v="Faye"/>
    <s v="Wolfsbane"/>
    <x v="0"/>
    <x v="7"/>
    <n v="49"/>
    <x v="0"/>
    <x v="2"/>
    <s v="Spear"/>
    <s v="Active"/>
    <x v="359"/>
    <x v="129"/>
    <n v="10"/>
    <n v="61"/>
    <n v="2954"/>
    <n v="2947"/>
    <n v="127"/>
    <x v="366"/>
    <n v="763"/>
    <n v="9"/>
    <n v="83"/>
    <n v="8943"/>
    <n v="512566"/>
    <x v="0"/>
    <n v="244"/>
    <s v="Veteran"/>
    <b v="1"/>
    <s v="Excellent"/>
    <s v="Normal"/>
    <s v="Medium"/>
    <s v="Reguler"/>
  </r>
  <r>
    <s v="PL0402"/>
    <s v="seth_755"/>
    <s v="Seth"/>
    <s v="Shadowstep"/>
    <x v="8"/>
    <x v="6"/>
    <n v="94"/>
    <x v="2"/>
    <x v="1"/>
    <s v="Spear"/>
    <s v="Active"/>
    <x v="360"/>
    <x v="94"/>
    <n v="97"/>
    <n v="108"/>
    <n v="4527"/>
    <n v="334"/>
    <n v="353"/>
    <x v="367"/>
    <n v="765"/>
    <n v="94"/>
    <n v="77"/>
    <n v="2800"/>
    <n v="179907"/>
    <x v="1"/>
    <n v="409"/>
    <s v="Legend"/>
    <b v="1"/>
    <s v="Excellent"/>
    <s v="Normal"/>
    <s v="Medium"/>
    <s v="Elity Spy"/>
  </r>
  <r>
    <s v="PL0403"/>
    <s v="percy_225"/>
    <s v="Percy"/>
    <s v="Flameborn"/>
    <x v="2"/>
    <x v="1"/>
    <n v="90"/>
    <x v="6"/>
    <x v="6"/>
    <s v="Fists"/>
    <s v="Inactive"/>
    <x v="361"/>
    <x v="3"/>
    <n v="145"/>
    <n v="113"/>
    <n v="1341"/>
    <n v="72"/>
    <n v="371"/>
    <x v="368"/>
    <n v="289"/>
    <n v="284"/>
    <n v="93"/>
    <n v="437"/>
    <n v="926222"/>
    <x v="0"/>
    <n v="36"/>
    <s v="Legend"/>
    <b v="0"/>
    <s v="Excellent"/>
    <s v="Overpowered"/>
    <s v="High"/>
    <s v="Tactician"/>
  </r>
  <r>
    <s v="PL0404"/>
    <s v="myra_898"/>
    <s v="Myra"/>
    <s v="Coldwater"/>
    <x v="7"/>
    <x v="4"/>
    <n v="18"/>
    <x v="1"/>
    <x v="2"/>
    <s v="Wand"/>
    <s v="Banned"/>
    <x v="362"/>
    <x v="59"/>
    <n v="131"/>
    <n v="129"/>
    <n v="2330"/>
    <n v="2497"/>
    <n v="311"/>
    <x v="369"/>
    <n v="923"/>
    <n v="236"/>
    <n v="67"/>
    <n v="6996"/>
    <n v="287992"/>
    <x v="1"/>
    <n v="359"/>
    <s v="Rookie"/>
    <b v="0"/>
    <s v="Average"/>
    <s v="Normal"/>
    <s v="Low"/>
    <s v="Squad Inti"/>
  </r>
  <r>
    <s v="PL0405"/>
    <s v="nolan_119"/>
    <s v="Nolan"/>
    <s v="Bloodthorn"/>
    <x v="2"/>
    <x v="4"/>
    <n v="38"/>
    <x v="3"/>
    <x v="5"/>
    <s v="Bow"/>
    <s v="Active"/>
    <x v="363"/>
    <x v="15"/>
    <n v="65"/>
    <n v="39"/>
    <n v="4829"/>
    <n v="1416"/>
    <n v="120"/>
    <x v="370"/>
    <n v="649"/>
    <n v="69"/>
    <n v="85"/>
    <n v="422"/>
    <n v="547147"/>
    <x v="1"/>
    <n v="229"/>
    <s v="Veteran"/>
    <b v="1"/>
    <s v="Excellent"/>
    <s v="Normal"/>
    <s v="Medium"/>
    <s v="Reguler"/>
  </r>
  <r>
    <s v="PL0406"/>
    <s v="oryn_676"/>
    <s v="Oryn"/>
    <s v="Bloodthorn"/>
    <x v="3"/>
    <x v="8"/>
    <n v="80"/>
    <x v="7"/>
    <x v="0"/>
    <s v="Spear"/>
    <s v="Active"/>
    <x v="364"/>
    <x v="4"/>
    <n v="74"/>
    <n v="28"/>
    <n v="4879"/>
    <n v="993"/>
    <n v="148"/>
    <x v="371"/>
    <n v="965"/>
    <n v="290"/>
    <n v="83"/>
    <n v="9888"/>
    <n v="760750"/>
    <x v="1"/>
    <n v="123"/>
    <s v="Legend"/>
    <b v="1"/>
    <s v="Excellent"/>
    <s v="Normal"/>
    <s v="Medium"/>
    <s v="Reguler"/>
  </r>
  <r>
    <s v="PL0407"/>
    <s v="hana_415"/>
    <s v="Hana"/>
    <s v="Wolfsbane"/>
    <x v="0"/>
    <x v="3"/>
    <n v="73"/>
    <x v="2"/>
    <x v="2"/>
    <s v="Axe"/>
    <s v="Active"/>
    <x v="365"/>
    <x v="78"/>
    <n v="107"/>
    <n v="66"/>
    <n v="4207"/>
    <n v="320"/>
    <n v="317"/>
    <x v="372"/>
    <n v="318"/>
    <n v="137"/>
    <n v="94"/>
    <n v="6219"/>
    <n v="319637"/>
    <x v="1"/>
    <n v="346"/>
    <s v="Elite"/>
    <b v="1"/>
    <s v="Excellent"/>
    <s v="Normal"/>
    <s v="Medium"/>
    <s v="Tanker"/>
  </r>
  <r>
    <s v="PL0408"/>
    <s v="nova_836"/>
    <s v="Nova"/>
    <s v="Ironfist"/>
    <x v="0"/>
    <x v="6"/>
    <n v="14"/>
    <x v="5"/>
    <x v="1"/>
    <s v="Fists"/>
    <s v="Active"/>
    <x v="366"/>
    <x v="130"/>
    <n v="88"/>
    <n v="126"/>
    <n v="3059"/>
    <n v="1001"/>
    <n v="300"/>
    <x v="373"/>
    <n v="908"/>
    <n v="129"/>
    <n v="85"/>
    <n v="9040"/>
    <n v="110702"/>
    <x v="1"/>
    <n v="431"/>
    <s v="Rookie"/>
    <b v="1"/>
    <s v="Excellent"/>
    <s v="Normal"/>
    <s v="Medium"/>
    <s v="Elity Spy"/>
  </r>
  <r>
    <s v="PL0409"/>
    <s v="nyx_664"/>
    <s v="Nyx"/>
    <s v="Wildhorn"/>
    <x v="2"/>
    <x v="3"/>
    <n v="29"/>
    <x v="0"/>
    <x v="2"/>
    <s v="Bow"/>
    <s v="Banned"/>
    <x v="367"/>
    <x v="37"/>
    <n v="54"/>
    <n v="82"/>
    <n v="2710"/>
    <n v="137"/>
    <n v="158"/>
    <x v="374"/>
    <n v="397"/>
    <n v="65"/>
    <n v="85"/>
    <n v="9432"/>
    <n v="981906"/>
    <x v="0"/>
    <n v="10"/>
    <s v="Veteran"/>
    <b v="0"/>
    <s v="Excellent"/>
    <s v="Normal"/>
    <s v="Medium"/>
    <s v="Reguler"/>
  </r>
  <r>
    <s v="PL0410"/>
    <s v="oryn_583"/>
    <s v="Oryn"/>
    <s v="Stormcall"/>
    <x v="3"/>
    <x v="1"/>
    <n v="68"/>
    <x v="4"/>
    <x v="4"/>
    <s v="Staff"/>
    <s v=""/>
    <x v="368"/>
    <x v="110"/>
    <n v="32"/>
    <n v="33"/>
    <n v="3698"/>
    <n v="1065"/>
    <n v="132"/>
    <x v="375"/>
    <n v="85"/>
    <n v="186"/>
    <n v="53"/>
    <n v="8280"/>
    <n v="106809"/>
    <x v="0"/>
    <n v="435"/>
    <s v="Elite"/>
    <b v="0"/>
    <s v="Average"/>
    <s v="Normal"/>
    <s v="Medium"/>
    <s v="Reguler"/>
  </r>
  <r>
    <s v="PL0411"/>
    <s v="mora_721"/>
    <s v="Mora"/>
    <s v="Darkmantle"/>
    <x v="2"/>
    <x v="8"/>
    <n v="2"/>
    <x v="8"/>
    <x v="4"/>
    <s v="Spear"/>
    <s v="Active"/>
    <x v="369"/>
    <x v="80"/>
    <n v="58"/>
    <n v="78"/>
    <n v="3857"/>
    <n v="903"/>
    <m/>
    <x v="376"/>
    <n v="39"/>
    <n v="49"/>
    <n v="99"/>
    <n v="315"/>
    <n v="29105"/>
    <x v="0"/>
    <n v="467"/>
    <s v="Rookie"/>
    <b v="1"/>
    <s v="Excellent"/>
    <s v="Normal"/>
    <s v="Medium"/>
    <s v="Reguler"/>
  </r>
  <r>
    <s v="PL0412"/>
    <s v="aiden_475"/>
    <s v="Aiden"/>
    <s v="Brightblade"/>
    <x v="6"/>
    <x v="2"/>
    <n v="50"/>
    <x v="8"/>
    <x v="4"/>
    <s v="Axe"/>
    <s v="Banned"/>
    <x v="370"/>
    <x v="62"/>
    <n v="130"/>
    <n v="99"/>
    <n v="779"/>
    <n v="1635"/>
    <n v="300"/>
    <x v="377"/>
    <n v="481"/>
    <n v="89"/>
    <n v="91"/>
    <n v="4772"/>
    <n v="735863"/>
    <x v="0"/>
    <n v="136"/>
    <s v="Veteran"/>
    <b v="0"/>
    <s v="Excellent"/>
    <s v="Normal"/>
    <s v="Medium"/>
    <s v="Elity Spy"/>
  </r>
  <r>
    <s v="PL0413"/>
    <s v="MIRA_140"/>
    <s v="Mira"/>
    <s v="Darkmantle"/>
    <x v="2"/>
    <x v="3"/>
    <n v="15"/>
    <x v="7"/>
    <x v="6"/>
    <s v="Bow"/>
    <s v="Active"/>
    <x v="371"/>
    <x v="12"/>
    <n v="15"/>
    <n v="113"/>
    <n v="2182"/>
    <n v="118"/>
    <n v="176"/>
    <x v="378"/>
    <n v="465"/>
    <n v="31"/>
    <n v="69"/>
    <n v="3758"/>
    <n v="452062"/>
    <x v="0"/>
    <n v="278"/>
    <s v="Rookie"/>
    <b v="1"/>
    <s v="Average"/>
    <s v="Normal"/>
    <s v="Medium"/>
    <s v="Tactician"/>
  </r>
  <r>
    <s v="PL0414"/>
    <s v="brynn_601"/>
    <s v="Brynn"/>
    <s v="Dawnrise"/>
    <x v="7"/>
    <x v="2"/>
    <n v="44"/>
    <x v="0"/>
    <x v="2"/>
    <s v="Bow"/>
    <s v="Inactive"/>
    <x v="372"/>
    <x v="76"/>
    <n v="62"/>
    <m/>
    <n v="2801"/>
    <n v="1169"/>
    <n v="197"/>
    <x v="379"/>
    <n v="45"/>
    <n v="16"/>
    <n v="99"/>
    <n v="8362"/>
    <n v="990122"/>
    <x v="1"/>
    <n v="6"/>
    <s v="Veteran"/>
    <b v="0"/>
    <s v="Excellent"/>
    <s v="Normal"/>
    <s v="Medium"/>
    <s v="Reguler"/>
  </r>
  <r>
    <s v="PL0415"/>
    <s v="hana_234"/>
    <s v="Hana"/>
    <s v="Coldwater"/>
    <x v="3"/>
    <x v="3"/>
    <n v="87"/>
    <x v="8"/>
    <x v="5"/>
    <s v="Fists"/>
    <s v="Active"/>
    <x v="373"/>
    <x v="29"/>
    <n v="111"/>
    <n v="89"/>
    <n v="721"/>
    <n v="2491"/>
    <n v="302"/>
    <x v="380"/>
    <n v="451"/>
    <n v="66"/>
    <n v="87"/>
    <n v="4347"/>
    <n v="813373"/>
    <x v="0"/>
    <n v="99"/>
    <s v="Legend"/>
    <b v="1"/>
    <s v="Excellent"/>
    <s v="Normal"/>
    <s v="High"/>
    <s v="Elity Spy"/>
  </r>
  <r>
    <s v="PL0416"/>
    <s v="EWAN_326"/>
    <s v="Ewan"/>
    <s v="Ashgrove"/>
    <x v="2"/>
    <x v="6"/>
    <n v="90"/>
    <x v="5"/>
    <x v="3"/>
    <s v="Sword"/>
    <s v="Banned"/>
    <x v="374"/>
    <x v="19"/>
    <n v="29"/>
    <n v="127"/>
    <n v="4576"/>
    <n v="2793"/>
    <n v="302"/>
    <x v="381"/>
    <n v="998"/>
    <n v="124"/>
    <n v="72"/>
    <n v="1583"/>
    <n v="426999"/>
    <x v="0"/>
    <n v="292"/>
    <s v="Legend"/>
    <b v="0"/>
    <s v="Excellent"/>
    <s v="Normal"/>
    <s v="High"/>
    <s v="Elity Spy"/>
  </r>
  <r>
    <s v="PL0417"/>
    <s v="ewan_876"/>
    <s v="Ewan"/>
    <s v="Moonwhisper"/>
    <x v="0"/>
    <x v="8"/>
    <n v="16"/>
    <x v="2"/>
    <x v="5"/>
    <s v="Wand"/>
    <s v="Banned"/>
    <x v="375"/>
    <x v="75"/>
    <m/>
    <n v="74"/>
    <n v="4940"/>
    <n v="1174"/>
    <n v="264"/>
    <x v="382"/>
    <m/>
    <n v="184"/>
    <n v="87"/>
    <n v="6945"/>
    <n v="800361"/>
    <x v="0"/>
    <n v="104"/>
    <s v="Rookie"/>
    <b v="0"/>
    <s v="Excellent"/>
    <s v="Normal"/>
    <s v="Medium"/>
    <s v="Brawler"/>
  </r>
  <r>
    <s v="PL0418"/>
    <s v="theron_628"/>
    <s v="Theron"/>
    <s v="Goldweave"/>
    <x v="3"/>
    <x v="7"/>
    <n v="84"/>
    <x v="7"/>
    <x v="5"/>
    <s v="Wand"/>
    <s v="Active"/>
    <x v="376"/>
    <x v="71"/>
    <n v="124"/>
    <n v="18"/>
    <n v="1635"/>
    <n v="829"/>
    <n v="289"/>
    <x v="383"/>
    <n v="157"/>
    <n v="164"/>
    <n v="93"/>
    <n v="941"/>
    <n v="930317"/>
    <x v="1"/>
    <n v="35"/>
    <s v="Legend"/>
    <b v="1"/>
    <s v="Excellent"/>
    <s v="Normal"/>
    <s v="Medium"/>
    <s v="Reguler"/>
  </r>
  <r>
    <s v="PL0419"/>
    <s v="mora_890"/>
    <s v="Mora"/>
    <s v="Moonwhisper"/>
    <x v="4"/>
    <x v="1"/>
    <n v="66"/>
    <x v="4"/>
    <x v="1"/>
    <s v="Wand"/>
    <s v="Active"/>
    <x v="377"/>
    <x v="7"/>
    <n v="60"/>
    <n v="148"/>
    <n v="2055"/>
    <n v="604"/>
    <n v="274"/>
    <x v="384"/>
    <n v="774"/>
    <n v="293"/>
    <n v="72"/>
    <n v="8640"/>
    <n v="502559"/>
    <x v="0"/>
    <n v="250"/>
    <s v="Elite"/>
    <b v="0"/>
    <s v="Excellent"/>
    <s v="Normal"/>
    <s v="High"/>
    <s v="Elity Spy"/>
  </r>
  <r>
    <s v="PL0420"/>
    <s v="kael_506"/>
    <s v="Kael"/>
    <s v=""/>
    <x v="7"/>
    <x v="3"/>
    <n v="92"/>
    <x v="5"/>
    <x v="2"/>
    <s v="Dagger"/>
    <s v="Active"/>
    <x v="378"/>
    <x v="89"/>
    <n v="148"/>
    <n v="134"/>
    <n v="3082"/>
    <n v="602"/>
    <n v="293"/>
    <x v="385"/>
    <n v="938"/>
    <n v="284"/>
    <n v="2"/>
    <n v="47"/>
    <n v="45907"/>
    <x v="0"/>
    <n v="460"/>
    <s v="Legend"/>
    <b v="1"/>
    <s v="Poor"/>
    <s v="Normal"/>
    <s v="Medium"/>
    <s v="Elity Spy"/>
  </r>
  <r>
    <s v="PL0421"/>
    <s v="mira_924"/>
    <s v="Mira"/>
    <s v="Shadowstep"/>
    <x v="5"/>
    <x v="7"/>
    <n v="42"/>
    <x v="7"/>
    <x v="1"/>
    <s v="Spear"/>
    <s v="Active"/>
    <x v="379"/>
    <x v="13"/>
    <n v="10"/>
    <n v="147"/>
    <n v="1379"/>
    <n v="1681"/>
    <n v="284"/>
    <x v="30"/>
    <n v="874"/>
    <n v="81"/>
    <n v="72"/>
    <n v="8561"/>
    <n v="354305"/>
    <x v="0"/>
    <n v="328"/>
    <s v="Veteran"/>
    <b v="1"/>
    <s v="Excellent"/>
    <s v="Normal"/>
    <s v="Medium"/>
    <s v="Elity Spy"/>
  </r>
  <r>
    <s v="PL0422"/>
    <s v="elara_148"/>
    <s v="Elara"/>
    <s v="Flameborn"/>
    <x v="6"/>
    <x v="1"/>
    <n v="31"/>
    <x v="7"/>
    <x v="6"/>
    <s v="Staff"/>
    <s v="Banned"/>
    <x v="380"/>
    <x v="116"/>
    <n v="23"/>
    <n v="52"/>
    <n v="2029"/>
    <n v="357"/>
    <n v="109"/>
    <x v="386"/>
    <n v="901"/>
    <n v="167"/>
    <n v="85"/>
    <n v="7122"/>
    <n v="84095"/>
    <x v="0"/>
    <n v="445"/>
    <s v="Veteran"/>
    <b v="0"/>
    <s v="Excellent"/>
    <s v="Normal"/>
    <s v="Medium"/>
    <s v="Tactician"/>
  </r>
  <r>
    <s v="PL0423"/>
    <s v="lyra_742"/>
    <s v="Lyra"/>
    <s v="Bloodthorn"/>
    <x v="7"/>
    <x v="4"/>
    <n v="51"/>
    <x v="3"/>
    <x v="1"/>
    <s v="Bow"/>
    <s v="Active"/>
    <x v="381"/>
    <x v="19"/>
    <n v="140"/>
    <n v="124"/>
    <n v="3321"/>
    <n v="1288"/>
    <n v="410"/>
    <x v="387"/>
    <n v="902"/>
    <n v="48"/>
    <n v="81"/>
    <n v="9993"/>
    <n v="291652"/>
    <x v="1"/>
    <n v="355"/>
    <s v="Elite"/>
    <b v="1"/>
    <s v="Excellent"/>
    <s v="Normal"/>
    <s v="Medium"/>
    <s v="Squad Inti"/>
  </r>
  <r>
    <s v="PL0424"/>
    <s v="yara_325"/>
    <s v="Yara"/>
    <s v="Ravencrest"/>
    <x v="4"/>
    <x v="7"/>
    <n v="30"/>
    <x v="0"/>
    <x v="6"/>
    <s v="Dagger"/>
    <s v="Inactive"/>
    <x v="382"/>
    <x v="28"/>
    <n v="69"/>
    <n v="101"/>
    <n v="503"/>
    <n v="2505"/>
    <n v="239"/>
    <x v="388"/>
    <n v="707"/>
    <n v="175"/>
    <n v="87"/>
    <n v="7987"/>
    <n v="986359"/>
    <x v="1"/>
    <n v="8"/>
    <s v="Veteran"/>
    <b v="0"/>
    <s v="Excellent"/>
    <s v="Normal"/>
    <s v="Medium"/>
    <s v="Tactician"/>
  </r>
  <r>
    <s v="PL0425"/>
    <s v="cael_856"/>
    <s v="Cael"/>
    <s v="Darkmantle"/>
    <x v="3"/>
    <x v="6"/>
    <n v="52"/>
    <x v="4"/>
    <x v="2"/>
    <s v="Wand"/>
    <s v="Retired"/>
    <x v="383"/>
    <x v="76"/>
    <n v="73"/>
    <n v="143"/>
    <m/>
    <n v="2246"/>
    <n v="244"/>
    <x v="389"/>
    <n v="450"/>
    <n v="205"/>
    <n v="89"/>
    <n v="4798"/>
    <n v="424915"/>
    <x v="1"/>
    <n v="294"/>
    <s v="Elite"/>
    <b v="0"/>
    <s v="Excellent"/>
    <s v="Normal"/>
    <s v="Medium"/>
    <s v="Elity Spy"/>
  </r>
  <r>
    <s v="PL0426"/>
    <s v="freya_712"/>
    <s v="Freya"/>
    <s v="Ironveil"/>
    <x v="1"/>
    <x v="8"/>
    <n v="33"/>
    <x v="2"/>
    <x v="5"/>
    <s v="Fists"/>
    <s v="Retired"/>
    <x v="384"/>
    <x v="73"/>
    <n v="49"/>
    <n v="56"/>
    <n v="480"/>
    <n v="2452"/>
    <n v="152"/>
    <x v="390"/>
    <n v="563"/>
    <n v="123"/>
    <n v="73"/>
    <n v="2963"/>
    <m/>
    <x v="0"/>
    <n v="486"/>
    <s v="Veteran"/>
    <b v="0"/>
    <s v="Excellent"/>
    <s v="Normal"/>
    <s v="Medium"/>
    <s v="Reguler"/>
  </r>
  <r>
    <s v="PL0427"/>
    <s v="lyra_593"/>
    <s v="Lyra"/>
    <s v="Ironveil"/>
    <x v="3"/>
    <x v="1"/>
    <m/>
    <x v="1"/>
    <x v="4"/>
    <s v="Spear"/>
    <s v="Active"/>
    <x v="385"/>
    <x v="55"/>
    <n v="25"/>
    <n v="121"/>
    <n v="4103"/>
    <n v="817"/>
    <n v="216"/>
    <x v="391"/>
    <n v="948"/>
    <n v="222"/>
    <n v="46"/>
    <n v="139"/>
    <n v="161850"/>
    <x v="0"/>
    <n v="418"/>
    <s v="Rookie"/>
    <b v="1"/>
    <s v="Average"/>
    <s v="Normal"/>
    <s v="Medium"/>
    <s v="Elity Spy"/>
  </r>
  <r>
    <s v="PL0428"/>
    <s v="ROSA_861"/>
    <s v="Rosa"/>
    <s v="Shadowstep"/>
    <x v="4"/>
    <x v="4"/>
    <n v="100"/>
    <x v="8"/>
    <x v="3"/>
    <s v="Wand"/>
    <s v="Active"/>
    <x v="386"/>
    <x v="120"/>
    <n v="10"/>
    <n v="132"/>
    <n v="421"/>
    <n v="444"/>
    <n v="196"/>
    <x v="392"/>
    <n v="817"/>
    <n v="62"/>
    <n v="68"/>
    <n v="1679"/>
    <n v="134947"/>
    <x v="0"/>
    <n v="425"/>
    <s v="Legend"/>
    <b v="1"/>
    <s v="Average"/>
    <s v="Normal"/>
    <s v="Medium"/>
    <s v="Elity Spy"/>
  </r>
  <r>
    <s v="PL0429"/>
    <s v="aria_621"/>
    <s v="Aria"/>
    <s v="Ravencrest"/>
    <x v="7"/>
    <x v="8"/>
    <n v="43"/>
    <x v="3"/>
    <x v="2"/>
    <s v="Fists"/>
    <s v="Active"/>
    <x v="387"/>
    <x v="124"/>
    <n v="72"/>
    <n v="136"/>
    <n v="1641"/>
    <n v="2429"/>
    <n v="233"/>
    <x v="393"/>
    <n v="787"/>
    <n v="159"/>
    <n v="75"/>
    <n v="3764"/>
    <n v="627261"/>
    <x v="0"/>
    <n v="189"/>
    <s v="Veteran"/>
    <b v="0"/>
    <s v="Excellent"/>
    <s v="Normal"/>
    <s v="Medium"/>
    <s v="Elity Spy"/>
  </r>
  <r>
    <s v="PL0430"/>
    <s v="faye_224"/>
    <s v="Faye"/>
    <s v="Stoneback"/>
    <x v="8"/>
    <x v="4"/>
    <n v="78"/>
    <x v="4"/>
    <x v="1"/>
    <s v="Sword"/>
    <s v="Active"/>
    <x v="388"/>
    <x v="41"/>
    <n v="46"/>
    <n v="17"/>
    <n v="4680"/>
    <n v="2623"/>
    <n v="183"/>
    <x v="394"/>
    <n v="498"/>
    <n v="31"/>
    <n v="91"/>
    <n v="4809"/>
    <n v="504525"/>
    <x v="1"/>
    <n v="248"/>
    <s v="Legend"/>
    <b v="1"/>
    <s v="Excellent"/>
    <s v="Normal"/>
    <s v="Medium"/>
    <s v="Ranger"/>
  </r>
  <r>
    <s v="PL0431"/>
    <s v="nolan_159"/>
    <s v="Nolan"/>
    <s v="Bloodthorn"/>
    <x v="0"/>
    <x v="7"/>
    <n v="2"/>
    <x v="1"/>
    <x v="1"/>
    <s v="Dagger"/>
    <s v="Retired"/>
    <x v="389"/>
    <x v="77"/>
    <n v="15"/>
    <n v="129"/>
    <n v="2606"/>
    <n v="1393"/>
    <n v="280"/>
    <x v="65"/>
    <n v="378"/>
    <n v="75"/>
    <n v="83"/>
    <n v="7389"/>
    <n v="697241"/>
    <x v="1"/>
    <n v="151"/>
    <s v="Rookie"/>
    <b v="0"/>
    <s v="Excellent"/>
    <s v="Normal"/>
    <s v="Medium"/>
    <s v="Elity Spy"/>
  </r>
  <r>
    <s v="PL0432"/>
    <s v="theron_499"/>
    <s v="Theron"/>
    <s v="Goldweave"/>
    <x v="2"/>
    <x v="8"/>
    <n v="31"/>
    <x v="3"/>
    <x v="0"/>
    <s v="Dagger"/>
    <s v="Active"/>
    <x v="275"/>
    <x v="21"/>
    <n v="66"/>
    <n v="15"/>
    <n v="706"/>
    <n v="2565"/>
    <m/>
    <x v="395"/>
    <n v="821"/>
    <n v="146"/>
    <n v="84"/>
    <n v="3881"/>
    <n v="548888"/>
    <x v="0"/>
    <n v="228"/>
    <s v="Veteran"/>
    <b v="1"/>
    <s v="Excellent"/>
    <s v="Normal"/>
    <s v="Medium"/>
    <s v="Reguler"/>
  </r>
  <r>
    <s v="PL0433"/>
    <s v="lyra_610"/>
    <s v="Lyra"/>
    <s v="Darkthorn"/>
    <x v="2"/>
    <x v="6"/>
    <n v="78"/>
    <x v="0"/>
    <x v="2"/>
    <s v="Dagger"/>
    <s v="Active"/>
    <x v="390"/>
    <x v="98"/>
    <n v="26"/>
    <n v="130"/>
    <n v="368"/>
    <n v="966"/>
    <n v="255"/>
    <x v="396"/>
    <n v="824"/>
    <n v="250"/>
    <n v="85"/>
    <n v="1044"/>
    <n v="971305"/>
    <x v="0"/>
    <n v="14"/>
    <s v="Legend"/>
    <b v="1"/>
    <s v="Excellent"/>
    <s v="Normal"/>
    <s v="High"/>
    <s v="Elity Spy"/>
  </r>
  <r>
    <s v="PL0434"/>
    <s v="grim_563"/>
    <s v="Grim"/>
    <s v="Flameborn"/>
    <x v="4"/>
    <x v="1"/>
    <n v="89"/>
    <x v="2"/>
    <x v="1"/>
    <s v="Wand"/>
    <s v="Active"/>
    <x v="391"/>
    <x v="67"/>
    <n v="80"/>
    <n v="88"/>
    <m/>
    <n v="299"/>
    <n v="250"/>
    <x v="397"/>
    <n v="725"/>
    <n v="220"/>
    <n v="78"/>
    <n v="5757"/>
    <n v="214633"/>
    <x v="1"/>
    <n v="394"/>
    <s v="Legend"/>
    <b v="1"/>
    <s v="Excellent"/>
    <s v="Normal"/>
    <s v="Medium"/>
    <s v="Elity Spy"/>
  </r>
  <r>
    <s v="PL0435"/>
    <s v="BRYNN_853"/>
    <s v="Brynn"/>
    <s v="Stormcall"/>
    <x v="6"/>
    <x v="4"/>
    <n v="25"/>
    <x v="3"/>
    <x v="0"/>
    <s v="Wand"/>
    <s v="Active"/>
    <x v="392"/>
    <x v="86"/>
    <n v="108"/>
    <n v="52"/>
    <n v="4189"/>
    <n v="2613"/>
    <n v="180"/>
    <x v="398"/>
    <n v="237"/>
    <n v="35"/>
    <n v="84"/>
    <n v="8955"/>
    <n v="207356"/>
    <x v="1"/>
    <n v="396"/>
    <s v="Rookie"/>
    <b v="1"/>
    <s v="Excellent"/>
    <s v="Normal"/>
    <s v="Medium"/>
    <s v="Tanker"/>
  </r>
  <r>
    <s v="PL0436"/>
    <s v="brynn_919"/>
    <s v="Brynn"/>
    <s v="Ravencrest"/>
    <x v="6"/>
    <x v="0"/>
    <n v="49"/>
    <x v="7"/>
    <x v="0"/>
    <s v="Fists"/>
    <s v="Active"/>
    <x v="393"/>
    <x v="51"/>
    <n v="64"/>
    <n v="62"/>
    <n v="4897"/>
    <m/>
    <n v="170"/>
    <x v="399"/>
    <n v="218"/>
    <n v="43"/>
    <n v="90"/>
    <n v="633"/>
    <n v="493928"/>
    <x v="1"/>
    <n v="256"/>
    <s v="Veteran"/>
    <b v="1"/>
    <s v="Excellent"/>
    <s v="Normal"/>
    <s v="Medium"/>
    <s v="Reguler"/>
  </r>
  <r>
    <s v="PL0437"/>
    <s v="aria_431"/>
    <s v=""/>
    <s v="Ashgrove"/>
    <x v="5"/>
    <x v="1"/>
    <n v="44"/>
    <x v="2"/>
    <x v="3"/>
    <s v="Sword"/>
    <s v="Active"/>
    <x v="394"/>
    <x v="31"/>
    <n v="105"/>
    <n v="25"/>
    <n v="4350"/>
    <n v="156"/>
    <n v="163"/>
    <x v="400"/>
    <n v="65"/>
    <n v="6"/>
    <n v="97"/>
    <n v="9610"/>
    <n v="523695"/>
    <x v="0"/>
    <n v="238"/>
    <s v="Veteran"/>
    <b v="1"/>
    <s v="Excellent"/>
    <s v="Normal"/>
    <s v="Medium"/>
    <s v="Tanker"/>
  </r>
  <r>
    <s v="PL0438"/>
    <s v="ewan_835"/>
    <s v="Ewan"/>
    <s v="Wildhorn"/>
    <x v="7"/>
    <x v="1"/>
    <n v="49"/>
    <x v="7"/>
    <x v="6"/>
    <s v="Axe"/>
    <s v="Retired"/>
    <x v="395"/>
    <x v="50"/>
    <n v="35"/>
    <n v="104"/>
    <n v="165"/>
    <n v="637"/>
    <n v="189"/>
    <x v="401"/>
    <n v="248"/>
    <n v="294"/>
    <n v="76"/>
    <n v="2843"/>
    <n v="656549"/>
    <x v="1"/>
    <n v="172"/>
    <s v="Veteran"/>
    <b v="0"/>
    <s v="Excellent"/>
    <s v="Normal"/>
    <s v="Medium"/>
    <s v="Tactician"/>
  </r>
  <r>
    <s v="PL0439"/>
    <s v="cedric_134"/>
    <s v="Cedric"/>
    <s v="Silverbow"/>
    <x v="8"/>
    <x v="0"/>
    <n v="56"/>
    <x v="0"/>
    <x v="6"/>
    <s v="Axe"/>
    <s v="Retired"/>
    <x v="396"/>
    <x v="61"/>
    <n v="122"/>
    <n v="79"/>
    <m/>
    <n v="2555"/>
    <n v="231"/>
    <x v="402"/>
    <n v="90"/>
    <n v="83"/>
    <n v="96"/>
    <n v="7273"/>
    <n v="62372"/>
    <x v="1"/>
    <n v="454"/>
    <s v="Elite"/>
    <b v="0"/>
    <s v="Excellent"/>
    <s v="Normal"/>
    <s v="Medium"/>
    <s v="Tactician"/>
  </r>
  <r>
    <s v="PL0440"/>
    <s v="myra_422"/>
    <s v="Myra"/>
    <s v="Coldwater"/>
    <x v="2"/>
    <x v="2"/>
    <n v="2"/>
    <x v="1"/>
    <x v="4"/>
    <s v="Dagger"/>
    <s v="Active"/>
    <x v="397"/>
    <x v="103"/>
    <n v="90"/>
    <n v="136"/>
    <n v="2711"/>
    <n v="2905"/>
    <n v="284"/>
    <x v="30"/>
    <n v="111"/>
    <n v="140"/>
    <n v="86"/>
    <n v="8963"/>
    <n v="362743"/>
    <x v="1"/>
    <n v="323"/>
    <s v="Rookie"/>
    <b v="1"/>
    <s v="Excellent"/>
    <s v="Normal"/>
    <s v="Medium"/>
    <s v="Elity Spy"/>
  </r>
  <r>
    <s v="PL0441"/>
    <s v="leon_608"/>
    <s v="Leon"/>
    <s v="Brightblade"/>
    <x v="4"/>
    <x v="0"/>
    <n v="80"/>
    <x v="3"/>
    <x v="2"/>
    <s v="Dagger"/>
    <s v="Active"/>
    <x v="256"/>
    <x v="118"/>
    <n v="130"/>
    <n v="16"/>
    <n v="4403"/>
    <n v="173"/>
    <n v="255"/>
    <x v="403"/>
    <n v="15"/>
    <n v="23"/>
    <n v="100"/>
    <n v="4294"/>
    <m/>
    <x v="0"/>
    <n v="486"/>
    <s v="Legend"/>
    <b v="1"/>
    <s v="Excellent"/>
    <s v="Normal"/>
    <s v="High"/>
    <s v="Tanker"/>
  </r>
  <r>
    <s v="PL0442"/>
    <s v="aiden_782"/>
    <s v="Aiden"/>
    <s v="Flameborn"/>
    <x v="2"/>
    <x v="6"/>
    <n v="43"/>
    <x v="2"/>
    <x v="1"/>
    <s v="Spear"/>
    <s v="Inactive"/>
    <x v="398"/>
    <x v="56"/>
    <n v="101"/>
    <n v="52"/>
    <n v="4374"/>
    <n v="964"/>
    <n v="290"/>
    <x v="404"/>
    <n v="798"/>
    <n v="195"/>
    <n v="84"/>
    <n v="9088"/>
    <n v="336695"/>
    <x v="1"/>
    <n v="340"/>
    <s v="Veteran"/>
    <b v="0"/>
    <s v="Excellent"/>
    <s v="Normal"/>
    <s v="Medium"/>
    <s v="Tanker"/>
  </r>
  <r>
    <s v="PL0443"/>
    <s v="dune_711"/>
    <s v="Dune"/>
    <s v="Nightfall"/>
    <x v="0"/>
    <x v="7"/>
    <n v="78"/>
    <x v="3"/>
    <x v="6"/>
    <s v="Axe"/>
    <s v="Banned"/>
    <x v="399"/>
    <x v="18"/>
    <n v="16"/>
    <n v="55"/>
    <n v="1403"/>
    <n v="1653"/>
    <m/>
    <x v="405"/>
    <n v="778"/>
    <n v="70"/>
    <n v="82"/>
    <n v="4517"/>
    <m/>
    <x v="1"/>
    <n v="486"/>
    <s v="Legend"/>
    <b v="0"/>
    <s v="Excellent"/>
    <s v="Normal"/>
    <s v="Medium"/>
    <s v="Tactician"/>
  </r>
  <r>
    <s v="PL0444"/>
    <s v="kira_305"/>
    <s v="Kira"/>
    <s v="Moonwhisper"/>
    <x v="4"/>
    <x v="1"/>
    <n v="85"/>
    <x v="8"/>
    <x v="4"/>
    <s v="Wand"/>
    <s v="Active"/>
    <x v="400"/>
    <x v="102"/>
    <m/>
    <n v="147"/>
    <n v="3662"/>
    <n v="467"/>
    <n v="358"/>
    <x v="406"/>
    <n v="139"/>
    <n v="248"/>
    <n v="96"/>
    <n v="1282"/>
    <n v="960532"/>
    <x v="0"/>
    <n v="18"/>
    <s v="Legend"/>
    <b v="1"/>
    <s v="Excellent"/>
    <s v="Overpowered"/>
    <s v="High"/>
    <s v="Elity Spy"/>
  </r>
  <r>
    <s v="PL0445"/>
    <s v="myra_930"/>
    <s v="Myra"/>
    <s v="Ironveil"/>
    <x v="0"/>
    <x v="4"/>
    <n v="11"/>
    <x v="8"/>
    <x v="3"/>
    <s v="Axe"/>
    <s v="Active"/>
    <x v="401"/>
    <x v="112"/>
    <n v="150"/>
    <n v="117"/>
    <n v="653"/>
    <m/>
    <n v="371"/>
    <x v="407"/>
    <n v="502"/>
    <n v="19"/>
    <n v="89"/>
    <n v="1708"/>
    <n v="362603"/>
    <x v="1"/>
    <n v="324"/>
    <s v="Rookie"/>
    <b v="1"/>
    <s v="Excellent"/>
    <s v="Normal"/>
    <s v="Medium"/>
    <s v="Squad Inti"/>
  </r>
  <r>
    <s v="PL0446"/>
    <s v="roran_231"/>
    <s v="Roran"/>
    <s v="Brightblade"/>
    <x v="3"/>
    <x v="8"/>
    <n v="37"/>
    <x v="0"/>
    <x v="0"/>
    <s v="Staff"/>
    <s v="Banned"/>
    <x v="402"/>
    <x v="44"/>
    <n v="90"/>
    <n v="31"/>
    <n v="298"/>
    <n v="888"/>
    <n v="251"/>
    <x v="408"/>
    <n v="305"/>
    <n v="93"/>
    <n v="89"/>
    <n v="2337"/>
    <n v="45389"/>
    <x v="1"/>
    <n v="461"/>
    <s v="Veteran"/>
    <b v="0"/>
    <s v="Excellent"/>
    <s v="Normal"/>
    <s v="Medium"/>
    <s v="Reguler"/>
  </r>
  <r>
    <s v="PL0447"/>
    <s v="delia_645"/>
    <s v="Delia"/>
    <s v="Ironfist"/>
    <x v="7"/>
    <x v="7"/>
    <n v="70"/>
    <x v="3"/>
    <x v="4"/>
    <s v="Staff"/>
    <s v="Retired"/>
    <x v="403"/>
    <x v="7"/>
    <n v="99"/>
    <n v="129"/>
    <n v="785"/>
    <n v="763"/>
    <n v="294"/>
    <x v="409"/>
    <m/>
    <n v="202"/>
    <n v="69"/>
    <n v="6222"/>
    <n v="920365"/>
    <x v="1"/>
    <n v="39"/>
    <s v="Elite"/>
    <b v="0"/>
    <s v="Average"/>
    <s v="Normal"/>
    <s v="Medium"/>
    <s v="Elity Spy"/>
  </r>
  <r>
    <s v="PL0448"/>
    <s v="torin_737"/>
    <s v="Torin"/>
    <s v="Lightfoot"/>
    <x v="6"/>
    <x v="7"/>
    <n v="16"/>
    <x v="4"/>
    <x v="1"/>
    <s v="Fists"/>
    <s v="Active"/>
    <x v="404"/>
    <x v="61"/>
    <n v="19"/>
    <n v="43"/>
    <n v="4902"/>
    <n v="2068"/>
    <n v="92"/>
    <x v="410"/>
    <n v="382"/>
    <n v="218"/>
    <n v="79"/>
    <n v="9493"/>
    <n v="112784"/>
    <x v="1"/>
    <n v="429"/>
    <s v="Rookie"/>
    <b v="1"/>
    <s v="Excellent"/>
    <s v="Normal"/>
    <s v="Medium"/>
    <s v="Ranger"/>
  </r>
  <r>
    <s v="PL0449"/>
    <s v="vex_484"/>
    <s v="Vex"/>
    <s v=""/>
    <x v="6"/>
    <x v="1"/>
    <n v="49"/>
    <x v="1"/>
    <x v="0"/>
    <s v="Bow"/>
    <s v="Active"/>
    <x v="405"/>
    <x v="50"/>
    <n v="86"/>
    <n v="72"/>
    <n v="2217"/>
    <n v="383"/>
    <n v="208"/>
    <x v="411"/>
    <n v="601"/>
    <n v="167"/>
    <n v="83"/>
    <n v="9504"/>
    <n v="701972"/>
    <x v="0"/>
    <n v="147"/>
    <s v="Veteran"/>
    <b v="1"/>
    <s v="Excellent"/>
    <s v="Normal"/>
    <s v="Medium"/>
    <s v="Reguler"/>
  </r>
  <r>
    <s v="PL0450"/>
    <s v="zara_777"/>
    <s v="Zara"/>
    <s v="Ashgrove"/>
    <x v="0"/>
    <x v="6"/>
    <n v="79"/>
    <x v="3"/>
    <x v="3"/>
    <s v="Wand"/>
    <s v="Retired"/>
    <x v="406"/>
    <x v="122"/>
    <n v="32"/>
    <n v="136"/>
    <n v="2187"/>
    <n v="2829"/>
    <n v="211"/>
    <x v="412"/>
    <n v="485"/>
    <n v="47"/>
    <n v="90"/>
    <n v="5368"/>
    <n v="367987"/>
    <x v="0"/>
    <n v="320"/>
    <s v="Legend"/>
    <b v="0"/>
    <s v="Excellent"/>
    <s v="Normal"/>
    <s v="High"/>
    <s v="Elity Spy"/>
  </r>
  <r>
    <s v="PL0451"/>
    <s v="rosa_579"/>
    <s v="Rosa"/>
    <s v="Stormcall"/>
    <x v="2"/>
    <x v="3"/>
    <n v="24"/>
    <x v="1"/>
    <x v="0"/>
    <s v="Wand"/>
    <s v="Retired"/>
    <x v="407"/>
    <x v="78"/>
    <n v="75"/>
    <n v="28"/>
    <n v="2842"/>
    <n v="2154"/>
    <n v="247"/>
    <x v="413"/>
    <n v="157"/>
    <n v="32"/>
    <n v="96"/>
    <n v="6088"/>
    <n v="177075"/>
    <x v="0"/>
    <n v="411"/>
    <s v="Rookie"/>
    <b v="0"/>
    <s v="Excellent"/>
    <s v="Normal"/>
    <s v="Medium"/>
    <s v="Reguler"/>
  </r>
  <r>
    <s v="PL0452"/>
    <s v="freya_913"/>
    <s v="Freya"/>
    <s v="Goldweave"/>
    <x v="4"/>
    <x v="2"/>
    <n v="96"/>
    <x v="4"/>
    <x v="2"/>
    <s v="Sword"/>
    <s v="Inactive"/>
    <x v="408"/>
    <x v="86"/>
    <n v="29"/>
    <n v="119"/>
    <n v="4211"/>
    <n v="52"/>
    <n v="168"/>
    <x v="414"/>
    <n v="66"/>
    <n v="260"/>
    <n v="98"/>
    <n v="2135"/>
    <n v="696503"/>
    <x v="1"/>
    <n v="154"/>
    <s v="Legend"/>
    <b v="0"/>
    <s v="Excellent"/>
    <s v="Normal"/>
    <s v="Medium"/>
    <s v="Elity Spy"/>
  </r>
  <r>
    <s v="PL0453"/>
    <s v="delia_982"/>
    <s v="Delia"/>
    <s v="Dawnrise"/>
    <x v="7"/>
    <x v="2"/>
    <n v="50"/>
    <x v="5"/>
    <x v="0"/>
    <s v="Dagger"/>
    <s v="Retired"/>
    <x v="409"/>
    <x v="24"/>
    <n v="36"/>
    <n v="61"/>
    <n v="2267"/>
    <n v="1560"/>
    <n v="207"/>
    <x v="30"/>
    <n v="147"/>
    <n v="132"/>
    <n v="85"/>
    <n v="3555"/>
    <n v="790213"/>
    <x v="1"/>
    <n v="114"/>
    <s v="Veteran"/>
    <b v="0"/>
    <s v="Excellent"/>
    <s v="Normal"/>
    <s v="Medium"/>
    <s v="Brawler"/>
  </r>
  <r>
    <s v="PL0454"/>
    <s v="yara_896"/>
    <s v="Yara"/>
    <s v="Flameborn"/>
    <x v="2"/>
    <x v="2"/>
    <n v="53"/>
    <x v="7"/>
    <x v="6"/>
    <s v="Sword"/>
    <s v="Banned"/>
    <x v="410"/>
    <x v="131"/>
    <n v="48"/>
    <n v="70"/>
    <n v="4211"/>
    <n v="940"/>
    <n v="159"/>
    <x v="415"/>
    <n v="647"/>
    <n v="12"/>
    <n v="0"/>
    <n v="9367"/>
    <n v="144249"/>
    <x v="0"/>
    <n v="421"/>
    <s v="Elite"/>
    <b v="0"/>
    <s v="Poor"/>
    <s v="Normal"/>
    <s v="Medium"/>
    <s v="Tactician"/>
  </r>
  <r>
    <s v="PL0455"/>
    <s v="torin_774"/>
    <s v=""/>
    <s v="Darkthorn"/>
    <x v="4"/>
    <x v="0"/>
    <n v="81"/>
    <x v="4"/>
    <x v="2"/>
    <s v="Dagger"/>
    <s v="Retired"/>
    <x v="278"/>
    <x v="70"/>
    <n v="75"/>
    <n v="60"/>
    <n v="2886"/>
    <n v="2679"/>
    <n v="258"/>
    <x v="416"/>
    <n v="681"/>
    <n v="225"/>
    <n v="65"/>
    <n v="885"/>
    <n v="849000"/>
    <x v="1"/>
    <n v="78"/>
    <s v="Legend"/>
    <b v="0"/>
    <s v="Average"/>
    <s v="Normal"/>
    <s v="Medium"/>
    <s v="Brawler"/>
  </r>
  <r>
    <s v="PL0456"/>
    <s v="finn_266"/>
    <s v="Finn"/>
    <s v="Frostborn"/>
    <x v="0"/>
    <x v="0"/>
    <n v="86"/>
    <x v="2"/>
    <x v="6"/>
    <s v="Staff"/>
    <s v="Retired"/>
    <x v="411"/>
    <x v="132"/>
    <n v="22"/>
    <n v="65"/>
    <n v="1773"/>
    <n v="1107"/>
    <n v="104"/>
    <x v="417"/>
    <n v="393"/>
    <n v="254"/>
    <n v="89"/>
    <n v="1328"/>
    <n v="82083"/>
    <x v="1"/>
    <n v="447"/>
    <s v="Legend"/>
    <b v="0"/>
    <s v="Excellent"/>
    <s v="Normal"/>
    <s v="Medium"/>
    <s v="Tactician"/>
  </r>
  <r>
    <s v="PL0457"/>
    <s v="cedric_740"/>
    <s v="Cedric"/>
    <s v=""/>
    <x v="7"/>
    <x v="6"/>
    <n v="53"/>
    <x v="2"/>
    <x v="4"/>
    <s v="Dagger"/>
    <s v="Active"/>
    <x v="412"/>
    <x v="76"/>
    <n v="35"/>
    <n v="112"/>
    <n v="4730"/>
    <n v="365"/>
    <n v="175"/>
    <x v="418"/>
    <n v="406"/>
    <n v="30"/>
    <n v="83"/>
    <n v="603"/>
    <n v="857803"/>
    <x v="1"/>
    <n v="72"/>
    <s v="Elite"/>
    <b v="1"/>
    <s v="Excellent"/>
    <s v="Normal"/>
    <s v="Medium"/>
    <s v="Elity Spy"/>
  </r>
  <r>
    <s v="PL0458"/>
    <s v="myra_488"/>
    <s v="Myra"/>
    <s v="Flameborn"/>
    <x v="2"/>
    <x v="7"/>
    <n v="15"/>
    <x v="0"/>
    <x v="3"/>
    <s v="Sword"/>
    <s v="Active"/>
    <x v="75"/>
    <x v="96"/>
    <n v="18"/>
    <n v="62"/>
    <n v="1227"/>
    <n v="1219"/>
    <n v="191"/>
    <x v="96"/>
    <n v="174"/>
    <n v="21"/>
    <n v="94"/>
    <n v="2182"/>
    <n v="425995"/>
    <x v="0"/>
    <n v="293"/>
    <s v="Rookie"/>
    <b v="1"/>
    <s v="Excellent"/>
    <s v="Normal"/>
    <s v="Medium"/>
    <s v="Brawler"/>
  </r>
  <r>
    <s v="PL0459"/>
    <s v="jade_954"/>
    <s v="Jade"/>
    <s v="Lightfoot"/>
    <x v="6"/>
    <x v="3"/>
    <n v="52"/>
    <x v="3"/>
    <x v="5"/>
    <s v="Spear"/>
    <s v="Banned"/>
    <x v="413"/>
    <x v="121"/>
    <n v="139"/>
    <n v="132"/>
    <n v="1100"/>
    <n v="2824"/>
    <n v="344"/>
    <x v="419"/>
    <n v="851"/>
    <n v="21"/>
    <n v="81"/>
    <n v="3414"/>
    <n v="309775"/>
    <x v="1"/>
    <n v="348"/>
    <s v="Elite"/>
    <b v="0"/>
    <s v="Excellent"/>
    <s v="Normal"/>
    <s v="Medium"/>
    <s v="Elity Spy"/>
  </r>
  <r>
    <s v="PL0460"/>
    <s v="kira_100"/>
    <s v="Kira"/>
    <s v="Lightfoot"/>
    <x v="1"/>
    <x v="0"/>
    <n v="72"/>
    <x v="2"/>
    <x v="2"/>
    <s v="Staff"/>
    <s v="Active"/>
    <x v="414"/>
    <x v="64"/>
    <n v="148"/>
    <n v="138"/>
    <n v="1634"/>
    <n v="709"/>
    <n v="298"/>
    <x v="398"/>
    <n v="782"/>
    <n v="268"/>
    <n v="61"/>
    <n v="6159"/>
    <n v="943688"/>
    <x v="1"/>
    <n v="27"/>
    <s v="Elite"/>
    <b v="0"/>
    <s v="Average"/>
    <s v="Normal"/>
    <s v="Medium"/>
    <s v="Elity Spy"/>
  </r>
  <r>
    <s v="PL0461"/>
    <s v="sable_492"/>
    <s v="Sable"/>
    <s v="Moonwhisper"/>
    <x v="6"/>
    <x v="8"/>
    <n v="18"/>
    <x v="7"/>
    <x v="2"/>
    <s v="Wand"/>
    <s v="Active"/>
    <x v="218"/>
    <x v="3"/>
    <n v="27"/>
    <n v="125"/>
    <n v="813"/>
    <n v="1039"/>
    <m/>
    <x v="420"/>
    <n v="972"/>
    <n v="107"/>
    <n v="69"/>
    <n v="9165"/>
    <n v="884369"/>
    <x v="1"/>
    <n v="60"/>
    <s v="Rookie"/>
    <b v="1"/>
    <s v="Average"/>
    <s v="Normal"/>
    <s v="Low"/>
    <s v="Elity Spy"/>
  </r>
  <r>
    <s v="PL0462"/>
    <s v="kira_470"/>
    <s v="Kira"/>
    <s v="Dawnrise"/>
    <x v="6"/>
    <x v="6"/>
    <n v="9"/>
    <x v="0"/>
    <x v="1"/>
    <s v="Dagger"/>
    <s v="Active"/>
    <x v="415"/>
    <x v="1"/>
    <n v="48"/>
    <n v="105"/>
    <n v="3485"/>
    <n v="463"/>
    <n v="241"/>
    <x v="421"/>
    <n v="148"/>
    <n v="28"/>
    <n v="91"/>
    <n v="9696"/>
    <n v="46231"/>
    <x v="1"/>
    <n v="459"/>
    <s v="Rookie"/>
    <b v="1"/>
    <s v="Excellent"/>
    <s v="Normal"/>
    <s v="Medium"/>
    <s v="Elity Spy"/>
  </r>
  <r>
    <s v="PL0463"/>
    <s v="grim_548"/>
    <s v="Grim"/>
    <s v="Goldweave"/>
    <x v="0"/>
    <x v="3"/>
    <n v="71"/>
    <x v="3"/>
    <x v="1"/>
    <s v="Axe"/>
    <s v="Retired"/>
    <x v="141"/>
    <x v="111"/>
    <n v="55"/>
    <n v="34"/>
    <n v="4208"/>
    <n v="1404"/>
    <n v="178"/>
    <x v="422"/>
    <n v="874"/>
    <n v="256"/>
    <n v="80"/>
    <n v="9488"/>
    <n v="108077"/>
    <x v="1"/>
    <n v="434"/>
    <s v="Elite"/>
    <b v="0"/>
    <s v="Excellent"/>
    <s v="Normal"/>
    <s v="Medium"/>
    <s v="Ranger"/>
  </r>
  <r>
    <s v="PL0464"/>
    <s v="gareth_708"/>
    <s v="Gareth"/>
    <s v="Ironveil"/>
    <x v="3"/>
    <x v="8"/>
    <n v="55"/>
    <x v="7"/>
    <x v="2"/>
    <s v="Staff"/>
    <s v="Inactive"/>
    <x v="232"/>
    <x v="78"/>
    <n v="50"/>
    <n v="18"/>
    <n v="3220"/>
    <n v="409"/>
    <n v="212"/>
    <x v="423"/>
    <n v="198"/>
    <n v="111"/>
    <n v="0"/>
    <n v="5816"/>
    <n v="512892"/>
    <x v="1"/>
    <n v="243"/>
    <s v="Elite"/>
    <b v="0"/>
    <s v="Poor"/>
    <s v="Normal"/>
    <s v="Medium"/>
    <s v="Reguler"/>
  </r>
  <r>
    <s v="PL0465"/>
    <s v="sable_668"/>
    <s v="Sable"/>
    <s v="Flameborn"/>
    <x v="4"/>
    <x v="4"/>
    <n v="68"/>
    <x v="7"/>
    <x v="1"/>
    <s v="Wand"/>
    <s v="Active"/>
    <x v="416"/>
    <x v="91"/>
    <n v="108"/>
    <n v="68"/>
    <n v="199"/>
    <n v="1969"/>
    <n v="266"/>
    <x v="424"/>
    <n v="537"/>
    <n v="78"/>
    <n v="87"/>
    <n v="6658"/>
    <n v="3185"/>
    <x v="0"/>
    <n v="485"/>
    <s v="Elite"/>
    <b v="1"/>
    <s v="Excellent"/>
    <s v="Normal"/>
    <s v="High"/>
    <s v="Brawler"/>
  </r>
  <r>
    <s v="PL0466"/>
    <s v="brix_401"/>
    <s v="Brix"/>
    <s v="Lightfoot"/>
    <x v="6"/>
    <x v="8"/>
    <n v="51"/>
    <x v="5"/>
    <x v="4"/>
    <s v="Axe"/>
    <s v="Active"/>
    <x v="417"/>
    <x v="78"/>
    <n v="123"/>
    <n v="137"/>
    <n v="1194"/>
    <n v="598"/>
    <n v="404"/>
    <x v="425"/>
    <n v="208"/>
    <n v="291"/>
    <n v="92"/>
    <n v="7250"/>
    <n v="611480"/>
    <x v="1"/>
    <n v="197"/>
    <s v="Elite"/>
    <b v="1"/>
    <s v="Excellent"/>
    <s v="Normal"/>
    <s v="Medium"/>
    <s v="Elity Spy"/>
  </r>
  <r>
    <s v="PL0467"/>
    <s v="gareth_524"/>
    <s v="Gareth"/>
    <s v="Lightfoot"/>
    <x v="2"/>
    <x v="6"/>
    <n v="8"/>
    <x v="3"/>
    <x v="3"/>
    <s v="Dagger"/>
    <s v="Retired"/>
    <x v="418"/>
    <x v="49"/>
    <n v="104"/>
    <n v="39"/>
    <n v="3110"/>
    <n v="538"/>
    <n v="203"/>
    <x v="426"/>
    <n v="603"/>
    <n v="293"/>
    <n v="79"/>
    <n v="1001"/>
    <n v="837410"/>
    <x v="1"/>
    <n v="87"/>
    <s v="Rookie"/>
    <b v="0"/>
    <s v="Excellent"/>
    <s v="Normal"/>
    <s v="Medium"/>
    <s v="Tanker"/>
  </r>
  <r>
    <s v="PL0468"/>
    <s v="seth_649"/>
    <s v="Seth"/>
    <s v="Frostborn"/>
    <x v="7"/>
    <x v="4"/>
    <m/>
    <x v="5"/>
    <x v="6"/>
    <s v="Wand"/>
    <s v="Retired"/>
    <x v="419"/>
    <x v="40"/>
    <n v="115"/>
    <n v="77"/>
    <n v="1546"/>
    <m/>
    <n v="245"/>
    <x v="427"/>
    <n v="120"/>
    <n v="222"/>
    <n v="97"/>
    <n v="4921"/>
    <n v="226409"/>
    <x v="1"/>
    <n v="388"/>
    <s v="Rookie"/>
    <b v="0"/>
    <s v="Excellent"/>
    <s v="Normal"/>
    <s v="Medium"/>
    <s v="Tactician"/>
  </r>
  <r>
    <s v="PL0469"/>
    <s v="aiden_822"/>
    <s v=""/>
    <s v="Darkthorn"/>
    <x v="8"/>
    <x v="6"/>
    <n v="68"/>
    <x v="3"/>
    <x v="2"/>
    <s v="Dagger"/>
    <s v="Active"/>
    <x v="279"/>
    <x v="59"/>
    <n v="22"/>
    <n v="75"/>
    <n v="2149"/>
    <n v="2332"/>
    <n v="148"/>
    <x v="428"/>
    <n v="228"/>
    <n v="3"/>
    <n v="91"/>
    <n v="9119"/>
    <n v="610682"/>
    <x v="0"/>
    <n v="199"/>
    <s v="Elite"/>
    <b v="1"/>
    <s v="Excellent"/>
    <s v="Normal"/>
    <s v="High"/>
    <s v="Reguler"/>
  </r>
  <r>
    <s v="PL0470"/>
    <s v="quinn_456"/>
    <s v="Quinn"/>
    <s v="Flameborn"/>
    <x v="4"/>
    <x v="1"/>
    <n v="88"/>
    <x v="4"/>
    <x v="6"/>
    <s v="Sword"/>
    <s v="Retired"/>
    <x v="420"/>
    <x v="3"/>
    <n v="88"/>
    <n v="45"/>
    <n v="808"/>
    <n v="1601"/>
    <n v="246"/>
    <x v="429"/>
    <n v="798"/>
    <n v="91"/>
    <n v="83"/>
    <n v="7578"/>
    <n v="218831"/>
    <x v="1"/>
    <n v="391"/>
    <s v="Legend"/>
    <b v="0"/>
    <s v="Excellent"/>
    <s v="Normal"/>
    <s v="Medium"/>
    <s v="Tactician"/>
  </r>
  <r>
    <s v="PL0471"/>
    <s v="borin_179"/>
    <s v="Borin"/>
    <s v="Ironfist"/>
    <x v="0"/>
    <x v="1"/>
    <n v="42"/>
    <x v="0"/>
    <x v="1"/>
    <s v="Sword"/>
    <s v="Active"/>
    <x v="421"/>
    <x v="123"/>
    <n v="41"/>
    <n v="26"/>
    <m/>
    <n v="336"/>
    <n v="191"/>
    <x v="430"/>
    <n v="164"/>
    <n v="100"/>
    <n v="95"/>
    <n v="4052"/>
    <n v="228585"/>
    <x v="0"/>
    <n v="386"/>
    <s v="Veteran"/>
    <b v="1"/>
    <s v="Excellent"/>
    <s v="Normal"/>
    <s v="Medium"/>
    <s v="Ranger"/>
  </r>
  <r>
    <s v="PL0472"/>
    <s v="nova_311"/>
    <s v="Nova"/>
    <s v="Brightblade"/>
    <x v="2"/>
    <x v="8"/>
    <n v="59"/>
    <x v="2"/>
    <x v="4"/>
    <s v="Wand"/>
    <s v="Active"/>
    <x v="422"/>
    <x v="84"/>
    <n v="13"/>
    <n v="25"/>
    <n v="2677"/>
    <m/>
    <n v="167"/>
    <x v="431"/>
    <n v="360"/>
    <n v="106"/>
    <n v="90"/>
    <n v="7516"/>
    <n v="920184"/>
    <x v="0"/>
    <n v="40"/>
    <s v="Elite"/>
    <b v="1"/>
    <s v="Excellent"/>
    <s v="Normal"/>
    <s v="High"/>
    <s v="Reguler"/>
  </r>
  <r>
    <s v="PL0473"/>
    <s v="zara_369"/>
    <s v="Zara"/>
    <s v="Silverbow"/>
    <x v="3"/>
    <x v="7"/>
    <n v="98"/>
    <x v="8"/>
    <x v="1"/>
    <s v="Fists"/>
    <s v="Active"/>
    <x v="423"/>
    <x v="32"/>
    <n v="87"/>
    <n v="113"/>
    <n v="309"/>
    <n v="1909"/>
    <n v="229"/>
    <x v="432"/>
    <n v="785"/>
    <n v="243"/>
    <n v="56"/>
    <n v="9272"/>
    <n v="939403"/>
    <x v="0"/>
    <n v="29"/>
    <s v="Legend"/>
    <b v="1"/>
    <s v="Average"/>
    <s v="Normal"/>
    <s v="Medium"/>
    <s v="Elity Spy"/>
  </r>
  <r>
    <s v="PL0474"/>
    <s v="nolan_968"/>
    <s v="Nolan"/>
    <s v="Swiftwind"/>
    <x v="6"/>
    <x v="6"/>
    <n v="97"/>
    <x v="5"/>
    <x v="0"/>
    <s v="Sword"/>
    <s v="Active"/>
    <x v="424"/>
    <x v="111"/>
    <m/>
    <n v="66"/>
    <n v="1312"/>
    <n v="1351"/>
    <n v="296"/>
    <x v="433"/>
    <n v="829"/>
    <n v="65"/>
    <n v="79"/>
    <n v="7982"/>
    <n v="975314"/>
    <x v="1"/>
    <n v="13"/>
    <s v="Legend"/>
    <b v="1"/>
    <s v="Excellent"/>
    <s v="Normal"/>
    <s v="Medium"/>
    <s v="Brawler"/>
  </r>
  <r>
    <s v="PL0475"/>
    <s v="lira_293"/>
    <s v="Lira"/>
    <s v="Emberveil"/>
    <x v="7"/>
    <x v="2"/>
    <n v="61"/>
    <x v="4"/>
    <x v="2"/>
    <s v="Dagger"/>
    <s v="Banned"/>
    <x v="425"/>
    <x v="83"/>
    <n v="94"/>
    <n v="143"/>
    <n v="4863"/>
    <n v="512"/>
    <n v="312"/>
    <x v="140"/>
    <n v="163"/>
    <n v="125"/>
    <n v="96"/>
    <n v="8900"/>
    <n v="574898"/>
    <x v="1"/>
    <n v="214"/>
    <s v="Elite"/>
    <b v="0"/>
    <s v="Excellent"/>
    <s v="Normal"/>
    <s v="Medium"/>
    <s v="Elity Spy"/>
  </r>
  <r>
    <s v="PL0476"/>
    <s v="tilda_107"/>
    <s v="Tilda"/>
    <s v="Stoneback"/>
    <x v="2"/>
    <x v="1"/>
    <n v="75"/>
    <x v="8"/>
    <x v="0"/>
    <s v="Staff"/>
    <s v="Inactive"/>
    <x v="426"/>
    <x v="72"/>
    <n v="128"/>
    <n v="135"/>
    <n v="613"/>
    <n v="1919"/>
    <n v="369"/>
    <x v="434"/>
    <n v="898"/>
    <n v="160"/>
    <n v="83"/>
    <n v="5476"/>
    <n v="258704"/>
    <x v="1"/>
    <n v="372"/>
    <s v="Elite"/>
    <b v="0"/>
    <s v="Excellent"/>
    <s v="Normal"/>
    <s v="Medium"/>
    <s v="Elity Spy"/>
  </r>
  <r>
    <s v="PL0477"/>
    <s v="aiden_364"/>
    <s v="Aiden"/>
    <s v="Swiftwind"/>
    <x v="1"/>
    <x v="7"/>
    <n v="80"/>
    <x v="5"/>
    <x v="4"/>
    <s v="Fists"/>
    <s v="Active"/>
    <x v="427"/>
    <x v="133"/>
    <n v="42"/>
    <n v="142"/>
    <n v="2359"/>
    <n v="1930"/>
    <n v="219"/>
    <x v="435"/>
    <n v="409"/>
    <n v="138"/>
    <n v="70"/>
    <n v="7068"/>
    <n v="858849"/>
    <x v="1"/>
    <n v="68"/>
    <s v="Legend"/>
    <b v="1"/>
    <s v="Average"/>
    <s v="Normal"/>
    <s v="Medium"/>
    <s v="Elity Spy"/>
  </r>
  <r>
    <s v="PL0478"/>
    <s v="finn_997"/>
    <s v="Finn"/>
    <s v="Nightfall"/>
    <x v="4"/>
    <x v="3"/>
    <n v="26"/>
    <x v="4"/>
    <x v="4"/>
    <s v="Fists"/>
    <s v="Active"/>
    <x v="428"/>
    <x v="134"/>
    <n v="144"/>
    <n v="74"/>
    <n v="3217"/>
    <n v="1215"/>
    <n v="242"/>
    <x v="436"/>
    <n v="989"/>
    <n v="214"/>
    <n v="38"/>
    <n v="6102"/>
    <n v="751926"/>
    <x v="0"/>
    <n v="129"/>
    <s v="Veteran"/>
    <b v="0"/>
    <s v="Poor"/>
    <s v="Normal"/>
    <s v="Medium"/>
    <s v="Tanker"/>
  </r>
  <r>
    <s v="PL0479"/>
    <s v="nolan_774"/>
    <s v="Nolan"/>
    <s v="Nightfall"/>
    <x v="6"/>
    <x v="4"/>
    <n v="28"/>
    <x v="3"/>
    <x v="4"/>
    <s v="Dagger"/>
    <s v="Active"/>
    <x v="429"/>
    <x v="135"/>
    <n v="105"/>
    <n v="57"/>
    <n v="2395"/>
    <n v="2761"/>
    <n v="263"/>
    <x v="437"/>
    <n v="368"/>
    <n v="131"/>
    <n v="61"/>
    <n v="9807"/>
    <n v="993117"/>
    <x v="1"/>
    <n v="3"/>
    <s v="Veteran"/>
    <b v="1"/>
    <s v="Average"/>
    <s v="Normal"/>
    <s v="Low"/>
    <s v="Reguler"/>
  </r>
  <r>
    <s v="PL0480"/>
    <s v="nolan_750"/>
    <s v="Nolan"/>
    <s v="Ironveil"/>
    <x v="2"/>
    <x v="1"/>
    <n v="73"/>
    <x v="7"/>
    <x v="1"/>
    <s v="Wand"/>
    <s v="Active"/>
    <x v="430"/>
    <x v="51"/>
    <n v="142"/>
    <n v="65"/>
    <n v="2215"/>
    <n v="1185"/>
    <n v="251"/>
    <x v="30"/>
    <n v="644"/>
    <n v="114"/>
    <n v="83"/>
    <n v="1005"/>
    <m/>
    <x v="0"/>
    <n v="486"/>
    <s v="Elite"/>
    <b v="1"/>
    <s v="Excellent"/>
    <s v="Normal"/>
    <s v="High"/>
    <s v="Ranger"/>
  </r>
  <r>
    <s v="PL0481"/>
    <s v="theron_433"/>
    <s v="Theron"/>
    <s v="Silverbow"/>
    <x v="4"/>
    <x v="4"/>
    <n v="4"/>
    <x v="3"/>
    <x v="1"/>
    <s v="Spear"/>
    <s v="Active"/>
    <x v="431"/>
    <x v="136"/>
    <n v="94"/>
    <n v="49"/>
    <n v="2506"/>
    <n v="661"/>
    <n v="262"/>
    <x v="438"/>
    <n v="149"/>
    <n v="81"/>
    <n v="84"/>
    <n v="6686"/>
    <n v="381395"/>
    <x v="0"/>
    <n v="314"/>
    <s v="Rookie"/>
    <b v="1"/>
    <s v="Excellent"/>
    <s v="Normal"/>
    <s v="Medium"/>
    <s v="Ranger"/>
  </r>
  <r>
    <s v="PL0482"/>
    <s v="opal_761"/>
    <s v="Opal"/>
    <s v="Ironfist"/>
    <x v="8"/>
    <x v="1"/>
    <n v="77"/>
    <x v="8"/>
    <x v="6"/>
    <s v="Spear"/>
    <s v="Active"/>
    <x v="432"/>
    <x v="44"/>
    <n v="94"/>
    <n v="96"/>
    <n v="3552"/>
    <n v="1523"/>
    <n v="320"/>
    <x v="395"/>
    <n v="803"/>
    <n v="254"/>
    <n v="84"/>
    <n v="1235"/>
    <n v="66919"/>
    <x v="1"/>
    <n v="451"/>
    <s v="Legend"/>
    <b v="1"/>
    <s v="Excellent"/>
    <s v="Normal"/>
    <s v="Medium"/>
    <s v="Tactician"/>
  </r>
  <r>
    <s v="PL0483"/>
    <s v="jade_236"/>
    <s v="Jade"/>
    <s v="Bloodthorn"/>
    <x v="2"/>
    <x v="1"/>
    <n v="96"/>
    <x v="3"/>
    <x v="1"/>
    <s v="Sword"/>
    <s v="Active"/>
    <x v="433"/>
    <x v="42"/>
    <n v="72"/>
    <n v="137"/>
    <m/>
    <n v="2707"/>
    <n v="241"/>
    <x v="439"/>
    <n v="477"/>
    <n v="69"/>
    <n v="89"/>
    <n v="210"/>
    <n v="350490"/>
    <x v="1"/>
    <n v="329"/>
    <s v="Legend"/>
    <b v="1"/>
    <s v="Excellent"/>
    <s v="Normal"/>
    <s v="Medium"/>
    <s v="Elity Spy"/>
  </r>
  <r>
    <s v="PL0484"/>
    <s v="dune_576"/>
    <s v="Dune"/>
    <s v="Swiftwind"/>
    <x v="1"/>
    <x v="6"/>
    <n v="99"/>
    <x v="7"/>
    <x v="2"/>
    <s v="Axe"/>
    <s v="Active"/>
    <x v="419"/>
    <x v="129"/>
    <n v="17"/>
    <m/>
    <n v="3867"/>
    <n v="1036"/>
    <n v="123"/>
    <x v="440"/>
    <n v="119"/>
    <n v="196"/>
    <n v="98"/>
    <n v="2425"/>
    <n v="696778"/>
    <x v="1"/>
    <n v="153"/>
    <s v="Legend"/>
    <b v="1"/>
    <s v="Excellent"/>
    <s v="Normal"/>
    <s v="Medium"/>
    <s v="Reguler"/>
  </r>
  <r>
    <s v="PL0485"/>
    <s v="jade_112"/>
    <s v="Jade"/>
    <s v=""/>
    <x v="2"/>
    <x v="1"/>
    <n v="96"/>
    <x v="0"/>
    <x v="2"/>
    <s v="Dagger"/>
    <s v="Active"/>
    <x v="434"/>
    <x v="83"/>
    <n v="129"/>
    <n v="95"/>
    <n v="2731"/>
    <m/>
    <n v="299"/>
    <x v="441"/>
    <n v="367"/>
    <n v="165"/>
    <n v="90"/>
    <n v="8320"/>
    <n v="248969"/>
    <x v="1"/>
    <n v="375"/>
    <s v="Legend"/>
    <b v="1"/>
    <s v="Excellent"/>
    <s v="Normal"/>
    <s v="Medium"/>
    <s v="Elity Spy"/>
  </r>
  <r>
    <s v="PL0486"/>
    <s v="percy_532"/>
    <s v="Percy"/>
    <s v="Emberveil"/>
    <x v="0"/>
    <x v="1"/>
    <m/>
    <x v="5"/>
    <x v="6"/>
    <s v="Axe"/>
    <s v="Active"/>
    <x v="435"/>
    <x v="80"/>
    <n v="16"/>
    <n v="30"/>
    <n v="443"/>
    <n v="1650"/>
    <n v="127"/>
    <x v="442"/>
    <n v="980"/>
    <n v="128"/>
    <n v="79"/>
    <n v="4858"/>
    <n v="9522"/>
    <x v="1"/>
    <n v="481"/>
    <s v="Rookie"/>
    <b v="1"/>
    <s v="Excellent"/>
    <s v="Normal"/>
    <s v="Medium"/>
    <s v="Tactician"/>
  </r>
  <r>
    <s v="PL0487"/>
    <s v="rosa_705"/>
    <s v="Rosa"/>
    <s v="Grimstone"/>
    <x v="7"/>
    <x v="0"/>
    <n v="2"/>
    <x v="6"/>
    <x v="5"/>
    <s v="Sword"/>
    <s v="Active"/>
    <x v="436"/>
    <x v="95"/>
    <n v="73"/>
    <n v="130"/>
    <n v="4510"/>
    <n v="1584"/>
    <n v="275"/>
    <x v="443"/>
    <n v="459"/>
    <n v="1"/>
    <n v="90"/>
    <n v="1496"/>
    <n v="445843"/>
    <x v="1"/>
    <n v="281"/>
    <s v="Rookie"/>
    <b v="1"/>
    <s v="Excellent"/>
    <s v="Normal"/>
    <s v="Medium"/>
    <s v="Elity Spy"/>
  </r>
  <r>
    <s v="PL0488"/>
    <s v="crix_924"/>
    <s v="Crix"/>
    <s v="Shadowstep"/>
    <x v="4"/>
    <x v="0"/>
    <n v="73"/>
    <x v="8"/>
    <x v="2"/>
    <s v="Staff"/>
    <s v="Banned"/>
    <x v="437"/>
    <x v="87"/>
    <n v="51"/>
    <n v="112"/>
    <n v="4625"/>
    <m/>
    <n v="225"/>
    <x v="444"/>
    <n v="979"/>
    <n v="92"/>
    <n v="79"/>
    <n v="8943"/>
    <n v="341034"/>
    <x v="0"/>
    <n v="336"/>
    <s v="Elite"/>
    <b v="0"/>
    <s v="Excellent"/>
    <s v="Normal"/>
    <s v="High"/>
    <s v="Elity Spy"/>
  </r>
  <r>
    <s v="PL0489"/>
    <s v="brix_323"/>
    <s v="Brix"/>
    <s v=""/>
    <x v="6"/>
    <x v="8"/>
    <n v="76"/>
    <x v="1"/>
    <x v="2"/>
    <s v="Bow"/>
    <s v="Active"/>
    <x v="123"/>
    <x v="94"/>
    <n v="32"/>
    <n v="122"/>
    <n v="4205"/>
    <n v="593"/>
    <n v="302"/>
    <x v="445"/>
    <n v="717"/>
    <n v="62"/>
    <n v="79"/>
    <n v="1698"/>
    <n v="373665"/>
    <x v="1"/>
    <n v="317"/>
    <s v="Legend"/>
    <b v="1"/>
    <s v="Excellent"/>
    <s v="Normal"/>
    <s v="Medium"/>
    <s v="Elity Spy"/>
  </r>
  <r>
    <s v="PL0490"/>
    <s v="lyra_549"/>
    <s v="Lyra"/>
    <s v="Stoneback"/>
    <x v="8"/>
    <x v="2"/>
    <n v="88"/>
    <x v="1"/>
    <x v="2"/>
    <s v="Fists"/>
    <s v="Retired"/>
    <x v="438"/>
    <x v="40"/>
    <n v="60"/>
    <n v="144"/>
    <n v="819"/>
    <n v="1116"/>
    <n v="257"/>
    <x v="30"/>
    <n v="632"/>
    <n v="265"/>
    <n v="85"/>
    <n v="1024"/>
    <n v="507098"/>
    <x v="0"/>
    <n v="246"/>
    <s v="Legend"/>
    <b v="0"/>
    <s v="Excellent"/>
    <s v="Normal"/>
    <s v="High"/>
    <s v="Elity Spy"/>
  </r>
  <r>
    <s v="PL0491"/>
    <s v="roran_648"/>
    <s v="Roran"/>
    <s v="Bloodthorn"/>
    <x v="3"/>
    <x v="5"/>
    <n v="13"/>
    <x v="2"/>
    <x v="2"/>
    <s v="Bow"/>
    <s v="Active"/>
    <x v="439"/>
    <x v="25"/>
    <n v="69"/>
    <n v="62"/>
    <n v="1435"/>
    <n v="2050"/>
    <n v="264"/>
    <x v="110"/>
    <n v="398"/>
    <n v="150"/>
    <n v="88"/>
    <n v="2725"/>
    <n v="217079"/>
    <x v="1"/>
    <n v="392"/>
    <s v="Rookie"/>
    <b v="1"/>
    <s v="Excellent"/>
    <s v="Normal"/>
    <s v="Medium"/>
    <s v="Brawler"/>
  </r>
  <r>
    <s v="PL0492"/>
    <s v="brynn_251"/>
    <s v="Brynn"/>
    <s v="Bloodthorn"/>
    <x v="4"/>
    <x v="4"/>
    <n v="15"/>
    <x v="4"/>
    <x v="6"/>
    <s v="Bow"/>
    <s v="Active"/>
    <x v="440"/>
    <x v="6"/>
    <n v="128"/>
    <n v="145"/>
    <n v="1150"/>
    <n v="1901"/>
    <n v="341"/>
    <x v="446"/>
    <n v="338"/>
    <n v="99"/>
    <n v="86"/>
    <n v="8676"/>
    <n v="20985"/>
    <x v="1"/>
    <n v="475"/>
    <s v="Rookie"/>
    <b v="1"/>
    <s v="Excellent"/>
    <s v="Normal"/>
    <s v="Medium"/>
    <s v="Squad Inti"/>
  </r>
  <r>
    <s v="PL0493"/>
    <s v="mira_344"/>
    <s v="Mira"/>
    <s v="Swiftwind"/>
    <x v="7"/>
    <x v="8"/>
    <n v="53"/>
    <x v="5"/>
    <x v="4"/>
    <s v="Dagger"/>
    <s v="Retired"/>
    <x v="275"/>
    <x v="51"/>
    <n v="72"/>
    <n v="141"/>
    <n v="4920"/>
    <n v="964"/>
    <n v="257"/>
    <x v="447"/>
    <n v="522"/>
    <n v="11"/>
    <n v="77"/>
    <n v="8381"/>
    <n v="828756"/>
    <x v="0"/>
    <n v="89"/>
    <s v="Elite"/>
    <b v="0"/>
    <s v="Excellent"/>
    <s v="Normal"/>
    <s v="High"/>
    <s v="Elity Spy"/>
  </r>
  <r>
    <s v="PL0494"/>
    <s v=""/>
    <s v="Hana"/>
    <s v="Wolfsbane"/>
    <x v="6"/>
    <x v="7"/>
    <n v="17"/>
    <x v="8"/>
    <x v="3"/>
    <s v="Wand"/>
    <s v="Inactive"/>
    <x v="441"/>
    <x v="0"/>
    <n v="87"/>
    <n v="50"/>
    <n v="4347"/>
    <n v="1277"/>
    <n v="265"/>
    <x v="448"/>
    <n v="922"/>
    <n v="49"/>
    <n v="65"/>
    <n v="9574"/>
    <n v="32883"/>
    <x v="0"/>
    <n v="464"/>
    <s v="Rookie"/>
    <b v="0"/>
    <s v="Average"/>
    <s v="Normal"/>
    <s v="Medium"/>
    <s v="Reguler"/>
  </r>
  <r>
    <s v="PL0495"/>
    <s v="hana_792"/>
    <s v="Hana"/>
    <s v="Flameborn"/>
    <x v="7"/>
    <x v="0"/>
    <n v="96"/>
    <x v="4"/>
    <x v="1"/>
    <s v="Dagger"/>
    <s v="Active"/>
    <x v="442"/>
    <x v="135"/>
    <n v="143"/>
    <n v="137"/>
    <n v="2793"/>
    <n v="547"/>
    <n v="381"/>
    <x v="449"/>
    <n v="988"/>
    <n v="191"/>
    <n v="21"/>
    <n v="9882"/>
    <n v="796173"/>
    <x v="0"/>
    <n v="108"/>
    <s v="Legend"/>
    <b v="1"/>
    <s v="Poor"/>
    <s v="Overpowered"/>
    <s v="Medium"/>
    <s v="Elity Spy"/>
  </r>
  <r>
    <s v="PL0496"/>
    <s v="brynn_569"/>
    <s v="Brynn"/>
    <s v="Moonwhisper"/>
    <x v="1"/>
    <x v="4"/>
    <n v="26"/>
    <x v="0"/>
    <x v="6"/>
    <s v="Wand"/>
    <s v="Active"/>
    <x v="443"/>
    <x v="137"/>
    <n v="12"/>
    <n v="60"/>
    <n v="3879"/>
    <n v="1038"/>
    <n v="112"/>
    <x v="450"/>
    <n v="391"/>
    <n v="49"/>
    <n v="83"/>
    <n v="2843"/>
    <n v="492393"/>
    <x v="1"/>
    <n v="258"/>
    <s v="Veteran"/>
    <b v="1"/>
    <s v="Excellent"/>
    <s v="Normal"/>
    <s v="Medium"/>
    <s v="Tactician"/>
  </r>
  <r>
    <s v="PL0497"/>
    <s v=""/>
    <s v="Tara"/>
    <s v="Lightfoot"/>
    <x v="7"/>
    <x v="3"/>
    <n v="85"/>
    <x v="2"/>
    <x v="6"/>
    <s v="Staff"/>
    <s v="Active"/>
    <x v="444"/>
    <x v="69"/>
    <n v="51"/>
    <n v="126"/>
    <n v="950"/>
    <n v="868"/>
    <n v="284"/>
    <x v="451"/>
    <n v="319"/>
    <n v="99"/>
    <n v="0"/>
    <n v="9390"/>
    <n v="272805"/>
    <x v="0"/>
    <n v="365"/>
    <s v="Legend"/>
    <b v="1"/>
    <s v="Poor"/>
    <s v="Normal"/>
    <s v="Medium"/>
    <s v="Tactician"/>
  </r>
  <r>
    <s v="PL0498"/>
    <s v="finn_736"/>
    <s v="Finn"/>
    <s v="Wolfsbane"/>
    <x v="7"/>
    <x v="8"/>
    <n v="4"/>
    <x v="2"/>
    <x v="1"/>
    <s v="Fists"/>
    <s v="Inactive"/>
    <x v="445"/>
    <x v="11"/>
    <n v="101"/>
    <n v="31"/>
    <n v="471"/>
    <n v="2939"/>
    <n v="227"/>
    <x v="452"/>
    <n v="124"/>
    <n v="129"/>
    <n v="97"/>
    <n v="6130"/>
    <n v="333113"/>
    <x v="0"/>
    <n v="343"/>
    <s v="Rookie"/>
    <b v="0"/>
    <s v="Excellent"/>
    <s v="Normal"/>
    <s v="Medium"/>
    <s v="Ranger"/>
  </r>
  <r>
    <s v="PL0499"/>
    <s v="brynn_765"/>
    <s v="Brynn"/>
    <s v="Silverbow"/>
    <x v="0"/>
    <x v="6"/>
    <n v="19"/>
    <x v="5"/>
    <x v="3"/>
    <s v="Dagger"/>
    <s v="Active"/>
    <x v="319"/>
    <x v="1"/>
    <n v="15"/>
    <n v="61"/>
    <n v="638"/>
    <n v="469"/>
    <n v="164"/>
    <x v="132"/>
    <n v="982"/>
    <n v="206"/>
    <n v="83"/>
    <n v="9726"/>
    <n v="514150"/>
    <x v="1"/>
    <n v="242"/>
    <s v="Rookie"/>
    <b v="1"/>
    <s v="Excellent"/>
    <s v="Normal"/>
    <s v="Medium"/>
    <s v="Brawler"/>
  </r>
  <r>
    <s v="PL0500"/>
    <s v="cael_209"/>
    <s v="Cael"/>
    <s v="Grimstone"/>
    <x v="8"/>
    <x v="3"/>
    <n v="12"/>
    <x v="0"/>
    <x v="2"/>
    <s v="Bow"/>
    <s v="Active"/>
    <x v="446"/>
    <x v="98"/>
    <n v="16"/>
    <n v="115"/>
    <n v="4559"/>
    <n v="2857"/>
    <m/>
    <x v="453"/>
    <n v="50"/>
    <n v="227"/>
    <n v="97"/>
    <n v="9756"/>
    <n v="586676"/>
    <x v="0"/>
    <n v="208"/>
    <s v="Rookie"/>
    <b v="1"/>
    <s v="Excellent"/>
    <s v="Normal"/>
    <s v="Medium"/>
    <s v="Elity Sp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28E9370-2EF4-4F13-B638-D9700DB0B079}"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Guild">
  <location ref="A40:B48" firstHeaderRow="1" firstDataRow="1" firstDataCol="1"/>
  <pivotFields count="35">
    <pivotField dataField="1" showAll="0"/>
    <pivotField showAll="0"/>
    <pivotField showAll="0"/>
    <pivotField showAll="0"/>
    <pivotField showAll="0"/>
    <pivotField showAll="0"/>
    <pivotField showAll="0"/>
    <pivotField showAll="0"/>
    <pivotField axis="axisRow" showAll="0">
      <items count="8">
        <item x="6"/>
        <item x="4"/>
        <item x="1"/>
        <item x="3"/>
        <item x="2"/>
        <item x="5"/>
        <item x="0"/>
        <item t="default"/>
      </items>
    </pivotField>
    <pivotField showAll="0"/>
    <pivotField showAll="0"/>
    <pivotField numFmtId="14" showAll="0">
      <items count="448">
        <item x="400"/>
        <item x="380"/>
        <item x="202"/>
        <item x="325"/>
        <item x="122"/>
        <item x="140"/>
        <item x="270"/>
        <item x="351"/>
        <item x="188"/>
        <item x="75"/>
        <item x="4"/>
        <item x="62"/>
        <item x="146"/>
        <item x="43"/>
        <item x="138"/>
        <item x="275"/>
        <item x="301"/>
        <item x="150"/>
        <item x="116"/>
        <item x="437"/>
        <item x="266"/>
        <item x="49"/>
        <item x="68"/>
        <item x="103"/>
        <item x="230"/>
        <item x="409"/>
        <item x="276"/>
        <item x="97"/>
        <item x="159"/>
        <item x="50"/>
        <item x="128"/>
        <item x="235"/>
        <item x="51"/>
        <item x="260"/>
        <item x="239"/>
        <item x="147"/>
        <item x="247"/>
        <item x="374"/>
        <item x="281"/>
        <item x="346"/>
        <item x="404"/>
        <item x="125"/>
        <item x="198"/>
        <item x="9"/>
        <item x="322"/>
        <item x="265"/>
        <item x="73"/>
        <item x="205"/>
        <item x="411"/>
        <item x="31"/>
        <item x="144"/>
        <item x="17"/>
        <item x="366"/>
        <item x="13"/>
        <item x="79"/>
        <item x="292"/>
        <item x="35"/>
        <item x="155"/>
        <item x="173"/>
        <item x="341"/>
        <item x="190"/>
        <item x="42"/>
        <item x="305"/>
        <item x="345"/>
        <item x="391"/>
        <item x="204"/>
        <item x="78"/>
        <item x="372"/>
        <item x="282"/>
        <item x="119"/>
        <item x="414"/>
        <item x="412"/>
        <item x="269"/>
        <item x="104"/>
        <item x="32"/>
        <item x="340"/>
        <item x="392"/>
        <item x="76"/>
        <item x="16"/>
        <item x="193"/>
        <item x="39"/>
        <item x="379"/>
        <item x="383"/>
        <item x="333"/>
        <item x="426"/>
        <item x="317"/>
        <item x="46"/>
        <item x="364"/>
        <item x="120"/>
        <item x="88"/>
        <item x="86"/>
        <item x="60"/>
        <item x="439"/>
        <item x="353"/>
        <item x="123"/>
        <item x="278"/>
        <item x="142"/>
        <item x="299"/>
        <item x="197"/>
        <item x="279"/>
        <item x="263"/>
        <item x="423"/>
        <item x="384"/>
        <item x="243"/>
        <item x="93"/>
        <item x="1"/>
        <item x="302"/>
        <item x="394"/>
        <item x="424"/>
        <item x="71"/>
        <item x="109"/>
        <item x="45"/>
        <item x="148"/>
        <item x="428"/>
        <item x="315"/>
        <item x="421"/>
        <item x="313"/>
        <item x="259"/>
        <item x="314"/>
        <item x="348"/>
        <item x="112"/>
        <item x="102"/>
        <item x="224"/>
        <item x="52"/>
        <item x="195"/>
        <item x="145"/>
        <item x="226"/>
        <item x="132"/>
        <item x="179"/>
        <item x="238"/>
        <item x="67"/>
        <item x="376"/>
        <item x="209"/>
        <item x="277"/>
        <item x="331"/>
        <item x="127"/>
        <item x="253"/>
        <item x="385"/>
        <item x="441"/>
        <item x="435"/>
        <item x="7"/>
        <item x="434"/>
        <item x="227"/>
        <item x="297"/>
        <item x="377"/>
        <item x="236"/>
        <item x="406"/>
        <item x="206"/>
        <item x="72"/>
        <item x="158"/>
        <item x="217"/>
        <item x="124"/>
        <item x="26"/>
        <item x="262"/>
        <item x="36"/>
        <item x="110"/>
        <item x="229"/>
        <item x="2"/>
        <item x="161"/>
        <item x="254"/>
        <item x="316"/>
        <item x="207"/>
        <item x="54"/>
        <item x="300"/>
        <item x="320"/>
        <item x="100"/>
        <item x="306"/>
        <item x="344"/>
        <item x="154"/>
        <item x="444"/>
        <item x="34"/>
        <item x="342"/>
        <item x="339"/>
        <item x="107"/>
        <item x="415"/>
        <item x="211"/>
        <item x="94"/>
        <item x="30"/>
        <item x="196"/>
        <item x="118"/>
        <item x="55"/>
        <item x="326"/>
        <item x="418"/>
        <item x="420"/>
        <item x="402"/>
        <item x="28"/>
        <item x="288"/>
        <item x="106"/>
        <item x="143"/>
        <item x="69"/>
        <item x="311"/>
        <item x="210"/>
        <item x="41"/>
        <item x="328"/>
        <item x="352"/>
        <item x="425"/>
        <item x="329"/>
        <item x="370"/>
        <item x="152"/>
        <item x="85"/>
        <item x="433"/>
        <item x="396"/>
        <item x="407"/>
        <item x="83"/>
        <item x="115"/>
        <item x="200"/>
        <item x="133"/>
        <item x="378"/>
        <item x="172"/>
        <item x="432"/>
        <item x="183"/>
        <item x="203"/>
        <item x="321"/>
        <item x="397"/>
        <item x="367"/>
        <item x="19"/>
        <item x="194"/>
        <item x="244"/>
        <item x="221"/>
        <item x="0"/>
        <item x="218"/>
        <item x="310"/>
        <item x="63"/>
        <item x="436"/>
        <item x="74"/>
        <item x="48"/>
        <item x="151"/>
        <item x="186"/>
        <item x="98"/>
        <item x="134"/>
        <item x="360"/>
        <item x="114"/>
        <item x="356"/>
        <item x="130"/>
        <item x="44"/>
        <item x="208"/>
        <item x="291"/>
        <item x="422"/>
        <item x="24"/>
        <item x="338"/>
        <item x="80"/>
        <item x="185"/>
        <item x="258"/>
        <item x="256"/>
        <item x="357"/>
        <item x="101"/>
        <item x="99"/>
        <item x="91"/>
        <item x="241"/>
        <item x="334"/>
        <item x="92"/>
        <item x="287"/>
        <item x="225"/>
        <item x="290"/>
        <item x="184"/>
        <item x="361"/>
        <item x="219"/>
        <item x="248"/>
        <item x="84"/>
        <item x="362"/>
        <item x="157"/>
        <item x="324"/>
        <item x="431"/>
        <item x="365"/>
        <item x="170"/>
        <item x="87"/>
        <item x="47"/>
        <item x="156"/>
        <item x="3"/>
        <item x="216"/>
        <item x="261"/>
        <item x="417"/>
        <item x="57"/>
        <item x="160"/>
        <item x="165"/>
        <item x="419"/>
        <item x="399"/>
        <item x="319"/>
        <item x="294"/>
        <item x="199"/>
        <item x="440"/>
        <item x="58"/>
        <item x="410"/>
        <item x="21"/>
        <item x="272"/>
        <item x="284"/>
        <item x="64"/>
        <item x="295"/>
        <item x="191"/>
        <item x="401"/>
        <item x="242"/>
        <item x="174"/>
        <item x="442"/>
        <item x="18"/>
        <item x="373"/>
        <item x="163"/>
        <item x="359"/>
        <item x="438"/>
        <item x="274"/>
        <item x="368"/>
        <item x="181"/>
        <item x="213"/>
        <item x="166"/>
        <item x="430"/>
        <item x="182"/>
        <item x="56"/>
        <item x="89"/>
        <item x="153"/>
        <item x="234"/>
        <item x="164"/>
        <item x="405"/>
        <item x="283"/>
        <item x="268"/>
        <item x="363"/>
        <item x="381"/>
        <item x="121"/>
        <item x="108"/>
        <item x="6"/>
        <item x="95"/>
        <item x="8"/>
        <item x="389"/>
        <item x="296"/>
        <item x="189"/>
        <item x="285"/>
        <item x="5"/>
        <item x="180"/>
        <item x="403"/>
        <item x="252"/>
        <item x="129"/>
        <item x="336"/>
        <item x="10"/>
        <item x="280"/>
        <item x="250"/>
        <item x="349"/>
        <item x="429"/>
        <item x="77"/>
        <item x="136"/>
        <item x="228"/>
        <item x="249"/>
        <item x="445"/>
        <item x="38"/>
        <item x="273"/>
        <item x="40"/>
        <item x="220"/>
        <item x="267"/>
        <item x="358"/>
        <item x="117"/>
        <item x="215"/>
        <item x="178"/>
        <item x="141"/>
        <item x="175"/>
        <item x="257"/>
        <item x="335"/>
        <item x="231"/>
        <item x="12"/>
        <item x="233"/>
        <item x="14"/>
        <item x="27"/>
        <item x="393"/>
        <item x="386"/>
        <item x="387"/>
        <item x="443"/>
        <item x="168"/>
        <item x="201"/>
        <item x="327"/>
        <item x="81"/>
        <item x="413"/>
        <item x="395"/>
        <item x="347"/>
        <item x="427"/>
        <item x="70"/>
        <item x="293"/>
        <item x="37"/>
        <item x="149"/>
        <item x="371"/>
        <item x="167"/>
        <item x="271"/>
        <item x="307"/>
        <item x="303"/>
        <item x="298"/>
        <item x="337"/>
        <item x="408"/>
        <item x="139"/>
        <item x="354"/>
        <item x="162"/>
        <item x="390"/>
        <item x="176"/>
        <item x="416"/>
        <item x="309"/>
        <item x="82"/>
        <item x="232"/>
        <item x="286"/>
        <item x="318"/>
        <item x="53"/>
        <item x="29"/>
        <item x="350"/>
        <item x="65"/>
        <item x="308"/>
        <item x="255"/>
        <item x="312"/>
        <item x="398"/>
        <item x="382"/>
        <item x="375"/>
        <item x="289"/>
        <item x="343"/>
        <item x="212"/>
        <item x="66"/>
        <item x="61"/>
        <item x="20"/>
        <item x="187"/>
        <item x="96"/>
        <item x="11"/>
        <item x="105"/>
        <item x="59"/>
        <item x="171"/>
        <item x="240"/>
        <item x="388"/>
        <item x="111"/>
        <item x="330"/>
        <item x="222"/>
        <item x="355"/>
        <item x="169"/>
        <item x="23"/>
        <item x="90"/>
        <item x="323"/>
        <item x="25"/>
        <item x="304"/>
        <item x="137"/>
        <item x="223"/>
        <item x="369"/>
        <item x="264"/>
        <item x="113"/>
        <item x="251"/>
        <item x="22"/>
        <item x="245"/>
        <item x="192"/>
        <item x="33"/>
        <item x="135"/>
        <item x="214"/>
        <item x="177"/>
        <item x="131"/>
        <item x="446"/>
        <item x="332"/>
        <item x="237"/>
        <item x="246"/>
        <item x="126"/>
        <item x="15"/>
        <item t="default"/>
      </items>
    </pivotField>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8"/>
  </rowFields>
  <rowItems count="8">
    <i>
      <x/>
    </i>
    <i>
      <x v="1"/>
    </i>
    <i>
      <x v="2"/>
    </i>
    <i>
      <x v="3"/>
    </i>
    <i>
      <x v="4"/>
    </i>
    <i>
      <x v="5"/>
    </i>
    <i>
      <x v="6"/>
    </i>
    <i t="grand">
      <x/>
    </i>
  </rowItems>
  <colItems count="1">
    <i/>
  </colItems>
  <dataFields count="1">
    <dataField name="Jumlah Player" fld="0" subtotal="count" baseField="0" baseItem="0"/>
  </dataFields>
  <formats count="6">
    <format dxfId="15">
      <pivotArea type="all" dataOnly="0" outline="0" fieldPosition="0"/>
    </format>
    <format dxfId="14">
      <pivotArea outline="0" collapsedLevelsAreSubtotals="1" fieldPosition="0"/>
    </format>
    <format dxfId="13">
      <pivotArea field="8" type="button" dataOnly="0" labelOnly="1" outline="0" axis="axisRow" fieldPosition="0"/>
    </format>
    <format dxfId="12">
      <pivotArea dataOnly="0" labelOnly="1" fieldPosition="0">
        <references count="1">
          <reference field="8" count="0"/>
        </references>
      </pivotArea>
    </format>
    <format dxfId="11">
      <pivotArea dataOnly="0" labelOnly="1" grandRow="1" outline="0" fieldPosition="0"/>
    </format>
    <format dxfId="10">
      <pivotArea dataOnly="0" labelOnly="1" outline="0" axis="axisValues" fieldPosition="0"/>
    </format>
  </formats>
  <chartFormats count="8">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8" count="1" selected="0">
            <x v="0"/>
          </reference>
        </references>
      </pivotArea>
    </chartFormat>
    <chartFormat chart="3" format="11">
      <pivotArea type="data" outline="0" fieldPosition="0">
        <references count="2">
          <reference field="4294967294" count="1" selected="0">
            <x v="0"/>
          </reference>
          <reference field="8" count="1" selected="0">
            <x v="1"/>
          </reference>
        </references>
      </pivotArea>
    </chartFormat>
    <chartFormat chart="3" format="12">
      <pivotArea type="data" outline="0" fieldPosition="0">
        <references count="2">
          <reference field="4294967294" count="1" selected="0">
            <x v="0"/>
          </reference>
          <reference field="8" count="1" selected="0">
            <x v="2"/>
          </reference>
        </references>
      </pivotArea>
    </chartFormat>
    <chartFormat chart="3" format="13">
      <pivotArea type="data" outline="0" fieldPosition="0">
        <references count="2">
          <reference field="4294967294" count="1" selected="0">
            <x v="0"/>
          </reference>
          <reference field="8" count="1" selected="0">
            <x v="3"/>
          </reference>
        </references>
      </pivotArea>
    </chartFormat>
    <chartFormat chart="3" format="14">
      <pivotArea type="data" outline="0" fieldPosition="0">
        <references count="2">
          <reference field="4294967294" count="1" selected="0">
            <x v="0"/>
          </reference>
          <reference field="8" count="1" selected="0">
            <x v="4"/>
          </reference>
        </references>
      </pivotArea>
    </chartFormat>
    <chartFormat chart="3" format="15">
      <pivotArea type="data" outline="0" fieldPosition="0">
        <references count="2">
          <reference field="4294967294" count="1" selected="0">
            <x v="0"/>
          </reference>
          <reference field="8" count="1" selected="0">
            <x v="5"/>
          </reference>
        </references>
      </pivotArea>
    </chartFormat>
    <chartFormat chart="3" format="16">
      <pivotArea type="data" outline="0" fieldPosition="0">
        <references count="2">
          <reference field="4294967294" count="1" selected="0">
            <x v="0"/>
          </reference>
          <reference field="8" count="1" selected="0">
            <x v="6"/>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5D64A0-289C-4A5D-8631-63962763EE44}"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in Year">
  <location ref="A29:C37" firstHeaderRow="0" firstDataRow="1" firstDataCol="1"/>
  <pivotFields count="35">
    <pivotField dataField="1" showAll="0"/>
    <pivotField showAll="0"/>
    <pivotField showAll="0"/>
    <pivotField showAll="0"/>
    <pivotField showAll="0"/>
    <pivotField showAll="0"/>
    <pivotField dataField="1" showAll="0"/>
    <pivotField showAll="0"/>
    <pivotField showAll="0"/>
    <pivotField showAll="0"/>
    <pivotField showAll="0"/>
    <pivotField axis="axisRow" numFmtId="14" showAll="0">
      <items count="448">
        <item x="400"/>
        <item x="380"/>
        <item x="202"/>
        <item x="325"/>
        <item x="122"/>
        <item x="140"/>
        <item x="270"/>
        <item x="351"/>
        <item x="188"/>
        <item x="75"/>
        <item x="4"/>
        <item x="62"/>
        <item x="146"/>
        <item x="43"/>
        <item x="138"/>
        <item x="275"/>
        <item x="301"/>
        <item x="150"/>
        <item x="116"/>
        <item x="437"/>
        <item x="266"/>
        <item x="49"/>
        <item x="68"/>
        <item x="103"/>
        <item x="230"/>
        <item x="409"/>
        <item x="276"/>
        <item x="97"/>
        <item x="159"/>
        <item x="50"/>
        <item x="128"/>
        <item x="235"/>
        <item x="51"/>
        <item x="260"/>
        <item x="239"/>
        <item x="147"/>
        <item x="247"/>
        <item x="374"/>
        <item x="281"/>
        <item x="346"/>
        <item x="404"/>
        <item x="125"/>
        <item x="198"/>
        <item x="9"/>
        <item x="322"/>
        <item x="265"/>
        <item x="73"/>
        <item x="205"/>
        <item x="411"/>
        <item x="31"/>
        <item x="144"/>
        <item x="17"/>
        <item x="366"/>
        <item x="13"/>
        <item x="79"/>
        <item x="292"/>
        <item x="35"/>
        <item x="155"/>
        <item x="173"/>
        <item x="341"/>
        <item x="190"/>
        <item x="42"/>
        <item x="305"/>
        <item x="345"/>
        <item x="391"/>
        <item x="204"/>
        <item x="78"/>
        <item x="372"/>
        <item x="282"/>
        <item x="119"/>
        <item x="414"/>
        <item x="412"/>
        <item x="269"/>
        <item x="104"/>
        <item x="32"/>
        <item x="340"/>
        <item x="392"/>
        <item x="76"/>
        <item x="16"/>
        <item x="193"/>
        <item x="39"/>
        <item x="379"/>
        <item x="383"/>
        <item x="333"/>
        <item x="426"/>
        <item x="317"/>
        <item x="46"/>
        <item x="364"/>
        <item x="120"/>
        <item x="88"/>
        <item x="86"/>
        <item x="60"/>
        <item x="439"/>
        <item x="353"/>
        <item x="123"/>
        <item x="278"/>
        <item x="142"/>
        <item x="299"/>
        <item x="197"/>
        <item x="279"/>
        <item x="263"/>
        <item x="423"/>
        <item x="384"/>
        <item x="243"/>
        <item x="93"/>
        <item x="1"/>
        <item x="302"/>
        <item x="394"/>
        <item x="424"/>
        <item x="71"/>
        <item x="109"/>
        <item x="45"/>
        <item x="148"/>
        <item x="428"/>
        <item x="315"/>
        <item x="421"/>
        <item x="313"/>
        <item x="259"/>
        <item x="314"/>
        <item x="348"/>
        <item x="112"/>
        <item x="102"/>
        <item x="224"/>
        <item x="52"/>
        <item x="195"/>
        <item x="145"/>
        <item x="226"/>
        <item x="132"/>
        <item x="179"/>
        <item x="238"/>
        <item x="67"/>
        <item x="376"/>
        <item x="209"/>
        <item x="277"/>
        <item x="331"/>
        <item x="127"/>
        <item x="253"/>
        <item x="385"/>
        <item x="441"/>
        <item x="435"/>
        <item x="7"/>
        <item x="434"/>
        <item x="227"/>
        <item x="297"/>
        <item x="377"/>
        <item x="236"/>
        <item x="406"/>
        <item x="206"/>
        <item x="72"/>
        <item x="158"/>
        <item x="217"/>
        <item x="124"/>
        <item x="26"/>
        <item x="262"/>
        <item x="36"/>
        <item x="110"/>
        <item x="229"/>
        <item x="2"/>
        <item x="161"/>
        <item x="254"/>
        <item x="316"/>
        <item x="207"/>
        <item x="54"/>
        <item x="300"/>
        <item x="320"/>
        <item x="100"/>
        <item x="306"/>
        <item x="344"/>
        <item x="154"/>
        <item x="444"/>
        <item x="34"/>
        <item x="342"/>
        <item x="339"/>
        <item x="107"/>
        <item x="415"/>
        <item x="211"/>
        <item x="94"/>
        <item x="30"/>
        <item x="196"/>
        <item x="118"/>
        <item x="55"/>
        <item x="326"/>
        <item x="418"/>
        <item x="420"/>
        <item x="402"/>
        <item x="28"/>
        <item x="288"/>
        <item x="106"/>
        <item x="143"/>
        <item x="69"/>
        <item x="311"/>
        <item x="210"/>
        <item x="41"/>
        <item x="328"/>
        <item x="352"/>
        <item x="425"/>
        <item x="329"/>
        <item x="370"/>
        <item x="152"/>
        <item x="85"/>
        <item x="433"/>
        <item x="396"/>
        <item x="407"/>
        <item x="83"/>
        <item x="115"/>
        <item x="200"/>
        <item x="133"/>
        <item x="378"/>
        <item x="172"/>
        <item x="432"/>
        <item x="183"/>
        <item x="203"/>
        <item x="321"/>
        <item x="397"/>
        <item x="367"/>
        <item x="19"/>
        <item x="194"/>
        <item x="244"/>
        <item x="221"/>
        <item x="0"/>
        <item x="218"/>
        <item x="310"/>
        <item x="63"/>
        <item x="436"/>
        <item x="74"/>
        <item x="48"/>
        <item x="151"/>
        <item x="186"/>
        <item x="98"/>
        <item x="134"/>
        <item x="360"/>
        <item x="114"/>
        <item x="356"/>
        <item x="130"/>
        <item x="44"/>
        <item x="208"/>
        <item x="291"/>
        <item x="422"/>
        <item x="24"/>
        <item x="338"/>
        <item x="80"/>
        <item x="185"/>
        <item x="258"/>
        <item x="256"/>
        <item x="357"/>
        <item x="101"/>
        <item x="99"/>
        <item x="91"/>
        <item x="241"/>
        <item x="334"/>
        <item x="92"/>
        <item x="287"/>
        <item x="225"/>
        <item x="290"/>
        <item x="184"/>
        <item x="361"/>
        <item x="219"/>
        <item x="248"/>
        <item x="84"/>
        <item x="362"/>
        <item x="157"/>
        <item x="324"/>
        <item x="431"/>
        <item x="365"/>
        <item x="170"/>
        <item x="87"/>
        <item x="47"/>
        <item x="156"/>
        <item x="3"/>
        <item x="216"/>
        <item x="261"/>
        <item x="417"/>
        <item x="57"/>
        <item x="160"/>
        <item x="165"/>
        <item x="419"/>
        <item x="399"/>
        <item x="319"/>
        <item x="294"/>
        <item x="199"/>
        <item x="440"/>
        <item x="58"/>
        <item x="410"/>
        <item x="21"/>
        <item x="272"/>
        <item x="284"/>
        <item x="64"/>
        <item x="295"/>
        <item x="191"/>
        <item x="401"/>
        <item x="242"/>
        <item x="174"/>
        <item x="442"/>
        <item x="18"/>
        <item x="373"/>
        <item x="163"/>
        <item x="359"/>
        <item x="438"/>
        <item x="274"/>
        <item x="368"/>
        <item x="181"/>
        <item x="213"/>
        <item x="166"/>
        <item x="430"/>
        <item x="182"/>
        <item x="56"/>
        <item x="89"/>
        <item x="153"/>
        <item x="234"/>
        <item x="164"/>
        <item x="405"/>
        <item x="283"/>
        <item x="268"/>
        <item x="363"/>
        <item x="381"/>
        <item x="121"/>
        <item x="108"/>
        <item x="6"/>
        <item x="95"/>
        <item x="8"/>
        <item x="389"/>
        <item x="296"/>
        <item x="189"/>
        <item x="285"/>
        <item x="5"/>
        <item x="180"/>
        <item x="403"/>
        <item x="252"/>
        <item x="129"/>
        <item x="336"/>
        <item x="10"/>
        <item x="280"/>
        <item x="250"/>
        <item x="349"/>
        <item x="429"/>
        <item x="77"/>
        <item x="136"/>
        <item x="228"/>
        <item x="249"/>
        <item x="445"/>
        <item x="38"/>
        <item x="273"/>
        <item x="40"/>
        <item x="220"/>
        <item x="267"/>
        <item x="358"/>
        <item x="117"/>
        <item x="215"/>
        <item x="178"/>
        <item x="141"/>
        <item x="175"/>
        <item x="257"/>
        <item x="335"/>
        <item x="231"/>
        <item x="12"/>
        <item x="233"/>
        <item x="14"/>
        <item x="27"/>
        <item x="393"/>
        <item x="386"/>
        <item x="387"/>
        <item x="443"/>
        <item x="168"/>
        <item x="201"/>
        <item x="327"/>
        <item x="81"/>
        <item x="413"/>
        <item x="395"/>
        <item x="347"/>
        <item x="427"/>
        <item x="70"/>
        <item x="293"/>
        <item x="37"/>
        <item x="149"/>
        <item x="371"/>
        <item x="167"/>
        <item x="271"/>
        <item x="307"/>
        <item x="303"/>
        <item x="298"/>
        <item x="337"/>
        <item x="408"/>
        <item x="139"/>
        <item x="354"/>
        <item x="162"/>
        <item x="390"/>
        <item x="176"/>
        <item x="416"/>
        <item x="309"/>
        <item x="82"/>
        <item x="232"/>
        <item x="286"/>
        <item x="318"/>
        <item x="53"/>
        <item x="29"/>
        <item x="350"/>
        <item x="65"/>
        <item x="308"/>
        <item x="255"/>
        <item x="312"/>
        <item x="398"/>
        <item x="382"/>
        <item x="375"/>
        <item x="289"/>
        <item x="343"/>
        <item x="212"/>
        <item x="66"/>
        <item x="61"/>
        <item x="20"/>
        <item x="187"/>
        <item x="96"/>
        <item x="11"/>
        <item x="105"/>
        <item x="59"/>
        <item x="171"/>
        <item x="240"/>
        <item x="388"/>
        <item x="111"/>
        <item x="330"/>
        <item x="222"/>
        <item x="355"/>
        <item x="169"/>
        <item x="23"/>
        <item x="90"/>
        <item x="323"/>
        <item x="25"/>
        <item x="304"/>
        <item x="137"/>
        <item x="223"/>
        <item x="369"/>
        <item x="264"/>
        <item x="113"/>
        <item x="251"/>
        <item x="22"/>
        <item x="245"/>
        <item x="192"/>
        <item x="33"/>
        <item x="135"/>
        <item x="214"/>
        <item x="177"/>
        <item x="131"/>
        <item x="446"/>
        <item x="332"/>
        <item x="237"/>
        <item x="246"/>
        <item x="126"/>
        <item x="15"/>
        <item t="default"/>
      </items>
    </pivotField>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0">
        <item sd="0" x="0"/>
        <item sd="0" x="1"/>
        <item sd="0" x="2"/>
        <item sd="0" x="3"/>
        <item sd="0" x="4"/>
        <item sd="0" x="5"/>
        <item sd="0" x="6"/>
        <item sd="0" x="7"/>
        <item sd="0" x="8"/>
        <item t="default"/>
      </items>
    </pivotField>
  </pivotFields>
  <rowFields count="4">
    <field x="34"/>
    <field x="33"/>
    <field x="32"/>
    <field x="11"/>
  </rowFields>
  <rowItems count="8">
    <i>
      <x v="1"/>
    </i>
    <i>
      <x v="2"/>
    </i>
    <i>
      <x v="3"/>
    </i>
    <i>
      <x v="4"/>
    </i>
    <i>
      <x v="5"/>
    </i>
    <i>
      <x v="6"/>
    </i>
    <i>
      <x v="7"/>
    </i>
    <i t="grand">
      <x/>
    </i>
  </rowItems>
  <colFields count="1">
    <field x="-2"/>
  </colFields>
  <colItems count="2">
    <i>
      <x/>
    </i>
    <i i="1">
      <x v="1"/>
    </i>
  </colItems>
  <dataFields count="2">
    <dataField name="Jumlah Player" fld="0" subtotal="count" baseField="0" baseItem="0"/>
    <dataField name="Rata-rata Level" fld="6" subtotal="average" baseField="34" baseItem="1"/>
  </dataFields>
  <formats count="14">
    <format dxfId="35">
      <pivotArea type="all" dataOnly="0" outline="0" fieldPosition="0"/>
    </format>
    <format dxfId="34">
      <pivotArea outline="0" collapsedLevelsAreSubtotals="1" fieldPosition="0"/>
    </format>
    <format dxfId="33">
      <pivotArea field="34" type="button" dataOnly="0" labelOnly="1" outline="0" axis="axisRow" fieldPosition="0"/>
    </format>
    <format dxfId="32">
      <pivotArea dataOnly="0" labelOnly="1" fieldPosition="0">
        <references count="1">
          <reference field="34" count="7">
            <x v="1"/>
            <x v="2"/>
            <x v="3"/>
            <x v="4"/>
            <x v="5"/>
            <x v="6"/>
            <x v="7"/>
          </reference>
        </references>
      </pivotArea>
    </format>
    <format dxfId="31">
      <pivotArea dataOnly="0" labelOnly="1" grandRow="1" outline="0" fieldPosition="0"/>
    </format>
    <format dxfId="30">
      <pivotArea dataOnly="0" labelOnly="1" outline="0" fieldPosition="0">
        <references count="1">
          <reference field="4294967294" count="2">
            <x v="0"/>
            <x v="1"/>
          </reference>
        </references>
      </pivotArea>
    </format>
    <format dxfId="29">
      <pivotArea collapsedLevelsAreSubtotals="1" fieldPosition="0">
        <references count="1">
          <reference field="34" count="1">
            <x v="1"/>
          </reference>
        </references>
      </pivotArea>
    </format>
    <format dxfId="28">
      <pivotArea collapsedLevelsAreSubtotals="1" fieldPosition="0">
        <references count="1">
          <reference field="34" count="1">
            <x v="2"/>
          </reference>
        </references>
      </pivotArea>
    </format>
    <format dxfId="27">
      <pivotArea collapsedLevelsAreSubtotals="1" fieldPosition="0">
        <references count="1">
          <reference field="34" count="1">
            <x v="3"/>
          </reference>
        </references>
      </pivotArea>
    </format>
    <format dxfId="26">
      <pivotArea collapsedLevelsAreSubtotals="1" fieldPosition="0">
        <references count="1">
          <reference field="34" count="1">
            <x v="4"/>
          </reference>
        </references>
      </pivotArea>
    </format>
    <format dxfId="25">
      <pivotArea collapsedLevelsAreSubtotals="1" fieldPosition="0">
        <references count="1">
          <reference field="34" count="1">
            <x v="5"/>
          </reference>
        </references>
      </pivotArea>
    </format>
    <format dxfId="24">
      <pivotArea collapsedLevelsAreSubtotals="1" fieldPosition="0">
        <references count="1">
          <reference field="34" count="1">
            <x v="6"/>
          </reference>
        </references>
      </pivotArea>
    </format>
    <format dxfId="23">
      <pivotArea collapsedLevelsAreSubtotals="1" fieldPosition="0">
        <references count="1">
          <reference field="34" count="1">
            <x v="7"/>
          </reference>
        </references>
      </pivotArea>
    </format>
    <format dxfId="22">
      <pivotArea dataOnly="0" labelOnly="1" fieldPosition="0">
        <references count="1">
          <reference field="34" count="7">
            <x v="1"/>
            <x v="2"/>
            <x v="3"/>
            <x v="4"/>
            <x v="5"/>
            <x v="6"/>
            <x v="7"/>
          </reference>
        </references>
      </pivotArea>
    </format>
  </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CC7E62-F4B6-4562-B05F-7FDA609B50DD}"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uild">
  <location ref="D17:F25" firstHeaderRow="0" firstDataRow="1" firstDataCol="1"/>
  <pivotFields count="35">
    <pivotField showAll="0"/>
    <pivotField showAll="0"/>
    <pivotField showAll="0"/>
    <pivotField showAll="0"/>
    <pivotField showAll="0"/>
    <pivotField showAll="0"/>
    <pivotField showAll="0"/>
    <pivotField showAll="0"/>
    <pivotField axis="axisRow" showAll="0">
      <items count="8">
        <item x="6"/>
        <item x="4"/>
        <item x="1"/>
        <item x="3"/>
        <item x="2"/>
        <item x="5"/>
        <item x="0"/>
        <item t="default"/>
      </items>
    </pivotField>
    <pivotField showAll="0"/>
    <pivotField showAll="0"/>
    <pivotField numFmtId="14" showAll="0">
      <items count="448">
        <item x="400"/>
        <item x="380"/>
        <item x="202"/>
        <item x="325"/>
        <item x="122"/>
        <item x="140"/>
        <item x="270"/>
        <item x="351"/>
        <item x="188"/>
        <item x="75"/>
        <item x="4"/>
        <item x="62"/>
        <item x="146"/>
        <item x="43"/>
        <item x="138"/>
        <item x="275"/>
        <item x="301"/>
        <item x="150"/>
        <item x="116"/>
        <item x="437"/>
        <item x="266"/>
        <item x="49"/>
        <item x="68"/>
        <item x="103"/>
        <item x="230"/>
        <item x="409"/>
        <item x="276"/>
        <item x="97"/>
        <item x="159"/>
        <item x="50"/>
        <item x="128"/>
        <item x="235"/>
        <item x="51"/>
        <item x="260"/>
        <item x="239"/>
        <item x="147"/>
        <item x="247"/>
        <item x="374"/>
        <item x="281"/>
        <item x="346"/>
        <item x="404"/>
        <item x="125"/>
        <item x="198"/>
        <item x="9"/>
        <item x="322"/>
        <item x="265"/>
        <item x="73"/>
        <item x="205"/>
        <item x="411"/>
        <item x="31"/>
        <item x="144"/>
        <item x="17"/>
        <item x="366"/>
        <item x="13"/>
        <item x="79"/>
        <item x="292"/>
        <item x="35"/>
        <item x="155"/>
        <item x="173"/>
        <item x="341"/>
        <item x="190"/>
        <item x="42"/>
        <item x="305"/>
        <item x="345"/>
        <item x="391"/>
        <item x="204"/>
        <item x="78"/>
        <item x="372"/>
        <item x="282"/>
        <item x="119"/>
        <item x="414"/>
        <item x="412"/>
        <item x="269"/>
        <item x="104"/>
        <item x="32"/>
        <item x="340"/>
        <item x="392"/>
        <item x="76"/>
        <item x="16"/>
        <item x="193"/>
        <item x="39"/>
        <item x="379"/>
        <item x="383"/>
        <item x="333"/>
        <item x="426"/>
        <item x="317"/>
        <item x="46"/>
        <item x="364"/>
        <item x="120"/>
        <item x="88"/>
        <item x="86"/>
        <item x="60"/>
        <item x="439"/>
        <item x="353"/>
        <item x="123"/>
        <item x="278"/>
        <item x="142"/>
        <item x="299"/>
        <item x="197"/>
        <item x="279"/>
        <item x="263"/>
        <item x="423"/>
        <item x="384"/>
        <item x="243"/>
        <item x="93"/>
        <item x="1"/>
        <item x="302"/>
        <item x="394"/>
        <item x="424"/>
        <item x="71"/>
        <item x="109"/>
        <item x="45"/>
        <item x="148"/>
        <item x="428"/>
        <item x="315"/>
        <item x="421"/>
        <item x="313"/>
        <item x="259"/>
        <item x="314"/>
        <item x="348"/>
        <item x="112"/>
        <item x="102"/>
        <item x="224"/>
        <item x="52"/>
        <item x="195"/>
        <item x="145"/>
        <item x="226"/>
        <item x="132"/>
        <item x="179"/>
        <item x="238"/>
        <item x="67"/>
        <item x="376"/>
        <item x="209"/>
        <item x="277"/>
        <item x="331"/>
        <item x="127"/>
        <item x="253"/>
        <item x="385"/>
        <item x="441"/>
        <item x="435"/>
        <item x="7"/>
        <item x="434"/>
        <item x="227"/>
        <item x="297"/>
        <item x="377"/>
        <item x="236"/>
        <item x="406"/>
        <item x="206"/>
        <item x="72"/>
        <item x="158"/>
        <item x="217"/>
        <item x="124"/>
        <item x="26"/>
        <item x="262"/>
        <item x="36"/>
        <item x="110"/>
        <item x="229"/>
        <item x="2"/>
        <item x="161"/>
        <item x="254"/>
        <item x="316"/>
        <item x="207"/>
        <item x="54"/>
        <item x="300"/>
        <item x="320"/>
        <item x="100"/>
        <item x="306"/>
        <item x="344"/>
        <item x="154"/>
        <item x="444"/>
        <item x="34"/>
        <item x="342"/>
        <item x="339"/>
        <item x="107"/>
        <item x="415"/>
        <item x="211"/>
        <item x="94"/>
        <item x="30"/>
        <item x="196"/>
        <item x="118"/>
        <item x="55"/>
        <item x="326"/>
        <item x="418"/>
        <item x="420"/>
        <item x="402"/>
        <item x="28"/>
        <item x="288"/>
        <item x="106"/>
        <item x="143"/>
        <item x="69"/>
        <item x="311"/>
        <item x="210"/>
        <item x="41"/>
        <item x="328"/>
        <item x="352"/>
        <item x="425"/>
        <item x="329"/>
        <item x="370"/>
        <item x="152"/>
        <item x="85"/>
        <item x="433"/>
        <item x="396"/>
        <item x="407"/>
        <item x="83"/>
        <item x="115"/>
        <item x="200"/>
        <item x="133"/>
        <item x="378"/>
        <item x="172"/>
        <item x="432"/>
        <item x="183"/>
        <item x="203"/>
        <item x="321"/>
        <item x="397"/>
        <item x="367"/>
        <item x="19"/>
        <item x="194"/>
        <item x="244"/>
        <item x="221"/>
        <item x="0"/>
        <item x="218"/>
        <item x="310"/>
        <item x="63"/>
        <item x="436"/>
        <item x="74"/>
        <item x="48"/>
        <item x="151"/>
        <item x="186"/>
        <item x="98"/>
        <item x="134"/>
        <item x="360"/>
        <item x="114"/>
        <item x="356"/>
        <item x="130"/>
        <item x="44"/>
        <item x="208"/>
        <item x="291"/>
        <item x="422"/>
        <item x="24"/>
        <item x="338"/>
        <item x="80"/>
        <item x="185"/>
        <item x="258"/>
        <item x="256"/>
        <item x="357"/>
        <item x="101"/>
        <item x="99"/>
        <item x="91"/>
        <item x="241"/>
        <item x="334"/>
        <item x="92"/>
        <item x="287"/>
        <item x="225"/>
        <item x="290"/>
        <item x="184"/>
        <item x="361"/>
        <item x="219"/>
        <item x="248"/>
        <item x="84"/>
        <item x="362"/>
        <item x="157"/>
        <item x="324"/>
        <item x="431"/>
        <item x="365"/>
        <item x="170"/>
        <item x="87"/>
        <item x="47"/>
        <item x="156"/>
        <item x="3"/>
        <item x="216"/>
        <item x="261"/>
        <item x="417"/>
        <item x="57"/>
        <item x="160"/>
        <item x="165"/>
        <item x="419"/>
        <item x="399"/>
        <item x="319"/>
        <item x="294"/>
        <item x="199"/>
        <item x="440"/>
        <item x="58"/>
        <item x="410"/>
        <item x="21"/>
        <item x="272"/>
        <item x="284"/>
        <item x="64"/>
        <item x="295"/>
        <item x="191"/>
        <item x="401"/>
        <item x="242"/>
        <item x="174"/>
        <item x="442"/>
        <item x="18"/>
        <item x="373"/>
        <item x="163"/>
        <item x="359"/>
        <item x="438"/>
        <item x="274"/>
        <item x="368"/>
        <item x="181"/>
        <item x="213"/>
        <item x="166"/>
        <item x="430"/>
        <item x="182"/>
        <item x="56"/>
        <item x="89"/>
        <item x="153"/>
        <item x="234"/>
        <item x="164"/>
        <item x="405"/>
        <item x="283"/>
        <item x="268"/>
        <item x="363"/>
        <item x="381"/>
        <item x="121"/>
        <item x="108"/>
        <item x="6"/>
        <item x="95"/>
        <item x="8"/>
        <item x="389"/>
        <item x="296"/>
        <item x="189"/>
        <item x="285"/>
        <item x="5"/>
        <item x="180"/>
        <item x="403"/>
        <item x="252"/>
        <item x="129"/>
        <item x="336"/>
        <item x="10"/>
        <item x="280"/>
        <item x="250"/>
        <item x="349"/>
        <item x="429"/>
        <item x="77"/>
        <item x="136"/>
        <item x="228"/>
        <item x="249"/>
        <item x="445"/>
        <item x="38"/>
        <item x="273"/>
        <item x="40"/>
        <item x="220"/>
        <item x="267"/>
        <item x="358"/>
        <item x="117"/>
        <item x="215"/>
        <item x="178"/>
        <item x="141"/>
        <item x="175"/>
        <item x="257"/>
        <item x="335"/>
        <item x="231"/>
        <item x="12"/>
        <item x="233"/>
        <item x="14"/>
        <item x="27"/>
        <item x="393"/>
        <item x="386"/>
        <item x="387"/>
        <item x="443"/>
        <item x="168"/>
        <item x="201"/>
        <item x="327"/>
        <item x="81"/>
        <item x="413"/>
        <item x="395"/>
        <item x="347"/>
        <item x="427"/>
        <item x="70"/>
        <item x="293"/>
        <item x="37"/>
        <item x="149"/>
        <item x="371"/>
        <item x="167"/>
        <item x="271"/>
        <item x="307"/>
        <item x="303"/>
        <item x="298"/>
        <item x="337"/>
        <item x="408"/>
        <item x="139"/>
        <item x="354"/>
        <item x="162"/>
        <item x="390"/>
        <item x="176"/>
        <item x="416"/>
        <item x="309"/>
        <item x="82"/>
        <item x="232"/>
        <item x="286"/>
        <item x="318"/>
        <item x="53"/>
        <item x="29"/>
        <item x="350"/>
        <item x="65"/>
        <item x="308"/>
        <item x="255"/>
        <item x="312"/>
        <item x="398"/>
        <item x="382"/>
        <item x="375"/>
        <item x="289"/>
        <item x="343"/>
        <item x="212"/>
        <item x="66"/>
        <item x="61"/>
        <item x="20"/>
        <item x="187"/>
        <item x="96"/>
        <item x="11"/>
        <item x="105"/>
        <item x="59"/>
        <item x="171"/>
        <item x="240"/>
        <item x="388"/>
        <item x="111"/>
        <item x="330"/>
        <item x="222"/>
        <item x="355"/>
        <item x="169"/>
        <item x="23"/>
        <item x="90"/>
        <item x="323"/>
        <item x="25"/>
        <item x="304"/>
        <item x="137"/>
        <item x="223"/>
        <item x="369"/>
        <item x="264"/>
        <item x="113"/>
        <item x="251"/>
        <item x="22"/>
        <item x="245"/>
        <item x="192"/>
        <item x="33"/>
        <item x="135"/>
        <item x="214"/>
        <item x="177"/>
        <item x="131"/>
        <item x="446"/>
        <item x="332"/>
        <item x="237"/>
        <item x="246"/>
        <item x="126"/>
        <item x="15"/>
        <item t="default"/>
      </items>
    </pivotField>
    <pivotField showAll="0"/>
    <pivotField showAll="0"/>
    <pivotField showAll="0"/>
    <pivotField showAll="0"/>
    <pivotField showAll="0"/>
    <pivotField showAll="0"/>
    <pivotField dataField="1" showAll="0">
      <items count="455">
        <item x="126"/>
        <item x="385"/>
        <item x="119"/>
        <item x="290"/>
        <item x="165"/>
        <item x="40"/>
        <item x="51"/>
        <item x="375"/>
        <item x="325"/>
        <item x="97"/>
        <item x="86"/>
        <item x="235"/>
        <item x="257"/>
        <item x="26"/>
        <item x="0"/>
        <item x="350"/>
        <item x="189"/>
        <item x="98"/>
        <item x="176"/>
        <item x="195"/>
        <item x="316"/>
        <item x="4"/>
        <item x="449"/>
        <item x="312"/>
        <item x="260"/>
        <item x="346"/>
        <item x="193"/>
        <item x="191"/>
        <item x="311"/>
        <item x="276"/>
        <item x="74"/>
        <item x="71"/>
        <item x="256"/>
        <item x="204"/>
        <item x="307"/>
        <item x="21"/>
        <item x="226"/>
        <item x="348"/>
        <item x="347"/>
        <item x="170"/>
        <item x="99"/>
        <item x="23"/>
        <item x="13"/>
        <item x="121"/>
        <item x="294"/>
        <item x="150"/>
        <item x="227"/>
        <item x="62"/>
        <item x="101"/>
        <item x="303"/>
        <item x="11"/>
        <item x="363"/>
        <item x="179"/>
        <item x="122"/>
        <item x="285"/>
        <item x="156"/>
        <item x="437"/>
        <item x="283"/>
        <item x="436"/>
        <item x="254"/>
        <item x="251"/>
        <item x="106"/>
        <item x="180"/>
        <item x="317"/>
        <item x="31"/>
        <item x="89"/>
        <item x="164"/>
        <item x="221"/>
        <item x="53"/>
        <item x="335"/>
        <item x="95"/>
        <item x="187"/>
        <item x="112"/>
        <item x="401"/>
        <item x="107"/>
        <item x="438"/>
        <item x="168"/>
        <item x="291"/>
        <item x="391"/>
        <item x="171"/>
        <item x="302"/>
        <item x="322"/>
        <item x="216"/>
        <item x="44"/>
        <item x="56"/>
        <item x="435"/>
        <item x="250"/>
        <item x="109"/>
        <item x="222"/>
        <item x="94"/>
        <item x="278"/>
        <item x="432"/>
        <item x="125"/>
        <item x="68"/>
        <item x="245"/>
        <item x="83"/>
        <item x="378"/>
        <item x="336"/>
        <item x="160"/>
        <item x="131"/>
        <item x="5"/>
        <item x="358"/>
        <item x="27"/>
        <item x="352"/>
        <item x="63"/>
        <item x="60"/>
        <item x="269"/>
        <item x="398"/>
        <item x="354"/>
        <item x="416"/>
        <item x="12"/>
        <item x="224"/>
        <item x="324"/>
        <item x="255"/>
        <item x="196"/>
        <item x="52"/>
        <item x="220"/>
        <item x="169"/>
        <item x="69"/>
        <item x="14"/>
        <item x="28"/>
        <item x="116"/>
        <item x="81"/>
        <item x="34"/>
        <item x="410"/>
        <item x="345"/>
        <item x="141"/>
        <item x="421"/>
        <item x="390"/>
        <item x="185"/>
        <item x="277"/>
        <item x="206"/>
        <item x="453"/>
        <item x="313"/>
        <item x="382"/>
        <item x="151"/>
        <item x="152"/>
        <item x="19"/>
        <item x="205"/>
        <item x="448"/>
        <item x="308"/>
        <item x="225"/>
        <item x="275"/>
        <item x="392"/>
        <item x="288"/>
        <item x="102"/>
        <item x="447"/>
        <item x="9"/>
        <item x="210"/>
        <item x="365"/>
        <item x="166"/>
        <item x="87"/>
        <item x="249"/>
        <item x="145"/>
        <item x="202"/>
        <item x="188"/>
        <item x="219"/>
        <item x="229"/>
        <item x="159"/>
        <item x="1"/>
        <item x="280"/>
        <item x="113"/>
        <item x="29"/>
        <item x="32"/>
        <item x="399"/>
        <item x="451"/>
        <item x="65"/>
        <item x="242"/>
        <item x="369"/>
        <item x="409"/>
        <item x="213"/>
        <item x="120"/>
        <item x="59"/>
        <item x="418"/>
        <item x="181"/>
        <item x="384"/>
        <item x="450"/>
        <item x="130"/>
        <item x="93"/>
        <item x="423"/>
        <item x="248"/>
        <item x="446"/>
        <item x="103"/>
        <item x="400"/>
        <item x="264"/>
        <item x="318"/>
        <item x="326"/>
        <item x="356"/>
        <item x="383"/>
        <item x="241"/>
        <item x="420"/>
        <item x="330"/>
        <item x="207"/>
        <item x="111"/>
        <item x="402"/>
        <item x="344"/>
        <item x="234"/>
        <item x="374"/>
        <item x="84"/>
        <item x="147"/>
        <item x="133"/>
        <item x="215"/>
        <item x="339"/>
        <item x="70"/>
        <item x="38"/>
        <item x="425"/>
        <item x="426"/>
        <item x="272"/>
        <item x="100"/>
        <item x="237"/>
        <item x="149"/>
        <item x="142"/>
        <item x="393"/>
        <item x="297"/>
        <item x="211"/>
        <item x="75"/>
        <item x="428"/>
        <item x="17"/>
        <item x="332"/>
        <item x="397"/>
        <item x="408"/>
        <item x="134"/>
        <item x="351"/>
        <item x="146"/>
        <item x="118"/>
        <item x="136"/>
        <item x="79"/>
        <item x="157"/>
        <item x="92"/>
        <item x="360"/>
        <item x="3"/>
        <item x="381"/>
        <item x="367"/>
        <item x="273"/>
        <item x="8"/>
        <item x="25"/>
        <item x="167"/>
        <item x="190"/>
        <item x="323"/>
        <item x="445"/>
        <item x="135"/>
        <item x="252"/>
        <item x="223"/>
        <item x="259"/>
        <item x="110"/>
        <item x="258"/>
        <item x="309"/>
        <item x="114"/>
        <item x="306"/>
        <item x="42"/>
        <item x="414"/>
        <item x="96"/>
        <item x="20"/>
        <item x="208"/>
        <item x="415"/>
        <item x="153"/>
        <item x="137"/>
        <item x="357"/>
        <item x="230"/>
        <item x="175"/>
        <item x="43"/>
        <item x="45"/>
        <item x="200"/>
        <item x="300"/>
        <item x="201"/>
        <item x="139"/>
        <item x="411"/>
        <item x="380"/>
        <item x="177"/>
        <item x="433"/>
        <item x="144"/>
        <item x="155"/>
        <item x="417"/>
        <item x="430"/>
        <item x="244"/>
        <item x="431"/>
        <item x="293"/>
        <item x="327"/>
        <item x="340"/>
        <item x="22"/>
        <item x="186"/>
        <item x="296"/>
        <item x="441"/>
        <item x="173"/>
        <item x="274"/>
        <item x="236"/>
        <item x="117"/>
        <item x="158"/>
        <item x="192"/>
        <item x="240"/>
        <item x="338"/>
        <item x="124"/>
        <item x="172"/>
        <item x="184"/>
        <item x="406"/>
        <item x="61"/>
        <item x="91"/>
        <item x="64"/>
        <item x="66"/>
        <item x="361"/>
        <item x="319"/>
        <item x="422"/>
        <item x="333"/>
        <item x="128"/>
        <item x="376"/>
        <item x="341"/>
        <item x="33"/>
        <item x="301"/>
        <item x="362"/>
        <item x="127"/>
        <item x="419"/>
        <item x="389"/>
        <item x="140"/>
        <item x="41"/>
        <item x="405"/>
        <item x="7"/>
        <item x="359"/>
        <item x="424"/>
        <item x="444"/>
        <item x="334"/>
        <item x="329"/>
        <item x="366"/>
        <item x="442"/>
        <item x="314"/>
        <item x="57"/>
        <item x="298"/>
        <item x="262"/>
        <item x="232"/>
        <item x="368"/>
        <item x="370"/>
        <item x="246"/>
        <item x="331"/>
        <item x="212"/>
        <item x="353"/>
        <item x="429"/>
        <item x="379"/>
        <item x="162"/>
        <item x="78"/>
        <item x="209"/>
        <item x="198"/>
        <item x="2"/>
        <item x="270"/>
        <item x="37"/>
        <item x="238"/>
        <item x="387"/>
        <item x="183"/>
        <item x="452"/>
        <item x="443"/>
        <item x="24"/>
        <item x="46"/>
        <item x="174"/>
        <item x="88"/>
        <item x="343"/>
        <item x="413"/>
        <item x="39"/>
        <item x="439"/>
        <item x="54"/>
        <item x="263"/>
        <item x="247"/>
        <item x="271"/>
        <item x="115"/>
        <item x="154"/>
        <item x="148"/>
        <item x="310"/>
        <item x="35"/>
        <item x="403"/>
        <item x="58"/>
        <item x="214"/>
        <item x="108"/>
        <item x="182"/>
        <item x="161"/>
        <item x="281"/>
        <item x="407"/>
        <item x="143"/>
        <item x="82"/>
        <item x="199"/>
        <item x="80"/>
        <item x="395"/>
        <item x="287"/>
        <item x="49"/>
        <item x="233"/>
        <item x="253"/>
        <item x="404"/>
        <item x="73"/>
        <item x="129"/>
        <item x="105"/>
        <item x="77"/>
        <item x="48"/>
        <item x="304"/>
        <item x="267"/>
        <item x="218"/>
        <item x="228"/>
        <item x="412"/>
        <item x="282"/>
        <item x="337"/>
        <item x="427"/>
        <item x="268"/>
        <item x="67"/>
        <item x="123"/>
        <item x="239"/>
        <item x="320"/>
        <item x="265"/>
        <item x="434"/>
        <item x="364"/>
        <item x="163"/>
        <item x="217"/>
        <item x="295"/>
        <item x="178"/>
        <item x="396"/>
        <item x="6"/>
        <item x="266"/>
        <item x="194"/>
        <item x="15"/>
        <item x="90"/>
        <item x="72"/>
        <item x="286"/>
        <item x="85"/>
        <item x="76"/>
        <item x="203"/>
        <item x="377"/>
        <item x="284"/>
        <item x="104"/>
        <item x="355"/>
        <item x="261"/>
        <item x="342"/>
        <item x="371"/>
        <item x="36"/>
        <item x="18"/>
        <item x="315"/>
        <item x="372"/>
        <item x="328"/>
        <item x="279"/>
        <item x="305"/>
        <item x="321"/>
        <item x="55"/>
        <item x="292"/>
        <item x="197"/>
        <item x="16"/>
        <item x="289"/>
        <item x="10"/>
        <item x="132"/>
        <item x="138"/>
        <item x="394"/>
        <item x="231"/>
        <item x="440"/>
        <item x="388"/>
        <item x="243"/>
        <item x="386"/>
        <item x="50"/>
        <item x="373"/>
        <item x="349"/>
        <item x="299"/>
        <item x="47"/>
        <item x="30"/>
        <item t="default"/>
      </items>
    </pivotField>
    <pivotField showAll="0"/>
    <pivotField showAll="0"/>
    <pivotField numFmtId="165" showAll="0"/>
    <pivotField showAll="0"/>
    <pivotField dataField="1" showAll="0"/>
    <pivotField showAll="0">
      <items count="3">
        <item x="1"/>
        <item x="0"/>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8"/>
  </rowFields>
  <rowItems count="8">
    <i>
      <x/>
    </i>
    <i>
      <x v="1"/>
    </i>
    <i>
      <x v="2"/>
    </i>
    <i>
      <x v="3"/>
    </i>
    <i>
      <x v="4"/>
    </i>
    <i>
      <x v="5"/>
    </i>
    <i>
      <x v="6"/>
    </i>
    <i t="grand">
      <x/>
    </i>
  </rowItems>
  <colFields count="1">
    <field x="-2"/>
  </colFields>
  <colItems count="2">
    <i>
      <x/>
    </i>
    <i i="1">
      <x v="1"/>
    </i>
  </colItems>
  <dataFields count="2">
    <dataField name="Jumlah Kill" fld="18" baseField="0" baseItem="0"/>
    <dataField name="Sum of Gold Earned" fld="23" baseField="0" baseItem="0"/>
  </dataFields>
  <formats count="8">
    <format dxfId="43">
      <pivotArea type="all" dataOnly="0" outline="0" fieldPosition="0"/>
    </format>
    <format dxfId="42">
      <pivotArea outline="0" collapsedLevelsAreSubtotals="1" fieldPosition="0"/>
    </format>
    <format dxfId="41">
      <pivotArea field="8" type="button" dataOnly="0" labelOnly="1" outline="0" axis="axisRow" fieldPosition="0"/>
    </format>
    <format dxfId="40">
      <pivotArea dataOnly="0" labelOnly="1" fieldPosition="0">
        <references count="1">
          <reference field="8" count="0"/>
        </references>
      </pivotArea>
    </format>
    <format dxfId="39">
      <pivotArea dataOnly="0" labelOnly="1" grandRow="1" outline="0" fieldPosition="0"/>
    </format>
    <format dxfId="38">
      <pivotArea dataOnly="0" labelOnly="1" outline="0" fieldPosition="0">
        <references count="1">
          <reference field="4294967294" count="2">
            <x v="0"/>
            <x v="1"/>
          </reference>
        </references>
      </pivotArea>
    </format>
    <format dxfId="37">
      <pivotArea collapsedLevelsAreSubtotals="1" fieldPosition="0">
        <references count="2">
          <reference field="4294967294" count="1" selected="0">
            <x v="1"/>
          </reference>
          <reference field="8" count="0"/>
        </references>
      </pivotArea>
    </format>
    <format dxfId="36">
      <pivotArea field="8" grandRow="1" outline="0" collapsedLevelsAreSubtotals="1" axis="axisRow" fieldPosition="0">
        <references count="1">
          <reference field="4294967294" count="1" selected="0">
            <x v="1"/>
          </reference>
        </references>
      </pivotArea>
    </format>
  </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9F17CE-E3E8-4C0A-B732-B67AE0967A55}"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ace" colHeaderCaption="Class">
  <location ref="D3:N14" firstHeaderRow="1" firstDataRow="2" firstDataCol="1"/>
  <pivotFields count="35">
    <pivotField dataField="1" showAll="0"/>
    <pivotField showAll="0"/>
    <pivotField showAll="0"/>
    <pivotField showAll="0"/>
    <pivotField axis="axisRow" showAll="0">
      <items count="10">
        <item x="5"/>
        <item x="4"/>
        <item x="0"/>
        <item x="8"/>
        <item x="1"/>
        <item x="7"/>
        <item x="3"/>
        <item x="6"/>
        <item x="2"/>
        <item t="default"/>
      </items>
    </pivotField>
    <pivotField axis="axisCol" showAll="0">
      <items count="10">
        <item x="5"/>
        <item x="2"/>
        <item x="6"/>
        <item x="1"/>
        <item x="7"/>
        <item x="8"/>
        <item x="3"/>
        <item x="0"/>
        <item x="4"/>
        <item t="default"/>
      </items>
    </pivotField>
    <pivotField showAll="0"/>
    <pivotField showAll="0"/>
    <pivotField showAll="0"/>
    <pivotField showAll="0"/>
    <pivotField showAll="0"/>
    <pivotField numFmtId="14" showAll="0">
      <items count="448">
        <item x="400"/>
        <item x="380"/>
        <item x="202"/>
        <item x="325"/>
        <item x="122"/>
        <item x="140"/>
        <item x="270"/>
        <item x="351"/>
        <item x="188"/>
        <item x="75"/>
        <item x="4"/>
        <item x="62"/>
        <item x="146"/>
        <item x="43"/>
        <item x="138"/>
        <item x="275"/>
        <item x="301"/>
        <item x="150"/>
        <item x="116"/>
        <item x="437"/>
        <item x="266"/>
        <item x="49"/>
        <item x="68"/>
        <item x="103"/>
        <item x="230"/>
        <item x="409"/>
        <item x="276"/>
        <item x="97"/>
        <item x="159"/>
        <item x="50"/>
        <item x="128"/>
        <item x="235"/>
        <item x="51"/>
        <item x="260"/>
        <item x="239"/>
        <item x="147"/>
        <item x="247"/>
        <item x="374"/>
        <item x="281"/>
        <item x="346"/>
        <item x="404"/>
        <item x="125"/>
        <item x="198"/>
        <item x="9"/>
        <item x="322"/>
        <item x="265"/>
        <item x="73"/>
        <item x="205"/>
        <item x="411"/>
        <item x="31"/>
        <item x="144"/>
        <item x="17"/>
        <item x="366"/>
        <item x="13"/>
        <item x="79"/>
        <item x="292"/>
        <item x="35"/>
        <item x="155"/>
        <item x="173"/>
        <item x="341"/>
        <item x="190"/>
        <item x="42"/>
        <item x="305"/>
        <item x="345"/>
        <item x="391"/>
        <item x="204"/>
        <item x="78"/>
        <item x="372"/>
        <item x="282"/>
        <item x="119"/>
        <item x="414"/>
        <item x="412"/>
        <item x="269"/>
        <item x="104"/>
        <item x="32"/>
        <item x="340"/>
        <item x="392"/>
        <item x="76"/>
        <item x="16"/>
        <item x="193"/>
        <item x="39"/>
        <item x="379"/>
        <item x="383"/>
        <item x="333"/>
        <item x="426"/>
        <item x="317"/>
        <item x="46"/>
        <item x="364"/>
        <item x="120"/>
        <item x="88"/>
        <item x="86"/>
        <item x="60"/>
        <item x="439"/>
        <item x="353"/>
        <item x="123"/>
        <item x="278"/>
        <item x="142"/>
        <item x="299"/>
        <item x="197"/>
        <item x="279"/>
        <item x="263"/>
        <item x="423"/>
        <item x="384"/>
        <item x="243"/>
        <item x="93"/>
        <item x="1"/>
        <item x="302"/>
        <item x="394"/>
        <item x="424"/>
        <item x="71"/>
        <item x="109"/>
        <item x="45"/>
        <item x="148"/>
        <item x="428"/>
        <item x="315"/>
        <item x="421"/>
        <item x="313"/>
        <item x="259"/>
        <item x="314"/>
        <item x="348"/>
        <item x="112"/>
        <item x="102"/>
        <item x="224"/>
        <item x="52"/>
        <item x="195"/>
        <item x="145"/>
        <item x="226"/>
        <item x="132"/>
        <item x="179"/>
        <item x="238"/>
        <item x="67"/>
        <item x="376"/>
        <item x="209"/>
        <item x="277"/>
        <item x="331"/>
        <item x="127"/>
        <item x="253"/>
        <item x="385"/>
        <item x="441"/>
        <item x="435"/>
        <item x="7"/>
        <item x="434"/>
        <item x="227"/>
        <item x="297"/>
        <item x="377"/>
        <item x="236"/>
        <item x="406"/>
        <item x="206"/>
        <item x="72"/>
        <item x="158"/>
        <item x="217"/>
        <item x="124"/>
        <item x="26"/>
        <item x="262"/>
        <item x="36"/>
        <item x="110"/>
        <item x="229"/>
        <item x="2"/>
        <item x="161"/>
        <item x="254"/>
        <item x="316"/>
        <item x="207"/>
        <item x="54"/>
        <item x="300"/>
        <item x="320"/>
        <item x="100"/>
        <item x="306"/>
        <item x="344"/>
        <item x="154"/>
        <item x="444"/>
        <item x="34"/>
        <item x="342"/>
        <item x="339"/>
        <item x="107"/>
        <item x="415"/>
        <item x="211"/>
        <item x="94"/>
        <item x="30"/>
        <item x="196"/>
        <item x="118"/>
        <item x="55"/>
        <item x="326"/>
        <item x="418"/>
        <item x="420"/>
        <item x="402"/>
        <item x="28"/>
        <item x="288"/>
        <item x="106"/>
        <item x="143"/>
        <item x="69"/>
        <item x="311"/>
        <item x="210"/>
        <item x="41"/>
        <item x="328"/>
        <item x="352"/>
        <item x="425"/>
        <item x="329"/>
        <item x="370"/>
        <item x="152"/>
        <item x="85"/>
        <item x="433"/>
        <item x="396"/>
        <item x="407"/>
        <item x="83"/>
        <item x="115"/>
        <item x="200"/>
        <item x="133"/>
        <item x="378"/>
        <item x="172"/>
        <item x="432"/>
        <item x="183"/>
        <item x="203"/>
        <item x="321"/>
        <item x="397"/>
        <item x="367"/>
        <item x="19"/>
        <item x="194"/>
        <item x="244"/>
        <item x="221"/>
        <item x="0"/>
        <item x="218"/>
        <item x="310"/>
        <item x="63"/>
        <item x="436"/>
        <item x="74"/>
        <item x="48"/>
        <item x="151"/>
        <item x="186"/>
        <item x="98"/>
        <item x="134"/>
        <item x="360"/>
        <item x="114"/>
        <item x="356"/>
        <item x="130"/>
        <item x="44"/>
        <item x="208"/>
        <item x="291"/>
        <item x="422"/>
        <item x="24"/>
        <item x="338"/>
        <item x="80"/>
        <item x="185"/>
        <item x="258"/>
        <item x="256"/>
        <item x="357"/>
        <item x="101"/>
        <item x="99"/>
        <item x="91"/>
        <item x="241"/>
        <item x="334"/>
        <item x="92"/>
        <item x="287"/>
        <item x="225"/>
        <item x="290"/>
        <item x="184"/>
        <item x="361"/>
        <item x="219"/>
        <item x="248"/>
        <item x="84"/>
        <item x="362"/>
        <item x="157"/>
        <item x="324"/>
        <item x="431"/>
        <item x="365"/>
        <item x="170"/>
        <item x="87"/>
        <item x="47"/>
        <item x="156"/>
        <item x="3"/>
        <item x="216"/>
        <item x="261"/>
        <item x="417"/>
        <item x="57"/>
        <item x="160"/>
        <item x="165"/>
        <item x="419"/>
        <item x="399"/>
        <item x="319"/>
        <item x="294"/>
        <item x="199"/>
        <item x="440"/>
        <item x="58"/>
        <item x="410"/>
        <item x="21"/>
        <item x="272"/>
        <item x="284"/>
        <item x="64"/>
        <item x="295"/>
        <item x="191"/>
        <item x="401"/>
        <item x="242"/>
        <item x="174"/>
        <item x="442"/>
        <item x="18"/>
        <item x="373"/>
        <item x="163"/>
        <item x="359"/>
        <item x="438"/>
        <item x="274"/>
        <item x="368"/>
        <item x="181"/>
        <item x="213"/>
        <item x="166"/>
        <item x="430"/>
        <item x="182"/>
        <item x="56"/>
        <item x="89"/>
        <item x="153"/>
        <item x="234"/>
        <item x="164"/>
        <item x="405"/>
        <item x="283"/>
        <item x="268"/>
        <item x="363"/>
        <item x="381"/>
        <item x="121"/>
        <item x="108"/>
        <item x="6"/>
        <item x="95"/>
        <item x="8"/>
        <item x="389"/>
        <item x="296"/>
        <item x="189"/>
        <item x="285"/>
        <item x="5"/>
        <item x="180"/>
        <item x="403"/>
        <item x="252"/>
        <item x="129"/>
        <item x="336"/>
        <item x="10"/>
        <item x="280"/>
        <item x="250"/>
        <item x="349"/>
        <item x="429"/>
        <item x="77"/>
        <item x="136"/>
        <item x="228"/>
        <item x="249"/>
        <item x="445"/>
        <item x="38"/>
        <item x="273"/>
        <item x="40"/>
        <item x="220"/>
        <item x="267"/>
        <item x="358"/>
        <item x="117"/>
        <item x="215"/>
        <item x="178"/>
        <item x="141"/>
        <item x="175"/>
        <item x="257"/>
        <item x="335"/>
        <item x="231"/>
        <item x="12"/>
        <item x="233"/>
        <item x="14"/>
        <item x="27"/>
        <item x="393"/>
        <item x="386"/>
        <item x="387"/>
        <item x="443"/>
        <item x="168"/>
        <item x="201"/>
        <item x="327"/>
        <item x="81"/>
        <item x="413"/>
        <item x="395"/>
        <item x="347"/>
        <item x="427"/>
        <item x="70"/>
        <item x="293"/>
        <item x="37"/>
        <item x="149"/>
        <item x="371"/>
        <item x="167"/>
        <item x="271"/>
        <item x="307"/>
        <item x="303"/>
        <item x="298"/>
        <item x="337"/>
        <item x="408"/>
        <item x="139"/>
        <item x="354"/>
        <item x="162"/>
        <item x="390"/>
        <item x="176"/>
        <item x="416"/>
        <item x="309"/>
        <item x="82"/>
        <item x="232"/>
        <item x="286"/>
        <item x="318"/>
        <item x="53"/>
        <item x="29"/>
        <item x="350"/>
        <item x="65"/>
        <item x="308"/>
        <item x="255"/>
        <item x="312"/>
        <item x="398"/>
        <item x="382"/>
        <item x="375"/>
        <item x="289"/>
        <item x="343"/>
        <item x="212"/>
        <item x="66"/>
        <item x="61"/>
        <item x="20"/>
        <item x="187"/>
        <item x="96"/>
        <item x="11"/>
        <item x="105"/>
        <item x="59"/>
        <item x="171"/>
        <item x="240"/>
        <item x="388"/>
        <item x="111"/>
        <item x="330"/>
        <item x="222"/>
        <item x="355"/>
        <item x="169"/>
        <item x="23"/>
        <item x="90"/>
        <item x="323"/>
        <item x="25"/>
        <item x="304"/>
        <item x="137"/>
        <item x="223"/>
        <item x="369"/>
        <item x="264"/>
        <item x="113"/>
        <item x="251"/>
        <item x="22"/>
        <item x="245"/>
        <item x="192"/>
        <item x="33"/>
        <item x="135"/>
        <item x="214"/>
        <item x="177"/>
        <item x="131"/>
        <item x="446"/>
        <item x="332"/>
        <item x="237"/>
        <item x="246"/>
        <item x="126"/>
        <item x="15"/>
        <item t="default"/>
      </items>
    </pivotField>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4"/>
  </rowFields>
  <rowItems count="10">
    <i>
      <x/>
    </i>
    <i>
      <x v="1"/>
    </i>
    <i>
      <x v="2"/>
    </i>
    <i>
      <x v="3"/>
    </i>
    <i>
      <x v="4"/>
    </i>
    <i>
      <x v="5"/>
    </i>
    <i>
      <x v="6"/>
    </i>
    <i>
      <x v="7"/>
    </i>
    <i>
      <x v="8"/>
    </i>
    <i t="grand">
      <x/>
    </i>
  </rowItems>
  <colFields count="1">
    <field x="5"/>
  </colFields>
  <colItems count="10">
    <i>
      <x/>
    </i>
    <i>
      <x v="1"/>
    </i>
    <i>
      <x v="2"/>
    </i>
    <i>
      <x v="3"/>
    </i>
    <i>
      <x v="4"/>
    </i>
    <i>
      <x v="5"/>
    </i>
    <i>
      <x v="6"/>
    </i>
    <i>
      <x v="7"/>
    </i>
    <i>
      <x v="8"/>
    </i>
    <i t="grand">
      <x/>
    </i>
  </colItems>
  <dataFields count="1">
    <dataField name="Jumlah Player" fld="0" subtotal="count" baseField="0" baseItem="0"/>
  </dataFields>
  <formats count="10">
    <format dxfId="53">
      <pivotArea type="all" dataOnly="0" outline="0" fieldPosition="0"/>
    </format>
    <format dxfId="52">
      <pivotArea outline="0" collapsedLevelsAreSubtotals="1" fieldPosition="0"/>
    </format>
    <format dxfId="51">
      <pivotArea type="origin" dataOnly="0" labelOnly="1" outline="0" fieldPosition="0"/>
    </format>
    <format dxfId="50">
      <pivotArea field="5" type="button" dataOnly="0" labelOnly="1" outline="0" axis="axisCol" fieldPosition="0"/>
    </format>
    <format dxfId="49">
      <pivotArea type="topRight" dataOnly="0" labelOnly="1" outline="0" fieldPosition="0"/>
    </format>
    <format dxfId="48">
      <pivotArea field="4" type="button" dataOnly="0" labelOnly="1" outline="0" axis="axisRow" fieldPosition="0"/>
    </format>
    <format dxfId="47">
      <pivotArea dataOnly="0" labelOnly="1" fieldPosition="0">
        <references count="1">
          <reference field="4" count="0"/>
        </references>
      </pivotArea>
    </format>
    <format dxfId="46">
      <pivotArea dataOnly="0" labelOnly="1" grandRow="1" outline="0" fieldPosition="0"/>
    </format>
    <format dxfId="45">
      <pivotArea dataOnly="0" labelOnly="1" fieldPosition="0">
        <references count="1">
          <reference field="5" count="0"/>
        </references>
      </pivotArea>
    </format>
    <format dxfId="44">
      <pivotArea dataOnly="0" labelOnly="1" grandCol="1" outline="0" fieldPosition="0"/>
    </format>
  </formats>
  <conditionalFormats count="1">
    <conditionalFormat priority="1">
      <pivotAreas count="1">
        <pivotArea type="data" collapsedLevelsAreSubtotals="1" fieldPosition="0">
          <references count="3">
            <reference field="4294967294" count="1" selected="0">
              <x v="0"/>
            </reference>
            <reference field="4" count="9">
              <x v="0"/>
              <x v="1"/>
              <x v="2"/>
              <x v="3"/>
              <x v="4"/>
              <x v="5"/>
              <x v="6"/>
              <x v="7"/>
              <x v="8"/>
            </reference>
            <reference field="5" count="9" selected="0">
              <x v="0"/>
              <x v="1"/>
              <x v="2"/>
              <x v="3"/>
              <x v="4"/>
              <x v="5"/>
              <x v="6"/>
              <x v="7"/>
              <x v="8"/>
            </reference>
          </references>
        </pivotArea>
      </pivotAreas>
    </conditionalFormat>
  </conditional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FD5AB1-E649-482A-B8F6-9558BA98E213}"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6" firstHeaderRow="1" firstDataRow="1" firstDataCol="1"/>
  <pivotFields count="35">
    <pivotField showAll="0"/>
    <pivotField showAll="0"/>
    <pivotField showAll="0"/>
    <pivotField showAll="0"/>
    <pivotField showAll="0"/>
    <pivotField showAll="0"/>
    <pivotField showAll="0"/>
    <pivotField axis="axisRow" showAll="0">
      <items count="10">
        <item x="6"/>
        <item x="5"/>
        <item x="2"/>
        <item x="7"/>
        <item x="8"/>
        <item x="1"/>
        <item x="0"/>
        <item x="4"/>
        <item x="3"/>
        <item t="default"/>
      </items>
    </pivotField>
    <pivotField showAll="0"/>
    <pivotField showAll="0"/>
    <pivotField showAll="0"/>
    <pivotField numFmtId="14" showAll="0">
      <items count="448">
        <item x="400"/>
        <item x="380"/>
        <item x="202"/>
        <item x="325"/>
        <item x="122"/>
        <item x="140"/>
        <item x="270"/>
        <item x="351"/>
        <item x="188"/>
        <item x="75"/>
        <item x="4"/>
        <item x="62"/>
        <item x="146"/>
        <item x="43"/>
        <item x="138"/>
        <item x="275"/>
        <item x="301"/>
        <item x="150"/>
        <item x="116"/>
        <item x="437"/>
        <item x="266"/>
        <item x="49"/>
        <item x="68"/>
        <item x="103"/>
        <item x="230"/>
        <item x="409"/>
        <item x="276"/>
        <item x="97"/>
        <item x="159"/>
        <item x="50"/>
        <item x="128"/>
        <item x="235"/>
        <item x="51"/>
        <item x="260"/>
        <item x="239"/>
        <item x="147"/>
        <item x="247"/>
        <item x="374"/>
        <item x="281"/>
        <item x="346"/>
        <item x="404"/>
        <item x="125"/>
        <item x="198"/>
        <item x="9"/>
        <item x="322"/>
        <item x="265"/>
        <item x="73"/>
        <item x="205"/>
        <item x="411"/>
        <item x="31"/>
        <item x="144"/>
        <item x="17"/>
        <item x="366"/>
        <item x="13"/>
        <item x="79"/>
        <item x="292"/>
        <item x="35"/>
        <item x="155"/>
        <item x="173"/>
        <item x="341"/>
        <item x="190"/>
        <item x="42"/>
        <item x="305"/>
        <item x="345"/>
        <item x="391"/>
        <item x="204"/>
        <item x="78"/>
        <item x="372"/>
        <item x="282"/>
        <item x="119"/>
        <item x="414"/>
        <item x="412"/>
        <item x="269"/>
        <item x="104"/>
        <item x="32"/>
        <item x="340"/>
        <item x="392"/>
        <item x="76"/>
        <item x="16"/>
        <item x="193"/>
        <item x="39"/>
        <item x="379"/>
        <item x="383"/>
        <item x="333"/>
        <item x="426"/>
        <item x="317"/>
        <item x="46"/>
        <item x="364"/>
        <item x="120"/>
        <item x="88"/>
        <item x="86"/>
        <item x="60"/>
        <item x="439"/>
        <item x="353"/>
        <item x="123"/>
        <item x="278"/>
        <item x="142"/>
        <item x="299"/>
        <item x="197"/>
        <item x="279"/>
        <item x="263"/>
        <item x="423"/>
        <item x="384"/>
        <item x="243"/>
        <item x="93"/>
        <item x="1"/>
        <item x="302"/>
        <item x="394"/>
        <item x="424"/>
        <item x="71"/>
        <item x="109"/>
        <item x="45"/>
        <item x="148"/>
        <item x="428"/>
        <item x="315"/>
        <item x="421"/>
        <item x="313"/>
        <item x="259"/>
        <item x="314"/>
        <item x="348"/>
        <item x="112"/>
        <item x="102"/>
        <item x="224"/>
        <item x="52"/>
        <item x="195"/>
        <item x="145"/>
        <item x="226"/>
        <item x="132"/>
        <item x="179"/>
        <item x="238"/>
        <item x="67"/>
        <item x="376"/>
        <item x="209"/>
        <item x="277"/>
        <item x="331"/>
        <item x="127"/>
        <item x="253"/>
        <item x="385"/>
        <item x="441"/>
        <item x="435"/>
        <item x="7"/>
        <item x="434"/>
        <item x="227"/>
        <item x="297"/>
        <item x="377"/>
        <item x="236"/>
        <item x="406"/>
        <item x="206"/>
        <item x="72"/>
        <item x="158"/>
        <item x="217"/>
        <item x="124"/>
        <item x="26"/>
        <item x="262"/>
        <item x="36"/>
        <item x="110"/>
        <item x="229"/>
        <item x="2"/>
        <item x="161"/>
        <item x="254"/>
        <item x="316"/>
        <item x="207"/>
        <item x="54"/>
        <item x="300"/>
        <item x="320"/>
        <item x="100"/>
        <item x="306"/>
        <item x="344"/>
        <item x="154"/>
        <item x="444"/>
        <item x="34"/>
        <item x="342"/>
        <item x="339"/>
        <item x="107"/>
        <item x="415"/>
        <item x="211"/>
        <item x="94"/>
        <item x="30"/>
        <item x="196"/>
        <item x="118"/>
        <item x="55"/>
        <item x="326"/>
        <item x="418"/>
        <item x="420"/>
        <item x="402"/>
        <item x="28"/>
        <item x="288"/>
        <item x="106"/>
        <item x="143"/>
        <item x="69"/>
        <item x="311"/>
        <item x="210"/>
        <item x="41"/>
        <item x="328"/>
        <item x="352"/>
        <item x="425"/>
        <item x="329"/>
        <item x="370"/>
        <item x="152"/>
        <item x="85"/>
        <item x="433"/>
        <item x="396"/>
        <item x="407"/>
        <item x="83"/>
        <item x="115"/>
        <item x="200"/>
        <item x="133"/>
        <item x="378"/>
        <item x="172"/>
        <item x="432"/>
        <item x="183"/>
        <item x="203"/>
        <item x="321"/>
        <item x="397"/>
        <item x="367"/>
        <item x="19"/>
        <item x="194"/>
        <item x="244"/>
        <item x="221"/>
        <item x="0"/>
        <item x="218"/>
        <item x="310"/>
        <item x="63"/>
        <item x="436"/>
        <item x="74"/>
        <item x="48"/>
        <item x="151"/>
        <item x="186"/>
        <item x="98"/>
        <item x="134"/>
        <item x="360"/>
        <item x="114"/>
        <item x="356"/>
        <item x="130"/>
        <item x="44"/>
        <item x="208"/>
        <item x="291"/>
        <item x="422"/>
        <item x="24"/>
        <item x="338"/>
        <item x="80"/>
        <item x="185"/>
        <item x="258"/>
        <item x="256"/>
        <item x="357"/>
        <item x="101"/>
        <item x="99"/>
        <item x="91"/>
        <item x="241"/>
        <item x="334"/>
        <item x="92"/>
        <item x="287"/>
        <item x="225"/>
        <item x="290"/>
        <item x="184"/>
        <item x="361"/>
        <item x="219"/>
        <item x="248"/>
        <item x="84"/>
        <item x="362"/>
        <item x="157"/>
        <item x="324"/>
        <item x="431"/>
        <item x="365"/>
        <item x="170"/>
        <item x="87"/>
        <item x="47"/>
        <item x="156"/>
        <item x="3"/>
        <item x="216"/>
        <item x="261"/>
        <item x="417"/>
        <item x="57"/>
        <item x="160"/>
        <item x="165"/>
        <item x="419"/>
        <item x="399"/>
        <item x="319"/>
        <item x="294"/>
        <item x="199"/>
        <item x="440"/>
        <item x="58"/>
        <item x="410"/>
        <item x="21"/>
        <item x="272"/>
        <item x="284"/>
        <item x="64"/>
        <item x="295"/>
        <item x="191"/>
        <item x="401"/>
        <item x="242"/>
        <item x="174"/>
        <item x="442"/>
        <item x="18"/>
        <item x="373"/>
        <item x="163"/>
        <item x="359"/>
        <item x="438"/>
        <item x="274"/>
        <item x="368"/>
        <item x="181"/>
        <item x="213"/>
        <item x="166"/>
        <item x="430"/>
        <item x="182"/>
        <item x="56"/>
        <item x="89"/>
        <item x="153"/>
        <item x="234"/>
        <item x="164"/>
        <item x="405"/>
        <item x="283"/>
        <item x="268"/>
        <item x="363"/>
        <item x="381"/>
        <item x="121"/>
        <item x="108"/>
        <item x="6"/>
        <item x="95"/>
        <item x="8"/>
        <item x="389"/>
        <item x="296"/>
        <item x="189"/>
        <item x="285"/>
        <item x="5"/>
        <item x="180"/>
        <item x="403"/>
        <item x="252"/>
        <item x="129"/>
        <item x="336"/>
        <item x="10"/>
        <item x="280"/>
        <item x="250"/>
        <item x="349"/>
        <item x="429"/>
        <item x="77"/>
        <item x="136"/>
        <item x="228"/>
        <item x="249"/>
        <item x="445"/>
        <item x="38"/>
        <item x="273"/>
        <item x="40"/>
        <item x="220"/>
        <item x="267"/>
        <item x="358"/>
        <item x="117"/>
        <item x="215"/>
        <item x="178"/>
        <item x="141"/>
        <item x="175"/>
        <item x="257"/>
        <item x="335"/>
        <item x="231"/>
        <item x="12"/>
        <item x="233"/>
        <item x="14"/>
        <item x="27"/>
        <item x="393"/>
        <item x="386"/>
        <item x="387"/>
        <item x="443"/>
        <item x="168"/>
        <item x="201"/>
        <item x="327"/>
        <item x="81"/>
        <item x="413"/>
        <item x="395"/>
        <item x="347"/>
        <item x="427"/>
        <item x="70"/>
        <item x="293"/>
        <item x="37"/>
        <item x="149"/>
        <item x="371"/>
        <item x="167"/>
        <item x="271"/>
        <item x="307"/>
        <item x="303"/>
        <item x="298"/>
        <item x="337"/>
        <item x="408"/>
        <item x="139"/>
        <item x="354"/>
        <item x="162"/>
        <item x="390"/>
        <item x="176"/>
        <item x="416"/>
        <item x="309"/>
        <item x="82"/>
        <item x="232"/>
        <item x="286"/>
        <item x="318"/>
        <item x="53"/>
        <item x="29"/>
        <item x="350"/>
        <item x="65"/>
        <item x="308"/>
        <item x="255"/>
        <item x="312"/>
        <item x="398"/>
        <item x="382"/>
        <item x="375"/>
        <item x="289"/>
        <item x="343"/>
        <item x="212"/>
        <item x="66"/>
        <item x="61"/>
        <item x="20"/>
        <item x="187"/>
        <item x="96"/>
        <item x="11"/>
        <item x="105"/>
        <item x="59"/>
        <item x="171"/>
        <item x="240"/>
        <item x="388"/>
        <item x="111"/>
        <item x="330"/>
        <item x="222"/>
        <item x="355"/>
        <item x="169"/>
        <item x="23"/>
        <item x="90"/>
        <item x="323"/>
        <item x="25"/>
        <item x="304"/>
        <item x="137"/>
        <item x="223"/>
        <item x="369"/>
        <item x="264"/>
        <item x="113"/>
        <item x="251"/>
        <item x="22"/>
        <item x="245"/>
        <item x="192"/>
        <item x="33"/>
        <item x="135"/>
        <item x="214"/>
        <item x="177"/>
        <item x="131"/>
        <item x="446"/>
        <item x="332"/>
        <item x="237"/>
        <item x="246"/>
        <item x="126"/>
        <item x="15"/>
        <item t="default"/>
      </items>
    </pivotField>
    <pivotField showAll="0"/>
    <pivotField showAll="0"/>
    <pivotField showAll="0"/>
    <pivotField showAll="0"/>
    <pivotField showAll="0"/>
    <pivotField showAll="0"/>
    <pivotField showAll="0"/>
    <pivotField showAll="0"/>
    <pivotField showAll="0"/>
    <pivotField numFmtId="165"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7"/>
  </rowFields>
  <rowItems count="10">
    <i>
      <x/>
    </i>
    <i>
      <x v="1"/>
    </i>
    <i>
      <x v="2"/>
    </i>
    <i>
      <x v="3"/>
    </i>
    <i>
      <x v="4"/>
    </i>
    <i>
      <x v="5"/>
    </i>
    <i>
      <x v="6"/>
    </i>
    <i>
      <x v="7"/>
    </i>
    <i>
      <x v="8"/>
    </i>
    <i t="grand">
      <x/>
    </i>
  </rowItems>
  <colItems count="1">
    <i/>
  </colItems>
  <dataFields count="1">
    <dataField name="Sum of Gold Earned" fld="23" baseField="0" baseItem="0" numFmtId="44"/>
  </dataFields>
  <formats count="7">
    <format dxfId="60">
      <pivotArea outline="0" collapsedLevelsAreSubtotals="1" fieldPosition="0"/>
    </format>
    <format dxfId="59">
      <pivotArea type="all" dataOnly="0" outline="0" fieldPosition="0"/>
    </format>
    <format dxfId="58">
      <pivotArea outline="0" collapsedLevelsAreSubtotals="1" fieldPosition="0"/>
    </format>
    <format dxfId="57">
      <pivotArea field="7" type="button" dataOnly="0" labelOnly="1" outline="0" axis="axisRow" fieldPosition="0"/>
    </format>
    <format dxfId="56">
      <pivotArea dataOnly="0" labelOnly="1" fieldPosition="0">
        <references count="1">
          <reference field="7" count="0"/>
        </references>
      </pivotArea>
    </format>
    <format dxfId="55">
      <pivotArea dataOnly="0" labelOnly="1" grandRow="1" outline="0" fieldPosition="0"/>
    </format>
    <format dxfId="54">
      <pivotArea dataOnly="0" labelOnly="1" outline="0" axis="axisValues" fieldPosition="0"/>
    </format>
  </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7C50B7-B6A0-43BA-8248-1FAB17C6F8B3}"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lass">
  <location ref="A3:B13" firstHeaderRow="1" firstDataRow="1" firstDataCol="1"/>
  <pivotFields count="35">
    <pivotField dataField="1" showAll="0"/>
    <pivotField showAll="0"/>
    <pivotField showAll="0"/>
    <pivotField showAll="0"/>
    <pivotField showAll="0"/>
    <pivotField axis="axisRow" showAll="0">
      <items count="10">
        <item x="5"/>
        <item x="2"/>
        <item x="6"/>
        <item x="1"/>
        <item x="7"/>
        <item x="8"/>
        <item x="3"/>
        <item x="0"/>
        <item x="4"/>
        <item t="default"/>
      </items>
    </pivotField>
    <pivotField showAll="0"/>
    <pivotField showAll="0"/>
    <pivotField showAll="0"/>
    <pivotField showAll="0"/>
    <pivotField showAll="0"/>
    <pivotField numFmtId="14" showAll="0">
      <items count="448">
        <item x="400"/>
        <item x="380"/>
        <item x="202"/>
        <item x="325"/>
        <item x="122"/>
        <item x="140"/>
        <item x="270"/>
        <item x="351"/>
        <item x="188"/>
        <item x="75"/>
        <item x="4"/>
        <item x="62"/>
        <item x="146"/>
        <item x="43"/>
        <item x="138"/>
        <item x="275"/>
        <item x="301"/>
        <item x="150"/>
        <item x="116"/>
        <item x="437"/>
        <item x="266"/>
        <item x="49"/>
        <item x="68"/>
        <item x="103"/>
        <item x="230"/>
        <item x="409"/>
        <item x="276"/>
        <item x="97"/>
        <item x="159"/>
        <item x="50"/>
        <item x="128"/>
        <item x="235"/>
        <item x="51"/>
        <item x="260"/>
        <item x="239"/>
        <item x="147"/>
        <item x="247"/>
        <item x="374"/>
        <item x="281"/>
        <item x="346"/>
        <item x="404"/>
        <item x="125"/>
        <item x="198"/>
        <item x="9"/>
        <item x="322"/>
        <item x="265"/>
        <item x="73"/>
        <item x="205"/>
        <item x="411"/>
        <item x="31"/>
        <item x="144"/>
        <item x="17"/>
        <item x="366"/>
        <item x="13"/>
        <item x="79"/>
        <item x="292"/>
        <item x="35"/>
        <item x="155"/>
        <item x="173"/>
        <item x="341"/>
        <item x="190"/>
        <item x="42"/>
        <item x="305"/>
        <item x="345"/>
        <item x="391"/>
        <item x="204"/>
        <item x="78"/>
        <item x="372"/>
        <item x="282"/>
        <item x="119"/>
        <item x="414"/>
        <item x="412"/>
        <item x="269"/>
        <item x="104"/>
        <item x="32"/>
        <item x="340"/>
        <item x="392"/>
        <item x="76"/>
        <item x="16"/>
        <item x="193"/>
        <item x="39"/>
        <item x="379"/>
        <item x="383"/>
        <item x="333"/>
        <item x="426"/>
        <item x="317"/>
        <item x="46"/>
        <item x="364"/>
        <item x="120"/>
        <item x="88"/>
        <item x="86"/>
        <item x="60"/>
        <item x="439"/>
        <item x="353"/>
        <item x="123"/>
        <item x="278"/>
        <item x="142"/>
        <item x="299"/>
        <item x="197"/>
        <item x="279"/>
        <item x="263"/>
        <item x="423"/>
        <item x="384"/>
        <item x="243"/>
        <item x="93"/>
        <item x="1"/>
        <item x="302"/>
        <item x="394"/>
        <item x="424"/>
        <item x="71"/>
        <item x="109"/>
        <item x="45"/>
        <item x="148"/>
        <item x="428"/>
        <item x="315"/>
        <item x="421"/>
        <item x="313"/>
        <item x="259"/>
        <item x="314"/>
        <item x="348"/>
        <item x="112"/>
        <item x="102"/>
        <item x="224"/>
        <item x="52"/>
        <item x="195"/>
        <item x="145"/>
        <item x="226"/>
        <item x="132"/>
        <item x="179"/>
        <item x="238"/>
        <item x="67"/>
        <item x="376"/>
        <item x="209"/>
        <item x="277"/>
        <item x="331"/>
        <item x="127"/>
        <item x="253"/>
        <item x="385"/>
        <item x="441"/>
        <item x="435"/>
        <item x="7"/>
        <item x="434"/>
        <item x="227"/>
        <item x="297"/>
        <item x="377"/>
        <item x="236"/>
        <item x="406"/>
        <item x="206"/>
        <item x="72"/>
        <item x="158"/>
        <item x="217"/>
        <item x="124"/>
        <item x="26"/>
        <item x="262"/>
        <item x="36"/>
        <item x="110"/>
        <item x="229"/>
        <item x="2"/>
        <item x="161"/>
        <item x="254"/>
        <item x="316"/>
        <item x="207"/>
        <item x="54"/>
        <item x="300"/>
        <item x="320"/>
        <item x="100"/>
        <item x="306"/>
        <item x="344"/>
        <item x="154"/>
        <item x="444"/>
        <item x="34"/>
        <item x="342"/>
        <item x="339"/>
        <item x="107"/>
        <item x="415"/>
        <item x="211"/>
        <item x="94"/>
        <item x="30"/>
        <item x="196"/>
        <item x="118"/>
        <item x="55"/>
        <item x="326"/>
        <item x="418"/>
        <item x="420"/>
        <item x="402"/>
        <item x="28"/>
        <item x="288"/>
        <item x="106"/>
        <item x="143"/>
        <item x="69"/>
        <item x="311"/>
        <item x="210"/>
        <item x="41"/>
        <item x="328"/>
        <item x="352"/>
        <item x="425"/>
        <item x="329"/>
        <item x="370"/>
        <item x="152"/>
        <item x="85"/>
        <item x="433"/>
        <item x="396"/>
        <item x="407"/>
        <item x="83"/>
        <item x="115"/>
        <item x="200"/>
        <item x="133"/>
        <item x="378"/>
        <item x="172"/>
        <item x="432"/>
        <item x="183"/>
        <item x="203"/>
        <item x="321"/>
        <item x="397"/>
        <item x="367"/>
        <item x="19"/>
        <item x="194"/>
        <item x="244"/>
        <item x="221"/>
        <item x="0"/>
        <item x="218"/>
        <item x="310"/>
        <item x="63"/>
        <item x="436"/>
        <item x="74"/>
        <item x="48"/>
        <item x="151"/>
        <item x="186"/>
        <item x="98"/>
        <item x="134"/>
        <item x="360"/>
        <item x="114"/>
        <item x="356"/>
        <item x="130"/>
        <item x="44"/>
        <item x="208"/>
        <item x="291"/>
        <item x="422"/>
        <item x="24"/>
        <item x="338"/>
        <item x="80"/>
        <item x="185"/>
        <item x="258"/>
        <item x="256"/>
        <item x="357"/>
        <item x="101"/>
        <item x="99"/>
        <item x="91"/>
        <item x="241"/>
        <item x="334"/>
        <item x="92"/>
        <item x="287"/>
        <item x="225"/>
        <item x="290"/>
        <item x="184"/>
        <item x="361"/>
        <item x="219"/>
        <item x="248"/>
        <item x="84"/>
        <item x="362"/>
        <item x="157"/>
        <item x="324"/>
        <item x="431"/>
        <item x="365"/>
        <item x="170"/>
        <item x="87"/>
        <item x="47"/>
        <item x="156"/>
        <item x="3"/>
        <item x="216"/>
        <item x="261"/>
        <item x="417"/>
        <item x="57"/>
        <item x="160"/>
        <item x="165"/>
        <item x="419"/>
        <item x="399"/>
        <item x="319"/>
        <item x="294"/>
        <item x="199"/>
        <item x="440"/>
        <item x="58"/>
        <item x="410"/>
        <item x="21"/>
        <item x="272"/>
        <item x="284"/>
        <item x="64"/>
        <item x="295"/>
        <item x="191"/>
        <item x="401"/>
        <item x="242"/>
        <item x="174"/>
        <item x="442"/>
        <item x="18"/>
        <item x="373"/>
        <item x="163"/>
        <item x="359"/>
        <item x="438"/>
        <item x="274"/>
        <item x="368"/>
        <item x="181"/>
        <item x="213"/>
        <item x="166"/>
        <item x="430"/>
        <item x="182"/>
        <item x="56"/>
        <item x="89"/>
        <item x="153"/>
        <item x="234"/>
        <item x="164"/>
        <item x="405"/>
        <item x="283"/>
        <item x="268"/>
        <item x="363"/>
        <item x="381"/>
        <item x="121"/>
        <item x="108"/>
        <item x="6"/>
        <item x="95"/>
        <item x="8"/>
        <item x="389"/>
        <item x="296"/>
        <item x="189"/>
        <item x="285"/>
        <item x="5"/>
        <item x="180"/>
        <item x="403"/>
        <item x="252"/>
        <item x="129"/>
        <item x="336"/>
        <item x="10"/>
        <item x="280"/>
        <item x="250"/>
        <item x="349"/>
        <item x="429"/>
        <item x="77"/>
        <item x="136"/>
        <item x="228"/>
        <item x="249"/>
        <item x="445"/>
        <item x="38"/>
        <item x="273"/>
        <item x="40"/>
        <item x="220"/>
        <item x="267"/>
        <item x="358"/>
        <item x="117"/>
        <item x="215"/>
        <item x="178"/>
        <item x="141"/>
        <item x="175"/>
        <item x="257"/>
        <item x="335"/>
        <item x="231"/>
        <item x="12"/>
        <item x="233"/>
        <item x="14"/>
        <item x="27"/>
        <item x="393"/>
        <item x="386"/>
        <item x="387"/>
        <item x="443"/>
        <item x="168"/>
        <item x="201"/>
        <item x="327"/>
        <item x="81"/>
        <item x="413"/>
        <item x="395"/>
        <item x="347"/>
        <item x="427"/>
        <item x="70"/>
        <item x="293"/>
        <item x="37"/>
        <item x="149"/>
        <item x="371"/>
        <item x="167"/>
        <item x="271"/>
        <item x="307"/>
        <item x="303"/>
        <item x="298"/>
        <item x="337"/>
        <item x="408"/>
        <item x="139"/>
        <item x="354"/>
        <item x="162"/>
        <item x="390"/>
        <item x="176"/>
        <item x="416"/>
        <item x="309"/>
        <item x="82"/>
        <item x="232"/>
        <item x="286"/>
        <item x="318"/>
        <item x="53"/>
        <item x="29"/>
        <item x="350"/>
        <item x="65"/>
        <item x="308"/>
        <item x="255"/>
        <item x="312"/>
        <item x="398"/>
        <item x="382"/>
        <item x="375"/>
        <item x="289"/>
        <item x="343"/>
        <item x="212"/>
        <item x="66"/>
        <item x="61"/>
        <item x="20"/>
        <item x="187"/>
        <item x="96"/>
        <item x="11"/>
        <item x="105"/>
        <item x="59"/>
        <item x="171"/>
        <item x="240"/>
        <item x="388"/>
        <item x="111"/>
        <item x="330"/>
        <item x="222"/>
        <item x="355"/>
        <item x="169"/>
        <item x="23"/>
        <item x="90"/>
        <item x="323"/>
        <item x="25"/>
        <item x="304"/>
        <item x="137"/>
        <item x="223"/>
        <item x="369"/>
        <item x="264"/>
        <item x="113"/>
        <item x="251"/>
        <item x="22"/>
        <item x="245"/>
        <item x="192"/>
        <item x="33"/>
        <item x="135"/>
        <item x="214"/>
        <item x="177"/>
        <item x="131"/>
        <item x="446"/>
        <item x="332"/>
        <item x="237"/>
        <item x="246"/>
        <item x="126"/>
        <item x="15"/>
        <item t="default"/>
      </items>
    </pivotField>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5"/>
  </rowFields>
  <rowItems count="10">
    <i>
      <x/>
    </i>
    <i>
      <x v="1"/>
    </i>
    <i>
      <x v="2"/>
    </i>
    <i>
      <x v="3"/>
    </i>
    <i>
      <x v="4"/>
    </i>
    <i>
      <x v="5"/>
    </i>
    <i>
      <x v="6"/>
    </i>
    <i>
      <x v="7"/>
    </i>
    <i>
      <x v="8"/>
    </i>
    <i t="grand">
      <x/>
    </i>
  </rowItems>
  <colItems count="1">
    <i/>
  </colItems>
  <dataFields count="1">
    <dataField name="Jumlah Player" fld="0" subtotal="count" baseField="0" baseItem="0"/>
  </dataFields>
  <formats count="6">
    <format dxfId="16">
      <pivotArea type="all" dataOnly="0" outline="0" fieldPosition="0"/>
    </format>
    <format dxfId="17">
      <pivotArea outline="0" collapsedLevelsAreSubtotals="1" fieldPosition="0"/>
    </format>
    <format dxfId="18">
      <pivotArea field="5" type="button" dataOnly="0" labelOnly="1" outline="0" axis="axisRow" fieldPosition="0"/>
    </format>
    <format dxfId="19">
      <pivotArea dataOnly="0" labelOnly="1" fieldPosition="0">
        <references count="1">
          <reference field="5" count="0"/>
        </references>
      </pivotArea>
    </format>
    <format dxfId="20">
      <pivotArea dataOnly="0" labelOnly="1" grandRow="1" outline="0" fieldPosition="0"/>
    </format>
    <format dxfId="2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A81279E-FD4C-48AD-AC32-55B08547D70F}" autoFormatId="16" applyNumberFormats="0" applyBorderFormats="0" applyFontFormats="0" applyPatternFormats="0" applyAlignmentFormats="0" applyWidthHeightFormats="0">
  <queryTableRefresh nextId="26">
    <queryTableFields count="25">
      <queryTableField id="1" name="Player ID" tableColumnId="1"/>
      <queryTableField id="2" name="Username" tableColumnId="2"/>
      <queryTableField id="3" name="First Name" tableColumnId="3"/>
      <queryTableField id="4" name="Last Name" tableColumnId="4"/>
      <queryTableField id="5" name="Race" tableColumnId="5"/>
      <queryTableField id="6" name="Class" tableColumnId="6"/>
      <queryTableField id="7" name="Level" tableColumnId="7"/>
      <queryTableField id="8" name="Region" tableColumnId="8"/>
      <queryTableField id="9" name="Guild" tableColumnId="9"/>
      <queryTableField id="10" name="Weapon" tableColumnId="10"/>
      <queryTableField id="11" name="Status" tableColumnId="11"/>
      <queryTableField id="12" name="Join Date" tableColumnId="12"/>
      <queryTableField id="13" name="ATK" tableColumnId="13"/>
      <queryTableField id="14" name="DEF" tableColumnId="14"/>
      <queryTableField id="15" name="SPD" tableColumnId="15"/>
      <queryTableField id="16" name="HP" tableColumnId="16"/>
      <queryTableField id="17" name="MP" tableColumnId="17"/>
      <queryTableField id="18" name="Total Stat" tableColumnId="18"/>
      <queryTableField id="19" name="Kills" tableColumnId="19"/>
      <queryTableField id="20" name="Deaths" tableColumnId="20"/>
      <queryTableField id="21" name="Quests Completed" tableColumnId="21"/>
      <queryTableField id="22" name="Win Rate (%)" tableColumnId="22"/>
      <queryTableField id="23" name="Playtime (hrs)" tableColumnId="23"/>
      <queryTableField id="24" name="Gold Earned" tableColumnId="24"/>
      <queryTableField id="25" name="Is Premium"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 xr16:uid="{A0190944-531B-47EE-BB99-18C68BC2A5CE}" autoFormatId="16" applyNumberFormats="0" applyBorderFormats="0" applyFontFormats="0" applyPatternFormats="0" applyAlignmentFormats="0" applyWidthHeightFormats="0">
  <queryTableRefresh nextId="35" unboundColumnsRight="2">
    <queryTableFields count="34">
      <queryTableField id="1" name="Player ID" tableColumnId="1"/>
      <queryTableField id="2" name="Username" tableColumnId="2"/>
      <queryTableField id="3" name="First Name" tableColumnId="3"/>
      <queryTableField id="4" name="Last Name" tableColumnId="4"/>
      <queryTableField id="5" name="Race" tableColumnId="5"/>
      <queryTableField id="6" name="Class" tableColumnId="6"/>
      <queryTableField id="7" name="Level" tableColumnId="7"/>
      <queryTableField id="8" name="Region" tableColumnId="8"/>
      <queryTableField id="9" name="Guild" tableColumnId="9"/>
      <queryTableField id="10" name="Weapon" tableColumnId="10"/>
      <queryTableField id="11" name="Status" tableColumnId="11"/>
      <queryTableField id="12" name="Join Date" tableColumnId="12"/>
      <queryTableField id="13" name="ATK" tableColumnId="13"/>
      <queryTableField id="14" name="DEF" tableColumnId="14"/>
      <queryTableField id="15" name="SPD" tableColumnId="15"/>
      <queryTableField id="16" name="HP" tableColumnId="16"/>
      <queryTableField id="17" name="MP" tableColumnId="17"/>
      <queryTableField id="18" name="Total Stat" tableColumnId="18"/>
      <queryTableField id="19" name="Kills" tableColumnId="19"/>
      <queryTableField id="20" name="Deaths" tableColumnId="20"/>
      <queryTableField id="21" name="Quests Completed" tableColumnId="21"/>
      <queryTableField id="22" name="Win Rate (%)" tableColumnId="22"/>
      <queryTableField id="23" name="Playtime (hrs)" tableColumnId="23"/>
      <queryTableField id="24" name="Gold Earned" tableColumnId="24"/>
      <queryTableField id="25" name="Is Premium" tableColumnId="25"/>
      <queryTableField id="26" name="Gold Rank" tableColumnId="26"/>
      <queryTableField id="27" name="Tier" tableColumnId="27"/>
      <queryTableField id="28" name="Status Aktif" tableColumnId="28"/>
      <queryTableField id="29" name="Performance" tableColumnId="29"/>
      <queryTableField id="30" name="OP or Not" tableColumnId="30"/>
      <queryTableField id="31" name="Recruitment Priority" tableColumnId="31"/>
      <queryTableField id="32" name="Status Squad" tableColumnId="32"/>
      <queryTableField id="33" dataBound="0" tableColumnId="33"/>
      <queryTableField id="34" dataBound="0" tableColumnId="3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Premium" xr10:uid="{D2E16056-3089-4718-8FAC-2536C8B73433}" sourceName="Is Premium">
  <pivotTables>
    <pivotTable tabId="7" name="PivotTable5"/>
  </pivotTables>
  <data>
    <tabular pivotCacheId="27977280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 Premium" xr10:uid="{4F75835D-D493-45D3-ACCC-4B2EAB394E39}" cache="Slicer_Is_Premium" caption="Is Premium"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E8A367-FF0B-4C2E-AA26-EEFD370BC4A8}" name="RPG_dataset" displayName="RPG_dataset" ref="A1:Y501" tableType="queryTable" totalsRowShown="0" headerRowDxfId="112" dataDxfId="111">
  <autoFilter ref="A1:Y501" xr:uid="{FAE8A367-FF0B-4C2E-AA26-EEFD370BC4A8}"/>
  <sortState xmlns:xlrd2="http://schemas.microsoft.com/office/spreadsheetml/2017/richdata2" ref="A2:Y501">
    <sortCondition ref="A1:A501"/>
  </sortState>
  <tableColumns count="25">
    <tableColumn id="1" xr3:uid="{BC986BDA-E19D-4AB8-91F9-5076E214BC8E}" uniqueName="1" name="Player ID" queryTableFieldId="1" dataDxfId="110"/>
    <tableColumn id="2" xr3:uid="{99974DF0-6978-424D-B643-AEF2A9A928CB}" uniqueName="2" name="Username" queryTableFieldId="2" dataDxfId="109"/>
    <tableColumn id="3" xr3:uid="{C92E433B-E183-4FB2-9DD6-8A46FCAE99D2}" uniqueName="3" name="First Name" queryTableFieldId="3" dataDxfId="108"/>
    <tableColumn id="4" xr3:uid="{89D9470B-6A7C-4233-ADF6-84581DABCAFF}" uniqueName="4" name="Last Name" queryTableFieldId="4" dataDxfId="107"/>
    <tableColumn id="5" xr3:uid="{992059B2-7A16-4856-8325-23C691111DD3}" uniqueName="5" name="Race" queryTableFieldId="5" dataDxfId="106"/>
    <tableColumn id="6" xr3:uid="{1B1D1946-2A7C-449A-85EB-198C6653FC2B}" uniqueName="6" name="Class" queryTableFieldId="6" dataDxfId="105"/>
    <tableColumn id="7" xr3:uid="{04C51878-6F0B-44EF-81C4-8299C85A6F6F}" uniqueName="7" name="Level" queryTableFieldId="7" dataDxfId="104"/>
    <tableColumn id="8" xr3:uid="{CC95EEA6-0327-40D5-AC4C-0D7F872365D2}" uniqueName="8" name="Region" queryTableFieldId="8" dataDxfId="103"/>
    <tableColumn id="9" xr3:uid="{F244E64E-A932-4564-AB24-F2E39FF285C6}" uniqueName="9" name="Guild" queryTableFieldId="9" dataDxfId="102"/>
    <tableColumn id="10" xr3:uid="{2BD724E2-822E-46B0-AB79-AE65ECF2BC1D}" uniqueName="10" name="Weapon" queryTableFieldId="10" dataDxfId="101"/>
    <tableColumn id="11" xr3:uid="{704F567C-6CF8-486D-8D8F-90DD285F4AB4}" uniqueName="11" name="Status" queryTableFieldId="11" dataDxfId="100"/>
    <tableColumn id="12" xr3:uid="{568D9D19-09F6-435E-A1DC-8410E3B38B55}" uniqueName="12" name="Join Date" queryTableFieldId="12" dataDxfId="99"/>
    <tableColumn id="13" xr3:uid="{5DBAB4A0-8912-4233-B314-26972AF2F50D}" uniqueName="13" name="ATK" queryTableFieldId="13" dataDxfId="98"/>
    <tableColumn id="14" xr3:uid="{3F9C5895-012A-49E9-A980-F9CF2165ADF3}" uniqueName="14" name="DEF" queryTableFieldId="14" dataDxfId="97"/>
    <tableColumn id="15" xr3:uid="{11543FF4-DD97-484D-88E2-33CC3E3E2C9B}" uniqueName="15" name="SPD" queryTableFieldId="15" dataDxfId="96"/>
    <tableColumn id="16" xr3:uid="{B9D8D987-DAC7-43D9-87EE-7F6C5696AC30}" uniqueName="16" name="HP" queryTableFieldId="16" dataDxfId="95"/>
    <tableColumn id="17" xr3:uid="{D0E0E6D7-685D-47D7-8172-76D8F7003C9D}" uniqueName="17" name="MP" queryTableFieldId="17" dataDxfId="94"/>
    <tableColumn id="18" xr3:uid="{D014A212-EDED-423F-BDD0-3819971F4446}" uniqueName="18" name="Total Stat" queryTableFieldId="18" dataDxfId="93"/>
    <tableColumn id="19" xr3:uid="{891842E7-90B7-48D1-962A-FCCCC7B76838}" uniqueName="19" name="Kills" queryTableFieldId="19" dataDxfId="92"/>
    <tableColumn id="20" xr3:uid="{EE921717-F736-4D85-8229-08BC031380DB}" uniqueName="20" name="Deaths" queryTableFieldId="20" dataDxfId="91"/>
    <tableColumn id="21" xr3:uid="{BCC6F560-22D1-4F8F-9490-6E84A2A1E87E}" uniqueName="21" name="Quests Completed" queryTableFieldId="21" dataDxfId="90"/>
    <tableColumn id="22" xr3:uid="{FF19ECCC-4A2B-47AF-8E46-6DEEE2DB34CF}" uniqueName="22" name="Win Rate (%)" queryTableFieldId="22" dataDxfId="89"/>
    <tableColumn id="23" xr3:uid="{188047EC-E6DE-4133-9633-69096DE7E266}" uniqueName="23" name="Playtime (hrs)" queryTableFieldId="23" dataDxfId="88"/>
    <tableColumn id="24" xr3:uid="{C384F21D-9189-43C6-9280-E6A68ABBCA91}" uniqueName="24" name="Gold Earned" queryTableFieldId="24" dataDxfId="87"/>
    <tableColumn id="25" xr3:uid="{11EBD78C-C2C8-4829-8014-3B456CD95451}" uniqueName="25" name="Is Premium" queryTableFieldId="25" dataDxfId="86"/>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81F262-B985-47AC-AB2B-BF40947BDFAD}" name="clean" displayName="clean" ref="AA1:AW501" totalsRowShown="0" headerRowDxfId="85" dataDxfId="84">
  <autoFilter ref="AA1:AW501" xr:uid="{9181F262-B985-47AC-AB2B-BF40947BDFAD}"/>
  <sortState xmlns:xlrd2="http://schemas.microsoft.com/office/spreadsheetml/2017/richdata2" ref="AA2:AQ501">
    <sortCondition ref="AE1:AE501"/>
  </sortState>
  <tableColumns count="23">
    <tableColumn id="1" xr3:uid="{BBF7E758-D66A-481F-AEAE-82FF445358C5}" name="Clean Username" dataDxfId="83">
      <calculatedColumnFormula>TRIM(RPG_dataset[[#This Row],[Username]])</calculatedColumnFormula>
    </tableColumn>
    <tableColumn id="2" xr3:uid="{23C5D49D-AECC-4795-9EFF-E17182383FD2}" name="Clean First Name" dataDxfId="82">
      <calculatedColumnFormula>TRIM(RPG_dataset[[#This Row],[First Name]])</calculatedColumnFormula>
    </tableColumn>
    <tableColumn id="3" xr3:uid="{3C67F612-A28A-4229-9E5A-BD067DEE644C}" name="Clean Race" dataDxfId="81">
      <calculatedColumnFormula>PROPER(TRIM(RPG_dataset[[#This Row],[Race]]))</calculatedColumnFormula>
    </tableColumn>
    <tableColumn id="4" xr3:uid="{EE1D0A2D-4FF0-49EA-A6D5-4CE02A4E1805}" name="Clean Class" dataDxfId="80">
      <calculatedColumnFormula>PROPER(TRIM(RPG_dataset[[#This Row],[Class]]))</calculatedColumnFormula>
    </tableColumn>
    <tableColumn id="17" xr3:uid="{99DB6D4C-D924-4F24-B018-77D67D28950F}" name="Clean Level" dataDxfId="79">
      <calculatedColumnFormula>ABS(RPG_dataset[[#This Row],[Level]])</calculatedColumnFormula>
    </tableColumn>
    <tableColumn id="5" xr3:uid="{61E41BF9-18E9-426E-85B8-A384758E0EC3}" name="Clean ATK" dataDxfId="78">
      <calculatedColumnFormula>ABS(RPG_dataset[[#This Row],[ATK]])</calculatedColumnFormula>
    </tableColumn>
    <tableColumn id="6" xr3:uid="{D33188D7-D89B-4D6E-A5BF-8B4E90EBC360}" name="Clean DEF" dataDxfId="77">
      <calculatedColumnFormula>ABS(RPG_dataset[[#This Row],[DEF]])</calculatedColumnFormula>
    </tableColumn>
    <tableColumn id="7" xr3:uid="{AC94E99A-2186-49D4-B040-E6E50C3B3CD2}" name="Clean SPD" dataDxfId="76">
      <calculatedColumnFormula>ABS(RPG_dataset[[#This Row],[SPD]])</calculatedColumnFormula>
    </tableColumn>
    <tableColumn id="15" xr3:uid="{1B4E885F-D087-4D75-AF98-BCE5D9E87EE2}" name="Clean HP" dataDxfId="75">
      <calculatedColumnFormula>ABS(RPG_dataset[[#This Row],[HP]])</calculatedColumnFormula>
    </tableColumn>
    <tableColumn id="14" xr3:uid="{D19ADC6A-B7FD-4AC2-8A14-DA8E6043D700}" name="Clean Mp" dataDxfId="74">
      <calculatedColumnFormula>ABS(RPG_dataset[[#This Row],[MP]])</calculatedColumnFormula>
    </tableColumn>
    <tableColumn id="16" xr3:uid="{540F48D3-F636-4E0E-801C-3C4067A08439}" name="Clean Total Stat" dataDxfId="73">
      <calculatedColumnFormula>ABS(RPG_dataset[[#This Row],[Total Stat]])</calculatedColumnFormula>
    </tableColumn>
    <tableColumn id="8" xr3:uid="{2EEAC77C-D378-4B07-BFF1-287E4E792AB2}" name="Clean Kills" dataDxfId="72">
      <calculatedColumnFormula>ABS(RPG_dataset[[#This Row],[Kills]])</calculatedColumnFormula>
    </tableColumn>
    <tableColumn id="22" xr3:uid="{B8E16376-5A71-4F4D-97C5-5399FB02C2D3}" name="Clean Win Rate" dataDxfId="71">
      <calculatedColumnFormula>ABS(RPG_dataset[[#This Row],[Win Rate (%)]])</calculatedColumnFormula>
    </tableColumn>
    <tableColumn id="9" xr3:uid="{3151A5EC-7473-433C-A596-92FC12135D73}" name="Clean Gold" dataDxfId="70" dataCellStyle="Currency">
      <calculatedColumnFormula>ABS(RPG_dataset[[#This Row],[Gold Earned]])</calculatedColumnFormula>
    </tableColumn>
    <tableColumn id="10" xr3:uid="{29222110-BB74-4B78-8B1F-6982AF51FD59}" name="Cek Tanggal Join" dataDxfId="69">
      <calculatedColumnFormula>IF(MID(L2, 5, 1)="-", "OK", "Fix This")</calculatedColumnFormula>
    </tableColumn>
    <tableColumn id="11" xr3:uid="{4125569C-34A8-4E43-B5BB-149CF60159B2}" name="Peringkat Gold" dataDxfId="68">
      <calculatedColumnFormula>RANK(clean[[#This Row],[Clean Gold]],clean[Clean Gold], 0)</calculatedColumnFormula>
    </tableColumn>
    <tableColumn id="13" xr3:uid="{5CB570FD-2605-4B0D-AD8B-A50029D08E8A}" name="Total Stat" dataDxfId="67"/>
    <tableColumn id="18" xr3:uid="{160C3825-DE02-4C15-B424-A87FCC9FD530}" name="Tier" dataDxfId="66">
      <calculatedColumnFormula array="1">_xlfn.IFS(clean[[#This Row],[Clean Level]]&gt;=76, "Legend", clean[[#This Row],[Clean Level]]&gt;=51, "Elite", clean[[#This Row],[Clean Level]]&gt;=26, "Veteran", TRUE, "Rookie")</calculatedColumnFormula>
    </tableColumn>
    <tableColumn id="19" xr3:uid="{A570DF7F-CB6B-4AFC-A2A0-51F8EC15F4F6}" name="Status Aktif" dataDxfId="65">
      <calculatedColumnFormula>IF(RPG_dataset[[#This Row],[Status]]="Active", "TRUE", "FALSE")</calculatedColumnFormula>
    </tableColumn>
    <tableColumn id="20" xr3:uid="{092AACC9-2F6D-48E8-828B-C119461BDA7B}" name="Performance" dataDxfId="64">
      <calculatedColumnFormula array="1">_xlfn.IFS(clean[[#This Row],[Clean Win Rate]]&gt;70, "Excellent", clean[[#This Row],[Clean Win Rate]]&gt;=40, "Average", TRUE, "Poor")</calculatedColumnFormula>
    </tableColumn>
    <tableColumn id="21" xr3:uid="{309C1289-3CD4-4923-B1AB-688F2078716E}" name="OP or Not" dataDxfId="63">
      <calculatedColumnFormula>IF(AND(clean[[#This Row],[Clean Level]]&gt;80, clean[[#This Row],[Clean Total Stat]]&gt;350, clean[[#This Row],[Clean Gold]]&gt;500000), "Overpowered", "Normal")</calculatedColumnFormula>
    </tableColumn>
    <tableColumn id="23" xr3:uid="{D39337A5-9219-4C08-B0BE-BED509C98DFA}" name="Recruitment Priority" dataDxfId="62">
      <calculatedColumnFormula array="1">_xlfn.IFS(
(AND(OR(clean[[#This Row],[Tier]]="Elite", clean[[#This Row],[Tier]]="Legend"), clean[[#This Row],[Performance]]="Excellent", RPG_dataset[[#This Row],[Is Premium]]="Yes")), "High", OR(OR(clean[[#This Row],[Tier]]="Elite", clean[[#This Row],[Tier]]="Legend"), clean[[#This Row],[Performance]]="Excellent", RPG_dataset[[#This Row],[Is Premium]]="Yes"), "Medium", TRUE, "Low")</calculatedColumnFormula>
    </tableColumn>
    <tableColumn id="24" xr3:uid="{985CE8F8-AA3F-44BC-8034-8543460413AE}" name="Status Squad" dataDxfId="61">
      <calculatedColumnFormula array="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calculatedColumnFormula>
    </tableColumn>
  </tableColumns>
  <tableStyleInfo name="TableStyleMedium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52CB0E3-B265-4B56-B883-0FE0B5DC1D65}" name="clean_data" displayName="clean_data" ref="A1:AH501" tableType="queryTable" totalsRowShown="0" headerRowDxfId="146" dataDxfId="145">
  <autoFilter ref="A1:AH501" xr:uid="{852CB0E3-B265-4B56-B883-0FE0B5DC1D65}"/>
  <sortState xmlns:xlrd2="http://schemas.microsoft.com/office/spreadsheetml/2017/richdata2" ref="A2:AF501">
    <sortCondition ref="A1:A501"/>
  </sortState>
  <tableColumns count="34">
    <tableColumn id="1" xr3:uid="{BA3F191E-B1DC-485F-8529-B361BCE372D3}" uniqueName="1" name="Player ID" queryTableFieldId="1" dataDxfId="144"/>
    <tableColumn id="2" xr3:uid="{F96C088B-2388-4CE6-8608-8331C309E44C}" uniqueName="2" name="Username" queryTableFieldId="2" dataDxfId="143"/>
    <tableColumn id="3" xr3:uid="{9AECF139-1248-47D1-B93C-754DE59D95C8}" uniqueName="3" name="First Name" queryTableFieldId="3" dataDxfId="142"/>
    <tableColumn id="4" xr3:uid="{D8B2D510-297A-41AB-B8C3-DCF8280E7FA1}" uniqueName="4" name="Last Name" queryTableFieldId="4" dataDxfId="141"/>
    <tableColumn id="5" xr3:uid="{D737DCF0-8FC0-4C6B-8FA3-6FAD7798F316}" uniqueName="5" name="Race" queryTableFieldId="5" dataDxfId="140"/>
    <tableColumn id="6" xr3:uid="{FAF91D86-8400-4F64-901A-46FF7C2B2E08}" uniqueName="6" name="Class" queryTableFieldId="6" dataDxfId="139"/>
    <tableColumn id="7" xr3:uid="{2B16F2DC-F8B0-4816-BD01-59B889AD8112}" uniqueName="7" name="Level" queryTableFieldId="7" dataDxfId="138"/>
    <tableColumn id="8" xr3:uid="{7CCFC535-115B-4D4A-957C-6A18B01B103C}" uniqueName="8" name="Region" queryTableFieldId="8" dataDxfId="137"/>
    <tableColumn id="9" xr3:uid="{D8684536-DFDF-4B07-8F78-6C6523925961}" uniqueName="9" name="Guild" queryTableFieldId="9" dataDxfId="136"/>
    <tableColumn id="10" xr3:uid="{38B3591F-19E3-47B3-A517-1781BFC305FE}" uniqueName="10" name="Weapon" queryTableFieldId="10" dataDxfId="135"/>
    <tableColumn id="11" xr3:uid="{1E208719-4D84-4E09-B83C-DA5CC2AC315B}" uniqueName="11" name="Status" queryTableFieldId="11" dataDxfId="134"/>
    <tableColumn id="12" xr3:uid="{72A199D7-B25E-45ED-838D-677B7C828414}" uniqueName="12" name="Join Date" queryTableFieldId="12" dataDxfId="133"/>
    <tableColumn id="13" xr3:uid="{EF210A6F-F53F-4F11-AAAE-12403C336C37}" uniqueName="13" name="ATK" queryTableFieldId="13" dataDxfId="132"/>
    <tableColumn id="14" xr3:uid="{E901E6C2-ADA3-4294-A693-3386483C1276}" uniqueName="14" name="DEF" queryTableFieldId="14" dataDxfId="131"/>
    <tableColumn id="15" xr3:uid="{FDA28D8C-23E5-4535-B156-72DD07B19A4A}" uniqueName="15" name="SPD" queryTableFieldId="15" dataDxfId="130"/>
    <tableColumn id="16" xr3:uid="{9EB2CB7F-0B83-4E63-A8AF-A356E10F326F}" uniqueName="16" name="HP" queryTableFieldId="16" dataDxfId="129"/>
    <tableColumn id="17" xr3:uid="{A69A41AA-1089-434C-9A45-BBD5827A6783}" uniqueName="17" name="MP" queryTableFieldId="17" dataDxfId="128"/>
    <tableColumn id="18" xr3:uid="{80029471-9649-450F-A45E-F4683237DE9E}" uniqueName="18" name="Total Stat" queryTableFieldId="18" dataDxfId="127"/>
    <tableColumn id="19" xr3:uid="{828CFAED-8E74-4DF1-8B4E-981DB798EF3B}" uniqueName="19" name="Kills" queryTableFieldId="19" dataDxfId="126"/>
    <tableColumn id="20" xr3:uid="{F23DC2C5-1536-4919-991E-D4B6926CA101}" uniqueName="20" name="Deaths" queryTableFieldId="20" dataDxfId="125"/>
    <tableColumn id="21" xr3:uid="{B69C7882-8673-4FAD-9523-387C29FC3412}" uniqueName="21" name="Quests Completed" queryTableFieldId="21" dataDxfId="124"/>
    <tableColumn id="22" xr3:uid="{D4CFEEC9-A9AE-4F09-B6E5-93E993A4EB8C}" uniqueName="22" name="Win Rate (%)" queryTableFieldId="22" dataDxfId="123"/>
    <tableColumn id="23" xr3:uid="{53D4CC2F-280C-49C6-82F0-EB8446D10C2A}" uniqueName="23" name="Playtime (hrs)" queryTableFieldId="23" dataDxfId="122"/>
    <tableColumn id="24" xr3:uid="{72EF33AA-90DA-476E-82DC-BEBB5D8DF8F3}" uniqueName="24" name="Gold Earned" queryTableFieldId="24" dataDxfId="121" dataCellStyle="Currency"/>
    <tableColumn id="25" xr3:uid="{48449A8D-AAED-42D5-A223-9303E15343A2}" uniqueName="25" name="Is Premium" queryTableFieldId="25" dataDxfId="120"/>
    <tableColumn id="26" xr3:uid="{CDCD2B44-1FE0-4016-8B82-DE64E47B1D3C}" uniqueName="26" name="Gold Rank" queryTableFieldId="26" dataDxfId="119"/>
    <tableColumn id="27" xr3:uid="{1ABB2947-5DC3-4C5E-BE6D-272E1FDB81B6}" uniqueName="27" name="Tier" queryTableFieldId="27" dataDxfId="118"/>
    <tableColumn id="28" xr3:uid="{DF646D29-9CF2-476F-BDBD-AB7880DB5EC7}" uniqueName="28" name="Status Aktif" queryTableFieldId="28" dataDxfId="117"/>
    <tableColumn id="29" xr3:uid="{48323413-DA48-4588-A402-CE328DDF5C04}" uniqueName="29" name="Performance" queryTableFieldId="29" dataDxfId="116"/>
    <tableColumn id="30" xr3:uid="{85BC5BEF-F376-449F-8225-1E75116EA6C7}" uniqueName="30" name="OP or Not" queryTableFieldId="30" dataDxfId="115"/>
    <tableColumn id="31" xr3:uid="{A3028866-EF51-4722-A8C5-2E51FCAF916C}" uniqueName="31" name="Recruitment Priority" queryTableFieldId="31" dataDxfId="114"/>
    <tableColumn id="32" xr3:uid="{415D1D6A-697B-412B-9D73-CD5BBF23BC8F}" uniqueName="32" name="Status Squad" queryTableFieldId="32" dataDxfId="113"/>
    <tableColumn id="33" xr3:uid="{AD84200D-E988-4894-81AF-34095276123E}" uniqueName="33" name="Balanced Score" queryTableFieldId="33" dataDxfId="4">
      <calculatedColumnFormula>MAX(clean_data[[#This Row],[ATK]:[SPD]]) - MIN(clean_data[[#This Row],[ATK]:[SPD]])</calculatedColumnFormula>
    </tableColumn>
    <tableColumn id="34" xr3:uid="{D57DA7FC-5C17-49A0-93BF-D6067DCBA5F0}" uniqueName="34" name="Is Most Balanced" queryTableFieldId="34" dataDxfId="3">
      <calculatedColumnFormula>IF(clean_data[[#This Row],[Balanced Score]] = MIN(clean_data[Balanced Score]), "Most Balanced", "")</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EE966-376B-4CB4-AC82-56DE2D74F893}">
  <dimension ref="A1:BH501"/>
  <sheetViews>
    <sheetView zoomScale="90" zoomScaleNormal="85" workbookViewId="0">
      <selection activeCell="AI1" sqref="AI1"/>
    </sheetView>
  </sheetViews>
  <sheetFormatPr defaultRowHeight="14.4" x14ac:dyDescent="0.3"/>
  <cols>
    <col min="1" max="1" width="10.6640625" bestFit="1" customWidth="1"/>
    <col min="2" max="2" width="12" bestFit="1" customWidth="1"/>
    <col min="3" max="3" width="12.109375" bestFit="1" customWidth="1"/>
    <col min="4" max="4" width="14.33203125" bestFit="1" customWidth="1"/>
    <col min="5" max="5" width="13.33203125" bestFit="1" customWidth="1"/>
    <col min="6" max="6" width="14.33203125" bestFit="1" customWidth="1"/>
    <col min="7" max="7" width="7.5546875" bestFit="1" customWidth="1"/>
    <col min="8" max="8" width="11.5546875" bestFit="1" customWidth="1"/>
    <col min="9" max="9" width="12.77734375" bestFit="1" customWidth="1"/>
    <col min="10" max="10" width="10.33203125" bestFit="1" customWidth="1"/>
    <col min="11" max="11" width="8.77734375" bestFit="1" customWidth="1"/>
    <col min="12" max="12" width="13.5546875" customWidth="1"/>
    <col min="13" max="13" width="6.5546875" bestFit="1" customWidth="1"/>
    <col min="14" max="14" width="6.33203125" bestFit="1" customWidth="1"/>
    <col min="15" max="15" width="6.5546875" bestFit="1" customWidth="1"/>
    <col min="16" max="16" width="5.6640625" bestFit="1" customWidth="1"/>
    <col min="17" max="17" width="6.109375" bestFit="1" customWidth="1"/>
    <col min="18" max="18" width="11.21875" bestFit="1" customWidth="1"/>
    <col min="19" max="19" width="6.44140625" bestFit="1" customWidth="1"/>
    <col min="20" max="20" width="9" bestFit="1" customWidth="1"/>
    <col min="21" max="21" width="18.6640625" bestFit="1" customWidth="1"/>
    <col min="22" max="22" width="14" bestFit="1" customWidth="1"/>
    <col min="23" max="23" width="14.88671875" bestFit="1" customWidth="1"/>
    <col min="24" max="24" width="16.44140625" customWidth="1"/>
    <col min="25" max="25" width="12.6640625" bestFit="1" customWidth="1"/>
    <col min="27" max="27" width="16.5546875" customWidth="1"/>
    <col min="28" max="28" width="16.88671875" customWidth="1"/>
    <col min="29" max="29" width="12.5546875" customWidth="1"/>
    <col min="30" max="36" width="13.21875" customWidth="1"/>
    <col min="37" max="37" width="15.6640625" customWidth="1"/>
    <col min="38" max="38" width="13.21875" customWidth="1"/>
    <col min="39" max="40" width="14.77734375" customWidth="1"/>
    <col min="41" max="42" width="15.44140625" customWidth="1"/>
    <col min="43" max="43" width="14.21875" customWidth="1"/>
    <col min="44" max="44" width="12.44140625" customWidth="1"/>
    <col min="45" max="45" width="13.109375" customWidth="1"/>
    <col min="46" max="46" width="13.44140625" customWidth="1"/>
    <col min="47" max="47" width="15.109375" customWidth="1"/>
    <col min="48" max="48" width="20.21875" customWidth="1"/>
    <col min="49" max="50" width="15.109375" customWidth="1"/>
    <col min="51" max="51" width="14.44140625" customWidth="1"/>
    <col min="52" max="52" width="16.109375" bestFit="1" customWidth="1"/>
    <col min="53" max="53" width="16.6640625" customWidth="1"/>
    <col min="54" max="54" width="16.88671875" customWidth="1"/>
  </cols>
  <sheetData>
    <row r="1" spans="1:60"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AA1" s="1" t="s">
        <v>1681</v>
      </c>
      <c r="AB1" s="1" t="s">
        <v>1682</v>
      </c>
      <c r="AC1" s="1" t="s">
        <v>1683</v>
      </c>
      <c r="AD1" s="1" t="s">
        <v>1684</v>
      </c>
      <c r="AE1" s="1" t="s">
        <v>1706</v>
      </c>
      <c r="AF1" s="1" t="s">
        <v>1686</v>
      </c>
      <c r="AG1" s="1" t="s">
        <v>1687</v>
      </c>
      <c r="AH1" s="1" t="s">
        <v>1688</v>
      </c>
      <c r="AI1" s="1" t="s">
        <v>1714</v>
      </c>
      <c r="AJ1" s="1" t="s">
        <v>1704</v>
      </c>
      <c r="AK1" s="1" t="s">
        <v>1705</v>
      </c>
      <c r="AL1" s="1" t="s">
        <v>1689</v>
      </c>
      <c r="AM1" s="1" t="s">
        <v>1711</v>
      </c>
      <c r="AN1" s="1" t="s">
        <v>1690</v>
      </c>
      <c r="AO1" s="1" t="s">
        <v>1691</v>
      </c>
      <c r="AP1" s="1" t="s">
        <v>1701</v>
      </c>
      <c r="AQ1" s="1" t="s">
        <v>17</v>
      </c>
      <c r="AR1" s="1" t="s">
        <v>1707</v>
      </c>
      <c r="AS1" s="1" t="s">
        <v>1708</v>
      </c>
      <c r="AT1" s="1" t="s">
        <v>1710</v>
      </c>
      <c r="AU1" s="1" t="s">
        <v>1709</v>
      </c>
      <c r="AV1" s="1" t="s">
        <v>1712</v>
      </c>
      <c r="AW1" s="1" t="s">
        <v>1713</v>
      </c>
      <c r="AX1" s="1"/>
      <c r="AY1" s="15" t="s">
        <v>1685</v>
      </c>
      <c r="AZ1" s="16"/>
    </row>
    <row r="2" spans="1:60" x14ac:dyDescent="0.3">
      <c r="A2" s="2" t="s">
        <v>25</v>
      </c>
      <c r="B2" s="2" t="s">
        <v>26</v>
      </c>
      <c r="C2" s="2" t="s">
        <v>27</v>
      </c>
      <c r="D2" s="2" t="s">
        <v>28</v>
      </c>
      <c r="E2" s="2" t="s">
        <v>29</v>
      </c>
      <c r="F2" s="2" t="s">
        <v>30</v>
      </c>
      <c r="G2" s="2">
        <v>75</v>
      </c>
      <c r="H2" s="2" t="s">
        <v>31</v>
      </c>
      <c r="I2" s="2" t="s">
        <v>32</v>
      </c>
      <c r="J2" s="2" t="s">
        <v>33</v>
      </c>
      <c r="K2" s="2" t="s">
        <v>34</v>
      </c>
      <c r="L2" s="6" t="s">
        <v>35</v>
      </c>
      <c r="M2" s="2">
        <v>128</v>
      </c>
      <c r="N2" s="2">
        <v>63</v>
      </c>
      <c r="O2" s="2">
        <v>27</v>
      </c>
      <c r="P2" s="2">
        <v>4917</v>
      </c>
      <c r="Q2" s="2">
        <v>2081</v>
      </c>
      <c r="R2" s="2">
        <v>218</v>
      </c>
      <c r="S2" s="2">
        <v>148</v>
      </c>
      <c r="T2" s="2">
        <v>267</v>
      </c>
      <c r="U2" s="2">
        <v>200</v>
      </c>
      <c r="V2" s="2">
        <v>36</v>
      </c>
      <c r="W2" s="2">
        <v>7574</v>
      </c>
      <c r="X2" s="9">
        <v>533299</v>
      </c>
      <c r="Y2" s="2" t="s">
        <v>36</v>
      </c>
      <c r="AA2" s="1" t="str">
        <f>TRIM(RPG_dataset[[#This Row],[Username]])</f>
        <v>aiden_544</v>
      </c>
      <c r="AB2" s="1" t="str">
        <f>TRIM(RPG_dataset[[#This Row],[First Name]])</f>
        <v>Aiden</v>
      </c>
      <c r="AC2" s="1" t="str">
        <f>PROPER(TRIM(RPG_dataset[[#This Row],[Race]]))</f>
        <v>Dwarf</v>
      </c>
      <c r="AD2" s="1" t="str">
        <f>PROPER(TRIM(RPG_dataset[[#This Row],[Class]]))</f>
        <v>Rogue</v>
      </c>
      <c r="AE2" s="1">
        <f>ABS(RPG_dataset[[#This Row],[Level]])</f>
        <v>75</v>
      </c>
      <c r="AF2" s="1">
        <f>ABS(RPG_dataset[[#This Row],[ATK]])</f>
        <v>128</v>
      </c>
      <c r="AG2" s="1">
        <f>ABS(RPG_dataset[[#This Row],[DEF]])</f>
        <v>63</v>
      </c>
      <c r="AH2" s="1">
        <f>ABS(RPG_dataset[[#This Row],[SPD]])</f>
        <v>27</v>
      </c>
      <c r="AI2" s="1">
        <f>ABS(RPG_dataset[[#This Row],[HP]])</f>
        <v>4917</v>
      </c>
      <c r="AJ2" s="1">
        <f>ABS(RPG_dataset[[#This Row],[MP]])</f>
        <v>2081</v>
      </c>
      <c r="AK2" s="1">
        <f>ABS(RPG_dataset[[#This Row],[Total Stat]])</f>
        <v>218</v>
      </c>
      <c r="AL2" s="1">
        <f>ABS(RPG_dataset[[#This Row],[Kills]])</f>
        <v>148</v>
      </c>
      <c r="AM2" s="12">
        <f>ABS(RPG_dataset[[#This Row],[Win Rate (%)]])</f>
        <v>36</v>
      </c>
      <c r="AN2" s="4">
        <f>ABS(RPG_dataset[[#This Row],[Gold Earned]])</f>
        <v>533299</v>
      </c>
      <c r="AO2" s="5" t="str">
        <f t="shared" ref="AO2:AO65" si="0">IF(MID(L2, 5, 1)="-", "OK", "Fix This")</f>
        <v>OK</v>
      </c>
      <c r="AP2" s="5">
        <f>RANK(clean[[#This Row],[Clean Gold]],clean[Clean Gold], 0)</f>
        <v>235</v>
      </c>
      <c r="AQ2" s="1">
        <v>295</v>
      </c>
      <c r="AR2" s="1" t="str" cm="1">
        <f t="array" ref="AR2">_xlfn.IFS(clean[[#This Row],[Clean Level]]&gt;=76, "Legend", clean[[#This Row],[Clean Level]]&gt;=51, "Elite", clean[[#This Row],[Clean Level]]&gt;=26, "Veteran", TRUE, "Rookie")</f>
        <v>Elite</v>
      </c>
      <c r="AS2" s="1" t="str">
        <f>IF(RPG_dataset[[#This Row],[Status]]="Active", "TRUE", "FALSE")</f>
        <v>FALSE</v>
      </c>
      <c r="AT2" s="1" t="str" cm="1">
        <f t="array" ref="AT2">_xlfn.IFS(clean[[#This Row],[Clean Win Rate]]&gt;70, "Excellent", clean[[#This Row],[Clean Win Rate]]&gt;=40, "Average", TRUE, "Poor")</f>
        <v>Poor</v>
      </c>
      <c r="AU2" s="1" t="str">
        <f>IF(AND(clean[[#This Row],[Clean Level]]&gt;80, clean[[#This Row],[Clean Total Stat]]&gt;350, clean[[#This Row],[Clean Gold]]&gt;500000), "Overpowered", "Normal")</f>
        <v>Normal</v>
      </c>
      <c r="AV2" s="1" t="str" cm="1">
        <f t="array" ref="AV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 s="1" t="str" cm="1">
        <f t="array" ref="AW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 s="1"/>
      <c r="AY2" s="3" t="s">
        <v>12</v>
      </c>
      <c r="AZ2" s="3">
        <f>COUNTBLANK(RPG_dataset[ATK])</f>
        <v>11</v>
      </c>
      <c r="BF2" t="str" cm="1">
        <f t="array" ref="BF2:BF3">_xlfn.UNIQUE(RPG_dataset[Is Premium])</f>
        <v>Yes</v>
      </c>
      <c r="BH2" t="str" cm="1">
        <f t="array" ref="BH2:BH9">_xlfn.UNIQUE(_xlfn._xlws.FILTER(TRIM(RPG_dataset[Class]), TRIM(RPG_dataset[Class])&lt;&gt;""))</f>
        <v>Rogue</v>
      </c>
    </row>
    <row r="3" spans="1:60" x14ac:dyDescent="0.3">
      <c r="A3" s="2" t="s">
        <v>37</v>
      </c>
      <c r="B3" s="2" t="s">
        <v>38</v>
      </c>
      <c r="C3" s="2" t="s">
        <v>39</v>
      </c>
      <c r="D3" s="2" t="s">
        <v>40</v>
      </c>
      <c r="E3" s="2" t="s">
        <v>41</v>
      </c>
      <c r="F3" s="2" t="s">
        <v>42</v>
      </c>
      <c r="G3" s="2">
        <v>55</v>
      </c>
      <c r="H3" s="2" t="s">
        <v>43</v>
      </c>
      <c r="I3" s="2" t="s">
        <v>32</v>
      </c>
      <c r="J3" s="2" t="s">
        <v>33</v>
      </c>
      <c r="K3" s="2" t="s">
        <v>44</v>
      </c>
      <c r="L3" s="6" t="s">
        <v>45</v>
      </c>
      <c r="M3" s="2">
        <v>88</v>
      </c>
      <c r="N3" s="2">
        <v>33</v>
      </c>
      <c r="O3" s="2">
        <v>37</v>
      </c>
      <c r="P3" s="2">
        <v>4482</v>
      </c>
      <c r="Q3" s="2">
        <v>2100</v>
      </c>
      <c r="R3" s="2">
        <v>158</v>
      </c>
      <c r="S3" s="2">
        <v>1865</v>
      </c>
      <c r="T3" s="2">
        <v>412</v>
      </c>
      <c r="U3" s="2">
        <v>109</v>
      </c>
      <c r="V3" s="2">
        <v>82</v>
      </c>
      <c r="W3" s="2"/>
      <c r="X3" s="9">
        <v>187683</v>
      </c>
      <c r="Y3" s="2" t="s">
        <v>46</v>
      </c>
      <c r="AA3" s="1" t="str">
        <f>TRIM(RPG_dataset[[#This Row],[Username]])</f>
        <v>yara_720</v>
      </c>
      <c r="AB3" s="1" t="str">
        <f>TRIM(RPG_dataset[[#This Row],[First Name]])</f>
        <v>Yara</v>
      </c>
      <c r="AC3" s="1" t="str">
        <f>PROPER(TRIM(RPG_dataset[[#This Row],[Race]]))</f>
        <v>Gnome</v>
      </c>
      <c r="AD3" s="1" t="str">
        <f>PROPER(TRIM(RPG_dataset[[#This Row],[Class]]))</f>
        <v>Monk</v>
      </c>
      <c r="AE3" s="1">
        <f>ABS(RPG_dataset[[#This Row],[Level]])</f>
        <v>55</v>
      </c>
      <c r="AF3" s="1">
        <f>ABS(RPG_dataset[[#This Row],[ATK]])</f>
        <v>88</v>
      </c>
      <c r="AG3" s="1">
        <f>ABS(RPG_dataset[[#This Row],[DEF]])</f>
        <v>33</v>
      </c>
      <c r="AH3" s="1">
        <f>ABS(RPG_dataset[[#This Row],[SPD]])</f>
        <v>37</v>
      </c>
      <c r="AI3" s="1">
        <f>ABS(RPG_dataset[[#This Row],[HP]])</f>
        <v>4482</v>
      </c>
      <c r="AJ3" s="1">
        <f>ABS(RPG_dataset[[#This Row],[MP]])</f>
        <v>2100</v>
      </c>
      <c r="AK3" s="1">
        <f>ABS(RPG_dataset[[#This Row],[Total Stat]])</f>
        <v>158</v>
      </c>
      <c r="AL3" s="1">
        <f>ABS(RPG_dataset[[#This Row],[Kills]])</f>
        <v>1865</v>
      </c>
      <c r="AM3" s="12">
        <f>ABS(RPG_dataset[[#This Row],[Win Rate (%)]])</f>
        <v>82</v>
      </c>
      <c r="AN3" s="4">
        <f>ABS(RPG_dataset[[#This Row],[Gold Earned]])</f>
        <v>187683</v>
      </c>
      <c r="AO3" s="5" t="str">
        <f t="shared" si="0"/>
        <v>OK</v>
      </c>
      <c r="AP3" s="5">
        <f>RANK(clean[[#This Row],[Clean Gold]],clean[Clean Gold], 0)</f>
        <v>405</v>
      </c>
      <c r="AQ3" s="1">
        <v>329</v>
      </c>
      <c r="AR3" s="1" t="str" cm="1">
        <f t="array" ref="AR3">_xlfn.IFS(clean[[#This Row],[Clean Level]]&gt;=76, "Legend", clean[[#This Row],[Clean Level]]&gt;=51, "Elite", clean[[#This Row],[Clean Level]]&gt;=26, "Veteran", TRUE, "Rookie")</f>
        <v>Elite</v>
      </c>
      <c r="AS3" s="1" t="str">
        <f>IF(RPG_dataset[[#This Row],[Status]]="Active", "TRUE", "FALSE")</f>
        <v>TRUE</v>
      </c>
      <c r="AT3" s="1" t="str" cm="1">
        <f t="array" ref="AT3">_xlfn.IFS(clean[[#This Row],[Clean Win Rate]]&gt;70, "Excellent", clean[[#This Row],[Clean Win Rate]]&gt;=40, "Average", TRUE, "Poor")</f>
        <v>Excellent</v>
      </c>
      <c r="AU3" s="1" t="str">
        <f>IF(AND(clean[[#This Row],[Clean Level]]&gt;80, clean[[#This Row],[Clean Total Stat]]&gt;350, clean[[#This Row],[Clean Gold]]&gt;500000), "Overpowered", "Normal")</f>
        <v>Normal</v>
      </c>
      <c r="AV3" s="1" t="str" cm="1">
        <f t="array" ref="AV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 s="1" t="str" cm="1">
        <f t="array" ref="AW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 s="1"/>
      <c r="AY3" s="3" t="s">
        <v>13</v>
      </c>
      <c r="AZ3" s="3">
        <f>COUNTBLANK(RPG_dataset[DEF])</f>
        <v>16</v>
      </c>
      <c r="BF3" t="str">
        <v>No</v>
      </c>
      <c r="BH3" t="str">
        <v>Monk</v>
      </c>
    </row>
    <row r="4" spans="1:60" x14ac:dyDescent="0.3">
      <c r="A4" s="2" t="s">
        <v>47</v>
      </c>
      <c r="B4" s="2" t="s">
        <v>48</v>
      </c>
      <c r="C4" s="2" t="s">
        <v>49</v>
      </c>
      <c r="D4" s="2" t="s">
        <v>50</v>
      </c>
      <c r="E4" s="2" t="s">
        <v>51</v>
      </c>
      <c r="F4" s="2" t="s">
        <v>52</v>
      </c>
      <c r="G4" s="2">
        <v>73</v>
      </c>
      <c r="H4" s="2" t="s">
        <v>53</v>
      </c>
      <c r="I4" s="2" t="s">
        <v>54</v>
      </c>
      <c r="J4" s="2" t="s">
        <v>33</v>
      </c>
      <c r="K4" s="2" t="s">
        <v>34</v>
      </c>
      <c r="L4" s="6" t="s">
        <v>55</v>
      </c>
      <c r="M4" s="2">
        <v>92</v>
      </c>
      <c r="N4" s="2">
        <v>60</v>
      </c>
      <c r="O4" s="2">
        <v>60</v>
      </c>
      <c r="P4" s="2">
        <v>853</v>
      </c>
      <c r="Q4" s="2">
        <v>556</v>
      </c>
      <c r="R4" s="2">
        <v>212</v>
      </c>
      <c r="S4" s="2">
        <v>3889</v>
      </c>
      <c r="T4" s="2">
        <v>844</v>
      </c>
      <c r="U4" s="2">
        <v>66</v>
      </c>
      <c r="V4" s="2">
        <v>82</v>
      </c>
      <c r="W4" s="2">
        <v>1423</v>
      </c>
      <c r="X4" s="9">
        <v>334478</v>
      </c>
      <c r="Y4" s="2" t="s">
        <v>36</v>
      </c>
      <c r="AA4" s="1" t="str">
        <f>TRIM(RPG_dataset[[#This Row],[Username]])</f>
        <v>dune_789</v>
      </c>
      <c r="AB4" s="1" t="str">
        <f>TRIM(RPG_dataset[[#This Row],[First Name]])</f>
        <v>Dune</v>
      </c>
      <c r="AC4" s="1" t="str">
        <f>PROPER(TRIM(RPG_dataset[[#This Row],[Race]]))</f>
        <v>Tiefling</v>
      </c>
      <c r="AD4" s="1" t="str">
        <f>PROPER(TRIM(RPG_dataset[[#This Row],[Class]]))</f>
        <v>Bard</v>
      </c>
      <c r="AE4" s="1">
        <f>ABS(RPG_dataset[[#This Row],[Level]])</f>
        <v>73</v>
      </c>
      <c r="AF4" s="1">
        <f>ABS(RPG_dataset[[#This Row],[ATK]])</f>
        <v>92</v>
      </c>
      <c r="AG4" s="1">
        <f>ABS(RPG_dataset[[#This Row],[DEF]])</f>
        <v>60</v>
      </c>
      <c r="AH4" s="1">
        <f>ABS(RPG_dataset[[#This Row],[SPD]])</f>
        <v>60</v>
      </c>
      <c r="AI4" s="1">
        <f>ABS(RPG_dataset[[#This Row],[HP]])</f>
        <v>853</v>
      </c>
      <c r="AJ4" s="1">
        <f>ABS(RPG_dataset[[#This Row],[MP]])</f>
        <v>556</v>
      </c>
      <c r="AK4" s="1">
        <f>ABS(RPG_dataset[[#This Row],[Total Stat]])</f>
        <v>212</v>
      </c>
      <c r="AL4" s="1">
        <f>ABS(RPG_dataset[[#This Row],[Kills]])</f>
        <v>3889</v>
      </c>
      <c r="AM4" s="12">
        <f>ABS(RPG_dataset[[#This Row],[Win Rate (%)]])</f>
        <v>82</v>
      </c>
      <c r="AN4" s="4">
        <f>ABS(RPG_dataset[[#This Row],[Gold Earned]])</f>
        <v>334478</v>
      </c>
      <c r="AO4" s="5" t="str">
        <f t="shared" si="0"/>
        <v>OK</v>
      </c>
      <c r="AP4" s="5">
        <f>RANK(clean[[#This Row],[Clean Gold]],clean[Clean Gold], 0)</f>
        <v>341</v>
      </c>
      <c r="AQ4" s="1">
        <v>193</v>
      </c>
      <c r="AR4" s="1" t="str" cm="1">
        <f t="array" ref="AR4">_xlfn.IFS(clean[[#This Row],[Clean Level]]&gt;=76, "Legend", clean[[#This Row],[Clean Level]]&gt;=51, "Elite", clean[[#This Row],[Clean Level]]&gt;=26, "Veteran", TRUE, "Rookie")</f>
        <v>Elite</v>
      </c>
      <c r="AS4" s="1" t="str">
        <f>IF(RPG_dataset[[#This Row],[Status]]="Active", "TRUE", "FALSE")</f>
        <v>FALSE</v>
      </c>
      <c r="AT4" s="1" t="str" cm="1">
        <f t="array" ref="AT4">_xlfn.IFS(clean[[#This Row],[Clean Win Rate]]&gt;70, "Excellent", clean[[#This Row],[Clean Win Rate]]&gt;=40, "Average", TRUE, "Poor")</f>
        <v>Excellent</v>
      </c>
      <c r="AU4" s="1" t="str">
        <f>IF(AND(clean[[#This Row],[Clean Level]]&gt;80, clean[[#This Row],[Clean Total Stat]]&gt;350, clean[[#This Row],[Clean Gold]]&gt;500000), "Overpowered", "Normal")</f>
        <v>Normal</v>
      </c>
      <c r="AV4" s="1" t="str" cm="1">
        <f t="array" ref="AV4">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4" s="1" t="str" cm="1">
        <f t="array" ref="AW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4" s="1"/>
      <c r="AY4" s="3" t="s">
        <v>14</v>
      </c>
      <c r="AZ4" s="3">
        <f>COUNTBLANK(RPG_dataset[SPD])</f>
        <v>13</v>
      </c>
      <c r="BH4" t="str">
        <v>Bard</v>
      </c>
    </row>
    <row r="5" spans="1:60" x14ac:dyDescent="0.3">
      <c r="A5" s="2" t="s">
        <v>56</v>
      </c>
      <c r="B5" s="2" t="s">
        <v>57</v>
      </c>
      <c r="C5" s="2" t="s">
        <v>58</v>
      </c>
      <c r="D5" s="2" t="s">
        <v>59</v>
      </c>
      <c r="E5" s="2" t="s">
        <v>60</v>
      </c>
      <c r="F5" s="2" t="s">
        <v>61</v>
      </c>
      <c r="G5" s="2">
        <v>50</v>
      </c>
      <c r="H5" s="2" t="s">
        <v>62</v>
      </c>
      <c r="I5" s="2" t="s">
        <v>63</v>
      </c>
      <c r="J5" s="2" t="s">
        <v>64</v>
      </c>
      <c r="K5" s="2" t="s">
        <v>65</v>
      </c>
      <c r="L5" s="6" t="s">
        <v>66</v>
      </c>
      <c r="M5" s="2">
        <v>113</v>
      </c>
      <c r="N5" s="2">
        <v>108</v>
      </c>
      <c r="O5" s="2">
        <v>77</v>
      </c>
      <c r="P5" s="2">
        <v>2644</v>
      </c>
      <c r="Q5" s="2">
        <v>512</v>
      </c>
      <c r="R5" s="2">
        <v>298</v>
      </c>
      <c r="S5" s="2">
        <v>2605</v>
      </c>
      <c r="T5" s="2">
        <v>905</v>
      </c>
      <c r="U5" s="2">
        <v>204</v>
      </c>
      <c r="V5" s="2">
        <v>74</v>
      </c>
      <c r="W5" s="2">
        <v>3900</v>
      </c>
      <c r="X5" s="9">
        <v>798358</v>
      </c>
      <c r="Y5" s="2" t="s">
        <v>36</v>
      </c>
      <c r="AA5" s="1" t="str">
        <f>TRIM(RPG_dataset[[#This Row],[Username]])</f>
        <v>kael_438</v>
      </c>
      <c r="AB5" s="1" t="str">
        <f>TRIM(RPG_dataset[[#This Row],[First Name]])</f>
        <v>Kael</v>
      </c>
      <c r="AC5" s="1" t="str">
        <f>PROPER(TRIM(RPG_dataset[[#This Row],[Race]]))</f>
        <v>Human</v>
      </c>
      <c r="AD5" s="1" t="str">
        <f>PROPER(TRIM(RPG_dataset[[#This Row],[Class]]))</f>
        <v>Ranger</v>
      </c>
      <c r="AE5" s="1">
        <f>ABS(RPG_dataset[[#This Row],[Level]])</f>
        <v>50</v>
      </c>
      <c r="AF5" s="1">
        <f>ABS(RPG_dataset[[#This Row],[ATK]])</f>
        <v>113</v>
      </c>
      <c r="AG5" s="1">
        <f>ABS(RPG_dataset[[#This Row],[DEF]])</f>
        <v>108</v>
      </c>
      <c r="AH5" s="1">
        <f>ABS(RPG_dataset[[#This Row],[SPD]])</f>
        <v>77</v>
      </c>
      <c r="AI5" s="1">
        <f>ABS(RPG_dataset[[#This Row],[HP]])</f>
        <v>2644</v>
      </c>
      <c r="AJ5" s="1">
        <f>ABS(RPG_dataset[[#This Row],[MP]])</f>
        <v>512</v>
      </c>
      <c r="AK5" s="1">
        <f>ABS(RPG_dataset[[#This Row],[Total Stat]])</f>
        <v>298</v>
      </c>
      <c r="AL5" s="1">
        <f>ABS(RPG_dataset[[#This Row],[Kills]])</f>
        <v>2605</v>
      </c>
      <c r="AM5" s="12">
        <f>ABS(RPG_dataset[[#This Row],[Win Rate (%)]])</f>
        <v>74</v>
      </c>
      <c r="AN5" s="4">
        <f>ABS(RPG_dataset[[#This Row],[Gold Earned]])</f>
        <v>798358</v>
      </c>
      <c r="AO5" s="5" t="str">
        <f t="shared" si="0"/>
        <v>OK</v>
      </c>
      <c r="AP5" s="5">
        <f>RANK(clean[[#This Row],[Clean Gold]],clean[Clean Gold], 0)</f>
        <v>105</v>
      </c>
      <c r="AQ5" s="1">
        <v>297</v>
      </c>
      <c r="AR5" s="1" t="str" cm="1">
        <f t="array" ref="AR5">_xlfn.IFS(clean[[#This Row],[Clean Level]]&gt;=76, "Legend", clean[[#This Row],[Clean Level]]&gt;=51, "Elite", clean[[#This Row],[Clean Level]]&gt;=26, "Veteran", TRUE, "Rookie")</f>
        <v>Veteran</v>
      </c>
      <c r="AS5" s="1" t="str">
        <f>IF(RPG_dataset[[#This Row],[Status]]="Active", "TRUE", "FALSE")</f>
        <v>FALSE</v>
      </c>
      <c r="AT5" s="1" t="str" cm="1">
        <f t="array" ref="AT5">_xlfn.IFS(clean[[#This Row],[Clean Win Rate]]&gt;70, "Excellent", clean[[#This Row],[Clean Win Rate]]&gt;=40, "Average", TRUE, "Poor")</f>
        <v>Excellent</v>
      </c>
      <c r="AU5" s="1" t="str">
        <f>IF(AND(clean[[#This Row],[Clean Level]]&gt;80, clean[[#This Row],[Clean Total Stat]]&gt;350, clean[[#This Row],[Clean Gold]]&gt;500000), "Overpowered", "Normal")</f>
        <v>Normal</v>
      </c>
      <c r="AV5" s="1" t="str" cm="1">
        <f t="array" ref="AV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5" s="1" t="str" cm="1">
        <f t="array" ref="AW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5" s="1"/>
      <c r="AY5" s="3" t="s">
        <v>15</v>
      </c>
      <c r="AZ5" s="3">
        <f>COUNTBLANK(RPG_dataset[HP])</f>
        <v>23</v>
      </c>
      <c r="BH5" t="str">
        <v>Ranger</v>
      </c>
    </row>
    <row r="6" spans="1:60" x14ac:dyDescent="0.3">
      <c r="A6" s="2" t="s">
        <v>67</v>
      </c>
      <c r="B6" s="2" t="s">
        <v>68</v>
      </c>
      <c r="C6" s="2" t="s">
        <v>69</v>
      </c>
      <c r="D6" s="2" t="s">
        <v>70</v>
      </c>
      <c r="E6" s="2" t="s">
        <v>71</v>
      </c>
      <c r="F6" s="2" t="s">
        <v>72</v>
      </c>
      <c r="G6" s="2">
        <v>64</v>
      </c>
      <c r="H6" s="2" t="s">
        <v>73</v>
      </c>
      <c r="I6" s="2" t="s">
        <v>74</v>
      </c>
      <c r="J6" s="2" t="s">
        <v>64</v>
      </c>
      <c r="K6" s="2" t="s">
        <v>75</v>
      </c>
      <c r="L6" s="6" t="s">
        <v>76</v>
      </c>
      <c r="M6" s="2">
        <v>46</v>
      </c>
      <c r="N6" s="2">
        <v>51</v>
      </c>
      <c r="O6" s="2">
        <v>43</v>
      </c>
      <c r="P6" s="2">
        <v>4009</v>
      </c>
      <c r="Q6" s="2">
        <v>71</v>
      </c>
      <c r="R6" s="2">
        <v>140</v>
      </c>
      <c r="S6" s="2">
        <v>242</v>
      </c>
      <c r="T6" s="2">
        <v>444</v>
      </c>
      <c r="U6" s="2">
        <v>232</v>
      </c>
      <c r="V6" s="2">
        <v>35</v>
      </c>
      <c r="W6" s="2">
        <v>8531</v>
      </c>
      <c r="X6" s="9">
        <v>607955</v>
      </c>
      <c r="Y6" s="2" t="s">
        <v>36</v>
      </c>
      <c r="AA6" s="1" t="str">
        <f>TRIM(RPG_dataset[[#This Row],[Username]])</f>
        <v>seth_491</v>
      </c>
      <c r="AB6" s="1" t="str">
        <f>TRIM(RPG_dataset[[#This Row],[First Name]])</f>
        <v>Seth</v>
      </c>
      <c r="AC6" s="1" t="str">
        <f>PROPER(TRIM(RPG_dataset[[#This Row],[Race]]))</f>
        <v>Dragonborn</v>
      </c>
      <c r="AD6" s="1" t="str">
        <f>PROPER(TRIM(RPG_dataset[[#This Row],[Class]]))</f>
        <v>Warrior</v>
      </c>
      <c r="AE6" s="1">
        <f>ABS(RPG_dataset[[#This Row],[Level]])</f>
        <v>64</v>
      </c>
      <c r="AF6" s="1">
        <f>ABS(RPG_dataset[[#This Row],[ATK]])</f>
        <v>46</v>
      </c>
      <c r="AG6" s="1">
        <f>ABS(RPG_dataset[[#This Row],[DEF]])</f>
        <v>51</v>
      </c>
      <c r="AH6" s="1">
        <f>ABS(RPG_dataset[[#This Row],[SPD]])</f>
        <v>43</v>
      </c>
      <c r="AI6" s="1">
        <f>ABS(RPG_dataset[[#This Row],[HP]])</f>
        <v>4009</v>
      </c>
      <c r="AJ6" s="1">
        <f>ABS(RPG_dataset[[#This Row],[MP]])</f>
        <v>71</v>
      </c>
      <c r="AK6" s="1">
        <f>ABS(RPG_dataset[[#This Row],[Total Stat]])</f>
        <v>140</v>
      </c>
      <c r="AL6" s="1">
        <f>ABS(RPG_dataset[[#This Row],[Kills]])</f>
        <v>242</v>
      </c>
      <c r="AM6" s="12">
        <f>ABS(RPG_dataset[[#This Row],[Win Rate (%)]])</f>
        <v>35</v>
      </c>
      <c r="AN6" s="4">
        <f>ABS(RPG_dataset[[#This Row],[Gold Earned]])</f>
        <v>607955</v>
      </c>
      <c r="AO6" s="5" t="str">
        <f t="shared" si="0"/>
        <v>OK</v>
      </c>
      <c r="AP6" s="5">
        <f>RANK(clean[[#This Row],[Clean Gold]],clean[Clean Gold], 0)</f>
        <v>201</v>
      </c>
      <c r="AQ6" s="1">
        <v>288</v>
      </c>
      <c r="AR6" s="1" t="str" cm="1">
        <f t="array" ref="AR6">_xlfn.IFS(clean[[#This Row],[Clean Level]]&gt;=76, "Legend", clean[[#This Row],[Clean Level]]&gt;=51, "Elite", clean[[#This Row],[Clean Level]]&gt;=26, "Veteran", TRUE, "Rookie")</f>
        <v>Elite</v>
      </c>
      <c r="AS6" s="1" t="str">
        <f>IF(RPG_dataset[[#This Row],[Status]]="Active", "TRUE", "FALSE")</f>
        <v>FALSE</v>
      </c>
      <c r="AT6" s="1" t="str" cm="1">
        <f t="array" ref="AT6">_xlfn.IFS(clean[[#This Row],[Clean Win Rate]]&gt;70, "Excellent", clean[[#This Row],[Clean Win Rate]]&gt;=40, "Average", TRUE, "Poor")</f>
        <v>Poor</v>
      </c>
      <c r="AU6" s="1" t="str">
        <f>IF(AND(clean[[#This Row],[Clean Level]]&gt;80, clean[[#This Row],[Clean Total Stat]]&gt;350, clean[[#This Row],[Clean Gold]]&gt;500000), "Overpowered", "Normal")</f>
        <v>Normal</v>
      </c>
      <c r="AV6" s="1" t="str" cm="1">
        <f t="array" ref="AV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6" s="1" t="str" cm="1">
        <f t="array" ref="AW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6" s="1"/>
      <c r="AY6" s="3" t="s">
        <v>16</v>
      </c>
      <c r="AZ6" s="3">
        <f>COUNTBLANK(RPG_dataset[MP])</f>
        <v>25</v>
      </c>
      <c r="BH6" t="str">
        <v>Warrior</v>
      </c>
    </row>
    <row r="7" spans="1:60" x14ac:dyDescent="0.3">
      <c r="A7" s="2" t="s">
        <v>77</v>
      </c>
      <c r="B7" s="2" t="s">
        <v>78</v>
      </c>
      <c r="C7" s="2" t="s">
        <v>79</v>
      </c>
      <c r="D7" s="2" t="s">
        <v>28</v>
      </c>
      <c r="E7" s="2" t="s">
        <v>75</v>
      </c>
      <c r="F7" s="2" t="s">
        <v>72</v>
      </c>
      <c r="G7" s="2">
        <v>43</v>
      </c>
      <c r="H7" s="2" t="s">
        <v>80</v>
      </c>
      <c r="I7" s="2" t="s">
        <v>63</v>
      </c>
      <c r="J7" s="2" t="s">
        <v>81</v>
      </c>
      <c r="K7" s="2" t="s">
        <v>34</v>
      </c>
      <c r="L7" s="6" t="s">
        <v>82</v>
      </c>
      <c r="M7" s="2">
        <v>14</v>
      </c>
      <c r="N7" s="2">
        <v>123</v>
      </c>
      <c r="O7" s="2">
        <v>23</v>
      </c>
      <c r="P7" s="2">
        <v>4104</v>
      </c>
      <c r="Q7" s="2">
        <v>1355</v>
      </c>
      <c r="R7" s="2">
        <v>160</v>
      </c>
      <c r="S7" s="2">
        <v>1108</v>
      </c>
      <c r="T7" s="2">
        <v>229</v>
      </c>
      <c r="U7" s="2">
        <v>7</v>
      </c>
      <c r="V7" s="2">
        <v>83</v>
      </c>
      <c r="W7" s="2">
        <v>1499</v>
      </c>
      <c r="X7" s="9">
        <v>864710</v>
      </c>
      <c r="Y7" s="2" t="s">
        <v>46</v>
      </c>
      <c r="AA7" s="1" t="str">
        <f>TRIM(RPG_dataset[[#This Row],[Username]])</f>
        <v>mira_877</v>
      </c>
      <c r="AB7" s="1" t="str">
        <f>TRIM(RPG_dataset[[#This Row],[First Name]])</f>
        <v>Mira</v>
      </c>
      <c r="AC7" s="1" t="str">
        <f>PROPER(TRIM(RPG_dataset[[#This Row],[Race]]))</f>
        <v/>
      </c>
      <c r="AD7" s="1" t="str">
        <f>PROPER(TRIM(RPG_dataset[[#This Row],[Class]]))</f>
        <v>Warrior</v>
      </c>
      <c r="AE7" s="1">
        <f>ABS(RPG_dataset[[#This Row],[Level]])</f>
        <v>43</v>
      </c>
      <c r="AF7" s="1">
        <f>ABS(RPG_dataset[[#This Row],[ATK]])</f>
        <v>14</v>
      </c>
      <c r="AG7" s="1">
        <f>ABS(RPG_dataset[[#This Row],[DEF]])</f>
        <v>123</v>
      </c>
      <c r="AH7" s="1">
        <f>ABS(RPG_dataset[[#This Row],[SPD]])</f>
        <v>23</v>
      </c>
      <c r="AI7" s="1">
        <f>ABS(RPG_dataset[[#This Row],[HP]])</f>
        <v>4104</v>
      </c>
      <c r="AJ7" s="1">
        <f>ABS(RPG_dataset[[#This Row],[MP]])</f>
        <v>1355</v>
      </c>
      <c r="AK7" s="1">
        <f>ABS(RPG_dataset[[#This Row],[Total Stat]])</f>
        <v>160</v>
      </c>
      <c r="AL7" s="1">
        <f>ABS(RPG_dataset[[#This Row],[Kills]])</f>
        <v>1108</v>
      </c>
      <c r="AM7" s="12">
        <f>ABS(RPG_dataset[[#This Row],[Win Rate (%)]])</f>
        <v>83</v>
      </c>
      <c r="AN7" s="4">
        <f>ABS(RPG_dataset[[#This Row],[Gold Earned]])</f>
        <v>864710</v>
      </c>
      <c r="AO7" s="5" t="str">
        <f t="shared" si="0"/>
        <v>OK</v>
      </c>
      <c r="AP7" s="5">
        <f>RANK(clean[[#This Row],[Clean Gold]],clean[Clean Gold], 0)</f>
        <v>65</v>
      </c>
      <c r="AQ7" s="1"/>
      <c r="AR7" s="1" t="str" cm="1">
        <f t="array" ref="AR7">_xlfn.IFS(clean[[#This Row],[Clean Level]]&gt;=76, "Legend", clean[[#This Row],[Clean Level]]&gt;=51, "Elite", clean[[#This Row],[Clean Level]]&gt;=26, "Veteran", TRUE, "Rookie")</f>
        <v>Veteran</v>
      </c>
      <c r="AS7" s="1" t="str">
        <f>IF(RPG_dataset[[#This Row],[Status]]="Active", "TRUE", "FALSE")</f>
        <v>FALSE</v>
      </c>
      <c r="AT7" s="1" t="str" cm="1">
        <f t="array" ref="AT7">_xlfn.IFS(clean[[#This Row],[Clean Win Rate]]&gt;70, "Excellent", clean[[#This Row],[Clean Win Rate]]&gt;=40, "Average", TRUE, "Poor")</f>
        <v>Excellent</v>
      </c>
      <c r="AU7" s="1" t="str">
        <f>IF(AND(clean[[#This Row],[Clean Level]]&gt;80, clean[[#This Row],[Clean Total Stat]]&gt;350, clean[[#This Row],[Clean Gold]]&gt;500000), "Overpowered", "Normal")</f>
        <v>Normal</v>
      </c>
      <c r="AV7" s="1" t="str" cm="1">
        <f t="array" ref="AV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7" s="1" t="str" cm="1">
        <f t="array" ref="AW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7" s="1"/>
      <c r="BH7" t="str">
        <v>Mage</v>
      </c>
    </row>
    <row r="8" spans="1:60" x14ac:dyDescent="0.3">
      <c r="A8" s="2" t="s">
        <v>83</v>
      </c>
      <c r="B8" s="2" t="s">
        <v>84</v>
      </c>
      <c r="C8" s="2" t="s">
        <v>85</v>
      </c>
      <c r="D8" s="2" t="s">
        <v>86</v>
      </c>
      <c r="E8" s="2" t="s">
        <v>60</v>
      </c>
      <c r="F8" s="2" t="s">
        <v>75</v>
      </c>
      <c r="G8" s="2">
        <v>22</v>
      </c>
      <c r="H8" s="2" t="s">
        <v>31</v>
      </c>
      <c r="I8" s="2" t="s">
        <v>87</v>
      </c>
      <c r="J8" s="2" t="s">
        <v>88</v>
      </c>
      <c r="K8" s="2" t="s">
        <v>44</v>
      </c>
      <c r="L8" s="6" t="s">
        <v>89</v>
      </c>
      <c r="M8" s="2">
        <v>68</v>
      </c>
      <c r="N8" s="2">
        <v>129</v>
      </c>
      <c r="O8" s="2">
        <v>139</v>
      </c>
      <c r="P8" s="2">
        <v>2832</v>
      </c>
      <c r="Q8" s="2">
        <v>1161</v>
      </c>
      <c r="R8" s="2">
        <v>336</v>
      </c>
      <c r="S8" s="2">
        <v>4545</v>
      </c>
      <c r="T8" s="2">
        <v>178</v>
      </c>
      <c r="U8" s="2">
        <v>255</v>
      </c>
      <c r="V8" s="2">
        <v>96</v>
      </c>
      <c r="W8" s="2">
        <v>4184</v>
      </c>
      <c r="X8" s="9">
        <v>954984</v>
      </c>
      <c r="Y8" s="2" t="s">
        <v>36</v>
      </c>
      <c r="AA8" s="1" t="str">
        <f>TRIM(RPG_dataset[[#This Row],[Username]])</f>
        <v>delia_887</v>
      </c>
      <c r="AB8" s="1" t="str">
        <f>TRIM(RPG_dataset[[#This Row],[First Name]])</f>
        <v>Delia</v>
      </c>
      <c r="AC8" s="1" t="str">
        <f>PROPER(TRIM(RPG_dataset[[#This Row],[Race]]))</f>
        <v>Human</v>
      </c>
      <c r="AD8" s="1" t="str">
        <f>PROPER(TRIM(RPG_dataset[[#This Row],[Class]]))</f>
        <v/>
      </c>
      <c r="AE8" s="1">
        <f>ABS(RPG_dataset[[#This Row],[Level]])</f>
        <v>22</v>
      </c>
      <c r="AF8" s="1">
        <f>ABS(RPG_dataset[[#This Row],[ATK]])</f>
        <v>68</v>
      </c>
      <c r="AG8" s="1">
        <f>ABS(RPG_dataset[[#This Row],[DEF]])</f>
        <v>129</v>
      </c>
      <c r="AH8" s="1">
        <f>ABS(RPG_dataset[[#This Row],[SPD]])</f>
        <v>139</v>
      </c>
      <c r="AI8" s="1">
        <f>ABS(RPG_dataset[[#This Row],[HP]])</f>
        <v>2832</v>
      </c>
      <c r="AJ8" s="1">
        <f>ABS(RPG_dataset[[#This Row],[MP]])</f>
        <v>1161</v>
      </c>
      <c r="AK8" s="1">
        <f>ABS(RPG_dataset[[#This Row],[Total Stat]])</f>
        <v>336</v>
      </c>
      <c r="AL8" s="1">
        <f>ABS(RPG_dataset[[#This Row],[Kills]])</f>
        <v>4545</v>
      </c>
      <c r="AM8" s="12">
        <f>ABS(RPG_dataset[[#This Row],[Win Rate (%)]])</f>
        <v>96</v>
      </c>
      <c r="AN8" s="4">
        <f>ABS(RPG_dataset[[#This Row],[Gold Earned]])</f>
        <v>954984</v>
      </c>
      <c r="AO8" s="5" t="str">
        <f t="shared" si="0"/>
        <v>OK</v>
      </c>
      <c r="AP8" s="5">
        <f>RANK(clean[[#This Row],[Clean Gold]],clean[Clean Gold], 0)</f>
        <v>23</v>
      </c>
      <c r="AQ8" s="1">
        <v>231</v>
      </c>
      <c r="AR8" s="1" t="str" cm="1">
        <f t="array" ref="AR8">_xlfn.IFS(clean[[#This Row],[Clean Level]]&gt;=76, "Legend", clean[[#This Row],[Clean Level]]&gt;=51, "Elite", clean[[#This Row],[Clean Level]]&gt;=26, "Veteran", TRUE, "Rookie")</f>
        <v>Rookie</v>
      </c>
      <c r="AS8" s="1" t="str">
        <f>IF(RPG_dataset[[#This Row],[Status]]="Active", "TRUE", "FALSE")</f>
        <v>TRUE</v>
      </c>
      <c r="AT8" s="1" t="str" cm="1">
        <f t="array" ref="AT8">_xlfn.IFS(clean[[#This Row],[Clean Win Rate]]&gt;70, "Excellent", clean[[#This Row],[Clean Win Rate]]&gt;=40, "Average", TRUE, "Poor")</f>
        <v>Excellent</v>
      </c>
      <c r="AU8" s="1" t="str">
        <f>IF(AND(clean[[#This Row],[Clean Level]]&gt;80, clean[[#This Row],[Clean Total Stat]]&gt;350, clean[[#This Row],[Clean Gold]]&gt;500000), "Overpowered", "Normal")</f>
        <v>Normal</v>
      </c>
      <c r="AV8" s="1" t="str" cm="1">
        <f t="array" ref="AV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8" s="1" t="str" cm="1">
        <f t="array" ref="AW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8" s="1"/>
      <c r="AY8" s="17" t="s">
        <v>1692</v>
      </c>
      <c r="AZ8" s="17"/>
      <c r="BA8" s="3" t="s">
        <v>1694</v>
      </c>
      <c r="BB8" s="3" t="s">
        <v>1695</v>
      </c>
      <c r="BH8" t="str">
        <v>Necromancer</v>
      </c>
    </row>
    <row r="9" spans="1:60" x14ac:dyDescent="0.3">
      <c r="A9" s="2" t="s">
        <v>90</v>
      </c>
      <c r="B9" s="2" t="s">
        <v>91</v>
      </c>
      <c r="C9" s="2" t="s">
        <v>39</v>
      </c>
      <c r="D9" s="2" t="s">
        <v>70</v>
      </c>
      <c r="E9" s="2" t="s">
        <v>29</v>
      </c>
      <c r="F9" s="2" t="s">
        <v>72</v>
      </c>
      <c r="G9" s="2">
        <v>39</v>
      </c>
      <c r="H9" s="2" t="s">
        <v>75</v>
      </c>
      <c r="I9" s="2" t="s">
        <v>32</v>
      </c>
      <c r="J9" s="2" t="s">
        <v>92</v>
      </c>
      <c r="K9" s="2" t="s">
        <v>93</v>
      </c>
      <c r="L9" s="6" t="s">
        <v>94</v>
      </c>
      <c r="M9" s="2">
        <v>66</v>
      </c>
      <c r="N9" s="2">
        <v>139</v>
      </c>
      <c r="O9" s="2">
        <v>31</v>
      </c>
      <c r="P9" s="2">
        <v>3035</v>
      </c>
      <c r="Q9" s="2">
        <v>715</v>
      </c>
      <c r="R9" s="2">
        <v>236</v>
      </c>
      <c r="S9" s="2">
        <v>3617</v>
      </c>
      <c r="T9" s="2">
        <v>487</v>
      </c>
      <c r="U9" s="2">
        <v>18</v>
      </c>
      <c r="V9" s="2">
        <v>88</v>
      </c>
      <c r="W9" s="2">
        <v>9899</v>
      </c>
      <c r="X9" s="9">
        <v>629663</v>
      </c>
      <c r="Y9" s="2" t="s">
        <v>46</v>
      </c>
      <c r="AA9" s="1" t="str">
        <f>TRIM(RPG_dataset[[#This Row],[Username]])</f>
        <v>yara_356</v>
      </c>
      <c r="AB9" s="1" t="str">
        <f>TRIM(RPG_dataset[[#This Row],[First Name]])</f>
        <v>Yara</v>
      </c>
      <c r="AC9" s="1" t="str">
        <f>PROPER(TRIM(RPG_dataset[[#This Row],[Race]]))</f>
        <v>Dwarf</v>
      </c>
      <c r="AD9" s="1" t="str">
        <f>PROPER(TRIM(RPG_dataset[[#This Row],[Class]]))</f>
        <v>Warrior</v>
      </c>
      <c r="AE9" s="1">
        <f>ABS(RPG_dataset[[#This Row],[Level]])</f>
        <v>39</v>
      </c>
      <c r="AF9" s="1">
        <f>ABS(RPG_dataset[[#This Row],[ATK]])</f>
        <v>66</v>
      </c>
      <c r="AG9" s="1">
        <f>ABS(RPG_dataset[[#This Row],[DEF]])</f>
        <v>139</v>
      </c>
      <c r="AH9" s="1">
        <f>ABS(RPG_dataset[[#This Row],[SPD]])</f>
        <v>31</v>
      </c>
      <c r="AI9" s="1">
        <f>ABS(RPG_dataset[[#This Row],[HP]])</f>
        <v>3035</v>
      </c>
      <c r="AJ9" s="1">
        <f>ABS(RPG_dataset[[#This Row],[MP]])</f>
        <v>715</v>
      </c>
      <c r="AK9" s="1">
        <f>ABS(RPG_dataset[[#This Row],[Total Stat]])</f>
        <v>236</v>
      </c>
      <c r="AL9" s="1">
        <f>ABS(RPG_dataset[[#This Row],[Kills]])</f>
        <v>3617</v>
      </c>
      <c r="AM9" s="12">
        <f>ABS(RPG_dataset[[#This Row],[Win Rate (%)]])</f>
        <v>88</v>
      </c>
      <c r="AN9" s="4">
        <f>ABS(RPG_dataset[[#This Row],[Gold Earned]])</f>
        <v>629663</v>
      </c>
      <c r="AO9" s="5" t="str">
        <f t="shared" si="0"/>
        <v>OK</v>
      </c>
      <c r="AP9" s="5">
        <f>RANK(clean[[#This Row],[Clean Gold]],clean[Clean Gold], 0)</f>
        <v>185</v>
      </c>
      <c r="AQ9" s="1">
        <v>294</v>
      </c>
      <c r="AR9" s="1" t="str" cm="1">
        <f t="array" ref="AR9">_xlfn.IFS(clean[[#This Row],[Clean Level]]&gt;=76, "Legend", clean[[#This Row],[Clean Level]]&gt;=51, "Elite", clean[[#This Row],[Clean Level]]&gt;=26, "Veteran", TRUE, "Rookie")</f>
        <v>Veteran</v>
      </c>
      <c r="AS9" s="1" t="str">
        <f>IF(RPG_dataset[[#This Row],[Status]]="Active", "TRUE", "FALSE")</f>
        <v>FALSE</v>
      </c>
      <c r="AT9" s="1" t="str" cm="1">
        <f t="array" ref="AT9">_xlfn.IFS(clean[[#This Row],[Clean Win Rate]]&gt;70, "Excellent", clean[[#This Row],[Clean Win Rate]]&gt;=40, "Average", TRUE, "Poor")</f>
        <v>Excellent</v>
      </c>
      <c r="AU9" s="1" t="str">
        <f>IF(AND(clean[[#This Row],[Clean Level]]&gt;80, clean[[#This Row],[Clean Total Stat]]&gt;350, clean[[#This Row],[Clean Gold]]&gt;500000), "Overpowered", "Normal")</f>
        <v>Normal</v>
      </c>
      <c r="AV9" s="1" t="str" cm="1">
        <f t="array" ref="AV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9" s="1" t="str" cm="1">
        <f t="array" ref="AW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9" s="1"/>
      <c r="AY9" s="3" t="s">
        <v>6</v>
      </c>
      <c r="AZ9" s="7">
        <f>AVERAGE(RPG_dataset[Level])</f>
        <v>50.002074688796682</v>
      </c>
      <c r="BA9" s="3">
        <f>MAX(RPG_dataset[Level])</f>
        <v>100</v>
      </c>
      <c r="BB9" s="3">
        <f>MIN(RPG_dataset[Level])</f>
        <v>-98</v>
      </c>
      <c r="BH9" t="str">
        <v>Paladin</v>
      </c>
    </row>
    <row r="10" spans="1:60" x14ac:dyDescent="0.3">
      <c r="A10" s="2" t="s">
        <v>95</v>
      </c>
      <c r="B10" s="2" t="s">
        <v>96</v>
      </c>
      <c r="C10" s="2" t="s">
        <v>97</v>
      </c>
      <c r="D10" s="2" t="s">
        <v>28</v>
      </c>
      <c r="E10" s="2" t="s">
        <v>71</v>
      </c>
      <c r="F10" s="2" t="s">
        <v>98</v>
      </c>
      <c r="G10" s="2">
        <v>66</v>
      </c>
      <c r="H10" s="2" t="s">
        <v>31</v>
      </c>
      <c r="I10" s="2" t="s">
        <v>74</v>
      </c>
      <c r="J10" s="2" t="s">
        <v>33</v>
      </c>
      <c r="K10" s="2" t="s">
        <v>99</v>
      </c>
      <c r="L10" s="6" t="s">
        <v>100</v>
      </c>
      <c r="M10" s="2">
        <v>87</v>
      </c>
      <c r="N10" s="2">
        <v>60</v>
      </c>
      <c r="O10" s="2">
        <v>72</v>
      </c>
      <c r="P10" s="2">
        <v>1712</v>
      </c>
      <c r="Q10" s="2">
        <v>121</v>
      </c>
      <c r="R10" s="2">
        <v>219</v>
      </c>
      <c r="S10" s="2">
        <v>2633</v>
      </c>
      <c r="T10" s="2">
        <v>147</v>
      </c>
      <c r="U10" s="2">
        <v>121</v>
      </c>
      <c r="V10" s="2">
        <v>95</v>
      </c>
      <c r="W10" s="2">
        <v>457</v>
      </c>
      <c r="X10" s="9">
        <v>806099</v>
      </c>
      <c r="Y10" s="2" t="s">
        <v>46</v>
      </c>
      <c r="AA10" s="1" t="str">
        <f>TRIM(RPG_dataset[[#This Row],[Username]])</f>
        <v>hana_217</v>
      </c>
      <c r="AB10" s="1" t="str">
        <f>TRIM(RPG_dataset[[#This Row],[First Name]])</f>
        <v>Hana</v>
      </c>
      <c r="AC10" s="1" t="str">
        <f>PROPER(TRIM(RPG_dataset[[#This Row],[Race]]))</f>
        <v>Dragonborn</v>
      </c>
      <c r="AD10" s="1" t="str">
        <f>PROPER(TRIM(RPG_dataset[[#This Row],[Class]]))</f>
        <v>Mage</v>
      </c>
      <c r="AE10" s="1">
        <f>ABS(RPG_dataset[[#This Row],[Level]])</f>
        <v>66</v>
      </c>
      <c r="AF10" s="1">
        <f>ABS(RPG_dataset[[#This Row],[ATK]])</f>
        <v>87</v>
      </c>
      <c r="AG10" s="1">
        <f>ABS(RPG_dataset[[#This Row],[DEF]])</f>
        <v>60</v>
      </c>
      <c r="AH10" s="1">
        <f>ABS(RPG_dataset[[#This Row],[SPD]])</f>
        <v>72</v>
      </c>
      <c r="AI10" s="1">
        <f>ABS(RPG_dataset[[#This Row],[HP]])</f>
        <v>1712</v>
      </c>
      <c r="AJ10" s="1">
        <f>ABS(RPG_dataset[[#This Row],[MP]])</f>
        <v>121</v>
      </c>
      <c r="AK10" s="1">
        <f>ABS(RPG_dataset[[#This Row],[Total Stat]])</f>
        <v>219</v>
      </c>
      <c r="AL10" s="1">
        <f>ABS(RPG_dataset[[#This Row],[Kills]])</f>
        <v>2633</v>
      </c>
      <c r="AM10" s="12">
        <f>ABS(RPG_dataset[[#This Row],[Win Rate (%)]])</f>
        <v>95</v>
      </c>
      <c r="AN10" s="4">
        <f>ABS(RPG_dataset[[#This Row],[Gold Earned]])</f>
        <v>806099</v>
      </c>
      <c r="AO10" s="5" t="str">
        <f t="shared" si="0"/>
        <v>OK</v>
      </c>
      <c r="AP10" s="5">
        <f>RANK(clean[[#This Row],[Clean Gold]],clean[Clean Gold], 0)</f>
        <v>102</v>
      </c>
      <c r="AQ10" s="1">
        <v>299</v>
      </c>
      <c r="AR10" s="1" t="str" cm="1">
        <f t="array" ref="AR10">_xlfn.IFS(clean[[#This Row],[Clean Level]]&gt;=76, "Legend", clean[[#This Row],[Clean Level]]&gt;=51, "Elite", clean[[#This Row],[Clean Level]]&gt;=26, "Veteran", TRUE, "Rookie")</f>
        <v>Elite</v>
      </c>
      <c r="AS10" s="1" t="str">
        <f>IF(RPG_dataset[[#This Row],[Status]]="Active", "TRUE", "FALSE")</f>
        <v>FALSE</v>
      </c>
      <c r="AT10" s="1" t="str" cm="1">
        <f t="array" ref="AT10">_xlfn.IFS(clean[[#This Row],[Clean Win Rate]]&gt;70, "Excellent", clean[[#This Row],[Clean Win Rate]]&gt;=40, "Average", TRUE, "Poor")</f>
        <v>Excellent</v>
      </c>
      <c r="AU10" s="1" t="str">
        <f>IF(AND(clean[[#This Row],[Clean Level]]&gt;80, clean[[#This Row],[Clean Total Stat]]&gt;350, clean[[#This Row],[Clean Gold]]&gt;500000), "Overpowered", "Normal")</f>
        <v>Normal</v>
      </c>
      <c r="AV10" s="1" t="str" cm="1">
        <f t="array" ref="AV1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0" s="1" t="str" cm="1">
        <f t="array" ref="AW1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10" s="1"/>
      <c r="AY10" s="3" t="s">
        <v>12</v>
      </c>
      <c r="AZ10" s="7">
        <f>AVERAGE(RPG_dataset[ATK])</f>
        <v>79.562372188139065</v>
      </c>
      <c r="BA10" s="3">
        <f>MAX(RPG_dataset[ATK])</f>
        <v>150</v>
      </c>
      <c r="BB10" s="3" cm="1">
        <f t="array" ref="BB10">MIN(ABS(RPG_dataset[ATK]))</f>
        <v>0</v>
      </c>
    </row>
    <row r="11" spans="1:60" x14ac:dyDescent="0.3">
      <c r="A11" s="2" t="s">
        <v>101</v>
      </c>
      <c r="B11" s="2" t="s">
        <v>102</v>
      </c>
      <c r="C11" s="2" t="s">
        <v>103</v>
      </c>
      <c r="D11" s="2" t="s">
        <v>104</v>
      </c>
      <c r="E11" s="2" t="s">
        <v>105</v>
      </c>
      <c r="F11" s="2" t="s">
        <v>42</v>
      </c>
      <c r="G11" s="2">
        <v>98</v>
      </c>
      <c r="H11" s="2" t="s">
        <v>80</v>
      </c>
      <c r="I11" s="2" t="s">
        <v>74</v>
      </c>
      <c r="J11" s="2" t="s">
        <v>81</v>
      </c>
      <c r="K11" s="2" t="s">
        <v>106</v>
      </c>
      <c r="L11" s="6" t="s">
        <v>107</v>
      </c>
      <c r="M11" s="2">
        <v>76</v>
      </c>
      <c r="N11" s="2">
        <v>107</v>
      </c>
      <c r="O11" s="2">
        <v>91</v>
      </c>
      <c r="P11" s="2">
        <v>1624</v>
      </c>
      <c r="Q11" s="2">
        <v>630</v>
      </c>
      <c r="R11" s="2">
        <v>274</v>
      </c>
      <c r="S11" s="2">
        <v>1747</v>
      </c>
      <c r="T11" s="2">
        <v>672</v>
      </c>
      <c r="U11" s="2">
        <v>293</v>
      </c>
      <c r="V11" s="2">
        <v>72</v>
      </c>
      <c r="W11" s="2">
        <v>5441</v>
      </c>
      <c r="X11" s="9">
        <v>652078</v>
      </c>
      <c r="Y11" s="2" t="s">
        <v>46</v>
      </c>
      <c r="AA11" s="1" t="str">
        <f>TRIM(RPG_dataset[[#This Row],[Username]])</f>
        <v>aria_507</v>
      </c>
      <c r="AB11" s="1" t="str">
        <f>TRIM(RPG_dataset[[#This Row],[First Name]])</f>
        <v>Aria</v>
      </c>
      <c r="AC11" s="1" t="str">
        <f>PROPER(TRIM(RPG_dataset[[#This Row],[Race]]))</f>
        <v>Orc</v>
      </c>
      <c r="AD11" s="1" t="str">
        <f>PROPER(TRIM(RPG_dataset[[#This Row],[Class]]))</f>
        <v>Monk</v>
      </c>
      <c r="AE11" s="1">
        <f>ABS(RPG_dataset[[#This Row],[Level]])</f>
        <v>98</v>
      </c>
      <c r="AF11" s="1">
        <f>ABS(RPG_dataset[[#This Row],[ATK]])</f>
        <v>76</v>
      </c>
      <c r="AG11" s="1">
        <f>ABS(RPG_dataset[[#This Row],[DEF]])</f>
        <v>107</v>
      </c>
      <c r="AH11" s="1">
        <f>ABS(RPG_dataset[[#This Row],[SPD]])</f>
        <v>91</v>
      </c>
      <c r="AI11" s="1">
        <f>ABS(RPG_dataset[[#This Row],[HP]])</f>
        <v>1624</v>
      </c>
      <c r="AJ11" s="1">
        <f>ABS(RPG_dataset[[#This Row],[MP]])</f>
        <v>630</v>
      </c>
      <c r="AK11" s="1">
        <f>ABS(RPG_dataset[[#This Row],[Total Stat]])</f>
        <v>274</v>
      </c>
      <c r="AL11" s="1">
        <f>ABS(RPG_dataset[[#This Row],[Kills]])</f>
        <v>1747</v>
      </c>
      <c r="AM11" s="12">
        <f>ABS(RPG_dataset[[#This Row],[Win Rate (%)]])</f>
        <v>72</v>
      </c>
      <c r="AN11" s="4">
        <f>ABS(RPG_dataset[[#This Row],[Gold Earned]])</f>
        <v>652078</v>
      </c>
      <c r="AO11" s="5" t="str">
        <f t="shared" si="0"/>
        <v>OK</v>
      </c>
      <c r="AP11" s="5">
        <f>RANK(clean[[#This Row],[Clean Gold]],clean[Clean Gold], 0)</f>
        <v>174</v>
      </c>
      <c r="AQ11" s="1">
        <v>176</v>
      </c>
      <c r="AR11" s="1" t="str" cm="1">
        <f t="array" ref="AR11">_xlfn.IFS(clean[[#This Row],[Clean Level]]&gt;=76, "Legend", clean[[#This Row],[Clean Level]]&gt;=51, "Elite", clean[[#This Row],[Clean Level]]&gt;=26, "Veteran", TRUE, "Rookie")</f>
        <v>Legend</v>
      </c>
      <c r="AS11" s="1" t="str">
        <f>IF(RPG_dataset[[#This Row],[Status]]="Active", "TRUE", "FALSE")</f>
        <v>FALSE</v>
      </c>
      <c r="AT11" s="1" t="str" cm="1">
        <f t="array" ref="AT11">_xlfn.IFS(clean[[#This Row],[Clean Win Rate]]&gt;70, "Excellent", clean[[#This Row],[Clean Win Rate]]&gt;=40, "Average", TRUE, "Poor")</f>
        <v>Excellent</v>
      </c>
      <c r="AU11" s="1" t="str">
        <f>IF(AND(clean[[#This Row],[Clean Level]]&gt;80, clean[[#This Row],[Clean Total Stat]]&gt;350, clean[[#This Row],[Clean Gold]]&gt;500000), "Overpowered", "Normal")</f>
        <v>Normal</v>
      </c>
      <c r="AV11" s="1" t="str" cm="1">
        <f t="array" ref="AV1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1" s="1" t="str" cm="1">
        <f t="array" ref="AW1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1" s="1"/>
      <c r="AY11" s="3" t="s">
        <v>1693</v>
      </c>
      <c r="AZ11" s="8">
        <f>AVERAGE(RPG_dataset[Gold Earned])</f>
        <v>487610.66804123711</v>
      </c>
      <c r="BA11" s="8">
        <f>MAX(RPG_dataset[Gold Earned])</f>
        <v>999412</v>
      </c>
      <c r="BB11" s="8" cm="1">
        <f t="array" ref="BB11">MIN(ABS(RPG_dataset[Gold Earned]))</f>
        <v>0</v>
      </c>
    </row>
    <row r="12" spans="1:60" x14ac:dyDescent="0.3">
      <c r="A12" s="2" t="s">
        <v>108</v>
      </c>
      <c r="B12" s="2" t="s">
        <v>109</v>
      </c>
      <c r="C12" s="2" t="s">
        <v>110</v>
      </c>
      <c r="D12" s="2" t="s">
        <v>40</v>
      </c>
      <c r="E12" s="2" t="s">
        <v>51</v>
      </c>
      <c r="F12" s="2" t="s">
        <v>30</v>
      </c>
      <c r="G12" s="2">
        <v>7</v>
      </c>
      <c r="H12" s="2" t="s">
        <v>80</v>
      </c>
      <c r="I12" s="2" t="s">
        <v>32</v>
      </c>
      <c r="J12" s="2" t="s">
        <v>111</v>
      </c>
      <c r="K12" s="2" t="s">
        <v>44</v>
      </c>
      <c r="L12" s="6" t="s">
        <v>112</v>
      </c>
      <c r="M12" s="2"/>
      <c r="N12" s="2">
        <v>86</v>
      </c>
      <c r="O12" s="2"/>
      <c r="P12" s="2">
        <v>2823</v>
      </c>
      <c r="Q12" s="2">
        <v>2095</v>
      </c>
      <c r="R12" s="2">
        <v>280</v>
      </c>
      <c r="S12" s="2">
        <v>4899</v>
      </c>
      <c r="T12" s="2">
        <v>257</v>
      </c>
      <c r="U12" s="2">
        <v>56</v>
      </c>
      <c r="V12" s="2">
        <v>95</v>
      </c>
      <c r="W12" s="2">
        <v>5690</v>
      </c>
      <c r="X12" s="9">
        <v>858203</v>
      </c>
      <c r="Y12" s="2" t="s">
        <v>46</v>
      </c>
      <c r="AA12" s="1" t="str">
        <f>TRIM(RPG_dataset[[#This Row],[Username]])</f>
        <v>tara_718</v>
      </c>
      <c r="AB12" s="1" t="str">
        <f>TRIM(RPG_dataset[[#This Row],[First Name]])</f>
        <v>Tara</v>
      </c>
      <c r="AC12" s="1" t="str">
        <f>PROPER(TRIM(RPG_dataset[[#This Row],[Race]]))</f>
        <v>Tiefling</v>
      </c>
      <c r="AD12" s="1" t="str">
        <f>PROPER(TRIM(RPG_dataset[[#This Row],[Class]]))</f>
        <v>Rogue</v>
      </c>
      <c r="AE12" s="1">
        <f>ABS(RPG_dataset[[#This Row],[Level]])</f>
        <v>7</v>
      </c>
      <c r="AF12" s="1">
        <f>ABS(RPG_dataset[[#This Row],[ATK]])</f>
        <v>0</v>
      </c>
      <c r="AG12" s="1">
        <f>ABS(RPG_dataset[[#This Row],[DEF]])</f>
        <v>86</v>
      </c>
      <c r="AH12" s="1">
        <f>ABS(RPG_dataset[[#This Row],[SPD]])</f>
        <v>0</v>
      </c>
      <c r="AI12" s="1">
        <f>ABS(RPG_dataset[[#This Row],[HP]])</f>
        <v>2823</v>
      </c>
      <c r="AJ12" s="1">
        <f>ABS(RPG_dataset[[#This Row],[MP]])</f>
        <v>2095</v>
      </c>
      <c r="AK12" s="1">
        <f>ABS(RPG_dataset[[#This Row],[Total Stat]])</f>
        <v>280</v>
      </c>
      <c r="AL12" s="1">
        <f>ABS(RPG_dataset[[#This Row],[Kills]])</f>
        <v>4899</v>
      </c>
      <c r="AM12" s="12">
        <f>ABS(RPG_dataset[[#This Row],[Win Rate (%)]])</f>
        <v>95</v>
      </c>
      <c r="AN12" s="4">
        <f>ABS(RPG_dataset[[#This Row],[Gold Earned]])</f>
        <v>858203</v>
      </c>
      <c r="AO12" s="5" t="str">
        <f t="shared" si="0"/>
        <v>OK</v>
      </c>
      <c r="AP12" s="5">
        <f>RANK(clean[[#This Row],[Clean Gold]],clean[Clean Gold], 0)</f>
        <v>70</v>
      </c>
      <c r="AQ12" s="1">
        <v>153</v>
      </c>
      <c r="AR12" s="1" t="str" cm="1">
        <f t="array" ref="AR12">_xlfn.IFS(clean[[#This Row],[Clean Level]]&gt;=76, "Legend", clean[[#This Row],[Clean Level]]&gt;=51, "Elite", clean[[#This Row],[Clean Level]]&gt;=26, "Veteran", TRUE, "Rookie")</f>
        <v>Rookie</v>
      </c>
      <c r="AS12" s="1" t="str">
        <f>IF(RPG_dataset[[#This Row],[Status]]="Active", "TRUE", "FALSE")</f>
        <v>TRUE</v>
      </c>
      <c r="AT12" s="1" t="str" cm="1">
        <f t="array" ref="AT12">_xlfn.IFS(clean[[#This Row],[Clean Win Rate]]&gt;70, "Excellent", clean[[#This Row],[Clean Win Rate]]&gt;=40, "Average", TRUE, "Poor")</f>
        <v>Excellent</v>
      </c>
      <c r="AU12" s="1" t="str">
        <f>IF(AND(clean[[#This Row],[Clean Level]]&gt;80, clean[[#This Row],[Clean Total Stat]]&gt;350, clean[[#This Row],[Clean Gold]]&gt;500000), "Overpowered", "Normal")</f>
        <v>Normal</v>
      </c>
      <c r="AV12" s="1" t="str" cm="1">
        <f t="array" ref="AV1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2" s="1" t="str" cm="1">
        <f t="array" ref="AW1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2" s="1"/>
    </row>
    <row r="13" spans="1:60" x14ac:dyDescent="0.3">
      <c r="A13" s="2" t="s">
        <v>113</v>
      </c>
      <c r="B13" s="2" t="s">
        <v>114</v>
      </c>
      <c r="C13" s="2" t="s">
        <v>69</v>
      </c>
      <c r="D13" s="2" t="s">
        <v>75</v>
      </c>
      <c r="E13" s="2" t="s">
        <v>29</v>
      </c>
      <c r="F13" s="2" t="s">
        <v>30</v>
      </c>
      <c r="G13" s="2">
        <v>70</v>
      </c>
      <c r="H13" s="2" t="s">
        <v>62</v>
      </c>
      <c r="I13" s="2" t="s">
        <v>63</v>
      </c>
      <c r="J13" s="2" t="s">
        <v>81</v>
      </c>
      <c r="K13" s="2" t="s">
        <v>75</v>
      </c>
      <c r="L13" s="6" t="s">
        <v>115</v>
      </c>
      <c r="M13" s="2">
        <v>95</v>
      </c>
      <c r="N13" s="2">
        <v>42</v>
      </c>
      <c r="O13" s="2">
        <v>147</v>
      </c>
      <c r="P13" s="2">
        <v>3213</v>
      </c>
      <c r="Q13" s="2">
        <v>2265</v>
      </c>
      <c r="R13" s="2">
        <v>284</v>
      </c>
      <c r="S13" s="2">
        <v>504</v>
      </c>
      <c r="T13" s="2">
        <v>336</v>
      </c>
      <c r="U13" s="2">
        <v>252</v>
      </c>
      <c r="V13" s="2">
        <v>60</v>
      </c>
      <c r="W13" s="2">
        <v>5495</v>
      </c>
      <c r="X13" s="9">
        <v>73314</v>
      </c>
      <c r="Y13" s="2" t="s">
        <v>46</v>
      </c>
      <c r="AA13" s="1" t="str">
        <f>TRIM(RPG_dataset[[#This Row],[Username]])</f>
        <v>seth_845</v>
      </c>
      <c r="AB13" s="1" t="str">
        <f>TRIM(RPG_dataset[[#This Row],[First Name]])</f>
        <v>Seth</v>
      </c>
      <c r="AC13" s="1" t="str">
        <f>PROPER(TRIM(RPG_dataset[[#This Row],[Race]]))</f>
        <v>Dwarf</v>
      </c>
      <c r="AD13" s="1" t="str">
        <f>PROPER(TRIM(RPG_dataset[[#This Row],[Class]]))</f>
        <v>Rogue</v>
      </c>
      <c r="AE13" s="1">
        <f>ABS(RPG_dataset[[#This Row],[Level]])</f>
        <v>70</v>
      </c>
      <c r="AF13" s="1">
        <f>ABS(RPG_dataset[[#This Row],[ATK]])</f>
        <v>95</v>
      </c>
      <c r="AG13" s="1">
        <f>ABS(RPG_dataset[[#This Row],[DEF]])</f>
        <v>42</v>
      </c>
      <c r="AH13" s="1">
        <f>ABS(RPG_dataset[[#This Row],[SPD]])</f>
        <v>147</v>
      </c>
      <c r="AI13" s="1">
        <f>ABS(RPG_dataset[[#This Row],[HP]])</f>
        <v>3213</v>
      </c>
      <c r="AJ13" s="1">
        <f>ABS(RPG_dataset[[#This Row],[MP]])</f>
        <v>2265</v>
      </c>
      <c r="AK13" s="1">
        <f>ABS(RPG_dataset[[#This Row],[Total Stat]])</f>
        <v>284</v>
      </c>
      <c r="AL13" s="1">
        <f>ABS(RPG_dataset[[#This Row],[Kills]])</f>
        <v>504</v>
      </c>
      <c r="AM13" s="12">
        <f>ABS(RPG_dataset[[#This Row],[Win Rate (%)]])</f>
        <v>60</v>
      </c>
      <c r="AN13" s="4">
        <f>ABS(RPG_dataset[[#This Row],[Gold Earned]])</f>
        <v>73314</v>
      </c>
      <c r="AO13" s="5" t="str">
        <f t="shared" si="0"/>
        <v>OK</v>
      </c>
      <c r="AP13" s="5">
        <f>RANK(clean[[#This Row],[Clean Gold]],clean[Clean Gold], 0)</f>
        <v>448</v>
      </c>
      <c r="AQ13" s="1">
        <v>212</v>
      </c>
      <c r="AR13" s="1" t="str" cm="1">
        <f t="array" ref="AR13">_xlfn.IFS(clean[[#This Row],[Clean Level]]&gt;=76, "Legend", clean[[#This Row],[Clean Level]]&gt;=51, "Elite", clean[[#This Row],[Clean Level]]&gt;=26, "Veteran", TRUE, "Rookie")</f>
        <v>Elite</v>
      </c>
      <c r="AS13" s="1" t="str">
        <f>IF(RPG_dataset[[#This Row],[Status]]="Active", "TRUE", "FALSE")</f>
        <v>FALSE</v>
      </c>
      <c r="AT13" s="1" t="str" cm="1">
        <f t="array" ref="AT13">_xlfn.IFS(clean[[#This Row],[Clean Win Rate]]&gt;70, "Excellent", clean[[#This Row],[Clean Win Rate]]&gt;=40, "Average", TRUE, "Poor")</f>
        <v>Average</v>
      </c>
      <c r="AU13" s="1" t="str">
        <f>IF(AND(clean[[#This Row],[Clean Level]]&gt;80, clean[[#This Row],[Clean Total Stat]]&gt;350, clean[[#This Row],[Clean Gold]]&gt;500000), "Overpowered", "Normal")</f>
        <v>Normal</v>
      </c>
      <c r="AV13" s="1" t="str" cm="1">
        <f t="array" ref="AV1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3" s="1" t="str" cm="1">
        <f t="array" ref="AW1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3" s="1"/>
      <c r="AY13" s="3" t="s">
        <v>5</v>
      </c>
      <c r="AZ13" s="3" t="s">
        <v>72</v>
      </c>
    </row>
    <row r="14" spans="1:60" x14ac:dyDescent="0.3">
      <c r="A14" s="2" t="s">
        <v>116</v>
      </c>
      <c r="B14" s="2" t="s">
        <v>117</v>
      </c>
      <c r="C14" s="2" t="s">
        <v>118</v>
      </c>
      <c r="D14" s="2" t="s">
        <v>119</v>
      </c>
      <c r="E14" s="2" t="s">
        <v>29</v>
      </c>
      <c r="F14" s="2" t="s">
        <v>98</v>
      </c>
      <c r="G14" s="2">
        <v>53</v>
      </c>
      <c r="H14" s="2" t="s">
        <v>62</v>
      </c>
      <c r="I14" s="2" t="s">
        <v>54</v>
      </c>
      <c r="J14" s="2" t="s">
        <v>120</v>
      </c>
      <c r="K14" s="2" t="s">
        <v>44</v>
      </c>
      <c r="L14" s="6" t="s">
        <v>115</v>
      </c>
      <c r="M14" s="2">
        <v>48</v>
      </c>
      <c r="N14" s="2">
        <v>51</v>
      </c>
      <c r="O14" s="2">
        <v>139</v>
      </c>
      <c r="P14" s="2">
        <v>4833</v>
      </c>
      <c r="Q14" s="2">
        <v>1088</v>
      </c>
      <c r="R14" s="2">
        <v>238</v>
      </c>
      <c r="S14" s="2">
        <v>1262</v>
      </c>
      <c r="T14" s="2">
        <v>722</v>
      </c>
      <c r="U14" s="2">
        <v>265</v>
      </c>
      <c r="V14" s="2">
        <v>64</v>
      </c>
      <c r="W14" s="2">
        <v>9944</v>
      </c>
      <c r="X14" s="9">
        <v>156160</v>
      </c>
      <c r="Y14" s="2" t="s">
        <v>36</v>
      </c>
      <c r="AA14" s="1" t="str">
        <f>TRIM(RPG_dataset[[#This Row],[Username]])</f>
        <v>IVAN_976</v>
      </c>
      <c r="AB14" s="1" t="str">
        <f>TRIM(RPG_dataset[[#This Row],[First Name]])</f>
        <v>Ivan</v>
      </c>
      <c r="AC14" s="1" t="str">
        <f>PROPER(TRIM(RPG_dataset[[#This Row],[Race]]))</f>
        <v>Dwarf</v>
      </c>
      <c r="AD14" s="1" t="str">
        <f>PROPER(TRIM(RPG_dataset[[#This Row],[Class]]))</f>
        <v>Mage</v>
      </c>
      <c r="AE14" s="1">
        <f>ABS(RPG_dataset[[#This Row],[Level]])</f>
        <v>53</v>
      </c>
      <c r="AF14" s="1">
        <f>ABS(RPG_dataset[[#This Row],[ATK]])</f>
        <v>48</v>
      </c>
      <c r="AG14" s="1">
        <f>ABS(RPG_dataset[[#This Row],[DEF]])</f>
        <v>51</v>
      </c>
      <c r="AH14" s="1">
        <f>ABS(RPG_dataset[[#This Row],[SPD]])</f>
        <v>139</v>
      </c>
      <c r="AI14" s="1">
        <f>ABS(RPG_dataset[[#This Row],[HP]])</f>
        <v>4833</v>
      </c>
      <c r="AJ14" s="1">
        <f>ABS(RPG_dataset[[#This Row],[MP]])</f>
        <v>1088</v>
      </c>
      <c r="AK14" s="1">
        <f>ABS(RPG_dataset[[#This Row],[Total Stat]])</f>
        <v>238</v>
      </c>
      <c r="AL14" s="1">
        <f>ABS(RPG_dataset[[#This Row],[Kills]])</f>
        <v>1262</v>
      </c>
      <c r="AM14" s="12">
        <f>ABS(RPG_dataset[[#This Row],[Win Rate (%)]])</f>
        <v>64</v>
      </c>
      <c r="AN14" s="4">
        <f>ABS(RPG_dataset[[#This Row],[Gold Earned]])</f>
        <v>156160</v>
      </c>
      <c r="AO14" s="5" t="str">
        <f t="shared" si="0"/>
        <v>OK</v>
      </c>
      <c r="AP14" s="5">
        <f>RANK(clean[[#This Row],[Clean Gold]],clean[Clean Gold], 0)</f>
        <v>419</v>
      </c>
      <c r="AQ14" s="1">
        <v>205</v>
      </c>
      <c r="AR14" s="1" t="str" cm="1">
        <f t="array" ref="AR14">_xlfn.IFS(clean[[#This Row],[Clean Level]]&gt;=76, "Legend", clean[[#This Row],[Clean Level]]&gt;=51, "Elite", clean[[#This Row],[Clean Level]]&gt;=26, "Veteran", TRUE, "Rookie")</f>
        <v>Elite</v>
      </c>
      <c r="AS14" s="1" t="str">
        <f>IF(RPG_dataset[[#This Row],[Status]]="Active", "TRUE", "FALSE")</f>
        <v>TRUE</v>
      </c>
      <c r="AT14" s="1" t="str" cm="1">
        <f t="array" ref="AT14">_xlfn.IFS(clean[[#This Row],[Clean Win Rate]]&gt;70, "Excellent", clean[[#This Row],[Clean Win Rate]]&gt;=40, "Average", TRUE, "Poor")</f>
        <v>Average</v>
      </c>
      <c r="AU14" s="1" t="str">
        <f>IF(AND(clean[[#This Row],[Clean Level]]&gt;80, clean[[#This Row],[Clean Total Stat]]&gt;350, clean[[#This Row],[Clean Gold]]&gt;500000), "Overpowered", "Normal")</f>
        <v>Normal</v>
      </c>
      <c r="AV14" s="1" t="str" cm="1">
        <f t="array" ref="AV1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4" s="1" t="str" cm="1">
        <f t="array" ref="AW1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4" s="1"/>
      <c r="AY14" s="3" t="s">
        <v>10</v>
      </c>
      <c r="AZ14" s="3">
        <f>COUNTIF(RPG_dataset[Class],AZ13)</f>
        <v>61</v>
      </c>
      <c r="BC14">
        <f>MAX(clean[Clean Total Stat])</f>
        <v>410</v>
      </c>
    </row>
    <row r="15" spans="1:60" x14ac:dyDescent="0.3">
      <c r="A15" s="2" t="s">
        <v>121</v>
      </c>
      <c r="B15" s="2" t="s">
        <v>122</v>
      </c>
      <c r="C15" s="2" t="s">
        <v>123</v>
      </c>
      <c r="D15" s="2" t="s">
        <v>70</v>
      </c>
      <c r="E15" s="2" t="s">
        <v>41</v>
      </c>
      <c r="F15" s="2" t="s">
        <v>124</v>
      </c>
      <c r="G15" s="2">
        <v>15</v>
      </c>
      <c r="H15" s="2" t="s">
        <v>125</v>
      </c>
      <c r="I15" s="2" t="s">
        <v>126</v>
      </c>
      <c r="J15" s="2" t="s">
        <v>92</v>
      </c>
      <c r="K15" s="2" t="s">
        <v>106</v>
      </c>
      <c r="L15" s="6" t="s">
        <v>127</v>
      </c>
      <c r="M15" s="2">
        <v>127</v>
      </c>
      <c r="N15" s="2">
        <v>51</v>
      </c>
      <c r="O15" s="2">
        <v>134</v>
      </c>
      <c r="P15" s="2">
        <v>363</v>
      </c>
      <c r="Q15" s="2">
        <v>-1870</v>
      </c>
      <c r="R15" s="2">
        <v>312</v>
      </c>
      <c r="S15" s="2">
        <v>453</v>
      </c>
      <c r="T15" s="2">
        <v>188</v>
      </c>
      <c r="U15" s="2">
        <v>276</v>
      </c>
      <c r="V15" s="2">
        <v>71</v>
      </c>
      <c r="W15" s="2">
        <v>539</v>
      </c>
      <c r="X15" s="9">
        <v>63346</v>
      </c>
      <c r="Y15" s="2" t="s">
        <v>36</v>
      </c>
      <c r="AA15" s="1" t="str">
        <f>TRIM(RPG_dataset[[#This Row],[Username]])</f>
        <v>faye_108</v>
      </c>
      <c r="AB15" s="1" t="str">
        <f>TRIM(RPG_dataset[[#This Row],[First Name]])</f>
        <v>Faye</v>
      </c>
      <c r="AC15" s="1" t="str">
        <f>PROPER(TRIM(RPG_dataset[[#This Row],[Race]]))</f>
        <v>Gnome</v>
      </c>
      <c r="AD15" s="1" t="str">
        <f>PROPER(TRIM(RPG_dataset[[#This Row],[Class]]))</f>
        <v>Necromancer</v>
      </c>
      <c r="AE15" s="1">
        <f>ABS(RPG_dataset[[#This Row],[Level]])</f>
        <v>15</v>
      </c>
      <c r="AF15" s="1">
        <f>ABS(RPG_dataset[[#This Row],[ATK]])</f>
        <v>127</v>
      </c>
      <c r="AG15" s="1">
        <f>ABS(RPG_dataset[[#This Row],[DEF]])</f>
        <v>51</v>
      </c>
      <c r="AH15" s="1">
        <f>ABS(RPG_dataset[[#This Row],[SPD]])</f>
        <v>134</v>
      </c>
      <c r="AI15" s="1">
        <f>ABS(RPG_dataset[[#This Row],[HP]])</f>
        <v>363</v>
      </c>
      <c r="AJ15" s="1">
        <f>ABS(RPG_dataset[[#This Row],[MP]])</f>
        <v>1870</v>
      </c>
      <c r="AK15" s="1">
        <f>ABS(RPG_dataset[[#This Row],[Total Stat]])</f>
        <v>312</v>
      </c>
      <c r="AL15" s="1">
        <f>ABS(RPG_dataset[[#This Row],[Kills]])</f>
        <v>453</v>
      </c>
      <c r="AM15" s="12">
        <f>ABS(RPG_dataset[[#This Row],[Win Rate (%)]])</f>
        <v>71</v>
      </c>
      <c r="AN15" s="4">
        <f>ABS(RPG_dataset[[#This Row],[Gold Earned]])</f>
        <v>63346</v>
      </c>
      <c r="AO15" s="5" t="str">
        <f t="shared" si="0"/>
        <v>OK</v>
      </c>
      <c r="AP15" s="5">
        <f>RANK(clean[[#This Row],[Clean Gold]],clean[Clean Gold], 0)</f>
        <v>453</v>
      </c>
      <c r="AQ15" s="1">
        <v>178</v>
      </c>
      <c r="AR15" s="1" t="str" cm="1">
        <f t="array" ref="AR15">_xlfn.IFS(clean[[#This Row],[Clean Level]]&gt;=76, "Legend", clean[[#This Row],[Clean Level]]&gt;=51, "Elite", clean[[#This Row],[Clean Level]]&gt;=26, "Veteran", TRUE, "Rookie")</f>
        <v>Rookie</v>
      </c>
      <c r="AS15" s="1" t="str">
        <f>IF(RPG_dataset[[#This Row],[Status]]="Active", "TRUE", "FALSE")</f>
        <v>FALSE</v>
      </c>
      <c r="AT15" s="1" t="str" cm="1">
        <f t="array" ref="AT15">_xlfn.IFS(clean[[#This Row],[Clean Win Rate]]&gt;70, "Excellent", clean[[#This Row],[Clean Win Rate]]&gt;=40, "Average", TRUE, "Poor")</f>
        <v>Excellent</v>
      </c>
      <c r="AU15" s="1" t="str">
        <f>IF(AND(clean[[#This Row],[Clean Level]]&gt;80, clean[[#This Row],[Clean Total Stat]]&gt;350, clean[[#This Row],[Clean Gold]]&gt;500000), "Overpowered", "Normal")</f>
        <v>Normal</v>
      </c>
      <c r="AV15" s="1" t="str" cm="1">
        <f t="array" ref="AV1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5" s="1" t="str" cm="1">
        <f t="array" ref="AW1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5" s="1"/>
      <c r="BC15">
        <f>MIN(clean[Clean HP])</f>
        <v>0</v>
      </c>
    </row>
    <row r="16" spans="1:60" x14ac:dyDescent="0.3">
      <c r="A16" s="2" t="s">
        <v>128</v>
      </c>
      <c r="B16" s="2" t="s">
        <v>129</v>
      </c>
      <c r="C16" s="2" t="s">
        <v>130</v>
      </c>
      <c r="D16" s="2" t="s">
        <v>131</v>
      </c>
      <c r="E16" s="2" t="s">
        <v>105</v>
      </c>
      <c r="F16" s="2" t="s">
        <v>72</v>
      </c>
      <c r="G16" s="2">
        <v>47</v>
      </c>
      <c r="H16" s="2" t="s">
        <v>125</v>
      </c>
      <c r="I16" s="2" t="s">
        <v>126</v>
      </c>
      <c r="J16" s="2" t="s">
        <v>92</v>
      </c>
      <c r="K16" s="2" t="s">
        <v>44</v>
      </c>
      <c r="L16" s="6" t="s">
        <v>132</v>
      </c>
      <c r="M16" s="2">
        <v>105</v>
      </c>
      <c r="N16" s="2">
        <v>141</v>
      </c>
      <c r="O16" s="2">
        <v>81</v>
      </c>
      <c r="P16" s="2">
        <v>4225</v>
      </c>
      <c r="Q16" s="2">
        <v>1976</v>
      </c>
      <c r="R16" s="2">
        <v>327</v>
      </c>
      <c r="S16" s="2">
        <v>1389</v>
      </c>
      <c r="T16" s="2">
        <v>46</v>
      </c>
      <c r="U16" s="2">
        <v>89</v>
      </c>
      <c r="V16" s="2">
        <v>-97</v>
      </c>
      <c r="W16" s="2">
        <v>7877</v>
      </c>
      <c r="X16" s="9">
        <v>631609</v>
      </c>
      <c r="Y16" s="2" t="s">
        <v>46</v>
      </c>
      <c r="AA16" s="1" t="str">
        <f>TRIM(RPG_dataset[[#This Row],[Username]])</f>
        <v>ewan_425</v>
      </c>
      <c r="AB16" s="1" t="str">
        <f>TRIM(RPG_dataset[[#This Row],[First Name]])</f>
        <v>Ewan</v>
      </c>
      <c r="AC16" s="1" t="str">
        <f>PROPER(TRIM(RPG_dataset[[#This Row],[Race]]))</f>
        <v>Orc</v>
      </c>
      <c r="AD16" s="1" t="str">
        <f>PROPER(TRIM(RPG_dataset[[#This Row],[Class]]))</f>
        <v>Warrior</v>
      </c>
      <c r="AE16" s="1">
        <f>ABS(RPG_dataset[[#This Row],[Level]])</f>
        <v>47</v>
      </c>
      <c r="AF16" s="1">
        <f>ABS(RPG_dataset[[#This Row],[ATK]])</f>
        <v>105</v>
      </c>
      <c r="AG16" s="1">
        <f>ABS(RPG_dataset[[#This Row],[DEF]])</f>
        <v>141</v>
      </c>
      <c r="AH16" s="1">
        <f>ABS(RPG_dataset[[#This Row],[SPD]])</f>
        <v>81</v>
      </c>
      <c r="AI16" s="1">
        <f>ABS(RPG_dataset[[#This Row],[HP]])</f>
        <v>4225</v>
      </c>
      <c r="AJ16" s="1">
        <f>ABS(RPG_dataset[[#This Row],[MP]])</f>
        <v>1976</v>
      </c>
      <c r="AK16" s="1">
        <f>ABS(RPG_dataset[[#This Row],[Total Stat]])</f>
        <v>327</v>
      </c>
      <c r="AL16" s="1">
        <f>ABS(RPG_dataset[[#This Row],[Kills]])</f>
        <v>1389</v>
      </c>
      <c r="AM16" s="12">
        <f>ABS(RPG_dataset[[#This Row],[Win Rate (%)]])</f>
        <v>97</v>
      </c>
      <c r="AN16" s="4">
        <f>ABS(RPG_dataset[[#This Row],[Gold Earned]])</f>
        <v>631609</v>
      </c>
      <c r="AO16" s="5" t="str">
        <f t="shared" si="0"/>
        <v>OK</v>
      </c>
      <c r="AP16" s="5">
        <f>RANK(clean[[#This Row],[Clean Gold]],clean[Clean Gold], 0)</f>
        <v>183</v>
      </c>
      <c r="AQ16" s="1">
        <v>135</v>
      </c>
      <c r="AR16" s="1" t="str" cm="1">
        <f t="array" ref="AR16">_xlfn.IFS(clean[[#This Row],[Clean Level]]&gt;=76, "Legend", clean[[#This Row],[Clean Level]]&gt;=51, "Elite", clean[[#This Row],[Clean Level]]&gt;=26, "Veteran", TRUE, "Rookie")</f>
        <v>Veteran</v>
      </c>
      <c r="AS16" s="1" t="str">
        <f>IF(RPG_dataset[[#This Row],[Status]]="Active", "TRUE", "FALSE")</f>
        <v>TRUE</v>
      </c>
      <c r="AT16" s="1" t="str" cm="1">
        <f t="array" ref="AT16">_xlfn.IFS(clean[[#This Row],[Clean Win Rate]]&gt;70, "Excellent", clean[[#This Row],[Clean Win Rate]]&gt;=40, "Average", TRUE, "Poor")</f>
        <v>Excellent</v>
      </c>
      <c r="AU16" s="1" t="str">
        <f>IF(AND(clean[[#This Row],[Clean Level]]&gt;80, clean[[#This Row],[Clean Total Stat]]&gt;350, clean[[#This Row],[Clean Gold]]&gt;500000), "Overpowered", "Normal")</f>
        <v>Normal</v>
      </c>
      <c r="AV16" s="1" t="str" cm="1">
        <f t="array" ref="AV1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6" s="1" t="str" cm="1">
        <f t="array" ref="AW1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Squad Inti</v>
      </c>
      <c r="AX16" s="1"/>
      <c r="AY16" s="3" t="s">
        <v>1696</v>
      </c>
      <c r="AZ16" s="3" t="s">
        <v>36</v>
      </c>
    </row>
    <row r="17" spans="1:52" x14ac:dyDescent="0.3">
      <c r="A17" s="2" t="s">
        <v>133</v>
      </c>
      <c r="B17" s="2" t="s">
        <v>134</v>
      </c>
      <c r="C17" s="2" t="s">
        <v>85</v>
      </c>
      <c r="D17" s="2" t="s">
        <v>119</v>
      </c>
      <c r="E17" s="2" t="s">
        <v>29</v>
      </c>
      <c r="F17" s="2" t="s">
        <v>52</v>
      </c>
      <c r="G17" s="2">
        <v>51</v>
      </c>
      <c r="H17" s="2" t="s">
        <v>53</v>
      </c>
      <c r="I17" s="2" t="s">
        <v>63</v>
      </c>
      <c r="J17" s="2" t="s">
        <v>92</v>
      </c>
      <c r="K17" s="2" t="s">
        <v>99</v>
      </c>
      <c r="L17" s="6" t="s">
        <v>135</v>
      </c>
      <c r="M17" s="2">
        <v>16</v>
      </c>
      <c r="N17" s="2">
        <v>27</v>
      </c>
      <c r="O17" s="2">
        <v>130</v>
      </c>
      <c r="P17" s="2">
        <v>3640</v>
      </c>
      <c r="Q17" s="2">
        <v>2506</v>
      </c>
      <c r="R17" s="2">
        <v>173</v>
      </c>
      <c r="S17" s="2">
        <v>4567</v>
      </c>
      <c r="T17" s="2">
        <v>683</v>
      </c>
      <c r="U17" s="2">
        <v>200</v>
      </c>
      <c r="V17" s="2">
        <v>87</v>
      </c>
      <c r="W17" s="2">
        <v>-3708</v>
      </c>
      <c r="X17" s="9">
        <v>384813</v>
      </c>
      <c r="Y17" s="2" t="s">
        <v>46</v>
      </c>
      <c r="AA17" s="1" t="str">
        <f>TRIM(RPG_dataset[[#This Row],[Username]])</f>
        <v>delia_882</v>
      </c>
      <c r="AB17" s="1" t="str">
        <f>TRIM(RPG_dataset[[#This Row],[First Name]])</f>
        <v>Delia</v>
      </c>
      <c r="AC17" s="1" t="str">
        <f>PROPER(TRIM(RPG_dataset[[#This Row],[Race]]))</f>
        <v>Dwarf</v>
      </c>
      <c r="AD17" s="1" t="str">
        <f>PROPER(TRIM(RPG_dataset[[#This Row],[Class]]))</f>
        <v>Bard</v>
      </c>
      <c r="AE17" s="1">
        <f>ABS(RPG_dataset[[#This Row],[Level]])</f>
        <v>51</v>
      </c>
      <c r="AF17" s="1">
        <f>ABS(RPG_dataset[[#This Row],[ATK]])</f>
        <v>16</v>
      </c>
      <c r="AG17" s="1">
        <f>ABS(RPG_dataset[[#This Row],[DEF]])</f>
        <v>27</v>
      </c>
      <c r="AH17" s="1">
        <f>ABS(RPG_dataset[[#This Row],[SPD]])</f>
        <v>130</v>
      </c>
      <c r="AI17" s="1">
        <f>ABS(RPG_dataset[[#This Row],[HP]])</f>
        <v>3640</v>
      </c>
      <c r="AJ17" s="1">
        <f>ABS(RPG_dataset[[#This Row],[MP]])</f>
        <v>2506</v>
      </c>
      <c r="AK17" s="1">
        <f>ABS(RPG_dataset[[#This Row],[Total Stat]])</f>
        <v>173</v>
      </c>
      <c r="AL17" s="1">
        <f>ABS(RPG_dataset[[#This Row],[Kills]])</f>
        <v>4567</v>
      </c>
      <c r="AM17" s="12">
        <f>ABS(RPG_dataset[[#This Row],[Win Rate (%)]])</f>
        <v>87</v>
      </c>
      <c r="AN17" s="4">
        <f>ABS(RPG_dataset[[#This Row],[Gold Earned]])</f>
        <v>384813</v>
      </c>
      <c r="AO17" s="5" t="str">
        <f t="shared" si="0"/>
        <v>OK</v>
      </c>
      <c r="AP17" s="5">
        <f>RANK(clean[[#This Row],[Clean Gold]],clean[Clean Gold], 0)</f>
        <v>313</v>
      </c>
      <c r="AQ17" s="1">
        <v>216</v>
      </c>
      <c r="AR17" s="1" t="str" cm="1">
        <f t="array" ref="AR17">_xlfn.IFS(clean[[#This Row],[Clean Level]]&gt;=76, "Legend", clean[[#This Row],[Clean Level]]&gt;=51, "Elite", clean[[#This Row],[Clean Level]]&gt;=26, "Veteran", TRUE, "Rookie")</f>
        <v>Elite</v>
      </c>
      <c r="AS17" s="1" t="str">
        <f>IF(RPG_dataset[[#This Row],[Status]]="Active", "TRUE", "FALSE")</f>
        <v>FALSE</v>
      </c>
      <c r="AT17" s="1" t="str" cm="1">
        <f t="array" ref="AT17">_xlfn.IFS(clean[[#This Row],[Clean Win Rate]]&gt;70, "Excellent", clean[[#This Row],[Clean Win Rate]]&gt;=40, "Average", TRUE, "Poor")</f>
        <v>Excellent</v>
      </c>
      <c r="AU17" s="1" t="str">
        <f>IF(AND(clean[[#This Row],[Clean Level]]&gt;80, clean[[#This Row],[Clean Total Stat]]&gt;350, clean[[#This Row],[Clean Gold]]&gt;500000), "Overpowered", "Normal")</f>
        <v>Normal</v>
      </c>
      <c r="AV17" s="1" t="str" cm="1">
        <f t="array" ref="AV1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7" s="1" t="str" cm="1">
        <f t="array" ref="AW1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7" s="1"/>
      <c r="AY17" s="3" t="s">
        <v>1697</v>
      </c>
      <c r="AZ17" s="8">
        <f>SUMIF(RPG_dataset[Is Premium],AZ16, RPG_dataset[Gold Earned])</f>
        <v>94144859</v>
      </c>
    </row>
    <row r="18" spans="1:52" x14ac:dyDescent="0.3">
      <c r="A18" s="2" t="s">
        <v>136</v>
      </c>
      <c r="B18" s="2" t="s">
        <v>137</v>
      </c>
      <c r="C18" s="2" t="s">
        <v>138</v>
      </c>
      <c r="D18" s="2" t="s">
        <v>139</v>
      </c>
      <c r="E18" s="2" t="s">
        <v>41</v>
      </c>
      <c r="F18" s="2" t="s">
        <v>30</v>
      </c>
      <c r="G18" s="2">
        <v>55</v>
      </c>
      <c r="H18" s="2" t="s">
        <v>53</v>
      </c>
      <c r="I18" s="2" t="s">
        <v>140</v>
      </c>
      <c r="J18" s="2" t="s">
        <v>120</v>
      </c>
      <c r="K18" s="2" t="s">
        <v>99</v>
      </c>
      <c r="L18" s="6" t="s">
        <v>141</v>
      </c>
      <c r="M18" s="2">
        <v>10</v>
      </c>
      <c r="N18" s="2">
        <v>63</v>
      </c>
      <c r="O18" s="2">
        <v>138</v>
      </c>
      <c r="P18" s="2">
        <v>2931</v>
      </c>
      <c r="Q18" s="2">
        <v>2865</v>
      </c>
      <c r="R18" s="2"/>
      <c r="S18" s="2">
        <v>4870</v>
      </c>
      <c r="T18" s="2">
        <v>750</v>
      </c>
      <c r="U18" s="2">
        <v>194</v>
      </c>
      <c r="V18" s="2">
        <v>87</v>
      </c>
      <c r="W18" s="2"/>
      <c r="X18" s="9">
        <v>374988</v>
      </c>
      <c r="Y18" s="2" t="s">
        <v>36</v>
      </c>
      <c r="AA18" s="1" t="str">
        <f>TRIM(RPG_dataset[[#This Row],[Username]])</f>
        <v>grim_850</v>
      </c>
      <c r="AB18" s="1" t="str">
        <f>TRIM(RPG_dataset[[#This Row],[First Name]])</f>
        <v>Grim</v>
      </c>
      <c r="AC18" s="1" t="str">
        <f>PROPER(TRIM(RPG_dataset[[#This Row],[Race]]))</f>
        <v>Gnome</v>
      </c>
      <c r="AD18" s="1" t="str">
        <f>PROPER(TRIM(RPG_dataset[[#This Row],[Class]]))</f>
        <v>Rogue</v>
      </c>
      <c r="AE18" s="1">
        <f>ABS(RPG_dataset[[#This Row],[Level]])</f>
        <v>55</v>
      </c>
      <c r="AF18" s="1">
        <f>ABS(RPG_dataset[[#This Row],[ATK]])</f>
        <v>10</v>
      </c>
      <c r="AG18" s="1">
        <f>ABS(RPG_dataset[[#This Row],[DEF]])</f>
        <v>63</v>
      </c>
      <c r="AH18" s="1">
        <f>ABS(RPG_dataset[[#This Row],[SPD]])</f>
        <v>138</v>
      </c>
      <c r="AI18" s="1">
        <f>ABS(RPG_dataset[[#This Row],[HP]])</f>
        <v>2931</v>
      </c>
      <c r="AJ18" s="1">
        <f>ABS(RPG_dataset[[#This Row],[MP]])</f>
        <v>2865</v>
      </c>
      <c r="AK18" s="1">
        <f>ABS(RPG_dataset[[#This Row],[Total Stat]])</f>
        <v>0</v>
      </c>
      <c r="AL18" s="1">
        <f>ABS(RPG_dataset[[#This Row],[Kills]])</f>
        <v>4870</v>
      </c>
      <c r="AM18" s="12">
        <f>ABS(RPG_dataset[[#This Row],[Win Rate (%)]])</f>
        <v>87</v>
      </c>
      <c r="AN18" s="4">
        <f>ABS(RPG_dataset[[#This Row],[Gold Earned]])</f>
        <v>374988</v>
      </c>
      <c r="AO18" s="5" t="str">
        <f t="shared" si="0"/>
        <v>OK</v>
      </c>
      <c r="AP18" s="5">
        <f>RANK(clean[[#This Row],[Clean Gold]],clean[Clean Gold], 0)</f>
        <v>316</v>
      </c>
      <c r="AQ18" s="1">
        <v>245</v>
      </c>
      <c r="AR18" s="1" t="str" cm="1">
        <f t="array" ref="AR18">_xlfn.IFS(clean[[#This Row],[Clean Level]]&gt;=76, "Legend", clean[[#This Row],[Clean Level]]&gt;=51, "Elite", clean[[#This Row],[Clean Level]]&gt;=26, "Veteran", TRUE, "Rookie")</f>
        <v>Elite</v>
      </c>
      <c r="AS18" s="1" t="str">
        <f>IF(RPG_dataset[[#This Row],[Status]]="Active", "TRUE", "FALSE")</f>
        <v>FALSE</v>
      </c>
      <c r="AT18" s="1" t="str" cm="1">
        <f t="array" ref="AT18">_xlfn.IFS(clean[[#This Row],[Clean Win Rate]]&gt;70, "Excellent", clean[[#This Row],[Clean Win Rate]]&gt;=40, "Average", TRUE, "Poor")</f>
        <v>Excellent</v>
      </c>
      <c r="AU18" s="1" t="str">
        <f>IF(AND(clean[[#This Row],[Clean Level]]&gt;80, clean[[#This Row],[Clean Total Stat]]&gt;350, clean[[#This Row],[Clean Gold]]&gt;500000), "Overpowered", "Normal")</f>
        <v>Normal</v>
      </c>
      <c r="AV18" s="1" t="str" cm="1">
        <f t="array" ref="AV18">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18" s="1" t="str" cm="1">
        <f t="array" ref="AW1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18" s="1"/>
    </row>
    <row r="19" spans="1:52" x14ac:dyDescent="0.3">
      <c r="A19" s="2" t="s">
        <v>142</v>
      </c>
      <c r="B19" s="2" t="s">
        <v>143</v>
      </c>
      <c r="C19" s="2" t="s">
        <v>27</v>
      </c>
      <c r="D19" s="2" t="s">
        <v>144</v>
      </c>
      <c r="E19" s="2" t="s">
        <v>71</v>
      </c>
      <c r="F19" s="2" t="s">
        <v>145</v>
      </c>
      <c r="G19" s="2">
        <v>91</v>
      </c>
      <c r="H19" s="2" t="s">
        <v>62</v>
      </c>
      <c r="I19" s="2" t="s">
        <v>126</v>
      </c>
      <c r="J19" s="2" t="s">
        <v>64</v>
      </c>
      <c r="K19" s="2" t="s">
        <v>146</v>
      </c>
      <c r="L19" s="6" t="s">
        <v>147</v>
      </c>
      <c r="M19" s="2">
        <v>112</v>
      </c>
      <c r="N19" s="2">
        <v>124</v>
      </c>
      <c r="O19" s="2">
        <v>145</v>
      </c>
      <c r="P19" s="2">
        <v>179</v>
      </c>
      <c r="Q19" s="2">
        <v>382</v>
      </c>
      <c r="R19" s="2">
        <v>381</v>
      </c>
      <c r="S19" s="2">
        <v>2451</v>
      </c>
      <c r="T19" s="2">
        <v>533</v>
      </c>
      <c r="U19" s="2">
        <v>148</v>
      </c>
      <c r="V19" s="2">
        <v>82</v>
      </c>
      <c r="W19" s="2">
        <v>2807</v>
      </c>
      <c r="X19" s="9">
        <v>700363</v>
      </c>
      <c r="Y19" s="2" t="s">
        <v>36</v>
      </c>
      <c r="AA19" s="1" t="str">
        <f>TRIM(RPG_dataset[[#This Row],[Username]])</f>
        <v>aiden_847</v>
      </c>
      <c r="AB19" s="1" t="str">
        <f>TRIM(RPG_dataset[[#This Row],[First Name]])</f>
        <v>Aiden</v>
      </c>
      <c r="AC19" s="1" t="str">
        <f>PROPER(TRIM(RPG_dataset[[#This Row],[Race]]))</f>
        <v>Dragonborn</v>
      </c>
      <c r="AD19" s="1" t="str">
        <f>PROPER(TRIM(RPG_dataset[[#This Row],[Class]]))</f>
        <v>Ranger</v>
      </c>
      <c r="AE19" s="1">
        <f>ABS(RPG_dataset[[#This Row],[Level]])</f>
        <v>91</v>
      </c>
      <c r="AF19" s="1">
        <f>ABS(RPG_dataset[[#This Row],[ATK]])</f>
        <v>112</v>
      </c>
      <c r="AG19" s="1">
        <f>ABS(RPG_dataset[[#This Row],[DEF]])</f>
        <v>124</v>
      </c>
      <c r="AH19" s="1">
        <f>ABS(RPG_dataset[[#This Row],[SPD]])</f>
        <v>145</v>
      </c>
      <c r="AI19" s="1">
        <f>ABS(RPG_dataset[[#This Row],[HP]])</f>
        <v>179</v>
      </c>
      <c r="AJ19" s="1">
        <f>ABS(RPG_dataset[[#This Row],[MP]])</f>
        <v>382</v>
      </c>
      <c r="AK19" s="1">
        <f>ABS(RPG_dataset[[#This Row],[Total Stat]])</f>
        <v>381</v>
      </c>
      <c r="AL19" s="1">
        <f>ABS(RPG_dataset[[#This Row],[Kills]])</f>
        <v>2451</v>
      </c>
      <c r="AM19" s="12">
        <f>ABS(RPG_dataset[[#This Row],[Win Rate (%)]])</f>
        <v>82</v>
      </c>
      <c r="AN19" s="4">
        <f>ABS(RPG_dataset[[#This Row],[Gold Earned]])</f>
        <v>700363</v>
      </c>
      <c r="AO19" s="5" t="str">
        <f t="shared" si="0"/>
        <v>OK</v>
      </c>
      <c r="AP19" s="5">
        <f>RANK(clean[[#This Row],[Clean Gold]],clean[Clean Gold], 0)</f>
        <v>150</v>
      </c>
      <c r="AQ19" s="1">
        <v>127</v>
      </c>
      <c r="AR19" s="1" t="str" cm="1">
        <f t="array" ref="AR19">_xlfn.IFS(clean[[#This Row],[Clean Level]]&gt;=76, "Legend", clean[[#This Row],[Clean Level]]&gt;=51, "Elite", clean[[#This Row],[Clean Level]]&gt;=26, "Veteran", TRUE, "Rookie")</f>
        <v>Legend</v>
      </c>
      <c r="AS19" s="1" t="str">
        <f>IF(RPG_dataset[[#This Row],[Status]]="Active", "TRUE", "FALSE")</f>
        <v>TRUE</v>
      </c>
      <c r="AT19" s="1" t="str" cm="1">
        <f t="array" ref="AT19">_xlfn.IFS(clean[[#This Row],[Clean Win Rate]]&gt;70, "Excellent", clean[[#This Row],[Clean Win Rate]]&gt;=40, "Average", TRUE, "Poor")</f>
        <v>Excellent</v>
      </c>
      <c r="AU19" s="1" t="str">
        <f>IF(AND(clean[[#This Row],[Clean Level]]&gt;80, clean[[#This Row],[Clean Total Stat]]&gt;350, clean[[#This Row],[Clean Gold]]&gt;500000), "Overpowered", "Normal")</f>
        <v>Overpowered</v>
      </c>
      <c r="AV19" s="1" t="str" cm="1">
        <f t="array" ref="AV19">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19" s="1" t="str" cm="1">
        <f t="array" ref="AW1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9" s="1"/>
      <c r="AY19" s="3" t="s">
        <v>5</v>
      </c>
      <c r="AZ19" s="3" t="s">
        <v>98</v>
      </c>
    </row>
    <row r="20" spans="1:52" x14ac:dyDescent="0.3">
      <c r="A20" s="2" t="s">
        <v>148</v>
      </c>
      <c r="B20" s="2" t="s">
        <v>149</v>
      </c>
      <c r="C20" s="2" t="s">
        <v>118</v>
      </c>
      <c r="D20" s="2" t="s">
        <v>150</v>
      </c>
      <c r="E20" s="2" t="s">
        <v>105</v>
      </c>
      <c r="F20" s="2" t="s">
        <v>98</v>
      </c>
      <c r="G20" s="2">
        <v>3</v>
      </c>
      <c r="H20" s="2" t="s">
        <v>80</v>
      </c>
      <c r="I20" s="2" t="s">
        <v>32</v>
      </c>
      <c r="J20" s="2" t="s">
        <v>64</v>
      </c>
      <c r="K20" s="2" t="s">
        <v>34</v>
      </c>
      <c r="L20" s="6" t="s">
        <v>151</v>
      </c>
      <c r="M20" s="2">
        <v>31</v>
      </c>
      <c r="N20" s="2">
        <v>57</v>
      </c>
      <c r="O20" s="2">
        <v>96</v>
      </c>
      <c r="P20" s="2">
        <v>1322</v>
      </c>
      <c r="Q20" s="2">
        <v>1851</v>
      </c>
      <c r="R20" s="2">
        <v>184</v>
      </c>
      <c r="S20" s="2">
        <v>4749</v>
      </c>
      <c r="T20" s="2">
        <v>685</v>
      </c>
      <c r="U20" s="2">
        <v>264</v>
      </c>
      <c r="V20" s="2">
        <v>87</v>
      </c>
      <c r="W20" s="2">
        <v>5309</v>
      </c>
      <c r="X20" s="9">
        <v>469301</v>
      </c>
      <c r="Y20" s="2" t="s">
        <v>46</v>
      </c>
      <c r="AA20" s="1" t="str">
        <f>TRIM(RPG_dataset[[#This Row],[Username]])</f>
        <v>ivan_104</v>
      </c>
      <c r="AB20" s="1" t="str">
        <f>TRIM(RPG_dataset[[#This Row],[First Name]])</f>
        <v>Ivan</v>
      </c>
      <c r="AC20" s="1" t="str">
        <f>PROPER(TRIM(RPG_dataset[[#This Row],[Race]]))</f>
        <v>Orc</v>
      </c>
      <c r="AD20" s="1" t="str">
        <f>PROPER(TRIM(RPG_dataset[[#This Row],[Class]]))</f>
        <v>Mage</v>
      </c>
      <c r="AE20" s="1">
        <f>ABS(RPG_dataset[[#This Row],[Level]])</f>
        <v>3</v>
      </c>
      <c r="AF20" s="1">
        <f>ABS(RPG_dataset[[#This Row],[ATK]])</f>
        <v>31</v>
      </c>
      <c r="AG20" s="1">
        <f>ABS(RPG_dataset[[#This Row],[DEF]])</f>
        <v>57</v>
      </c>
      <c r="AH20" s="1">
        <f>ABS(RPG_dataset[[#This Row],[SPD]])</f>
        <v>96</v>
      </c>
      <c r="AI20" s="1">
        <f>ABS(RPG_dataset[[#This Row],[HP]])</f>
        <v>1322</v>
      </c>
      <c r="AJ20" s="1">
        <f>ABS(RPG_dataset[[#This Row],[MP]])</f>
        <v>1851</v>
      </c>
      <c r="AK20" s="1">
        <f>ABS(RPG_dataset[[#This Row],[Total Stat]])</f>
        <v>184</v>
      </c>
      <c r="AL20" s="1">
        <f>ABS(RPG_dataset[[#This Row],[Kills]])</f>
        <v>4749</v>
      </c>
      <c r="AM20" s="12">
        <f>ABS(RPG_dataset[[#This Row],[Win Rate (%)]])</f>
        <v>87</v>
      </c>
      <c r="AN20" s="4">
        <f>ABS(RPG_dataset[[#This Row],[Gold Earned]])</f>
        <v>469301</v>
      </c>
      <c r="AO20" s="5" t="str">
        <f t="shared" si="0"/>
        <v>OK</v>
      </c>
      <c r="AP20" s="5">
        <f>RANK(clean[[#This Row],[Clean Gold]],clean[Clean Gold], 0)</f>
        <v>270</v>
      </c>
      <c r="AQ20" s="1">
        <v>306</v>
      </c>
      <c r="AR20" s="1" t="str" cm="1">
        <f t="array" ref="AR20">_xlfn.IFS(clean[[#This Row],[Clean Level]]&gt;=76, "Legend", clean[[#This Row],[Clean Level]]&gt;=51, "Elite", clean[[#This Row],[Clean Level]]&gt;=26, "Veteran", TRUE, "Rookie")</f>
        <v>Rookie</v>
      </c>
      <c r="AS20" s="1" t="str">
        <f>IF(RPG_dataset[[#This Row],[Status]]="Active", "TRUE", "FALSE")</f>
        <v>FALSE</v>
      </c>
      <c r="AT20" s="1" t="str" cm="1">
        <f t="array" ref="AT20">_xlfn.IFS(clean[[#This Row],[Clean Win Rate]]&gt;70, "Excellent", clean[[#This Row],[Clean Win Rate]]&gt;=40, "Average", TRUE, "Poor")</f>
        <v>Excellent</v>
      </c>
      <c r="AU20" s="1" t="str">
        <f>IF(AND(clean[[#This Row],[Clean Level]]&gt;80, clean[[#This Row],[Clean Total Stat]]&gt;350, clean[[#This Row],[Clean Gold]]&gt;500000), "Overpowered", "Normal")</f>
        <v>Normal</v>
      </c>
      <c r="AV20" s="1" t="str" cm="1">
        <f t="array" ref="AV2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0" s="1" t="str" cm="1">
        <f t="array" ref="AW2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0" s="1"/>
      <c r="AY20" s="3" t="s">
        <v>1699</v>
      </c>
      <c r="AZ20" s="3" t="s">
        <v>1700</v>
      </c>
    </row>
    <row r="21" spans="1:52" x14ac:dyDescent="0.3">
      <c r="A21" s="2" t="s">
        <v>152</v>
      </c>
      <c r="B21" s="2" t="s">
        <v>153</v>
      </c>
      <c r="C21" s="2" t="s">
        <v>154</v>
      </c>
      <c r="D21" s="2" t="s">
        <v>155</v>
      </c>
      <c r="E21" s="2" t="s">
        <v>60</v>
      </c>
      <c r="F21" s="2" t="s">
        <v>156</v>
      </c>
      <c r="G21" s="2">
        <v>7</v>
      </c>
      <c r="H21" s="2" t="s">
        <v>157</v>
      </c>
      <c r="I21" s="2" t="s">
        <v>74</v>
      </c>
      <c r="J21" s="2" t="s">
        <v>33</v>
      </c>
      <c r="K21" s="2" t="s">
        <v>75</v>
      </c>
      <c r="L21" s="6" t="s">
        <v>158</v>
      </c>
      <c r="M21" s="2">
        <v>146</v>
      </c>
      <c r="N21" s="2">
        <v>140</v>
      </c>
      <c r="O21" s="2">
        <v>27</v>
      </c>
      <c r="P21" s="2">
        <v>211</v>
      </c>
      <c r="Q21" s="2">
        <v>2833</v>
      </c>
      <c r="R21" s="2">
        <v>313</v>
      </c>
      <c r="S21" s="2">
        <v>1649</v>
      </c>
      <c r="T21" s="2">
        <v>149</v>
      </c>
      <c r="U21" s="2">
        <v>226</v>
      </c>
      <c r="V21" s="2">
        <v>92</v>
      </c>
      <c r="W21" s="2"/>
      <c r="X21" s="9">
        <v>152375</v>
      </c>
      <c r="Y21" s="2" t="s">
        <v>36</v>
      </c>
      <c r="AA21" s="1" t="str">
        <f>TRIM(RPG_dataset[[#This Row],[Username]])</f>
        <v>nolan_384</v>
      </c>
      <c r="AB21" s="1" t="str">
        <f>TRIM(RPG_dataset[[#This Row],[First Name]])</f>
        <v>Nolan</v>
      </c>
      <c r="AC21" s="1" t="str">
        <f>PROPER(TRIM(RPG_dataset[[#This Row],[Race]]))</f>
        <v>Human</v>
      </c>
      <c r="AD21" s="1" t="str">
        <f>PROPER(TRIM(RPG_dataset[[#This Row],[Class]]))</f>
        <v>Necromancer</v>
      </c>
      <c r="AE21" s="1">
        <f>ABS(RPG_dataset[[#This Row],[Level]])</f>
        <v>7</v>
      </c>
      <c r="AF21" s="1">
        <f>ABS(RPG_dataset[[#This Row],[ATK]])</f>
        <v>146</v>
      </c>
      <c r="AG21" s="1">
        <f>ABS(RPG_dataset[[#This Row],[DEF]])</f>
        <v>140</v>
      </c>
      <c r="AH21" s="1">
        <f>ABS(RPG_dataset[[#This Row],[SPD]])</f>
        <v>27</v>
      </c>
      <c r="AI21" s="1">
        <f>ABS(RPG_dataset[[#This Row],[HP]])</f>
        <v>211</v>
      </c>
      <c r="AJ21" s="1">
        <f>ABS(RPG_dataset[[#This Row],[MP]])</f>
        <v>2833</v>
      </c>
      <c r="AK21" s="1">
        <f>ABS(RPG_dataset[[#This Row],[Total Stat]])</f>
        <v>313</v>
      </c>
      <c r="AL21" s="1">
        <f>ABS(RPG_dataset[[#This Row],[Kills]])</f>
        <v>1649</v>
      </c>
      <c r="AM21" s="12">
        <f>ABS(RPG_dataset[[#This Row],[Win Rate (%)]])</f>
        <v>92</v>
      </c>
      <c r="AN21" s="4">
        <f>ABS(RPG_dataset[[#This Row],[Gold Earned]])</f>
        <v>152375</v>
      </c>
      <c r="AO21" s="5" t="str">
        <f t="shared" si="0"/>
        <v>OK</v>
      </c>
      <c r="AP21" s="5">
        <f>RANK(clean[[#This Row],[Clean Gold]],clean[Clean Gold], 0)</f>
        <v>420</v>
      </c>
      <c r="AQ21" s="1">
        <v>191</v>
      </c>
      <c r="AR21" s="1" t="str" cm="1">
        <f t="array" ref="AR21">_xlfn.IFS(clean[[#This Row],[Clean Level]]&gt;=76, "Legend", clean[[#This Row],[Clean Level]]&gt;=51, "Elite", clean[[#This Row],[Clean Level]]&gt;=26, "Veteran", TRUE, "Rookie")</f>
        <v>Rookie</v>
      </c>
      <c r="AS21" s="1" t="str">
        <f>IF(RPG_dataset[[#This Row],[Status]]="Active", "TRUE", "FALSE")</f>
        <v>FALSE</v>
      </c>
      <c r="AT21" s="1" t="str" cm="1">
        <f t="array" ref="AT21">_xlfn.IFS(clean[[#This Row],[Clean Win Rate]]&gt;70, "Excellent", clean[[#This Row],[Clean Win Rate]]&gt;=40, "Average", TRUE, "Poor")</f>
        <v>Excellent</v>
      </c>
      <c r="AU21" s="1" t="str">
        <f>IF(AND(clean[[#This Row],[Clean Level]]&gt;80, clean[[#This Row],[Clean Total Stat]]&gt;350, clean[[#This Row],[Clean Gold]]&gt;500000), "Overpowered", "Normal")</f>
        <v>Normal</v>
      </c>
      <c r="AV21" s="1" t="str" cm="1">
        <f t="array" ref="AV2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1" s="1" t="str" cm="1">
        <f t="array" ref="AW2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1" s="1"/>
      <c r="AY21" s="3" t="s">
        <v>1698</v>
      </c>
      <c r="AZ21" s="3">
        <f>COUNTIFS(RPG_dataset[Class],AZ19,RPG_dataset[Level], "&gt;50")</f>
        <v>39</v>
      </c>
    </row>
    <row r="22" spans="1:52" x14ac:dyDescent="0.3">
      <c r="A22" s="2" t="s">
        <v>159</v>
      </c>
      <c r="B22" s="2" t="s">
        <v>160</v>
      </c>
      <c r="C22" s="2" t="s">
        <v>161</v>
      </c>
      <c r="D22" s="2" t="s">
        <v>162</v>
      </c>
      <c r="E22" s="2" t="s">
        <v>105</v>
      </c>
      <c r="F22" s="2" t="s">
        <v>98</v>
      </c>
      <c r="G22" s="2">
        <v>26</v>
      </c>
      <c r="H22" s="2" t="s">
        <v>125</v>
      </c>
      <c r="I22" s="2" t="s">
        <v>32</v>
      </c>
      <c r="J22" s="2" t="s">
        <v>163</v>
      </c>
      <c r="K22" s="2" t="s">
        <v>99</v>
      </c>
      <c r="L22" s="6" t="s">
        <v>164</v>
      </c>
      <c r="M22" s="2">
        <v>149</v>
      </c>
      <c r="N22" s="2">
        <v>50</v>
      </c>
      <c r="O22" s="2">
        <v>75</v>
      </c>
      <c r="P22" s="2">
        <v>1023</v>
      </c>
      <c r="Q22" s="2">
        <v>2897</v>
      </c>
      <c r="R22" s="2">
        <v>274</v>
      </c>
      <c r="S22" s="2">
        <v>2873</v>
      </c>
      <c r="T22" s="2">
        <v>558</v>
      </c>
      <c r="U22" s="2">
        <v>112</v>
      </c>
      <c r="V22" s="2"/>
      <c r="W22" s="2"/>
      <c r="X22" s="9">
        <v>106423</v>
      </c>
      <c r="Y22" s="2" t="s">
        <v>46</v>
      </c>
      <c r="AA22" s="1" t="str">
        <f>TRIM(RPG_dataset[[#This Row],[Username]])</f>
        <v>cedric_761</v>
      </c>
      <c r="AB22" s="1" t="str">
        <f>TRIM(RPG_dataset[[#This Row],[First Name]])</f>
        <v>Cedric</v>
      </c>
      <c r="AC22" s="1" t="str">
        <f>PROPER(TRIM(RPG_dataset[[#This Row],[Race]]))</f>
        <v>Orc</v>
      </c>
      <c r="AD22" s="1" t="str">
        <f>PROPER(TRIM(RPG_dataset[[#This Row],[Class]]))</f>
        <v>Mage</v>
      </c>
      <c r="AE22" s="1">
        <f>ABS(RPG_dataset[[#This Row],[Level]])</f>
        <v>26</v>
      </c>
      <c r="AF22" s="1">
        <f>ABS(RPG_dataset[[#This Row],[ATK]])</f>
        <v>149</v>
      </c>
      <c r="AG22" s="1">
        <f>ABS(RPG_dataset[[#This Row],[DEF]])</f>
        <v>50</v>
      </c>
      <c r="AH22" s="1">
        <f>ABS(RPG_dataset[[#This Row],[SPD]])</f>
        <v>75</v>
      </c>
      <c r="AI22" s="1">
        <f>ABS(RPG_dataset[[#This Row],[HP]])</f>
        <v>1023</v>
      </c>
      <c r="AJ22" s="1">
        <f>ABS(RPG_dataset[[#This Row],[MP]])</f>
        <v>2897</v>
      </c>
      <c r="AK22" s="1">
        <f>ABS(RPG_dataset[[#This Row],[Total Stat]])</f>
        <v>274</v>
      </c>
      <c r="AL22" s="1">
        <f>ABS(RPG_dataset[[#This Row],[Kills]])</f>
        <v>2873</v>
      </c>
      <c r="AM22" s="12">
        <f>ABS(RPG_dataset[[#This Row],[Win Rate (%)]])</f>
        <v>0</v>
      </c>
      <c r="AN22" s="4">
        <f>ABS(RPG_dataset[[#This Row],[Gold Earned]])</f>
        <v>106423</v>
      </c>
      <c r="AO22" s="5" t="str">
        <f t="shared" si="0"/>
        <v>Fix This</v>
      </c>
      <c r="AP22" s="5">
        <f>RANK(clean[[#This Row],[Clean Gold]],clean[Clean Gold], 0)</f>
        <v>436</v>
      </c>
      <c r="AQ22" s="1">
        <v>223</v>
      </c>
      <c r="AR22" s="1" t="str" cm="1">
        <f t="array" ref="AR22">_xlfn.IFS(clean[[#This Row],[Clean Level]]&gt;=76, "Legend", clean[[#This Row],[Clean Level]]&gt;=51, "Elite", clean[[#This Row],[Clean Level]]&gt;=26, "Veteran", TRUE, "Rookie")</f>
        <v>Veteran</v>
      </c>
      <c r="AS22" s="1" t="str">
        <f>IF(RPG_dataset[[#This Row],[Status]]="Active", "TRUE", "FALSE")</f>
        <v>FALSE</v>
      </c>
      <c r="AT22" s="1" t="str" cm="1">
        <f t="array" ref="AT22">_xlfn.IFS(clean[[#This Row],[Clean Win Rate]]&gt;70, "Excellent", clean[[#This Row],[Clean Win Rate]]&gt;=40, "Average", TRUE, "Poor")</f>
        <v>Poor</v>
      </c>
      <c r="AU22" s="1" t="str">
        <f>IF(AND(clean[[#This Row],[Clean Level]]&gt;80, clean[[#This Row],[Clean Total Stat]]&gt;350, clean[[#This Row],[Clean Gold]]&gt;500000), "Overpowered", "Normal")</f>
        <v>Normal</v>
      </c>
      <c r="AV22" s="1" t="str" cm="1">
        <f t="array" ref="AV22">_xlfn.IFS(
(AND(OR(clean[[#This Row],[Tier]]="Elite", clean[[#This Row],[Tier]]="Legend"), clean[[#This Row],[Performance]]="Excellent", RPG_dataset[[#This Row],[Is Premium]]="Yes")), "High", OR(OR(clean[[#This Row],[Tier]]="Elite", clean[[#This Row],[Tier]]="Legend"), clean[[#This Row],[Performance]]="Excellent", RPG_dataset[[#This Row],[Is Premium]]="Yes"), "Medium", TRUE, "Low")</f>
        <v>Low</v>
      </c>
      <c r="AW22" s="1" t="str" cm="1">
        <f t="array" ref="AW2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22" s="1"/>
    </row>
    <row r="23" spans="1:52" x14ac:dyDescent="0.3">
      <c r="A23" s="2" t="s">
        <v>165</v>
      </c>
      <c r="B23" s="2" t="s">
        <v>166</v>
      </c>
      <c r="C23" s="2" t="s">
        <v>167</v>
      </c>
      <c r="D23" s="2" t="s">
        <v>168</v>
      </c>
      <c r="E23" s="2" t="s">
        <v>169</v>
      </c>
      <c r="F23" s="2" t="s">
        <v>42</v>
      </c>
      <c r="G23" s="2">
        <v>29</v>
      </c>
      <c r="H23" s="2" t="s">
        <v>125</v>
      </c>
      <c r="I23" s="2" t="s">
        <v>74</v>
      </c>
      <c r="J23" s="2" t="s">
        <v>88</v>
      </c>
      <c r="K23" s="2" t="s">
        <v>44</v>
      </c>
      <c r="L23" s="6" t="s">
        <v>170</v>
      </c>
      <c r="M23" s="2">
        <v>140</v>
      </c>
      <c r="N23" s="2"/>
      <c r="O23" s="2">
        <v>78</v>
      </c>
      <c r="P23" s="2">
        <v>3141</v>
      </c>
      <c r="Q23" s="2">
        <v>758</v>
      </c>
      <c r="R23" s="2">
        <v>270</v>
      </c>
      <c r="S23" s="2">
        <v>423</v>
      </c>
      <c r="T23" s="2">
        <v>795</v>
      </c>
      <c r="U23" s="2">
        <v>218</v>
      </c>
      <c r="V23" s="2">
        <v>-35</v>
      </c>
      <c r="W23" s="2">
        <v>9823</v>
      </c>
      <c r="X23" s="9">
        <v>58595</v>
      </c>
      <c r="Y23" s="2" t="s">
        <v>36</v>
      </c>
      <c r="AA23" s="1" t="str">
        <f>TRIM(RPG_dataset[[#This Row],[Username]])</f>
        <v>tilda_971</v>
      </c>
      <c r="AB23" s="1" t="str">
        <f>TRIM(RPG_dataset[[#This Row],[First Name]])</f>
        <v>Tilda</v>
      </c>
      <c r="AC23" s="1" t="str">
        <f>PROPER(TRIM(RPG_dataset[[#This Row],[Race]]))</f>
        <v>Halfling</v>
      </c>
      <c r="AD23" s="1" t="str">
        <f>PROPER(TRIM(RPG_dataset[[#This Row],[Class]]))</f>
        <v>Monk</v>
      </c>
      <c r="AE23" s="1">
        <f>ABS(RPG_dataset[[#This Row],[Level]])</f>
        <v>29</v>
      </c>
      <c r="AF23" s="1">
        <f>ABS(RPG_dataset[[#This Row],[ATK]])</f>
        <v>140</v>
      </c>
      <c r="AG23" s="1">
        <f>ABS(RPG_dataset[[#This Row],[DEF]])</f>
        <v>0</v>
      </c>
      <c r="AH23" s="1">
        <f>ABS(RPG_dataset[[#This Row],[SPD]])</f>
        <v>78</v>
      </c>
      <c r="AI23" s="1">
        <f>ABS(RPG_dataset[[#This Row],[HP]])</f>
        <v>3141</v>
      </c>
      <c r="AJ23" s="1">
        <f>ABS(RPG_dataset[[#This Row],[MP]])</f>
        <v>758</v>
      </c>
      <c r="AK23" s="1">
        <f>ABS(RPG_dataset[[#This Row],[Total Stat]])</f>
        <v>270</v>
      </c>
      <c r="AL23" s="1">
        <f>ABS(RPG_dataset[[#This Row],[Kills]])</f>
        <v>423</v>
      </c>
      <c r="AM23" s="12">
        <f>ABS(RPG_dataset[[#This Row],[Win Rate (%)]])</f>
        <v>35</v>
      </c>
      <c r="AN23" s="4">
        <f>ABS(RPG_dataset[[#This Row],[Gold Earned]])</f>
        <v>58595</v>
      </c>
      <c r="AO23" s="5" t="str">
        <f t="shared" si="0"/>
        <v>OK</v>
      </c>
      <c r="AP23" s="5">
        <f>RANK(clean[[#This Row],[Clean Gold]],clean[Clean Gold], 0)</f>
        <v>456</v>
      </c>
      <c r="AQ23" s="1">
        <v>225</v>
      </c>
      <c r="AR23" s="1" t="str" cm="1">
        <f t="array" ref="AR23">_xlfn.IFS(clean[[#This Row],[Clean Level]]&gt;=76, "Legend", clean[[#This Row],[Clean Level]]&gt;=51, "Elite", clean[[#This Row],[Clean Level]]&gt;=26, "Veteran", TRUE, "Rookie")</f>
        <v>Veteran</v>
      </c>
      <c r="AS23" s="1" t="str">
        <f>IF(RPG_dataset[[#This Row],[Status]]="Active", "TRUE", "FALSE")</f>
        <v>TRUE</v>
      </c>
      <c r="AT23" s="1" t="str" cm="1">
        <f t="array" ref="AT23">_xlfn.IFS(clean[[#This Row],[Clean Win Rate]]&gt;70, "Excellent", clean[[#This Row],[Clean Win Rate]]&gt;=40, "Average", TRUE, "Poor")</f>
        <v>Poor</v>
      </c>
      <c r="AU23" s="1" t="str">
        <f>IF(AND(clean[[#This Row],[Clean Level]]&gt;80, clean[[#This Row],[Clean Total Stat]]&gt;350, clean[[#This Row],[Clean Gold]]&gt;500000), "Overpowered", "Normal")</f>
        <v>Normal</v>
      </c>
      <c r="AV23" s="1" t="str" cm="1">
        <f t="array" ref="AV2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3" s="1" t="str" cm="1">
        <f t="array" ref="AW2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23" s="1"/>
      <c r="AY23" s="3" t="str" cm="1">
        <f t="array" ref="AY23:AY29">_xlfn.UNIQUE(clean[Status Squad])</f>
        <v>Reguler</v>
      </c>
      <c r="AZ23" s="3">
        <f>COUNTIF(clean[Status Squad],AY23)</f>
        <v>138</v>
      </c>
    </row>
    <row r="24" spans="1:52" x14ac:dyDescent="0.3">
      <c r="A24" s="2" t="s">
        <v>171</v>
      </c>
      <c r="B24" s="2" t="s">
        <v>172</v>
      </c>
      <c r="C24" s="2" t="s">
        <v>173</v>
      </c>
      <c r="D24" s="2" t="s">
        <v>174</v>
      </c>
      <c r="E24" s="2" t="s">
        <v>51</v>
      </c>
      <c r="F24" s="2" t="s">
        <v>98</v>
      </c>
      <c r="G24" s="2">
        <v>39</v>
      </c>
      <c r="H24" s="2" t="s">
        <v>31</v>
      </c>
      <c r="I24" s="2" t="s">
        <v>74</v>
      </c>
      <c r="J24" s="2" t="s">
        <v>33</v>
      </c>
      <c r="K24" s="2" t="s">
        <v>34</v>
      </c>
      <c r="L24" s="6" t="s">
        <v>175</v>
      </c>
      <c r="M24" s="2">
        <v>97</v>
      </c>
      <c r="N24" s="2">
        <v>57</v>
      </c>
      <c r="O24" s="2">
        <v>139</v>
      </c>
      <c r="P24" s="2">
        <v>109</v>
      </c>
      <c r="Q24" s="2">
        <v>2132</v>
      </c>
      <c r="R24" s="2">
        <v>293</v>
      </c>
      <c r="S24" s="2">
        <v>3196</v>
      </c>
      <c r="T24" s="2">
        <v>732</v>
      </c>
      <c r="U24" s="2">
        <v>199</v>
      </c>
      <c r="V24" s="2">
        <v>81</v>
      </c>
      <c r="W24" s="2">
        <v>5110</v>
      </c>
      <c r="X24" s="9">
        <v>228593</v>
      </c>
      <c r="Y24" s="2" t="s">
        <v>36</v>
      </c>
      <c r="AA24" s="1" t="str">
        <f>TRIM(RPG_dataset[[#This Row],[Username]])</f>
        <v>rosa_446</v>
      </c>
      <c r="AB24" s="1" t="str">
        <f>TRIM(RPG_dataset[[#This Row],[First Name]])</f>
        <v>Rosa</v>
      </c>
      <c r="AC24" s="1" t="str">
        <f>PROPER(TRIM(RPG_dataset[[#This Row],[Race]]))</f>
        <v>Tiefling</v>
      </c>
      <c r="AD24" s="1" t="str">
        <f>PROPER(TRIM(RPG_dataset[[#This Row],[Class]]))</f>
        <v>Mage</v>
      </c>
      <c r="AE24" s="1">
        <f>ABS(RPG_dataset[[#This Row],[Level]])</f>
        <v>39</v>
      </c>
      <c r="AF24" s="1">
        <f>ABS(RPG_dataset[[#This Row],[ATK]])</f>
        <v>97</v>
      </c>
      <c r="AG24" s="1">
        <f>ABS(RPG_dataset[[#This Row],[DEF]])</f>
        <v>57</v>
      </c>
      <c r="AH24" s="1">
        <f>ABS(RPG_dataset[[#This Row],[SPD]])</f>
        <v>139</v>
      </c>
      <c r="AI24" s="1">
        <f>ABS(RPG_dataset[[#This Row],[HP]])</f>
        <v>109</v>
      </c>
      <c r="AJ24" s="1">
        <f>ABS(RPG_dataset[[#This Row],[MP]])</f>
        <v>2132</v>
      </c>
      <c r="AK24" s="1">
        <f>ABS(RPG_dataset[[#This Row],[Total Stat]])</f>
        <v>293</v>
      </c>
      <c r="AL24" s="1">
        <f>ABS(RPG_dataset[[#This Row],[Kills]])</f>
        <v>3196</v>
      </c>
      <c r="AM24" s="12">
        <f>ABS(RPG_dataset[[#This Row],[Win Rate (%)]])</f>
        <v>81</v>
      </c>
      <c r="AN24" s="4">
        <f>ABS(RPG_dataset[[#This Row],[Gold Earned]])</f>
        <v>228593</v>
      </c>
      <c r="AO24" s="5" t="str">
        <f t="shared" si="0"/>
        <v>OK</v>
      </c>
      <c r="AP24" s="5">
        <f>RANK(clean[[#This Row],[Clean Gold]],clean[Clean Gold], 0)</f>
        <v>385</v>
      </c>
      <c r="AQ24" s="1">
        <v>334</v>
      </c>
      <c r="AR24" s="1" t="str" cm="1">
        <f t="array" ref="AR24">_xlfn.IFS(clean[[#This Row],[Clean Level]]&gt;=76, "Legend", clean[[#This Row],[Clean Level]]&gt;=51, "Elite", clean[[#This Row],[Clean Level]]&gt;=26, "Veteran", TRUE, "Rookie")</f>
        <v>Veteran</v>
      </c>
      <c r="AS24" s="1" t="str">
        <f>IF(RPG_dataset[[#This Row],[Status]]="Active", "TRUE", "FALSE")</f>
        <v>FALSE</v>
      </c>
      <c r="AT24" s="1" t="str" cm="1">
        <f t="array" ref="AT24">_xlfn.IFS(clean[[#This Row],[Clean Win Rate]]&gt;70, "Excellent", clean[[#This Row],[Clean Win Rate]]&gt;=40, "Average", TRUE, "Poor")</f>
        <v>Excellent</v>
      </c>
      <c r="AU24" s="1" t="str">
        <f>IF(AND(clean[[#This Row],[Clean Level]]&gt;80, clean[[#This Row],[Clean Total Stat]]&gt;350, clean[[#This Row],[Clean Gold]]&gt;500000), "Overpowered", "Normal")</f>
        <v>Normal</v>
      </c>
      <c r="AV24" s="1" t="str" cm="1">
        <f t="array" ref="AV2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4" s="1" t="str" cm="1">
        <f t="array" ref="AW2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4" s="1"/>
      <c r="AY24" s="3" t="str">
        <v>Brawler</v>
      </c>
      <c r="AZ24" s="3">
        <f>COUNTIF(clean[Status Squad],AY24)</f>
        <v>38</v>
      </c>
    </row>
    <row r="25" spans="1:52" x14ac:dyDescent="0.3">
      <c r="A25" s="2" t="s">
        <v>176</v>
      </c>
      <c r="B25" s="2" t="s">
        <v>177</v>
      </c>
      <c r="C25" s="2" t="s">
        <v>178</v>
      </c>
      <c r="D25" s="2" t="s">
        <v>162</v>
      </c>
      <c r="E25" s="2" t="s">
        <v>51</v>
      </c>
      <c r="F25" s="2" t="s">
        <v>52</v>
      </c>
      <c r="G25" s="2">
        <v>21</v>
      </c>
      <c r="H25" s="2" t="s">
        <v>73</v>
      </c>
      <c r="I25" s="2" t="s">
        <v>140</v>
      </c>
      <c r="J25" s="2" t="s">
        <v>163</v>
      </c>
      <c r="K25" s="2" t="s">
        <v>44</v>
      </c>
      <c r="L25" s="6" t="s">
        <v>179</v>
      </c>
      <c r="M25" s="2">
        <v>37</v>
      </c>
      <c r="N25" s="2">
        <v>38</v>
      </c>
      <c r="O25" s="2">
        <v>105</v>
      </c>
      <c r="P25" s="2">
        <v>1897</v>
      </c>
      <c r="Q25" s="2">
        <v>2274</v>
      </c>
      <c r="R25" s="2">
        <v>180</v>
      </c>
      <c r="S25" s="2">
        <v>451</v>
      </c>
      <c r="T25" s="2">
        <v>521</v>
      </c>
      <c r="U25" s="2">
        <v>177</v>
      </c>
      <c r="V25" s="2"/>
      <c r="W25" s="2">
        <v>9761</v>
      </c>
      <c r="X25" s="9">
        <v>431681</v>
      </c>
      <c r="Y25" s="2" t="s">
        <v>46</v>
      </c>
      <c r="AA25" s="1" t="str">
        <f>TRIM(RPG_dataset[[#This Row],[Username]])</f>
        <v>crix_626</v>
      </c>
      <c r="AB25" s="1" t="str">
        <f>TRIM(RPG_dataset[[#This Row],[First Name]])</f>
        <v>Crix</v>
      </c>
      <c r="AC25" s="1" t="str">
        <f>PROPER(TRIM(RPG_dataset[[#This Row],[Race]]))</f>
        <v>Tiefling</v>
      </c>
      <c r="AD25" s="1" t="str">
        <f>PROPER(TRIM(RPG_dataset[[#This Row],[Class]]))</f>
        <v>Bard</v>
      </c>
      <c r="AE25" s="1">
        <f>ABS(RPG_dataset[[#This Row],[Level]])</f>
        <v>21</v>
      </c>
      <c r="AF25" s="1">
        <f>ABS(RPG_dataset[[#This Row],[ATK]])</f>
        <v>37</v>
      </c>
      <c r="AG25" s="1">
        <f>ABS(RPG_dataset[[#This Row],[DEF]])</f>
        <v>38</v>
      </c>
      <c r="AH25" s="1">
        <f>ABS(RPG_dataset[[#This Row],[SPD]])</f>
        <v>105</v>
      </c>
      <c r="AI25" s="1">
        <f>ABS(RPG_dataset[[#This Row],[HP]])</f>
        <v>1897</v>
      </c>
      <c r="AJ25" s="1">
        <f>ABS(RPG_dataset[[#This Row],[MP]])</f>
        <v>2274</v>
      </c>
      <c r="AK25" s="1">
        <f>ABS(RPG_dataset[[#This Row],[Total Stat]])</f>
        <v>180</v>
      </c>
      <c r="AL25" s="1">
        <f>ABS(RPG_dataset[[#This Row],[Kills]])</f>
        <v>451</v>
      </c>
      <c r="AM25" s="12">
        <f>ABS(RPG_dataset[[#This Row],[Win Rate (%)]])</f>
        <v>0</v>
      </c>
      <c r="AN25" s="4">
        <f>ABS(RPG_dataset[[#This Row],[Gold Earned]])</f>
        <v>431681</v>
      </c>
      <c r="AO25" s="5" t="str">
        <f t="shared" si="0"/>
        <v>OK</v>
      </c>
      <c r="AP25" s="5">
        <f>RANK(clean[[#This Row],[Clean Gold]],clean[Clean Gold], 0)</f>
        <v>290</v>
      </c>
      <c r="AQ25" s="1">
        <v>-286</v>
      </c>
      <c r="AR25" s="1" t="str" cm="1">
        <f t="array" ref="AR25">_xlfn.IFS(clean[[#This Row],[Clean Level]]&gt;=76, "Legend", clean[[#This Row],[Clean Level]]&gt;=51, "Elite", clean[[#This Row],[Clean Level]]&gt;=26, "Veteran", TRUE, "Rookie")</f>
        <v>Rookie</v>
      </c>
      <c r="AS25" s="1" t="str">
        <f>IF(RPG_dataset[[#This Row],[Status]]="Active", "TRUE", "FALSE")</f>
        <v>TRUE</v>
      </c>
      <c r="AT25" s="1" t="str" cm="1">
        <f t="array" ref="AT25">_xlfn.IFS(clean[[#This Row],[Clean Win Rate]]&gt;70, "Excellent", clean[[#This Row],[Clean Win Rate]]&gt;=40, "Average", TRUE, "Poor")</f>
        <v>Poor</v>
      </c>
      <c r="AU25" s="1" t="str">
        <f>IF(AND(clean[[#This Row],[Clean Level]]&gt;80, clean[[#This Row],[Clean Total Stat]]&gt;350, clean[[#This Row],[Clean Gold]]&gt;500000), "Overpowered", "Normal")</f>
        <v>Normal</v>
      </c>
      <c r="AV25" s="1" t="str" cm="1">
        <f t="array" ref="AV25">_xlfn.IFS(
(AND(OR(clean[[#This Row],[Tier]]="Elite", clean[[#This Row],[Tier]]="Legend"), clean[[#This Row],[Performance]]="Excellent", RPG_dataset[[#This Row],[Is Premium]]="Yes")), "High", OR(OR(clean[[#This Row],[Tier]]="Elite", clean[[#This Row],[Tier]]="Legend"), clean[[#This Row],[Performance]]="Excellent", RPG_dataset[[#This Row],[Is Premium]]="Yes"), "Medium", TRUE, "Low")</f>
        <v>Low</v>
      </c>
      <c r="AW25" s="1" t="str" cm="1">
        <f t="array" ref="AW2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25" s="1"/>
      <c r="AY25" s="3" t="str">
        <v>Tanker</v>
      </c>
      <c r="AZ25" s="3">
        <f>COUNTIF(clean[Status Squad],AY25)</f>
        <v>46</v>
      </c>
    </row>
    <row r="26" spans="1:52" x14ac:dyDescent="0.3">
      <c r="A26" s="2" t="s">
        <v>180</v>
      </c>
      <c r="B26" s="2" t="s">
        <v>181</v>
      </c>
      <c r="C26" s="2" t="s">
        <v>173</v>
      </c>
      <c r="D26" s="2" t="s">
        <v>119</v>
      </c>
      <c r="E26" s="2" t="s">
        <v>41</v>
      </c>
      <c r="F26" s="2" t="s">
        <v>124</v>
      </c>
      <c r="G26" s="2">
        <v>-66</v>
      </c>
      <c r="H26" s="2" t="s">
        <v>43</v>
      </c>
      <c r="I26" s="2" t="s">
        <v>54</v>
      </c>
      <c r="J26" s="2" t="s">
        <v>81</v>
      </c>
      <c r="K26" s="2" t="s">
        <v>99</v>
      </c>
      <c r="L26" s="6" t="s">
        <v>182</v>
      </c>
      <c r="M26" s="2">
        <v>110</v>
      </c>
      <c r="N26" s="2">
        <v>19</v>
      </c>
      <c r="O26" s="2">
        <v>112</v>
      </c>
      <c r="P26" s="2">
        <v>3279</v>
      </c>
      <c r="Q26" s="2">
        <v>1354</v>
      </c>
      <c r="R26" s="2">
        <v>241</v>
      </c>
      <c r="S26" s="2">
        <v>3945</v>
      </c>
      <c r="T26" s="2">
        <v>142</v>
      </c>
      <c r="U26" s="2">
        <v>46</v>
      </c>
      <c r="V26" s="2">
        <v>97</v>
      </c>
      <c r="W26" s="2">
        <v>7037</v>
      </c>
      <c r="X26" s="9">
        <v>202945</v>
      </c>
      <c r="Y26" s="2" t="s">
        <v>46</v>
      </c>
      <c r="AA26" s="1" t="str">
        <f>TRIM(RPG_dataset[[#This Row],[Username]])</f>
        <v>rosa_995</v>
      </c>
      <c r="AB26" s="1" t="str">
        <f>TRIM(RPG_dataset[[#This Row],[First Name]])</f>
        <v>Rosa</v>
      </c>
      <c r="AC26" s="1" t="str">
        <f>PROPER(TRIM(RPG_dataset[[#This Row],[Race]]))</f>
        <v>Gnome</v>
      </c>
      <c r="AD26" s="1" t="str">
        <f>PROPER(TRIM(RPG_dataset[[#This Row],[Class]]))</f>
        <v>Necromancer</v>
      </c>
      <c r="AE26" s="1">
        <f>ABS(RPG_dataset[[#This Row],[Level]])</f>
        <v>66</v>
      </c>
      <c r="AF26" s="1">
        <f>ABS(RPG_dataset[[#This Row],[ATK]])</f>
        <v>110</v>
      </c>
      <c r="AG26" s="1">
        <f>ABS(RPG_dataset[[#This Row],[DEF]])</f>
        <v>19</v>
      </c>
      <c r="AH26" s="1">
        <f>ABS(RPG_dataset[[#This Row],[SPD]])</f>
        <v>112</v>
      </c>
      <c r="AI26" s="1">
        <f>ABS(RPG_dataset[[#This Row],[HP]])</f>
        <v>3279</v>
      </c>
      <c r="AJ26" s="1">
        <f>ABS(RPG_dataset[[#This Row],[MP]])</f>
        <v>1354</v>
      </c>
      <c r="AK26" s="1">
        <f>ABS(RPG_dataset[[#This Row],[Total Stat]])</f>
        <v>241</v>
      </c>
      <c r="AL26" s="1">
        <f>ABS(RPG_dataset[[#This Row],[Kills]])</f>
        <v>3945</v>
      </c>
      <c r="AM26" s="12">
        <f>ABS(RPG_dataset[[#This Row],[Win Rate (%)]])</f>
        <v>97</v>
      </c>
      <c r="AN26" s="4">
        <f>ABS(RPG_dataset[[#This Row],[Gold Earned]])</f>
        <v>202945</v>
      </c>
      <c r="AO26" s="5" t="str">
        <f t="shared" si="0"/>
        <v>OK</v>
      </c>
      <c r="AP26" s="5">
        <f>RANK(clean[[#This Row],[Clean Gold]],clean[Clean Gold], 0)</f>
        <v>399</v>
      </c>
      <c r="AQ26" s="1">
        <v>226</v>
      </c>
      <c r="AR26" s="1" t="str" cm="1">
        <f t="array" ref="AR26">_xlfn.IFS(clean[[#This Row],[Clean Level]]&gt;=76, "Legend", clean[[#This Row],[Clean Level]]&gt;=51, "Elite", clean[[#This Row],[Clean Level]]&gt;=26, "Veteran", TRUE, "Rookie")</f>
        <v>Elite</v>
      </c>
      <c r="AS26" s="1" t="str">
        <f>IF(RPG_dataset[[#This Row],[Status]]="Active", "TRUE", "FALSE")</f>
        <v>FALSE</v>
      </c>
      <c r="AT26" s="1" t="str" cm="1">
        <f t="array" ref="AT26">_xlfn.IFS(clean[[#This Row],[Clean Win Rate]]&gt;70, "Excellent", clean[[#This Row],[Clean Win Rate]]&gt;=40, "Average", TRUE, "Poor")</f>
        <v>Excellent</v>
      </c>
      <c r="AU26" s="1" t="str">
        <f>IF(AND(clean[[#This Row],[Clean Level]]&gt;80, clean[[#This Row],[Clean Total Stat]]&gt;350, clean[[#This Row],[Clean Gold]]&gt;500000), "Overpowered", "Normal")</f>
        <v>Normal</v>
      </c>
      <c r="AV26" s="1" t="str" cm="1">
        <f t="array" ref="AV2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6" s="1" t="str" cm="1">
        <f t="array" ref="AW2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6" s="1"/>
      <c r="AY26" s="3" t="str">
        <v>Elity Spy</v>
      </c>
      <c r="AZ26" s="3">
        <f>COUNTIF(clean[Status Squad],AY26)</f>
        <v>179</v>
      </c>
    </row>
    <row r="27" spans="1:52" x14ac:dyDescent="0.3">
      <c r="A27" s="2" t="s">
        <v>183</v>
      </c>
      <c r="B27" s="2" t="s">
        <v>184</v>
      </c>
      <c r="C27" s="2" t="s">
        <v>69</v>
      </c>
      <c r="D27" s="2" t="s">
        <v>50</v>
      </c>
      <c r="E27" s="2" t="s">
        <v>169</v>
      </c>
      <c r="F27" s="2" t="s">
        <v>124</v>
      </c>
      <c r="G27" s="2">
        <v>23</v>
      </c>
      <c r="H27" s="2" t="s">
        <v>80</v>
      </c>
      <c r="I27" s="2" t="s">
        <v>74</v>
      </c>
      <c r="J27" s="2" t="s">
        <v>88</v>
      </c>
      <c r="K27" s="2" t="s">
        <v>34</v>
      </c>
      <c r="L27" s="6" t="s">
        <v>185</v>
      </c>
      <c r="M27" s="2">
        <v>133</v>
      </c>
      <c r="N27" s="2">
        <v>65</v>
      </c>
      <c r="O27" s="2">
        <v>39</v>
      </c>
      <c r="P27" s="2">
        <v>2465</v>
      </c>
      <c r="Q27" s="2">
        <v>1025</v>
      </c>
      <c r="R27" s="2">
        <v>237</v>
      </c>
      <c r="S27" s="2">
        <v>2651</v>
      </c>
      <c r="T27" s="2">
        <v>434</v>
      </c>
      <c r="U27" s="2"/>
      <c r="V27" s="2">
        <v>86</v>
      </c>
      <c r="W27" s="2">
        <v>8791</v>
      </c>
      <c r="X27" s="9">
        <v>455853</v>
      </c>
      <c r="Y27" s="2" t="s">
        <v>36</v>
      </c>
      <c r="AA27" s="1" t="str">
        <f>TRIM(RPG_dataset[[#This Row],[Username]])</f>
        <v>seth_192</v>
      </c>
      <c r="AB27" s="1" t="str">
        <f>TRIM(RPG_dataset[[#This Row],[First Name]])</f>
        <v>Seth</v>
      </c>
      <c r="AC27" s="1" t="str">
        <f>PROPER(TRIM(RPG_dataset[[#This Row],[Race]]))</f>
        <v>Halfling</v>
      </c>
      <c r="AD27" s="1" t="str">
        <f>PROPER(TRIM(RPG_dataset[[#This Row],[Class]]))</f>
        <v>Necromancer</v>
      </c>
      <c r="AE27" s="1">
        <f>ABS(RPG_dataset[[#This Row],[Level]])</f>
        <v>23</v>
      </c>
      <c r="AF27" s="1">
        <f>ABS(RPG_dataset[[#This Row],[ATK]])</f>
        <v>133</v>
      </c>
      <c r="AG27" s="1">
        <f>ABS(RPG_dataset[[#This Row],[DEF]])</f>
        <v>65</v>
      </c>
      <c r="AH27" s="1">
        <f>ABS(RPG_dataset[[#This Row],[SPD]])</f>
        <v>39</v>
      </c>
      <c r="AI27" s="1">
        <f>ABS(RPG_dataset[[#This Row],[HP]])</f>
        <v>2465</v>
      </c>
      <c r="AJ27" s="1">
        <f>ABS(RPG_dataset[[#This Row],[MP]])</f>
        <v>1025</v>
      </c>
      <c r="AK27" s="1">
        <f>ABS(RPG_dataset[[#This Row],[Total Stat]])</f>
        <v>237</v>
      </c>
      <c r="AL27" s="1">
        <f>ABS(RPG_dataset[[#This Row],[Kills]])</f>
        <v>2651</v>
      </c>
      <c r="AM27" s="12">
        <f>ABS(RPG_dataset[[#This Row],[Win Rate (%)]])</f>
        <v>86</v>
      </c>
      <c r="AN27" s="4">
        <f>ABS(RPG_dataset[[#This Row],[Gold Earned]])</f>
        <v>455853</v>
      </c>
      <c r="AO27" s="5" t="str">
        <f t="shared" si="0"/>
        <v>Fix This</v>
      </c>
      <c r="AP27" s="5">
        <f>RANK(clean[[#This Row],[Clean Gold]],clean[Clean Gold], 0)</f>
        <v>275</v>
      </c>
      <c r="AQ27" s="1"/>
      <c r="AR27" s="1" t="str" cm="1">
        <f t="array" ref="AR27">_xlfn.IFS(clean[[#This Row],[Clean Level]]&gt;=76, "Legend", clean[[#This Row],[Clean Level]]&gt;=51, "Elite", clean[[#This Row],[Clean Level]]&gt;=26, "Veteran", TRUE, "Rookie")</f>
        <v>Rookie</v>
      </c>
      <c r="AS27" s="1" t="str">
        <f>IF(RPG_dataset[[#This Row],[Status]]="Active", "TRUE", "FALSE")</f>
        <v>FALSE</v>
      </c>
      <c r="AT27" s="1" t="str" cm="1">
        <f t="array" ref="AT27">_xlfn.IFS(clean[[#This Row],[Clean Win Rate]]&gt;70, "Excellent", clean[[#This Row],[Clean Win Rate]]&gt;=40, "Average", TRUE, "Poor")</f>
        <v>Excellent</v>
      </c>
      <c r="AU27" s="1" t="str">
        <f>IF(AND(clean[[#This Row],[Clean Level]]&gt;80, clean[[#This Row],[Clean Total Stat]]&gt;350, clean[[#This Row],[Clean Gold]]&gt;500000), "Overpowered", "Normal")</f>
        <v>Normal</v>
      </c>
      <c r="AV27" s="1" t="str" cm="1">
        <f t="array" ref="AV2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7" s="1" t="str" cm="1">
        <f t="array" ref="AW2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7" s="1"/>
      <c r="AY27" s="3" t="str">
        <v>Squad Inti</v>
      </c>
      <c r="AZ27" s="3">
        <f>COUNTIF(clean[Status Squad],AY27)</f>
        <v>12</v>
      </c>
    </row>
    <row r="28" spans="1:52" x14ac:dyDescent="0.3">
      <c r="A28" s="2" t="s">
        <v>186</v>
      </c>
      <c r="B28" s="2" t="s">
        <v>187</v>
      </c>
      <c r="C28" s="2" t="s">
        <v>188</v>
      </c>
      <c r="D28" s="2" t="s">
        <v>40</v>
      </c>
      <c r="E28" s="2" t="s">
        <v>60</v>
      </c>
      <c r="F28" s="2" t="s">
        <v>124</v>
      </c>
      <c r="G28" s="2">
        <v>77</v>
      </c>
      <c r="H28" s="2" t="s">
        <v>53</v>
      </c>
      <c r="I28" s="2" t="s">
        <v>74</v>
      </c>
      <c r="J28" s="2" t="s">
        <v>163</v>
      </c>
      <c r="K28" s="2" t="s">
        <v>99</v>
      </c>
      <c r="L28" s="6" t="s">
        <v>189</v>
      </c>
      <c r="M28" s="2">
        <v>27</v>
      </c>
      <c r="N28" s="2">
        <v>97</v>
      </c>
      <c r="O28" s="2">
        <v>133</v>
      </c>
      <c r="P28" s="2">
        <v>2660</v>
      </c>
      <c r="Q28" s="2">
        <v>556</v>
      </c>
      <c r="R28" s="2">
        <v>257</v>
      </c>
      <c r="S28" s="2">
        <v>137</v>
      </c>
      <c r="T28" s="2">
        <v>18</v>
      </c>
      <c r="U28" s="2">
        <v>91</v>
      </c>
      <c r="V28" s="2">
        <v>88</v>
      </c>
      <c r="W28" s="2">
        <v>4126</v>
      </c>
      <c r="X28" s="9">
        <v>445111</v>
      </c>
      <c r="Y28" s="2" t="s">
        <v>36</v>
      </c>
      <c r="AA28" s="1" t="str">
        <f>TRIM(RPG_dataset[[#This Row],[Username]])</f>
        <v>cedric_672</v>
      </c>
      <c r="AB28" s="1" t="str">
        <f>TRIM(RPG_dataset[[#This Row],[First Name]])</f>
        <v>CEDRIC</v>
      </c>
      <c r="AC28" s="1" t="str">
        <f>PROPER(TRIM(RPG_dataset[[#This Row],[Race]]))</f>
        <v>Human</v>
      </c>
      <c r="AD28" s="1" t="str">
        <f>PROPER(TRIM(RPG_dataset[[#This Row],[Class]]))</f>
        <v>Necromancer</v>
      </c>
      <c r="AE28" s="1">
        <f>ABS(RPG_dataset[[#This Row],[Level]])</f>
        <v>77</v>
      </c>
      <c r="AF28" s="1">
        <f>ABS(RPG_dataset[[#This Row],[ATK]])</f>
        <v>27</v>
      </c>
      <c r="AG28" s="1">
        <f>ABS(RPG_dataset[[#This Row],[DEF]])</f>
        <v>97</v>
      </c>
      <c r="AH28" s="1">
        <f>ABS(RPG_dataset[[#This Row],[SPD]])</f>
        <v>133</v>
      </c>
      <c r="AI28" s="1">
        <f>ABS(RPG_dataset[[#This Row],[HP]])</f>
        <v>2660</v>
      </c>
      <c r="AJ28" s="1">
        <f>ABS(RPG_dataset[[#This Row],[MP]])</f>
        <v>556</v>
      </c>
      <c r="AK28" s="1">
        <f>ABS(RPG_dataset[[#This Row],[Total Stat]])</f>
        <v>257</v>
      </c>
      <c r="AL28" s="1">
        <f>ABS(RPG_dataset[[#This Row],[Kills]])</f>
        <v>137</v>
      </c>
      <c r="AM28" s="12">
        <f>ABS(RPG_dataset[[#This Row],[Win Rate (%)]])</f>
        <v>88</v>
      </c>
      <c r="AN28" s="4">
        <f>ABS(RPG_dataset[[#This Row],[Gold Earned]])</f>
        <v>445111</v>
      </c>
      <c r="AO28" s="5" t="str">
        <f t="shared" si="0"/>
        <v>OK</v>
      </c>
      <c r="AP28" s="5">
        <f>RANK(clean[[#This Row],[Clean Gold]],clean[Clean Gold], 0)</f>
        <v>282</v>
      </c>
      <c r="AQ28" s="1">
        <v>280</v>
      </c>
      <c r="AR28" s="1" t="str" cm="1">
        <f t="array" ref="AR28">_xlfn.IFS(clean[[#This Row],[Clean Level]]&gt;=76, "Legend", clean[[#This Row],[Clean Level]]&gt;=51, "Elite", clean[[#This Row],[Clean Level]]&gt;=26, "Veteran", TRUE, "Rookie")</f>
        <v>Legend</v>
      </c>
      <c r="AS28" s="1" t="str">
        <f>IF(RPG_dataset[[#This Row],[Status]]="Active", "TRUE", "FALSE")</f>
        <v>FALSE</v>
      </c>
      <c r="AT28" s="1" t="str" cm="1">
        <f t="array" ref="AT28">_xlfn.IFS(clean[[#This Row],[Clean Win Rate]]&gt;70, "Excellent", clean[[#This Row],[Clean Win Rate]]&gt;=40, "Average", TRUE, "Poor")</f>
        <v>Excellent</v>
      </c>
      <c r="AU28" s="1" t="str">
        <f>IF(AND(clean[[#This Row],[Clean Level]]&gt;80, clean[[#This Row],[Clean Total Stat]]&gt;350, clean[[#This Row],[Clean Gold]]&gt;500000), "Overpowered", "Normal")</f>
        <v>Normal</v>
      </c>
      <c r="AV28" s="1" t="str" cm="1">
        <f t="array" ref="AV28">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28" s="1" t="str" cm="1">
        <f t="array" ref="AW2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8" s="1"/>
      <c r="AY28" s="3" t="str">
        <v>Tactician</v>
      </c>
      <c r="AZ28" s="3">
        <f>COUNTIF(clean[Status Squad],AY28)</f>
        <v>60</v>
      </c>
    </row>
    <row r="29" spans="1:52" x14ac:dyDescent="0.3">
      <c r="A29" s="2" t="s">
        <v>190</v>
      </c>
      <c r="B29" s="2" t="s">
        <v>191</v>
      </c>
      <c r="C29" s="2" t="s">
        <v>192</v>
      </c>
      <c r="D29" s="2" t="s">
        <v>193</v>
      </c>
      <c r="E29" s="2" t="s">
        <v>51</v>
      </c>
      <c r="F29" s="2" t="s">
        <v>194</v>
      </c>
      <c r="G29" s="2">
        <v>58</v>
      </c>
      <c r="H29" s="2" t="s">
        <v>43</v>
      </c>
      <c r="I29" s="2" t="s">
        <v>126</v>
      </c>
      <c r="J29" s="2" t="s">
        <v>81</v>
      </c>
      <c r="K29" s="2" t="s">
        <v>99</v>
      </c>
      <c r="L29" s="6" t="s">
        <v>195</v>
      </c>
      <c r="M29" s="2">
        <v>95</v>
      </c>
      <c r="N29" s="2">
        <v>114</v>
      </c>
      <c r="O29" s="2">
        <v>45</v>
      </c>
      <c r="P29" s="2">
        <v>3044</v>
      </c>
      <c r="Q29" s="2">
        <v>1917</v>
      </c>
      <c r="R29" s="2">
        <v>254</v>
      </c>
      <c r="S29" s="2">
        <v>1154</v>
      </c>
      <c r="T29" s="2">
        <v>830</v>
      </c>
      <c r="U29" s="2">
        <v>29</v>
      </c>
      <c r="V29" s="2">
        <v>58</v>
      </c>
      <c r="W29" s="2"/>
      <c r="X29" s="9">
        <v>900650</v>
      </c>
      <c r="Y29" s="2" t="s">
        <v>46</v>
      </c>
      <c r="AA29" s="1" t="str">
        <f>TRIM(RPG_dataset[[#This Row],[Username]])</f>
        <v>oryn_384</v>
      </c>
      <c r="AB29" s="1" t="str">
        <f>TRIM(RPG_dataset[[#This Row],[First Name]])</f>
        <v>Oryn</v>
      </c>
      <c r="AC29" s="1" t="str">
        <f>PROPER(TRIM(RPG_dataset[[#This Row],[Race]]))</f>
        <v>Tiefling</v>
      </c>
      <c r="AD29" s="1" t="str">
        <f>PROPER(TRIM(RPG_dataset[[#This Row],[Class]]))</f>
        <v>Paladin</v>
      </c>
      <c r="AE29" s="1">
        <f>ABS(RPG_dataset[[#This Row],[Level]])</f>
        <v>58</v>
      </c>
      <c r="AF29" s="1">
        <f>ABS(RPG_dataset[[#This Row],[ATK]])</f>
        <v>95</v>
      </c>
      <c r="AG29" s="1">
        <f>ABS(RPG_dataset[[#This Row],[DEF]])</f>
        <v>114</v>
      </c>
      <c r="AH29" s="1">
        <f>ABS(RPG_dataset[[#This Row],[SPD]])</f>
        <v>45</v>
      </c>
      <c r="AI29" s="1">
        <f>ABS(RPG_dataset[[#This Row],[HP]])</f>
        <v>3044</v>
      </c>
      <c r="AJ29" s="1">
        <f>ABS(RPG_dataset[[#This Row],[MP]])</f>
        <v>1917</v>
      </c>
      <c r="AK29" s="1">
        <f>ABS(RPG_dataset[[#This Row],[Total Stat]])</f>
        <v>254</v>
      </c>
      <c r="AL29" s="1">
        <f>ABS(RPG_dataset[[#This Row],[Kills]])</f>
        <v>1154</v>
      </c>
      <c r="AM29" s="12">
        <f>ABS(RPG_dataset[[#This Row],[Win Rate (%)]])</f>
        <v>58</v>
      </c>
      <c r="AN29" s="4">
        <f>ABS(RPG_dataset[[#This Row],[Gold Earned]])</f>
        <v>900650</v>
      </c>
      <c r="AO29" s="5" t="str">
        <f t="shared" si="0"/>
        <v>Fix This</v>
      </c>
      <c r="AP29" s="5">
        <f>RANK(clean[[#This Row],[Clean Gold]],clean[Clean Gold], 0)</f>
        <v>54</v>
      </c>
      <c r="AQ29" s="1">
        <v>284</v>
      </c>
      <c r="AR29" s="1" t="str" cm="1">
        <f t="array" ref="AR29">_xlfn.IFS(clean[[#This Row],[Clean Level]]&gt;=76, "Legend", clean[[#This Row],[Clean Level]]&gt;=51, "Elite", clean[[#This Row],[Clean Level]]&gt;=26, "Veteran", TRUE, "Rookie")</f>
        <v>Elite</v>
      </c>
      <c r="AS29" s="1" t="str">
        <f>IF(RPG_dataset[[#This Row],[Status]]="Active", "TRUE", "FALSE")</f>
        <v>FALSE</v>
      </c>
      <c r="AT29" s="1" t="str" cm="1">
        <f t="array" ref="AT29">_xlfn.IFS(clean[[#This Row],[Clean Win Rate]]&gt;70, "Excellent", clean[[#This Row],[Clean Win Rate]]&gt;=40, "Average", TRUE, "Poor")</f>
        <v>Average</v>
      </c>
      <c r="AU29" s="1" t="str">
        <f>IF(AND(clean[[#This Row],[Clean Level]]&gt;80, clean[[#This Row],[Clean Total Stat]]&gt;350, clean[[#This Row],[Clean Gold]]&gt;500000), "Overpowered", "Normal")</f>
        <v>Normal</v>
      </c>
      <c r="AV29" s="1" t="str" cm="1">
        <f t="array" ref="AV2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9" s="1" t="str" cm="1">
        <f t="array" ref="AW2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29" s="1"/>
      <c r="AY29" s="3" t="str">
        <v>Ranger</v>
      </c>
      <c r="AZ29" s="3">
        <f>COUNTIF(clean[Status Squad],AY29)</f>
        <v>27</v>
      </c>
    </row>
    <row r="30" spans="1:52" x14ac:dyDescent="0.3">
      <c r="A30" s="2" t="s">
        <v>196</v>
      </c>
      <c r="B30" s="2" t="s">
        <v>197</v>
      </c>
      <c r="C30" s="2" t="s">
        <v>198</v>
      </c>
      <c r="D30" s="2" t="s">
        <v>131</v>
      </c>
      <c r="E30" s="2" t="s">
        <v>105</v>
      </c>
      <c r="F30" s="2" t="s">
        <v>98</v>
      </c>
      <c r="G30" s="2">
        <v>67</v>
      </c>
      <c r="H30" s="2" t="s">
        <v>199</v>
      </c>
      <c r="I30" s="2" t="s">
        <v>87</v>
      </c>
      <c r="J30" s="2" t="s">
        <v>120</v>
      </c>
      <c r="K30" s="2" t="s">
        <v>44</v>
      </c>
      <c r="L30" s="6" t="s">
        <v>200</v>
      </c>
      <c r="M30" s="2">
        <v>78</v>
      </c>
      <c r="N30" s="2">
        <v>123</v>
      </c>
      <c r="O30" s="2">
        <v>76</v>
      </c>
      <c r="P30" s="2">
        <v>3341</v>
      </c>
      <c r="Q30" s="2">
        <v>931</v>
      </c>
      <c r="R30" s="2">
        <v>277</v>
      </c>
      <c r="S30" s="2">
        <v>1401</v>
      </c>
      <c r="T30" s="2">
        <v>464</v>
      </c>
      <c r="U30" s="2">
        <v>101</v>
      </c>
      <c r="V30" s="2">
        <v>75</v>
      </c>
      <c r="W30" s="2">
        <v>4750</v>
      </c>
      <c r="X30" s="9">
        <v>610938</v>
      </c>
      <c r="Y30" s="2" t="s">
        <v>36</v>
      </c>
      <c r="AA30" s="1" t="str">
        <f>TRIM(RPG_dataset[[#This Row],[Username]])</f>
        <v>lira_866</v>
      </c>
      <c r="AB30" s="1" t="str">
        <f>TRIM(RPG_dataset[[#This Row],[First Name]])</f>
        <v>Lira</v>
      </c>
      <c r="AC30" s="1" t="str">
        <f>PROPER(TRIM(RPG_dataset[[#This Row],[Race]]))</f>
        <v>Orc</v>
      </c>
      <c r="AD30" s="1" t="str">
        <f>PROPER(TRIM(RPG_dataset[[#This Row],[Class]]))</f>
        <v>Mage</v>
      </c>
      <c r="AE30" s="1">
        <f>ABS(RPG_dataset[[#This Row],[Level]])</f>
        <v>67</v>
      </c>
      <c r="AF30" s="1">
        <f>ABS(RPG_dataset[[#This Row],[ATK]])</f>
        <v>78</v>
      </c>
      <c r="AG30" s="1">
        <f>ABS(RPG_dataset[[#This Row],[DEF]])</f>
        <v>123</v>
      </c>
      <c r="AH30" s="1">
        <f>ABS(RPG_dataset[[#This Row],[SPD]])</f>
        <v>76</v>
      </c>
      <c r="AI30" s="1">
        <f>ABS(RPG_dataset[[#This Row],[HP]])</f>
        <v>3341</v>
      </c>
      <c r="AJ30" s="1">
        <f>ABS(RPG_dataset[[#This Row],[MP]])</f>
        <v>931</v>
      </c>
      <c r="AK30" s="1">
        <f>ABS(RPG_dataset[[#This Row],[Total Stat]])</f>
        <v>277</v>
      </c>
      <c r="AL30" s="1">
        <f>ABS(RPG_dataset[[#This Row],[Kills]])</f>
        <v>1401</v>
      </c>
      <c r="AM30" s="12">
        <f>ABS(RPG_dataset[[#This Row],[Win Rate (%)]])</f>
        <v>75</v>
      </c>
      <c r="AN30" s="4">
        <f>ABS(RPG_dataset[[#This Row],[Gold Earned]])</f>
        <v>610938</v>
      </c>
      <c r="AO30" s="5" t="str">
        <f t="shared" si="0"/>
        <v>OK</v>
      </c>
      <c r="AP30" s="5">
        <f>RANK(clean[[#This Row],[Clean Gold]],clean[Clean Gold], 0)</f>
        <v>198</v>
      </c>
      <c r="AQ30" s="1"/>
      <c r="AR30" s="1" t="str" cm="1">
        <f t="array" ref="AR30">_xlfn.IFS(clean[[#This Row],[Clean Level]]&gt;=76, "Legend", clean[[#This Row],[Clean Level]]&gt;=51, "Elite", clean[[#This Row],[Clean Level]]&gt;=26, "Veteran", TRUE, "Rookie")</f>
        <v>Elite</v>
      </c>
      <c r="AS30" s="1" t="str">
        <f>IF(RPG_dataset[[#This Row],[Status]]="Active", "TRUE", "FALSE")</f>
        <v>TRUE</v>
      </c>
      <c r="AT30" s="1" t="str" cm="1">
        <f t="array" ref="AT30">_xlfn.IFS(clean[[#This Row],[Clean Win Rate]]&gt;70, "Excellent", clean[[#This Row],[Clean Win Rate]]&gt;=40, "Average", TRUE, "Poor")</f>
        <v>Excellent</v>
      </c>
      <c r="AU30" s="1" t="str">
        <f>IF(AND(clean[[#This Row],[Clean Level]]&gt;80, clean[[#This Row],[Clean Total Stat]]&gt;350, clean[[#This Row],[Clean Gold]]&gt;500000), "Overpowered", "Normal")</f>
        <v>Normal</v>
      </c>
      <c r="AV30" s="1" t="str" cm="1">
        <f t="array" ref="AV30">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30" s="1" t="str" cm="1">
        <f t="array" ref="AW3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30" s="1"/>
    </row>
    <row r="31" spans="1:52" x14ac:dyDescent="0.3">
      <c r="A31" s="2" t="s">
        <v>201</v>
      </c>
      <c r="B31" s="2" t="s">
        <v>202</v>
      </c>
      <c r="C31" s="2" t="s">
        <v>203</v>
      </c>
      <c r="D31" s="2" t="s">
        <v>155</v>
      </c>
      <c r="E31" s="2" t="s">
        <v>169</v>
      </c>
      <c r="F31" s="2" t="s">
        <v>61</v>
      </c>
      <c r="G31" s="2">
        <v>73</v>
      </c>
      <c r="H31" s="2" t="s">
        <v>73</v>
      </c>
      <c r="I31" s="2" t="s">
        <v>74</v>
      </c>
      <c r="J31" s="2" t="s">
        <v>163</v>
      </c>
      <c r="K31" s="2" t="s">
        <v>34</v>
      </c>
      <c r="L31" s="6" t="s">
        <v>204</v>
      </c>
      <c r="M31" s="2">
        <v>76</v>
      </c>
      <c r="N31" s="2">
        <v>139</v>
      </c>
      <c r="O31" s="2">
        <v>53</v>
      </c>
      <c r="P31" s="2"/>
      <c r="Q31" s="2">
        <v>372</v>
      </c>
      <c r="R31" s="2">
        <v>268</v>
      </c>
      <c r="S31" s="2">
        <v>1881</v>
      </c>
      <c r="T31" s="2">
        <v>881</v>
      </c>
      <c r="U31" s="2">
        <v>90</v>
      </c>
      <c r="V31" s="2">
        <v>68</v>
      </c>
      <c r="W31" s="2">
        <v>5792</v>
      </c>
      <c r="X31" s="9">
        <v>110151</v>
      </c>
      <c r="Y31" s="2" t="s">
        <v>46</v>
      </c>
      <c r="AA31" s="1" t="str">
        <f>TRIM(RPG_dataset[[#This Row],[Username]])</f>
        <v>leon_478</v>
      </c>
      <c r="AB31" s="1" t="str">
        <f>TRIM(RPG_dataset[[#This Row],[First Name]])</f>
        <v>Leon</v>
      </c>
      <c r="AC31" s="1" t="str">
        <f>PROPER(TRIM(RPG_dataset[[#This Row],[Race]]))</f>
        <v>Halfling</v>
      </c>
      <c r="AD31" s="1" t="str">
        <f>PROPER(TRIM(RPG_dataset[[#This Row],[Class]]))</f>
        <v>Ranger</v>
      </c>
      <c r="AE31" s="1">
        <f>ABS(RPG_dataset[[#This Row],[Level]])</f>
        <v>73</v>
      </c>
      <c r="AF31" s="1">
        <f>ABS(RPG_dataset[[#This Row],[ATK]])</f>
        <v>76</v>
      </c>
      <c r="AG31" s="1">
        <f>ABS(RPG_dataset[[#This Row],[DEF]])</f>
        <v>139</v>
      </c>
      <c r="AH31" s="1">
        <f>ABS(RPG_dataset[[#This Row],[SPD]])</f>
        <v>53</v>
      </c>
      <c r="AI31" s="1">
        <f>ABS(RPG_dataset[[#This Row],[HP]])</f>
        <v>0</v>
      </c>
      <c r="AJ31" s="1">
        <f>ABS(RPG_dataset[[#This Row],[MP]])</f>
        <v>372</v>
      </c>
      <c r="AK31" s="1">
        <f>ABS(RPG_dataset[[#This Row],[Total Stat]])</f>
        <v>268</v>
      </c>
      <c r="AL31" s="1">
        <f>ABS(RPG_dataset[[#This Row],[Kills]])</f>
        <v>1881</v>
      </c>
      <c r="AM31" s="12">
        <f>ABS(RPG_dataset[[#This Row],[Win Rate (%)]])</f>
        <v>68</v>
      </c>
      <c r="AN31" s="4">
        <f>ABS(RPG_dataset[[#This Row],[Gold Earned]])</f>
        <v>110151</v>
      </c>
      <c r="AO31" s="5" t="str">
        <f t="shared" si="0"/>
        <v>OK</v>
      </c>
      <c r="AP31" s="5">
        <f>RANK(clean[[#This Row],[Clean Gold]],clean[Clean Gold], 0)</f>
        <v>433</v>
      </c>
      <c r="AQ31" s="1">
        <v>184</v>
      </c>
      <c r="AR31" s="1" t="str" cm="1">
        <f t="array" ref="AR31">_xlfn.IFS(clean[[#This Row],[Clean Level]]&gt;=76, "Legend", clean[[#This Row],[Clean Level]]&gt;=51, "Elite", clean[[#This Row],[Clean Level]]&gt;=26, "Veteran", TRUE, "Rookie")</f>
        <v>Elite</v>
      </c>
      <c r="AS31" s="1" t="str">
        <f>IF(RPG_dataset[[#This Row],[Status]]="Active", "TRUE", "FALSE")</f>
        <v>FALSE</v>
      </c>
      <c r="AT31" s="1" t="str" cm="1">
        <f t="array" ref="AT31">_xlfn.IFS(clean[[#This Row],[Clean Win Rate]]&gt;70, "Excellent", clean[[#This Row],[Clean Win Rate]]&gt;=40, "Average", TRUE, "Poor")</f>
        <v>Average</v>
      </c>
      <c r="AU31" s="1" t="str">
        <f>IF(AND(clean[[#This Row],[Clean Level]]&gt;80, clean[[#This Row],[Clean Total Stat]]&gt;350, clean[[#This Row],[Clean Gold]]&gt;500000), "Overpowered", "Normal")</f>
        <v>Normal</v>
      </c>
      <c r="AV31" s="1" t="str" cm="1">
        <f t="array" ref="AV3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1" s="1" t="str" cm="1">
        <f t="array" ref="AW3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1" s="1"/>
    </row>
    <row r="32" spans="1:52" x14ac:dyDescent="0.3">
      <c r="A32" s="2" t="s">
        <v>205</v>
      </c>
      <c r="B32" s="2" t="s">
        <v>206</v>
      </c>
      <c r="C32" s="2" t="s">
        <v>138</v>
      </c>
      <c r="D32" s="2" t="s">
        <v>50</v>
      </c>
      <c r="E32" s="2" t="s">
        <v>71</v>
      </c>
      <c r="F32" s="2" t="s">
        <v>72</v>
      </c>
      <c r="G32" s="2">
        <v>31</v>
      </c>
      <c r="H32" s="2" t="s">
        <v>62</v>
      </c>
      <c r="I32" s="2" t="s">
        <v>32</v>
      </c>
      <c r="J32" s="2" t="s">
        <v>92</v>
      </c>
      <c r="K32" s="2" t="s">
        <v>75</v>
      </c>
      <c r="L32" s="6" t="s">
        <v>207</v>
      </c>
      <c r="M32" s="2">
        <v>69</v>
      </c>
      <c r="N32" s="2">
        <v>82</v>
      </c>
      <c r="O32" s="2">
        <v>135</v>
      </c>
      <c r="P32" s="2">
        <v>1943</v>
      </c>
      <c r="Q32" s="2">
        <v>2758</v>
      </c>
      <c r="R32" s="2">
        <v>286</v>
      </c>
      <c r="S32" s="2"/>
      <c r="T32" s="2">
        <v>655</v>
      </c>
      <c r="U32" s="2">
        <v>276</v>
      </c>
      <c r="V32" s="2">
        <v>87</v>
      </c>
      <c r="W32" s="2">
        <v>3185</v>
      </c>
      <c r="X32" s="9">
        <v>136307</v>
      </c>
      <c r="Y32" s="2" t="s">
        <v>46</v>
      </c>
      <c r="AA32" s="1" t="str">
        <f>TRIM(RPG_dataset[[#This Row],[Username]])</f>
        <v>grim_608</v>
      </c>
      <c r="AB32" s="1" t="str">
        <f>TRIM(RPG_dataset[[#This Row],[First Name]])</f>
        <v>Grim</v>
      </c>
      <c r="AC32" s="1" t="str">
        <f>PROPER(TRIM(RPG_dataset[[#This Row],[Race]]))</f>
        <v>Dragonborn</v>
      </c>
      <c r="AD32" s="1" t="str">
        <f>PROPER(TRIM(RPG_dataset[[#This Row],[Class]]))</f>
        <v>Warrior</v>
      </c>
      <c r="AE32" s="1">
        <f>ABS(RPG_dataset[[#This Row],[Level]])</f>
        <v>31</v>
      </c>
      <c r="AF32" s="1">
        <f>ABS(RPG_dataset[[#This Row],[ATK]])</f>
        <v>69</v>
      </c>
      <c r="AG32" s="1">
        <f>ABS(RPG_dataset[[#This Row],[DEF]])</f>
        <v>82</v>
      </c>
      <c r="AH32" s="1">
        <f>ABS(RPG_dataset[[#This Row],[SPD]])</f>
        <v>135</v>
      </c>
      <c r="AI32" s="1">
        <f>ABS(RPG_dataset[[#This Row],[HP]])</f>
        <v>1943</v>
      </c>
      <c r="AJ32" s="1">
        <f>ABS(RPG_dataset[[#This Row],[MP]])</f>
        <v>2758</v>
      </c>
      <c r="AK32" s="1">
        <f>ABS(RPG_dataset[[#This Row],[Total Stat]])</f>
        <v>286</v>
      </c>
      <c r="AL32" s="1">
        <f>ABS(RPG_dataset[[#This Row],[Kills]])</f>
        <v>0</v>
      </c>
      <c r="AM32" s="12">
        <f>ABS(RPG_dataset[[#This Row],[Win Rate (%)]])</f>
        <v>87</v>
      </c>
      <c r="AN32" s="4">
        <f>ABS(RPG_dataset[[#This Row],[Gold Earned]])</f>
        <v>136307</v>
      </c>
      <c r="AO32" s="5" t="str">
        <f t="shared" si="0"/>
        <v>OK</v>
      </c>
      <c r="AP32" s="5">
        <f>RANK(clean[[#This Row],[Clean Gold]],clean[Clean Gold], 0)</f>
        <v>424</v>
      </c>
      <c r="AQ32" s="1">
        <v>117</v>
      </c>
      <c r="AR32" s="1" t="str" cm="1">
        <f t="array" ref="AR32">_xlfn.IFS(clean[[#This Row],[Clean Level]]&gt;=76, "Legend", clean[[#This Row],[Clean Level]]&gt;=51, "Elite", clean[[#This Row],[Clean Level]]&gt;=26, "Veteran", TRUE, "Rookie")</f>
        <v>Veteran</v>
      </c>
      <c r="AS32" s="1" t="str">
        <f>IF(RPG_dataset[[#This Row],[Status]]="Active", "TRUE", "FALSE")</f>
        <v>FALSE</v>
      </c>
      <c r="AT32" s="1" t="str" cm="1">
        <f t="array" ref="AT32">_xlfn.IFS(clean[[#This Row],[Clean Win Rate]]&gt;70, "Excellent", clean[[#This Row],[Clean Win Rate]]&gt;=40, "Average", TRUE, "Poor")</f>
        <v>Excellent</v>
      </c>
      <c r="AU32" s="1" t="str">
        <f>IF(AND(clean[[#This Row],[Clean Level]]&gt;80, clean[[#This Row],[Clean Total Stat]]&gt;350, clean[[#This Row],[Clean Gold]]&gt;500000), "Overpowered", "Normal")</f>
        <v>Normal</v>
      </c>
      <c r="AV32" s="1" t="str" cm="1">
        <f t="array" ref="AV3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2" s="1" t="str" cm="1">
        <f t="array" ref="AW3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2" s="1"/>
    </row>
    <row r="33" spans="1:50" x14ac:dyDescent="0.3">
      <c r="A33" s="2" t="s">
        <v>208</v>
      </c>
      <c r="B33" s="2" t="s">
        <v>209</v>
      </c>
      <c r="C33" s="2" t="s">
        <v>49</v>
      </c>
      <c r="D33" s="2" t="s">
        <v>210</v>
      </c>
      <c r="E33" s="2" t="s">
        <v>211</v>
      </c>
      <c r="F33" s="2" t="s">
        <v>30</v>
      </c>
      <c r="G33" s="2">
        <v>2</v>
      </c>
      <c r="H33" s="2" t="s">
        <v>125</v>
      </c>
      <c r="I33" s="2" t="s">
        <v>63</v>
      </c>
      <c r="J33" s="2" t="s">
        <v>33</v>
      </c>
      <c r="K33" s="2" t="s">
        <v>44</v>
      </c>
      <c r="L33" s="6" t="s">
        <v>212</v>
      </c>
      <c r="M33" s="2">
        <v>102</v>
      </c>
      <c r="N33" s="2">
        <v>109</v>
      </c>
      <c r="O33" s="2">
        <v>62</v>
      </c>
      <c r="P33" s="2">
        <v>-2990</v>
      </c>
      <c r="Q33" s="2">
        <v>304</v>
      </c>
      <c r="R33" s="2">
        <v>273</v>
      </c>
      <c r="S33" s="2">
        <v>667</v>
      </c>
      <c r="T33" s="2">
        <v>739</v>
      </c>
      <c r="U33" s="2">
        <v>8</v>
      </c>
      <c r="V33" s="2">
        <v>47</v>
      </c>
      <c r="W33" s="2">
        <v>9553</v>
      </c>
      <c r="X33" s="9">
        <v>637419</v>
      </c>
      <c r="Y33" s="2" t="s">
        <v>46</v>
      </c>
      <c r="AA33" s="1" t="str">
        <f>TRIM(RPG_dataset[[#This Row],[Username]])</f>
        <v>dune_150</v>
      </c>
      <c r="AB33" s="1" t="str">
        <f>TRIM(RPG_dataset[[#This Row],[First Name]])</f>
        <v>Dune</v>
      </c>
      <c r="AC33" s="1" t="str">
        <f>PROPER(TRIM(RPG_dataset[[#This Row],[Race]]))</f>
        <v>Human</v>
      </c>
      <c r="AD33" s="1" t="str">
        <f>PROPER(TRIM(RPG_dataset[[#This Row],[Class]]))</f>
        <v>Rogue</v>
      </c>
      <c r="AE33" s="1">
        <f>ABS(RPG_dataset[[#This Row],[Level]])</f>
        <v>2</v>
      </c>
      <c r="AF33" s="1">
        <f>ABS(RPG_dataset[[#This Row],[ATK]])</f>
        <v>102</v>
      </c>
      <c r="AG33" s="1">
        <f>ABS(RPG_dataset[[#This Row],[DEF]])</f>
        <v>109</v>
      </c>
      <c r="AH33" s="1">
        <f>ABS(RPG_dataset[[#This Row],[SPD]])</f>
        <v>62</v>
      </c>
      <c r="AI33" s="1">
        <f>ABS(RPG_dataset[[#This Row],[HP]])</f>
        <v>2990</v>
      </c>
      <c r="AJ33" s="1">
        <f>ABS(RPG_dataset[[#This Row],[MP]])</f>
        <v>304</v>
      </c>
      <c r="AK33" s="1">
        <f>ABS(RPG_dataset[[#This Row],[Total Stat]])</f>
        <v>273</v>
      </c>
      <c r="AL33" s="1">
        <f>ABS(RPG_dataset[[#This Row],[Kills]])</f>
        <v>667</v>
      </c>
      <c r="AM33" s="12">
        <f>ABS(RPG_dataset[[#This Row],[Win Rate (%)]])</f>
        <v>47</v>
      </c>
      <c r="AN33" s="4">
        <f>ABS(RPG_dataset[[#This Row],[Gold Earned]])</f>
        <v>637419</v>
      </c>
      <c r="AO33" s="5" t="str">
        <f t="shared" si="0"/>
        <v>OK</v>
      </c>
      <c r="AP33" s="5">
        <f>RANK(clean[[#This Row],[Clean Gold]],clean[Clean Gold], 0)</f>
        <v>181</v>
      </c>
      <c r="AQ33" s="1">
        <v>134</v>
      </c>
      <c r="AR33" s="1" t="str" cm="1">
        <f t="array" ref="AR33">_xlfn.IFS(clean[[#This Row],[Clean Level]]&gt;=76, "Legend", clean[[#This Row],[Clean Level]]&gt;=51, "Elite", clean[[#This Row],[Clean Level]]&gt;=26, "Veteran", TRUE, "Rookie")</f>
        <v>Rookie</v>
      </c>
      <c r="AS33" s="1" t="str">
        <f>IF(RPG_dataset[[#This Row],[Status]]="Active", "TRUE", "FALSE")</f>
        <v>TRUE</v>
      </c>
      <c r="AT33" s="1" t="str" cm="1">
        <f t="array" ref="AT33">_xlfn.IFS(clean[[#This Row],[Clean Win Rate]]&gt;70, "Excellent", clean[[#This Row],[Clean Win Rate]]&gt;=40, "Average", TRUE, "Poor")</f>
        <v>Average</v>
      </c>
      <c r="AU33" s="1" t="str">
        <f>IF(AND(clean[[#This Row],[Clean Level]]&gt;80, clean[[#This Row],[Clean Total Stat]]&gt;350, clean[[#This Row],[Clean Gold]]&gt;500000), "Overpowered", "Normal")</f>
        <v>Normal</v>
      </c>
      <c r="AV33" s="1" t="str" cm="1">
        <f t="array" ref="AV33">_xlfn.IFS(
(AND(OR(clean[[#This Row],[Tier]]="Elite", clean[[#This Row],[Tier]]="Legend"), clean[[#This Row],[Performance]]="Excellent", RPG_dataset[[#This Row],[Is Premium]]="Yes")), "High", OR(OR(clean[[#This Row],[Tier]]="Elite", clean[[#This Row],[Tier]]="Legend"), clean[[#This Row],[Performance]]="Excellent", RPG_dataset[[#This Row],[Is Premium]]="Yes"), "Medium", TRUE, "Low")</f>
        <v>Low</v>
      </c>
      <c r="AW33" s="1" t="str" cm="1">
        <f t="array" ref="AW3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33" s="1"/>
    </row>
    <row r="34" spans="1:50" x14ac:dyDescent="0.3">
      <c r="A34" s="2" t="s">
        <v>213</v>
      </c>
      <c r="B34" s="2" t="s">
        <v>214</v>
      </c>
      <c r="C34" s="2" t="s">
        <v>110</v>
      </c>
      <c r="D34" s="2" t="s">
        <v>162</v>
      </c>
      <c r="E34" s="2" t="s">
        <v>29</v>
      </c>
      <c r="F34" s="2" t="s">
        <v>194</v>
      </c>
      <c r="G34" s="2">
        <v>1</v>
      </c>
      <c r="H34" s="2" t="s">
        <v>62</v>
      </c>
      <c r="I34" s="2" t="s">
        <v>87</v>
      </c>
      <c r="J34" s="2" t="s">
        <v>111</v>
      </c>
      <c r="K34" s="2" t="s">
        <v>215</v>
      </c>
      <c r="L34" s="6" t="s">
        <v>216</v>
      </c>
      <c r="M34" s="2">
        <v>85</v>
      </c>
      <c r="N34" s="2">
        <v>148</v>
      </c>
      <c r="O34" s="2">
        <v>73</v>
      </c>
      <c r="P34" s="2">
        <v>991</v>
      </c>
      <c r="Q34" s="2">
        <v>2097</v>
      </c>
      <c r="R34" s="2">
        <v>306</v>
      </c>
      <c r="S34" s="2">
        <v>1883</v>
      </c>
      <c r="T34" s="2">
        <v>431</v>
      </c>
      <c r="U34" s="2">
        <v>28</v>
      </c>
      <c r="V34" s="2">
        <v>81</v>
      </c>
      <c r="W34" s="2">
        <v>3175</v>
      </c>
      <c r="X34" s="9">
        <v>558606</v>
      </c>
      <c r="Y34" s="2" t="s">
        <v>36</v>
      </c>
      <c r="AA34" s="1" t="str">
        <f>TRIM(RPG_dataset[[#This Row],[Username]])</f>
        <v>tara_758</v>
      </c>
      <c r="AB34" s="1" t="str">
        <f>TRIM(RPG_dataset[[#This Row],[First Name]])</f>
        <v>Tara</v>
      </c>
      <c r="AC34" s="1" t="str">
        <f>PROPER(TRIM(RPG_dataset[[#This Row],[Race]]))</f>
        <v>Dwarf</v>
      </c>
      <c r="AD34" s="1" t="str">
        <f>PROPER(TRIM(RPG_dataset[[#This Row],[Class]]))</f>
        <v>Paladin</v>
      </c>
      <c r="AE34" s="1">
        <f>ABS(RPG_dataset[[#This Row],[Level]])</f>
        <v>1</v>
      </c>
      <c r="AF34" s="1">
        <f>ABS(RPG_dataset[[#This Row],[ATK]])</f>
        <v>85</v>
      </c>
      <c r="AG34" s="1">
        <f>ABS(RPG_dataset[[#This Row],[DEF]])</f>
        <v>148</v>
      </c>
      <c r="AH34" s="1">
        <f>ABS(RPG_dataset[[#This Row],[SPD]])</f>
        <v>73</v>
      </c>
      <c r="AI34" s="1">
        <f>ABS(RPG_dataset[[#This Row],[HP]])</f>
        <v>991</v>
      </c>
      <c r="AJ34" s="1">
        <f>ABS(RPG_dataset[[#This Row],[MP]])</f>
        <v>2097</v>
      </c>
      <c r="AK34" s="1">
        <f>ABS(RPG_dataset[[#This Row],[Total Stat]])</f>
        <v>306</v>
      </c>
      <c r="AL34" s="1">
        <f>ABS(RPG_dataset[[#This Row],[Kills]])</f>
        <v>1883</v>
      </c>
      <c r="AM34" s="12">
        <f>ABS(RPG_dataset[[#This Row],[Win Rate (%)]])</f>
        <v>81</v>
      </c>
      <c r="AN34" s="4">
        <f>ABS(RPG_dataset[[#This Row],[Gold Earned]])</f>
        <v>558606</v>
      </c>
      <c r="AO34" s="5" t="str">
        <f t="shared" si="0"/>
        <v>OK</v>
      </c>
      <c r="AP34" s="5">
        <f>RANK(clean[[#This Row],[Clean Gold]],clean[Clean Gold], 0)</f>
        <v>220</v>
      </c>
      <c r="AQ34" s="1">
        <v>210</v>
      </c>
      <c r="AR34" s="1" t="str" cm="1">
        <f t="array" ref="AR34">_xlfn.IFS(clean[[#This Row],[Clean Level]]&gt;=76, "Legend", clean[[#This Row],[Clean Level]]&gt;=51, "Elite", clean[[#This Row],[Clean Level]]&gt;=26, "Veteran", TRUE, "Rookie")</f>
        <v>Rookie</v>
      </c>
      <c r="AS34" s="1" t="str">
        <f>IF(RPG_dataset[[#This Row],[Status]]="Active", "TRUE", "FALSE")</f>
        <v>FALSE</v>
      </c>
      <c r="AT34" s="1" t="str" cm="1">
        <f t="array" ref="AT34">_xlfn.IFS(clean[[#This Row],[Clean Win Rate]]&gt;70, "Excellent", clean[[#This Row],[Clean Win Rate]]&gt;=40, "Average", TRUE, "Poor")</f>
        <v>Excellent</v>
      </c>
      <c r="AU34" s="1" t="str">
        <f>IF(AND(clean[[#This Row],[Clean Level]]&gt;80, clean[[#This Row],[Clean Total Stat]]&gt;350, clean[[#This Row],[Clean Gold]]&gt;500000), "Overpowered", "Normal")</f>
        <v>Normal</v>
      </c>
      <c r="AV34" s="1" t="str" cm="1">
        <f t="array" ref="AV3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4" s="1" t="str" cm="1">
        <f t="array" ref="AW3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34" s="1"/>
    </row>
    <row r="35" spans="1:50" x14ac:dyDescent="0.3">
      <c r="A35" s="2" t="s">
        <v>217</v>
      </c>
      <c r="B35" s="2" t="s">
        <v>218</v>
      </c>
      <c r="C35" s="2" t="s">
        <v>219</v>
      </c>
      <c r="D35" s="2" t="s">
        <v>139</v>
      </c>
      <c r="E35" s="2" t="s">
        <v>51</v>
      </c>
      <c r="F35" s="2" t="s">
        <v>72</v>
      </c>
      <c r="G35" s="2">
        <v>94</v>
      </c>
      <c r="H35" s="2" t="s">
        <v>157</v>
      </c>
      <c r="I35" s="2" t="s">
        <v>126</v>
      </c>
      <c r="J35" s="2" t="s">
        <v>120</v>
      </c>
      <c r="K35" s="2" t="s">
        <v>44</v>
      </c>
      <c r="L35" s="6" t="s">
        <v>220</v>
      </c>
      <c r="M35" s="2">
        <v>33</v>
      </c>
      <c r="N35" s="2">
        <v>118</v>
      </c>
      <c r="O35" s="2">
        <v>17</v>
      </c>
      <c r="P35" s="2">
        <v>1929</v>
      </c>
      <c r="Q35" s="2">
        <v>1988</v>
      </c>
      <c r="R35" s="2">
        <v>168</v>
      </c>
      <c r="S35" s="2">
        <v>3550</v>
      </c>
      <c r="T35" s="2">
        <v>679</v>
      </c>
      <c r="U35" s="2">
        <v>271</v>
      </c>
      <c r="V35" s="2">
        <v>84</v>
      </c>
      <c r="W35" s="2">
        <v>8712</v>
      </c>
      <c r="X35" s="9">
        <v>630672</v>
      </c>
      <c r="Y35" s="2" t="s">
        <v>36</v>
      </c>
      <c r="AA35" s="1" t="str">
        <f>TRIM(RPG_dataset[[#This Row],[Username]])</f>
        <v>torin_631</v>
      </c>
      <c r="AB35" s="1" t="str">
        <f>TRIM(RPG_dataset[[#This Row],[First Name]])</f>
        <v>Torin</v>
      </c>
      <c r="AC35" s="1" t="str">
        <f>PROPER(TRIM(RPG_dataset[[#This Row],[Race]]))</f>
        <v>Tiefling</v>
      </c>
      <c r="AD35" s="1" t="str">
        <f>PROPER(TRIM(RPG_dataset[[#This Row],[Class]]))</f>
        <v>Warrior</v>
      </c>
      <c r="AE35" s="1">
        <f>ABS(RPG_dataset[[#This Row],[Level]])</f>
        <v>94</v>
      </c>
      <c r="AF35" s="1">
        <f>ABS(RPG_dataset[[#This Row],[ATK]])</f>
        <v>33</v>
      </c>
      <c r="AG35" s="1">
        <f>ABS(RPG_dataset[[#This Row],[DEF]])</f>
        <v>118</v>
      </c>
      <c r="AH35" s="1">
        <f>ABS(RPG_dataset[[#This Row],[SPD]])</f>
        <v>17</v>
      </c>
      <c r="AI35" s="1">
        <f>ABS(RPG_dataset[[#This Row],[HP]])</f>
        <v>1929</v>
      </c>
      <c r="AJ35" s="1">
        <f>ABS(RPG_dataset[[#This Row],[MP]])</f>
        <v>1988</v>
      </c>
      <c r="AK35" s="1">
        <f>ABS(RPG_dataset[[#This Row],[Total Stat]])</f>
        <v>168</v>
      </c>
      <c r="AL35" s="1">
        <f>ABS(RPG_dataset[[#This Row],[Kills]])</f>
        <v>3550</v>
      </c>
      <c r="AM35" s="12">
        <f>ABS(RPG_dataset[[#This Row],[Win Rate (%)]])</f>
        <v>84</v>
      </c>
      <c r="AN35" s="4">
        <f>ABS(RPG_dataset[[#This Row],[Gold Earned]])</f>
        <v>630672</v>
      </c>
      <c r="AO35" s="5" t="str">
        <f t="shared" si="0"/>
        <v>OK</v>
      </c>
      <c r="AP35" s="5">
        <f>RANK(clean[[#This Row],[Clean Gold]],clean[Clean Gold], 0)</f>
        <v>184</v>
      </c>
      <c r="AQ35" s="1">
        <v>221</v>
      </c>
      <c r="AR35" s="1" t="str" cm="1">
        <f t="array" ref="AR35">_xlfn.IFS(clean[[#This Row],[Clean Level]]&gt;=76, "Legend", clean[[#This Row],[Clean Level]]&gt;=51, "Elite", clean[[#This Row],[Clean Level]]&gt;=26, "Veteran", TRUE, "Rookie")</f>
        <v>Legend</v>
      </c>
      <c r="AS35" s="1" t="str">
        <f>IF(RPG_dataset[[#This Row],[Status]]="Active", "TRUE", "FALSE")</f>
        <v>TRUE</v>
      </c>
      <c r="AT35" s="1" t="str" cm="1">
        <f t="array" ref="AT35">_xlfn.IFS(clean[[#This Row],[Clean Win Rate]]&gt;70, "Excellent", clean[[#This Row],[Clean Win Rate]]&gt;=40, "Average", TRUE, "Poor")</f>
        <v>Excellent</v>
      </c>
      <c r="AU35" s="1" t="str">
        <f>IF(AND(clean[[#This Row],[Clean Level]]&gt;80, clean[[#This Row],[Clean Total Stat]]&gt;350, clean[[#This Row],[Clean Gold]]&gt;500000), "Overpowered", "Normal")</f>
        <v>Normal</v>
      </c>
      <c r="AV35" s="1" t="str" cm="1">
        <f t="array" ref="AV35">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35" s="1" t="str" cm="1">
        <f t="array" ref="AW3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5" s="1"/>
    </row>
    <row r="36" spans="1:50" x14ac:dyDescent="0.3">
      <c r="A36" s="2" t="s">
        <v>221</v>
      </c>
      <c r="B36" s="2" t="s">
        <v>222</v>
      </c>
      <c r="C36" s="2" t="s">
        <v>223</v>
      </c>
      <c r="D36" s="2" t="s">
        <v>131</v>
      </c>
      <c r="E36" s="2" t="s">
        <v>29</v>
      </c>
      <c r="F36" s="2" t="s">
        <v>98</v>
      </c>
      <c r="G36" s="2">
        <v>86</v>
      </c>
      <c r="H36" s="2" t="s">
        <v>80</v>
      </c>
      <c r="I36" s="2" t="s">
        <v>126</v>
      </c>
      <c r="J36" s="2" t="s">
        <v>163</v>
      </c>
      <c r="K36" s="2" t="s">
        <v>75</v>
      </c>
      <c r="L36" s="6" t="s">
        <v>224</v>
      </c>
      <c r="M36" s="2">
        <v>29</v>
      </c>
      <c r="N36" s="2">
        <v>16</v>
      </c>
      <c r="O36" s="2">
        <v>40</v>
      </c>
      <c r="P36" s="2">
        <v>3743</v>
      </c>
      <c r="Q36" s="2">
        <v>695</v>
      </c>
      <c r="R36" s="2">
        <v>85</v>
      </c>
      <c r="S36" s="2">
        <v>1415</v>
      </c>
      <c r="T36" s="2">
        <v>299</v>
      </c>
      <c r="U36" s="2">
        <v>214</v>
      </c>
      <c r="V36" s="2">
        <v>83</v>
      </c>
      <c r="W36" s="2">
        <v>-2348</v>
      </c>
      <c r="X36" s="9">
        <v>739463</v>
      </c>
      <c r="Y36" s="2" t="s">
        <v>36</v>
      </c>
      <c r="AA36" s="1" t="str">
        <f>TRIM(RPG_dataset[[#This Row],[Username]])</f>
        <v>lyra_137</v>
      </c>
      <c r="AB36" s="1" t="str">
        <f>TRIM(RPG_dataset[[#This Row],[First Name]])</f>
        <v>Lyra</v>
      </c>
      <c r="AC36" s="1" t="str">
        <f>PROPER(TRIM(RPG_dataset[[#This Row],[Race]]))</f>
        <v>Dwarf</v>
      </c>
      <c r="AD36" s="1" t="str">
        <f>PROPER(TRIM(RPG_dataset[[#This Row],[Class]]))</f>
        <v>Mage</v>
      </c>
      <c r="AE36" s="1">
        <f>ABS(RPG_dataset[[#This Row],[Level]])</f>
        <v>86</v>
      </c>
      <c r="AF36" s="1">
        <f>ABS(RPG_dataset[[#This Row],[ATK]])</f>
        <v>29</v>
      </c>
      <c r="AG36" s="1">
        <f>ABS(RPG_dataset[[#This Row],[DEF]])</f>
        <v>16</v>
      </c>
      <c r="AH36" s="1">
        <f>ABS(RPG_dataset[[#This Row],[SPD]])</f>
        <v>40</v>
      </c>
      <c r="AI36" s="1">
        <f>ABS(RPG_dataset[[#This Row],[HP]])</f>
        <v>3743</v>
      </c>
      <c r="AJ36" s="1">
        <f>ABS(RPG_dataset[[#This Row],[MP]])</f>
        <v>695</v>
      </c>
      <c r="AK36" s="1">
        <f>ABS(RPG_dataset[[#This Row],[Total Stat]])</f>
        <v>85</v>
      </c>
      <c r="AL36" s="1">
        <f>ABS(RPG_dataset[[#This Row],[Kills]])</f>
        <v>1415</v>
      </c>
      <c r="AM36" s="12">
        <f>ABS(RPG_dataset[[#This Row],[Win Rate (%)]])</f>
        <v>83</v>
      </c>
      <c r="AN36" s="4">
        <f>ABS(RPG_dataset[[#This Row],[Gold Earned]])</f>
        <v>739463</v>
      </c>
      <c r="AO36" s="5" t="str">
        <f t="shared" si="0"/>
        <v>OK</v>
      </c>
      <c r="AP36" s="5">
        <f>RANK(clean[[#This Row],[Clean Gold]],clean[Clean Gold], 0)</f>
        <v>134</v>
      </c>
      <c r="AQ36" s="1">
        <v>254</v>
      </c>
      <c r="AR36" s="1" t="str" cm="1">
        <f t="array" ref="AR36">_xlfn.IFS(clean[[#This Row],[Clean Level]]&gt;=76, "Legend", clean[[#This Row],[Clean Level]]&gt;=51, "Elite", clean[[#This Row],[Clean Level]]&gt;=26, "Veteran", TRUE, "Rookie")</f>
        <v>Legend</v>
      </c>
      <c r="AS36" s="1" t="str">
        <f>IF(RPG_dataset[[#This Row],[Status]]="Active", "TRUE", "FALSE")</f>
        <v>FALSE</v>
      </c>
      <c r="AT36" s="1" t="str" cm="1">
        <f t="array" ref="AT36">_xlfn.IFS(clean[[#This Row],[Clean Win Rate]]&gt;70, "Excellent", clean[[#This Row],[Clean Win Rate]]&gt;=40, "Average", TRUE, "Poor")</f>
        <v>Excellent</v>
      </c>
      <c r="AU36" s="1" t="str">
        <f>IF(AND(clean[[#This Row],[Clean Level]]&gt;80, clean[[#This Row],[Clean Total Stat]]&gt;350, clean[[#This Row],[Clean Gold]]&gt;500000), "Overpowered", "Normal")</f>
        <v>Normal</v>
      </c>
      <c r="AV36" s="1" t="str" cm="1">
        <f t="array" ref="AV36">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36" s="1" t="str" cm="1">
        <f t="array" ref="AW3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6" s="1"/>
    </row>
    <row r="37" spans="1:50" x14ac:dyDescent="0.3">
      <c r="A37" s="2" t="s">
        <v>225</v>
      </c>
      <c r="B37" s="2" t="s">
        <v>226</v>
      </c>
      <c r="C37" s="2" t="s">
        <v>227</v>
      </c>
      <c r="D37" s="2" t="s">
        <v>150</v>
      </c>
      <c r="E37" s="2" t="s">
        <v>228</v>
      </c>
      <c r="F37" s="2" t="s">
        <v>194</v>
      </c>
      <c r="G37" s="2">
        <v>78</v>
      </c>
      <c r="H37" s="2" t="s">
        <v>229</v>
      </c>
      <c r="I37" s="2" t="s">
        <v>63</v>
      </c>
      <c r="J37" s="2" t="s">
        <v>81</v>
      </c>
      <c r="K37" s="2" t="s">
        <v>106</v>
      </c>
      <c r="L37" s="6" t="s">
        <v>230</v>
      </c>
      <c r="M37" s="2">
        <v>59</v>
      </c>
      <c r="N37" s="2">
        <v>96</v>
      </c>
      <c r="O37" s="2">
        <v>52</v>
      </c>
      <c r="P37" s="2">
        <v>1781</v>
      </c>
      <c r="Q37" s="2">
        <v>2160</v>
      </c>
      <c r="R37" s="2">
        <v>207</v>
      </c>
      <c r="S37" s="2">
        <v>4068</v>
      </c>
      <c r="T37" s="2">
        <v>655</v>
      </c>
      <c r="U37" s="2">
        <v>264</v>
      </c>
      <c r="V37" s="2">
        <v>86</v>
      </c>
      <c r="W37" s="2">
        <v>6224</v>
      </c>
      <c r="X37" s="9">
        <v>499403</v>
      </c>
      <c r="Y37" s="2" t="s">
        <v>46</v>
      </c>
      <c r="AA37" s="1" t="str">
        <f>TRIM(RPG_dataset[[#This Row],[Username]])</f>
        <v>nyx_949</v>
      </c>
      <c r="AB37" s="1" t="str">
        <f>TRIM(RPG_dataset[[#This Row],[First Name]])</f>
        <v>Nyx</v>
      </c>
      <c r="AC37" s="1" t="str">
        <f>PROPER(TRIM(RPG_dataset[[#This Row],[Race]]))</f>
        <v>Elf</v>
      </c>
      <c r="AD37" s="1" t="str">
        <f>PROPER(TRIM(RPG_dataset[[#This Row],[Class]]))</f>
        <v>Paladin</v>
      </c>
      <c r="AE37" s="1">
        <f>ABS(RPG_dataset[[#This Row],[Level]])</f>
        <v>78</v>
      </c>
      <c r="AF37" s="1">
        <f>ABS(RPG_dataset[[#This Row],[ATK]])</f>
        <v>59</v>
      </c>
      <c r="AG37" s="1">
        <f>ABS(RPG_dataset[[#This Row],[DEF]])</f>
        <v>96</v>
      </c>
      <c r="AH37" s="1">
        <f>ABS(RPG_dataset[[#This Row],[SPD]])</f>
        <v>52</v>
      </c>
      <c r="AI37" s="1">
        <f>ABS(RPG_dataset[[#This Row],[HP]])</f>
        <v>1781</v>
      </c>
      <c r="AJ37" s="1">
        <f>ABS(RPG_dataset[[#This Row],[MP]])</f>
        <v>2160</v>
      </c>
      <c r="AK37" s="1">
        <f>ABS(RPG_dataset[[#This Row],[Total Stat]])</f>
        <v>207</v>
      </c>
      <c r="AL37" s="1">
        <f>ABS(RPG_dataset[[#This Row],[Kills]])</f>
        <v>4068</v>
      </c>
      <c r="AM37" s="12">
        <f>ABS(RPG_dataset[[#This Row],[Win Rate (%)]])</f>
        <v>86</v>
      </c>
      <c r="AN37" s="4">
        <f>ABS(RPG_dataset[[#This Row],[Gold Earned]])</f>
        <v>499403</v>
      </c>
      <c r="AO37" s="5" t="str">
        <f t="shared" si="0"/>
        <v>OK</v>
      </c>
      <c r="AP37" s="5">
        <f>RANK(clean[[#This Row],[Clean Gold]],clean[Clean Gold], 0)</f>
        <v>252</v>
      </c>
      <c r="AQ37" s="1">
        <v>262</v>
      </c>
      <c r="AR37" s="1" t="str" cm="1">
        <f t="array" ref="AR37">_xlfn.IFS(clean[[#This Row],[Clean Level]]&gt;=76, "Legend", clean[[#This Row],[Clean Level]]&gt;=51, "Elite", clean[[#This Row],[Clean Level]]&gt;=26, "Veteran", TRUE, "Rookie")</f>
        <v>Legend</v>
      </c>
      <c r="AS37" s="1" t="str">
        <f>IF(RPG_dataset[[#This Row],[Status]]="Active", "TRUE", "FALSE")</f>
        <v>FALSE</v>
      </c>
      <c r="AT37" s="1" t="str" cm="1">
        <f t="array" ref="AT37">_xlfn.IFS(clean[[#This Row],[Clean Win Rate]]&gt;70, "Excellent", clean[[#This Row],[Clean Win Rate]]&gt;=40, "Average", TRUE, "Poor")</f>
        <v>Excellent</v>
      </c>
      <c r="AU37" s="1" t="str">
        <f>IF(AND(clean[[#This Row],[Clean Level]]&gt;80, clean[[#This Row],[Clean Total Stat]]&gt;350, clean[[#This Row],[Clean Gold]]&gt;500000), "Overpowered", "Normal")</f>
        <v>Normal</v>
      </c>
      <c r="AV37" s="1" t="str" cm="1">
        <f t="array" ref="AV3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7" s="1" t="str" cm="1">
        <f t="array" ref="AW3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7" s="1"/>
    </row>
    <row r="38" spans="1:50" x14ac:dyDescent="0.3">
      <c r="A38" s="2" t="s">
        <v>231</v>
      </c>
      <c r="B38" s="2" t="s">
        <v>232</v>
      </c>
      <c r="C38" s="2" t="s">
        <v>233</v>
      </c>
      <c r="D38" s="2" t="s">
        <v>234</v>
      </c>
      <c r="E38" s="2" t="s">
        <v>169</v>
      </c>
      <c r="F38" s="2" t="s">
        <v>72</v>
      </c>
      <c r="G38" s="2">
        <v>23</v>
      </c>
      <c r="H38" s="2" t="s">
        <v>31</v>
      </c>
      <c r="I38" s="2" t="s">
        <v>54</v>
      </c>
      <c r="J38" s="2" t="s">
        <v>81</v>
      </c>
      <c r="K38" s="2" t="s">
        <v>44</v>
      </c>
      <c r="L38" s="6" t="s">
        <v>235</v>
      </c>
      <c r="M38" s="2">
        <v>117</v>
      </c>
      <c r="N38" s="2">
        <v>25</v>
      </c>
      <c r="O38" s="2">
        <v>-131</v>
      </c>
      <c r="P38" s="2">
        <v>4007</v>
      </c>
      <c r="Q38" s="2">
        <v>2012</v>
      </c>
      <c r="R38" s="2">
        <v>273</v>
      </c>
      <c r="S38" s="2">
        <v>4739</v>
      </c>
      <c r="T38" s="2">
        <v>775</v>
      </c>
      <c r="U38" s="2">
        <v>186</v>
      </c>
      <c r="V38" s="2">
        <v>-86</v>
      </c>
      <c r="W38" s="2">
        <v>2237</v>
      </c>
      <c r="X38" s="9">
        <v>-573092</v>
      </c>
      <c r="Y38" s="2" t="s">
        <v>36</v>
      </c>
      <c r="AA38" s="1" t="str">
        <f>TRIM(RPG_dataset[[#This Row],[Username]])</f>
        <v>finn_122</v>
      </c>
      <c r="AB38" s="1" t="str">
        <f>TRIM(RPG_dataset[[#This Row],[First Name]])</f>
        <v>Finn</v>
      </c>
      <c r="AC38" s="1" t="str">
        <f>PROPER(TRIM(RPG_dataset[[#This Row],[Race]]))</f>
        <v>Halfling</v>
      </c>
      <c r="AD38" s="1" t="str">
        <f>PROPER(TRIM(RPG_dataset[[#This Row],[Class]]))</f>
        <v>Warrior</v>
      </c>
      <c r="AE38" s="1">
        <f>ABS(RPG_dataset[[#This Row],[Level]])</f>
        <v>23</v>
      </c>
      <c r="AF38" s="1">
        <f>ABS(RPG_dataset[[#This Row],[ATK]])</f>
        <v>117</v>
      </c>
      <c r="AG38" s="1">
        <f>ABS(RPG_dataset[[#This Row],[DEF]])</f>
        <v>25</v>
      </c>
      <c r="AH38" s="1">
        <f>ABS(RPG_dataset[[#This Row],[SPD]])</f>
        <v>131</v>
      </c>
      <c r="AI38" s="1">
        <f>ABS(RPG_dataset[[#This Row],[HP]])</f>
        <v>4007</v>
      </c>
      <c r="AJ38" s="1">
        <f>ABS(RPG_dataset[[#This Row],[MP]])</f>
        <v>2012</v>
      </c>
      <c r="AK38" s="1">
        <f>ABS(RPG_dataset[[#This Row],[Total Stat]])</f>
        <v>273</v>
      </c>
      <c r="AL38" s="1">
        <f>ABS(RPG_dataset[[#This Row],[Kills]])</f>
        <v>4739</v>
      </c>
      <c r="AM38" s="12">
        <f>ABS(RPG_dataset[[#This Row],[Win Rate (%)]])</f>
        <v>86</v>
      </c>
      <c r="AN38" s="4">
        <f>ABS(RPG_dataset[[#This Row],[Gold Earned]])</f>
        <v>573092</v>
      </c>
      <c r="AO38" s="5" t="str">
        <f t="shared" si="0"/>
        <v>OK</v>
      </c>
      <c r="AP38" s="5">
        <f>RANK(clean[[#This Row],[Clean Gold]],clean[Clean Gold], 0)</f>
        <v>215</v>
      </c>
      <c r="AQ38" s="1">
        <v>227</v>
      </c>
      <c r="AR38" s="1" t="str" cm="1">
        <f t="array" ref="AR38">_xlfn.IFS(clean[[#This Row],[Clean Level]]&gt;=76, "Legend", clean[[#This Row],[Clean Level]]&gt;=51, "Elite", clean[[#This Row],[Clean Level]]&gt;=26, "Veteran", TRUE, "Rookie")</f>
        <v>Rookie</v>
      </c>
      <c r="AS38" s="1" t="str">
        <f>IF(RPG_dataset[[#This Row],[Status]]="Active", "TRUE", "FALSE")</f>
        <v>TRUE</v>
      </c>
      <c r="AT38" s="1" t="str" cm="1">
        <f t="array" ref="AT38">_xlfn.IFS(clean[[#This Row],[Clean Win Rate]]&gt;70, "Excellent", clean[[#This Row],[Clean Win Rate]]&gt;=40, "Average", TRUE, "Poor")</f>
        <v>Excellent</v>
      </c>
      <c r="AU38" s="1" t="str">
        <f>IF(AND(clean[[#This Row],[Clean Level]]&gt;80, clean[[#This Row],[Clean Total Stat]]&gt;350, clean[[#This Row],[Clean Gold]]&gt;500000), "Overpowered", "Normal")</f>
        <v>Normal</v>
      </c>
      <c r="AV38" s="1" t="str" cm="1">
        <f t="array" ref="AV3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8" s="1" t="str" cm="1">
        <f t="array" ref="AW3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8" s="1"/>
    </row>
    <row r="39" spans="1:50" x14ac:dyDescent="0.3">
      <c r="A39" s="2" t="s">
        <v>236</v>
      </c>
      <c r="B39" s="2" t="s">
        <v>237</v>
      </c>
      <c r="C39" s="2" t="s">
        <v>238</v>
      </c>
      <c r="D39" s="2" t="s">
        <v>150</v>
      </c>
      <c r="E39" s="2" t="s">
        <v>169</v>
      </c>
      <c r="F39" s="2" t="s">
        <v>30</v>
      </c>
      <c r="G39" s="2">
        <v>69</v>
      </c>
      <c r="H39" s="2" t="s">
        <v>239</v>
      </c>
      <c r="I39" s="2" t="s">
        <v>126</v>
      </c>
      <c r="J39" s="2" t="s">
        <v>111</v>
      </c>
      <c r="K39" s="2" t="s">
        <v>106</v>
      </c>
      <c r="L39" s="6" t="s">
        <v>240</v>
      </c>
      <c r="M39" s="2">
        <v>150</v>
      </c>
      <c r="N39" s="2">
        <v>124</v>
      </c>
      <c r="O39" s="2">
        <v>96</v>
      </c>
      <c r="P39" s="2">
        <v>3669</v>
      </c>
      <c r="Q39" s="2">
        <v>2324</v>
      </c>
      <c r="R39" s="2">
        <v>370</v>
      </c>
      <c r="S39" s="2">
        <v>3904</v>
      </c>
      <c r="T39" s="2">
        <v>152</v>
      </c>
      <c r="U39" s="2">
        <v>106</v>
      </c>
      <c r="V39" s="2">
        <v>96</v>
      </c>
      <c r="W39" s="2">
        <v>6089</v>
      </c>
      <c r="X39" s="9">
        <v>991709</v>
      </c>
      <c r="Y39" s="2" t="s">
        <v>46</v>
      </c>
      <c r="AA39" s="1" t="str">
        <f>TRIM(RPG_dataset[[#This Row],[Username]])</f>
        <v>cael_120</v>
      </c>
      <c r="AB39" s="1" t="str">
        <f>TRIM(RPG_dataset[[#This Row],[First Name]])</f>
        <v>Cael</v>
      </c>
      <c r="AC39" s="1" t="str">
        <f>PROPER(TRIM(RPG_dataset[[#This Row],[Race]]))</f>
        <v>Halfling</v>
      </c>
      <c r="AD39" s="1" t="str">
        <f>PROPER(TRIM(RPG_dataset[[#This Row],[Class]]))</f>
        <v>Rogue</v>
      </c>
      <c r="AE39" s="1">
        <f>ABS(RPG_dataset[[#This Row],[Level]])</f>
        <v>69</v>
      </c>
      <c r="AF39" s="1">
        <f>ABS(RPG_dataset[[#This Row],[ATK]])</f>
        <v>150</v>
      </c>
      <c r="AG39" s="1">
        <f>ABS(RPG_dataset[[#This Row],[DEF]])</f>
        <v>124</v>
      </c>
      <c r="AH39" s="1">
        <f>ABS(RPG_dataset[[#This Row],[SPD]])</f>
        <v>96</v>
      </c>
      <c r="AI39" s="1">
        <f>ABS(RPG_dataset[[#This Row],[HP]])</f>
        <v>3669</v>
      </c>
      <c r="AJ39" s="1">
        <f>ABS(RPG_dataset[[#This Row],[MP]])</f>
        <v>2324</v>
      </c>
      <c r="AK39" s="1">
        <f>ABS(RPG_dataset[[#This Row],[Total Stat]])</f>
        <v>370</v>
      </c>
      <c r="AL39" s="1">
        <f>ABS(RPG_dataset[[#This Row],[Kills]])</f>
        <v>3904</v>
      </c>
      <c r="AM39" s="12">
        <f>ABS(RPG_dataset[[#This Row],[Win Rate (%)]])</f>
        <v>96</v>
      </c>
      <c r="AN39" s="4">
        <f>ABS(RPG_dataset[[#This Row],[Gold Earned]])</f>
        <v>991709</v>
      </c>
      <c r="AO39" s="5" t="str">
        <f t="shared" si="0"/>
        <v>OK</v>
      </c>
      <c r="AP39" s="5">
        <f>RANK(clean[[#This Row],[Clean Gold]],clean[Clean Gold], 0)</f>
        <v>4</v>
      </c>
      <c r="AQ39" s="1">
        <v>118</v>
      </c>
      <c r="AR39" s="1" t="str" cm="1">
        <f t="array" ref="AR39">_xlfn.IFS(clean[[#This Row],[Clean Level]]&gt;=76, "Legend", clean[[#This Row],[Clean Level]]&gt;=51, "Elite", clean[[#This Row],[Clean Level]]&gt;=26, "Veteran", TRUE, "Rookie")</f>
        <v>Elite</v>
      </c>
      <c r="AS39" s="1" t="str">
        <f>IF(RPG_dataset[[#This Row],[Status]]="Active", "TRUE", "FALSE")</f>
        <v>FALSE</v>
      </c>
      <c r="AT39" s="1" t="str" cm="1">
        <f t="array" ref="AT39">_xlfn.IFS(clean[[#This Row],[Clean Win Rate]]&gt;70, "Excellent", clean[[#This Row],[Clean Win Rate]]&gt;=40, "Average", TRUE, "Poor")</f>
        <v>Excellent</v>
      </c>
      <c r="AU39" s="1" t="str">
        <f>IF(AND(clean[[#This Row],[Clean Level]]&gt;80, clean[[#This Row],[Clean Total Stat]]&gt;350, clean[[#This Row],[Clean Gold]]&gt;500000), "Overpowered", "Normal")</f>
        <v>Normal</v>
      </c>
      <c r="AV39" s="1" t="str" cm="1">
        <f t="array" ref="AV3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9" s="1" t="str" cm="1">
        <f t="array" ref="AW3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9" s="1"/>
    </row>
    <row r="40" spans="1:50" x14ac:dyDescent="0.3">
      <c r="A40" s="2" t="s">
        <v>241</v>
      </c>
      <c r="B40" s="2" t="s">
        <v>242</v>
      </c>
      <c r="C40" s="2" t="s">
        <v>75</v>
      </c>
      <c r="D40" s="2" t="s">
        <v>168</v>
      </c>
      <c r="E40" s="2" t="s">
        <v>41</v>
      </c>
      <c r="F40" s="2" t="s">
        <v>98</v>
      </c>
      <c r="G40" s="2">
        <v>83</v>
      </c>
      <c r="H40" s="2" t="s">
        <v>53</v>
      </c>
      <c r="I40" s="2" t="s">
        <v>126</v>
      </c>
      <c r="J40" s="2" t="s">
        <v>33</v>
      </c>
      <c r="K40" s="2" t="s">
        <v>44</v>
      </c>
      <c r="L40" s="6" t="s">
        <v>243</v>
      </c>
      <c r="M40" s="2">
        <v>128</v>
      </c>
      <c r="N40" s="2">
        <v>103</v>
      </c>
      <c r="O40" s="2">
        <v>35</v>
      </c>
      <c r="P40" s="2">
        <v>2201</v>
      </c>
      <c r="Q40" s="2">
        <v>1317</v>
      </c>
      <c r="R40" s="2">
        <v>266</v>
      </c>
      <c r="S40" s="2">
        <v>2296</v>
      </c>
      <c r="T40" s="2">
        <v>427</v>
      </c>
      <c r="U40" s="2">
        <v>298</v>
      </c>
      <c r="V40" s="2">
        <v>84</v>
      </c>
      <c r="W40" s="2">
        <v>4022</v>
      </c>
      <c r="X40" s="9">
        <v>419793</v>
      </c>
      <c r="Y40" s="2" t="s">
        <v>46</v>
      </c>
      <c r="AA40" s="1" t="str">
        <f>TRIM(RPG_dataset[[#This Row],[Username]])</f>
        <v>cedric_604</v>
      </c>
      <c r="AB40" s="1" t="str">
        <f>TRIM(RPG_dataset[[#This Row],[First Name]])</f>
        <v/>
      </c>
      <c r="AC40" s="1" t="str">
        <f>PROPER(TRIM(RPG_dataset[[#This Row],[Race]]))</f>
        <v>Gnome</v>
      </c>
      <c r="AD40" s="1" t="str">
        <f>PROPER(TRIM(RPG_dataset[[#This Row],[Class]]))</f>
        <v>Mage</v>
      </c>
      <c r="AE40" s="1">
        <f>ABS(RPG_dataset[[#This Row],[Level]])</f>
        <v>83</v>
      </c>
      <c r="AF40" s="1">
        <f>ABS(RPG_dataset[[#This Row],[ATK]])</f>
        <v>128</v>
      </c>
      <c r="AG40" s="1">
        <f>ABS(RPG_dataset[[#This Row],[DEF]])</f>
        <v>103</v>
      </c>
      <c r="AH40" s="1">
        <f>ABS(RPG_dataset[[#This Row],[SPD]])</f>
        <v>35</v>
      </c>
      <c r="AI40" s="1">
        <f>ABS(RPG_dataset[[#This Row],[HP]])</f>
        <v>2201</v>
      </c>
      <c r="AJ40" s="1">
        <f>ABS(RPG_dataset[[#This Row],[MP]])</f>
        <v>1317</v>
      </c>
      <c r="AK40" s="1">
        <f>ABS(RPG_dataset[[#This Row],[Total Stat]])</f>
        <v>266</v>
      </c>
      <c r="AL40" s="1">
        <f>ABS(RPG_dataset[[#This Row],[Kills]])</f>
        <v>2296</v>
      </c>
      <c r="AM40" s="12">
        <f>ABS(RPG_dataset[[#This Row],[Win Rate (%)]])</f>
        <v>84</v>
      </c>
      <c r="AN40" s="4">
        <f>ABS(RPG_dataset[[#This Row],[Gold Earned]])</f>
        <v>419793</v>
      </c>
      <c r="AO40" s="5" t="str">
        <f t="shared" si="0"/>
        <v>OK</v>
      </c>
      <c r="AP40" s="5">
        <f>RANK(clean[[#This Row],[Clean Gold]],clean[Clean Gold], 0)</f>
        <v>297</v>
      </c>
      <c r="AQ40" s="1">
        <v>338</v>
      </c>
      <c r="AR40" s="1" t="str" cm="1">
        <f t="array" ref="AR40">_xlfn.IFS(clean[[#This Row],[Clean Level]]&gt;=76, "Legend", clean[[#This Row],[Clean Level]]&gt;=51, "Elite", clean[[#This Row],[Clean Level]]&gt;=26, "Veteran", TRUE, "Rookie")</f>
        <v>Legend</v>
      </c>
      <c r="AS40" s="1" t="str">
        <f>IF(RPG_dataset[[#This Row],[Status]]="Active", "TRUE", "FALSE")</f>
        <v>TRUE</v>
      </c>
      <c r="AT40" s="1" t="str" cm="1">
        <f t="array" ref="AT40">_xlfn.IFS(clean[[#This Row],[Clean Win Rate]]&gt;70, "Excellent", clean[[#This Row],[Clean Win Rate]]&gt;=40, "Average", TRUE, "Poor")</f>
        <v>Excellent</v>
      </c>
      <c r="AU40" s="1" t="str">
        <f>IF(AND(clean[[#This Row],[Clean Level]]&gt;80, clean[[#This Row],[Clean Total Stat]]&gt;350, clean[[#This Row],[Clean Gold]]&gt;500000), "Overpowered", "Normal")</f>
        <v>Normal</v>
      </c>
      <c r="AV40" s="1" t="str" cm="1">
        <f t="array" ref="AV4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0" s="1" t="str" cm="1">
        <f t="array" ref="AW4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40" s="1"/>
    </row>
    <row r="41" spans="1:50" x14ac:dyDescent="0.3">
      <c r="A41" s="2" t="s">
        <v>244</v>
      </c>
      <c r="B41" s="2" t="s">
        <v>245</v>
      </c>
      <c r="C41" s="2" t="s">
        <v>173</v>
      </c>
      <c r="D41" s="2" t="s">
        <v>162</v>
      </c>
      <c r="E41" s="2" t="s">
        <v>60</v>
      </c>
      <c r="F41" s="2" t="s">
        <v>61</v>
      </c>
      <c r="G41" s="2">
        <v>29</v>
      </c>
      <c r="H41" s="2" t="s">
        <v>73</v>
      </c>
      <c r="I41" s="2" t="s">
        <v>54</v>
      </c>
      <c r="J41" s="2" t="s">
        <v>111</v>
      </c>
      <c r="K41" s="2" t="s">
        <v>44</v>
      </c>
      <c r="L41" s="6" t="s">
        <v>246</v>
      </c>
      <c r="M41" s="2">
        <v>110</v>
      </c>
      <c r="N41" s="2">
        <v>26</v>
      </c>
      <c r="O41" s="2">
        <v>120</v>
      </c>
      <c r="P41" s="2">
        <v>1625</v>
      </c>
      <c r="Q41" s="2">
        <v>2828</v>
      </c>
      <c r="R41" s="2">
        <v>256</v>
      </c>
      <c r="S41" s="2">
        <v>3983</v>
      </c>
      <c r="T41" s="2">
        <v>454</v>
      </c>
      <c r="U41" s="2">
        <v>7</v>
      </c>
      <c r="V41" s="2">
        <v>90</v>
      </c>
      <c r="W41" s="2">
        <v>5410</v>
      </c>
      <c r="X41" s="9">
        <v>708023</v>
      </c>
      <c r="Y41" s="2" t="s">
        <v>36</v>
      </c>
      <c r="AA41" s="1" t="str">
        <f>TRIM(RPG_dataset[[#This Row],[Username]])</f>
        <v>rosa_364</v>
      </c>
      <c r="AB41" s="1" t="str">
        <f>TRIM(RPG_dataset[[#This Row],[First Name]])</f>
        <v>Rosa</v>
      </c>
      <c r="AC41" s="1" t="str">
        <f>PROPER(TRIM(RPG_dataset[[#This Row],[Race]]))</f>
        <v>Human</v>
      </c>
      <c r="AD41" s="1" t="str">
        <f>PROPER(TRIM(RPG_dataset[[#This Row],[Class]]))</f>
        <v>Ranger</v>
      </c>
      <c r="AE41" s="1">
        <f>ABS(RPG_dataset[[#This Row],[Level]])</f>
        <v>29</v>
      </c>
      <c r="AF41" s="1">
        <f>ABS(RPG_dataset[[#This Row],[ATK]])</f>
        <v>110</v>
      </c>
      <c r="AG41" s="1">
        <f>ABS(RPG_dataset[[#This Row],[DEF]])</f>
        <v>26</v>
      </c>
      <c r="AH41" s="1">
        <f>ABS(RPG_dataset[[#This Row],[SPD]])</f>
        <v>120</v>
      </c>
      <c r="AI41" s="1">
        <f>ABS(RPG_dataset[[#This Row],[HP]])</f>
        <v>1625</v>
      </c>
      <c r="AJ41" s="1">
        <f>ABS(RPG_dataset[[#This Row],[MP]])</f>
        <v>2828</v>
      </c>
      <c r="AK41" s="1">
        <f>ABS(RPG_dataset[[#This Row],[Total Stat]])</f>
        <v>256</v>
      </c>
      <c r="AL41" s="1">
        <f>ABS(RPG_dataset[[#This Row],[Kills]])</f>
        <v>3983</v>
      </c>
      <c r="AM41" s="12">
        <f>ABS(RPG_dataset[[#This Row],[Win Rate (%)]])</f>
        <v>90</v>
      </c>
      <c r="AN41" s="4">
        <f>ABS(RPG_dataset[[#This Row],[Gold Earned]])</f>
        <v>708023</v>
      </c>
      <c r="AO41" s="5" t="str">
        <f t="shared" si="0"/>
        <v>OK</v>
      </c>
      <c r="AP41" s="5">
        <f>RANK(clean[[#This Row],[Clean Gold]],clean[Clean Gold], 0)</f>
        <v>144</v>
      </c>
      <c r="AQ41" s="1">
        <v>139</v>
      </c>
      <c r="AR41" s="1" t="str" cm="1">
        <f t="array" ref="AR41">_xlfn.IFS(clean[[#This Row],[Clean Level]]&gt;=76, "Legend", clean[[#This Row],[Clean Level]]&gt;=51, "Elite", clean[[#This Row],[Clean Level]]&gt;=26, "Veteran", TRUE, "Rookie")</f>
        <v>Veteran</v>
      </c>
      <c r="AS41" s="1" t="str">
        <f>IF(RPG_dataset[[#This Row],[Status]]="Active", "TRUE", "FALSE")</f>
        <v>TRUE</v>
      </c>
      <c r="AT41" s="1" t="str" cm="1">
        <f t="array" ref="AT41">_xlfn.IFS(clean[[#This Row],[Clean Win Rate]]&gt;70, "Excellent", clean[[#This Row],[Clean Win Rate]]&gt;=40, "Average", TRUE, "Poor")</f>
        <v>Excellent</v>
      </c>
      <c r="AU41" s="1" t="str">
        <f>IF(AND(clean[[#This Row],[Clean Level]]&gt;80, clean[[#This Row],[Clean Total Stat]]&gt;350, clean[[#This Row],[Clean Gold]]&gt;500000), "Overpowered", "Normal")</f>
        <v>Normal</v>
      </c>
      <c r="AV41" s="1" t="str" cm="1">
        <f t="array" ref="AV4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1" s="1" t="str" cm="1">
        <f t="array" ref="AW4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1" s="1"/>
    </row>
    <row r="42" spans="1:50" x14ac:dyDescent="0.3">
      <c r="A42" s="2" t="s">
        <v>247</v>
      </c>
      <c r="B42" s="2" t="s">
        <v>248</v>
      </c>
      <c r="C42" s="2" t="s">
        <v>249</v>
      </c>
      <c r="D42" s="2" t="s">
        <v>250</v>
      </c>
      <c r="E42" s="2" t="s">
        <v>29</v>
      </c>
      <c r="F42" s="2" t="s">
        <v>72</v>
      </c>
      <c r="G42" s="2">
        <v>87</v>
      </c>
      <c r="H42" s="2" t="s">
        <v>157</v>
      </c>
      <c r="I42" s="2" t="s">
        <v>63</v>
      </c>
      <c r="J42" s="2" t="s">
        <v>92</v>
      </c>
      <c r="K42" s="2" t="s">
        <v>44</v>
      </c>
      <c r="L42" s="6" t="s">
        <v>251</v>
      </c>
      <c r="M42" s="2">
        <v>38</v>
      </c>
      <c r="N42" s="2">
        <v>103</v>
      </c>
      <c r="O42" s="2">
        <v>29</v>
      </c>
      <c r="P42" s="2">
        <v>524</v>
      </c>
      <c r="Q42" s="2">
        <v>2725</v>
      </c>
      <c r="R42" s="2">
        <v>170</v>
      </c>
      <c r="S42" s="2">
        <v>88</v>
      </c>
      <c r="T42" s="2">
        <v>864</v>
      </c>
      <c r="U42" s="2">
        <v>259</v>
      </c>
      <c r="V42" s="2">
        <v>9</v>
      </c>
      <c r="W42" s="2">
        <v>8186</v>
      </c>
      <c r="X42" s="9">
        <v>110358</v>
      </c>
      <c r="Y42" s="2" t="s">
        <v>46</v>
      </c>
      <c r="AA42" s="1" t="str">
        <f>TRIM(RPG_dataset[[#This Row],[Username]])</f>
        <v>aria_752</v>
      </c>
      <c r="AB42" s="1" t="str">
        <f>TRIM(RPG_dataset[[#This Row],[First Name]])</f>
        <v>ARIA</v>
      </c>
      <c r="AC42" s="1" t="str">
        <f>PROPER(TRIM(RPG_dataset[[#This Row],[Race]]))</f>
        <v>Dwarf</v>
      </c>
      <c r="AD42" s="1" t="str">
        <f>PROPER(TRIM(RPG_dataset[[#This Row],[Class]]))</f>
        <v>Warrior</v>
      </c>
      <c r="AE42" s="1">
        <f>ABS(RPG_dataset[[#This Row],[Level]])</f>
        <v>87</v>
      </c>
      <c r="AF42" s="1">
        <f>ABS(RPG_dataset[[#This Row],[ATK]])</f>
        <v>38</v>
      </c>
      <c r="AG42" s="1">
        <f>ABS(RPG_dataset[[#This Row],[DEF]])</f>
        <v>103</v>
      </c>
      <c r="AH42" s="1">
        <f>ABS(RPG_dataset[[#This Row],[SPD]])</f>
        <v>29</v>
      </c>
      <c r="AI42" s="1">
        <f>ABS(RPG_dataset[[#This Row],[HP]])</f>
        <v>524</v>
      </c>
      <c r="AJ42" s="1">
        <f>ABS(RPG_dataset[[#This Row],[MP]])</f>
        <v>2725</v>
      </c>
      <c r="AK42" s="1">
        <f>ABS(RPG_dataset[[#This Row],[Total Stat]])</f>
        <v>170</v>
      </c>
      <c r="AL42" s="1">
        <f>ABS(RPG_dataset[[#This Row],[Kills]])</f>
        <v>88</v>
      </c>
      <c r="AM42" s="12">
        <f>ABS(RPG_dataset[[#This Row],[Win Rate (%)]])</f>
        <v>9</v>
      </c>
      <c r="AN42" s="4">
        <f>ABS(RPG_dataset[[#This Row],[Gold Earned]])</f>
        <v>110358</v>
      </c>
      <c r="AO42" s="5" t="str">
        <f t="shared" si="0"/>
        <v>OK</v>
      </c>
      <c r="AP42" s="5">
        <f>RANK(clean[[#This Row],[Clean Gold]],clean[Clean Gold], 0)</f>
        <v>432</v>
      </c>
      <c r="AQ42" s="1">
        <v>240</v>
      </c>
      <c r="AR42" s="1" t="str" cm="1">
        <f t="array" ref="AR42">_xlfn.IFS(clean[[#This Row],[Clean Level]]&gt;=76, "Legend", clean[[#This Row],[Clean Level]]&gt;=51, "Elite", clean[[#This Row],[Clean Level]]&gt;=26, "Veteran", TRUE, "Rookie")</f>
        <v>Legend</v>
      </c>
      <c r="AS42" s="1" t="str">
        <f>IF(RPG_dataset[[#This Row],[Status]]="Active", "TRUE", "FALSE")</f>
        <v>TRUE</v>
      </c>
      <c r="AT42" s="1" t="str" cm="1">
        <f t="array" ref="AT42">_xlfn.IFS(clean[[#This Row],[Clean Win Rate]]&gt;70, "Excellent", clean[[#This Row],[Clean Win Rate]]&gt;=40, "Average", TRUE, "Poor")</f>
        <v>Poor</v>
      </c>
      <c r="AU42" s="1" t="str">
        <f>IF(AND(clean[[#This Row],[Clean Level]]&gt;80, clean[[#This Row],[Clean Total Stat]]&gt;350, clean[[#This Row],[Clean Gold]]&gt;500000), "Overpowered", "Normal")</f>
        <v>Normal</v>
      </c>
      <c r="AV42" s="1" t="str" cm="1">
        <f t="array" ref="AV4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2" s="1" t="str" cm="1">
        <f t="array" ref="AW4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42" s="1"/>
    </row>
    <row r="43" spans="1:50" x14ac:dyDescent="0.3">
      <c r="A43" s="2" t="s">
        <v>252</v>
      </c>
      <c r="B43" s="2" t="s">
        <v>75</v>
      </c>
      <c r="C43" s="2" t="s">
        <v>253</v>
      </c>
      <c r="D43" s="2" t="s">
        <v>254</v>
      </c>
      <c r="E43" s="2" t="s">
        <v>60</v>
      </c>
      <c r="F43" s="2" t="s">
        <v>98</v>
      </c>
      <c r="G43" s="2"/>
      <c r="H43" s="2" t="s">
        <v>125</v>
      </c>
      <c r="I43" s="2" t="s">
        <v>63</v>
      </c>
      <c r="J43" s="2" t="s">
        <v>163</v>
      </c>
      <c r="K43" s="2" t="s">
        <v>44</v>
      </c>
      <c r="L43" s="6" t="s">
        <v>255</v>
      </c>
      <c r="M43" s="2">
        <v>22</v>
      </c>
      <c r="N43" s="2">
        <v>140</v>
      </c>
      <c r="O43" s="2">
        <v>133</v>
      </c>
      <c r="P43" s="2">
        <v>155</v>
      </c>
      <c r="Q43" s="2">
        <v>443</v>
      </c>
      <c r="R43" s="2">
        <v>295</v>
      </c>
      <c r="S43" s="2"/>
      <c r="T43" s="2">
        <v>793</v>
      </c>
      <c r="U43" s="2">
        <v>74</v>
      </c>
      <c r="V43" s="2">
        <v>50</v>
      </c>
      <c r="W43" s="2">
        <v>7765</v>
      </c>
      <c r="X43" s="9">
        <v>290799</v>
      </c>
      <c r="Y43" s="2" t="s">
        <v>46</v>
      </c>
      <c r="AA43" s="1" t="str">
        <f>TRIM(RPG_dataset[[#This Row],[Username]])</f>
        <v/>
      </c>
      <c r="AB43" s="1" t="str">
        <f>TRIM(RPG_dataset[[#This Row],[First Name]])</f>
        <v>Freya</v>
      </c>
      <c r="AC43" s="1" t="str">
        <f>PROPER(TRIM(RPG_dataset[[#This Row],[Race]]))</f>
        <v>Human</v>
      </c>
      <c r="AD43" s="1" t="str">
        <f>PROPER(TRIM(RPG_dataset[[#This Row],[Class]]))</f>
        <v>Mage</v>
      </c>
      <c r="AE43" s="1">
        <f>ABS(RPG_dataset[[#This Row],[Level]])</f>
        <v>0</v>
      </c>
      <c r="AF43" s="1">
        <f>ABS(RPG_dataset[[#This Row],[ATK]])</f>
        <v>22</v>
      </c>
      <c r="AG43" s="1">
        <f>ABS(RPG_dataset[[#This Row],[DEF]])</f>
        <v>140</v>
      </c>
      <c r="AH43" s="1">
        <f>ABS(RPG_dataset[[#This Row],[SPD]])</f>
        <v>133</v>
      </c>
      <c r="AI43" s="1">
        <f>ABS(RPG_dataset[[#This Row],[HP]])</f>
        <v>155</v>
      </c>
      <c r="AJ43" s="1">
        <f>ABS(RPG_dataset[[#This Row],[MP]])</f>
        <v>443</v>
      </c>
      <c r="AK43" s="1">
        <f>ABS(RPG_dataset[[#This Row],[Total Stat]])</f>
        <v>295</v>
      </c>
      <c r="AL43" s="1">
        <f>ABS(RPG_dataset[[#This Row],[Kills]])</f>
        <v>0</v>
      </c>
      <c r="AM43" s="12">
        <f>ABS(RPG_dataset[[#This Row],[Win Rate (%)]])</f>
        <v>50</v>
      </c>
      <c r="AN43" s="4">
        <f>ABS(RPG_dataset[[#This Row],[Gold Earned]])</f>
        <v>290799</v>
      </c>
      <c r="AO43" s="5" t="str">
        <f t="shared" si="0"/>
        <v>Fix This</v>
      </c>
      <c r="AP43" s="5">
        <f>RANK(clean[[#This Row],[Clean Gold]],clean[Clean Gold], 0)</f>
        <v>356</v>
      </c>
      <c r="AQ43" s="1">
        <v>180</v>
      </c>
      <c r="AR43" s="1" t="str" cm="1">
        <f t="array" ref="AR43">_xlfn.IFS(clean[[#This Row],[Clean Level]]&gt;=76, "Legend", clean[[#This Row],[Clean Level]]&gt;=51, "Elite", clean[[#This Row],[Clean Level]]&gt;=26, "Veteran", TRUE, "Rookie")</f>
        <v>Rookie</v>
      </c>
      <c r="AS43" s="1" t="str">
        <f>IF(RPG_dataset[[#This Row],[Status]]="Active", "TRUE", "FALSE")</f>
        <v>TRUE</v>
      </c>
      <c r="AT43" s="1" t="str" cm="1">
        <f t="array" ref="AT43">_xlfn.IFS(clean[[#This Row],[Clean Win Rate]]&gt;70, "Excellent", clean[[#This Row],[Clean Win Rate]]&gt;=40, "Average", TRUE, "Poor")</f>
        <v>Average</v>
      </c>
      <c r="AU43" s="1" t="str">
        <f>IF(AND(clean[[#This Row],[Clean Level]]&gt;80, clean[[#This Row],[Clean Total Stat]]&gt;350, clean[[#This Row],[Clean Gold]]&gt;500000), "Overpowered", "Normal")</f>
        <v>Normal</v>
      </c>
      <c r="AV43" s="1" t="str" cm="1">
        <f t="array" ref="AV43">_xlfn.IFS(
(AND(OR(clean[[#This Row],[Tier]]="Elite", clean[[#This Row],[Tier]]="Legend"), clean[[#This Row],[Performance]]="Excellent", RPG_dataset[[#This Row],[Is Premium]]="Yes")), "High", OR(OR(clean[[#This Row],[Tier]]="Elite", clean[[#This Row],[Tier]]="Legend"), clean[[#This Row],[Performance]]="Excellent", RPG_dataset[[#This Row],[Is Premium]]="Yes"), "Medium", TRUE, "Low")</f>
        <v>Low</v>
      </c>
      <c r="AW43" s="1" t="str" cm="1">
        <f t="array" ref="AW4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3" s="1"/>
    </row>
    <row r="44" spans="1:50" x14ac:dyDescent="0.3">
      <c r="A44" s="2" t="s">
        <v>256</v>
      </c>
      <c r="B44" s="2" t="s">
        <v>257</v>
      </c>
      <c r="C44" s="2" t="s">
        <v>258</v>
      </c>
      <c r="D44" s="2" t="s">
        <v>139</v>
      </c>
      <c r="E44" s="2" t="s">
        <v>169</v>
      </c>
      <c r="F44" s="2" t="s">
        <v>194</v>
      </c>
      <c r="G44" s="2">
        <v>84</v>
      </c>
      <c r="H44" s="2" t="s">
        <v>125</v>
      </c>
      <c r="I44" s="2" t="s">
        <v>126</v>
      </c>
      <c r="J44" s="2" t="s">
        <v>111</v>
      </c>
      <c r="K44" s="2" t="s">
        <v>146</v>
      </c>
      <c r="L44" s="6" t="s">
        <v>259</v>
      </c>
      <c r="M44" s="2">
        <v>94</v>
      </c>
      <c r="N44" s="2">
        <v>54</v>
      </c>
      <c r="O44" s="2">
        <v>94</v>
      </c>
      <c r="P44" s="2">
        <v>1622</v>
      </c>
      <c r="Q44" s="2"/>
      <c r="R44" s="2">
        <v>242</v>
      </c>
      <c r="S44" s="2">
        <v>3610</v>
      </c>
      <c r="T44" s="2">
        <v>302</v>
      </c>
      <c r="U44" s="2">
        <v>176</v>
      </c>
      <c r="V44" s="2">
        <v>92</v>
      </c>
      <c r="W44" s="2">
        <v>4388</v>
      </c>
      <c r="X44" s="9">
        <v>957455</v>
      </c>
      <c r="Y44" s="2" t="s">
        <v>46</v>
      </c>
      <c r="AA44" s="1" t="str">
        <f>TRIM(RPG_dataset[[#This Row],[Username]])</f>
        <v>hana_536</v>
      </c>
      <c r="AB44" s="1" t="str">
        <f>TRIM(RPG_dataset[[#This Row],[First Name]])</f>
        <v>HANA</v>
      </c>
      <c r="AC44" s="1" t="str">
        <f>PROPER(TRIM(RPG_dataset[[#This Row],[Race]]))</f>
        <v>Halfling</v>
      </c>
      <c r="AD44" s="1" t="str">
        <f>PROPER(TRIM(RPG_dataset[[#This Row],[Class]]))</f>
        <v>Paladin</v>
      </c>
      <c r="AE44" s="1">
        <f>ABS(RPG_dataset[[#This Row],[Level]])</f>
        <v>84</v>
      </c>
      <c r="AF44" s="1">
        <f>ABS(RPG_dataset[[#This Row],[ATK]])</f>
        <v>94</v>
      </c>
      <c r="AG44" s="1">
        <f>ABS(RPG_dataset[[#This Row],[DEF]])</f>
        <v>54</v>
      </c>
      <c r="AH44" s="1">
        <f>ABS(RPG_dataset[[#This Row],[SPD]])</f>
        <v>94</v>
      </c>
      <c r="AI44" s="1">
        <f>ABS(RPG_dataset[[#This Row],[HP]])</f>
        <v>1622</v>
      </c>
      <c r="AJ44" s="1">
        <f>ABS(RPG_dataset[[#This Row],[MP]])</f>
        <v>0</v>
      </c>
      <c r="AK44" s="1">
        <f>ABS(RPG_dataset[[#This Row],[Total Stat]])</f>
        <v>242</v>
      </c>
      <c r="AL44" s="1">
        <f>ABS(RPG_dataset[[#This Row],[Kills]])</f>
        <v>3610</v>
      </c>
      <c r="AM44" s="12">
        <f>ABS(RPG_dataset[[#This Row],[Win Rate (%)]])</f>
        <v>92</v>
      </c>
      <c r="AN44" s="4">
        <f>ABS(RPG_dataset[[#This Row],[Gold Earned]])</f>
        <v>957455</v>
      </c>
      <c r="AO44" s="5" t="str">
        <f t="shared" si="0"/>
        <v>OK</v>
      </c>
      <c r="AP44" s="5">
        <f>RANK(clean[[#This Row],[Clean Gold]],clean[Clean Gold], 0)</f>
        <v>22</v>
      </c>
      <c r="AQ44" s="1">
        <v>284</v>
      </c>
      <c r="AR44" s="1" t="str" cm="1">
        <f t="array" ref="AR44">_xlfn.IFS(clean[[#This Row],[Clean Level]]&gt;=76, "Legend", clean[[#This Row],[Clean Level]]&gt;=51, "Elite", clean[[#This Row],[Clean Level]]&gt;=26, "Veteran", TRUE, "Rookie")</f>
        <v>Legend</v>
      </c>
      <c r="AS44" s="1" t="str">
        <f>IF(RPG_dataset[[#This Row],[Status]]="Active", "TRUE", "FALSE")</f>
        <v>TRUE</v>
      </c>
      <c r="AT44" s="1" t="str" cm="1">
        <f t="array" ref="AT44">_xlfn.IFS(clean[[#This Row],[Clean Win Rate]]&gt;70, "Excellent", clean[[#This Row],[Clean Win Rate]]&gt;=40, "Average", TRUE, "Poor")</f>
        <v>Excellent</v>
      </c>
      <c r="AU44" s="1" t="str">
        <f>IF(AND(clean[[#This Row],[Clean Level]]&gt;80, clean[[#This Row],[Clean Total Stat]]&gt;350, clean[[#This Row],[Clean Gold]]&gt;500000), "Overpowered", "Normal")</f>
        <v>Normal</v>
      </c>
      <c r="AV44" s="1" t="str" cm="1">
        <f t="array" ref="AV4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4" s="1" t="str" cm="1">
        <f t="array" ref="AW4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4" s="1"/>
    </row>
    <row r="45" spans="1:50" x14ac:dyDescent="0.3">
      <c r="A45" s="2" t="s">
        <v>260</v>
      </c>
      <c r="B45" s="2" t="s">
        <v>261</v>
      </c>
      <c r="C45" s="2" t="s">
        <v>262</v>
      </c>
      <c r="D45" s="2" t="s">
        <v>254</v>
      </c>
      <c r="E45" s="2" t="s">
        <v>71</v>
      </c>
      <c r="F45" s="2" t="s">
        <v>42</v>
      </c>
      <c r="G45" s="2">
        <v>88</v>
      </c>
      <c r="H45" s="2" t="s">
        <v>263</v>
      </c>
      <c r="I45" s="2" t="s">
        <v>32</v>
      </c>
      <c r="J45" s="2" t="s">
        <v>111</v>
      </c>
      <c r="K45" s="2" t="s">
        <v>44</v>
      </c>
      <c r="L45" s="6" t="s">
        <v>264</v>
      </c>
      <c r="M45" s="2">
        <v>78</v>
      </c>
      <c r="N45" s="2">
        <v>55</v>
      </c>
      <c r="O45" s="2">
        <v>141</v>
      </c>
      <c r="P45" s="2">
        <v>3750</v>
      </c>
      <c r="Q45" s="2">
        <v>2935</v>
      </c>
      <c r="R45" s="2">
        <v>274</v>
      </c>
      <c r="S45" s="2">
        <v>2860</v>
      </c>
      <c r="T45" s="2">
        <v>654</v>
      </c>
      <c r="U45" s="2">
        <v>191</v>
      </c>
      <c r="V45" s="2">
        <v>81</v>
      </c>
      <c r="W45" s="2">
        <v>1392</v>
      </c>
      <c r="X45" s="9">
        <v>170044</v>
      </c>
      <c r="Y45" s="2" t="s">
        <v>46</v>
      </c>
      <c r="AA45" s="1" t="str">
        <f>TRIM(RPG_dataset[[#This Row],[Username]])</f>
        <v>oryn_815</v>
      </c>
      <c r="AB45" s="1" t="str">
        <f>TRIM(RPG_dataset[[#This Row],[First Name]])</f>
        <v>ORYN</v>
      </c>
      <c r="AC45" s="1" t="str">
        <f>PROPER(TRIM(RPG_dataset[[#This Row],[Race]]))</f>
        <v>Dragonborn</v>
      </c>
      <c r="AD45" s="1" t="str">
        <f>PROPER(TRIM(RPG_dataset[[#This Row],[Class]]))</f>
        <v>Monk</v>
      </c>
      <c r="AE45" s="1">
        <f>ABS(RPG_dataset[[#This Row],[Level]])</f>
        <v>88</v>
      </c>
      <c r="AF45" s="1">
        <f>ABS(RPG_dataset[[#This Row],[ATK]])</f>
        <v>78</v>
      </c>
      <c r="AG45" s="1">
        <f>ABS(RPG_dataset[[#This Row],[DEF]])</f>
        <v>55</v>
      </c>
      <c r="AH45" s="1">
        <f>ABS(RPG_dataset[[#This Row],[SPD]])</f>
        <v>141</v>
      </c>
      <c r="AI45" s="1">
        <f>ABS(RPG_dataset[[#This Row],[HP]])</f>
        <v>3750</v>
      </c>
      <c r="AJ45" s="1">
        <f>ABS(RPG_dataset[[#This Row],[MP]])</f>
        <v>2935</v>
      </c>
      <c r="AK45" s="1">
        <f>ABS(RPG_dataset[[#This Row],[Total Stat]])</f>
        <v>274</v>
      </c>
      <c r="AL45" s="1">
        <f>ABS(RPG_dataset[[#This Row],[Kills]])</f>
        <v>2860</v>
      </c>
      <c r="AM45" s="12">
        <f>ABS(RPG_dataset[[#This Row],[Win Rate (%)]])</f>
        <v>81</v>
      </c>
      <c r="AN45" s="4">
        <f>ABS(RPG_dataset[[#This Row],[Gold Earned]])</f>
        <v>170044</v>
      </c>
      <c r="AO45" s="5" t="str">
        <f t="shared" si="0"/>
        <v>OK</v>
      </c>
      <c r="AP45" s="5">
        <f>RANK(clean[[#This Row],[Clean Gold]],clean[Clean Gold], 0)</f>
        <v>414</v>
      </c>
      <c r="AQ45" s="1">
        <v>143</v>
      </c>
      <c r="AR45" s="1" t="str" cm="1">
        <f t="array" ref="AR45">_xlfn.IFS(clean[[#This Row],[Clean Level]]&gt;=76, "Legend", clean[[#This Row],[Clean Level]]&gt;=51, "Elite", clean[[#This Row],[Clean Level]]&gt;=26, "Veteran", TRUE, "Rookie")</f>
        <v>Legend</v>
      </c>
      <c r="AS45" s="1" t="str">
        <f>IF(RPG_dataset[[#This Row],[Status]]="Active", "TRUE", "FALSE")</f>
        <v>TRUE</v>
      </c>
      <c r="AT45" s="1" t="str" cm="1">
        <f t="array" ref="AT45">_xlfn.IFS(clean[[#This Row],[Clean Win Rate]]&gt;70, "Excellent", clean[[#This Row],[Clean Win Rate]]&gt;=40, "Average", TRUE, "Poor")</f>
        <v>Excellent</v>
      </c>
      <c r="AU45" s="1" t="str">
        <f>IF(AND(clean[[#This Row],[Clean Level]]&gt;80, clean[[#This Row],[Clean Total Stat]]&gt;350, clean[[#This Row],[Clean Gold]]&gt;500000), "Overpowered", "Normal")</f>
        <v>Normal</v>
      </c>
      <c r="AV45" s="1" t="str" cm="1">
        <f t="array" ref="AV4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5" s="1" t="str" cm="1">
        <f t="array" ref="AW4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5" s="1"/>
    </row>
    <row r="46" spans="1:50" x14ac:dyDescent="0.3">
      <c r="A46" s="2" t="s">
        <v>265</v>
      </c>
      <c r="B46" s="2" t="s">
        <v>266</v>
      </c>
      <c r="C46" s="2" t="s">
        <v>130</v>
      </c>
      <c r="D46" s="2" t="s">
        <v>162</v>
      </c>
      <c r="E46" s="2" t="s">
        <v>41</v>
      </c>
      <c r="F46" s="2" t="s">
        <v>52</v>
      </c>
      <c r="G46" s="2">
        <v>69</v>
      </c>
      <c r="H46" s="2" t="s">
        <v>267</v>
      </c>
      <c r="I46" s="2" t="s">
        <v>140</v>
      </c>
      <c r="J46" s="2" t="s">
        <v>163</v>
      </c>
      <c r="K46" s="2" t="s">
        <v>44</v>
      </c>
      <c r="L46" s="6" t="s">
        <v>268</v>
      </c>
      <c r="M46" s="2">
        <v>31</v>
      </c>
      <c r="N46" s="2">
        <v>52</v>
      </c>
      <c r="O46" s="2">
        <v>48</v>
      </c>
      <c r="P46" s="2">
        <v>627</v>
      </c>
      <c r="Q46" s="2">
        <v>331</v>
      </c>
      <c r="R46" s="2">
        <v>131</v>
      </c>
      <c r="S46" s="2">
        <v>2940</v>
      </c>
      <c r="T46" s="2">
        <v>296</v>
      </c>
      <c r="U46" s="2">
        <v>128</v>
      </c>
      <c r="V46" s="2">
        <v>91</v>
      </c>
      <c r="W46" s="2">
        <v>3879</v>
      </c>
      <c r="X46" s="9">
        <v>730610</v>
      </c>
      <c r="Y46" s="2" t="s">
        <v>46</v>
      </c>
      <c r="AA46" s="1" t="str">
        <f>TRIM(RPG_dataset[[#This Row],[Username]])</f>
        <v>ewan_452</v>
      </c>
      <c r="AB46" s="1" t="str">
        <f>TRIM(RPG_dataset[[#This Row],[First Name]])</f>
        <v>Ewan</v>
      </c>
      <c r="AC46" s="1" t="str">
        <f>PROPER(TRIM(RPG_dataset[[#This Row],[Race]]))</f>
        <v>Gnome</v>
      </c>
      <c r="AD46" s="1" t="str">
        <f>PROPER(TRIM(RPG_dataset[[#This Row],[Class]]))</f>
        <v>Bard</v>
      </c>
      <c r="AE46" s="1">
        <f>ABS(RPG_dataset[[#This Row],[Level]])</f>
        <v>69</v>
      </c>
      <c r="AF46" s="1">
        <f>ABS(RPG_dataset[[#This Row],[ATK]])</f>
        <v>31</v>
      </c>
      <c r="AG46" s="1">
        <f>ABS(RPG_dataset[[#This Row],[DEF]])</f>
        <v>52</v>
      </c>
      <c r="AH46" s="1">
        <f>ABS(RPG_dataset[[#This Row],[SPD]])</f>
        <v>48</v>
      </c>
      <c r="AI46" s="1">
        <f>ABS(RPG_dataset[[#This Row],[HP]])</f>
        <v>627</v>
      </c>
      <c r="AJ46" s="1">
        <f>ABS(RPG_dataset[[#This Row],[MP]])</f>
        <v>331</v>
      </c>
      <c r="AK46" s="1">
        <f>ABS(RPG_dataset[[#This Row],[Total Stat]])</f>
        <v>131</v>
      </c>
      <c r="AL46" s="1">
        <f>ABS(RPG_dataset[[#This Row],[Kills]])</f>
        <v>2940</v>
      </c>
      <c r="AM46" s="12">
        <f>ABS(RPG_dataset[[#This Row],[Win Rate (%)]])</f>
        <v>91</v>
      </c>
      <c r="AN46" s="4">
        <f>ABS(RPG_dataset[[#This Row],[Gold Earned]])</f>
        <v>730610</v>
      </c>
      <c r="AO46" s="5" t="str">
        <f t="shared" si="0"/>
        <v>OK</v>
      </c>
      <c r="AP46" s="5">
        <f>RANK(clean[[#This Row],[Clean Gold]],clean[Clean Gold], 0)</f>
        <v>137</v>
      </c>
      <c r="AQ46" s="1">
        <v>323</v>
      </c>
      <c r="AR46" s="1" t="str" cm="1">
        <f t="array" ref="AR46">_xlfn.IFS(clean[[#This Row],[Clean Level]]&gt;=76, "Legend", clean[[#This Row],[Clean Level]]&gt;=51, "Elite", clean[[#This Row],[Clean Level]]&gt;=26, "Veteran", TRUE, "Rookie")</f>
        <v>Elite</v>
      </c>
      <c r="AS46" s="1" t="str">
        <f>IF(RPG_dataset[[#This Row],[Status]]="Active", "TRUE", "FALSE")</f>
        <v>TRUE</v>
      </c>
      <c r="AT46" s="1" t="str" cm="1">
        <f t="array" ref="AT46">_xlfn.IFS(clean[[#This Row],[Clean Win Rate]]&gt;70, "Excellent", clean[[#This Row],[Clean Win Rate]]&gt;=40, "Average", TRUE, "Poor")</f>
        <v>Excellent</v>
      </c>
      <c r="AU46" s="1" t="str">
        <f>IF(AND(clean[[#This Row],[Clean Level]]&gt;80, clean[[#This Row],[Clean Total Stat]]&gt;350, clean[[#This Row],[Clean Gold]]&gt;500000), "Overpowered", "Normal")</f>
        <v>Normal</v>
      </c>
      <c r="AV46" s="1" t="str" cm="1">
        <f t="array" ref="AV4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6" s="1" t="str" cm="1">
        <f t="array" ref="AW4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46" s="1"/>
    </row>
    <row r="47" spans="1:50" x14ac:dyDescent="0.3">
      <c r="A47" s="2" t="s">
        <v>269</v>
      </c>
      <c r="B47" s="2" t="s">
        <v>270</v>
      </c>
      <c r="C47" s="2" t="s">
        <v>271</v>
      </c>
      <c r="D47" s="2" t="s">
        <v>272</v>
      </c>
      <c r="E47" s="2" t="s">
        <v>228</v>
      </c>
      <c r="F47" s="2" t="s">
        <v>124</v>
      </c>
      <c r="G47" s="2">
        <v>68</v>
      </c>
      <c r="H47" s="2" t="s">
        <v>62</v>
      </c>
      <c r="I47" s="2" t="s">
        <v>63</v>
      </c>
      <c r="J47" s="2" t="s">
        <v>111</v>
      </c>
      <c r="K47" s="2" t="s">
        <v>44</v>
      </c>
      <c r="L47" s="6" t="s">
        <v>273</v>
      </c>
      <c r="M47" s="2">
        <v>95</v>
      </c>
      <c r="N47" s="2">
        <v>74</v>
      </c>
      <c r="O47" s="2">
        <v>19</v>
      </c>
      <c r="P47" s="2">
        <v>4259</v>
      </c>
      <c r="Q47" s="2">
        <v>2911</v>
      </c>
      <c r="R47" s="2">
        <v>188</v>
      </c>
      <c r="S47" s="2">
        <v>932</v>
      </c>
      <c r="T47" s="2">
        <v>518</v>
      </c>
      <c r="U47" s="2">
        <v>102</v>
      </c>
      <c r="V47" s="2">
        <v>64</v>
      </c>
      <c r="W47" s="2">
        <v>5036</v>
      </c>
      <c r="X47" s="9">
        <v>173793</v>
      </c>
      <c r="Y47" s="2" t="s">
        <v>36</v>
      </c>
      <c r="AA47" s="1" t="str">
        <f>TRIM(RPG_dataset[[#This Row],[Username]])</f>
        <v>vesper_123</v>
      </c>
      <c r="AB47" s="1" t="str">
        <f>TRIM(RPG_dataset[[#This Row],[First Name]])</f>
        <v>Vesper</v>
      </c>
      <c r="AC47" s="1" t="str">
        <f>PROPER(TRIM(RPG_dataset[[#This Row],[Race]]))</f>
        <v>Elf</v>
      </c>
      <c r="AD47" s="1" t="str">
        <f>PROPER(TRIM(RPG_dataset[[#This Row],[Class]]))</f>
        <v>Necromancer</v>
      </c>
      <c r="AE47" s="1">
        <f>ABS(RPG_dataset[[#This Row],[Level]])</f>
        <v>68</v>
      </c>
      <c r="AF47" s="1">
        <f>ABS(RPG_dataset[[#This Row],[ATK]])</f>
        <v>95</v>
      </c>
      <c r="AG47" s="1">
        <f>ABS(RPG_dataset[[#This Row],[DEF]])</f>
        <v>74</v>
      </c>
      <c r="AH47" s="1">
        <f>ABS(RPG_dataset[[#This Row],[SPD]])</f>
        <v>19</v>
      </c>
      <c r="AI47" s="1">
        <f>ABS(RPG_dataset[[#This Row],[HP]])</f>
        <v>4259</v>
      </c>
      <c r="AJ47" s="1">
        <f>ABS(RPG_dataset[[#This Row],[MP]])</f>
        <v>2911</v>
      </c>
      <c r="AK47" s="1">
        <f>ABS(RPG_dataset[[#This Row],[Total Stat]])</f>
        <v>188</v>
      </c>
      <c r="AL47" s="1">
        <f>ABS(RPG_dataset[[#This Row],[Kills]])</f>
        <v>932</v>
      </c>
      <c r="AM47" s="12">
        <f>ABS(RPG_dataset[[#This Row],[Win Rate (%)]])</f>
        <v>64</v>
      </c>
      <c r="AN47" s="4">
        <f>ABS(RPG_dataset[[#This Row],[Gold Earned]])</f>
        <v>173793</v>
      </c>
      <c r="AO47" s="5" t="str">
        <f t="shared" si="0"/>
        <v>OK</v>
      </c>
      <c r="AP47" s="5">
        <f>RANK(clean[[#This Row],[Clean Gold]],clean[Clean Gold], 0)</f>
        <v>412</v>
      </c>
      <c r="AQ47" s="1">
        <v>274</v>
      </c>
      <c r="AR47" s="1" t="str" cm="1">
        <f t="array" ref="AR47">_xlfn.IFS(clean[[#This Row],[Clean Level]]&gt;=76, "Legend", clean[[#This Row],[Clean Level]]&gt;=51, "Elite", clean[[#This Row],[Clean Level]]&gt;=26, "Veteran", TRUE, "Rookie")</f>
        <v>Elite</v>
      </c>
      <c r="AS47" s="1" t="str">
        <f>IF(RPG_dataset[[#This Row],[Status]]="Active", "TRUE", "FALSE")</f>
        <v>TRUE</v>
      </c>
      <c r="AT47" s="1" t="str" cm="1">
        <f t="array" ref="AT47">_xlfn.IFS(clean[[#This Row],[Clean Win Rate]]&gt;70, "Excellent", clean[[#This Row],[Clean Win Rate]]&gt;=40, "Average", TRUE, "Poor")</f>
        <v>Average</v>
      </c>
      <c r="AU47" s="1" t="str">
        <f>IF(AND(clean[[#This Row],[Clean Level]]&gt;80, clean[[#This Row],[Clean Total Stat]]&gt;350, clean[[#This Row],[Clean Gold]]&gt;500000), "Overpowered", "Normal")</f>
        <v>Normal</v>
      </c>
      <c r="AV47" s="1" t="str" cm="1">
        <f t="array" ref="AV4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7" s="1" t="str" cm="1">
        <f t="array" ref="AW4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47" s="1"/>
    </row>
    <row r="48" spans="1:50" x14ac:dyDescent="0.3">
      <c r="A48" s="2" t="s">
        <v>274</v>
      </c>
      <c r="B48" s="2" t="s">
        <v>275</v>
      </c>
      <c r="C48" s="2" t="s">
        <v>276</v>
      </c>
      <c r="D48" s="2" t="s">
        <v>277</v>
      </c>
      <c r="E48" s="2" t="s">
        <v>29</v>
      </c>
      <c r="F48" s="2" t="s">
        <v>194</v>
      </c>
      <c r="G48" s="2">
        <v>91</v>
      </c>
      <c r="H48" s="2" t="s">
        <v>125</v>
      </c>
      <c r="I48" s="2" t="s">
        <v>32</v>
      </c>
      <c r="J48" s="2" t="s">
        <v>33</v>
      </c>
      <c r="K48" s="2" t="s">
        <v>44</v>
      </c>
      <c r="L48" s="6" t="s">
        <v>278</v>
      </c>
      <c r="M48" s="2">
        <v>139</v>
      </c>
      <c r="N48" s="2">
        <v>124</v>
      </c>
      <c r="O48" s="2">
        <v>126</v>
      </c>
      <c r="P48" s="2">
        <v>1587</v>
      </c>
      <c r="Q48" s="2"/>
      <c r="R48" s="2">
        <v>389</v>
      </c>
      <c r="S48" s="2"/>
      <c r="T48" s="2">
        <v>573</v>
      </c>
      <c r="U48" s="2">
        <v>184</v>
      </c>
      <c r="V48" s="2">
        <v>86</v>
      </c>
      <c r="W48" s="2">
        <v>3941</v>
      </c>
      <c r="X48" s="9">
        <v>612213</v>
      </c>
      <c r="Y48" s="2" t="s">
        <v>46</v>
      </c>
      <c r="AA48" s="1" t="str">
        <f>TRIM(RPG_dataset[[#This Row],[Username]])</f>
        <v>brynn_159</v>
      </c>
      <c r="AB48" s="1" t="str">
        <f>TRIM(RPG_dataset[[#This Row],[First Name]])</f>
        <v>Brynn</v>
      </c>
      <c r="AC48" s="1" t="str">
        <f>PROPER(TRIM(RPG_dataset[[#This Row],[Race]]))</f>
        <v>Dwarf</v>
      </c>
      <c r="AD48" s="1" t="str">
        <f>PROPER(TRIM(RPG_dataset[[#This Row],[Class]]))</f>
        <v>Paladin</v>
      </c>
      <c r="AE48" s="1">
        <f>ABS(RPG_dataset[[#This Row],[Level]])</f>
        <v>91</v>
      </c>
      <c r="AF48" s="1">
        <f>ABS(RPG_dataset[[#This Row],[ATK]])</f>
        <v>139</v>
      </c>
      <c r="AG48" s="1">
        <f>ABS(RPG_dataset[[#This Row],[DEF]])</f>
        <v>124</v>
      </c>
      <c r="AH48" s="1">
        <f>ABS(RPG_dataset[[#This Row],[SPD]])</f>
        <v>126</v>
      </c>
      <c r="AI48" s="1">
        <f>ABS(RPG_dataset[[#This Row],[HP]])</f>
        <v>1587</v>
      </c>
      <c r="AJ48" s="1">
        <f>ABS(RPG_dataset[[#This Row],[MP]])</f>
        <v>0</v>
      </c>
      <c r="AK48" s="1">
        <f>ABS(RPG_dataset[[#This Row],[Total Stat]])</f>
        <v>389</v>
      </c>
      <c r="AL48" s="1">
        <f>ABS(RPG_dataset[[#This Row],[Kills]])</f>
        <v>0</v>
      </c>
      <c r="AM48" s="12">
        <f>ABS(RPG_dataset[[#This Row],[Win Rate (%)]])</f>
        <v>86</v>
      </c>
      <c r="AN48" s="4">
        <f>ABS(RPG_dataset[[#This Row],[Gold Earned]])</f>
        <v>612213</v>
      </c>
      <c r="AO48" s="5" t="str">
        <f t="shared" si="0"/>
        <v>OK</v>
      </c>
      <c r="AP48" s="5">
        <f>RANK(clean[[#This Row],[Clean Gold]],clean[Clean Gold], 0)</f>
        <v>195</v>
      </c>
      <c r="AQ48" s="1">
        <v>199</v>
      </c>
      <c r="AR48" s="1" t="str" cm="1">
        <f t="array" ref="AR48">_xlfn.IFS(clean[[#This Row],[Clean Level]]&gt;=76, "Legend", clean[[#This Row],[Clean Level]]&gt;=51, "Elite", clean[[#This Row],[Clean Level]]&gt;=26, "Veteran", TRUE, "Rookie")</f>
        <v>Legend</v>
      </c>
      <c r="AS48" s="1" t="str">
        <f>IF(RPG_dataset[[#This Row],[Status]]="Active", "TRUE", "FALSE")</f>
        <v>TRUE</v>
      </c>
      <c r="AT48" s="1" t="str" cm="1">
        <f t="array" ref="AT48">_xlfn.IFS(clean[[#This Row],[Clean Win Rate]]&gt;70, "Excellent", clean[[#This Row],[Clean Win Rate]]&gt;=40, "Average", TRUE, "Poor")</f>
        <v>Excellent</v>
      </c>
      <c r="AU48" s="1" t="str">
        <f>IF(AND(clean[[#This Row],[Clean Level]]&gt;80, clean[[#This Row],[Clean Total Stat]]&gt;350, clean[[#This Row],[Clean Gold]]&gt;500000), "Overpowered", "Normal")</f>
        <v>Overpowered</v>
      </c>
      <c r="AV48" s="1" t="str" cm="1">
        <f t="array" ref="AV4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8" s="1" t="str" cm="1">
        <f t="array" ref="AW4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8" s="1"/>
    </row>
    <row r="49" spans="1:50" x14ac:dyDescent="0.3">
      <c r="A49" s="2" t="s">
        <v>279</v>
      </c>
      <c r="B49" s="2" t="s">
        <v>280</v>
      </c>
      <c r="C49" s="2" t="s">
        <v>281</v>
      </c>
      <c r="D49" s="2" t="s">
        <v>119</v>
      </c>
      <c r="E49" s="2" t="s">
        <v>75</v>
      </c>
      <c r="F49" s="2" t="s">
        <v>124</v>
      </c>
      <c r="G49" s="2">
        <v>2</v>
      </c>
      <c r="H49" s="2" t="s">
        <v>125</v>
      </c>
      <c r="I49" s="2" t="s">
        <v>87</v>
      </c>
      <c r="J49" s="2" t="s">
        <v>163</v>
      </c>
      <c r="K49" s="2" t="s">
        <v>34</v>
      </c>
      <c r="L49" s="6" t="s">
        <v>282</v>
      </c>
      <c r="M49" s="2">
        <v>53</v>
      </c>
      <c r="N49" s="2">
        <v>134</v>
      </c>
      <c r="O49" s="2">
        <v>99</v>
      </c>
      <c r="P49" s="2">
        <v>-3797</v>
      </c>
      <c r="Q49" s="2">
        <v>1390</v>
      </c>
      <c r="R49" s="2">
        <v>-286</v>
      </c>
      <c r="S49" s="2">
        <v>2941</v>
      </c>
      <c r="T49" s="2">
        <v>299</v>
      </c>
      <c r="U49" s="2">
        <v>14</v>
      </c>
      <c r="V49" s="2">
        <v>-91</v>
      </c>
      <c r="W49" s="2">
        <v>153</v>
      </c>
      <c r="X49" s="9">
        <v>522412</v>
      </c>
      <c r="Y49" s="2" t="s">
        <v>36</v>
      </c>
      <c r="AA49" s="1" t="str">
        <f>TRIM(RPG_dataset[[#This Row],[Username]])</f>
        <v>nova_478</v>
      </c>
      <c r="AB49" s="1" t="str">
        <f>TRIM(RPG_dataset[[#This Row],[First Name]])</f>
        <v>Nova</v>
      </c>
      <c r="AC49" s="1" t="str">
        <f>PROPER(TRIM(RPG_dataset[[#This Row],[Race]]))</f>
        <v/>
      </c>
      <c r="AD49" s="1" t="str">
        <f>PROPER(TRIM(RPG_dataset[[#This Row],[Class]]))</f>
        <v>Necromancer</v>
      </c>
      <c r="AE49" s="1">
        <f>ABS(RPG_dataset[[#This Row],[Level]])</f>
        <v>2</v>
      </c>
      <c r="AF49" s="1">
        <f>ABS(RPG_dataset[[#This Row],[ATK]])</f>
        <v>53</v>
      </c>
      <c r="AG49" s="1">
        <f>ABS(RPG_dataset[[#This Row],[DEF]])</f>
        <v>134</v>
      </c>
      <c r="AH49" s="1">
        <f>ABS(RPG_dataset[[#This Row],[SPD]])</f>
        <v>99</v>
      </c>
      <c r="AI49" s="1">
        <f>ABS(RPG_dataset[[#This Row],[HP]])</f>
        <v>3797</v>
      </c>
      <c r="AJ49" s="1">
        <f>ABS(RPG_dataset[[#This Row],[MP]])</f>
        <v>1390</v>
      </c>
      <c r="AK49" s="1">
        <f>ABS(RPG_dataset[[#This Row],[Total Stat]])</f>
        <v>286</v>
      </c>
      <c r="AL49" s="1">
        <f>ABS(RPG_dataset[[#This Row],[Kills]])</f>
        <v>2941</v>
      </c>
      <c r="AM49" s="12">
        <f>ABS(RPG_dataset[[#This Row],[Win Rate (%)]])</f>
        <v>91</v>
      </c>
      <c r="AN49" s="4">
        <f>ABS(RPG_dataset[[#This Row],[Gold Earned]])</f>
        <v>522412</v>
      </c>
      <c r="AO49" s="5" t="str">
        <f t="shared" si="0"/>
        <v>OK</v>
      </c>
      <c r="AP49" s="5">
        <f>RANK(clean[[#This Row],[Clean Gold]],clean[Clean Gold], 0)</f>
        <v>239</v>
      </c>
      <c r="AQ49" s="1">
        <v>335</v>
      </c>
      <c r="AR49" s="1" t="str" cm="1">
        <f t="array" ref="AR49">_xlfn.IFS(clean[[#This Row],[Clean Level]]&gt;=76, "Legend", clean[[#This Row],[Clean Level]]&gt;=51, "Elite", clean[[#This Row],[Clean Level]]&gt;=26, "Veteran", TRUE, "Rookie")</f>
        <v>Rookie</v>
      </c>
      <c r="AS49" s="1" t="str">
        <f>IF(RPG_dataset[[#This Row],[Status]]="Active", "TRUE", "FALSE")</f>
        <v>FALSE</v>
      </c>
      <c r="AT49" s="1" t="str" cm="1">
        <f t="array" ref="AT49">_xlfn.IFS(clean[[#This Row],[Clean Win Rate]]&gt;70, "Excellent", clean[[#This Row],[Clean Win Rate]]&gt;=40, "Average", TRUE, "Poor")</f>
        <v>Excellent</v>
      </c>
      <c r="AU49" s="1" t="str">
        <f>IF(AND(clean[[#This Row],[Clean Level]]&gt;80, clean[[#This Row],[Clean Total Stat]]&gt;350, clean[[#This Row],[Clean Gold]]&gt;500000), "Overpowered", "Normal")</f>
        <v>Normal</v>
      </c>
      <c r="AV49" s="1" t="str" cm="1">
        <f t="array" ref="AV4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9" s="1" t="str" cm="1">
        <f t="array" ref="AW4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9" s="1"/>
    </row>
    <row r="50" spans="1:50" x14ac:dyDescent="0.3">
      <c r="A50" s="2" t="s">
        <v>283</v>
      </c>
      <c r="B50" s="2" t="s">
        <v>284</v>
      </c>
      <c r="C50" s="2" t="s">
        <v>161</v>
      </c>
      <c r="D50" s="2" t="s">
        <v>174</v>
      </c>
      <c r="E50" s="2" t="s">
        <v>105</v>
      </c>
      <c r="F50" s="2" t="s">
        <v>194</v>
      </c>
      <c r="G50" s="2">
        <v>98</v>
      </c>
      <c r="H50" s="2" t="s">
        <v>31</v>
      </c>
      <c r="I50" s="2" t="s">
        <v>87</v>
      </c>
      <c r="J50" s="2" t="s">
        <v>163</v>
      </c>
      <c r="K50" s="2" t="s">
        <v>44</v>
      </c>
      <c r="L50" s="6" t="s">
        <v>285</v>
      </c>
      <c r="M50" s="2">
        <v>133</v>
      </c>
      <c r="N50" s="2">
        <v>131</v>
      </c>
      <c r="O50" s="2">
        <v>27</v>
      </c>
      <c r="P50" s="2">
        <v>911</v>
      </c>
      <c r="Q50" s="2">
        <v>1391</v>
      </c>
      <c r="R50" s="2">
        <v>291</v>
      </c>
      <c r="S50" s="2">
        <v>3946</v>
      </c>
      <c r="T50" s="2">
        <v>831</v>
      </c>
      <c r="U50" s="2">
        <v>54</v>
      </c>
      <c r="V50" s="2">
        <v>83</v>
      </c>
      <c r="W50" s="2">
        <v>6439</v>
      </c>
      <c r="X50" s="9">
        <v>791345</v>
      </c>
      <c r="Y50" s="2" t="s">
        <v>46</v>
      </c>
      <c r="AA50" s="1" t="str">
        <f>TRIM(RPG_dataset[[#This Row],[Username]])</f>
        <v>cedric_606</v>
      </c>
      <c r="AB50" s="1" t="str">
        <f>TRIM(RPG_dataset[[#This Row],[First Name]])</f>
        <v>Cedric</v>
      </c>
      <c r="AC50" s="1" t="str">
        <f>PROPER(TRIM(RPG_dataset[[#This Row],[Race]]))</f>
        <v>Orc</v>
      </c>
      <c r="AD50" s="1" t="str">
        <f>PROPER(TRIM(RPG_dataset[[#This Row],[Class]]))</f>
        <v>Paladin</v>
      </c>
      <c r="AE50" s="1">
        <f>ABS(RPG_dataset[[#This Row],[Level]])</f>
        <v>98</v>
      </c>
      <c r="AF50" s="1">
        <f>ABS(RPG_dataset[[#This Row],[ATK]])</f>
        <v>133</v>
      </c>
      <c r="AG50" s="1">
        <f>ABS(RPG_dataset[[#This Row],[DEF]])</f>
        <v>131</v>
      </c>
      <c r="AH50" s="1">
        <f>ABS(RPG_dataset[[#This Row],[SPD]])</f>
        <v>27</v>
      </c>
      <c r="AI50" s="1">
        <f>ABS(RPG_dataset[[#This Row],[HP]])</f>
        <v>911</v>
      </c>
      <c r="AJ50" s="1">
        <f>ABS(RPG_dataset[[#This Row],[MP]])</f>
        <v>1391</v>
      </c>
      <c r="AK50" s="1">
        <f>ABS(RPG_dataset[[#This Row],[Total Stat]])</f>
        <v>291</v>
      </c>
      <c r="AL50" s="1">
        <f>ABS(RPG_dataset[[#This Row],[Kills]])</f>
        <v>3946</v>
      </c>
      <c r="AM50" s="12">
        <f>ABS(RPG_dataset[[#This Row],[Win Rate (%)]])</f>
        <v>83</v>
      </c>
      <c r="AN50" s="4">
        <f>ABS(RPG_dataset[[#This Row],[Gold Earned]])</f>
        <v>791345</v>
      </c>
      <c r="AO50" s="5" t="str">
        <f t="shared" si="0"/>
        <v>OK</v>
      </c>
      <c r="AP50" s="5">
        <f>RANK(clean[[#This Row],[Clean Gold]],clean[Clean Gold], 0)</f>
        <v>113</v>
      </c>
      <c r="AQ50" s="1">
        <v>372</v>
      </c>
      <c r="AR50" s="1" t="str" cm="1">
        <f t="array" ref="AR50">_xlfn.IFS(clean[[#This Row],[Clean Level]]&gt;=76, "Legend", clean[[#This Row],[Clean Level]]&gt;=51, "Elite", clean[[#This Row],[Clean Level]]&gt;=26, "Veteran", TRUE, "Rookie")</f>
        <v>Legend</v>
      </c>
      <c r="AS50" s="1" t="str">
        <f>IF(RPG_dataset[[#This Row],[Status]]="Active", "TRUE", "FALSE")</f>
        <v>TRUE</v>
      </c>
      <c r="AT50" s="1" t="str" cm="1">
        <f t="array" ref="AT50">_xlfn.IFS(clean[[#This Row],[Clean Win Rate]]&gt;70, "Excellent", clean[[#This Row],[Clean Win Rate]]&gt;=40, "Average", TRUE, "Poor")</f>
        <v>Excellent</v>
      </c>
      <c r="AU50" s="1" t="str">
        <f>IF(AND(clean[[#This Row],[Clean Level]]&gt;80, clean[[#This Row],[Clean Total Stat]]&gt;350, clean[[#This Row],[Clean Gold]]&gt;500000), "Overpowered", "Normal")</f>
        <v>Normal</v>
      </c>
      <c r="AV50" s="1" t="str" cm="1">
        <f t="array" ref="AV5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50" s="1" t="str" cm="1">
        <f t="array" ref="AW5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50" s="1"/>
    </row>
    <row r="51" spans="1:50" x14ac:dyDescent="0.3">
      <c r="A51" s="2" t="s">
        <v>286</v>
      </c>
      <c r="B51" s="2" t="s">
        <v>287</v>
      </c>
      <c r="C51" s="2" t="s">
        <v>288</v>
      </c>
      <c r="D51" s="2" t="s">
        <v>254</v>
      </c>
      <c r="E51" s="2" t="s">
        <v>29</v>
      </c>
      <c r="F51" s="2" t="s">
        <v>145</v>
      </c>
      <c r="G51" s="2">
        <v>-67</v>
      </c>
      <c r="H51" s="2" t="s">
        <v>289</v>
      </c>
      <c r="I51" s="2" t="s">
        <v>87</v>
      </c>
      <c r="J51" s="2" t="s">
        <v>92</v>
      </c>
      <c r="K51" s="2" t="s">
        <v>99</v>
      </c>
      <c r="L51" s="6" t="s">
        <v>290</v>
      </c>
      <c r="M51" s="2">
        <v>120</v>
      </c>
      <c r="N51" s="2">
        <v>57</v>
      </c>
      <c r="O51" s="2">
        <v>72</v>
      </c>
      <c r="P51" s="2">
        <v>4784</v>
      </c>
      <c r="Q51" s="2">
        <v>2075</v>
      </c>
      <c r="R51" s="2">
        <v>249</v>
      </c>
      <c r="S51" s="2">
        <v>4999</v>
      </c>
      <c r="T51" s="2">
        <v>560</v>
      </c>
      <c r="U51" s="2">
        <v>4</v>
      </c>
      <c r="V51" s="2">
        <v>90</v>
      </c>
      <c r="W51" s="2">
        <v>9354</v>
      </c>
      <c r="X51" s="9">
        <v>752665</v>
      </c>
      <c r="Y51" s="2" t="s">
        <v>46</v>
      </c>
      <c r="AA51" s="1" t="str">
        <f>TRIM(RPG_dataset[[#This Row],[Username]])</f>
        <v>opal_856</v>
      </c>
      <c r="AB51" s="1" t="str">
        <f>TRIM(RPG_dataset[[#This Row],[First Name]])</f>
        <v>Opal</v>
      </c>
      <c r="AC51" s="1" t="str">
        <f>PROPER(TRIM(RPG_dataset[[#This Row],[Race]]))</f>
        <v>Dwarf</v>
      </c>
      <c r="AD51" s="1" t="str">
        <f>PROPER(TRIM(RPG_dataset[[#This Row],[Class]]))</f>
        <v>Ranger</v>
      </c>
      <c r="AE51" s="1">
        <f>ABS(RPG_dataset[[#This Row],[Level]])</f>
        <v>67</v>
      </c>
      <c r="AF51" s="1">
        <f>ABS(RPG_dataset[[#This Row],[ATK]])</f>
        <v>120</v>
      </c>
      <c r="AG51" s="1">
        <f>ABS(RPG_dataset[[#This Row],[DEF]])</f>
        <v>57</v>
      </c>
      <c r="AH51" s="1">
        <f>ABS(RPG_dataset[[#This Row],[SPD]])</f>
        <v>72</v>
      </c>
      <c r="AI51" s="1">
        <f>ABS(RPG_dataset[[#This Row],[HP]])</f>
        <v>4784</v>
      </c>
      <c r="AJ51" s="1">
        <f>ABS(RPG_dataset[[#This Row],[MP]])</f>
        <v>2075</v>
      </c>
      <c r="AK51" s="1">
        <f>ABS(RPG_dataset[[#This Row],[Total Stat]])</f>
        <v>249</v>
      </c>
      <c r="AL51" s="1">
        <f>ABS(RPG_dataset[[#This Row],[Kills]])</f>
        <v>4999</v>
      </c>
      <c r="AM51" s="12">
        <f>ABS(RPG_dataset[[#This Row],[Win Rate (%)]])</f>
        <v>90</v>
      </c>
      <c r="AN51" s="4">
        <f>ABS(RPG_dataset[[#This Row],[Gold Earned]])</f>
        <v>752665</v>
      </c>
      <c r="AO51" s="5" t="str">
        <f t="shared" si="0"/>
        <v>OK</v>
      </c>
      <c r="AP51" s="5">
        <f>RANK(clean[[#This Row],[Clean Gold]],clean[Clean Gold], 0)</f>
        <v>126</v>
      </c>
      <c r="AQ51" s="1">
        <v>313</v>
      </c>
      <c r="AR51" s="1" t="str" cm="1">
        <f t="array" ref="AR51">_xlfn.IFS(clean[[#This Row],[Clean Level]]&gt;=76, "Legend", clean[[#This Row],[Clean Level]]&gt;=51, "Elite", clean[[#This Row],[Clean Level]]&gt;=26, "Veteran", TRUE, "Rookie")</f>
        <v>Elite</v>
      </c>
      <c r="AS51" s="1" t="str">
        <f>IF(RPG_dataset[[#This Row],[Status]]="Active", "TRUE", "FALSE")</f>
        <v>FALSE</v>
      </c>
      <c r="AT51" s="1" t="str" cm="1">
        <f t="array" ref="AT51">_xlfn.IFS(clean[[#This Row],[Clean Win Rate]]&gt;70, "Excellent", clean[[#This Row],[Clean Win Rate]]&gt;=40, "Average", TRUE, "Poor")</f>
        <v>Excellent</v>
      </c>
      <c r="AU51" s="1" t="str">
        <f>IF(AND(clean[[#This Row],[Clean Level]]&gt;80, clean[[#This Row],[Clean Total Stat]]&gt;350, clean[[#This Row],[Clean Gold]]&gt;500000), "Overpowered", "Normal")</f>
        <v>Normal</v>
      </c>
      <c r="AV51" s="1" t="str" cm="1">
        <f t="array" ref="AV5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51" s="1" t="str" cm="1">
        <f t="array" ref="AW5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51" s="1"/>
    </row>
    <row r="52" spans="1:50" x14ac:dyDescent="0.3">
      <c r="A52" s="2" t="s">
        <v>291</v>
      </c>
      <c r="B52" s="2" t="s">
        <v>292</v>
      </c>
      <c r="C52" s="2" t="s">
        <v>253</v>
      </c>
      <c r="D52" s="2" t="s">
        <v>277</v>
      </c>
      <c r="E52" s="2" t="s">
        <v>60</v>
      </c>
      <c r="F52" s="2" t="s">
        <v>52</v>
      </c>
      <c r="G52" s="2">
        <v>47</v>
      </c>
      <c r="H52" s="2" t="s">
        <v>31</v>
      </c>
      <c r="I52" s="2" t="s">
        <v>63</v>
      </c>
      <c r="J52" s="2" t="s">
        <v>64</v>
      </c>
      <c r="K52" s="2" t="s">
        <v>99</v>
      </c>
      <c r="L52" s="6" t="s">
        <v>293</v>
      </c>
      <c r="M52" s="2">
        <v>120</v>
      </c>
      <c r="N52" s="2">
        <v>83</v>
      </c>
      <c r="O52" s="2">
        <v>21</v>
      </c>
      <c r="P52" s="2">
        <v>2679</v>
      </c>
      <c r="Q52" s="2"/>
      <c r="R52" s="2"/>
      <c r="S52" s="2">
        <v>4374</v>
      </c>
      <c r="T52" s="2">
        <v>463</v>
      </c>
      <c r="U52" s="2">
        <v>164</v>
      </c>
      <c r="V52" s="2">
        <v>90</v>
      </c>
      <c r="W52" s="2">
        <v>3664</v>
      </c>
      <c r="X52" s="9">
        <v>211925</v>
      </c>
      <c r="Y52" s="2" t="s">
        <v>36</v>
      </c>
      <c r="AA52" s="1" t="str">
        <f>TRIM(RPG_dataset[[#This Row],[Username]])</f>
        <v>freya_316</v>
      </c>
      <c r="AB52" s="1" t="str">
        <f>TRIM(RPG_dataset[[#This Row],[First Name]])</f>
        <v>Freya</v>
      </c>
      <c r="AC52" s="1" t="str">
        <f>PROPER(TRIM(RPG_dataset[[#This Row],[Race]]))</f>
        <v>Human</v>
      </c>
      <c r="AD52" s="1" t="str">
        <f>PROPER(TRIM(RPG_dataset[[#This Row],[Class]]))</f>
        <v>Bard</v>
      </c>
      <c r="AE52" s="1">
        <f>ABS(RPG_dataset[[#This Row],[Level]])</f>
        <v>47</v>
      </c>
      <c r="AF52" s="1">
        <f>ABS(RPG_dataset[[#This Row],[ATK]])</f>
        <v>120</v>
      </c>
      <c r="AG52" s="1">
        <f>ABS(RPG_dataset[[#This Row],[DEF]])</f>
        <v>83</v>
      </c>
      <c r="AH52" s="1">
        <f>ABS(RPG_dataset[[#This Row],[SPD]])</f>
        <v>21</v>
      </c>
      <c r="AI52" s="1">
        <f>ABS(RPG_dataset[[#This Row],[HP]])</f>
        <v>2679</v>
      </c>
      <c r="AJ52" s="1">
        <f>ABS(RPG_dataset[[#This Row],[MP]])</f>
        <v>0</v>
      </c>
      <c r="AK52" s="1">
        <f>ABS(RPG_dataset[[#This Row],[Total Stat]])</f>
        <v>0</v>
      </c>
      <c r="AL52" s="1">
        <f>ABS(RPG_dataset[[#This Row],[Kills]])</f>
        <v>4374</v>
      </c>
      <c r="AM52" s="12">
        <f>ABS(RPG_dataset[[#This Row],[Win Rate (%)]])</f>
        <v>90</v>
      </c>
      <c r="AN52" s="4">
        <f>ABS(RPG_dataset[[#This Row],[Gold Earned]])</f>
        <v>211925</v>
      </c>
      <c r="AO52" s="5" t="str">
        <f t="shared" si="0"/>
        <v>OK</v>
      </c>
      <c r="AP52" s="5">
        <f>RANK(clean[[#This Row],[Clean Gold]],clean[Clean Gold], 0)</f>
        <v>395</v>
      </c>
      <c r="AQ52" s="1">
        <v>265</v>
      </c>
      <c r="AR52" s="1" t="str" cm="1">
        <f t="array" ref="AR52">_xlfn.IFS(clean[[#This Row],[Clean Level]]&gt;=76, "Legend", clean[[#This Row],[Clean Level]]&gt;=51, "Elite", clean[[#This Row],[Clean Level]]&gt;=26, "Veteran", TRUE, "Rookie")</f>
        <v>Veteran</v>
      </c>
      <c r="AS52" s="1" t="str">
        <f>IF(RPG_dataset[[#This Row],[Status]]="Active", "TRUE", "FALSE")</f>
        <v>FALSE</v>
      </c>
      <c r="AT52" s="1" t="str" cm="1">
        <f t="array" ref="AT52">_xlfn.IFS(clean[[#This Row],[Clean Win Rate]]&gt;70, "Excellent", clean[[#This Row],[Clean Win Rate]]&gt;=40, "Average", TRUE, "Poor")</f>
        <v>Excellent</v>
      </c>
      <c r="AU52" s="1" t="str">
        <f>IF(AND(clean[[#This Row],[Clean Level]]&gt;80, clean[[#This Row],[Clean Total Stat]]&gt;350, clean[[#This Row],[Clean Gold]]&gt;500000), "Overpowered", "Normal")</f>
        <v>Normal</v>
      </c>
      <c r="AV52" s="1" t="str" cm="1">
        <f t="array" ref="AV5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52" s="1" t="str" cm="1">
        <f t="array" ref="AW5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52" s="1"/>
    </row>
    <row r="53" spans="1:50" x14ac:dyDescent="0.3">
      <c r="A53" s="2" t="s">
        <v>294</v>
      </c>
      <c r="B53" s="2" t="s">
        <v>295</v>
      </c>
      <c r="C53" s="2" t="s">
        <v>296</v>
      </c>
      <c r="D53" s="2" t="s">
        <v>40</v>
      </c>
      <c r="E53" s="2" t="s">
        <v>41</v>
      </c>
      <c r="F53" s="2" t="s">
        <v>42</v>
      </c>
      <c r="G53" s="2">
        <v>37</v>
      </c>
      <c r="H53" s="2" t="s">
        <v>75</v>
      </c>
      <c r="I53" s="2" t="s">
        <v>63</v>
      </c>
      <c r="J53" s="2" t="s">
        <v>33</v>
      </c>
      <c r="K53" s="2" t="s">
        <v>99</v>
      </c>
      <c r="L53" s="6" t="s">
        <v>297</v>
      </c>
      <c r="M53" s="2">
        <v>32</v>
      </c>
      <c r="N53" s="2">
        <v>125</v>
      </c>
      <c r="O53" s="2">
        <v>27</v>
      </c>
      <c r="P53" s="2">
        <v>574</v>
      </c>
      <c r="Q53" s="2">
        <v>702</v>
      </c>
      <c r="R53" s="2"/>
      <c r="S53" s="2">
        <v>4242</v>
      </c>
      <c r="T53" s="2">
        <v>497</v>
      </c>
      <c r="U53" s="2"/>
      <c r="V53" s="2">
        <v>90</v>
      </c>
      <c r="W53" s="2">
        <v>9619</v>
      </c>
      <c r="X53" s="9">
        <v>901161</v>
      </c>
      <c r="Y53" s="2" t="s">
        <v>36</v>
      </c>
      <c r="AA53" s="1" t="str">
        <f>TRIM(RPG_dataset[[#This Row],[Username]])</f>
        <v>gareth_180</v>
      </c>
      <c r="AB53" s="1" t="str">
        <f>TRIM(RPG_dataset[[#This Row],[First Name]])</f>
        <v>Gareth</v>
      </c>
      <c r="AC53" s="1" t="str">
        <f>PROPER(TRIM(RPG_dataset[[#This Row],[Race]]))</f>
        <v>Gnome</v>
      </c>
      <c r="AD53" s="1" t="str">
        <f>PROPER(TRIM(RPG_dataset[[#This Row],[Class]]))</f>
        <v>Monk</v>
      </c>
      <c r="AE53" s="1">
        <f>ABS(RPG_dataset[[#This Row],[Level]])</f>
        <v>37</v>
      </c>
      <c r="AF53" s="1">
        <f>ABS(RPG_dataset[[#This Row],[ATK]])</f>
        <v>32</v>
      </c>
      <c r="AG53" s="1">
        <f>ABS(RPG_dataset[[#This Row],[DEF]])</f>
        <v>125</v>
      </c>
      <c r="AH53" s="1">
        <f>ABS(RPG_dataset[[#This Row],[SPD]])</f>
        <v>27</v>
      </c>
      <c r="AI53" s="1">
        <f>ABS(RPG_dataset[[#This Row],[HP]])</f>
        <v>574</v>
      </c>
      <c r="AJ53" s="1">
        <f>ABS(RPG_dataset[[#This Row],[MP]])</f>
        <v>702</v>
      </c>
      <c r="AK53" s="1">
        <f>ABS(RPG_dataset[[#This Row],[Total Stat]])</f>
        <v>0</v>
      </c>
      <c r="AL53" s="1">
        <f>ABS(RPG_dataset[[#This Row],[Kills]])</f>
        <v>4242</v>
      </c>
      <c r="AM53" s="12">
        <f>ABS(RPG_dataset[[#This Row],[Win Rate (%)]])</f>
        <v>90</v>
      </c>
      <c r="AN53" s="4">
        <f>ABS(RPG_dataset[[#This Row],[Gold Earned]])</f>
        <v>901161</v>
      </c>
      <c r="AO53" s="5" t="str">
        <f t="shared" si="0"/>
        <v>OK</v>
      </c>
      <c r="AP53" s="5">
        <f>RANK(clean[[#This Row],[Clean Gold]],clean[Clean Gold], 0)</f>
        <v>51</v>
      </c>
      <c r="AQ53" s="1">
        <v>266</v>
      </c>
      <c r="AR53" s="1" t="str" cm="1">
        <f t="array" ref="AR53">_xlfn.IFS(clean[[#This Row],[Clean Level]]&gt;=76, "Legend", clean[[#This Row],[Clean Level]]&gt;=51, "Elite", clean[[#This Row],[Clean Level]]&gt;=26, "Veteran", TRUE, "Rookie")</f>
        <v>Veteran</v>
      </c>
      <c r="AS53" s="1" t="str">
        <f>IF(RPG_dataset[[#This Row],[Status]]="Active", "TRUE", "FALSE")</f>
        <v>FALSE</v>
      </c>
      <c r="AT53" s="1" t="str" cm="1">
        <f t="array" ref="AT53">_xlfn.IFS(clean[[#This Row],[Clean Win Rate]]&gt;70, "Excellent", clean[[#This Row],[Clean Win Rate]]&gt;=40, "Average", TRUE, "Poor")</f>
        <v>Excellent</v>
      </c>
      <c r="AU53" s="1" t="str">
        <f>IF(AND(clean[[#This Row],[Clean Level]]&gt;80, clean[[#This Row],[Clean Total Stat]]&gt;350, clean[[#This Row],[Clean Gold]]&gt;500000), "Overpowered", "Normal")</f>
        <v>Normal</v>
      </c>
      <c r="AV53" s="1" t="str" cm="1">
        <f t="array" ref="AV5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53" s="1" t="str" cm="1">
        <f t="array" ref="AW5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53" s="1"/>
    </row>
    <row r="54" spans="1:50" x14ac:dyDescent="0.3">
      <c r="A54" s="2" t="s">
        <v>298</v>
      </c>
      <c r="B54" s="2" t="s">
        <v>299</v>
      </c>
      <c r="C54" s="2" t="s">
        <v>253</v>
      </c>
      <c r="D54" s="2" t="s">
        <v>300</v>
      </c>
      <c r="E54" s="2" t="s">
        <v>51</v>
      </c>
      <c r="F54" s="2" t="s">
        <v>98</v>
      </c>
      <c r="G54" s="2">
        <v>10</v>
      </c>
      <c r="H54" s="2" t="s">
        <v>43</v>
      </c>
      <c r="I54" s="2" t="s">
        <v>63</v>
      </c>
      <c r="J54" s="2" t="s">
        <v>111</v>
      </c>
      <c r="K54" s="2" t="s">
        <v>44</v>
      </c>
      <c r="L54" s="6" t="s">
        <v>301</v>
      </c>
      <c r="M54" s="2">
        <v>83</v>
      </c>
      <c r="N54" s="2">
        <v>55</v>
      </c>
      <c r="O54" s="2">
        <v>78</v>
      </c>
      <c r="P54" s="2">
        <v>1518</v>
      </c>
      <c r="Q54" s="2">
        <v>886</v>
      </c>
      <c r="R54" s="2">
        <v>216</v>
      </c>
      <c r="S54" s="2">
        <v>4970</v>
      </c>
      <c r="T54" s="2">
        <v>349</v>
      </c>
      <c r="U54" s="2">
        <v>290</v>
      </c>
      <c r="V54" s="2">
        <v>93</v>
      </c>
      <c r="W54" s="2">
        <v>6161</v>
      </c>
      <c r="X54" s="9">
        <v>549107</v>
      </c>
      <c r="Y54" s="2" t="s">
        <v>46</v>
      </c>
      <c r="AA54" s="1" t="str">
        <f>TRIM(RPG_dataset[[#This Row],[Username]])</f>
        <v>freya_702</v>
      </c>
      <c r="AB54" s="1" t="str">
        <f>TRIM(RPG_dataset[[#This Row],[First Name]])</f>
        <v>Freya</v>
      </c>
      <c r="AC54" s="1" t="str">
        <f>PROPER(TRIM(RPG_dataset[[#This Row],[Race]]))</f>
        <v>Tiefling</v>
      </c>
      <c r="AD54" s="1" t="str">
        <f>PROPER(TRIM(RPG_dataset[[#This Row],[Class]]))</f>
        <v>Mage</v>
      </c>
      <c r="AE54" s="1">
        <f>ABS(RPG_dataset[[#This Row],[Level]])</f>
        <v>10</v>
      </c>
      <c r="AF54" s="1">
        <f>ABS(RPG_dataset[[#This Row],[ATK]])</f>
        <v>83</v>
      </c>
      <c r="AG54" s="1">
        <f>ABS(RPG_dataset[[#This Row],[DEF]])</f>
        <v>55</v>
      </c>
      <c r="AH54" s="1">
        <f>ABS(RPG_dataset[[#This Row],[SPD]])</f>
        <v>78</v>
      </c>
      <c r="AI54" s="1">
        <f>ABS(RPG_dataset[[#This Row],[HP]])</f>
        <v>1518</v>
      </c>
      <c r="AJ54" s="1">
        <f>ABS(RPG_dataset[[#This Row],[MP]])</f>
        <v>886</v>
      </c>
      <c r="AK54" s="1">
        <f>ABS(RPG_dataset[[#This Row],[Total Stat]])</f>
        <v>216</v>
      </c>
      <c r="AL54" s="1">
        <f>ABS(RPG_dataset[[#This Row],[Kills]])</f>
        <v>4970</v>
      </c>
      <c r="AM54" s="12">
        <f>ABS(RPG_dataset[[#This Row],[Win Rate (%)]])</f>
        <v>93</v>
      </c>
      <c r="AN54" s="4">
        <f>ABS(RPG_dataset[[#This Row],[Gold Earned]])</f>
        <v>549107</v>
      </c>
      <c r="AO54" s="5" t="str">
        <f t="shared" si="0"/>
        <v>OK</v>
      </c>
      <c r="AP54" s="5">
        <f>RANK(clean[[#This Row],[Clean Gold]],clean[Clean Gold], 0)</f>
        <v>226</v>
      </c>
      <c r="AQ54" s="1">
        <v>212</v>
      </c>
      <c r="AR54" s="1" t="str" cm="1">
        <f t="array" ref="AR54">_xlfn.IFS(clean[[#This Row],[Clean Level]]&gt;=76, "Legend", clean[[#This Row],[Clean Level]]&gt;=51, "Elite", clean[[#This Row],[Clean Level]]&gt;=26, "Veteran", TRUE, "Rookie")</f>
        <v>Rookie</v>
      </c>
      <c r="AS54" s="1" t="str">
        <f>IF(RPG_dataset[[#This Row],[Status]]="Active", "TRUE", "FALSE")</f>
        <v>TRUE</v>
      </c>
      <c r="AT54" s="1" t="str" cm="1">
        <f t="array" ref="AT54">_xlfn.IFS(clean[[#This Row],[Clean Win Rate]]&gt;70, "Excellent", clean[[#This Row],[Clean Win Rate]]&gt;=40, "Average", TRUE, "Poor")</f>
        <v>Excellent</v>
      </c>
      <c r="AU54" s="1" t="str">
        <f>IF(AND(clean[[#This Row],[Clean Level]]&gt;80, clean[[#This Row],[Clean Total Stat]]&gt;350, clean[[#This Row],[Clean Gold]]&gt;500000), "Overpowered", "Normal")</f>
        <v>Normal</v>
      </c>
      <c r="AV54" s="1" t="str" cm="1">
        <f t="array" ref="AV5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54" s="1" t="str" cm="1">
        <f t="array" ref="AW5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54" s="1"/>
    </row>
    <row r="55" spans="1:50" x14ac:dyDescent="0.3">
      <c r="A55" s="2" t="s">
        <v>302</v>
      </c>
      <c r="B55" s="2" t="s">
        <v>303</v>
      </c>
      <c r="C55" s="2" t="s">
        <v>103</v>
      </c>
      <c r="D55" s="2" t="s">
        <v>304</v>
      </c>
      <c r="E55" s="2" t="s">
        <v>60</v>
      </c>
      <c r="F55" s="2" t="s">
        <v>72</v>
      </c>
      <c r="G55" s="2">
        <v>78</v>
      </c>
      <c r="H55" s="2" t="s">
        <v>62</v>
      </c>
      <c r="I55" s="2" t="s">
        <v>54</v>
      </c>
      <c r="J55" s="2" t="s">
        <v>64</v>
      </c>
      <c r="K55" s="2" t="s">
        <v>44</v>
      </c>
      <c r="L55" s="6" t="s">
        <v>305</v>
      </c>
      <c r="M55" s="2">
        <v>10</v>
      </c>
      <c r="N55" s="2">
        <v>111</v>
      </c>
      <c r="O55" s="2">
        <v>73</v>
      </c>
      <c r="P55" s="2">
        <v>1292</v>
      </c>
      <c r="Q55" s="2">
        <v>1611</v>
      </c>
      <c r="R55" s="2">
        <v>194</v>
      </c>
      <c r="S55" s="2">
        <v>93</v>
      </c>
      <c r="T55" s="2">
        <v>606</v>
      </c>
      <c r="U55" s="2">
        <v>233</v>
      </c>
      <c r="V55" s="2">
        <v>13</v>
      </c>
      <c r="W55" s="2">
        <v>2810</v>
      </c>
      <c r="X55" s="9">
        <v>103761</v>
      </c>
      <c r="Y55" s="2" t="s">
        <v>46</v>
      </c>
      <c r="AA55" s="1" t="str">
        <f>TRIM(RPG_dataset[[#This Row],[Username]])</f>
        <v>aria_641</v>
      </c>
      <c r="AB55" s="1" t="str">
        <f>TRIM(RPG_dataset[[#This Row],[First Name]])</f>
        <v>Aria</v>
      </c>
      <c r="AC55" s="1" t="str">
        <f>PROPER(TRIM(RPG_dataset[[#This Row],[Race]]))</f>
        <v>Human</v>
      </c>
      <c r="AD55" s="1" t="str">
        <f>PROPER(TRIM(RPG_dataset[[#This Row],[Class]]))</f>
        <v>Warrior</v>
      </c>
      <c r="AE55" s="1">
        <f>ABS(RPG_dataset[[#This Row],[Level]])</f>
        <v>78</v>
      </c>
      <c r="AF55" s="1">
        <f>ABS(RPG_dataset[[#This Row],[ATK]])</f>
        <v>10</v>
      </c>
      <c r="AG55" s="1">
        <f>ABS(RPG_dataset[[#This Row],[DEF]])</f>
        <v>111</v>
      </c>
      <c r="AH55" s="1">
        <f>ABS(RPG_dataset[[#This Row],[SPD]])</f>
        <v>73</v>
      </c>
      <c r="AI55" s="1">
        <f>ABS(RPG_dataset[[#This Row],[HP]])</f>
        <v>1292</v>
      </c>
      <c r="AJ55" s="1">
        <f>ABS(RPG_dataset[[#This Row],[MP]])</f>
        <v>1611</v>
      </c>
      <c r="AK55" s="1">
        <f>ABS(RPG_dataset[[#This Row],[Total Stat]])</f>
        <v>194</v>
      </c>
      <c r="AL55" s="1">
        <f>ABS(RPG_dataset[[#This Row],[Kills]])</f>
        <v>93</v>
      </c>
      <c r="AM55" s="12">
        <f>ABS(RPG_dataset[[#This Row],[Win Rate (%)]])</f>
        <v>13</v>
      </c>
      <c r="AN55" s="4">
        <f>ABS(RPG_dataset[[#This Row],[Gold Earned]])</f>
        <v>103761</v>
      </c>
      <c r="AO55" s="5" t="str">
        <f t="shared" si="0"/>
        <v>OK</v>
      </c>
      <c r="AP55" s="5">
        <f>RANK(clean[[#This Row],[Clean Gold]],clean[Clean Gold], 0)</f>
        <v>439</v>
      </c>
      <c r="AQ55" s="1">
        <v>178</v>
      </c>
      <c r="AR55" s="1" t="str" cm="1">
        <f t="array" ref="AR55">_xlfn.IFS(clean[[#This Row],[Clean Level]]&gt;=76, "Legend", clean[[#This Row],[Clean Level]]&gt;=51, "Elite", clean[[#This Row],[Clean Level]]&gt;=26, "Veteran", TRUE, "Rookie")</f>
        <v>Legend</v>
      </c>
      <c r="AS55" s="1" t="str">
        <f>IF(RPG_dataset[[#This Row],[Status]]="Active", "TRUE", "FALSE")</f>
        <v>TRUE</v>
      </c>
      <c r="AT55" s="1" t="str" cm="1">
        <f t="array" ref="AT55">_xlfn.IFS(clean[[#This Row],[Clean Win Rate]]&gt;70, "Excellent", clean[[#This Row],[Clean Win Rate]]&gt;=40, "Average", TRUE, "Poor")</f>
        <v>Poor</v>
      </c>
      <c r="AU55" s="1" t="str">
        <f>IF(AND(clean[[#This Row],[Clean Level]]&gt;80, clean[[#This Row],[Clean Total Stat]]&gt;350, clean[[#This Row],[Clean Gold]]&gt;500000), "Overpowered", "Normal")</f>
        <v>Normal</v>
      </c>
      <c r="AV55" s="1" t="str" cm="1">
        <f t="array" ref="AV5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55" s="1" t="str" cm="1">
        <f t="array" ref="AW5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55" s="1"/>
    </row>
    <row r="56" spans="1:50" x14ac:dyDescent="0.3">
      <c r="A56" s="2" t="s">
        <v>306</v>
      </c>
      <c r="B56" s="2" t="s">
        <v>307</v>
      </c>
      <c r="C56" s="2" t="s">
        <v>138</v>
      </c>
      <c r="D56" s="2" t="s">
        <v>174</v>
      </c>
      <c r="E56" s="2" t="s">
        <v>29</v>
      </c>
      <c r="F56" s="2" t="s">
        <v>72</v>
      </c>
      <c r="G56" s="2">
        <v>86</v>
      </c>
      <c r="H56" s="2" t="s">
        <v>73</v>
      </c>
      <c r="I56" s="2" t="s">
        <v>63</v>
      </c>
      <c r="J56" s="2" t="s">
        <v>33</v>
      </c>
      <c r="K56" s="2" t="s">
        <v>106</v>
      </c>
      <c r="L56" s="6" t="s">
        <v>308</v>
      </c>
      <c r="M56" s="2">
        <v>31</v>
      </c>
      <c r="N56" s="2">
        <v>138</v>
      </c>
      <c r="O56" s="2">
        <v>140</v>
      </c>
      <c r="P56" s="2">
        <v>1603</v>
      </c>
      <c r="Q56" s="2">
        <v>2649</v>
      </c>
      <c r="R56" s="2">
        <v>309</v>
      </c>
      <c r="S56" s="2">
        <v>1340</v>
      </c>
      <c r="T56" s="2">
        <v>959</v>
      </c>
      <c r="U56" s="2">
        <v>14</v>
      </c>
      <c r="V56" s="2">
        <v>58</v>
      </c>
      <c r="W56" s="2">
        <v>120</v>
      </c>
      <c r="X56" s="9">
        <v>458737</v>
      </c>
      <c r="Y56" s="2" t="s">
        <v>46</v>
      </c>
      <c r="AA56" s="1" t="str">
        <f>TRIM(RPG_dataset[[#This Row],[Username]])</f>
        <v>grim_728</v>
      </c>
      <c r="AB56" s="1" t="str">
        <f>TRIM(RPG_dataset[[#This Row],[First Name]])</f>
        <v>Grim</v>
      </c>
      <c r="AC56" s="1" t="str">
        <f>PROPER(TRIM(RPG_dataset[[#This Row],[Race]]))</f>
        <v>Dwarf</v>
      </c>
      <c r="AD56" s="1" t="str">
        <f>PROPER(TRIM(RPG_dataset[[#This Row],[Class]]))</f>
        <v>Warrior</v>
      </c>
      <c r="AE56" s="1">
        <f>ABS(RPG_dataset[[#This Row],[Level]])</f>
        <v>86</v>
      </c>
      <c r="AF56" s="1">
        <f>ABS(RPG_dataset[[#This Row],[ATK]])</f>
        <v>31</v>
      </c>
      <c r="AG56" s="1">
        <f>ABS(RPG_dataset[[#This Row],[DEF]])</f>
        <v>138</v>
      </c>
      <c r="AH56" s="1">
        <f>ABS(RPG_dataset[[#This Row],[SPD]])</f>
        <v>140</v>
      </c>
      <c r="AI56" s="1">
        <f>ABS(RPG_dataset[[#This Row],[HP]])</f>
        <v>1603</v>
      </c>
      <c r="AJ56" s="1">
        <f>ABS(RPG_dataset[[#This Row],[MP]])</f>
        <v>2649</v>
      </c>
      <c r="AK56" s="1">
        <f>ABS(RPG_dataset[[#This Row],[Total Stat]])</f>
        <v>309</v>
      </c>
      <c r="AL56" s="1">
        <f>ABS(RPG_dataset[[#This Row],[Kills]])</f>
        <v>1340</v>
      </c>
      <c r="AM56" s="12">
        <f>ABS(RPG_dataset[[#This Row],[Win Rate (%)]])</f>
        <v>58</v>
      </c>
      <c r="AN56" s="4">
        <f>ABS(RPG_dataset[[#This Row],[Gold Earned]])</f>
        <v>458737</v>
      </c>
      <c r="AO56" s="5" t="str">
        <f t="shared" si="0"/>
        <v>OK</v>
      </c>
      <c r="AP56" s="5">
        <f>RANK(clean[[#This Row],[Clean Gold]],clean[Clean Gold], 0)</f>
        <v>271</v>
      </c>
      <c r="AQ56" s="1">
        <v>146</v>
      </c>
      <c r="AR56" s="1" t="str" cm="1">
        <f t="array" ref="AR56">_xlfn.IFS(clean[[#This Row],[Clean Level]]&gt;=76, "Legend", clean[[#This Row],[Clean Level]]&gt;=51, "Elite", clean[[#This Row],[Clean Level]]&gt;=26, "Veteran", TRUE, "Rookie")</f>
        <v>Legend</v>
      </c>
      <c r="AS56" s="1" t="str">
        <f>IF(RPG_dataset[[#This Row],[Status]]="Active", "TRUE", "FALSE")</f>
        <v>FALSE</v>
      </c>
      <c r="AT56" s="1" t="str" cm="1">
        <f t="array" ref="AT56">_xlfn.IFS(clean[[#This Row],[Clean Win Rate]]&gt;70, "Excellent", clean[[#This Row],[Clean Win Rate]]&gt;=40, "Average", TRUE, "Poor")</f>
        <v>Average</v>
      </c>
      <c r="AU56" s="1" t="str">
        <f>IF(AND(clean[[#This Row],[Clean Level]]&gt;80, clean[[#This Row],[Clean Total Stat]]&gt;350, clean[[#This Row],[Clean Gold]]&gt;500000), "Overpowered", "Normal")</f>
        <v>Normal</v>
      </c>
      <c r="AV56" s="1" t="str" cm="1">
        <f t="array" ref="AV5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56" s="1" t="str" cm="1">
        <f t="array" ref="AW5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Squad Inti</v>
      </c>
      <c r="AX56" s="1"/>
    </row>
    <row r="57" spans="1:50" x14ac:dyDescent="0.3">
      <c r="A57" s="2" t="s">
        <v>309</v>
      </c>
      <c r="B57" s="2" t="s">
        <v>310</v>
      </c>
      <c r="C57" s="2" t="s">
        <v>238</v>
      </c>
      <c r="D57" s="2" t="s">
        <v>304</v>
      </c>
      <c r="E57" s="2" t="s">
        <v>41</v>
      </c>
      <c r="F57" s="2" t="s">
        <v>98</v>
      </c>
      <c r="G57" s="2">
        <v>59</v>
      </c>
      <c r="H57" s="2" t="s">
        <v>125</v>
      </c>
      <c r="I57" s="2" t="s">
        <v>54</v>
      </c>
      <c r="J57" s="2" t="s">
        <v>163</v>
      </c>
      <c r="K57" s="2" t="s">
        <v>44</v>
      </c>
      <c r="L57" s="6" t="s">
        <v>311</v>
      </c>
      <c r="M57" s="2">
        <v>130</v>
      </c>
      <c r="N57" s="2">
        <v>51</v>
      </c>
      <c r="O57" s="2">
        <v>132</v>
      </c>
      <c r="P57" s="2">
        <v>3721</v>
      </c>
      <c r="Q57" s="2">
        <v>1004</v>
      </c>
      <c r="R57" s="2">
        <v>313</v>
      </c>
      <c r="S57" s="2">
        <v>704</v>
      </c>
      <c r="T57" s="2">
        <v>311</v>
      </c>
      <c r="U57" s="2">
        <v>202</v>
      </c>
      <c r="V57" s="2">
        <v>69</v>
      </c>
      <c r="W57" s="2">
        <v>6192</v>
      </c>
      <c r="X57" s="9">
        <v>4499</v>
      </c>
      <c r="Y57" s="2" t="s">
        <v>36</v>
      </c>
      <c r="AA57" s="1" t="str">
        <f>TRIM(RPG_dataset[[#This Row],[Username]])</f>
        <v>cael_374</v>
      </c>
      <c r="AB57" s="1" t="str">
        <f>TRIM(RPG_dataset[[#This Row],[First Name]])</f>
        <v>Cael</v>
      </c>
      <c r="AC57" s="1" t="str">
        <f>PROPER(TRIM(RPG_dataset[[#This Row],[Race]]))</f>
        <v>Gnome</v>
      </c>
      <c r="AD57" s="1" t="str">
        <f>PROPER(TRIM(RPG_dataset[[#This Row],[Class]]))</f>
        <v>Mage</v>
      </c>
      <c r="AE57" s="1">
        <f>ABS(RPG_dataset[[#This Row],[Level]])</f>
        <v>59</v>
      </c>
      <c r="AF57" s="1">
        <f>ABS(RPG_dataset[[#This Row],[ATK]])</f>
        <v>130</v>
      </c>
      <c r="AG57" s="1">
        <f>ABS(RPG_dataset[[#This Row],[DEF]])</f>
        <v>51</v>
      </c>
      <c r="AH57" s="1">
        <f>ABS(RPG_dataset[[#This Row],[SPD]])</f>
        <v>132</v>
      </c>
      <c r="AI57" s="1">
        <f>ABS(RPG_dataset[[#This Row],[HP]])</f>
        <v>3721</v>
      </c>
      <c r="AJ57" s="1">
        <f>ABS(RPG_dataset[[#This Row],[MP]])</f>
        <v>1004</v>
      </c>
      <c r="AK57" s="1">
        <f>ABS(RPG_dataset[[#This Row],[Total Stat]])</f>
        <v>313</v>
      </c>
      <c r="AL57" s="1">
        <f>ABS(RPG_dataset[[#This Row],[Kills]])</f>
        <v>704</v>
      </c>
      <c r="AM57" s="12">
        <f>ABS(RPG_dataset[[#This Row],[Win Rate (%)]])</f>
        <v>69</v>
      </c>
      <c r="AN57" s="4">
        <f>ABS(RPG_dataset[[#This Row],[Gold Earned]])</f>
        <v>4499</v>
      </c>
      <c r="AO57" s="5" t="str">
        <f t="shared" si="0"/>
        <v>OK</v>
      </c>
      <c r="AP57" s="5">
        <f>RANK(clean[[#This Row],[Clean Gold]],clean[Clean Gold], 0)</f>
        <v>483</v>
      </c>
      <c r="AQ57" s="1">
        <v>142</v>
      </c>
      <c r="AR57" s="1" t="str" cm="1">
        <f t="array" ref="AR57">_xlfn.IFS(clean[[#This Row],[Clean Level]]&gt;=76, "Legend", clean[[#This Row],[Clean Level]]&gt;=51, "Elite", clean[[#This Row],[Clean Level]]&gt;=26, "Veteran", TRUE, "Rookie")</f>
        <v>Elite</v>
      </c>
      <c r="AS57" s="1" t="str">
        <f>IF(RPG_dataset[[#This Row],[Status]]="Active", "TRUE", "FALSE")</f>
        <v>TRUE</v>
      </c>
      <c r="AT57" s="1" t="str" cm="1">
        <f t="array" ref="AT57">_xlfn.IFS(clean[[#This Row],[Clean Win Rate]]&gt;70, "Excellent", clean[[#This Row],[Clean Win Rate]]&gt;=40, "Average", TRUE, "Poor")</f>
        <v>Average</v>
      </c>
      <c r="AU57" s="1" t="str">
        <f>IF(AND(clean[[#This Row],[Clean Level]]&gt;80, clean[[#This Row],[Clean Total Stat]]&gt;350, clean[[#This Row],[Clean Gold]]&gt;500000), "Overpowered", "Normal")</f>
        <v>Normal</v>
      </c>
      <c r="AV57" s="1" t="str" cm="1">
        <f t="array" ref="AV5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57" s="1" t="str" cm="1">
        <f t="array" ref="AW5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57" s="1"/>
    </row>
    <row r="58" spans="1:50" x14ac:dyDescent="0.3">
      <c r="A58" s="2" t="s">
        <v>312</v>
      </c>
      <c r="B58" s="2" t="s">
        <v>313</v>
      </c>
      <c r="C58" s="2" t="s">
        <v>314</v>
      </c>
      <c r="D58" s="2" t="s">
        <v>50</v>
      </c>
      <c r="E58" s="2" t="s">
        <v>51</v>
      </c>
      <c r="F58" s="2" t="s">
        <v>52</v>
      </c>
      <c r="G58" s="2">
        <v>99</v>
      </c>
      <c r="H58" s="2" t="s">
        <v>157</v>
      </c>
      <c r="I58" s="2" t="s">
        <v>87</v>
      </c>
      <c r="J58" s="2" t="s">
        <v>111</v>
      </c>
      <c r="K58" s="2" t="s">
        <v>106</v>
      </c>
      <c r="L58" s="6" t="s">
        <v>315</v>
      </c>
      <c r="M58" s="2">
        <v>110</v>
      </c>
      <c r="N58" s="2">
        <v>146</v>
      </c>
      <c r="O58" s="2">
        <v>74</v>
      </c>
      <c r="P58" s="2">
        <v>4741</v>
      </c>
      <c r="Q58" s="2">
        <v>2516</v>
      </c>
      <c r="R58" s="2">
        <v>330</v>
      </c>
      <c r="S58" s="2">
        <v>3994</v>
      </c>
      <c r="T58" s="2">
        <v>188</v>
      </c>
      <c r="U58" s="2">
        <v>53</v>
      </c>
      <c r="V58" s="2">
        <v>96</v>
      </c>
      <c r="W58" s="2">
        <v>9659</v>
      </c>
      <c r="X58" s="9">
        <v>330527</v>
      </c>
      <c r="Y58" s="2" t="s">
        <v>36</v>
      </c>
      <c r="AA58" s="1" t="str">
        <f>TRIM(RPG_dataset[[#This Row],[Username]])</f>
        <v>zara_617</v>
      </c>
      <c r="AB58" s="1" t="str">
        <f>TRIM(RPG_dataset[[#This Row],[First Name]])</f>
        <v>Zara</v>
      </c>
      <c r="AC58" s="1" t="str">
        <f>PROPER(TRIM(RPG_dataset[[#This Row],[Race]]))</f>
        <v>Tiefling</v>
      </c>
      <c r="AD58" s="1" t="str">
        <f>PROPER(TRIM(RPG_dataset[[#This Row],[Class]]))</f>
        <v>Bard</v>
      </c>
      <c r="AE58" s="1">
        <f>ABS(RPG_dataset[[#This Row],[Level]])</f>
        <v>99</v>
      </c>
      <c r="AF58" s="1">
        <f>ABS(RPG_dataset[[#This Row],[ATK]])</f>
        <v>110</v>
      </c>
      <c r="AG58" s="1">
        <f>ABS(RPG_dataset[[#This Row],[DEF]])</f>
        <v>146</v>
      </c>
      <c r="AH58" s="1">
        <f>ABS(RPG_dataset[[#This Row],[SPD]])</f>
        <v>74</v>
      </c>
      <c r="AI58" s="1">
        <f>ABS(RPG_dataset[[#This Row],[HP]])</f>
        <v>4741</v>
      </c>
      <c r="AJ58" s="1">
        <f>ABS(RPG_dataset[[#This Row],[MP]])</f>
        <v>2516</v>
      </c>
      <c r="AK58" s="1">
        <f>ABS(RPG_dataset[[#This Row],[Total Stat]])</f>
        <v>330</v>
      </c>
      <c r="AL58" s="1">
        <f>ABS(RPG_dataset[[#This Row],[Kills]])</f>
        <v>3994</v>
      </c>
      <c r="AM58" s="12">
        <f>ABS(RPG_dataset[[#This Row],[Win Rate (%)]])</f>
        <v>96</v>
      </c>
      <c r="AN58" s="4">
        <f>ABS(RPG_dataset[[#This Row],[Gold Earned]])</f>
        <v>330527</v>
      </c>
      <c r="AO58" s="5" t="str">
        <f t="shared" si="0"/>
        <v>OK</v>
      </c>
      <c r="AP58" s="5">
        <f>RANK(clean[[#This Row],[Clean Gold]],clean[Clean Gold], 0)</f>
        <v>344</v>
      </c>
      <c r="AQ58" s="1">
        <v>380</v>
      </c>
      <c r="AR58" s="1" t="str" cm="1">
        <f t="array" ref="AR58">_xlfn.IFS(clean[[#This Row],[Clean Level]]&gt;=76, "Legend", clean[[#This Row],[Clean Level]]&gt;=51, "Elite", clean[[#This Row],[Clean Level]]&gt;=26, "Veteran", TRUE, "Rookie")</f>
        <v>Legend</v>
      </c>
      <c r="AS58" s="1" t="str">
        <f>IF(RPG_dataset[[#This Row],[Status]]="Active", "TRUE", "FALSE")</f>
        <v>FALSE</v>
      </c>
      <c r="AT58" s="1" t="str" cm="1">
        <f t="array" ref="AT58">_xlfn.IFS(clean[[#This Row],[Clean Win Rate]]&gt;70, "Excellent", clean[[#This Row],[Clean Win Rate]]&gt;=40, "Average", TRUE, "Poor")</f>
        <v>Excellent</v>
      </c>
      <c r="AU58" s="1" t="str">
        <f>IF(AND(clean[[#This Row],[Clean Level]]&gt;80, clean[[#This Row],[Clean Total Stat]]&gt;350, clean[[#This Row],[Clean Gold]]&gt;500000), "Overpowered", "Normal")</f>
        <v>Normal</v>
      </c>
      <c r="AV58" s="1" t="str" cm="1">
        <f t="array" ref="AV58">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58" s="1" t="str" cm="1">
        <f t="array" ref="AW5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58" s="1"/>
    </row>
    <row r="59" spans="1:50" x14ac:dyDescent="0.3">
      <c r="A59" s="2" t="s">
        <v>316</v>
      </c>
      <c r="B59" s="2" t="s">
        <v>317</v>
      </c>
      <c r="C59" s="2" t="s">
        <v>227</v>
      </c>
      <c r="D59" s="2" t="s">
        <v>59</v>
      </c>
      <c r="E59" s="2" t="s">
        <v>51</v>
      </c>
      <c r="F59" s="2" t="s">
        <v>98</v>
      </c>
      <c r="G59" s="2">
        <v>76</v>
      </c>
      <c r="H59" s="2" t="s">
        <v>31</v>
      </c>
      <c r="I59" s="2" t="s">
        <v>54</v>
      </c>
      <c r="J59" s="2" t="s">
        <v>88</v>
      </c>
      <c r="K59" s="2" t="s">
        <v>34</v>
      </c>
      <c r="L59" s="6" t="s">
        <v>318</v>
      </c>
      <c r="M59" s="2">
        <v>103</v>
      </c>
      <c r="N59" s="2">
        <v>112</v>
      </c>
      <c r="O59" s="2">
        <v>16</v>
      </c>
      <c r="P59" s="2">
        <v>4489</v>
      </c>
      <c r="Q59" s="2">
        <v>2328</v>
      </c>
      <c r="R59" s="2"/>
      <c r="S59" s="2">
        <v>4797</v>
      </c>
      <c r="T59" s="2"/>
      <c r="U59" s="2">
        <v>6</v>
      </c>
      <c r="V59" s="2">
        <v>93</v>
      </c>
      <c r="W59" s="2">
        <v>3634</v>
      </c>
      <c r="X59" s="9">
        <v>609620</v>
      </c>
      <c r="Y59" s="2" t="s">
        <v>46</v>
      </c>
      <c r="AA59" s="1" t="str">
        <f>TRIM(RPG_dataset[[#This Row],[Username]])</f>
        <v>nyx_437</v>
      </c>
      <c r="AB59" s="1" t="str">
        <f>TRIM(RPG_dataset[[#This Row],[First Name]])</f>
        <v>Nyx</v>
      </c>
      <c r="AC59" s="1" t="str">
        <f>PROPER(TRIM(RPG_dataset[[#This Row],[Race]]))</f>
        <v>Tiefling</v>
      </c>
      <c r="AD59" s="1" t="str">
        <f>PROPER(TRIM(RPG_dataset[[#This Row],[Class]]))</f>
        <v>Mage</v>
      </c>
      <c r="AE59" s="1">
        <f>ABS(RPG_dataset[[#This Row],[Level]])</f>
        <v>76</v>
      </c>
      <c r="AF59" s="1">
        <f>ABS(RPG_dataset[[#This Row],[ATK]])</f>
        <v>103</v>
      </c>
      <c r="AG59" s="1">
        <f>ABS(RPG_dataset[[#This Row],[DEF]])</f>
        <v>112</v>
      </c>
      <c r="AH59" s="1">
        <f>ABS(RPG_dataset[[#This Row],[SPD]])</f>
        <v>16</v>
      </c>
      <c r="AI59" s="1">
        <f>ABS(RPG_dataset[[#This Row],[HP]])</f>
        <v>4489</v>
      </c>
      <c r="AJ59" s="1">
        <f>ABS(RPG_dataset[[#This Row],[MP]])</f>
        <v>2328</v>
      </c>
      <c r="AK59" s="1">
        <f>ABS(RPG_dataset[[#This Row],[Total Stat]])</f>
        <v>0</v>
      </c>
      <c r="AL59" s="1">
        <f>ABS(RPG_dataset[[#This Row],[Kills]])</f>
        <v>4797</v>
      </c>
      <c r="AM59" s="12">
        <f>ABS(RPG_dataset[[#This Row],[Win Rate (%)]])</f>
        <v>93</v>
      </c>
      <c r="AN59" s="4">
        <f>ABS(RPG_dataset[[#This Row],[Gold Earned]])</f>
        <v>609620</v>
      </c>
      <c r="AO59" s="5" t="str">
        <f t="shared" si="0"/>
        <v>OK</v>
      </c>
      <c r="AP59" s="5">
        <f>RANK(clean[[#This Row],[Clean Gold]],clean[Clean Gold], 0)</f>
        <v>200</v>
      </c>
      <c r="AQ59" s="1">
        <v>298</v>
      </c>
      <c r="AR59" s="1" t="str" cm="1">
        <f t="array" ref="AR59">_xlfn.IFS(clean[[#This Row],[Clean Level]]&gt;=76, "Legend", clean[[#This Row],[Clean Level]]&gt;=51, "Elite", clean[[#This Row],[Clean Level]]&gt;=26, "Veteran", TRUE, "Rookie")</f>
        <v>Legend</v>
      </c>
      <c r="AS59" s="1" t="str">
        <f>IF(RPG_dataset[[#This Row],[Status]]="Active", "TRUE", "FALSE")</f>
        <v>FALSE</v>
      </c>
      <c r="AT59" s="1" t="str" cm="1">
        <f t="array" ref="AT59">_xlfn.IFS(clean[[#This Row],[Clean Win Rate]]&gt;70, "Excellent", clean[[#This Row],[Clean Win Rate]]&gt;=40, "Average", TRUE, "Poor")</f>
        <v>Excellent</v>
      </c>
      <c r="AU59" s="1" t="str">
        <f>IF(AND(clean[[#This Row],[Clean Level]]&gt;80, clean[[#This Row],[Clean Total Stat]]&gt;350, clean[[#This Row],[Clean Gold]]&gt;500000), "Overpowered", "Normal")</f>
        <v>Normal</v>
      </c>
      <c r="AV59" s="1" t="str" cm="1">
        <f t="array" ref="AV5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59" s="1" t="str" cm="1">
        <f t="array" ref="AW5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59" s="1"/>
    </row>
    <row r="60" spans="1:50" x14ac:dyDescent="0.3">
      <c r="A60" s="2" t="s">
        <v>319</v>
      </c>
      <c r="B60" s="2" t="s">
        <v>320</v>
      </c>
      <c r="C60" s="2" t="s">
        <v>223</v>
      </c>
      <c r="D60" s="2" t="s">
        <v>104</v>
      </c>
      <c r="E60" s="2" t="s">
        <v>228</v>
      </c>
      <c r="F60" s="2" t="s">
        <v>72</v>
      </c>
      <c r="G60" s="2">
        <v>21</v>
      </c>
      <c r="H60" s="2" t="s">
        <v>80</v>
      </c>
      <c r="I60" s="2" t="s">
        <v>63</v>
      </c>
      <c r="J60" s="2" t="s">
        <v>81</v>
      </c>
      <c r="K60" s="2" t="s">
        <v>34</v>
      </c>
      <c r="L60" s="6" t="s">
        <v>321</v>
      </c>
      <c r="M60" s="2">
        <v>100</v>
      </c>
      <c r="N60" s="2">
        <v>120</v>
      </c>
      <c r="O60" s="2">
        <v>28</v>
      </c>
      <c r="P60" s="2">
        <v>4633</v>
      </c>
      <c r="Q60" s="2">
        <v>2172</v>
      </c>
      <c r="R60" s="2">
        <v>248</v>
      </c>
      <c r="S60" s="2">
        <v>937</v>
      </c>
      <c r="T60" s="2">
        <v>987</v>
      </c>
      <c r="U60" s="2">
        <v>2</v>
      </c>
      <c r="V60" s="2">
        <v>49</v>
      </c>
      <c r="W60" s="2">
        <v>2271</v>
      </c>
      <c r="X60" s="9">
        <v>689730</v>
      </c>
      <c r="Y60" s="2" t="s">
        <v>36</v>
      </c>
      <c r="AA60" s="1" t="str">
        <f>TRIM(RPG_dataset[[#This Row],[Username]])</f>
        <v>lyra_173</v>
      </c>
      <c r="AB60" s="1" t="str">
        <f>TRIM(RPG_dataset[[#This Row],[First Name]])</f>
        <v>Lyra</v>
      </c>
      <c r="AC60" s="1" t="str">
        <f>PROPER(TRIM(RPG_dataset[[#This Row],[Race]]))</f>
        <v>Elf</v>
      </c>
      <c r="AD60" s="1" t="str">
        <f>PROPER(TRIM(RPG_dataset[[#This Row],[Class]]))</f>
        <v>Warrior</v>
      </c>
      <c r="AE60" s="1">
        <f>ABS(RPG_dataset[[#This Row],[Level]])</f>
        <v>21</v>
      </c>
      <c r="AF60" s="1">
        <f>ABS(RPG_dataset[[#This Row],[ATK]])</f>
        <v>100</v>
      </c>
      <c r="AG60" s="1">
        <f>ABS(RPG_dataset[[#This Row],[DEF]])</f>
        <v>120</v>
      </c>
      <c r="AH60" s="1">
        <f>ABS(RPG_dataset[[#This Row],[SPD]])</f>
        <v>28</v>
      </c>
      <c r="AI60" s="1">
        <f>ABS(RPG_dataset[[#This Row],[HP]])</f>
        <v>4633</v>
      </c>
      <c r="AJ60" s="1">
        <f>ABS(RPG_dataset[[#This Row],[MP]])</f>
        <v>2172</v>
      </c>
      <c r="AK60" s="1">
        <f>ABS(RPG_dataset[[#This Row],[Total Stat]])</f>
        <v>248</v>
      </c>
      <c r="AL60" s="1">
        <f>ABS(RPG_dataset[[#This Row],[Kills]])</f>
        <v>937</v>
      </c>
      <c r="AM60" s="12">
        <f>ABS(RPG_dataset[[#This Row],[Win Rate (%)]])</f>
        <v>49</v>
      </c>
      <c r="AN60" s="4">
        <f>ABS(RPG_dataset[[#This Row],[Gold Earned]])</f>
        <v>689730</v>
      </c>
      <c r="AO60" s="5" t="str">
        <f t="shared" si="0"/>
        <v>OK</v>
      </c>
      <c r="AP60" s="5">
        <f>RANK(clean[[#This Row],[Clean Gold]],clean[Clean Gold], 0)</f>
        <v>155</v>
      </c>
      <c r="AQ60" s="1">
        <v>237</v>
      </c>
      <c r="AR60" s="1" t="str" cm="1">
        <f t="array" ref="AR60">_xlfn.IFS(clean[[#This Row],[Clean Level]]&gt;=76, "Legend", clean[[#This Row],[Clean Level]]&gt;=51, "Elite", clean[[#This Row],[Clean Level]]&gt;=26, "Veteran", TRUE, "Rookie")</f>
        <v>Rookie</v>
      </c>
      <c r="AS60" s="1" t="str">
        <f>IF(RPG_dataset[[#This Row],[Status]]="Active", "TRUE", "FALSE")</f>
        <v>FALSE</v>
      </c>
      <c r="AT60" s="1" t="str" cm="1">
        <f t="array" ref="AT60">_xlfn.IFS(clean[[#This Row],[Clean Win Rate]]&gt;70, "Excellent", clean[[#This Row],[Clean Win Rate]]&gt;=40, "Average", TRUE, "Poor")</f>
        <v>Average</v>
      </c>
      <c r="AU60" s="1" t="str">
        <f>IF(AND(clean[[#This Row],[Clean Level]]&gt;80, clean[[#This Row],[Clean Total Stat]]&gt;350, clean[[#This Row],[Clean Gold]]&gt;500000), "Overpowered", "Normal")</f>
        <v>Normal</v>
      </c>
      <c r="AV60" s="1" t="str" cm="1">
        <f t="array" ref="AV6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60" s="1" t="str" cm="1">
        <f t="array" ref="AW6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60" s="1"/>
    </row>
    <row r="61" spans="1:50" x14ac:dyDescent="0.3">
      <c r="A61" s="2" t="s">
        <v>322</v>
      </c>
      <c r="B61" s="2" t="s">
        <v>323</v>
      </c>
      <c r="C61" s="2" t="s">
        <v>118</v>
      </c>
      <c r="D61" s="2" t="s">
        <v>324</v>
      </c>
      <c r="E61" s="2" t="s">
        <v>228</v>
      </c>
      <c r="F61" s="2" t="s">
        <v>30</v>
      </c>
      <c r="G61" s="2">
        <v>86</v>
      </c>
      <c r="H61" s="2" t="s">
        <v>73</v>
      </c>
      <c r="I61" s="2" t="s">
        <v>54</v>
      </c>
      <c r="J61" s="2" t="s">
        <v>120</v>
      </c>
      <c r="K61" s="2" t="s">
        <v>34</v>
      </c>
      <c r="L61" s="6" t="s">
        <v>325</v>
      </c>
      <c r="M61" s="2">
        <v>117</v>
      </c>
      <c r="N61" s="2">
        <v>56</v>
      </c>
      <c r="O61" s="2">
        <v>101</v>
      </c>
      <c r="P61" s="2">
        <v>2682</v>
      </c>
      <c r="Q61" s="2">
        <v>793</v>
      </c>
      <c r="R61" s="2">
        <v>274</v>
      </c>
      <c r="S61" s="2">
        <v>3735</v>
      </c>
      <c r="T61" s="2">
        <v>279</v>
      </c>
      <c r="U61" s="2">
        <v>99</v>
      </c>
      <c r="V61" s="2">
        <v>93</v>
      </c>
      <c r="W61" s="2">
        <v>7673</v>
      </c>
      <c r="X61" s="9">
        <v>236718</v>
      </c>
      <c r="Y61" s="2" t="s">
        <v>46</v>
      </c>
      <c r="AA61" s="1" t="str">
        <f>TRIM(RPG_dataset[[#This Row],[Username]])</f>
        <v>ivan_198</v>
      </c>
      <c r="AB61" s="1" t="str">
        <f>TRIM(RPG_dataset[[#This Row],[First Name]])</f>
        <v>Ivan</v>
      </c>
      <c r="AC61" s="1" t="str">
        <f>PROPER(TRIM(RPG_dataset[[#This Row],[Race]]))</f>
        <v>Elf</v>
      </c>
      <c r="AD61" s="1" t="str">
        <f>PROPER(TRIM(RPG_dataset[[#This Row],[Class]]))</f>
        <v>Rogue</v>
      </c>
      <c r="AE61" s="1">
        <f>ABS(RPG_dataset[[#This Row],[Level]])</f>
        <v>86</v>
      </c>
      <c r="AF61" s="1">
        <f>ABS(RPG_dataset[[#This Row],[ATK]])</f>
        <v>117</v>
      </c>
      <c r="AG61" s="1">
        <f>ABS(RPG_dataset[[#This Row],[DEF]])</f>
        <v>56</v>
      </c>
      <c r="AH61" s="1">
        <f>ABS(RPG_dataset[[#This Row],[SPD]])</f>
        <v>101</v>
      </c>
      <c r="AI61" s="1">
        <f>ABS(RPG_dataset[[#This Row],[HP]])</f>
        <v>2682</v>
      </c>
      <c r="AJ61" s="1">
        <f>ABS(RPG_dataset[[#This Row],[MP]])</f>
        <v>793</v>
      </c>
      <c r="AK61" s="1">
        <f>ABS(RPG_dataset[[#This Row],[Total Stat]])</f>
        <v>274</v>
      </c>
      <c r="AL61" s="1">
        <f>ABS(RPG_dataset[[#This Row],[Kills]])</f>
        <v>3735</v>
      </c>
      <c r="AM61" s="12">
        <f>ABS(RPG_dataset[[#This Row],[Win Rate (%)]])</f>
        <v>93</v>
      </c>
      <c r="AN61" s="4">
        <f>ABS(RPG_dataset[[#This Row],[Gold Earned]])</f>
        <v>236718</v>
      </c>
      <c r="AO61" s="5" t="str">
        <f t="shared" si="0"/>
        <v>OK</v>
      </c>
      <c r="AP61" s="5">
        <f>RANK(clean[[#This Row],[Clean Gold]],clean[Clean Gold], 0)</f>
        <v>377</v>
      </c>
      <c r="AQ61" s="1">
        <v>168</v>
      </c>
      <c r="AR61" s="1" t="str" cm="1">
        <f t="array" ref="AR61">_xlfn.IFS(clean[[#This Row],[Clean Level]]&gt;=76, "Legend", clean[[#This Row],[Clean Level]]&gt;=51, "Elite", clean[[#This Row],[Clean Level]]&gt;=26, "Veteran", TRUE, "Rookie")</f>
        <v>Legend</v>
      </c>
      <c r="AS61" s="1" t="str">
        <f>IF(RPG_dataset[[#This Row],[Status]]="Active", "TRUE", "FALSE")</f>
        <v>FALSE</v>
      </c>
      <c r="AT61" s="1" t="str" cm="1">
        <f t="array" ref="AT61">_xlfn.IFS(clean[[#This Row],[Clean Win Rate]]&gt;70, "Excellent", clean[[#This Row],[Clean Win Rate]]&gt;=40, "Average", TRUE, "Poor")</f>
        <v>Excellent</v>
      </c>
      <c r="AU61" s="1" t="str">
        <f>IF(AND(clean[[#This Row],[Clean Level]]&gt;80, clean[[#This Row],[Clean Total Stat]]&gt;350, clean[[#This Row],[Clean Gold]]&gt;500000), "Overpowered", "Normal")</f>
        <v>Normal</v>
      </c>
      <c r="AV61" s="1" t="str" cm="1">
        <f t="array" ref="AV6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61" s="1" t="str" cm="1">
        <f t="array" ref="AW6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61" s="1"/>
    </row>
    <row r="62" spans="1:50" x14ac:dyDescent="0.3">
      <c r="A62" s="2" t="s">
        <v>326</v>
      </c>
      <c r="B62" s="2" t="s">
        <v>327</v>
      </c>
      <c r="C62" s="2" t="s">
        <v>27</v>
      </c>
      <c r="D62" s="2" t="s">
        <v>59</v>
      </c>
      <c r="E62" s="2" t="s">
        <v>51</v>
      </c>
      <c r="F62" s="2" t="s">
        <v>124</v>
      </c>
      <c r="G62" s="2">
        <v>45</v>
      </c>
      <c r="H62" s="2" t="s">
        <v>73</v>
      </c>
      <c r="I62" s="2" t="s">
        <v>126</v>
      </c>
      <c r="J62" s="2" t="s">
        <v>163</v>
      </c>
      <c r="K62" s="2" t="s">
        <v>44</v>
      </c>
      <c r="L62" s="6" t="s">
        <v>328</v>
      </c>
      <c r="M62" s="2">
        <v>36</v>
      </c>
      <c r="N62" s="2">
        <v>41</v>
      </c>
      <c r="O62" s="2">
        <v>13</v>
      </c>
      <c r="P62" s="2">
        <v>3343</v>
      </c>
      <c r="Q62" s="2">
        <v>1457</v>
      </c>
      <c r="R62" s="2">
        <v>90</v>
      </c>
      <c r="S62" s="2">
        <v>4076</v>
      </c>
      <c r="T62" s="2">
        <v>696</v>
      </c>
      <c r="U62" s="2">
        <v>106</v>
      </c>
      <c r="V62" s="2">
        <v>85</v>
      </c>
      <c r="W62" s="2">
        <v>4612</v>
      </c>
      <c r="X62" s="9">
        <v>603924</v>
      </c>
      <c r="Y62" s="2" t="s">
        <v>46</v>
      </c>
      <c r="AA62" s="1" t="str">
        <f>TRIM(RPG_dataset[[#This Row],[Username]])</f>
        <v>aiden_492</v>
      </c>
      <c r="AB62" s="1" t="str">
        <f>TRIM(RPG_dataset[[#This Row],[First Name]])</f>
        <v>Aiden</v>
      </c>
      <c r="AC62" s="1" t="str">
        <f>PROPER(TRIM(RPG_dataset[[#This Row],[Race]]))</f>
        <v>Tiefling</v>
      </c>
      <c r="AD62" s="1" t="str">
        <f>PROPER(TRIM(RPG_dataset[[#This Row],[Class]]))</f>
        <v>Necromancer</v>
      </c>
      <c r="AE62" s="1">
        <f>ABS(RPG_dataset[[#This Row],[Level]])</f>
        <v>45</v>
      </c>
      <c r="AF62" s="1">
        <f>ABS(RPG_dataset[[#This Row],[ATK]])</f>
        <v>36</v>
      </c>
      <c r="AG62" s="1">
        <f>ABS(RPG_dataset[[#This Row],[DEF]])</f>
        <v>41</v>
      </c>
      <c r="AH62" s="1">
        <f>ABS(RPG_dataset[[#This Row],[SPD]])</f>
        <v>13</v>
      </c>
      <c r="AI62" s="1">
        <f>ABS(RPG_dataset[[#This Row],[HP]])</f>
        <v>3343</v>
      </c>
      <c r="AJ62" s="1">
        <f>ABS(RPG_dataset[[#This Row],[MP]])</f>
        <v>1457</v>
      </c>
      <c r="AK62" s="1">
        <f>ABS(RPG_dataset[[#This Row],[Total Stat]])</f>
        <v>90</v>
      </c>
      <c r="AL62" s="1">
        <f>ABS(RPG_dataset[[#This Row],[Kills]])</f>
        <v>4076</v>
      </c>
      <c r="AM62" s="12">
        <f>ABS(RPG_dataset[[#This Row],[Win Rate (%)]])</f>
        <v>85</v>
      </c>
      <c r="AN62" s="4">
        <f>ABS(RPG_dataset[[#This Row],[Gold Earned]])</f>
        <v>603924</v>
      </c>
      <c r="AO62" s="5" t="str">
        <f t="shared" si="0"/>
        <v>OK</v>
      </c>
      <c r="AP62" s="5">
        <f>RANK(clean[[#This Row],[Clean Gold]],clean[Clean Gold], 0)</f>
        <v>202</v>
      </c>
      <c r="AQ62" s="1">
        <v>211</v>
      </c>
      <c r="AR62" s="1" t="str" cm="1">
        <f t="array" ref="AR62">_xlfn.IFS(clean[[#This Row],[Clean Level]]&gt;=76, "Legend", clean[[#This Row],[Clean Level]]&gt;=51, "Elite", clean[[#This Row],[Clean Level]]&gt;=26, "Veteran", TRUE, "Rookie")</f>
        <v>Veteran</v>
      </c>
      <c r="AS62" s="1" t="str">
        <f>IF(RPG_dataset[[#This Row],[Status]]="Active", "TRUE", "FALSE")</f>
        <v>TRUE</v>
      </c>
      <c r="AT62" s="1" t="str" cm="1">
        <f t="array" ref="AT62">_xlfn.IFS(clean[[#This Row],[Clean Win Rate]]&gt;70, "Excellent", clean[[#This Row],[Clean Win Rate]]&gt;=40, "Average", TRUE, "Poor")</f>
        <v>Excellent</v>
      </c>
      <c r="AU62" s="1" t="str">
        <f>IF(AND(clean[[#This Row],[Clean Level]]&gt;80, clean[[#This Row],[Clean Total Stat]]&gt;350, clean[[#This Row],[Clean Gold]]&gt;500000), "Overpowered", "Normal")</f>
        <v>Normal</v>
      </c>
      <c r="AV62" s="1" t="str" cm="1">
        <f t="array" ref="AV6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62" s="1" t="str" cm="1">
        <f t="array" ref="AW6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62" s="1"/>
    </row>
    <row r="63" spans="1:50" x14ac:dyDescent="0.3">
      <c r="A63" s="2" t="s">
        <v>329</v>
      </c>
      <c r="B63" s="2" t="s">
        <v>330</v>
      </c>
      <c r="C63" s="2" t="s">
        <v>331</v>
      </c>
      <c r="D63" s="2" t="s">
        <v>332</v>
      </c>
      <c r="E63" s="2" t="s">
        <v>75</v>
      </c>
      <c r="F63" s="2" t="s">
        <v>30</v>
      </c>
      <c r="G63" s="2">
        <v>15</v>
      </c>
      <c r="H63" s="2" t="s">
        <v>80</v>
      </c>
      <c r="I63" s="2" t="s">
        <v>126</v>
      </c>
      <c r="J63" s="2" t="s">
        <v>120</v>
      </c>
      <c r="K63" s="2" t="s">
        <v>44</v>
      </c>
      <c r="L63" s="6" t="s">
        <v>333</v>
      </c>
      <c r="M63" s="2">
        <v>114</v>
      </c>
      <c r="N63" s="2">
        <v>124</v>
      </c>
      <c r="O63" s="2">
        <v>37</v>
      </c>
      <c r="P63" s="2">
        <v>313</v>
      </c>
      <c r="Q63" s="2">
        <v>2917</v>
      </c>
      <c r="R63" s="2">
        <v>275</v>
      </c>
      <c r="S63" s="2">
        <v>1943</v>
      </c>
      <c r="T63" s="2">
        <v>580</v>
      </c>
      <c r="U63" s="2">
        <v>103</v>
      </c>
      <c r="V63" s="2">
        <v>77</v>
      </c>
      <c r="W63" s="2">
        <v>1655</v>
      </c>
      <c r="X63" s="9">
        <v>517814</v>
      </c>
      <c r="Y63" s="2" t="s">
        <v>46</v>
      </c>
      <c r="AA63" s="1" t="str">
        <f>TRIM(RPG_dataset[[#This Row],[Username]])</f>
        <v>ewan_957</v>
      </c>
      <c r="AB63" s="1" t="str">
        <f>TRIM(RPG_dataset[[#This Row],[First Name]])</f>
        <v>Ewan</v>
      </c>
      <c r="AC63" s="1" t="str">
        <f>PROPER(TRIM(RPG_dataset[[#This Row],[Race]]))</f>
        <v/>
      </c>
      <c r="AD63" s="1" t="str">
        <f>PROPER(TRIM(RPG_dataset[[#This Row],[Class]]))</f>
        <v>Rogue</v>
      </c>
      <c r="AE63" s="1">
        <f>ABS(RPG_dataset[[#This Row],[Level]])</f>
        <v>15</v>
      </c>
      <c r="AF63" s="1">
        <f>ABS(RPG_dataset[[#This Row],[ATK]])</f>
        <v>114</v>
      </c>
      <c r="AG63" s="1">
        <f>ABS(RPG_dataset[[#This Row],[DEF]])</f>
        <v>124</v>
      </c>
      <c r="AH63" s="1">
        <f>ABS(RPG_dataset[[#This Row],[SPD]])</f>
        <v>37</v>
      </c>
      <c r="AI63" s="1">
        <f>ABS(RPG_dataset[[#This Row],[HP]])</f>
        <v>313</v>
      </c>
      <c r="AJ63" s="1">
        <f>ABS(RPG_dataset[[#This Row],[MP]])</f>
        <v>2917</v>
      </c>
      <c r="AK63" s="1">
        <f>ABS(RPG_dataset[[#This Row],[Total Stat]])</f>
        <v>275</v>
      </c>
      <c r="AL63" s="1">
        <f>ABS(RPG_dataset[[#This Row],[Kills]])</f>
        <v>1943</v>
      </c>
      <c r="AM63" s="12">
        <f>ABS(RPG_dataset[[#This Row],[Win Rate (%)]])</f>
        <v>77</v>
      </c>
      <c r="AN63" s="4">
        <f>ABS(RPG_dataset[[#This Row],[Gold Earned]])</f>
        <v>517814</v>
      </c>
      <c r="AO63" s="5" t="str">
        <f t="shared" si="0"/>
        <v>OK</v>
      </c>
      <c r="AP63" s="5">
        <f>RANK(clean[[#This Row],[Clean Gold]],clean[Clean Gold], 0)</f>
        <v>241</v>
      </c>
      <c r="AQ63" s="1">
        <v>213</v>
      </c>
      <c r="AR63" s="1" t="str" cm="1">
        <f t="array" ref="AR63">_xlfn.IFS(clean[[#This Row],[Clean Level]]&gt;=76, "Legend", clean[[#This Row],[Clean Level]]&gt;=51, "Elite", clean[[#This Row],[Clean Level]]&gt;=26, "Veteran", TRUE, "Rookie")</f>
        <v>Rookie</v>
      </c>
      <c r="AS63" s="1" t="str">
        <f>IF(RPG_dataset[[#This Row],[Status]]="Active", "TRUE", "FALSE")</f>
        <v>TRUE</v>
      </c>
      <c r="AT63" s="1" t="str" cm="1">
        <f t="array" ref="AT63">_xlfn.IFS(clean[[#This Row],[Clean Win Rate]]&gt;70, "Excellent", clean[[#This Row],[Clean Win Rate]]&gt;=40, "Average", TRUE, "Poor")</f>
        <v>Excellent</v>
      </c>
      <c r="AU63" s="1" t="str">
        <f>IF(AND(clean[[#This Row],[Clean Level]]&gt;80, clean[[#This Row],[Clean Total Stat]]&gt;350, clean[[#This Row],[Clean Gold]]&gt;500000), "Overpowered", "Normal")</f>
        <v>Normal</v>
      </c>
      <c r="AV63" s="1" t="str" cm="1">
        <f t="array" ref="AV6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63" s="1" t="str" cm="1">
        <f t="array" ref="AW6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63" s="1"/>
    </row>
    <row r="64" spans="1:50" x14ac:dyDescent="0.3">
      <c r="A64" s="2" t="s">
        <v>334</v>
      </c>
      <c r="B64" s="2" t="s">
        <v>335</v>
      </c>
      <c r="C64" s="2" t="s">
        <v>281</v>
      </c>
      <c r="D64" s="2" t="s">
        <v>304</v>
      </c>
      <c r="E64" s="2" t="s">
        <v>41</v>
      </c>
      <c r="F64" s="2" t="s">
        <v>30</v>
      </c>
      <c r="G64" s="2">
        <v>8</v>
      </c>
      <c r="H64" s="2" t="s">
        <v>53</v>
      </c>
      <c r="I64" s="2" t="s">
        <v>126</v>
      </c>
      <c r="J64" s="2" t="s">
        <v>81</v>
      </c>
      <c r="K64" s="2" t="s">
        <v>146</v>
      </c>
      <c r="L64" s="6" t="s">
        <v>336</v>
      </c>
      <c r="M64" s="2">
        <v>60</v>
      </c>
      <c r="N64" s="2">
        <v>93</v>
      </c>
      <c r="O64" s="2">
        <v>131</v>
      </c>
      <c r="P64" s="2">
        <v>3385</v>
      </c>
      <c r="Q64" s="2">
        <v>1427</v>
      </c>
      <c r="R64" s="2">
        <v>284</v>
      </c>
      <c r="S64" s="2">
        <v>4870</v>
      </c>
      <c r="T64" s="2">
        <v>760</v>
      </c>
      <c r="U64" s="2">
        <v>85</v>
      </c>
      <c r="V64" s="2">
        <v>87</v>
      </c>
      <c r="W64" s="2">
        <v>5361</v>
      </c>
      <c r="X64" s="9">
        <v>3782</v>
      </c>
      <c r="Y64" s="2" t="s">
        <v>36</v>
      </c>
      <c r="AA64" s="1" t="str">
        <f>TRIM(RPG_dataset[[#This Row],[Username]])</f>
        <v>nova_668</v>
      </c>
      <c r="AB64" s="1" t="str">
        <f>TRIM(RPG_dataset[[#This Row],[First Name]])</f>
        <v>Nova</v>
      </c>
      <c r="AC64" s="1" t="str">
        <f>PROPER(TRIM(RPG_dataset[[#This Row],[Race]]))</f>
        <v>Gnome</v>
      </c>
      <c r="AD64" s="1" t="str">
        <f>PROPER(TRIM(RPG_dataset[[#This Row],[Class]]))</f>
        <v>Rogue</v>
      </c>
      <c r="AE64" s="1">
        <f>ABS(RPG_dataset[[#This Row],[Level]])</f>
        <v>8</v>
      </c>
      <c r="AF64" s="1">
        <f>ABS(RPG_dataset[[#This Row],[ATK]])</f>
        <v>60</v>
      </c>
      <c r="AG64" s="1">
        <f>ABS(RPG_dataset[[#This Row],[DEF]])</f>
        <v>93</v>
      </c>
      <c r="AH64" s="1">
        <f>ABS(RPG_dataset[[#This Row],[SPD]])</f>
        <v>131</v>
      </c>
      <c r="AI64" s="1">
        <f>ABS(RPG_dataset[[#This Row],[HP]])</f>
        <v>3385</v>
      </c>
      <c r="AJ64" s="1">
        <f>ABS(RPG_dataset[[#This Row],[MP]])</f>
        <v>1427</v>
      </c>
      <c r="AK64" s="1">
        <f>ABS(RPG_dataset[[#This Row],[Total Stat]])</f>
        <v>284</v>
      </c>
      <c r="AL64" s="1">
        <f>ABS(RPG_dataset[[#This Row],[Kills]])</f>
        <v>4870</v>
      </c>
      <c r="AM64" s="12">
        <f>ABS(RPG_dataset[[#This Row],[Win Rate (%)]])</f>
        <v>87</v>
      </c>
      <c r="AN64" s="4">
        <f>ABS(RPG_dataset[[#This Row],[Gold Earned]])</f>
        <v>3782</v>
      </c>
      <c r="AO64" s="5" t="str">
        <f t="shared" si="0"/>
        <v>OK</v>
      </c>
      <c r="AP64" s="5">
        <f>RANK(clean[[#This Row],[Clean Gold]],clean[Clean Gold], 0)</f>
        <v>484</v>
      </c>
      <c r="AQ64" s="1">
        <v>330</v>
      </c>
      <c r="AR64" s="1" t="str" cm="1">
        <f t="array" ref="AR64">_xlfn.IFS(clean[[#This Row],[Clean Level]]&gt;=76, "Legend", clean[[#This Row],[Clean Level]]&gt;=51, "Elite", clean[[#This Row],[Clean Level]]&gt;=26, "Veteran", TRUE, "Rookie")</f>
        <v>Rookie</v>
      </c>
      <c r="AS64" s="1" t="str">
        <f>IF(RPG_dataset[[#This Row],[Status]]="Active", "TRUE", "FALSE")</f>
        <v>TRUE</v>
      </c>
      <c r="AT64" s="1" t="str" cm="1">
        <f t="array" ref="AT64">_xlfn.IFS(clean[[#This Row],[Clean Win Rate]]&gt;70, "Excellent", clean[[#This Row],[Clean Win Rate]]&gt;=40, "Average", TRUE, "Poor")</f>
        <v>Excellent</v>
      </c>
      <c r="AU64" s="1" t="str">
        <f>IF(AND(clean[[#This Row],[Clean Level]]&gt;80, clean[[#This Row],[Clean Total Stat]]&gt;350, clean[[#This Row],[Clean Gold]]&gt;500000), "Overpowered", "Normal")</f>
        <v>Normal</v>
      </c>
      <c r="AV64" s="1" t="str" cm="1">
        <f t="array" ref="AV6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64" s="1" t="str" cm="1">
        <f t="array" ref="AW6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64" s="1"/>
    </row>
    <row r="65" spans="1:50" x14ac:dyDescent="0.3">
      <c r="A65" s="2" t="s">
        <v>337</v>
      </c>
      <c r="B65" s="2" t="s">
        <v>338</v>
      </c>
      <c r="C65" s="2" t="s">
        <v>339</v>
      </c>
      <c r="D65" s="2" t="s">
        <v>174</v>
      </c>
      <c r="E65" s="2" t="s">
        <v>71</v>
      </c>
      <c r="F65" s="2" t="s">
        <v>30</v>
      </c>
      <c r="G65" s="2">
        <v>71</v>
      </c>
      <c r="H65" s="2" t="s">
        <v>53</v>
      </c>
      <c r="I65" s="2" t="s">
        <v>54</v>
      </c>
      <c r="J65" s="2" t="s">
        <v>163</v>
      </c>
      <c r="K65" s="2" t="s">
        <v>99</v>
      </c>
      <c r="L65" s="6" t="s">
        <v>340</v>
      </c>
      <c r="M65" s="2">
        <v>83</v>
      </c>
      <c r="N65" s="2">
        <v>87</v>
      </c>
      <c r="O65" s="2">
        <v>21</v>
      </c>
      <c r="P65" s="2">
        <v>4924</v>
      </c>
      <c r="Q65" s="2">
        <v>632</v>
      </c>
      <c r="R65" s="2">
        <v>191</v>
      </c>
      <c r="S65" s="2">
        <v>1177</v>
      </c>
      <c r="T65" s="2">
        <v>592</v>
      </c>
      <c r="U65" s="2">
        <v>68</v>
      </c>
      <c r="V65" s="2">
        <v>67</v>
      </c>
      <c r="W65" s="2">
        <v>6583</v>
      </c>
      <c r="X65" s="9">
        <v>440999</v>
      </c>
      <c r="Y65" s="2" t="s">
        <v>46</v>
      </c>
      <c r="AA65" s="1" t="str">
        <f>TRIM(RPG_dataset[[#This Row],[Username]])</f>
        <v>drak_920</v>
      </c>
      <c r="AB65" s="1" t="str">
        <f>TRIM(RPG_dataset[[#This Row],[First Name]])</f>
        <v>Drak</v>
      </c>
      <c r="AC65" s="1" t="str">
        <f>PROPER(TRIM(RPG_dataset[[#This Row],[Race]]))</f>
        <v>Dragonborn</v>
      </c>
      <c r="AD65" s="1" t="str">
        <f>PROPER(TRIM(RPG_dataset[[#This Row],[Class]]))</f>
        <v>Rogue</v>
      </c>
      <c r="AE65" s="1">
        <f>ABS(RPG_dataset[[#This Row],[Level]])</f>
        <v>71</v>
      </c>
      <c r="AF65" s="1">
        <f>ABS(RPG_dataset[[#This Row],[ATK]])</f>
        <v>83</v>
      </c>
      <c r="AG65" s="1">
        <f>ABS(RPG_dataset[[#This Row],[DEF]])</f>
        <v>87</v>
      </c>
      <c r="AH65" s="1">
        <f>ABS(RPG_dataset[[#This Row],[SPD]])</f>
        <v>21</v>
      </c>
      <c r="AI65" s="1">
        <f>ABS(RPG_dataset[[#This Row],[HP]])</f>
        <v>4924</v>
      </c>
      <c r="AJ65" s="1">
        <f>ABS(RPG_dataset[[#This Row],[MP]])</f>
        <v>632</v>
      </c>
      <c r="AK65" s="1">
        <f>ABS(RPG_dataset[[#This Row],[Total Stat]])</f>
        <v>191</v>
      </c>
      <c r="AL65" s="1">
        <f>ABS(RPG_dataset[[#This Row],[Kills]])</f>
        <v>1177</v>
      </c>
      <c r="AM65" s="12">
        <f>ABS(RPG_dataset[[#This Row],[Win Rate (%)]])</f>
        <v>67</v>
      </c>
      <c r="AN65" s="4">
        <f>ABS(RPG_dataset[[#This Row],[Gold Earned]])</f>
        <v>440999</v>
      </c>
      <c r="AO65" s="5" t="str">
        <f t="shared" si="0"/>
        <v>OK</v>
      </c>
      <c r="AP65" s="5">
        <f>RANK(clean[[#This Row],[Clean Gold]],clean[Clean Gold], 0)</f>
        <v>287</v>
      </c>
      <c r="AQ65" s="1">
        <v>203</v>
      </c>
      <c r="AR65" s="1" t="str" cm="1">
        <f t="array" ref="AR65">_xlfn.IFS(clean[[#This Row],[Clean Level]]&gt;=76, "Legend", clean[[#This Row],[Clean Level]]&gt;=51, "Elite", clean[[#This Row],[Clean Level]]&gt;=26, "Veteran", TRUE, "Rookie")</f>
        <v>Elite</v>
      </c>
      <c r="AS65" s="1" t="str">
        <f>IF(RPG_dataset[[#This Row],[Status]]="Active", "TRUE", "FALSE")</f>
        <v>FALSE</v>
      </c>
      <c r="AT65" s="1" t="str" cm="1">
        <f t="array" ref="AT65">_xlfn.IFS(clean[[#This Row],[Clean Win Rate]]&gt;70, "Excellent", clean[[#This Row],[Clean Win Rate]]&gt;=40, "Average", TRUE, "Poor")</f>
        <v>Average</v>
      </c>
      <c r="AU65" s="1" t="str">
        <f>IF(AND(clean[[#This Row],[Clean Level]]&gt;80, clean[[#This Row],[Clean Total Stat]]&gt;350, clean[[#This Row],[Clean Gold]]&gt;500000), "Overpowered", "Normal")</f>
        <v>Normal</v>
      </c>
      <c r="AV65" s="1" t="str" cm="1">
        <f t="array" ref="AV6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65" s="1" t="str" cm="1">
        <f t="array" ref="AW6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65" s="1"/>
    </row>
    <row r="66" spans="1:50" x14ac:dyDescent="0.3">
      <c r="A66" s="2" t="s">
        <v>341</v>
      </c>
      <c r="B66" s="2" t="s">
        <v>342</v>
      </c>
      <c r="C66" s="2" t="s">
        <v>138</v>
      </c>
      <c r="D66" s="2" t="s">
        <v>174</v>
      </c>
      <c r="E66" s="2" t="s">
        <v>29</v>
      </c>
      <c r="F66" s="2" t="s">
        <v>52</v>
      </c>
      <c r="G66" s="2">
        <v>13</v>
      </c>
      <c r="H66" s="2" t="s">
        <v>53</v>
      </c>
      <c r="I66" s="2" t="s">
        <v>32</v>
      </c>
      <c r="J66" s="2" t="s">
        <v>111</v>
      </c>
      <c r="K66" s="2" t="s">
        <v>99</v>
      </c>
      <c r="L66" s="6" t="s">
        <v>343</v>
      </c>
      <c r="M66" s="2">
        <v>50</v>
      </c>
      <c r="N66" s="2">
        <v>109</v>
      </c>
      <c r="O66" s="2">
        <v>77</v>
      </c>
      <c r="P66" s="2">
        <v>4622</v>
      </c>
      <c r="Q66" s="2">
        <v>354</v>
      </c>
      <c r="R66" s="2">
        <v>-236</v>
      </c>
      <c r="S66" s="2">
        <v>3455</v>
      </c>
      <c r="T66" s="2">
        <v>203</v>
      </c>
      <c r="U66" s="2">
        <v>180</v>
      </c>
      <c r="V66" s="2">
        <v>94</v>
      </c>
      <c r="W66" s="2">
        <v>8366</v>
      </c>
      <c r="X66" s="9">
        <v>561649</v>
      </c>
      <c r="Y66" s="2" t="s">
        <v>36</v>
      </c>
      <c r="AA66" s="1" t="str">
        <f>TRIM(RPG_dataset[[#This Row],[Username]])</f>
        <v>grim_847</v>
      </c>
      <c r="AB66" s="1" t="str">
        <f>TRIM(RPG_dataset[[#This Row],[First Name]])</f>
        <v>Grim</v>
      </c>
      <c r="AC66" s="1" t="str">
        <f>PROPER(TRIM(RPG_dataset[[#This Row],[Race]]))</f>
        <v>Dwarf</v>
      </c>
      <c r="AD66" s="1" t="str">
        <f>PROPER(TRIM(RPG_dataset[[#This Row],[Class]]))</f>
        <v>Bard</v>
      </c>
      <c r="AE66" s="1">
        <f>ABS(RPG_dataset[[#This Row],[Level]])</f>
        <v>13</v>
      </c>
      <c r="AF66" s="1">
        <f>ABS(RPG_dataset[[#This Row],[ATK]])</f>
        <v>50</v>
      </c>
      <c r="AG66" s="1">
        <f>ABS(RPG_dataset[[#This Row],[DEF]])</f>
        <v>109</v>
      </c>
      <c r="AH66" s="1">
        <f>ABS(RPG_dataset[[#This Row],[SPD]])</f>
        <v>77</v>
      </c>
      <c r="AI66" s="1">
        <f>ABS(RPG_dataset[[#This Row],[HP]])</f>
        <v>4622</v>
      </c>
      <c r="AJ66" s="1">
        <f>ABS(RPG_dataset[[#This Row],[MP]])</f>
        <v>354</v>
      </c>
      <c r="AK66" s="1">
        <f>ABS(RPG_dataset[[#This Row],[Total Stat]])</f>
        <v>236</v>
      </c>
      <c r="AL66" s="1">
        <f>ABS(RPG_dataset[[#This Row],[Kills]])</f>
        <v>3455</v>
      </c>
      <c r="AM66" s="12">
        <f>ABS(RPG_dataset[[#This Row],[Win Rate (%)]])</f>
        <v>94</v>
      </c>
      <c r="AN66" s="4">
        <f>ABS(RPG_dataset[[#This Row],[Gold Earned]])</f>
        <v>561649</v>
      </c>
      <c r="AO66" s="5" t="str">
        <f t="shared" ref="AO66:AO129" si="1">IF(MID(L66, 5, 1)="-", "OK", "Fix This")</f>
        <v>OK</v>
      </c>
      <c r="AP66" s="5">
        <f>RANK(clean[[#This Row],[Clean Gold]],clean[Clean Gold], 0)</f>
        <v>218</v>
      </c>
      <c r="AQ66" s="1">
        <v>-84</v>
      </c>
      <c r="AR66" s="1" t="str" cm="1">
        <f t="array" ref="AR66">_xlfn.IFS(clean[[#This Row],[Clean Level]]&gt;=76, "Legend", clean[[#This Row],[Clean Level]]&gt;=51, "Elite", clean[[#This Row],[Clean Level]]&gt;=26, "Veteran", TRUE, "Rookie")</f>
        <v>Rookie</v>
      </c>
      <c r="AS66" s="1" t="str">
        <f>IF(RPG_dataset[[#This Row],[Status]]="Active", "TRUE", "FALSE")</f>
        <v>FALSE</v>
      </c>
      <c r="AT66" s="1" t="str" cm="1">
        <f t="array" ref="AT66">_xlfn.IFS(clean[[#This Row],[Clean Win Rate]]&gt;70, "Excellent", clean[[#This Row],[Clean Win Rate]]&gt;=40, "Average", TRUE, "Poor")</f>
        <v>Excellent</v>
      </c>
      <c r="AU66" s="1" t="str">
        <f>IF(AND(clean[[#This Row],[Clean Level]]&gt;80, clean[[#This Row],[Clean Total Stat]]&gt;350, clean[[#This Row],[Clean Gold]]&gt;500000), "Overpowered", "Normal")</f>
        <v>Normal</v>
      </c>
      <c r="AV66" s="1" t="str" cm="1">
        <f t="array" ref="AV6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66" s="1" t="str" cm="1">
        <f t="array" ref="AW6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66" s="1"/>
    </row>
    <row r="67" spans="1:50" x14ac:dyDescent="0.3">
      <c r="A67" s="2" t="s">
        <v>344</v>
      </c>
      <c r="B67" s="2" t="s">
        <v>345</v>
      </c>
      <c r="C67" s="2" t="s">
        <v>103</v>
      </c>
      <c r="D67" s="2" t="s">
        <v>162</v>
      </c>
      <c r="E67" s="2" t="s">
        <v>71</v>
      </c>
      <c r="F67" s="2" t="s">
        <v>42</v>
      </c>
      <c r="G67" s="2">
        <v>43</v>
      </c>
      <c r="H67" s="2" t="s">
        <v>53</v>
      </c>
      <c r="I67" s="2" t="s">
        <v>63</v>
      </c>
      <c r="J67" s="2" t="s">
        <v>33</v>
      </c>
      <c r="K67" s="2" t="s">
        <v>44</v>
      </c>
      <c r="L67" s="6" t="s">
        <v>346</v>
      </c>
      <c r="M67" s="2">
        <v>44</v>
      </c>
      <c r="N67" s="2">
        <v>38</v>
      </c>
      <c r="O67" s="2">
        <v>85</v>
      </c>
      <c r="P67" s="2">
        <v>134</v>
      </c>
      <c r="Q67" s="2">
        <v>1128</v>
      </c>
      <c r="R67" s="2">
        <v>167</v>
      </c>
      <c r="S67" s="2">
        <v>489</v>
      </c>
      <c r="T67" s="2">
        <v>293</v>
      </c>
      <c r="U67" s="2">
        <v>235</v>
      </c>
      <c r="V67" s="2">
        <v>63</v>
      </c>
      <c r="W67" s="2">
        <v>3990</v>
      </c>
      <c r="X67" s="9">
        <v>590957</v>
      </c>
      <c r="Y67" s="2" t="s">
        <v>36</v>
      </c>
      <c r="AA67" s="1" t="str">
        <f>TRIM(RPG_dataset[[#This Row],[Username]])</f>
        <v>aria_911</v>
      </c>
      <c r="AB67" s="1" t="str">
        <f>TRIM(RPG_dataset[[#This Row],[First Name]])</f>
        <v>Aria</v>
      </c>
      <c r="AC67" s="1" t="str">
        <f>PROPER(TRIM(RPG_dataset[[#This Row],[Race]]))</f>
        <v>Dragonborn</v>
      </c>
      <c r="AD67" s="1" t="str">
        <f>PROPER(TRIM(RPG_dataset[[#This Row],[Class]]))</f>
        <v>Monk</v>
      </c>
      <c r="AE67" s="1">
        <f>ABS(RPG_dataset[[#This Row],[Level]])</f>
        <v>43</v>
      </c>
      <c r="AF67" s="1">
        <f>ABS(RPG_dataset[[#This Row],[ATK]])</f>
        <v>44</v>
      </c>
      <c r="AG67" s="1">
        <f>ABS(RPG_dataset[[#This Row],[DEF]])</f>
        <v>38</v>
      </c>
      <c r="AH67" s="1">
        <f>ABS(RPG_dataset[[#This Row],[SPD]])</f>
        <v>85</v>
      </c>
      <c r="AI67" s="1">
        <f>ABS(RPG_dataset[[#This Row],[HP]])</f>
        <v>134</v>
      </c>
      <c r="AJ67" s="1">
        <f>ABS(RPG_dataset[[#This Row],[MP]])</f>
        <v>1128</v>
      </c>
      <c r="AK67" s="1">
        <f>ABS(RPG_dataset[[#This Row],[Total Stat]])</f>
        <v>167</v>
      </c>
      <c r="AL67" s="1">
        <f>ABS(RPG_dataset[[#This Row],[Kills]])</f>
        <v>489</v>
      </c>
      <c r="AM67" s="12">
        <f>ABS(RPG_dataset[[#This Row],[Win Rate (%)]])</f>
        <v>63</v>
      </c>
      <c r="AN67" s="4">
        <f>ABS(RPG_dataset[[#This Row],[Gold Earned]])</f>
        <v>590957</v>
      </c>
      <c r="AO67" s="5" t="str">
        <f t="shared" si="1"/>
        <v>OK</v>
      </c>
      <c r="AP67" s="5">
        <f>RANK(clean[[#This Row],[Clean Gold]],clean[Clean Gold], 0)</f>
        <v>206</v>
      </c>
      <c r="AQ67" s="1">
        <v>203</v>
      </c>
      <c r="AR67" s="1" t="str" cm="1">
        <f t="array" ref="AR67">_xlfn.IFS(clean[[#This Row],[Clean Level]]&gt;=76, "Legend", clean[[#This Row],[Clean Level]]&gt;=51, "Elite", clean[[#This Row],[Clean Level]]&gt;=26, "Veteran", TRUE, "Rookie")</f>
        <v>Veteran</v>
      </c>
      <c r="AS67" s="1" t="str">
        <f>IF(RPG_dataset[[#This Row],[Status]]="Active", "TRUE", "FALSE")</f>
        <v>TRUE</v>
      </c>
      <c r="AT67" s="1" t="str" cm="1">
        <f t="array" ref="AT67">_xlfn.IFS(clean[[#This Row],[Clean Win Rate]]&gt;70, "Excellent", clean[[#This Row],[Clean Win Rate]]&gt;=40, "Average", TRUE, "Poor")</f>
        <v>Average</v>
      </c>
      <c r="AU67" s="1" t="str">
        <f>IF(AND(clean[[#This Row],[Clean Level]]&gt;80, clean[[#This Row],[Clean Total Stat]]&gt;350, clean[[#This Row],[Clean Gold]]&gt;500000), "Overpowered", "Normal")</f>
        <v>Normal</v>
      </c>
      <c r="AV67" s="1" t="str" cm="1">
        <f t="array" ref="AV6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67" s="1" t="str" cm="1">
        <f t="array" ref="AW6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67" s="1"/>
    </row>
    <row r="68" spans="1:50" x14ac:dyDescent="0.3">
      <c r="A68" s="2" t="s">
        <v>347</v>
      </c>
      <c r="B68" s="2" t="s">
        <v>348</v>
      </c>
      <c r="C68" s="2" t="s">
        <v>227</v>
      </c>
      <c r="D68" s="2" t="s">
        <v>349</v>
      </c>
      <c r="E68" s="2" t="s">
        <v>51</v>
      </c>
      <c r="F68" s="2" t="s">
        <v>52</v>
      </c>
      <c r="G68" s="2">
        <v>78</v>
      </c>
      <c r="H68" s="2" t="s">
        <v>80</v>
      </c>
      <c r="I68" s="2" t="s">
        <v>126</v>
      </c>
      <c r="J68" s="2" t="s">
        <v>81</v>
      </c>
      <c r="K68" s="2" t="s">
        <v>215</v>
      </c>
      <c r="L68" s="6" t="s">
        <v>350</v>
      </c>
      <c r="M68" s="2">
        <v>108</v>
      </c>
      <c r="N68" s="2">
        <v>95</v>
      </c>
      <c r="O68" s="2">
        <v>148</v>
      </c>
      <c r="P68" s="2">
        <v>2016</v>
      </c>
      <c r="Q68" s="2">
        <v>2953</v>
      </c>
      <c r="R68" s="2">
        <v>351</v>
      </c>
      <c r="S68" s="2">
        <v>1169</v>
      </c>
      <c r="T68" s="2">
        <v>546</v>
      </c>
      <c r="U68" s="2">
        <v>204</v>
      </c>
      <c r="V68" s="2">
        <v>68</v>
      </c>
      <c r="W68" s="2"/>
      <c r="X68" s="9">
        <v>723128</v>
      </c>
      <c r="Y68" s="2" t="s">
        <v>46</v>
      </c>
      <c r="AA68" s="1" t="str">
        <f>TRIM(RPG_dataset[[#This Row],[Username]])</f>
        <v>nyx_441</v>
      </c>
      <c r="AB68" s="1" t="str">
        <f>TRIM(RPG_dataset[[#This Row],[First Name]])</f>
        <v>Nyx</v>
      </c>
      <c r="AC68" s="1" t="str">
        <f>PROPER(TRIM(RPG_dataset[[#This Row],[Race]]))</f>
        <v>Tiefling</v>
      </c>
      <c r="AD68" s="1" t="str">
        <f>PROPER(TRIM(RPG_dataset[[#This Row],[Class]]))</f>
        <v>Bard</v>
      </c>
      <c r="AE68" s="1">
        <f>ABS(RPG_dataset[[#This Row],[Level]])</f>
        <v>78</v>
      </c>
      <c r="AF68" s="1">
        <f>ABS(RPG_dataset[[#This Row],[ATK]])</f>
        <v>108</v>
      </c>
      <c r="AG68" s="1">
        <f>ABS(RPG_dataset[[#This Row],[DEF]])</f>
        <v>95</v>
      </c>
      <c r="AH68" s="1">
        <f>ABS(RPG_dataset[[#This Row],[SPD]])</f>
        <v>148</v>
      </c>
      <c r="AI68" s="1">
        <f>ABS(RPG_dataset[[#This Row],[HP]])</f>
        <v>2016</v>
      </c>
      <c r="AJ68" s="1">
        <f>ABS(RPG_dataset[[#This Row],[MP]])</f>
        <v>2953</v>
      </c>
      <c r="AK68" s="1">
        <f>ABS(RPG_dataset[[#This Row],[Total Stat]])</f>
        <v>351</v>
      </c>
      <c r="AL68" s="1">
        <f>ABS(RPG_dataset[[#This Row],[Kills]])</f>
        <v>1169</v>
      </c>
      <c r="AM68" s="12">
        <f>ABS(RPG_dataset[[#This Row],[Win Rate (%)]])</f>
        <v>68</v>
      </c>
      <c r="AN68" s="4">
        <f>ABS(RPG_dataset[[#This Row],[Gold Earned]])</f>
        <v>723128</v>
      </c>
      <c r="AO68" s="5" t="str">
        <f t="shared" si="1"/>
        <v>OK</v>
      </c>
      <c r="AP68" s="5">
        <f>RANK(clean[[#This Row],[Clean Gold]],clean[Clean Gold], 0)</f>
        <v>139</v>
      </c>
      <c r="AQ68" s="1">
        <v>191</v>
      </c>
      <c r="AR68" s="1" t="str" cm="1">
        <f t="array" ref="AR68">_xlfn.IFS(clean[[#This Row],[Clean Level]]&gt;=76, "Legend", clean[[#This Row],[Clean Level]]&gt;=51, "Elite", clean[[#This Row],[Clean Level]]&gt;=26, "Veteran", TRUE, "Rookie")</f>
        <v>Legend</v>
      </c>
      <c r="AS68" s="1" t="str">
        <f>IF(RPG_dataset[[#This Row],[Status]]="Active", "TRUE", "FALSE")</f>
        <v>FALSE</v>
      </c>
      <c r="AT68" s="1" t="str" cm="1">
        <f t="array" ref="AT68">_xlfn.IFS(clean[[#This Row],[Clean Win Rate]]&gt;70, "Excellent", clean[[#This Row],[Clean Win Rate]]&gt;=40, "Average", TRUE, "Poor")</f>
        <v>Average</v>
      </c>
      <c r="AU68" s="1" t="str">
        <f>IF(AND(clean[[#This Row],[Clean Level]]&gt;80, clean[[#This Row],[Clean Total Stat]]&gt;350, clean[[#This Row],[Clean Gold]]&gt;500000), "Overpowered", "Normal")</f>
        <v>Normal</v>
      </c>
      <c r="AV68" s="1" t="str" cm="1">
        <f t="array" ref="AV6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68" s="1" t="str" cm="1">
        <f t="array" ref="AW6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68" s="1"/>
    </row>
    <row r="69" spans="1:50" x14ac:dyDescent="0.3">
      <c r="A69" s="2" t="s">
        <v>351</v>
      </c>
      <c r="B69" s="2" t="s">
        <v>352</v>
      </c>
      <c r="C69" s="2" t="s">
        <v>353</v>
      </c>
      <c r="D69" s="2" t="s">
        <v>104</v>
      </c>
      <c r="E69" s="2" t="s">
        <v>60</v>
      </c>
      <c r="F69" s="2" t="s">
        <v>124</v>
      </c>
      <c r="G69" s="2">
        <v>59</v>
      </c>
      <c r="H69" s="2" t="s">
        <v>53</v>
      </c>
      <c r="I69" s="2" t="s">
        <v>140</v>
      </c>
      <c r="J69" s="2" t="s">
        <v>33</v>
      </c>
      <c r="K69" s="2" t="s">
        <v>99</v>
      </c>
      <c r="L69" s="6" t="s">
        <v>354</v>
      </c>
      <c r="M69" s="2">
        <v>142</v>
      </c>
      <c r="N69" s="2">
        <v>121</v>
      </c>
      <c r="O69" s="2">
        <v>126</v>
      </c>
      <c r="P69" s="2">
        <v>1643</v>
      </c>
      <c r="Q69" s="2">
        <v>2486</v>
      </c>
      <c r="R69" s="2">
        <v>389</v>
      </c>
      <c r="S69" s="2">
        <v>3475</v>
      </c>
      <c r="T69" s="2">
        <v>553</v>
      </c>
      <c r="U69" s="2">
        <v>108</v>
      </c>
      <c r="V69" s="2"/>
      <c r="W69" s="2">
        <v>5550</v>
      </c>
      <c r="X69" s="9">
        <v>806207</v>
      </c>
      <c r="Y69" s="2" t="s">
        <v>36</v>
      </c>
      <c r="AA69" s="1" t="str">
        <f>TRIM(RPG_dataset[[#This Row],[Username]])</f>
        <v>percy_587</v>
      </c>
      <c r="AB69" s="1" t="str">
        <f>TRIM(RPG_dataset[[#This Row],[First Name]])</f>
        <v>Percy</v>
      </c>
      <c r="AC69" s="1" t="str">
        <f>PROPER(TRIM(RPG_dataset[[#This Row],[Race]]))</f>
        <v>Human</v>
      </c>
      <c r="AD69" s="1" t="str">
        <f>PROPER(TRIM(RPG_dataset[[#This Row],[Class]]))</f>
        <v>Necromancer</v>
      </c>
      <c r="AE69" s="1">
        <f>ABS(RPG_dataset[[#This Row],[Level]])</f>
        <v>59</v>
      </c>
      <c r="AF69" s="1">
        <f>ABS(RPG_dataset[[#This Row],[ATK]])</f>
        <v>142</v>
      </c>
      <c r="AG69" s="1">
        <f>ABS(RPG_dataset[[#This Row],[DEF]])</f>
        <v>121</v>
      </c>
      <c r="AH69" s="1">
        <f>ABS(RPG_dataset[[#This Row],[SPD]])</f>
        <v>126</v>
      </c>
      <c r="AI69" s="1">
        <f>ABS(RPG_dataset[[#This Row],[HP]])</f>
        <v>1643</v>
      </c>
      <c r="AJ69" s="1">
        <f>ABS(RPG_dataset[[#This Row],[MP]])</f>
        <v>2486</v>
      </c>
      <c r="AK69" s="1">
        <f>ABS(RPG_dataset[[#This Row],[Total Stat]])</f>
        <v>389</v>
      </c>
      <c r="AL69" s="1">
        <f>ABS(RPG_dataset[[#This Row],[Kills]])</f>
        <v>3475</v>
      </c>
      <c r="AM69" s="12">
        <f>ABS(RPG_dataset[[#This Row],[Win Rate (%)]])</f>
        <v>0</v>
      </c>
      <c r="AN69" s="4">
        <f>ABS(RPG_dataset[[#This Row],[Gold Earned]])</f>
        <v>806207</v>
      </c>
      <c r="AO69" s="5" t="str">
        <f t="shared" si="1"/>
        <v>OK</v>
      </c>
      <c r="AP69" s="5">
        <f>RANK(clean[[#This Row],[Clean Gold]],clean[Clean Gold], 0)</f>
        <v>101</v>
      </c>
      <c r="AQ69" s="1">
        <v>241</v>
      </c>
      <c r="AR69" s="1" t="str" cm="1">
        <f t="array" ref="AR69">_xlfn.IFS(clean[[#This Row],[Clean Level]]&gt;=76, "Legend", clean[[#This Row],[Clean Level]]&gt;=51, "Elite", clean[[#This Row],[Clean Level]]&gt;=26, "Veteran", TRUE, "Rookie")</f>
        <v>Elite</v>
      </c>
      <c r="AS69" s="1" t="str">
        <f>IF(RPG_dataset[[#This Row],[Status]]="Active", "TRUE", "FALSE")</f>
        <v>FALSE</v>
      </c>
      <c r="AT69" s="1" t="str" cm="1">
        <f t="array" ref="AT69">_xlfn.IFS(clean[[#This Row],[Clean Win Rate]]&gt;70, "Excellent", clean[[#This Row],[Clean Win Rate]]&gt;=40, "Average", TRUE, "Poor")</f>
        <v>Poor</v>
      </c>
      <c r="AU69" s="1" t="str">
        <f>IF(AND(clean[[#This Row],[Clean Level]]&gt;80, clean[[#This Row],[Clean Total Stat]]&gt;350, clean[[#This Row],[Clean Gold]]&gt;500000), "Overpowered", "Normal")</f>
        <v>Normal</v>
      </c>
      <c r="AV69" s="1" t="str" cm="1">
        <f t="array" ref="AV6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69" s="1" t="str" cm="1">
        <f t="array" ref="AW6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69" s="1"/>
    </row>
    <row r="70" spans="1:50" x14ac:dyDescent="0.3">
      <c r="A70" s="2" t="s">
        <v>355</v>
      </c>
      <c r="B70" s="2" t="s">
        <v>356</v>
      </c>
      <c r="C70" s="2" t="s">
        <v>130</v>
      </c>
      <c r="D70" s="2" t="s">
        <v>50</v>
      </c>
      <c r="E70" s="2" t="s">
        <v>71</v>
      </c>
      <c r="F70" s="2" t="s">
        <v>194</v>
      </c>
      <c r="G70" s="2">
        <v>53</v>
      </c>
      <c r="H70" s="2" t="s">
        <v>73</v>
      </c>
      <c r="I70" s="2" t="s">
        <v>126</v>
      </c>
      <c r="J70" s="2" t="s">
        <v>111</v>
      </c>
      <c r="K70" s="2" t="s">
        <v>99</v>
      </c>
      <c r="L70" s="6" t="s">
        <v>357</v>
      </c>
      <c r="M70" s="2">
        <v>95</v>
      </c>
      <c r="N70" s="2">
        <v>123</v>
      </c>
      <c r="O70" s="2">
        <v>77</v>
      </c>
      <c r="P70" s="2">
        <v>1594</v>
      </c>
      <c r="Q70" s="2">
        <v>825</v>
      </c>
      <c r="R70" s="2">
        <v>295</v>
      </c>
      <c r="S70" s="2">
        <v>1900</v>
      </c>
      <c r="T70" s="2">
        <v>327</v>
      </c>
      <c r="U70" s="2">
        <v>154</v>
      </c>
      <c r="V70" s="2">
        <v>85</v>
      </c>
      <c r="W70" s="2">
        <v>5318</v>
      </c>
      <c r="X70" s="9">
        <v>97928</v>
      </c>
      <c r="Y70" s="2" t="s">
        <v>46</v>
      </c>
      <c r="AA70" s="1" t="str">
        <f>TRIM(RPG_dataset[[#This Row],[Username]])</f>
        <v>ewan_208</v>
      </c>
      <c r="AB70" s="1" t="str">
        <f>TRIM(RPG_dataset[[#This Row],[First Name]])</f>
        <v>Ewan</v>
      </c>
      <c r="AC70" s="1" t="str">
        <f>PROPER(TRIM(RPG_dataset[[#This Row],[Race]]))</f>
        <v>Dragonborn</v>
      </c>
      <c r="AD70" s="1" t="str">
        <f>PROPER(TRIM(RPG_dataset[[#This Row],[Class]]))</f>
        <v>Paladin</v>
      </c>
      <c r="AE70" s="1">
        <f>ABS(RPG_dataset[[#This Row],[Level]])</f>
        <v>53</v>
      </c>
      <c r="AF70" s="1">
        <f>ABS(RPG_dataset[[#This Row],[ATK]])</f>
        <v>95</v>
      </c>
      <c r="AG70" s="1">
        <f>ABS(RPG_dataset[[#This Row],[DEF]])</f>
        <v>123</v>
      </c>
      <c r="AH70" s="1">
        <f>ABS(RPG_dataset[[#This Row],[SPD]])</f>
        <v>77</v>
      </c>
      <c r="AI70" s="1">
        <f>ABS(RPG_dataset[[#This Row],[HP]])</f>
        <v>1594</v>
      </c>
      <c r="AJ70" s="1">
        <f>ABS(RPG_dataset[[#This Row],[MP]])</f>
        <v>825</v>
      </c>
      <c r="AK70" s="1">
        <f>ABS(RPG_dataset[[#This Row],[Total Stat]])</f>
        <v>295</v>
      </c>
      <c r="AL70" s="1">
        <f>ABS(RPG_dataset[[#This Row],[Kills]])</f>
        <v>1900</v>
      </c>
      <c r="AM70" s="12">
        <f>ABS(RPG_dataset[[#This Row],[Win Rate (%)]])</f>
        <v>85</v>
      </c>
      <c r="AN70" s="4">
        <f>ABS(RPG_dataset[[#This Row],[Gold Earned]])</f>
        <v>97928</v>
      </c>
      <c r="AO70" s="5" t="str">
        <f t="shared" si="1"/>
        <v>Fix This</v>
      </c>
      <c r="AP70" s="5">
        <f>RANK(clean[[#This Row],[Clean Gold]],clean[Clean Gold], 0)</f>
        <v>441</v>
      </c>
      <c r="AQ70" s="1">
        <v>216</v>
      </c>
      <c r="AR70" s="1" t="str" cm="1">
        <f t="array" ref="AR70">_xlfn.IFS(clean[[#This Row],[Clean Level]]&gt;=76, "Legend", clean[[#This Row],[Clean Level]]&gt;=51, "Elite", clean[[#This Row],[Clean Level]]&gt;=26, "Veteran", TRUE, "Rookie")</f>
        <v>Elite</v>
      </c>
      <c r="AS70" s="1" t="str">
        <f>IF(RPG_dataset[[#This Row],[Status]]="Active", "TRUE", "FALSE")</f>
        <v>FALSE</v>
      </c>
      <c r="AT70" s="1" t="str" cm="1">
        <f t="array" ref="AT70">_xlfn.IFS(clean[[#This Row],[Clean Win Rate]]&gt;70, "Excellent", clean[[#This Row],[Clean Win Rate]]&gt;=40, "Average", TRUE, "Poor")</f>
        <v>Excellent</v>
      </c>
      <c r="AU70" s="1" t="str">
        <f>IF(AND(clean[[#This Row],[Clean Level]]&gt;80, clean[[#This Row],[Clean Total Stat]]&gt;350, clean[[#This Row],[Clean Gold]]&gt;500000), "Overpowered", "Normal")</f>
        <v>Normal</v>
      </c>
      <c r="AV70" s="1" t="str" cm="1">
        <f t="array" ref="AV7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70" s="1" t="str" cm="1">
        <f t="array" ref="AW7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70" s="1"/>
    </row>
    <row r="71" spans="1:50" x14ac:dyDescent="0.3">
      <c r="A71" s="2" t="s">
        <v>358</v>
      </c>
      <c r="B71" s="2" t="s">
        <v>359</v>
      </c>
      <c r="C71" s="2" t="s">
        <v>360</v>
      </c>
      <c r="D71" s="2" t="s">
        <v>131</v>
      </c>
      <c r="E71" s="2" t="s">
        <v>29</v>
      </c>
      <c r="F71" s="2" t="s">
        <v>98</v>
      </c>
      <c r="G71" s="2">
        <v>44</v>
      </c>
      <c r="H71" s="2" t="s">
        <v>125</v>
      </c>
      <c r="I71" s="2" t="s">
        <v>63</v>
      </c>
      <c r="J71" s="2" t="s">
        <v>64</v>
      </c>
      <c r="K71" s="2" t="s">
        <v>99</v>
      </c>
      <c r="L71" s="6" t="s">
        <v>361</v>
      </c>
      <c r="M71" s="2">
        <v>19</v>
      </c>
      <c r="N71" s="2">
        <v>37</v>
      </c>
      <c r="O71" s="2">
        <v>58</v>
      </c>
      <c r="P71" s="2">
        <v>1414</v>
      </c>
      <c r="Q71" s="2">
        <v>1638</v>
      </c>
      <c r="R71" s="2">
        <v>114</v>
      </c>
      <c r="S71" s="2">
        <v>3483</v>
      </c>
      <c r="T71" s="2">
        <v>360</v>
      </c>
      <c r="U71" s="2">
        <v>156</v>
      </c>
      <c r="V71" s="2">
        <v>91</v>
      </c>
      <c r="W71" s="2"/>
      <c r="X71" s="9">
        <v>712799</v>
      </c>
      <c r="Y71" s="2" t="s">
        <v>36</v>
      </c>
      <c r="AA71" s="1" t="str">
        <f>TRIM(RPG_dataset[[#This Row],[Username]])</f>
        <v>oryn_564</v>
      </c>
      <c r="AB71" s="1" t="str">
        <f>TRIM(RPG_dataset[[#This Row],[First Name]])</f>
        <v>Oryn</v>
      </c>
      <c r="AC71" s="1" t="str">
        <f>PROPER(TRIM(RPG_dataset[[#This Row],[Race]]))</f>
        <v>Dwarf</v>
      </c>
      <c r="AD71" s="1" t="str">
        <f>PROPER(TRIM(RPG_dataset[[#This Row],[Class]]))</f>
        <v>Mage</v>
      </c>
      <c r="AE71" s="1">
        <f>ABS(RPG_dataset[[#This Row],[Level]])</f>
        <v>44</v>
      </c>
      <c r="AF71" s="1">
        <f>ABS(RPG_dataset[[#This Row],[ATK]])</f>
        <v>19</v>
      </c>
      <c r="AG71" s="1">
        <f>ABS(RPG_dataset[[#This Row],[DEF]])</f>
        <v>37</v>
      </c>
      <c r="AH71" s="1">
        <f>ABS(RPG_dataset[[#This Row],[SPD]])</f>
        <v>58</v>
      </c>
      <c r="AI71" s="1">
        <f>ABS(RPG_dataset[[#This Row],[HP]])</f>
        <v>1414</v>
      </c>
      <c r="AJ71" s="1">
        <f>ABS(RPG_dataset[[#This Row],[MP]])</f>
        <v>1638</v>
      </c>
      <c r="AK71" s="1">
        <f>ABS(RPG_dataset[[#This Row],[Total Stat]])</f>
        <v>114</v>
      </c>
      <c r="AL71" s="1">
        <f>ABS(RPG_dataset[[#This Row],[Kills]])</f>
        <v>3483</v>
      </c>
      <c r="AM71" s="12">
        <f>ABS(RPG_dataset[[#This Row],[Win Rate (%)]])</f>
        <v>91</v>
      </c>
      <c r="AN71" s="4">
        <f>ABS(RPG_dataset[[#This Row],[Gold Earned]])</f>
        <v>712799</v>
      </c>
      <c r="AO71" s="5" t="str">
        <f t="shared" si="1"/>
        <v>Fix This</v>
      </c>
      <c r="AP71" s="5">
        <f>RANK(clean[[#This Row],[Clean Gold]],clean[Clean Gold], 0)</f>
        <v>140</v>
      </c>
      <c r="AQ71" s="1">
        <v>227</v>
      </c>
      <c r="AR71" s="1" t="str" cm="1">
        <f t="array" ref="AR71">_xlfn.IFS(clean[[#This Row],[Clean Level]]&gt;=76, "Legend", clean[[#This Row],[Clean Level]]&gt;=51, "Elite", clean[[#This Row],[Clean Level]]&gt;=26, "Veteran", TRUE, "Rookie")</f>
        <v>Veteran</v>
      </c>
      <c r="AS71" s="1" t="str">
        <f>IF(RPG_dataset[[#This Row],[Status]]="Active", "TRUE", "FALSE")</f>
        <v>FALSE</v>
      </c>
      <c r="AT71" s="1" t="str" cm="1">
        <f t="array" ref="AT71">_xlfn.IFS(clean[[#This Row],[Clean Win Rate]]&gt;70, "Excellent", clean[[#This Row],[Clean Win Rate]]&gt;=40, "Average", TRUE, "Poor")</f>
        <v>Excellent</v>
      </c>
      <c r="AU71" s="1" t="str">
        <f>IF(AND(clean[[#This Row],[Clean Level]]&gt;80, clean[[#This Row],[Clean Total Stat]]&gt;350, clean[[#This Row],[Clean Gold]]&gt;500000), "Overpowered", "Normal")</f>
        <v>Normal</v>
      </c>
      <c r="AV71" s="1" t="str" cm="1">
        <f t="array" ref="AV7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71" s="1" t="str" cm="1">
        <f t="array" ref="AW7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71" s="1"/>
    </row>
    <row r="72" spans="1:50" x14ac:dyDescent="0.3">
      <c r="A72" s="2" t="s">
        <v>362</v>
      </c>
      <c r="B72" s="2" t="s">
        <v>363</v>
      </c>
      <c r="C72" s="2" t="s">
        <v>27</v>
      </c>
      <c r="D72" s="2" t="s">
        <v>150</v>
      </c>
      <c r="E72" s="2" t="s">
        <v>75</v>
      </c>
      <c r="F72" s="2" t="s">
        <v>52</v>
      </c>
      <c r="G72" s="2">
        <v>14</v>
      </c>
      <c r="H72" s="2" t="s">
        <v>80</v>
      </c>
      <c r="I72" s="2" t="s">
        <v>54</v>
      </c>
      <c r="J72" s="2" t="s">
        <v>88</v>
      </c>
      <c r="K72" s="2" t="s">
        <v>44</v>
      </c>
      <c r="L72" s="6" t="s">
        <v>364</v>
      </c>
      <c r="M72" s="2">
        <v>70</v>
      </c>
      <c r="N72" s="2">
        <v>36</v>
      </c>
      <c r="O72" s="2">
        <v>26</v>
      </c>
      <c r="P72" s="2">
        <v>990</v>
      </c>
      <c r="Q72" s="2">
        <v>915</v>
      </c>
      <c r="R72" s="2">
        <v>132</v>
      </c>
      <c r="S72" s="2">
        <v>4449</v>
      </c>
      <c r="T72" s="2">
        <v>-314</v>
      </c>
      <c r="U72" s="2">
        <v>173</v>
      </c>
      <c r="V72" s="2">
        <v>93</v>
      </c>
      <c r="W72" s="2">
        <v>2892</v>
      </c>
      <c r="X72" s="9">
        <v>645682</v>
      </c>
      <c r="Y72" s="2" t="s">
        <v>36</v>
      </c>
      <c r="AA72" s="1" t="str">
        <f>TRIM(RPG_dataset[[#This Row],[Username]])</f>
        <v>aiden_801</v>
      </c>
      <c r="AB72" s="1" t="str">
        <f>TRIM(RPG_dataset[[#This Row],[First Name]])</f>
        <v>Aiden</v>
      </c>
      <c r="AC72" s="1" t="str">
        <f>PROPER(TRIM(RPG_dataset[[#This Row],[Race]]))</f>
        <v/>
      </c>
      <c r="AD72" s="1" t="str">
        <f>PROPER(TRIM(RPG_dataset[[#This Row],[Class]]))</f>
        <v>Bard</v>
      </c>
      <c r="AE72" s="1">
        <f>ABS(RPG_dataset[[#This Row],[Level]])</f>
        <v>14</v>
      </c>
      <c r="AF72" s="1">
        <f>ABS(RPG_dataset[[#This Row],[ATK]])</f>
        <v>70</v>
      </c>
      <c r="AG72" s="1">
        <f>ABS(RPG_dataset[[#This Row],[DEF]])</f>
        <v>36</v>
      </c>
      <c r="AH72" s="1">
        <f>ABS(RPG_dataset[[#This Row],[SPD]])</f>
        <v>26</v>
      </c>
      <c r="AI72" s="1">
        <f>ABS(RPG_dataset[[#This Row],[HP]])</f>
        <v>990</v>
      </c>
      <c r="AJ72" s="1">
        <f>ABS(RPG_dataset[[#This Row],[MP]])</f>
        <v>915</v>
      </c>
      <c r="AK72" s="1">
        <f>ABS(RPG_dataset[[#This Row],[Total Stat]])</f>
        <v>132</v>
      </c>
      <c r="AL72" s="1">
        <f>ABS(RPG_dataset[[#This Row],[Kills]])</f>
        <v>4449</v>
      </c>
      <c r="AM72" s="12">
        <f>ABS(RPG_dataset[[#This Row],[Win Rate (%)]])</f>
        <v>93</v>
      </c>
      <c r="AN72" s="4">
        <f>ABS(RPG_dataset[[#This Row],[Gold Earned]])</f>
        <v>645682</v>
      </c>
      <c r="AO72" s="5" t="str">
        <f t="shared" si="1"/>
        <v>OK</v>
      </c>
      <c r="AP72" s="5">
        <f>RANK(clean[[#This Row],[Clean Gold]],clean[Clean Gold], 0)</f>
        <v>176</v>
      </c>
      <c r="AQ72" s="1">
        <v>176</v>
      </c>
      <c r="AR72" s="1" t="str" cm="1">
        <f t="array" ref="AR72">_xlfn.IFS(clean[[#This Row],[Clean Level]]&gt;=76, "Legend", clean[[#This Row],[Clean Level]]&gt;=51, "Elite", clean[[#This Row],[Clean Level]]&gt;=26, "Veteran", TRUE, "Rookie")</f>
        <v>Rookie</v>
      </c>
      <c r="AS72" s="1" t="str">
        <f>IF(RPG_dataset[[#This Row],[Status]]="Active", "TRUE", "FALSE")</f>
        <v>TRUE</v>
      </c>
      <c r="AT72" s="1" t="str" cm="1">
        <f t="array" ref="AT72">_xlfn.IFS(clean[[#This Row],[Clean Win Rate]]&gt;70, "Excellent", clean[[#This Row],[Clean Win Rate]]&gt;=40, "Average", TRUE, "Poor")</f>
        <v>Excellent</v>
      </c>
      <c r="AU72" s="1" t="str">
        <f>IF(AND(clean[[#This Row],[Clean Level]]&gt;80, clean[[#This Row],[Clean Total Stat]]&gt;350, clean[[#This Row],[Clean Gold]]&gt;500000), "Overpowered", "Normal")</f>
        <v>Normal</v>
      </c>
      <c r="AV72" s="1" t="str" cm="1">
        <f t="array" ref="AV7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72" s="1" t="str" cm="1">
        <f t="array" ref="AW7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72" s="1"/>
    </row>
    <row r="73" spans="1:50" x14ac:dyDescent="0.3">
      <c r="A73" s="2" t="s">
        <v>365</v>
      </c>
      <c r="B73" s="2" t="s">
        <v>366</v>
      </c>
      <c r="C73" s="2" t="s">
        <v>367</v>
      </c>
      <c r="D73" s="2" t="s">
        <v>277</v>
      </c>
      <c r="E73" s="2" t="s">
        <v>60</v>
      </c>
      <c r="F73" s="2" t="s">
        <v>124</v>
      </c>
      <c r="G73" s="2"/>
      <c r="H73" s="2" t="s">
        <v>157</v>
      </c>
      <c r="I73" s="2" t="s">
        <v>87</v>
      </c>
      <c r="J73" s="2" t="s">
        <v>64</v>
      </c>
      <c r="K73" s="2" t="s">
        <v>44</v>
      </c>
      <c r="L73" s="6" t="s">
        <v>368</v>
      </c>
      <c r="M73" s="2">
        <v>137</v>
      </c>
      <c r="N73" s="2">
        <v>59</v>
      </c>
      <c r="O73" s="2">
        <v>133</v>
      </c>
      <c r="P73" s="2">
        <v>1131</v>
      </c>
      <c r="Q73" s="2">
        <v>2446</v>
      </c>
      <c r="R73" s="2">
        <v>329</v>
      </c>
      <c r="S73" s="2">
        <v>991</v>
      </c>
      <c r="T73" s="2">
        <v>323</v>
      </c>
      <c r="U73" s="2">
        <v>285</v>
      </c>
      <c r="V73" s="2">
        <v>75</v>
      </c>
      <c r="W73" s="2">
        <v>3299</v>
      </c>
      <c r="X73" s="9">
        <v>338166</v>
      </c>
      <c r="Y73" s="2" t="s">
        <v>46</v>
      </c>
      <c r="AA73" s="1" t="str">
        <f>TRIM(RPG_dataset[[#This Row],[Username]])</f>
        <v>sable_626</v>
      </c>
      <c r="AB73" s="1" t="str">
        <f>TRIM(RPG_dataset[[#This Row],[First Name]])</f>
        <v>Sable</v>
      </c>
      <c r="AC73" s="1" t="str">
        <f>PROPER(TRIM(RPG_dataset[[#This Row],[Race]]))</f>
        <v>Human</v>
      </c>
      <c r="AD73" s="1" t="str">
        <f>PROPER(TRIM(RPG_dataset[[#This Row],[Class]]))</f>
        <v>Necromancer</v>
      </c>
      <c r="AE73" s="1">
        <f>ABS(RPG_dataset[[#This Row],[Level]])</f>
        <v>0</v>
      </c>
      <c r="AF73" s="1">
        <f>ABS(RPG_dataset[[#This Row],[ATK]])</f>
        <v>137</v>
      </c>
      <c r="AG73" s="1">
        <f>ABS(RPG_dataset[[#This Row],[DEF]])</f>
        <v>59</v>
      </c>
      <c r="AH73" s="1">
        <f>ABS(RPG_dataset[[#This Row],[SPD]])</f>
        <v>133</v>
      </c>
      <c r="AI73" s="1">
        <f>ABS(RPG_dataset[[#This Row],[HP]])</f>
        <v>1131</v>
      </c>
      <c r="AJ73" s="1">
        <f>ABS(RPG_dataset[[#This Row],[MP]])</f>
        <v>2446</v>
      </c>
      <c r="AK73" s="1">
        <f>ABS(RPG_dataset[[#This Row],[Total Stat]])</f>
        <v>329</v>
      </c>
      <c r="AL73" s="1">
        <f>ABS(RPG_dataset[[#This Row],[Kills]])</f>
        <v>991</v>
      </c>
      <c r="AM73" s="12">
        <f>ABS(RPG_dataset[[#This Row],[Win Rate (%)]])</f>
        <v>75</v>
      </c>
      <c r="AN73" s="4">
        <f>ABS(RPG_dataset[[#This Row],[Gold Earned]])</f>
        <v>338166</v>
      </c>
      <c r="AO73" s="5" t="str">
        <f t="shared" si="1"/>
        <v>Fix This</v>
      </c>
      <c r="AP73" s="5">
        <f>RANK(clean[[#This Row],[Clean Gold]],clean[Clean Gold], 0)</f>
        <v>339</v>
      </c>
      <c r="AQ73" s="1">
        <v>251</v>
      </c>
      <c r="AR73" s="1" t="str" cm="1">
        <f t="array" ref="AR73">_xlfn.IFS(clean[[#This Row],[Clean Level]]&gt;=76, "Legend", clean[[#This Row],[Clean Level]]&gt;=51, "Elite", clean[[#This Row],[Clean Level]]&gt;=26, "Veteran", TRUE, "Rookie")</f>
        <v>Rookie</v>
      </c>
      <c r="AS73" s="1" t="str">
        <f>IF(RPG_dataset[[#This Row],[Status]]="Active", "TRUE", "FALSE")</f>
        <v>TRUE</v>
      </c>
      <c r="AT73" s="1" t="str" cm="1">
        <f t="array" ref="AT73">_xlfn.IFS(clean[[#This Row],[Clean Win Rate]]&gt;70, "Excellent", clean[[#This Row],[Clean Win Rate]]&gt;=40, "Average", TRUE, "Poor")</f>
        <v>Excellent</v>
      </c>
      <c r="AU73" s="1" t="str">
        <f>IF(AND(clean[[#This Row],[Clean Level]]&gt;80, clean[[#This Row],[Clean Total Stat]]&gt;350, clean[[#This Row],[Clean Gold]]&gt;500000), "Overpowered", "Normal")</f>
        <v>Normal</v>
      </c>
      <c r="AV73" s="1" t="str" cm="1">
        <f t="array" ref="AV7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73" s="1" t="str" cm="1">
        <f t="array" ref="AW7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73" s="1"/>
    </row>
    <row r="74" spans="1:50" x14ac:dyDescent="0.3">
      <c r="A74" s="2" t="s">
        <v>369</v>
      </c>
      <c r="B74" s="2" t="s">
        <v>370</v>
      </c>
      <c r="C74" s="2" t="s">
        <v>371</v>
      </c>
      <c r="D74" s="2" t="s">
        <v>168</v>
      </c>
      <c r="E74" s="2" t="s">
        <v>169</v>
      </c>
      <c r="F74" s="2" t="s">
        <v>194</v>
      </c>
      <c r="G74" s="2">
        <v>48</v>
      </c>
      <c r="H74" s="2" t="s">
        <v>125</v>
      </c>
      <c r="I74" s="2" t="s">
        <v>63</v>
      </c>
      <c r="J74" s="2" t="s">
        <v>64</v>
      </c>
      <c r="K74" s="2" t="s">
        <v>44</v>
      </c>
      <c r="L74" s="6" t="s">
        <v>372</v>
      </c>
      <c r="M74" s="2">
        <v>79</v>
      </c>
      <c r="N74" s="2">
        <v>29</v>
      </c>
      <c r="O74" s="2">
        <v>39</v>
      </c>
      <c r="P74" s="2">
        <v>1710</v>
      </c>
      <c r="Q74" s="2">
        <v>470</v>
      </c>
      <c r="R74" s="2"/>
      <c r="S74" s="2">
        <v>1386</v>
      </c>
      <c r="T74" s="2">
        <v>-22</v>
      </c>
      <c r="U74" s="2">
        <v>45</v>
      </c>
      <c r="V74" s="2">
        <v>98</v>
      </c>
      <c r="W74" s="2">
        <v>7516</v>
      </c>
      <c r="X74" s="9">
        <v>334038</v>
      </c>
      <c r="Y74" s="2" t="s">
        <v>36</v>
      </c>
      <c r="AA74" s="1" t="str">
        <f>TRIM(RPG_dataset[[#This Row],[Username]])</f>
        <v>KIRA_679</v>
      </c>
      <c r="AB74" s="1" t="str">
        <f>TRIM(RPG_dataset[[#This Row],[First Name]])</f>
        <v>Kira</v>
      </c>
      <c r="AC74" s="1" t="str">
        <f>PROPER(TRIM(RPG_dataset[[#This Row],[Race]]))</f>
        <v>Halfling</v>
      </c>
      <c r="AD74" s="1" t="str">
        <f>PROPER(TRIM(RPG_dataset[[#This Row],[Class]]))</f>
        <v>Paladin</v>
      </c>
      <c r="AE74" s="1">
        <f>ABS(RPG_dataset[[#This Row],[Level]])</f>
        <v>48</v>
      </c>
      <c r="AF74" s="1">
        <f>ABS(RPG_dataset[[#This Row],[ATK]])</f>
        <v>79</v>
      </c>
      <c r="AG74" s="1">
        <f>ABS(RPG_dataset[[#This Row],[DEF]])</f>
        <v>29</v>
      </c>
      <c r="AH74" s="1">
        <f>ABS(RPG_dataset[[#This Row],[SPD]])</f>
        <v>39</v>
      </c>
      <c r="AI74" s="1">
        <f>ABS(RPG_dataset[[#This Row],[HP]])</f>
        <v>1710</v>
      </c>
      <c r="AJ74" s="1">
        <f>ABS(RPG_dataset[[#This Row],[MP]])</f>
        <v>470</v>
      </c>
      <c r="AK74" s="1">
        <f>ABS(RPG_dataset[[#This Row],[Total Stat]])</f>
        <v>0</v>
      </c>
      <c r="AL74" s="1">
        <f>ABS(RPG_dataset[[#This Row],[Kills]])</f>
        <v>1386</v>
      </c>
      <c r="AM74" s="12">
        <f>ABS(RPG_dataset[[#This Row],[Win Rate (%)]])</f>
        <v>98</v>
      </c>
      <c r="AN74" s="4">
        <f>ABS(RPG_dataset[[#This Row],[Gold Earned]])</f>
        <v>334038</v>
      </c>
      <c r="AO74" s="5" t="str">
        <f t="shared" si="1"/>
        <v>OK</v>
      </c>
      <c r="AP74" s="5">
        <f>RANK(clean[[#This Row],[Clean Gold]],clean[Clean Gold], 0)</f>
        <v>342</v>
      </c>
      <c r="AQ74" s="1">
        <v>131</v>
      </c>
      <c r="AR74" s="1" t="str" cm="1">
        <f t="array" ref="AR74">_xlfn.IFS(clean[[#This Row],[Clean Level]]&gt;=76, "Legend", clean[[#This Row],[Clean Level]]&gt;=51, "Elite", clean[[#This Row],[Clean Level]]&gt;=26, "Veteran", TRUE, "Rookie")</f>
        <v>Veteran</v>
      </c>
      <c r="AS74" s="1" t="str">
        <f>IF(RPG_dataset[[#This Row],[Status]]="Active", "TRUE", "FALSE")</f>
        <v>TRUE</v>
      </c>
      <c r="AT74" s="1" t="str" cm="1">
        <f t="array" ref="AT74">_xlfn.IFS(clean[[#This Row],[Clean Win Rate]]&gt;70, "Excellent", clean[[#This Row],[Clean Win Rate]]&gt;=40, "Average", TRUE, "Poor")</f>
        <v>Excellent</v>
      </c>
      <c r="AU74" s="1" t="str">
        <f>IF(AND(clean[[#This Row],[Clean Level]]&gt;80, clean[[#This Row],[Clean Total Stat]]&gt;350, clean[[#This Row],[Clean Gold]]&gt;500000), "Overpowered", "Normal")</f>
        <v>Normal</v>
      </c>
      <c r="AV74" s="1" t="str" cm="1">
        <f t="array" ref="AV7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74" s="1" t="str" cm="1">
        <f t="array" ref="AW7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74" s="1"/>
    </row>
    <row r="75" spans="1:50" x14ac:dyDescent="0.3">
      <c r="A75" s="2" t="s">
        <v>373</v>
      </c>
      <c r="B75" s="2" t="s">
        <v>374</v>
      </c>
      <c r="C75" s="2" t="s">
        <v>79</v>
      </c>
      <c r="D75" s="2" t="s">
        <v>304</v>
      </c>
      <c r="E75" s="2" t="s">
        <v>71</v>
      </c>
      <c r="F75" s="2" t="s">
        <v>61</v>
      </c>
      <c r="G75" s="2">
        <v>79</v>
      </c>
      <c r="H75" s="2" t="s">
        <v>31</v>
      </c>
      <c r="I75" s="2" t="s">
        <v>140</v>
      </c>
      <c r="J75" s="2" t="s">
        <v>81</v>
      </c>
      <c r="K75" s="2" t="s">
        <v>34</v>
      </c>
      <c r="L75" s="6" t="s">
        <v>375</v>
      </c>
      <c r="M75" s="2">
        <v>60</v>
      </c>
      <c r="N75" s="2">
        <v>83</v>
      </c>
      <c r="O75" s="2">
        <v>143</v>
      </c>
      <c r="P75" s="2">
        <v>936</v>
      </c>
      <c r="Q75" s="2">
        <v>155</v>
      </c>
      <c r="R75" s="2">
        <v>286</v>
      </c>
      <c r="S75" s="2">
        <v>2291</v>
      </c>
      <c r="T75" s="2">
        <v>578</v>
      </c>
      <c r="U75" s="2">
        <v>112</v>
      </c>
      <c r="V75" s="2">
        <v>80</v>
      </c>
      <c r="W75" s="2">
        <v>1640</v>
      </c>
      <c r="X75" s="9">
        <v>343573</v>
      </c>
      <c r="Y75" s="2" t="s">
        <v>36</v>
      </c>
      <c r="AA75" s="1" t="str">
        <f>TRIM(RPG_dataset[[#This Row],[Username]])</f>
        <v>mira_554</v>
      </c>
      <c r="AB75" s="1" t="str">
        <f>TRIM(RPG_dataset[[#This Row],[First Name]])</f>
        <v>Mira</v>
      </c>
      <c r="AC75" s="1" t="str">
        <f>PROPER(TRIM(RPG_dataset[[#This Row],[Race]]))</f>
        <v>Dragonborn</v>
      </c>
      <c r="AD75" s="1" t="str">
        <f>PROPER(TRIM(RPG_dataset[[#This Row],[Class]]))</f>
        <v>Ranger</v>
      </c>
      <c r="AE75" s="1">
        <f>ABS(RPG_dataset[[#This Row],[Level]])</f>
        <v>79</v>
      </c>
      <c r="AF75" s="1">
        <f>ABS(RPG_dataset[[#This Row],[ATK]])</f>
        <v>60</v>
      </c>
      <c r="AG75" s="1">
        <f>ABS(RPG_dataset[[#This Row],[DEF]])</f>
        <v>83</v>
      </c>
      <c r="AH75" s="1">
        <f>ABS(RPG_dataset[[#This Row],[SPD]])</f>
        <v>143</v>
      </c>
      <c r="AI75" s="1">
        <f>ABS(RPG_dataset[[#This Row],[HP]])</f>
        <v>936</v>
      </c>
      <c r="AJ75" s="1">
        <f>ABS(RPG_dataset[[#This Row],[MP]])</f>
        <v>155</v>
      </c>
      <c r="AK75" s="1">
        <f>ABS(RPG_dataset[[#This Row],[Total Stat]])</f>
        <v>286</v>
      </c>
      <c r="AL75" s="1">
        <f>ABS(RPG_dataset[[#This Row],[Kills]])</f>
        <v>2291</v>
      </c>
      <c r="AM75" s="12">
        <f>ABS(RPG_dataset[[#This Row],[Win Rate (%)]])</f>
        <v>80</v>
      </c>
      <c r="AN75" s="4">
        <f>ABS(RPG_dataset[[#This Row],[Gold Earned]])</f>
        <v>343573</v>
      </c>
      <c r="AO75" s="5" t="str">
        <f t="shared" si="1"/>
        <v>OK</v>
      </c>
      <c r="AP75" s="5">
        <f>RANK(clean[[#This Row],[Clean Gold]],clean[Clean Gold], 0)</f>
        <v>333</v>
      </c>
      <c r="AQ75" s="1">
        <v>339</v>
      </c>
      <c r="AR75" s="1" t="str" cm="1">
        <f t="array" ref="AR75">_xlfn.IFS(clean[[#This Row],[Clean Level]]&gt;=76, "Legend", clean[[#This Row],[Clean Level]]&gt;=51, "Elite", clean[[#This Row],[Clean Level]]&gt;=26, "Veteran", TRUE, "Rookie")</f>
        <v>Legend</v>
      </c>
      <c r="AS75" s="1" t="str">
        <f>IF(RPG_dataset[[#This Row],[Status]]="Active", "TRUE", "FALSE")</f>
        <v>FALSE</v>
      </c>
      <c r="AT75" s="1" t="str" cm="1">
        <f t="array" ref="AT75">_xlfn.IFS(clean[[#This Row],[Clean Win Rate]]&gt;70, "Excellent", clean[[#This Row],[Clean Win Rate]]&gt;=40, "Average", TRUE, "Poor")</f>
        <v>Excellent</v>
      </c>
      <c r="AU75" s="1" t="str">
        <f>IF(AND(clean[[#This Row],[Clean Level]]&gt;80, clean[[#This Row],[Clean Total Stat]]&gt;350, clean[[#This Row],[Clean Gold]]&gt;500000), "Overpowered", "Normal")</f>
        <v>Normal</v>
      </c>
      <c r="AV75" s="1" t="str" cm="1">
        <f t="array" ref="AV75">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75" s="1" t="str" cm="1">
        <f t="array" ref="AW7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75" s="1"/>
    </row>
    <row r="76" spans="1:50" x14ac:dyDescent="0.3">
      <c r="A76" s="2" t="s">
        <v>376</v>
      </c>
      <c r="B76" s="2" t="s">
        <v>377</v>
      </c>
      <c r="C76" s="2" t="s">
        <v>167</v>
      </c>
      <c r="D76" s="2" t="s">
        <v>378</v>
      </c>
      <c r="E76" s="2" t="s">
        <v>29</v>
      </c>
      <c r="F76" s="2" t="s">
        <v>194</v>
      </c>
      <c r="G76" s="2">
        <v>73</v>
      </c>
      <c r="H76" s="2" t="s">
        <v>157</v>
      </c>
      <c r="I76" s="2" t="s">
        <v>87</v>
      </c>
      <c r="J76" s="2" t="s">
        <v>81</v>
      </c>
      <c r="K76" s="2" t="s">
        <v>99</v>
      </c>
      <c r="L76" s="6" t="s">
        <v>379</v>
      </c>
      <c r="M76" s="2">
        <v>50</v>
      </c>
      <c r="N76" s="2">
        <v>57</v>
      </c>
      <c r="O76" s="2">
        <v>124</v>
      </c>
      <c r="P76" s="2">
        <v>3049</v>
      </c>
      <c r="Q76" s="2">
        <v>87</v>
      </c>
      <c r="R76" s="2"/>
      <c r="S76" s="2">
        <v>356</v>
      </c>
      <c r="T76" s="2">
        <v>137</v>
      </c>
      <c r="U76" s="2">
        <v>110</v>
      </c>
      <c r="V76" s="2">
        <v>72</v>
      </c>
      <c r="W76" s="2">
        <v>6620</v>
      </c>
      <c r="X76" s="9">
        <v>187135</v>
      </c>
      <c r="Y76" s="2" t="s">
        <v>36</v>
      </c>
      <c r="AA76" s="1" t="str">
        <f>TRIM(RPG_dataset[[#This Row],[Username]])</f>
        <v>tilda_693</v>
      </c>
      <c r="AB76" s="1" t="str">
        <f>TRIM(RPG_dataset[[#This Row],[First Name]])</f>
        <v>Tilda</v>
      </c>
      <c r="AC76" s="1" t="str">
        <f>PROPER(TRIM(RPG_dataset[[#This Row],[Race]]))</f>
        <v>Dwarf</v>
      </c>
      <c r="AD76" s="1" t="str">
        <f>PROPER(TRIM(RPG_dataset[[#This Row],[Class]]))</f>
        <v>Paladin</v>
      </c>
      <c r="AE76" s="1">
        <f>ABS(RPG_dataset[[#This Row],[Level]])</f>
        <v>73</v>
      </c>
      <c r="AF76" s="1">
        <f>ABS(RPG_dataset[[#This Row],[ATK]])</f>
        <v>50</v>
      </c>
      <c r="AG76" s="1">
        <f>ABS(RPG_dataset[[#This Row],[DEF]])</f>
        <v>57</v>
      </c>
      <c r="AH76" s="1">
        <f>ABS(RPG_dataset[[#This Row],[SPD]])</f>
        <v>124</v>
      </c>
      <c r="AI76" s="1">
        <f>ABS(RPG_dataset[[#This Row],[HP]])</f>
        <v>3049</v>
      </c>
      <c r="AJ76" s="1">
        <f>ABS(RPG_dataset[[#This Row],[MP]])</f>
        <v>87</v>
      </c>
      <c r="AK76" s="1">
        <f>ABS(RPG_dataset[[#This Row],[Total Stat]])</f>
        <v>0</v>
      </c>
      <c r="AL76" s="1">
        <f>ABS(RPG_dataset[[#This Row],[Kills]])</f>
        <v>356</v>
      </c>
      <c r="AM76" s="12">
        <f>ABS(RPG_dataset[[#This Row],[Win Rate (%)]])</f>
        <v>72</v>
      </c>
      <c r="AN76" s="4">
        <f>ABS(RPG_dataset[[#This Row],[Gold Earned]])</f>
        <v>187135</v>
      </c>
      <c r="AO76" s="5" t="str">
        <f t="shared" si="1"/>
        <v>OK</v>
      </c>
      <c r="AP76" s="5">
        <f>RANK(clean[[#This Row],[Clean Gold]],clean[Clean Gold], 0)</f>
        <v>406</v>
      </c>
      <c r="AQ76" s="1">
        <v>216</v>
      </c>
      <c r="AR76" s="1" t="str" cm="1">
        <f t="array" ref="AR76">_xlfn.IFS(clean[[#This Row],[Clean Level]]&gt;=76, "Legend", clean[[#This Row],[Clean Level]]&gt;=51, "Elite", clean[[#This Row],[Clean Level]]&gt;=26, "Veteran", TRUE, "Rookie")</f>
        <v>Elite</v>
      </c>
      <c r="AS76" s="1" t="str">
        <f>IF(RPG_dataset[[#This Row],[Status]]="Active", "TRUE", "FALSE")</f>
        <v>FALSE</v>
      </c>
      <c r="AT76" s="1" t="str" cm="1">
        <f t="array" ref="AT76">_xlfn.IFS(clean[[#This Row],[Clean Win Rate]]&gt;70, "Excellent", clean[[#This Row],[Clean Win Rate]]&gt;=40, "Average", TRUE, "Poor")</f>
        <v>Excellent</v>
      </c>
      <c r="AU76" s="1" t="str">
        <f>IF(AND(clean[[#This Row],[Clean Level]]&gt;80, clean[[#This Row],[Clean Total Stat]]&gt;350, clean[[#This Row],[Clean Gold]]&gt;500000), "Overpowered", "Normal")</f>
        <v>Normal</v>
      </c>
      <c r="AV76" s="1" t="str" cm="1">
        <f t="array" ref="AV76">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76" s="1" t="str" cm="1">
        <f t="array" ref="AW7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76" s="1"/>
    </row>
    <row r="77" spans="1:50" x14ac:dyDescent="0.3">
      <c r="A77" s="2" t="s">
        <v>380</v>
      </c>
      <c r="B77" s="2" t="s">
        <v>381</v>
      </c>
      <c r="C77" s="2" t="s">
        <v>227</v>
      </c>
      <c r="D77" s="2" t="s">
        <v>59</v>
      </c>
      <c r="E77" s="2" t="s">
        <v>75</v>
      </c>
      <c r="F77" s="2" t="s">
        <v>124</v>
      </c>
      <c r="G77" s="2">
        <v>55</v>
      </c>
      <c r="H77" s="2" t="s">
        <v>53</v>
      </c>
      <c r="I77" s="2" t="s">
        <v>32</v>
      </c>
      <c r="J77" s="2" t="s">
        <v>64</v>
      </c>
      <c r="K77" s="2" t="s">
        <v>44</v>
      </c>
      <c r="L77" s="6" t="s">
        <v>382</v>
      </c>
      <c r="M77" s="2">
        <v>94</v>
      </c>
      <c r="N77" s="2">
        <v>134</v>
      </c>
      <c r="O77" s="2">
        <v>40</v>
      </c>
      <c r="P77" s="2">
        <v>3817</v>
      </c>
      <c r="Q77" s="2">
        <v>2511</v>
      </c>
      <c r="R77" s="2">
        <v>268</v>
      </c>
      <c r="S77" s="2">
        <v>4609</v>
      </c>
      <c r="T77" s="2"/>
      <c r="U77" s="2">
        <v>14</v>
      </c>
      <c r="V77" s="2">
        <v>93</v>
      </c>
      <c r="W77" s="2">
        <v>1574</v>
      </c>
      <c r="X77" s="9">
        <v>598158</v>
      </c>
      <c r="Y77" s="2" t="s">
        <v>46</v>
      </c>
      <c r="AA77" s="1" t="str">
        <f>TRIM(RPG_dataset[[#This Row],[Username]])</f>
        <v>nyx_322</v>
      </c>
      <c r="AB77" s="1" t="str">
        <f>TRIM(RPG_dataset[[#This Row],[First Name]])</f>
        <v>Nyx</v>
      </c>
      <c r="AC77" s="1" t="str">
        <f>PROPER(TRIM(RPG_dataset[[#This Row],[Race]]))</f>
        <v/>
      </c>
      <c r="AD77" s="1" t="str">
        <f>PROPER(TRIM(RPG_dataset[[#This Row],[Class]]))</f>
        <v>Necromancer</v>
      </c>
      <c r="AE77" s="1">
        <f>ABS(RPG_dataset[[#This Row],[Level]])</f>
        <v>55</v>
      </c>
      <c r="AF77" s="1">
        <f>ABS(RPG_dataset[[#This Row],[ATK]])</f>
        <v>94</v>
      </c>
      <c r="AG77" s="1">
        <f>ABS(RPG_dataset[[#This Row],[DEF]])</f>
        <v>134</v>
      </c>
      <c r="AH77" s="1">
        <f>ABS(RPG_dataset[[#This Row],[SPD]])</f>
        <v>40</v>
      </c>
      <c r="AI77" s="1">
        <f>ABS(RPG_dataset[[#This Row],[HP]])</f>
        <v>3817</v>
      </c>
      <c r="AJ77" s="1">
        <f>ABS(RPG_dataset[[#This Row],[MP]])</f>
        <v>2511</v>
      </c>
      <c r="AK77" s="1">
        <f>ABS(RPG_dataset[[#This Row],[Total Stat]])</f>
        <v>268</v>
      </c>
      <c r="AL77" s="1">
        <f>ABS(RPG_dataset[[#This Row],[Kills]])</f>
        <v>4609</v>
      </c>
      <c r="AM77" s="12">
        <f>ABS(RPG_dataset[[#This Row],[Win Rate (%)]])</f>
        <v>93</v>
      </c>
      <c r="AN77" s="4">
        <f>ABS(RPG_dataset[[#This Row],[Gold Earned]])</f>
        <v>598158</v>
      </c>
      <c r="AO77" s="5" t="str">
        <f t="shared" si="1"/>
        <v>OK</v>
      </c>
      <c r="AP77" s="5">
        <f>RANK(clean[[#This Row],[Clean Gold]],clean[Clean Gold], 0)</f>
        <v>205</v>
      </c>
      <c r="AQ77" s="1"/>
      <c r="AR77" s="1" t="str" cm="1">
        <f t="array" ref="AR77">_xlfn.IFS(clean[[#This Row],[Clean Level]]&gt;=76, "Legend", clean[[#This Row],[Clean Level]]&gt;=51, "Elite", clean[[#This Row],[Clean Level]]&gt;=26, "Veteran", TRUE, "Rookie")</f>
        <v>Elite</v>
      </c>
      <c r="AS77" s="1" t="str">
        <f>IF(RPG_dataset[[#This Row],[Status]]="Active", "TRUE", "FALSE")</f>
        <v>TRUE</v>
      </c>
      <c r="AT77" s="1" t="str" cm="1">
        <f t="array" ref="AT77">_xlfn.IFS(clean[[#This Row],[Clean Win Rate]]&gt;70, "Excellent", clean[[#This Row],[Clean Win Rate]]&gt;=40, "Average", TRUE, "Poor")</f>
        <v>Excellent</v>
      </c>
      <c r="AU77" s="1" t="str">
        <f>IF(AND(clean[[#This Row],[Clean Level]]&gt;80, clean[[#This Row],[Clean Total Stat]]&gt;350, clean[[#This Row],[Clean Gold]]&gt;500000), "Overpowered", "Normal")</f>
        <v>Normal</v>
      </c>
      <c r="AV77" s="1" t="str" cm="1">
        <f t="array" ref="AV7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77" s="1" t="str" cm="1">
        <f t="array" ref="AW7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77" s="1"/>
    </row>
    <row r="78" spans="1:50" x14ac:dyDescent="0.3">
      <c r="A78" s="2" t="s">
        <v>383</v>
      </c>
      <c r="B78" s="2" t="s">
        <v>384</v>
      </c>
      <c r="C78" s="2" t="s">
        <v>238</v>
      </c>
      <c r="D78" s="2" t="s">
        <v>104</v>
      </c>
      <c r="E78" s="2" t="s">
        <v>41</v>
      </c>
      <c r="F78" s="2" t="s">
        <v>72</v>
      </c>
      <c r="G78" s="2">
        <v>67</v>
      </c>
      <c r="H78" s="2" t="s">
        <v>157</v>
      </c>
      <c r="I78" s="2" t="s">
        <v>74</v>
      </c>
      <c r="J78" s="2" t="s">
        <v>111</v>
      </c>
      <c r="K78" s="2" t="s">
        <v>44</v>
      </c>
      <c r="L78" s="6" t="s">
        <v>385</v>
      </c>
      <c r="M78" s="2">
        <v>150</v>
      </c>
      <c r="N78" s="2">
        <v>49</v>
      </c>
      <c r="O78" s="2">
        <v>38</v>
      </c>
      <c r="P78" s="2">
        <v>792</v>
      </c>
      <c r="Q78" s="2"/>
      <c r="R78" s="2">
        <v>237</v>
      </c>
      <c r="S78" s="2">
        <v>4346</v>
      </c>
      <c r="T78" s="2">
        <v>287</v>
      </c>
      <c r="U78" s="2">
        <v>101</v>
      </c>
      <c r="V78" s="2">
        <v>94</v>
      </c>
      <c r="W78" s="2">
        <v>6612</v>
      </c>
      <c r="X78" s="9">
        <v>687558</v>
      </c>
      <c r="Y78" s="2" t="s">
        <v>46</v>
      </c>
      <c r="AA78" s="1" t="str">
        <f>TRIM(RPG_dataset[[#This Row],[Username]])</f>
        <v>cael_850</v>
      </c>
      <c r="AB78" s="1" t="str">
        <f>TRIM(RPG_dataset[[#This Row],[First Name]])</f>
        <v>Cael</v>
      </c>
      <c r="AC78" s="1" t="str">
        <f>PROPER(TRIM(RPG_dataset[[#This Row],[Race]]))</f>
        <v>Gnome</v>
      </c>
      <c r="AD78" s="1" t="str">
        <f>PROPER(TRIM(RPG_dataset[[#This Row],[Class]]))</f>
        <v>Warrior</v>
      </c>
      <c r="AE78" s="1">
        <f>ABS(RPG_dataset[[#This Row],[Level]])</f>
        <v>67</v>
      </c>
      <c r="AF78" s="1">
        <f>ABS(RPG_dataset[[#This Row],[ATK]])</f>
        <v>150</v>
      </c>
      <c r="AG78" s="1">
        <f>ABS(RPG_dataset[[#This Row],[DEF]])</f>
        <v>49</v>
      </c>
      <c r="AH78" s="1">
        <f>ABS(RPG_dataset[[#This Row],[SPD]])</f>
        <v>38</v>
      </c>
      <c r="AI78" s="1">
        <f>ABS(RPG_dataset[[#This Row],[HP]])</f>
        <v>792</v>
      </c>
      <c r="AJ78" s="1">
        <f>ABS(RPG_dataset[[#This Row],[MP]])</f>
        <v>0</v>
      </c>
      <c r="AK78" s="1">
        <f>ABS(RPG_dataset[[#This Row],[Total Stat]])</f>
        <v>237</v>
      </c>
      <c r="AL78" s="1">
        <f>ABS(RPG_dataset[[#This Row],[Kills]])</f>
        <v>4346</v>
      </c>
      <c r="AM78" s="12">
        <f>ABS(RPG_dataset[[#This Row],[Win Rate (%)]])</f>
        <v>94</v>
      </c>
      <c r="AN78" s="4">
        <f>ABS(RPG_dataset[[#This Row],[Gold Earned]])</f>
        <v>687558</v>
      </c>
      <c r="AO78" s="5" t="str">
        <f t="shared" si="1"/>
        <v>OK</v>
      </c>
      <c r="AP78" s="5">
        <f>RANK(clean[[#This Row],[Clean Gold]],clean[Clean Gold], 0)</f>
        <v>156</v>
      </c>
      <c r="AQ78" s="1"/>
      <c r="AR78" s="1" t="str" cm="1">
        <f t="array" ref="AR78">_xlfn.IFS(clean[[#This Row],[Clean Level]]&gt;=76, "Legend", clean[[#This Row],[Clean Level]]&gt;=51, "Elite", clean[[#This Row],[Clean Level]]&gt;=26, "Veteran", TRUE, "Rookie")</f>
        <v>Elite</v>
      </c>
      <c r="AS78" s="1" t="str">
        <f>IF(RPG_dataset[[#This Row],[Status]]="Active", "TRUE", "FALSE")</f>
        <v>TRUE</v>
      </c>
      <c r="AT78" s="1" t="str" cm="1">
        <f t="array" ref="AT78">_xlfn.IFS(clean[[#This Row],[Clean Win Rate]]&gt;70, "Excellent", clean[[#This Row],[Clean Win Rate]]&gt;=40, "Average", TRUE, "Poor")</f>
        <v>Excellent</v>
      </c>
      <c r="AU78" s="1" t="str">
        <f>IF(AND(clean[[#This Row],[Clean Level]]&gt;80, clean[[#This Row],[Clean Total Stat]]&gt;350, clean[[#This Row],[Clean Gold]]&gt;500000), "Overpowered", "Normal")</f>
        <v>Normal</v>
      </c>
      <c r="AV78" s="1" t="str" cm="1">
        <f t="array" ref="AV7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78" s="1" t="str" cm="1">
        <f t="array" ref="AW7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78" s="1"/>
    </row>
    <row r="79" spans="1:50" x14ac:dyDescent="0.3">
      <c r="A79" s="2" t="s">
        <v>386</v>
      </c>
      <c r="B79" s="2" t="s">
        <v>387</v>
      </c>
      <c r="C79" s="2" t="s">
        <v>223</v>
      </c>
      <c r="D79" s="2" t="s">
        <v>139</v>
      </c>
      <c r="E79" s="2" t="s">
        <v>228</v>
      </c>
      <c r="F79" s="2" t="s">
        <v>72</v>
      </c>
      <c r="G79" s="2">
        <v>6</v>
      </c>
      <c r="H79" s="2" t="s">
        <v>43</v>
      </c>
      <c r="I79" s="2" t="s">
        <v>140</v>
      </c>
      <c r="J79" s="2" t="s">
        <v>33</v>
      </c>
      <c r="K79" s="2" t="s">
        <v>99</v>
      </c>
      <c r="L79" s="6" t="s">
        <v>388</v>
      </c>
      <c r="M79" s="2">
        <v>63</v>
      </c>
      <c r="N79" s="2">
        <v>116</v>
      </c>
      <c r="O79" s="2">
        <v>105</v>
      </c>
      <c r="P79" s="2">
        <v>4125</v>
      </c>
      <c r="Q79" s="2">
        <v>1857</v>
      </c>
      <c r="R79" s="2">
        <v>284</v>
      </c>
      <c r="S79" s="2"/>
      <c r="T79" s="2">
        <v>192</v>
      </c>
      <c r="U79" s="2">
        <v>234</v>
      </c>
      <c r="V79" s="2">
        <v>76</v>
      </c>
      <c r="W79" s="2">
        <v>4152</v>
      </c>
      <c r="X79" s="9">
        <v>273640</v>
      </c>
      <c r="Y79" s="2" t="s">
        <v>36</v>
      </c>
      <c r="AA79" s="1" t="str">
        <f>TRIM(RPG_dataset[[#This Row],[Username]])</f>
        <v>lyra_106</v>
      </c>
      <c r="AB79" s="1" t="str">
        <f>TRIM(RPG_dataset[[#This Row],[First Name]])</f>
        <v>Lyra</v>
      </c>
      <c r="AC79" s="1" t="str">
        <f>PROPER(TRIM(RPG_dataset[[#This Row],[Race]]))</f>
        <v>Elf</v>
      </c>
      <c r="AD79" s="1" t="str">
        <f>PROPER(TRIM(RPG_dataset[[#This Row],[Class]]))</f>
        <v>Warrior</v>
      </c>
      <c r="AE79" s="1">
        <f>ABS(RPG_dataset[[#This Row],[Level]])</f>
        <v>6</v>
      </c>
      <c r="AF79" s="1">
        <f>ABS(RPG_dataset[[#This Row],[ATK]])</f>
        <v>63</v>
      </c>
      <c r="AG79" s="1">
        <f>ABS(RPG_dataset[[#This Row],[DEF]])</f>
        <v>116</v>
      </c>
      <c r="AH79" s="1">
        <f>ABS(RPG_dataset[[#This Row],[SPD]])</f>
        <v>105</v>
      </c>
      <c r="AI79" s="1">
        <f>ABS(RPG_dataset[[#This Row],[HP]])</f>
        <v>4125</v>
      </c>
      <c r="AJ79" s="1">
        <f>ABS(RPG_dataset[[#This Row],[MP]])</f>
        <v>1857</v>
      </c>
      <c r="AK79" s="1">
        <f>ABS(RPG_dataset[[#This Row],[Total Stat]])</f>
        <v>284</v>
      </c>
      <c r="AL79" s="1">
        <f>ABS(RPG_dataset[[#This Row],[Kills]])</f>
        <v>0</v>
      </c>
      <c r="AM79" s="12">
        <f>ABS(RPG_dataset[[#This Row],[Win Rate (%)]])</f>
        <v>76</v>
      </c>
      <c r="AN79" s="4">
        <f>ABS(RPG_dataset[[#This Row],[Gold Earned]])</f>
        <v>273640</v>
      </c>
      <c r="AO79" s="5" t="str">
        <f t="shared" si="1"/>
        <v>OK</v>
      </c>
      <c r="AP79" s="5">
        <f>RANK(clean[[#This Row],[Clean Gold]],clean[Clean Gold], 0)</f>
        <v>364</v>
      </c>
      <c r="AQ79" s="1">
        <v>371</v>
      </c>
      <c r="AR79" s="1" t="str" cm="1">
        <f t="array" ref="AR79">_xlfn.IFS(clean[[#This Row],[Clean Level]]&gt;=76, "Legend", clean[[#This Row],[Clean Level]]&gt;=51, "Elite", clean[[#This Row],[Clean Level]]&gt;=26, "Veteran", TRUE, "Rookie")</f>
        <v>Rookie</v>
      </c>
      <c r="AS79" s="1" t="str">
        <f>IF(RPG_dataset[[#This Row],[Status]]="Active", "TRUE", "FALSE")</f>
        <v>FALSE</v>
      </c>
      <c r="AT79" s="1" t="str" cm="1">
        <f t="array" ref="AT79">_xlfn.IFS(clean[[#This Row],[Clean Win Rate]]&gt;70, "Excellent", clean[[#This Row],[Clean Win Rate]]&gt;=40, "Average", TRUE, "Poor")</f>
        <v>Excellent</v>
      </c>
      <c r="AU79" s="1" t="str">
        <f>IF(AND(clean[[#This Row],[Clean Level]]&gt;80, clean[[#This Row],[Clean Total Stat]]&gt;350, clean[[#This Row],[Clean Gold]]&gt;500000), "Overpowered", "Normal")</f>
        <v>Normal</v>
      </c>
      <c r="AV79" s="1" t="str" cm="1">
        <f t="array" ref="AV7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79" s="1" t="str" cm="1">
        <f t="array" ref="AW7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79" s="1"/>
    </row>
    <row r="80" spans="1:50" x14ac:dyDescent="0.3">
      <c r="A80" s="2" t="s">
        <v>389</v>
      </c>
      <c r="B80" s="2" t="s">
        <v>390</v>
      </c>
      <c r="C80" s="2" t="s">
        <v>391</v>
      </c>
      <c r="D80" s="2" t="s">
        <v>210</v>
      </c>
      <c r="E80" s="2" t="s">
        <v>29</v>
      </c>
      <c r="F80" s="2" t="s">
        <v>61</v>
      </c>
      <c r="G80" s="2">
        <v>14</v>
      </c>
      <c r="H80" s="2" t="s">
        <v>53</v>
      </c>
      <c r="I80" s="2" t="s">
        <v>63</v>
      </c>
      <c r="J80" s="2" t="s">
        <v>33</v>
      </c>
      <c r="K80" s="2" t="s">
        <v>44</v>
      </c>
      <c r="L80" s="6" t="s">
        <v>392</v>
      </c>
      <c r="M80" s="2">
        <v>19</v>
      </c>
      <c r="N80" s="2">
        <v>16</v>
      </c>
      <c r="O80" s="2">
        <v>84</v>
      </c>
      <c r="P80" s="2">
        <v>663</v>
      </c>
      <c r="Q80" s="2">
        <v>1083</v>
      </c>
      <c r="R80" s="2"/>
      <c r="S80" s="2">
        <v>337</v>
      </c>
      <c r="T80" s="2">
        <v>971</v>
      </c>
      <c r="U80" s="2">
        <v>83</v>
      </c>
      <c r="V80" s="2">
        <v>26</v>
      </c>
      <c r="W80" s="2">
        <v>2570</v>
      </c>
      <c r="X80" s="9">
        <v>958221</v>
      </c>
      <c r="Y80" s="2" t="s">
        <v>36</v>
      </c>
      <c r="AA80" s="1" t="str">
        <f>TRIM(RPG_dataset[[#This Row],[Username]])</f>
        <v>aldric_322</v>
      </c>
      <c r="AB80" s="1" t="str">
        <f>TRIM(RPG_dataset[[#This Row],[First Name]])</f>
        <v>Aldric</v>
      </c>
      <c r="AC80" s="1" t="str">
        <f>PROPER(TRIM(RPG_dataset[[#This Row],[Race]]))</f>
        <v>Dwarf</v>
      </c>
      <c r="AD80" s="1" t="str">
        <f>PROPER(TRIM(RPG_dataset[[#This Row],[Class]]))</f>
        <v>Ranger</v>
      </c>
      <c r="AE80" s="1">
        <f>ABS(RPG_dataset[[#This Row],[Level]])</f>
        <v>14</v>
      </c>
      <c r="AF80" s="1">
        <f>ABS(RPG_dataset[[#This Row],[ATK]])</f>
        <v>19</v>
      </c>
      <c r="AG80" s="1">
        <f>ABS(RPG_dataset[[#This Row],[DEF]])</f>
        <v>16</v>
      </c>
      <c r="AH80" s="1">
        <f>ABS(RPG_dataset[[#This Row],[SPD]])</f>
        <v>84</v>
      </c>
      <c r="AI80" s="1">
        <f>ABS(RPG_dataset[[#This Row],[HP]])</f>
        <v>663</v>
      </c>
      <c r="AJ80" s="1">
        <f>ABS(RPG_dataset[[#This Row],[MP]])</f>
        <v>1083</v>
      </c>
      <c r="AK80" s="1">
        <f>ABS(RPG_dataset[[#This Row],[Total Stat]])</f>
        <v>0</v>
      </c>
      <c r="AL80" s="1">
        <f>ABS(RPG_dataset[[#This Row],[Kills]])</f>
        <v>337</v>
      </c>
      <c r="AM80" s="12">
        <f>ABS(RPG_dataset[[#This Row],[Win Rate (%)]])</f>
        <v>26</v>
      </c>
      <c r="AN80" s="4">
        <f>ABS(RPG_dataset[[#This Row],[Gold Earned]])</f>
        <v>958221</v>
      </c>
      <c r="AO80" s="5" t="str">
        <f t="shared" si="1"/>
        <v>OK</v>
      </c>
      <c r="AP80" s="5">
        <f>RANK(clean[[#This Row],[Clean Gold]],clean[Clean Gold], 0)</f>
        <v>21</v>
      </c>
      <c r="AQ80" s="1">
        <v>175</v>
      </c>
      <c r="AR80" s="1" t="str" cm="1">
        <f t="array" ref="AR80">_xlfn.IFS(clean[[#This Row],[Clean Level]]&gt;=76, "Legend", clean[[#This Row],[Clean Level]]&gt;=51, "Elite", clean[[#This Row],[Clean Level]]&gt;=26, "Veteran", TRUE, "Rookie")</f>
        <v>Rookie</v>
      </c>
      <c r="AS80" s="1" t="str">
        <f>IF(RPG_dataset[[#This Row],[Status]]="Active", "TRUE", "FALSE")</f>
        <v>TRUE</v>
      </c>
      <c r="AT80" s="1" t="str" cm="1">
        <f t="array" ref="AT80">_xlfn.IFS(clean[[#This Row],[Clean Win Rate]]&gt;70, "Excellent", clean[[#This Row],[Clean Win Rate]]&gt;=40, "Average", TRUE, "Poor")</f>
        <v>Poor</v>
      </c>
      <c r="AU80" s="1" t="str">
        <f>IF(AND(clean[[#This Row],[Clean Level]]&gt;80, clean[[#This Row],[Clean Total Stat]]&gt;350, clean[[#This Row],[Clean Gold]]&gt;500000), "Overpowered", "Normal")</f>
        <v>Normal</v>
      </c>
      <c r="AV80" s="1" t="str" cm="1">
        <f t="array" ref="AV8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80" s="1" t="str" cm="1">
        <f t="array" ref="AW8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80" s="1"/>
    </row>
    <row r="81" spans="1:50" x14ac:dyDescent="0.3">
      <c r="A81" s="2" t="s">
        <v>393</v>
      </c>
      <c r="B81" s="2" t="s">
        <v>394</v>
      </c>
      <c r="C81" s="2" t="s">
        <v>58</v>
      </c>
      <c r="D81" s="2" t="s">
        <v>349</v>
      </c>
      <c r="E81" s="2" t="s">
        <v>228</v>
      </c>
      <c r="F81" s="2" t="s">
        <v>61</v>
      </c>
      <c r="G81" s="2">
        <v>6</v>
      </c>
      <c r="H81" s="2" t="s">
        <v>62</v>
      </c>
      <c r="I81" s="2" t="s">
        <v>54</v>
      </c>
      <c r="J81" s="2" t="s">
        <v>111</v>
      </c>
      <c r="K81" s="2" t="s">
        <v>44</v>
      </c>
      <c r="L81" s="6" t="s">
        <v>395</v>
      </c>
      <c r="M81" s="2">
        <v>60</v>
      </c>
      <c r="N81" s="2">
        <v>57</v>
      </c>
      <c r="O81" s="2">
        <v>26</v>
      </c>
      <c r="P81" s="2">
        <v>523</v>
      </c>
      <c r="Q81" s="2">
        <v>2390</v>
      </c>
      <c r="R81" s="2">
        <v>143</v>
      </c>
      <c r="S81" s="2">
        <v>2412</v>
      </c>
      <c r="T81" s="2">
        <v>577</v>
      </c>
      <c r="U81" s="2">
        <v>56</v>
      </c>
      <c r="V81" s="2">
        <v>81</v>
      </c>
      <c r="W81" s="2">
        <v>3074</v>
      </c>
      <c r="X81" s="9">
        <v>663012</v>
      </c>
      <c r="Y81" s="2" t="s">
        <v>36</v>
      </c>
      <c r="AA81" s="1" t="str">
        <f>TRIM(RPG_dataset[[#This Row],[Username]])</f>
        <v>kael_442</v>
      </c>
      <c r="AB81" s="1" t="str">
        <f>TRIM(RPG_dataset[[#This Row],[First Name]])</f>
        <v>Kael</v>
      </c>
      <c r="AC81" s="1" t="str">
        <f>PROPER(TRIM(RPG_dataset[[#This Row],[Race]]))</f>
        <v>Elf</v>
      </c>
      <c r="AD81" s="1" t="str">
        <f>PROPER(TRIM(RPG_dataset[[#This Row],[Class]]))</f>
        <v>Ranger</v>
      </c>
      <c r="AE81" s="1">
        <f>ABS(RPG_dataset[[#This Row],[Level]])</f>
        <v>6</v>
      </c>
      <c r="AF81" s="1">
        <f>ABS(RPG_dataset[[#This Row],[ATK]])</f>
        <v>60</v>
      </c>
      <c r="AG81" s="1">
        <f>ABS(RPG_dataset[[#This Row],[DEF]])</f>
        <v>57</v>
      </c>
      <c r="AH81" s="1">
        <f>ABS(RPG_dataset[[#This Row],[SPD]])</f>
        <v>26</v>
      </c>
      <c r="AI81" s="1">
        <f>ABS(RPG_dataset[[#This Row],[HP]])</f>
        <v>523</v>
      </c>
      <c r="AJ81" s="1">
        <f>ABS(RPG_dataset[[#This Row],[MP]])</f>
        <v>2390</v>
      </c>
      <c r="AK81" s="1">
        <f>ABS(RPG_dataset[[#This Row],[Total Stat]])</f>
        <v>143</v>
      </c>
      <c r="AL81" s="1">
        <f>ABS(RPG_dataset[[#This Row],[Kills]])</f>
        <v>2412</v>
      </c>
      <c r="AM81" s="12">
        <f>ABS(RPG_dataset[[#This Row],[Win Rate (%)]])</f>
        <v>81</v>
      </c>
      <c r="AN81" s="4">
        <f>ABS(RPG_dataset[[#This Row],[Gold Earned]])</f>
        <v>663012</v>
      </c>
      <c r="AO81" s="5" t="str">
        <f t="shared" si="1"/>
        <v>OK</v>
      </c>
      <c r="AP81" s="5">
        <f>RANK(clean[[#This Row],[Clean Gold]],clean[Clean Gold], 0)</f>
        <v>168</v>
      </c>
      <c r="AQ81" s="1">
        <v>126</v>
      </c>
      <c r="AR81" s="1" t="str" cm="1">
        <f t="array" ref="AR81">_xlfn.IFS(clean[[#This Row],[Clean Level]]&gt;=76, "Legend", clean[[#This Row],[Clean Level]]&gt;=51, "Elite", clean[[#This Row],[Clean Level]]&gt;=26, "Veteran", TRUE, "Rookie")</f>
        <v>Rookie</v>
      </c>
      <c r="AS81" s="1" t="str">
        <f>IF(RPG_dataset[[#This Row],[Status]]="Active", "TRUE", "FALSE")</f>
        <v>TRUE</v>
      </c>
      <c r="AT81" s="1" t="str" cm="1">
        <f t="array" ref="AT81">_xlfn.IFS(clean[[#This Row],[Clean Win Rate]]&gt;70, "Excellent", clean[[#This Row],[Clean Win Rate]]&gt;=40, "Average", TRUE, "Poor")</f>
        <v>Excellent</v>
      </c>
      <c r="AU81" s="1" t="str">
        <f>IF(AND(clean[[#This Row],[Clean Level]]&gt;80, clean[[#This Row],[Clean Total Stat]]&gt;350, clean[[#This Row],[Clean Gold]]&gt;500000), "Overpowered", "Normal")</f>
        <v>Normal</v>
      </c>
      <c r="AV81" s="1" t="str" cm="1">
        <f t="array" ref="AV8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81" s="1" t="str" cm="1">
        <f t="array" ref="AW8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81" s="1"/>
    </row>
    <row r="82" spans="1:50" x14ac:dyDescent="0.3">
      <c r="A82" s="2" t="s">
        <v>396</v>
      </c>
      <c r="B82" s="2" t="s">
        <v>397</v>
      </c>
      <c r="C82" s="2" t="s">
        <v>276</v>
      </c>
      <c r="D82" s="2" t="s">
        <v>139</v>
      </c>
      <c r="E82" s="2" t="s">
        <v>105</v>
      </c>
      <c r="F82" s="2" t="s">
        <v>145</v>
      </c>
      <c r="G82" s="2">
        <v>21</v>
      </c>
      <c r="H82" s="2" t="s">
        <v>157</v>
      </c>
      <c r="I82" s="2" t="s">
        <v>126</v>
      </c>
      <c r="J82" s="2" t="s">
        <v>120</v>
      </c>
      <c r="K82" s="2" t="s">
        <v>106</v>
      </c>
      <c r="L82" s="6" t="s">
        <v>398</v>
      </c>
      <c r="M82" s="2">
        <v>51</v>
      </c>
      <c r="N82" s="2">
        <v>114</v>
      </c>
      <c r="O82" s="2">
        <v>40</v>
      </c>
      <c r="P82" s="2">
        <v>2864</v>
      </c>
      <c r="Q82" s="2">
        <v>1943</v>
      </c>
      <c r="R82" s="2">
        <v>205</v>
      </c>
      <c r="S82" s="2">
        <v>4637</v>
      </c>
      <c r="T82" s="2">
        <v>354</v>
      </c>
      <c r="U82" s="2">
        <v>244</v>
      </c>
      <c r="V82" s="2">
        <v>93</v>
      </c>
      <c r="W82" s="2">
        <v>1325</v>
      </c>
      <c r="X82" s="9">
        <v>323751</v>
      </c>
      <c r="Y82" s="2" t="s">
        <v>36</v>
      </c>
      <c r="AA82" s="1" t="str">
        <f>TRIM(RPG_dataset[[#This Row],[Username]])</f>
        <v>brynn_449</v>
      </c>
      <c r="AB82" s="1" t="str">
        <f>TRIM(RPG_dataset[[#This Row],[First Name]])</f>
        <v>Brynn</v>
      </c>
      <c r="AC82" s="1" t="str">
        <f>PROPER(TRIM(RPG_dataset[[#This Row],[Race]]))</f>
        <v>Orc</v>
      </c>
      <c r="AD82" s="1" t="str">
        <f>PROPER(TRIM(RPG_dataset[[#This Row],[Class]]))</f>
        <v>Ranger</v>
      </c>
      <c r="AE82" s="1">
        <f>ABS(RPG_dataset[[#This Row],[Level]])</f>
        <v>21</v>
      </c>
      <c r="AF82" s="1">
        <f>ABS(RPG_dataset[[#This Row],[ATK]])</f>
        <v>51</v>
      </c>
      <c r="AG82" s="1">
        <f>ABS(RPG_dataset[[#This Row],[DEF]])</f>
        <v>114</v>
      </c>
      <c r="AH82" s="1">
        <f>ABS(RPG_dataset[[#This Row],[SPD]])</f>
        <v>40</v>
      </c>
      <c r="AI82" s="1">
        <f>ABS(RPG_dataset[[#This Row],[HP]])</f>
        <v>2864</v>
      </c>
      <c r="AJ82" s="1">
        <f>ABS(RPG_dataset[[#This Row],[MP]])</f>
        <v>1943</v>
      </c>
      <c r="AK82" s="1">
        <f>ABS(RPG_dataset[[#This Row],[Total Stat]])</f>
        <v>205</v>
      </c>
      <c r="AL82" s="1">
        <f>ABS(RPG_dataset[[#This Row],[Kills]])</f>
        <v>4637</v>
      </c>
      <c r="AM82" s="12">
        <f>ABS(RPG_dataset[[#This Row],[Win Rate (%)]])</f>
        <v>93</v>
      </c>
      <c r="AN82" s="4">
        <f>ABS(RPG_dataset[[#This Row],[Gold Earned]])</f>
        <v>323751</v>
      </c>
      <c r="AO82" s="5" t="str">
        <f t="shared" si="1"/>
        <v>OK</v>
      </c>
      <c r="AP82" s="5">
        <f>RANK(clean[[#This Row],[Clean Gold]],clean[Clean Gold], 0)</f>
        <v>345</v>
      </c>
      <c r="AQ82" s="1">
        <v>181</v>
      </c>
      <c r="AR82" s="1" t="str" cm="1">
        <f t="array" ref="AR82">_xlfn.IFS(clean[[#This Row],[Clean Level]]&gt;=76, "Legend", clean[[#This Row],[Clean Level]]&gt;=51, "Elite", clean[[#This Row],[Clean Level]]&gt;=26, "Veteran", TRUE, "Rookie")</f>
        <v>Rookie</v>
      </c>
      <c r="AS82" s="1" t="str">
        <f>IF(RPG_dataset[[#This Row],[Status]]="Active", "TRUE", "FALSE")</f>
        <v>FALSE</v>
      </c>
      <c r="AT82" s="1" t="str" cm="1">
        <f t="array" ref="AT82">_xlfn.IFS(clean[[#This Row],[Clean Win Rate]]&gt;70, "Excellent", clean[[#This Row],[Clean Win Rate]]&gt;=40, "Average", TRUE, "Poor")</f>
        <v>Excellent</v>
      </c>
      <c r="AU82" s="1" t="str">
        <f>IF(AND(clean[[#This Row],[Clean Level]]&gt;80, clean[[#This Row],[Clean Total Stat]]&gt;350, clean[[#This Row],[Clean Gold]]&gt;500000), "Overpowered", "Normal")</f>
        <v>Normal</v>
      </c>
      <c r="AV82" s="1" t="str" cm="1">
        <f t="array" ref="AV8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82" s="1" t="str" cm="1">
        <f t="array" ref="AW8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82" s="1"/>
    </row>
    <row r="83" spans="1:50" x14ac:dyDescent="0.3">
      <c r="A83" s="2" t="s">
        <v>399</v>
      </c>
      <c r="B83" s="2" t="s">
        <v>400</v>
      </c>
      <c r="C83" s="2" t="s">
        <v>238</v>
      </c>
      <c r="D83" s="2" t="s">
        <v>401</v>
      </c>
      <c r="E83" s="2" t="s">
        <v>51</v>
      </c>
      <c r="F83" s="2" t="s">
        <v>52</v>
      </c>
      <c r="G83" s="2"/>
      <c r="H83" s="2" t="s">
        <v>31</v>
      </c>
      <c r="I83" s="2" t="s">
        <v>63</v>
      </c>
      <c r="J83" s="2" t="s">
        <v>163</v>
      </c>
      <c r="K83" s="2" t="s">
        <v>34</v>
      </c>
      <c r="L83" s="6" t="s">
        <v>402</v>
      </c>
      <c r="M83" s="2">
        <v>27</v>
      </c>
      <c r="N83" s="2">
        <v>40</v>
      </c>
      <c r="O83" s="2">
        <v>126</v>
      </c>
      <c r="P83" s="2">
        <v>1331</v>
      </c>
      <c r="Q83" s="2">
        <v>2652</v>
      </c>
      <c r="R83" s="2">
        <v>193</v>
      </c>
      <c r="S83" s="2">
        <v>4353</v>
      </c>
      <c r="T83" s="2">
        <v>781</v>
      </c>
      <c r="U83" s="2">
        <v>230</v>
      </c>
      <c r="V83" s="2">
        <v>85</v>
      </c>
      <c r="W83" s="2">
        <v>1690</v>
      </c>
      <c r="X83" s="9">
        <v>427075</v>
      </c>
      <c r="Y83" s="2" t="s">
        <v>46</v>
      </c>
      <c r="AA83" s="1" t="str">
        <f>TRIM(RPG_dataset[[#This Row],[Username]])</f>
        <v>cael_842</v>
      </c>
      <c r="AB83" s="1" t="str">
        <f>TRIM(RPG_dataset[[#This Row],[First Name]])</f>
        <v>Cael</v>
      </c>
      <c r="AC83" s="1" t="str">
        <f>PROPER(TRIM(RPG_dataset[[#This Row],[Race]]))</f>
        <v>Tiefling</v>
      </c>
      <c r="AD83" s="1" t="str">
        <f>PROPER(TRIM(RPG_dataset[[#This Row],[Class]]))</f>
        <v>Bard</v>
      </c>
      <c r="AE83" s="1">
        <f>ABS(RPG_dataset[[#This Row],[Level]])</f>
        <v>0</v>
      </c>
      <c r="AF83" s="1">
        <f>ABS(RPG_dataset[[#This Row],[ATK]])</f>
        <v>27</v>
      </c>
      <c r="AG83" s="1">
        <f>ABS(RPG_dataset[[#This Row],[DEF]])</f>
        <v>40</v>
      </c>
      <c r="AH83" s="1">
        <f>ABS(RPG_dataset[[#This Row],[SPD]])</f>
        <v>126</v>
      </c>
      <c r="AI83" s="1">
        <f>ABS(RPG_dataset[[#This Row],[HP]])</f>
        <v>1331</v>
      </c>
      <c r="AJ83" s="1">
        <f>ABS(RPG_dataset[[#This Row],[MP]])</f>
        <v>2652</v>
      </c>
      <c r="AK83" s="1">
        <f>ABS(RPG_dataset[[#This Row],[Total Stat]])</f>
        <v>193</v>
      </c>
      <c r="AL83" s="1">
        <f>ABS(RPG_dataset[[#This Row],[Kills]])</f>
        <v>4353</v>
      </c>
      <c r="AM83" s="12">
        <f>ABS(RPG_dataset[[#This Row],[Win Rate (%)]])</f>
        <v>85</v>
      </c>
      <c r="AN83" s="4">
        <f>ABS(RPG_dataset[[#This Row],[Gold Earned]])</f>
        <v>427075</v>
      </c>
      <c r="AO83" s="5" t="str">
        <f t="shared" si="1"/>
        <v>OK</v>
      </c>
      <c r="AP83" s="5">
        <f>RANK(clean[[#This Row],[Clean Gold]],clean[Clean Gold], 0)</f>
        <v>291</v>
      </c>
      <c r="AQ83" s="1"/>
      <c r="AR83" s="1" t="str" cm="1">
        <f t="array" ref="AR83">_xlfn.IFS(clean[[#This Row],[Clean Level]]&gt;=76, "Legend", clean[[#This Row],[Clean Level]]&gt;=51, "Elite", clean[[#This Row],[Clean Level]]&gt;=26, "Veteran", TRUE, "Rookie")</f>
        <v>Rookie</v>
      </c>
      <c r="AS83" s="1" t="str">
        <f>IF(RPG_dataset[[#This Row],[Status]]="Active", "TRUE", "FALSE")</f>
        <v>FALSE</v>
      </c>
      <c r="AT83" s="1" t="str" cm="1">
        <f t="array" ref="AT83">_xlfn.IFS(clean[[#This Row],[Clean Win Rate]]&gt;70, "Excellent", clean[[#This Row],[Clean Win Rate]]&gt;=40, "Average", TRUE, "Poor")</f>
        <v>Excellent</v>
      </c>
      <c r="AU83" s="1" t="str">
        <f>IF(AND(clean[[#This Row],[Clean Level]]&gt;80, clean[[#This Row],[Clean Total Stat]]&gt;350, clean[[#This Row],[Clean Gold]]&gt;500000), "Overpowered", "Normal")</f>
        <v>Normal</v>
      </c>
      <c r="AV83" s="1" t="str" cm="1">
        <f t="array" ref="AV8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83" s="1" t="str" cm="1">
        <f t="array" ref="AW8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83" s="1"/>
    </row>
    <row r="84" spans="1:50" x14ac:dyDescent="0.3">
      <c r="A84" s="2" t="s">
        <v>403</v>
      </c>
      <c r="B84" s="2" t="s">
        <v>404</v>
      </c>
      <c r="C84" s="2" t="s">
        <v>339</v>
      </c>
      <c r="D84" s="2" t="s">
        <v>254</v>
      </c>
      <c r="E84" s="2" t="s">
        <v>51</v>
      </c>
      <c r="F84" s="2" t="s">
        <v>52</v>
      </c>
      <c r="G84" s="2">
        <v>1</v>
      </c>
      <c r="H84" s="2" t="s">
        <v>157</v>
      </c>
      <c r="I84" s="2" t="s">
        <v>74</v>
      </c>
      <c r="J84" s="2" t="s">
        <v>163</v>
      </c>
      <c r="K84" s="2" t="s">
        <v>44</v>
      </c>
      <c r="L84" s="6" t="s">
        <v>405</v>
      </c>
      <c r="M84" s="2">
        <v>55</v>
      </c>
      <c r="N84" s="2">
        <v>48</v>
      </c>
      <c r="O84" s="2">
        <v>88</v>
      </c>
      <c r="P84" s="2">
        <v>4591</v>
      </c>
      <c r="Q84" s="2">
        <v>2348</v>
      </c>
      <c r="R84" s="2">
        <v>191</v>
      </c>
      <c r="S84" s="2">
        <v>3841</v>
      </c>
      <c r="T84" s="2">
        <v>398</v>
      </c>
      <c r="U84" s="2">
        <v>195</v>
      </c>
      <c r="V84" s="2">
        <v>91</v>
      </c>
      <c r="W84" s="2">
        <v>7754</v>
      </c>
      <c r="X84" s="9">
        <v>681262</v>
      </c>
      <c r="Y84" s="2" t="s">
        <v>46</v>
      </c>
      <c r="AA84" s="1" t="str">
        <f>TRIM(RPG_dataset[[#This Row],[Username]])</f>
        <v>drak_755</v>
      </c>
      <c r="AB84" s="1" t="str">
        <f>TRIM(RPG_dataset[[#This Row],[First Name]])</f>
        <v>Drak</v>
      </c>
      <c r="AC84" s="1" t="str">
        <f>PROPER(TRIM(RPG_dataset[[#This Row],[Race]]))</f>
        <v>Tiefling</v>
      </c>
      <c r="AD84" s="1" t="str">
        <f>PROPER(TRIM(RPG_dataset[[#This Row],[Class]]))</f>
        <v>Bard</v>
      </c>
      <c r="AE84" s="1">
        <f>ABS(RPG_dataset[[#This Row],[Level]])</f>
        <v>1</v>
      </c>
      <c r="AF84" s="1">
        <f>ABS(RPG_dataset[[#This Row],[ATK]])</f>
        <v>55</v>
      </c>
      <c r="AG84" s="1">
        <f>ABS(RPG_dataset[[#This Row],[DEF]])</f>
        <v>48</v>
      </c>
      <c r="AH84" s="1">
        <f>ABS(RPG_dataset[[#This Row],[SPD]])</f>
        <v>88</v>
      </c>
      <c r="AI84" s="1">
        <f>ABS(RPG_dataset[[#This Row],[HP]])</f>
        <v>4591</v>
      </c>
      <c r="AJ84" s="1">
        <f>ABS(RPG_dataset[[#This Row],[MP]])</f>
        <v>2348</v>
      </c>
      <c r="AK84" s="1">
        <f>ABS(RPG_dataset[[#This Row],[Total Stat]])</f>
        <v>191</v>
      </c>
      <c r="AL84" s="1">
        <f>ABS(RPG_dataset[[#This Row],[Kills]])</f>
        <v>3841</v>
      </c>
      <c r="AM84" s="12">
        <f>ABS(RPG_dataset[[#This Row],[Win Rate (%)]])</f>
        <v>91</v>
      </c>
      <c r="AN84" s="4">
        <f>ABS(RPG_dataset[[#This Row],[Gold Earned]])</f>
        <v>681262</v>
      </c>
      <c r="AO84" s="5" t="str">
        <f t="shared" si="1"/>
        <v>OK</v>
      </c>
      <c r="AP84" s="5">
        <f>RANK(clean[[#This Row],[Clean Gold]],clean[Clean Gold], 0)</f>
        <v>159</v>
      </c>
      <c r="AQ84" s="1">
        <v>-236</v>
      </c>
      <c r="AR84" s="1" t="str" cm="1">
        <f t="array" ref="AR84">_xlfn.IFS(clean[[#This Row],[Clean Level]]&gt;=76, "Legend", clean[[#This Row],[Clean Level]]&gt;=51, "Elite", clean[[#This Row],[Clean Level]]&gt;=26, "Veteran", TRUE, "Rookie")</f>
        <v>Rookie</v>
      </c>
      <c r="AS84" s="1" t="str">
        <f>IF(RPG_dataset[[#This Row],[Status]]="Active", "TRUE", "FALSE")</f>
        <v>TRUE</v>
      </c>
      <c r="AT84" s="1" t="str" cm="1">
        <f t="array" ref="AT84">_xlfn.IFS(clean[[#This Row],[Clean Win Rate]]&gt;70, "Excellent", clean[[#This Row],[Clean Win Rate]]&gt;=40, "Average", TRUE, "Poor")</f>
        <v>Excellent</v>
      </c>
      <c r="AU84" s="1" t="str">
        <f>IF(AND(clean[[#This Row],[Clean Level]]&gt;80, clean[[#This Row],[Clean Total Stat]]&gt;350, clean[[#This Row],[Clean Gold]]&gt;500000), "Overpowered", "Normal")</f>
        <v>Normal</v>
      </c>
      <c r="AV84" s="1" t="str" cm="1">
        <f t="array" ref="AV8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84" s="1" t="str" cm="1">
        <f t="array" ref="AW8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84" s="1"/>
    </row>
    <row r="85" spans="1:50" x14ac:dyDescent="0.3">
      <c r="A85" s="2" t="s">
        <v>406</v>
      </c>
      <c r="B85" s="2" t="s">
        <v>407</v>
      </c>
      <c r="C85" s="2" t="s">
        <v>167</v>
      </c>
      <c r="D85" s="2" t="s">
        <v>59</v>
      </c>
      <c r="E85" s="2" t="s">
        <v>60</v>
      </c>
      <c r="F85" s="2" t="s">
        <v>194</v>
      </c>
      <c r="G85" s="2">
        <v>87</v>
      </c>
      <c r="H85" s="2" t="s">
        <v>73</v>
      </c>
      <c r="I85" s="2" t="s">
        <v>32</v>
      </c>
      <c r="J85" s="2" t="s">
        <v>33</v>
      </c>
      <c r="K85" s="2" t="s">
        <v>106</v>
      </c>
      <c r="L85" s="6" t="s">
        <v>408</v>
      </c>
      <c r="M85" s="2">
        <v>30</v>
      </c>
      <c r="N85" s="2">
        <v>78</v>
      </c>
      <c r="O85" s="2">
        <v>14</v>
      </c>
      <c r="P85" s="2">
        <v>3662</v>
      </c>
      <c r="Q85" s="2">
        <v>955</v>
      </c>
      <c r="R85" s="2">
        <v>122</v>
      </c>
      <c r="S85" s="2">
        <v>2589</v>
      </c>
      <c r="T85" s="2">
        <v>389</v>
      </c>
      <c r="U85" s="2">
        <v>224</v>
      </c>
      <c r="V85" s="2">
        <v>87</v>
      </c>
      <c r="W85" s="2"/>
      <c r="X85" s="9">
        <v>759563</v>
      </c>
      <c r="Y85" s="2" t="s">
        <v>46</v>
      </c>
      <c r="AA85" s="1" t="str">
        <f>TRIM(RPG_dataset[[#This Row],[Username]])</f>
        <v>tilda_216</v>
      </c>
      <c r="AB85" s="1" t="str">
        <f>TRIM(RPG_dataset[[#This Row],[First Name]])</f>
        <v>Tilda</v>
      </c>
      <c r="AC85" s="1" t="str">
        <f>PROPER(TRIM(RPG_dataset[[#This Row],[Race]]))</f>
        <v>Human</v>
      </c>
      <c r="AD85" s="1" t="str">
        <f>PROPER(TRIM(RPG_dataset[[#This Row],[Class]]))</f>
        <v>Paladin</v>
      </c>
      <c r="AE85" s="1">
        <f>ABS(RPG_dataset[[#This Row],[Level]])</f>
        <v>87</v>
      </c>
      <c r="AF85" s="1">
        <f>ABS(RPG_dataset[[#This Row],[ATK]])</f>
        <v>30</v>
      </c>
      <c r="AG85" s="1">
        <f>ABS(RPG_dataset[[#This Row],[DEF]])</f>
        <v>78</v>
      </c>
      <c r="AH85" s="1">
        <f>ABS(RPG_dataset[[#This Row],[SPD]])</f>
        <v>14</v>
      </c>
      <c r="AI85" s="1">
        <f>ABS(RPG_dataset[[#This Row],[HP]])</f>
        <v>3662</v>
      </c>
      <c r="AJ85" s="1">
        <f>ABS(RPG_dataset[[#This Row],[MP]])</f>
        <v>955</v>
      </c>
      <c r="AK85" s="1">
        <f>ABS(RPG_dataset[[#This Row],[Total Stat]])</f>
        <v>122</v>
      </c>
      <c r="AL85" s="1">
        <f>ABS(RPG_dataset[[#This Row],[Kills]])</f>
        <v>2589</v>
      </c>
      <c r="AM85" s="12">
        <f>ABS(RPG_dataset[[#This Row],[Win Rate (%)]])</f>
        <v>87</v>
      </c>
      <c r="AN85" s="4">
        <f>ABS(RPG_dataset[[#This Row],[Gold Earned]])</f>
        <v>759563</v>
      </c>
      <c r="AO85" s="5" t="str">
        <f t="shared" si="1"/>
        <v>OK</v>
      </c>
      <c r="AP85" s="5">
        <f>RANK(clean[[#This Row],[Clean Gold]],clean[Clean Gold], 0)</f>
        <v>125</v>
      </c>
      <c r="AQ85" s="1">
        <v>284</v>
      </c>
      <c r="AR85" s="1" t="str" cm="1">
        <f t="array" ref="AR85">_xlfn.IFS(clean[[#This Row],[Clean Level]]&gt;=76, "Legend", clean[[#This Row],[Clean Level]]&gt;=51, "Elite", clean[[#This Row],[Clean Level]]&gt;=26, "Veteran", TRUE, "Rookie")</f>
        <v>Legend</v>
      </c>
      <c r="AS85" s="1" t="str">
        <f>IF(RPG_dataset[[#This Row],[Status]]="Active", "TRUE", "FALSE")</f>
        <v>FALSE</v>
      </c>
      <c r="AT85" s="1" t="str" cm="1">
        <f t="array" ref="AT85">_xlfn.IFS(clean[[#This Row],[Clean Win Rate]]&gt;70, "Excellent", clean[[#This Row],[Clean Win Rate]]&gt;=40, "Average", TRUE, "Poor")</f>
        <v>Excellent</v>
      </c>
      <c r="AU85" s="1" t="str">
        <f>IF(AND(clean[[#This Row],[Clean Level]]&gt;80, clean[[#This Row],[Clean Total Stat]]&gt;350, clean[[#This Row],[Clean Gold]]&gt;500000), "Overpowered", "Normal")</f>
        <v>Normal</v>
      </c>
      <c r="AV85" s="1" t="str" cm="1">
        <f t="array" ref="AV8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85" s="1" t="str" cm="1">
        <f t="array" ref="AW8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85" s="1"/>
    </row>
    <row r="86" spans="1:50" x14ac:dyDescent="0.3">
      <c r="A86" s="2" t="s">
        <v>409</v>
      </c>
      <c r="B86" s="2" t="s">
        <v>410</v>
      </c>
      <c r="C86" s="2" t="s">
        <v>118</v>
      </c>
      <c r="D86" s="2" t="s">
        <v>75</v>
      </c>
      <c r="E86" s="2" t="s">
        <v>71</v>
      </c>
      <c r="F86" s="2" t="s">
        <v>75</v>
      </c>
      <c r="G86" s="2">
        <v>-31</v>
      </c>
      <c r="H86" s="2" t="s">
        <v>125</v>
      </c>
      <c r="I86" s="2" t="s">
        <v>54</v>
      </c>
      <c r="J86" s="2" t="s">
        <v>92</v>
      </c>
      <c r="K86" s="2" t="s">
        <v>106</v>
      </c>
      <c r="L86" s="6" t="s">
        <v>411</v>
      </c>
      <c r="M86" s="2">
        <v>71</v>
      </c>
      <c r="N86" s="2">
        <v>27</v>
      </c>
      <c r="O86" s="2">
        <v>18</v>
      </c>
      <c r="P86" s="2">
        <v>4401</v>
      </c>
      <c r="Q86" s="2">
        <v>2028</v>
      </c>
      <c r="R86" s="2">
        <v>116</v>
      </c>
      <c r="S86" s="2">
        <v>4217</v>
      </c>
      <c r="T86" s="2">
        <v>786</v>
      </c>
      <c r="U86" s="2">
        <v>299</v>
      </c>
      <c r="V86" s="2">
        <v>84</v>
      </c>
      <c r="W86" s="2">
        <v>3538</v>
      </c>
      <c r="X86" s="9">
        <v>809708</v>
      </c>
      <c r="Y86" s="2" t="s">
        <v>46</v>
      </c>
      <c r="AA86" s="1" t="str">
        <f>TRIM(RPG_dataset[[#This Row],[Username]])</f>
        <v>ivan_846</v>
      </c>
      <c r="AB86" s="1" t="str">
        <f>TRIM(RPG_dataset[[#This Row],[First Name]])</f>
        <v>Ivan</v>
      </c>
      <c r="AC86" s="1" t="str">
        <f>PROPER(TRIM(RPG_dataset[[#This Row],[Race]]))</f>
        <v>Dragonborn</v>
      </c>
      <c r="AD86" s="1" t="str">
        <f>PROPER(TRIM(RPG_dataset[[#This Row],[Class]]))</f>
        <v/>
      </c>
      <c r="AE86" s="1">
        <f>ABS(RPG_dataset[[#This Row],[Level]])</f>
        <v>31</v>
      </c>
      <c r="AF86" s="1">
        <f>ABS(RPG_dataset[[#This Row],[ATK]])</f>
        <v>71</v>
      </c>
      <c r="AG86" s="1">
        <f>ABS(RPG_dataset[[#This Row],[DEF]])</f>
        <v>27</v>
      </c>
      <c r="AH86" s="1">
        <f>ABS(RPG_dataset[[#This Row],[SPD]])</f>
        <v>18</v>
      </c>
      <c r="AI86" s="1">
        <f>ABS(RPG_dataset[[#This Row],[HP]])</f>
        <v>4401</v>
      </c>
      <c r="AJ86" s="1">
        <f>ABS(RPG_dataset[[#This Row],[MP]])</f>
        <v>2028</v>
      </c>
      <c r="AK86" s="1">
        <f>ABS(RPG_dataset[[#This Row],[Total Stat]])</f>
        <v>116</v>
      </c>
      <c r="AL86" s="1">
        <f>ABS(RPG_dataset[[#This Row],[Kills]])</f>
        <v>4217</v>
      </c>
      <c r="AM86" s="12">
        <f>ABS(RPG_dataset[[#This Row],[Win Rate (%)]])</f>
        <v>84</v>
      </c>
      <c r="AN86" s="4">
        <f>ABS(RPG_dataset[[#This Row],[Gold Earned]])</f>
        <v>809708</v>
      </c>
      <c r="AO86" s="5" t="str">
        <f t="shared" si="1"/>
        <v>OK</v>
      </c>
      <c r="AP86" s="5">
        <f>RANK(clean[[#This Row],[Clean Gold]],clean[Clean Gold], 0)</f>
        <v>100</v>
      </c>
      <c r="AQ86" s="1">
        <v>98</v>
      </c>
      <c r="AR86" s="1" t="str" cm="1">
        <f t="array" ref="AR86">_xlfn.IFS(clean[[#This Row],[Clean Level]]&gt;=76, "Legend", clean[[#This Row],[Clean Level]]&gt;=51, "Elite", clean[[#This Row],[Clean Level]]&gt;=26, "Veteran", TRUE, "Rookie")</f>
        <v>Veteran</v>
      </c>
      <c r="AS86" s="1" t="str">
        <f>IF(RPG_dataset[[#This Row],[Status]]="Active", "TRUE", "FALSE")</f>
        <v>FALSE</v>
      </c>
      <c r="AT86" s="1" t="str" cm="1">
        <f t="array" ref="AT86">_xlfn.IFS(clean[[#This Row],[Clean Win Rate]]&gt;70, "Excellent", clean[[#This Row],[Clean Win Rate]]&gt;=40, "Average", TRUE, "Poor")</f>
        <v>Excellent</v>
      </c>
      <c r="AU86" s="1" t="str">
        <f>IF(AND(clean[[#This Row],[Clean Level]]&gt;80, clean[[#This Row],[Clean Total Stat]]&gt;350, clean[[#This Row],[Clean Gold]]&gt;500000), "Overpowered", "Normal")</f>
        <v>Normal</v>
      </c>
      <c r="AV86" s="1" t="str" cm="1">
        <f t="array" ref="AV8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86" s="1" t="str" cm="1">
        <f t="array" ref="AW8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86" s="1"/>
    </row>
    <row r="87" spans="1:50" x14ac:dyDescent="0.3">
      <c r="A87" s="2" t="s">
        <v>412</v>
      </c>
      <c r="B87" s="2" t="s">
        <v>413</v>
      </c>
      <c r="C87" s="2" t="s">
        <v>110</v>
      </c>
      <c r="D87" s="2" t="s">
        <v>414</v>
      </c>
      <c r="E87" s="2" t="s">
        <v>60</v>
      </c>
      <c r="F87" s="2" t="s">
        <v>124</v>
      </c>
      <c r="G87" s="2">
        <v>21</v>
      </c>
      <c r="H87" s="2" t="s">
        <v>62</v>
      </c>
      <c r="I87" s="2" t="s">
        <v>54</v>
      </c>
      <c r="J87" s="2" t="s">
        <v>81</v>
      </c>
      <c r="K87" s="2" t="s">
        <v>99</v>
      </c>
      <c r="L87" s="6" t="s">
        <v>415</v>
      </c>
      <c r="M87" s="2">
        <v>125</v>
      </c>
      <c r="N87" s="2">
        <v>141</v>
      </c>
      <c r="O87" s="2">
        <v>39</v>
      </c>
      <c r="P87" s="2">
        <v>2390</v>
      </c>
      <c r="Q87" s="2">
        <v>2139</v>
      </c>
      <c r="R87" s="2">
        <v>305</v>
      </c>
      <c r="S87" s="2">
        <v>1406</v>
      </c>
      <c r="T87" s="2">
        <v>506</v>
      </c>
      <c r="U87" s="2">
        <v>28</v>
      </c>
      <c r="V87" s="2">
        <v>74</v>
      </c>
      <c r="W87" s="2">
        <v>-5054</v>
      </c>
      <c r="X87" s="9">
        <v>456301</v>
      </c>
      <c r="Y87" s="2" t="s">
        <v>36</v>
      </c>
      <c r="AA87" s="1" t="str">
        <f>TRIM(RPG_dataset[[#This Row],[Username]])</f>
        <v>tara_475</v>
      </c>
      <c r="AB87" s="1" t="str">
        <f>TRIM(RPG_dataset[[#This Row],[First Name]])</f>
        <v>Tara</v>
      </c>
      <c r="AC87" s="1" t="str">
        <f>PROPER(TRIM(RPG_dataset[[#This Row],[Race]]))</f>
        <v>Human</v>
      </c>
      <c r="AD87" s="1" t="str">
        <f>PROPER(TRIM(RPG_dataset[[#This Row],[Class]]))</f>
        <v>Necromancer</v>
      </c>
      <c r="AE87" s="1">
        <f>ABS(RPG_dataset[[#This Row],[Level]])</f>
        <v>21</v>
      </c>
      <c r="AF87" s="1">
        <f>ABS(RPG_dataset[[#This Row],[ATK]])</f>
        <v>125</v>
      </c>
      <c r="AG87" s="1">
        <f>ABS(RPG_dataset[[#This Row],[DEF]])</f>
        <v>141</v>
      </c>
      <c r="AH87" s="1">
        <f>ABS(RPG_dataset[[#This Row],[SPD]])</f>
        <v>39</v>
      </c>
      <c r="AI87" s="1">
        <f>ABS(RPG_dataset[[#This Row],[HP]])</f>
        <v>2390</v>
      </c>
      <c r="AJ87" s="1">
        <f>ABS(RPG_dataset[[#This Row],[MP]])</f>
        <v>2139</v>
      </c>
      <c r="AK87" s="1">
        <f>ABS(RPG_dataset[[#This Row],[Total Stat]])</f>
        <v>305</v>
      </c>
      <c r="AL87" s="1">
        <f>ABS(RPG_dataset[[#This Row],[Kills]])</f>
        <v>1406</v>
      </c>
      <c r="AM87" s="12">
        <f>ABS(RPG_dataset[[#This Row],[Win Rate (%)]])</f>
        <v>74</v>
      </c>
      <c r="AN87" s="4">
        <f>ABS(RPG_dataset[[#This Row],[Gold Earned]])</f>
        <v>456301</v>
      </c>
      <c r="AO87" s="5" t="str">
        <f t="shared" si="1"/>
        <v>OK</v>
      </c>
      <c r="AP87" s="5">
        <f>RANK(clean[[#This Row],[Clean Gold]],clean[Clean Gold], 0)</f>
        <v>273</v>
      </c>
      <c r="AQ87" s="1">
        <v>271</v>
      </c>
      <c r="AR87" s="1" t="str" cm="1">
        <f t="array" ref="AR87">_xlfn.IFS(clean[[#This Row],[Clean Level]]&gt;=76, "Legend", clean[[#This Row],[Clean Level]]&gt;=51, "Elite", clean[[#This Row],[Clean Level]]&gt;=26, "Veteran", TRUE, "Rookie")</f>
        <v>Rookie</v>
      </c>
      <c r="AS87" s="1" t="str">
        <f>IF(RPG_dataset[[#This Row],[Status]]="Active", "TRUE", "FALSE")</f>
        <v>FALSE</v>
      </c>
      <c r="AT87" s="1" t="str" cm="1">
        <f t="array" ref="AT87">_xlfn.IFS(clean[[#This Row],[Clean Win Rate]]&gt;70, "Excellent", clean[[#This Row],[Clean Win Rate]]&gt;=40, "Average", TRUE, "Poor")</f>
        <v>Excellent</v>
      </c>
      <c r="AU87" s="1" t="str">
        <f>IF(AND(clean[[#This Row],[Clean Level]]&gt;80, clean[[#This Row],[Clean Total Stat]]&gt;350, clean[[#This Row],[Clean Gold]]&gt;500000), "Overpowered", "Normal")</f>
        <v>Normal</v>
      </c>
      <c r="AV87" s="1" t="str" cm="1">
        <f t="array" ref="AV8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87" s="1" t="str" cm="1">
        <f t="array" ref="AW8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87" s="1"/>
    </row>
    <row r="88" spans="1:50" x14ac:dyDescent="0.3">
      <c r="A88" s="2" t="s">
        <v>416</v>
      </c>
      <c r="B88" s="2" t="s">
        <v>417</v>
      </c>
      <c r="C88" s="2" t="s">
        <v>58</v>
      </c>
      <c r="D88" s="2" t="s">
        <v>59</v>
      </c>
      <c r="E88" s="2" t="s">
        <v>71</v>
      </c>
      <c r="F88" s="2" t="s">
        <v>98</v>
      </c>
      <c r="G88" s="2">
        <v>43</v>
      </c>
      <c r="H88" s="2" t="s">
        <v>62</v>
      </c>
      <c r="I88" s="2" t="s">
        <v>87</v>
      </c>
      <c r="J88" s="2" t="s">
        <v>81</v>
      </c>
      <c r="K88" s="2" t="s">
        <v>44</v>
      </c>
      <c r="L88" s="6" t="s">
        <v>418</v>
      </c>
      <c r="M88" s="2">
        <v>12</v>
      </c>
      <c r="N88" s="2">
        <v>92</v>
      </c>
      <c r="O88" s="2">
        <v>75</v>
      </c>
      <c r="P88" s="2">
        <v>4908</v>
      </c>
      <c r="Q88" s="2">
        <v>486</v>
      </c>
      <c r="R88" s="2">
        <v>179</v>
      </c>
      <c r="S88" s="2">
        <v>4210</v>
      </c>
      <c r="T88" s="2">
        <v>460</v>
      </c>
      <c r="U88" s="2">
        <v>235</v>
      </c>
      <c r="V88" s="2">
        <v>90</v>
      </c>
      <c r="W88" s="2">
        <v>3122</v>
      </c>
      <c r="X88" s="9">
        <v>552192</v>
      </c>
      <c r="Y88" s="2" t="s">
        <v>36</v>
      </c>
      <c r="AA88" s="1" t="str">
        <f>TRIM(RPG_dataset[[#This Row],[Username]])</f>
        <v>kael_245</v>
      </c>
      <c r="AB88" s="1" t="str">
        <f>TRIM(RPG_dataset[[#This Row],[First Name]])</f>
        <v>Kael</v>
      </c>
      <c r="AC88" s="1" t="str">
        <f>PROPER(TRIM(RPG_dataset[[#This Row],[Race]]))</f>
        <v>Dragonborn</v>
      </c>
      <c r="AD88" s="1" t="str">
        <f>PROPER(TRIM(RPG_dataset[[#This Row],[Class]]))</f>
        <v>Mage</v>
      </c>
      <c r="AE88" s="1">
        <f>ABS(RPG_dataset[[#This Row],[Level]])</f>
        <v>43</v>
      </c>
      <c r="AF88" s="1">
        <f>ABS(RPG_dataset[[#This Row],[ATK]])</f>
        <v>12</v>
      </c>
      <c r="AG88" s="1">
        <f>ABS(RPG_dataset[[#This Row],[DEF]])</f>
        <v>92</v>
      </c>
      <c r="AH88" s="1">
        <f>ABS(RPG_dataset[[#This Row],[SPD]])</f>
        <v>75</v>
      </c>
      <c r="AI88" s="1">
        <f>ABS(RPG_dataset[[#This Row],[HP]])</f>
        <v>4908</v>
      </c>
      <c r="AJ88" s="1">
        <f>ABS(RPG_dataset[[#This Row],[MP]])</f>
        <v>486</v>
      </c>
      <c r="AK88" s="1">
        <f>ABS(RPG_dataset[[#This Row],[Total Stat]])</f>
        <v>179</v>
      </c>
      <c r="AL88" s="1">
        <f>ABS(RPG_dataset[[#This Row],[Kills]])</f>
        <v>4210</v>
      </c>
      <c r="AM88" s="12">
        <f>ABS(RPG_dataset[[#This Row],[Win Rate (%)]])</f>
        <v>90</v>
      </c>
      <c r="AN88" s="4">
        <f>ABS(RPG_dataset[[#This Row],[Gold Earned]])</f>
        <v>552192</v>
      </c>
      <c r="AO88" s="5" t="str">
        <f t="shared" si="1"/>
        <v>OK</v>
      </c>
      <c r="AP88" s="5">
        <f>RANK(clean[[#This Row],[Clean Gold]],clean[Clean Gold], 0)</f>
        <v>223</v>
      </c>
      <c r="AQ88" s="1">
        <v>264</v>
      </c>
      <c r="AR88" s="1" t="str" cm="1">
        <f t="array" ref="AR88">_xlfn.IFS(clean[[#This Row],[Clean Level]]&gt;=76, "Legend", clean[[#This Row],[Clean Level]]&gt;=51, "Elite", clean[[#This Row],[Clean Level]]&gt;=26, "Veteran", TRUE, "Rookie")</f>
        <v>Veteran</v>
      </c>
      <c r="AS88" s="1" t="str">
        <f>IF(RPG_dataset[[#This Row],[Status]]="Active", "TRUE", "FALSE")</f>
        <v>TRUE</v>
      </c>
      <c r="AT88" s="1" t="str" cm="1">
        <f t="array" ref="AT88">_xlfn.IFS(clean[[#This Row],[Clean Win Rate]]&gt;70, "Excellent", clean[[#This Row],[Clean Win Rate]]&gt;=40, "Average", TRUE, "Poor")</f>
        <v>Excellent</v>
      </c>
      <c r="AU88" s="1" t="str">
        <f>IF(AND(clean[[#This Row],[Clean Level]]&gt;80, clean[[#This Row],[Clean Total Stat]]&gt;350, clean[[#This Row],[Clean Gold]]&gt;500000), "Overpowered", "Normal")</f>
        <v>Normal</v>
      </c>
      <c r="AV88" s="1" t="str" cm="1">
        <f t="array" ref="AV8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88" s="1" t="str" cm="1">
        <f t="array" ref="AW8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88" s="1"/>
    </row>
    <row r="89" spans="1:50" x14ac:dyDescent="0.3">
      <c r="A89" s="2" t="s">
        <v>419</v>
      </c>
      <c r="B89" s="2" t="s">
        <v>420</v>
      </c>
      <c r="C89" s="2" t="s">
        <v>281</v>
      </c>
      <c r="D89" s="2" t="s">
        <v>401</v>
      </c>
      <c r="E89" s="2" t="s">
        <v>60</v>
      </c>
      <c r="F89" s="2" t="s">
        <v>42</v>
      </c>
      <c r="G89" s="2">
        <v>63</v>
      </c>
      <c r="H89" s="2" t="s">
        <v>80</v>
      </c>
      <c r="I89" s="2" t="s">
        <v>63</v>
      </c>
      <c r="J89" s="2" t="s">
        <v>64</v>
      </c>
      <c r="K89" s="2" t="s">
        <v>34</v>
      </c>
      <c r="L89" s="6" t="s">
        <v>421</v>
      </c>
      <c r="M89" s="2">
        <v>122</v>
      </c>
      <c r="N89" s="2">
        <v>111</v>
      </c>
      <c r="O89" s="2">
        <v>108</v>
      </c>
      <c r="P89" s="2">
        <v>4266</v>
      </c>
      <c r="Q89" s="2">
        <v>1928</v>
      </c>
      <c r="R89" s="2">
        <v>341</v>
      </c>
      <c r="S89" s="2">
        <v>1029</v>
      </c>
      <c r="T89" s="2">
        <v>374</v>
      </c>
      <c r="U89" s="2">
        <v>50</v>
      </c>
      <c r="V89" s="2">
        <v>73</v>
      </c>
      <c r="W89" s="2">
        <v>6883</v>
      </c>
      <c r="X89" s="9">
        <v>408029</v>
      </c>
      <c r="Y89" s="2" t="s">
        <v>36</v>
      </c>
      <c r="AA89" s="1" t="str">
        <f>TRIM(RPG_dataset[[#This Row],[Username]])</f>
        <v>nova_465</v>
      </c>
      <c r="AB89" s="1" t="str">
        <f>TRIM(RPG_dataset[[#This Row],[First Name]])</f>
        <v>Nova</v>
      </c>
      <c r="AC89" s="1" t="str">
        <f>PROPER(TRIM(RPG_dataset[[#This Row],[Race]]))</f>
        <v>Human</v>
      </c>
      <c r="AD89" s="1" t="str">
        <f>PROPER(TRIM(RPG_dataset[[#This Row],[Class]]))</f>
        <v>Monk</v>
      </c>
      <c r="AE89" s="1">
        <f>ABS(RPG_dataset[[#This Row],[Level]])</f>
        <v>63</v>
      </c>
      <c r="AF89" s="1">
        <f>ABS(RPG_dataset[[#This Row],[ATK]])</f>
        <v>122</v>
      </c>
      <c r="AG89" s="1">
        <f>ABS(RPG_dataset[[#This Row],[DEF]])</f>
        <v>111</v>
      </c>
      <c r="AH89" s="1">
        <f>ABS(RPG_dataset[[#This Row],[SPD]])</f>
        <v>108</v>
      </c>
      <c r="AI89" s="1">
        <f>ABS(RPG_dataset[[#This Row],[HP]])</f>
        <v>4266</v>
      </c>
      <c r="AJ89" s="1">
        <f>ABS(RPG_dataset[[#This Row],[MP]])</f>
        <v>1928</v>
      </c>
      <c r="AK89" s="1">
        <f>ABS(RPG_dataset[[#This Row],[Total Stat]])</f>
        <v>341</v>
      </c>
      <c r="AL89" s="1">
        <f>ABS(RPG_dataset[[#This Row],[Kills]])</f>
        <v>1029</v>
      </c>
      <c r="AM89" s="12">
        <f>ABS(RPG_dataset[[#This Row],[Win Rate (%)]])</f>
        <v>73</v>
      </c>
      <c r="AN89" s="4">
        <f>ABS(RPG_dataset[[#This Row],[Gold Earned]])</f>
        <v>408029</v>
      </c>
      <c r="AO89" s="5" t="str">
        <f t="shared" si="1"/>
        <v>OK</v>
      </c>
      <c r="AP89" s="5">
        <f>RANK(clean[[#This Row],[Clean Gold]],clean[Clean Gold], 0)</f>
        <v>301</v>
      </c>
      <c r="AQ89" s="1">
        <v>132</v>
      </c>
      <c r="AR89" s="1" t="str" cm="1">
        <f t="array" ref="AR89">_xlfn.IFS(clean[[#This Row],[Clean Level]]&gt;=76, "Legend", clean[[#This Row],[Clean Level]]&gt;=51, "Elite", clean[[#This Row],[Clean Level]]&gt;=26, "Veteran", TRUE, "Rookie")</f>
        <v>Elite</v>
      </c>
      <c r="AS89" s="1" t="str">
        <f>IF(RPG_dataset[[#This Row],[Status]]="Active", "TRUE", "FALSE")</f>
        <v>FALSE</v>
      </c>
      <c r="AT89" s="1" t="str" cm="1">
        <f t="array" ref="AT89">_xlfn.IFS(clean[[#This Row],[Clean Win Rate]]&gt;70, "Excellent", clean[[#This Row],[Clean Win Rate]]&gt;=40, "Average", TRUE, "Poor")</f>
        <v>Excellent</v>
      </c>
      <c r="AU89" s="1" t="str">
        <f>IF(AND(clean[[#This Row],[Clean Level]]&gt;80, clean[[#This Row],[Clean Total Stat]]&gt;350, clean[[#This Row],[Clean Gold]]&gt;500000), "Overpowered", "Normal")</f>
        <v>Normal</v>
      </c>
      <c r="AV89" s="1" t="str" cm="1">
        <f t="array" ref="AV89">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89" s="1" t="str" cm="1">
        <f t="array" ref="AW8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89" s="1"/>
    </row>
    <row r="90" spans="1:50" x14ac:dyDescent="0.3">
      <c r="A90" s="2" t="s">
        <v>422</v>
      </c>
      <c r="B90" s="2" t="s">
        <v>423</v>
      </c>
      <c r="C90" s="2" t="s">
        <v>253</v>
      </c>
      <c r="D90" s="2" t="s">
        <v>234</v>
      </c>
      <c r="E90" s="2" t="s">
        <v>41</v>
      </c>
      <c r="F90" s="2" t="s">
        <v>30</v>
      </c>
      <c r="G90" s="2"/>
      <c r="H90" s="2" t="s">
        <v>125</v>
      </c>
      <c r="I90" s="2" t="s">
        <v>32</v>
      </c>
      <c r="J90" s="2" t="s">
        <v>33</v>
      </c>
      <c r="K90" s="2" t="s">
        <v>44</v>
      </c>
      <c r="L90" s="6" t="s">
        <v>424</v>
      </c>
      <c r="M90" s="2">
        <v>102</v>
      </c>
      <c r="N90" s="2">
        <v>150</v>
      </c>
      <c r="O90" s="2">
        <v>45</v>
      </c>
      <c r="P90" s="2">
        <v>1762</v>
      </c>
      <c r="Q90" s="2">
        <v>184</v>
      </c>
      <c r="R90" s="2">
        <v>297</v>
      </c>
      <c r="S90" s="2">
        <v>2246</v>
      </c>
      <c r="T90" s="2">
        <v>642</v>
      </c>
      <c r="U90" s="2">
        <v>1</v>
      </c>
      <c r="V90" s="2">
        <v>78</v>
      </c>
      <c r="W90" s="2">
        <v>3917</v>
      </c>
      <c r="X90" s="9">
        <v>575625</v>
      </c>
      <c r="Y90" s="2" t="s">
        <v>36</v>
      </c>
      <c r="AA90" s="1" t="str">
        <f>TRIM(RPG_dataset[[#This Row],[Username]])</f>
        <v>freya_923</v>
      </c>
      <c r="AB90" s="1" t="str">
        <f>TRIM(RPG_dataset[[#This Row],[First Name]])</f>
        <v>Freya</v>
      </c>
      <c r="AC90" s="1" t="str">
        <f>PROPER(TRIM(RPG_dataset[[#This Row],[Race]]))</f>
        <v>Gnome</v>
      </c>
      <c r="AD90" s="1" t="str">
        <f>PROPER(TRIM(RPG_dataset[[#This Row],[Class]]))</f>
        <v>Rogue</v>
      </c>
      <c r="AE90" s="1">
        <f>ABS(RPG_dataset[[#This Row],[Level]])</f>
        <v>0</v>
      </c>
      <c r="AF90" s="1">
        <f>ABS(RPG_dataset[[#This Row],[ATK]])</f>
        <v>102</v>
      </c>
      <c r="AG90" s="1">
        <f>ABS(RPG_dataset[[#This Row],[DEF]])</f>
        <v>150</v>
      </c>
      <c r="AH90" s="1">
        <f>ABS(RPG_dataset[[#This Row],[SPD]])</f>
        <v>45</v>
      </c>
      <c r="AI90" s="1">
        <f>ABS(RPG_dataset[[#This Row],[HP]])</f>
        <v>1762</v>
      </c>
      <c r="AJ90" s="1">
        <f>ABS(RPG_dataset[[#This Row],[MP]])</f>
        <v>184</v>
      </c>
      <c r="AK90" s="1">
        <f>ABS(RPG_dataset[[#This Row],[Total Stat]])</f>
        <v>297</v>
      </c>
      <c r="AL90" s="1">
        <f>ABS(RPG_dataset[[#This Row],[Kills]])</f>
        <v>2246</v>
      </c>
      <c r="AM90" s="12">
        <f>ABS(RPG_dataset[[#This Row],[Win Rate (%)]])</f>
        <v>78</v>
      </c>
      <c r="AN90" s="4">
        <f>ABS(RPG_dataset[[#This Row],[Gold Earned]])</f>
        <v>575625</v>
      </c>
      <c r="AO90" s="5" t="str">
        <f t="shared" si="1"/>
        <v>OK</v>
      </c>
      <c r="AP90" s="5">
        <f>RANK(clean[[#This Row],[Clean Gold]],clean[Clean Gold], 0)</f>
        <v>213</v>
      </c>
      <c r="AQ90" s="1"/>
      <c r="AR90" s="1" t="str" cm="1">
        <f t="array" ref="AR90">_xlfn.IFS(clean[[#This Row],[Clean Level]]&gt;=76, "Legend", clean[[#This Row],[Clean Level]]&gt;=51, "Elite", clean[[#This Row],[Clean Level]]&gt;=26, "Veteran", TRUE, "Rookie")</f>
        <v>Rookie</v>
      </c>
      <c r="AS90" s="1" t="str">
        <f>IF(RPG_dataset[[#This Row],[Status]]="Active", "TRUE", "FALSE")</f>
        <v>TRUE</v>
      </c>
      <c r="AT90" s="1" t="str" cm="1">
        <f t="array" ref="AT90">_xlfn.IFS(clean[[#This Row],[Clean Win Rate]]&gt;70, "Excellent", clean[[#This Row],[Clean Win Rate]]&gt;=40, "Average", TRUE, "Poor")</f>
        <v>Excellent</v>
      </c>
      <c r="AU90" s="1" t="str">
        <f>IF(AND(clean[[#This Row],[Clean Level]]&gt;80, clean[[#This Row],[Clean Total Stat]]&gt;350, clean[[#This Row],[Clean Gold]]&gt;500000), "Overpowered", "Normal")</f>
        <v>Normal</v>
      </c>
      <c r="AV90" s="1" t="str" cm="1">
        <f t="array" ref="AV9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90" s="1" t="str" cm="1">
        <f t="array" ref="AW9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90" s="1"/>
    </row>
    <row r="91" spans="1:50" x14ac:dyDescent="0.3">
      <c r="A91" s="2" t="s">
        <v>425</v>
      </c>
      <c r="B91" s="2" t="s">
        <v>426</v>
      </c>
      <c r="C91" s="2" t="s">
        <v>427</v>
      </c>
      <c r="D91" s="2" t="s">
        <v>272</v>
      </c>
      <c r="E91" s="2" t="s">
        <v>60</v>
      </c>
      <c r="F91" s="2" t="s">
        <v>194</v>
      </c>
      <c r="G91" s="2">
        <v>25</v>
      </c>
      <c r="H91" s="2" t="s">
        <v>157</v>
      </c>
      <c r="I91" s="2" t="s">
        <v>32</v>
      </c>
      <c r="J91" s="2" t="s">
        <v>64</v>
      </c>
      <c r="K91" s="2" t="s">
        <v>146</v>
      </c>
      <c r="L91" s="6" t="s">
        <v>428</v>
      </c>
      <c r="M91" s="2">
        <v>92</v>
      </c>
      <c r="N91" s="2">
        <v>118</v>
      </c>
      <c r="O91" s="2">
        <v>68</v>
      </c>
      <c r="P91" s="2">
        <v>3175</v>
      </c>
      <c r="Q91" s="2">
        <v>2668</v>
      </c>
      <c r="R91" s="2">
        <v>278</v>
      </c>
      <c r="S91" s="2">
        <v>4612</v>
      </c>
      <c r="T91" s="2">
        <v>461</v>
      </c>
      <c r="U91" s="2">
        <v>270</v>
      </c>
      <c r="V91" s="2">
        <v>91</v>
      </c>
      <c r="W91" s="2">
        <v>714</v>
      </c>
      <c r="X91" s="9">
        <v>-631917</v>
      </c>
      <c r="Y91" s="2" t="s">
        <v>36</v>
      </c>
      <c r="AA91" s="1" t="str">
        <f>TRIM(RPG_dataset[[#This Row],[Username]])</f>
        <v>myra_236</v>
      </c>
      <c r="AB91" s="1" t="str">
        <f>TRIM(RPG_dataset[[#This Row],[First Name]])</f>
        <v>Myra</v>
      </c>
      <c r="AC91" s="1" t="str">
        <f>PROPER(TRIM(RPG_dataset[[#This Row],[Race]]))</f>
        <v>Human</v>
      </c>
      <c r="AD91" s="1" t="str">
        <f>PROPER(TRIM(RPG_dataset[[#This Row],[Class]]))</f>
        <v>Paladin</v>
      </c>
      <c r="AE91" s="1">
        <f>ABS(RPG_dataset[[#This Row],[Level]])</f>
        <v>25</v>
      </c>
      <c r="AF91" s="1">
        <f>ABS(RPG_dataset[[#This Row],[ATK]])</f>
        <v>92</v>
      </c>
      <c r="AG91" s="1">
        <f>ABS(RPG_dataset[[#This Row],[DEF]])</f>
        <v>118</v>
      </c>
      <c r="AH91" s="1">
        <f>ABS(RPG_dataset[[#This Row],[SPD]])</f>
        <v>68</v>
      </c>
      <c r="AI91" s="1">
        <f>ABS(RPG_dataset[[#This Row],[HP]])</f>
        <v>3175</v>
      </c>
      <c r="AJ91" s="1">
        <f>ABS(RPG_dataset[[#This Row],[MP]])</f>
        <v>2668</v>
      </c>
      <c r="AK91" s="1">
        <f>ABS(RPG_dataset[[#This Row],[Total Stat]])</f>
        <v>278</v>
      </c>
      <c r="AL91" s="1">
        <f>ABS(RPG_dataset[[#This Row],[Kills]])</f>
        <v>4612</v>
      </c>
      <c r="AM91" s="12">
        <f>ABS(RPG_dataset[[#This Row],[Win Rate (%)]])</f>
        <v>91</v>
      </c>
      <c r="AN91" s="4">
        <f>ABS(RPG_dataset[[#This Row],[Gold Earned]])</f>
        <v>631917</v>
      </c>
      <c r="AO91" s="5" t="str">
        <f t="shared" si="1"/>
        <v>OK</v>
      </c>
      <c r="AP91" s="5">
        <f>RANK(clean[[#This Row],[Clean Gold]],clean[Clean Gold], 0)</f>
        <v>182</v>
      </c>
      <c r="AQ91" s="1">
        <v>305</v>
      </c>
      <c r="AR91" s="1" t="str" cm="1">
        <f t="array" ref="AR91">_xlfn.IFS(clean[[#This Row],[Clean Level]]&gt;=76, "Legend", clean[[#This Row],[Clean Level]]&gt;=51, "Elite", clean[[#This Row],[Clean Level]]&gt;=26, "Veteran", TRUE, "Rookie")</f>
        <v>Rookie</v>
      </c>
      <c r="AS91" s="1" t="str">
        <f>IF(RPG_dataset[[#This Row],[Status]]="Active", "TRUE", "FALSE")</f>
        <v>TRUE</v>
      </c>
      <c r="AT91" s="1" t="str" cm="1">
        <f t="array" ref="AT91">_xlfn.IFS(clean[[#This Row],[Clean Win Rate]]&gt;70, "Excellent", clean[[#This Row],[Clean Win Rate]]&gt;=40, "Average", TRUE, "Poor")</f>
        <v>Excellent</v>
      </c>
      <c r="AU91" s="1" t="str">
        <f>IF(AND(clean[[#This Row],[Clean Level]]&gt;80, clean[[#This Row],[Clean Total Stat]]&gt;350, clean[[#This Row],[Clean Gold]]&gt;500000), "Overpowered", "Normal")</f>
        <v>Normal</v>
      </c>
      <c r="AV91" s="1" t="str" cm="1">
        <f t="array" ref="AV9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91" s="1" t="str" cm="1">
        <f t="array" ref="AW9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91" s="1"/>
    </row>
    <row r="92" spans="1:50" x14ac:dyDescent="0.3">
      <c r="A92" s="2" t="s">
        <v>429</v>
      </c>
      <c r="B92" s="2" t="s">
        <v>430</v>
      </c>
      <c r="C92" s="2" t="s">
        <v>69</v>
      </c>
      <c r="D92" s="2" t="s">
        <v>131</v>
      </c>
      <c r="E92" s="2" t="s">
        <v>431</v>
      </c>
      <c r="F92" s="2" t="s">
        <v>52</v>
      </c>
      <c r="G92" s="2">
        <v>71</v>
      </c>
      <c r="H92" s="2" t="s">
        <v>432</v>
      </c>
      <c r="I92" s="2" t="s">
        <v>140</v>
      </c>
      <c r="J92" s="2" t="s">
        <v>88</v>
      </c>
      <c r="K92" s="2" t="s">
        <v>44</v>
      </c>
      <c r="L92" s="6" t="s">
        <v>433</v>
      </c>
      <c r="M92" s="2">
        <v>70</v>
      </c>
      <c r="N92" s="2">
        <v>10</v>
      </c>
      <c r="O92" s="2">
        <v>76</v>
      </c>
      <c r="P92" s="2">
        <v>110</v>
      </c>
      <c r="Q92" s="2">
        <v>1034</v>
      </c>
      <c r="R92" s="2">
        <v>156</v>
      </c>
      <c r="S92" s="2">
        <v>109</v>
      </c>
      <c r="T92" s="2">
        <v>-198</v>
      </c>
      <c r="U92" s="2">
        <v>13</v>
      </c>
      <c r="V92" s="2">
        <v>36</v>
      </c>
      <c r="W92" s="2">
        <v>8981</v>
      </c>
      <c r="X92" s="9">
        <v>761233</v>
      </c>
      <c r="Y92" s="2" t="s">
        <v>46</v>
      </c>
      <c r="AA92" s="1" t="str">
        <f>TRIM(RPG_dataset[[#This Row],[Username]])</f>
        <v>seth_781</v>
      </c>
      <c r="AB92" s="1" t="str">
        <f>TRIM(RPG_dataset[[#This Row],[First Name]])</f>
        <v>Seth</v>
      </c>
      <c r="AC92" s="1" t="str">
        <f>PROPER(TRIM(RPG_dataset[[#This Row],[Race]]))</f>
        <v>Tiefling</v>
      </c>
      <c r="AD92" s="1" t="str">
        <f>PROPER(TRIM(RPG_dataset[[#This Row],[Class]]))</f>
        <v>Bard</v>
      </c>
      <c r="AE92" s="1">
        <f>ABS(RPG_dataset[[#This Row],[Level]])</f>
        <v>71</v>
      </c>
      <c r="AF92" s="1">
        <f>ABS(RPG_dataset[[#This Row],[ATK]])</f>
        <v>70</v>
      </c>
      <c r="AG92" s="1">
        <f>ABS(RPG_dataset[[#This Row],[DEF]])</f>
        <v>10</v>
      </c>
      <c r="AH92" s="1">
        <f>ABS(RPG_dataset[[#This Row],[SPD]])</f>
        <v>76</v>
      </c>
      <c r="AI92" s="1">
        <f>ABS(RPG_dataset[[#This Row],[HP]])</f>
        <v>110</v>
      </c>
      <c r="AJ92" s="1">
        <f>ABS(RPG_dataset[[#This Row],[MP]])</f>
        <v>1034</v>
      </c>
      <c r="AK92" s="1">
        <f>ABS(RPG_dataset[[#This Row],[Total Stat]])</f>
        <v>156</v>
      </c>
      <c r="AL92" s="1">
        <f>ABS(RPG_dataset[[#This Row],[Kills]])</f>
        <v>109</v>
      </c>
      <c r="AM92" s="12">
        <f>ABS(RPG_dataset[[#This Row],[Win Rate (%)]])</f>
        <v>36</v>
      </c>
      <c r="AN92" s="4">
        <f>ABS(RPG_dataset[[#This Row],[Gold Earned]])</f>
        <v>761233</v>
      </c>
      <c r="AO92" s="5" t="str">
        <f t="shared" si="1"/>
        <v>Fix This</v>
      </c>
      <c r="AP92" s="5">
        <f>RANK(clean[[#This Row],[Clean Gold]],clean[Clean Gold], 0)</f>
        <v>122</v>
      </c>
      <c r="AQ92" s="1">
        <v>300</v>
      </c>
      <c r="AR92" s="1" t="str" cm="1">
        <f t="array" ref="AR92">_xlfn.IFS(clean[[#This Row],[Clean Level]]&gt;=76, "Legend", clean[[#This Row],[Clean Level]]&gt;=51, "Elite", clean[[#This Row],[Clean Level]]&gt;=26, "Veteran", TRUE, "Rookie")</f>
        <v>Elite</v>
      </c>
      <c r="AS92" s="1" t="str">
        <f>IF(RPG_dataset[[#This Row],[Status]]="Active", "TRUE", "FALSE")</f>
        <v>TRUE</v>
      </c>
      <c r="AT92" s="1" t="str" cm="1">
        <f t="array" ref="AT92">_xlfn.IFS(clean[[#This Row],[Clean Win Rate]]&gt;70, "Excellent", clean[[#This Row],[Clean Win Rate]]&gt;=40, "Average", TRUE, "Poor")</f>
        <v>Poor</v>
      </c>
      <c r="AU92" s="1" t="str">
        <f>IF(AND(clean[[#This Row],[Clean Level]]&gt;80, clean[[#This Row],[Clean Total Stat]]&gt;350, clean[[#This Row],[Clean Gold]]&gt;500000), "Overpowered", "Normal")</f>
        <v>Normal</v>
      </c>
      <c r="AV92" s="1" t="str" cm="1">
        <f t="array" ref="AV9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92" s="1" t="str" cm="1">
        <f t="array" ref="AW9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92" s="1"/>
    </row>
    <row r="93" spans="1:50" x14ac:dyDescent="0.3">
      <c r="A93" s="2" t="s">
        <v>434</v>
      </c>
      <c r="B93" s="2" t="s">
        <v>435</v>
      </c>
      <c r="C93" s="2" t="s">
        <v>367</v>
      </c>
      <c r="D93" s="2" t="s">
        <v>150</v>
      </c>
      <c r="E93" s="2" t="s">
        <v>41</v>
      </c>
      <c r="F93" s="2" t="s">
        <v>124</v>
      </c>
      <c r="G93" s="2">
        <v>9</v>
      </c>
      <c r="H93" s="2" t="s">
        <v>80</v>
      </c>
      <c r="I93" s="2" t="s">
        <v>126</v>
      </c>
      <c r="J93" s="2" t="s">
        <v>111</v>
      </c>
      <c r="K93" s="2" t="s">
        <v>44</v>
      </c>
      <c r="L93" s="6" t="s">
        <v>436</v>
      </c>
      <c r="M93" s="2">
        <v>26</v>
      </c>
      <c r="N93" s="2">
        <v>28</v>
      </c>
      <c r="O93" s="2">
        <v>30</v>
      </c>
      <c r="P93" s="2">
        <v>2239</v>
      </c>
      <c r="Q93" s="2">
        <v>2399</v>
      </c>
      <c r="R93" s="2">
        <v>-84</v>
      </c>
      <c r="S93" s="2">
        <v>1822</v>
      </c>
      <c r="T93" s="2">
        <v>61</v>
      </c>
      <c r="U93" s="2">
        <v>108</v>
      </c>
      <c r="V93" s="2">
        <v>97</v>
      </c>
      <c r="W93" s="2">
        <v>2385</v>
      </c>
      <c r="X93" s="9">
        <v>793446</v>
      </c>
      <c r="Y93" s="2" t="s">
        <v>46</v>
      </c>
      <c r="AA93" s="1" t="str">
        <f>TRIM(RPG_dataset[[#This Row],[Username]])</f>
        <v>sable_469</v>
      </c>
      <c r="AB93" s="1" t="str">
        <f>TRIM(RPG_dataset[[#This Row],[First Name]])</f>
        <v>Sable</v>
      </c>
      <c r="AC93" s="1" t="str">
        <f>PROPER(TRIM(RPG_dataset[[#This Row],[Race]]))</f>
        <v>Gnome</v>
      </c>
      <c r="AD93" s="1" t="str">
        <f>PROPER(TRIM(RPG_dataset[[#This Row],[Class]]))</f>
        <v>Necromancer</v>
      </c>
      <c r="AE93" s="1">
        <f>ABS(RPG_dataset[[#This Row],[Level]])</f>
        <v>9</v>
      </c>
      <c r="AF93" s="1">
        <f>ABS(RPG_dataset[[#This Row],[ATK]])</f>
        <v>26</v>
      </c>
      <c r="AG93" s="1">
        <f>ABS(RPG_dataset[[#This Row],[DEF]])</f>
        <v>28</v>
      </c>
      <c r="AH93" s="1">
        <f>ABS(RPG_dataset[[#This Row],[SPD]])</f>
        <v>30</v>
      </c>
      <c r="AI93" s="1">
        <f>ABS(RPG_dataset[[#This Row],[HP]])</f>
        <v>2239</v>
      </c>
      <c r="AJ93" s="1">
        <f>ABS(RPG_dataset[[#This Row],[MP]])</f>
        <v>2399</v>
      </c>
      <c r="AK93" s="1">
        <f>ABS(RPG_dataset[[#This Row],[Total Stat]])</f>
        <v>84</v>
      </c>
      <c r="AL93" s="1">
        <f>ABS(RPG_dataset[[#This Row],[Kills]])</f>
        <v>1822</v>
      </c>
      <c r="AM93" s="12">
        <f>ABS(RPG_dataset[[#This Row],[Win Rate (%)]])</f>
        <v>97</v>
      </c>
      <c r="AN93" s="4">
        <f>ABS(RPG_dataset[[#This Row],[Gold Earned]])</f>
        <v>793446</v>
      </c>
      <c r="AO93" s="5" t="str">
        <f t="shared" si="1"/>
        <v>OK</v>
      </c>
      <c r="AP93" s="5">
        <f>RANK(clean[[#This Row],[Clean Gold]],clean[Clean Gold], 0)</f>
        <v>109</v>
      </c>
      <c r="AQ93" s="1">
        <v>312</v>
      </c>
      <c r="AR93" s="1" t="str" cm="1">
        <f t="array" ref="AR93">_xlfn.IFS(clean[[#This Row],[Clean Level]]&gt;=76, "Legend", clean[[#This Row],[Clean Level]]&gt;=51, "Elite", clean[[#This Row],[Clean Level]]&gt;=26, "Veteran", TRUE, "Rookie")</f>
        <v>Rookie</v>
      </c>
      <c r="AS93" s="1" t="str">
        <f>IF(RPG_dataset[[#This Row],[Status]]="Active", "TRUE", "FALSE")</f>
        <v>TRUE</v>
      </c>
      <c r="AT93" s="1" t="str" cm="1">
        <f t="array" ref="AT93">_xlfn.IFS(clean[[#This Row],[Clean Win Rate]]&gt;70, "Excellent", clean[[#This Row],[Clean Win Rate]]&gt;=40, "Average", TRUE, "Poor")</f>
        <v>Excellent</v>
      </c>
      <c r="AU93" s="1" t="str">
        <f>IF(AND(clean[[#This Row],[Clean Level]]&gt;80, clean[[#This Row],[Clean Total Stat]]&gt;350, clean[[#This Row],[Clean Gold]]&gt;500000), "Overpowered", "Normal")</f>
        <v>Normal</v>
      </c>
      <c r="AV93" s="1" t="str" cm="1">
        <f t="array" ref="AV9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93" s="1" t="str" cm="1">
        <f t="array" ref="AW9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93" s="1"/>
    </row>
    <row r="94" spans="1:50" x14ac:dyDescent="0.3">
      <c r="A94" s="2" t="s">
        <v>437</v>
      </c>
      <c r="B94" s="2" t="s">
        <v>438</v>
      </c>
      <c r="C94" s="2" t="s">
        <v>227</v>
      </c>
      <c r="D94" s="2" t="s">
        <v>131</v>
      </c>
      <c r="E94" s="2" t="s">
        <v>105</v>
      </c>
      <c r="F94" s="2" t="s">
        <v>42</v>
      </c>
      <c r="G94" s="2">
        <v>7</v>
      </c>
      <c r="H94" s="2" t="s">
        <v>43</v>
      </c>
      <c r="I94" s="2" t="s">
        <v>63</v>
      </c>
      <c r="J94" s="2" t="s">
        <v>111</v>
      </c>
      <c r="K94" s="2" t="s">
        <v>34</v>
      </c>
      <c r="L94" s="6" t="s">
        <v>439</v>
      </c>
      <c r="M94" s="2">
        <v>82</v>
      </c>
      <c r="N94" s="2">
        <v>102</v>
      </c>
      <c r="O94" s="2">
        <v>81</v>
      </c>
      <c r="P94" s="2">
        <v>118</v>
      </c>
      <c r="Q94" s="2">
        <v>2605</v>
      </c>
      <c r="R94" s="2">
        <v>265</v>
      </c>
      <c r="S94" s="2">
        <v>3965</v>
      </c>
      <c r="T94" s="2">
        <v>909</v>
      </c>
      <c r="U94" s="2"/>
      <c r="V94" s="2">
        <v>81</v>
      </c>
      <c r="W94" s="2">
        <v>-3834</v>
      </c>
      <c r="X94" s="9">
        <v>388067</v>
      </c>
      <c r="Y94" s="2" t="s">
        <v>36</v>
      </c>
      <c r="AA94" s="1" t="str">
        <f>TRIM(RPG_dataset[[#This Row],[Username]])</f>
        <v>nyx_598</v>
      </c>
      <c r="AB94" s="1" t="str">
        <f>TRIM(RPG_dataset[[#This Row],[First Name]])</f>
        <v>Nyx</v>
      </c>
      <c r="AC94" s="1" t="str">
        <f>PROPER(TRIM(RPG_dataset[[#This Row],[Race]]))</f>
        <v>Orc</v>
      </c>
      <c r="AD94" s="1" t="str">
        <f>PROPER(TRIM(RPG_dataset[[#This Row],[Class]]))</f>
        <v>Monk</v>
      </c>
      <c r="AE94" s="1">
        <f>ABS(RPG_dataset[[#This Row],[Level]])</f>
        <v>7</v>
      </c>
      <c r="AF94" s="1">
        <f>ABS(RPG_dataset[[#This Row],[ATK]])</f>
        <v>82</v>
      </c>
      <c r="AG94" s="1">
        <f>ABS(RPG_dataset[[#This Row],[DEF]])</f>
        <v>102</v>
      </c>
      <c r="AH94" s="1">
        <f>ABS(RPG_dataset[[#This Row],[SPD]])</f>
        <v>81</v>
      </c>
      <c r="AI94" s="1">
        <f>ABS(RPG_dataset[[#This Row],[HP]])</f>
        <v>118</v>
      </c>
      <c r="AJ94" s="1">
        <f>ABS(RPG_dataset[[#This Row],[MP]])</f>
        <v>2605</v>
      </c>
      <c r="AK94" s="1">
        <f>ABS(RPG_dataset[[#This Row],[Total Stat]])</f>
        <v>265</v>
      </c>
      <c r="AL94" s="1">
        <f>ABS(RPG_dataset[[#This Row],[Kills]])</f>
        <v>3965</v>
      </c>
      <c r="AM94" s="12">
        <f>ABS(RPG_dataset[[#This Row],[Win Rate (%)]])</f>
        <v>81</v>
      </c>
      <c r="AN94" s="4">
        <f>ABS(RPG_dataset[[#This Row],[Gold Earned]])</f>
        <v>388067</v>
      </c>
      <c r="AO94" s="5" t="str">
        <f t="shared" si="1"/>
        <v>Fix This</v>
      </c>
      <c r="AP94" s="5">
        <f>RANK(clean[[#This Row],[Clean Gold]],clean[Clean Gold], 0)</f>
        <v>312</v>
      </c>
      <c r="AQ94" s="1">
        <v>299</v>
      </c>
      <c r="AR94" s="1" t="str" cm="1">
        <f t="array" ref="AR94">_xlfn.IFS(clean[[#This Row],[Clean Level]]&gt;=76, "Legend", clean[[#This Row],[Clean Level]]&gt;=51, "Elite", clean[[#This Row],[Clean Level]]&gt;=26, "Veteran", TRUE, "Rookie")</f>
        <v>Rookie</v>
      </c>
      <c r="AS94" s="1" t="str">
        <f>IF(RPG_dataset[[#This Row],[Status]]="Active", "TRUE", "FALSE")</f>
        <v>FALSE</v>
      </c>
      <c r="AT94" s="1" t="str" cm="1">
        <f t="array" ref="AT94">_xlfn.IFS(clean[[#This Row],[Clean Win Rate]]&gt;70, "Excellent", clean[[#This Row],[Clean Win Rate]]&gt;=40, "Average", TRUE, "Poor")</f>
        <v>Excellent</v>
      </c>
      <c r="AU94" s="1" t="str">
        <f>IF(AND(clean[[#This Row],[Clean Level]]&gt;80, clean[[#This Row],[Clean Total Stat]]&gt;350, clean[[#This Row],[Clean Gold]]&gt;500000), "Overpowered", "Normal")</f>
        <v>Normal</v>
      </c>
      <c r="AV94" s="1" t="str" cm="1">
        <f t="array" ref="AV9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94" s="1" t="str" cm="1">
        <f t="array" ref="AW9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94" s="1"/>
    </row>
    <row r="95" spans="1:50" x14ac:dyDescent="0.3">
      <c r="A95" s="2" t="s">
        <v>440</v>
      </c>
      <c r="B95" s="2" t="s">
        <v>441</v>
      </c>
      <c r="C95" s="2" t="s">
        <v>103</v>
      </c>
      <c r="D95" s="2" t="s">
        <v>155</v>
      </c>
      <c r="E95" s="2" t="s">
        <v>41</v>
      </c>
      <c r="F95" s="2" t="s">
        <v>61</v>
      </c>
      <c r="G95" s="2">
        <v>65</v>
      </c>
      <c r="H95" s="2" t="s">
        <v>62</v>
      </c>
      <c r="I95" s="2" t="s">
        <v>54</v>
      </c>
      <c r="J95" s="2" t="s">
        <v>88</v>
      </c>
      <c r="K95" s="2" t="s">
        <v>99</v>
      </c>
      <c r="L95" s="6" t="s">
        <v>405</v>
      </c>
      <c r="M95" s="2">
        <v>15</v>
      </c>
      <c r="N95" s="2">
        <v>65</v>
      </c>
      <c r="O95" s="2">
        <v>76</v>
      </c>
      <c r="P95" s="2">
        <v>4066</v>
      </c>
      <c r="Q95" s="2">
        <v>2938</v>
      </c>
      <c r="R95" s="2">
        <v>156</v>
      </c>
      <c r="S95" s="2">
        <v>676</v>
      </c>
      <c r="T95" s="2">
        <v>415</v>
      </c>
      <c r="U95" s="2">
        <v>32</v>
      </c>
      <c r="V95" s="2">
        <v>62</v>
      </c>
      <c r="W95" s="2">
        <v>6617</v>
      </c>
      <c r="X95" s="9">
        <v>915539</v>
      </c>
      <c r="Y95" s="2" t="s">
        <v>46</v>
      </c>
      <c r="AA95" s="1" t="str">
        <f>TRIM(RPG_dataset[[#This Row],[Username]])</f>
        <v>aria_413</v>
      </c>
      <c r="AB95" s="1" t="str">
        <f>TRIM(RPG_dataset[[#This Row],[First Name]])</f>
        <v>Aria</v>
      </c>
      <c r="AC95" s="1" t="str">
        <f>PROPER(TRIM(RPG_dataset[[#This Row],[Race]]))</f>
        <v>Gnome</v>
      </c>
      <c r="AD95" s="1" t="str">
        <f>PROPER(TRIM(RPG_dataset[[#This Row],[Class]]))</f>
        <v>Ranger</v>
      </c>
      <c r="AE95" s="1">
        <f>ABS(RPG_dataset[[#This Row],[Level]])</f>
        <v>65</v>
      </c>
      <c r="AF95" s="1">
        <f>ABS(RPG_dataset[[#This Row],[ATK]])</f>
        <v>15</v>
      </c>
      <c r="AG95" s="1">
        <f>ABS(RPG_dataset[[#This Row],[DEF]])</f>
        <v>65</v>
      </c>
      <c r="AH95" s="1">
        <f>ABS(RPG_dataset[[#This Row],[SPD]])</f>
        <v>76</v>
      </c>
      <c r="AI95" s="1">
        <f>ABS(RPG_dataset[[#This Row],[HP]])</f>
        <v>4066</v>
      </c>
      <c r="AJ95" s="1">
        <f>ABS(RPG_dataset[[#This Row],[MP]])</f>
        <v>2938</v>
      </c>
      <c r="AK95" s="1">
        <f>ABS(RPG_dataset[[#This Row],[Total Stat]])</f>
        <v>156</v>
      </c>
      <c r="AL95" s="1">
        <f>ABS(RPG_dataset[[#This Row],[Kills]])</f>
        <v>676</v>
      </c>
      <c r="AM95" s="12">
        <f>ABS(RPG_dataset[[#This Row],[Win Rate (%)]])</f>
        <v>62</v>
      </c>
      <c r="AN95" s="4">
        <f>ABS(RPG_dataset[[#This Row],[Gold Earned]])</f>
        <v>915539</v>
      </c>
      <c r="AO95" s="5" t="str">
        <f t="shared" si="1"/>
        <v>OK</v>
      </c>
      <c r="AP95" s="5">
        <f>RANK(clean[[#This Row],[Clean Gold]],clean[Clean Gold], 0)</f>
        <v>45</v>
      </c>
      <c r="AQ95" s="1">
        <v>126</v>
      </c>
      <c r="AR95" s="1" t="str" cm="1">
        <f t="array" ref="AR95">_xlfn.IFS(clean[[#This Row],[Clean Level]]&gt;=76, "Legend", clean[[#This Row],[Clean Level]]&gt;=51, "Elite", clean[[#This Row],[Clean Level]]&gt;=26, "Veteran", TRUE, "Rookie")</f>
        <v>Elite</v>
      </c>
      <c r="AS95" s="1" t="str">
        <f>IF(RPG_dataset[[#This Row],[Status]]="Active", "TRUE", "FALSE")</f>
        <v>FALSE</v>
      </c>
      <c r="AT95" s="1" t="str" cm="1">
        <f t="array" ref="AT95">_xlfn.IFS(clean[[#This Row],[Clean Win Rate]]&gt;70, "Excellent", clean[[#This Row],[Clean Win Rate]]&gt;=40, "Average", TRUE, "Poor")</f>
        <v>Average</v>
      </c>
      <c r="AU95" s="1" t="str">
        <f>IF(AND(clean[[#This Row],[Clean Level]]&gt;80, clean[[#This Row],[Clean Total Stat]]&gt;350, clean[[#This Row],[Clean Gold]]&gt;500000), "Overpowered", "Normal")</f>
        <v>Normal</v>
      </c>
      <c r="AV95" s="1" t="str" cm="1">
        <f t="array" ref="AV9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95" s="1" t="str" cm="1">
        <f t="array" ref="AW9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95" s="1"/>
    </row>
    <row r="96" spans="1:50" x14ac:dyDescent="0.3">
      <c r="A96" s="2" t="s">
        <v>442</v>
      </c>
      <c r="B96" s="2" t="s">
        <v>443</v>
      </c>
      <c r="C96" s="2" t="s">
        <v>85</v>
      </c>
      <c r="D96" s="2" t="s">
        <v>174</v>
      </c>
      <c r="E96" s="2" t="s">
        <v>60</v>
      </c>
      <c r="F96" s="2" t="s">
        <v>61</v>
      </c>
      <c r="G96" s="2">
        <v>10</v>
      </c>
      <c r="H96" s="2" t="s">
        <v>62</v>
      </c>
      <c r="I96" s="2" t="s">
        <v>140</v>
      </c>
      <c r="J96" s="2" t="s">
        <v>64</v>
      </c>
      <c r="K96" s="2" t="s">
        <v>44</v>
      </c>
      <c r="L96" s="6" t="s">
        <v>444</v>
      </c>
      <c r="M96" s="2">
        <v>107</v>
      </c>
      <c r="N96" s="2">
        <v>98</v>
      </c>
      <c r="O96" s="2">
        <v>22</v>
      </c>
      <c r="P96" s="2">
        <v>2016</v>
      </c>
      <c r="Q96" s="2">
        <v>805</v>
      </c>
      <c r="R96" s="2">
        <v>227</v>
      </c>
      <c r="S96" s="2">
        <v>4591</v>
      </c>
      <c r="T96" s="2">
        <v>196</v>
      </c>
      <c r="U96" s="2">
        <v>143</v>
      </c>
      <c r="V96" s="2">
        <v>96</v>
      </c>
      <c r="W96" s="2">
        <v>4206</v>
      </c>
      <c r="X96" s="9">
        <v>944012</v>
      </c>
      <c r="Y96" s="2" t="s">
        <v>46</v>
      </c>
      <c r="AA96" s="1" t="str">
        <f>TRIM(RPG_dataset[[#This Row],[Username]])</f>
        <v>delia_743</v>
      </c>
      <c r="AB96" s="1" t="str">
        <f>TRIM(RPG_dataset[[#This Row],[First Name]])</f>
        <v>Delia</v>
      </c>
      <c r="AC96" s="1" t="str">
        <f>PROPER(TRIM(RPG_dataset[[#This Row],[Race]]))</f>
        <v>Human</v>
      </c>
      <c r="AD96" s="1" t="str">
        <f>PROPER(TRIM(RPG_dataset[[#This Row],[Class]]))</f>
        <v>Ranger</v>
      </c>
      <c r="AE96" s="1">
        <f>ABS(RPG_dataset[[#This Row],[Level]])</f>
        <v>10</v>
      </c>
      <c r="AF96" s="1">
        <f>ABS(RPG_dataset[[#This Row],[ATK]])</f>
        <v>107</v>
      </c>
      <c r="AG96" s="1">
        <f>ABS(RPG_dataset[[#This Row],[DEF]])</f>
        <v>98</v>
      </c>
      <c r="AH96" s="1">
        <f>ABS(RPG_dataset[[#This Row],[SPD]])</f>
        <v>22</v>
      </c>
      <c r="AI96" s="1">
        <f>ABS(RPG_dataset[[#This Row],[HP]])</f>
        <v>2016</v>
      </c>
      <c r="AJ96" s="1">
        <f>ABS(RPG_dataset[[#This Row],[MP]])</f>
        <v>805</v>
      </c>
      <c r="AK96" s="1">
        <f>ABS(RPG_dataset[[#This Row],[Total Stat]])</f>
        <v>227</v>
      </c>
      <c r="AL96" s="1">
        <f>ABS(RPG_dataset[[#This Row],[Kills]])</f>
        <v>4591</v>
      </c>
      <c r="AM96" s="12">
        <f>ABS(RPG_dataset[[#This Row],[Win Rate (%)]])</f>
        <v>96</v>
      </c>
      <c r="AN96" s="4">
        <f>ABS(RPG_dataset[[#This Row],[Gold Earned]])</f>
        <v>944012</v>
      </c>
      <c r="AO96" s="5" t="str">
        <f t="shared" si="1"/>
        <v>OK</v>
      </c>
      <c r="AP96" s="5">
        <f>RANK(clean[[#This Row],[Clean Gold]],clean[Clean Gold], 0)</f>
        <v>25</v>
      </c>
      <c r="AQ96" s="1">
        <v>183</v>
      </c>
      <c r="AR96" s="1" t="str" cm="1">
        <f t="array" ref="AR96">_xlfn.IFS(clean[[#This Row],[Clean Level]]&gt;=76, "Legend", clean[[#This Row],[Clean Level]]&gt;=51, "Elite", clean[[#This Row],[Clean Level]]&gt;=26, "Veteran", TRUE, "Rookie")</f>
        <v>Rookie</v>
      </c>
      <c r="AS96" s="1" t="str">
        <f>IF(RPG_dataset[[#This Row],[Status]]="Active", "TRUE", "FALSE")</f>
        <v>TRUE</v>
      </c>
      <c r="AT96" s="1" t="str" cm="1">
        <f t="array" ref="AT96">_xlfn.IFS(clean[[#This Row],[Clean Win Rate]]&gt;70, "Excellent", clean[[#This Row],[Clean Win Rate]]&gt;=40, "Average", TRUE, "Poor")</f>
        <v>Excellent</v>
      </c>
      <c r="AU96" s="1" t="str">
        <f>IF(AND(clean[[#This Row],[Clean Level]]&gt;80, clean[[#This Row],[Clean Total Stat]]&gt;350, clean[[#This Row],[Clean Gold]]&gt;500000), "Overpowered", "Normal")</f>
        <v>Normal</v>
      </c>
      <c r="AV96" s="1" t="str" cm="1">
        <f t="array" ref="AV9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96" s="1" t="str" cm="1">
        <f t="array" ref="AW9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96" s="1"/>
    </row>
    <row r="97" spans="1:50" x14ac:dyDescent="0.3">
      <c r="A97" s="2" t="s">
        <v>445</v>
      </c>
      <c r="B97" s="2" t="s">
        <v>446</v>
      </c>
      <c r="C97" s="2" t="s">
        <v>238</v>
      </c>
      <c r="D97" s="2" t="s">
        <v>210</v>
      </c>
      <c r="E97" s="2" t="s">
        <v>60</v>
      </c>
      <c r="F97" s="2" t="s">
        <v>194</v>
      </c>
      <c r="G97" s="2">
        <v>1</v>
      </c>
      <c r="H97" s="2" t="s">
        <v>53</v>
      </c>
      <c r="I97" s="2" t="s">
        <v>63</v>
      </c>
      <c r="J97" s="2" t="s">
        <v>81</v>
      </c>
      <c r="K97" s="2" t="s">
        <v>44</v>
      </c>
      <c r="L97" s="6" t="s">
        <v>447</v>
      </c>
      <c r="M97" s="2">
        <v>123</v>
      </c>
      <c r="N97" s="2">
        <v>85</v>
      </c>
      <c r="O97" s="2">
        <v>15</v>
      </c>
      <c r="P97" s="2">
        <v>3156</v>
      </c>
      <c r="Q97" s="2">
        <v>531</v>
      </c>
      <c r="R97" s="2">
        <v>223</v>
      </c>
      <c r="S97" s="2">
        <v>3468</v>
      </c>
      <c r="T97" s="2"/>
      <c r="U97" s="2">
        <v>273</v>
      </c>
      <c r="V97" s="2">
        <v>94</v>
      </c>
      <c r="W97" s="2">
        <v>3993</v>
      </c>
      <c r="X97" s="9">
        <v>791613</v>
      </c>
      <c r="Y97" s="2" t="s">
        <v>46</v>
      </c>
      <c r="AA97" s="1" t="str">
        <f>TRIM(RPG_dataset[[#This Row],[Username]])</f>
        <v>cael_512</v>
      </c>
      <c r="AB97" s="1" t="str">
        <f>TRIM(RPG_dataset[[#This Row],[First Name]])</f>
        <v>Cael</v>
      </c>
      <c r="AC97" s="1" t="str">
        <f>PROPER(TRIM(RPG_dataset[[#This Row],[Race]]))</f>
        <v>Human</v>
      </c>
      <c r="AD97" s="1" t="str">
        <f>PROPER(TRIM(RPG_dataset[[#This Row],[Class]]))</f>
        <v>Paladin</v>
      </c>
      <c r="AE97" s="1">
        <f>ABS(RPG_dataset[[#This Row],[Level]])</f>
        <v>1</v>
      </c>
      <c r="AF97" s="1">
        <f>ABS(RPG_dataset[[#This Row],[ATK]])</f>
        <v>123</v>
      </c>
      <c r="AG97" s="1">
        <f>ABS(RPG_dataset[[#This Row],[DEF]])</f>
        <v>85</v>
      </c>
      <c r="AH97" s="1">
        <f>ABS(RPG_dataset[[#This Row],[SPD]])</f>
        <v>15</v>
      </c>
      <c r="AI97" s="1">
        <f>ABS(RPG_dataset[[#This Row],[HP]])</f>
        <v>3156</v>
      </c>
      <c r="AJ97" s="1">
        <f>ABS(RPG_dataset[[#This Row],[MP]])</f>
        <v>531</v>
      </c>
      <c r="AK97" s="1">
        <f>ABS(RPG_dataset[[#This Row],[Total Stat]])</f>
        <v>223</v>
      </c>
      <c r="AL97" s="1">
        <f>ABS(RPG_dataset[[#This Row],[Kills]])</f>
        <v>3468</v>
      </c>
      <c r="AM97" s="12">
        <f>ABS(RPG_dataset[[#This Row],[Win Rate (%)]])</f>
        <v>94</v>
      </c>
      <c r="AN97" s="4">
        <f>ABS(RPG_dataset[[#This Row],[Gold Earned]])</f>
        <v>791613</v>
      </c>
      <c r="AO97" s="5" t="str">
        <f t="shared" si="1"/>
        <v>OK</v>
      </c>
      <c r="AP97" s="5">
        <f>RANK(clean[[#This Row],[Clean Gold]],clean[Clean Gold], 0)</f>
        <v>112</v>
      </c>
      <c r="AQ97" s="1">
        <v>209</v>
      </c>
      <c r="AR97" s="1" t="str" cm="1">
        <f t="array" ref="AR97">_xlfn.IFS(clean[[#This Row],[Clean Level]]&gt;=76, "Legend", clean[[#This Row],[Clean Level]]&gt;=51, "Elite", clean[[#This Row],[Clean Level]]&gt;=26, "Veteran", TRUE, "Rookie")</f>
        <v>Rookie</v>
      </c>
      <c r="AS97" s="1" t="str">
        <f>IF(RPG_dataset[[#This Row],[Status]]="Active", "TRUE", "FALSE")</f>
        <v>TRUE</v>
      </c>
      <c r="AT97" s="1" t="str" cm="1">
        <f t="array" ref="AT97">_xlfn.IFS(clean[[#This Row],[Clean Win Rate]]&gt;70, "Excellent", clean[[#This Row],[Clean Win Rate]]&gt;=40, "Average", TRUE, "Poor")</f>
        <v>Excellent</v>
      </c>
      <c r="AU97" s="1" t="str">
        <f>IF(AND(clean[[#This Row],[Clean Level]]&gt;80, clean[[#This Row],[Clean Total Stat]]&gt;350, clean[[#This Row],[Clean Gold]]&gt;500000), "Overpowered", "Normal")</f>
        <v>Normal</v>
      </c>
      <c r="AV97" s="1" t="str" cm="1">
        <f t="array" ref="AV9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97" s="1" t="str" cm="1">
        <f t="array" ref="AW9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97" s="1"/>
    </row>
    <row r="98" spans="1:50" x14ac:dyDescent="0.3">
      <c r="A98" s="2" t="s">
        <v>448</v>
      </c>
      <c r="B98" s="2" t="s">
        <v>449</v>
      </c>
      <c r="C98" s="2" t="s">
        <v>238</v>
      </c>
      <c r="D98" s="2" t="s">
        <v>150</v>
      </c>
      <c r="E98" s="2" t="s">
        <v>169</v>
      </c>
      <c r="F98" s="2" t="s">
        <v>30</v>
      </c>
      <c r="G98" s="2">
        <v>91</v>
      </c>
      <c r="H98" s="2" t="s">
        <v>53</v>
      </c>
      <c r="I98" s="2" t="s">
        <v>74</v>
      </c>
      <c r="J98" s="2" t="s">
        <v>120</v>
      </c>
      <c r="K98" s="2" t="s">
        <v>44</v>
      </c>
      <c r="L98" s="6" t="s">
        <v>450</v>
      </c>
      <c r="M98" s="2">
        <v>147</v>
      </c>
      <c r="N98" s="2">
        <v>-103</v>
      </c>
      <c r="O98" s="2">
        <v>47</v>
      </c>
      <c r="P98" s="2">
        <v>4363</v>
      </c>
      <c r="Q98" s="2">
        <v>2489</v>
      </c>
      <c r="R98" s="2">
        <v>297</v>
      </c>
      <c r="S98" s="2">
        <v>2601</v>
      </c>
      <c r="T98" s="2">
        <v>454</v>
      </c>
      <c r="U98" s="2">
        <v>152</v>
      </c>
      <c r="V98" s="2">
        <v>85</v>
      </c>
      <c r="W98" s="2">
        <v>6107</v>
      </c>
      <c r="X98" s="9">
        <v>960499</v>
      </c>
      <c r="Y98" s="2" t="s">
        <v>46</v>
      </c>
      <c r="AA98" s="1" t="str">
        <f>TRIM(RPG_dataset[[#This Row],[Username]])</f>
        <v>cael_122</v>
      </c>
      <c r="AB98" s="1" t="str">
        <f>TRIM(RPG_dataset[[#This Row],[First Name]])</f>
        <v>Cael</v>
      </c>
      <c r="AC98" s="1" t="str">
        <f>PROPER(TRIM(RPG_dataset[[#This Row],[Race]]))</f>
        <v>Halfling</v>
      </c>
      <c r="AD98" s="1" t="str">
        <f>PROPER(TRIM(RPG_dataset[[#This Row],[Class]]))</f>
        <v>Rogue</v>
      </c>
      <c r="AE98" s="1">
        <f>ABS(RPG_dataset[[#This Row],[Level]])</f>
        <v>91</v>
      </c>
      <c r="AF98" s="1">
        <f>ABS(RPG_dataset[[#This Row],[ATK]])</f>
        <v>147</v>
      </c>
      <c r="AG98" s="1">
        <f>ABS(RPG_dataset[[#This Row],[DEF]])</f>
        <v>103</v>
      </c>
      <c r="AH98" s="1">
        <f>ABS(RPG_dataset[[#This Row],[SPD]])</f>
        <v>47</v>
      </c>
      <c r="AI98" s="1">
        <f>ABS(RPG_dataset[[#This Row],[HP]])</f>
        <v>4363</v>
      </c>
      <c r="AJ98" s="1">
        <f>ABS(RPG_dataset[[#This Row],[MP]])</f>
        <v>2489</v>
      </c>
      <c r="AK98" s="1">
        <f>ABS(RPG_dataset[[#This Row],[Total Stat]])</f>
        <v>297</v>
      </c>
      <c r="AL98" s="1">
        <f>ABS(RPG_dataset[[#This Row],[Kills]])</f>
        <v>2601</v>
      </c>
      <c r="AM98" s="12">
        <f>ABS(RPG_dataset[[#This Row],[Win Rate (%)]])</f>
        <v>85</v>
      </c>
      <c r="AN98" s="4">
        <f>ABS(RPG_dataset[[#This Row],[Gold Earned]])</f>
        <v>960499</v>
      </c>
      <c r="AO98" s="5" t="str">
        <f t="shared" si="1"/>
        <v>Fix This</v>
      </c>
      <c r="AP98" s="5">
        <f>RANK(clean[[#This Row],[Clean Gold]],clean[Clean Gold], 0)</f>
        <v>19</v>
      </c>
      <c r="AQ98" s="1">
        <v>176</v>
      </c>
      <c r="AR98" s="1" t="str" cm="1">
        <f t="array" ref="AR98">_xlfn.IFS(clean[[#This Row],[Clean Level]]&gt;=76, "Legend", clean[[#This Row],[Clean Level]]&gt;=51, "Elite", clean[[#This Row],[Clean Level]]&gt;=26, "Veteran", TRUE, "Rookie")</f>
        <v>Legend</v>
      </c>
      <c r="AS98" s="1" t="str">
        <f>IF(RPG_dataset[[#This Row],[Status]]="Active", "TRUE", "FALSE")</f>
        <v>TRUE</v>
      </c>
      <c r="AT98" s="1" t="str" cm="1">
        <f t="array" ref="AT98">_xlfn.IFS(clean[[#This Row],[Clean Win Rate]]&gt;70, "Excellent", clean[[#This Row],[Clean Win Rate]]&gt;=40, "Average", TRUE, "Poor")</f>
        <v>Excellent</v>
      </c>
      <c r="AU98" s="1" t="str">
        <f>IF(AND(clean[[#This Row],[Clean Level]]&gt;80, clean[[#This Row],[Clean Total Stat]]&gt;350, clean[[#This Row],[Clean Gold]]&gt;500000), "Overpowered", "Normal")</f>
        <v>Normal</v>
      </c>
      <c r="AV98" s="1" t="str" cm="1">
        <f t="array" ref="AV9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98" s="1" t="str" cm="1">
        <f t="array" ref="AW9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98" s="1"/>
    </row>
    <row r="99" spans="1:50" x14ac:dyDescent="0.3">
      <c r="A99" s="2" t="s">
        <v>451</v>
      </c>
      <c r="B99" s="2" t="s">
        <v>452</v>
      </c>
      <c r="C99" s="2" t="s">
        <v>130</v>
      </c>
      <c r="D99" s="2" t="s">
        <v>50</v>
      </c>
      <c r="E99" s="2" t="s">
        <v>169</v>
      </c>
      <c r="F99" s="2" t="s">
        <v>30</v>
      </c>
      <c r="G99" s="2">
        <v>27</v>
      </c>
      <c r="H99" s="2" t="s">
        <v>157</v>
      </c>
      <c r="I99" s="2" t="s">
        <v>87</v>
      </c>
      <c r="J99" s="2" t="s">
        <v>64</v>
      </c>
      <c r="K99" s="2" t="s">
        <v>453</v>
      </c>
      <c r="L99" s="6" t="s">
        <v>454</v>
      </c>
      <c r="M99" s="2">
        <v>83</v>
      </c>
      <c r="N99" s="2">
        <v>115</v>
      </c>
      <c r="O99" s="2">
        <v>92</v>
      </c>
      <c r="P99" s="2">
        <v>3299</v>
      </c>
      <c r="Q99" s="2"/>
      <c r="R99" s="2">
        <v>290</v>
      </c>
      <c r="S99" s="2">
        <v>1981</v>
      </c>
      <c r="T99" s="2">
        <v>580</v>
      </c>
      <c r="U99" s="2">
        <v>132</v>
      </c>
      <c r="V99" s="2">
        <v>77</v>
      </c>
      <c r="W99" s="2">
        <v>8278</v>
      </c>
      <c r="X99" s="9">
        <v>520675</v>
      </c>
      <c r="Y99" s="2" t="s">
        <v>36</v>
      </c>
      <c r="AA99" s="1" t="str">
        <f>TRIM(RPG_dataset[[#This Row],[Username]])</f>
        <v>ewan_349</v>
      </c>
      <c r="AB99" s="1" t="str">
        <f>TRIM(RPG_dataset[[#This Row],[First Name]])</f>
        <v>Ewan</v>
      </c>
      <c r="AC99" s="1" t="str">
        <f>PROPER(TRIM(RPG_dataset[[#This Row],[Race]]))</f>
        <v>Halfling</v>
      </c>
      <c r="AD99" s="1" t="str">
        <f>PROPER(TRIM(RPG_dataset[[#This Row],[Class]]))</f>
        <v>Rogue</v>
      </c>
      <c r="AE99" s="1">
        <f>ABS(RPG_dataset[[#This Row],[Level]])</f>
        <v>27</v>
      </c>
      <c r="AF99" s="1">
        <f>ABS(RPG_dataset[[#This Row],[ATK]])</f>
        <v>83</v>
      </c>
      <c r="AG99" s="1">
        <f>ABS(RPG_dataset[[#This Row],[DEF]])</f>
        <v>115</v>
      </c>
      <c r="AH99" s="1">
        <f>ABS(RPG_dataset[[#This Row],[SPD]])</f>
        <v>92</v>
      </c>
      <c r="AI99" s="1">
        <f>ABS(RPG_dataset[[#This Row],[HP]])</f>
        <v>3299</v>
      </c>
      <c r="AJ99" s="1">
        <f>ABS(RPG_dataset[[#This Row],[MP]])</f>
        <v>0</v>
      </c>
      <c r="AK99" s="1">
        <f>ABS(RPG_dataset[[#This Row],[Total Stat]])</f>
        <v>290</v>
      </c>
      <c r="AL99" s="1">
        <f>ABS(RPG_dataset[[#This Row],[Kills]])</f>
        <v>1981</v>
      </c>
      <c r="AM99" s="12">
        <f>ABS(RPG_dataset[[#This Row],[Win Rate (%)]])</f>
        <v>77</v>
      </c>
      <c r="AN99" s="4">
        <f>ABS(RPG_dataset[[#This Row],[Gold Earned]])</f>
        <v>520675</v>
      </c>
      <c r="AO99" s="5" t="str">
        <f t="shared" si="1"/>
        <v>OK</v>
      </c>
      <c r="AP99" s="5">
        <f>RANK(clean[[#This Row],[Clean Gold]],clean[Clean Gold], 0)</f>
        <v>240</v>
      </c>
      <c r="AQ99" s="1">
        <v>191</v>
      </c>
      <c r="AR99" s="1" t="str" cm="1">
        <f t="array" ref="AR99">_xlfn.IFS(clean[[#This Row],[Clean Level]]&gt;=76, "Legend", clean[[#This Row],[Clean Level]]&gt;=51, "Elite", clean[[#This Row],[Clean Level]]&gt;=26, "Veteran", TRUE, "Rookie")</f>
        <v>Veteran</v>
      </c>
      <c r="AS99" s="1" t="str">
        <f>IF(RPG_dataset[[#This Row],[Status]]="Active", "TRUE", "FALSE")</f>
        <v>FALSE</v>
      </c>
      <c r="AT99" s="1" t="str" cm="1">
        <f t="array" ref="AT99">_xlfn.IFS(clean[[#This Row],[Clean Win Rate]]&gt;70, "Excellent", clean[[#This Row],[Clean Win Rate]]&gt;=40, "Average", TRUE, "Poor")</f>
        <v>Excellent</v>
      </c>
      <c r="AU99" s="1" t="str">
        <f>IF(AND(clean[[#This Row],[Clean Level]]&gt;80, clean[[#This Row],[Clean Total Stat]]&gt;350, clean[[#This Row],[Clean Gold]]&gt;500000), "Overpowered", "Normal")</f>
        <v>Normal</v>
      </c>
      <c r="AV99" s="1" t="str" cm="1">
        <f t="array" ref="AV9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99" s="1" t="str" cm="1">
        <f t="array" ref="AW9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99" s="1"/>
    </row>
    <row r="100" spans="1:50" x14ac:dyDescent="0.3">
      <c r="A100" s="2" t="s">
        <v>455</v>
      </c>
      <c r="B100" s="2" t="s">
        <v>456</v>
      </c>
      <c r="C100" s="2" t="s">
        <v>49</v>
      </c>
      <c r="D100" s="2" t="s">
        <v>119</v>
      </c>
      <c r="E100" s="2" t="s">
        <v>75</v>
      </c>
      <c r="F100" s="2" t="s">
        <v>72</v>
      </c>
      <c r="G100" s="2">
        <v>32</v>
      </c>
      <c r="H100" s="2" t="s">
        <v>75</v>
      </c>
      <c r="I100" s="2" t="s">
        <v>32</v>
      </c>
      <c r="J100" s="2" t="s">
        <v>120</v>
      </c>
      <c r="K100" s="2" t="s">
        <v>44</v>
      </c>
      <c r="L100" s="6" t="s">
        <v>457</v>
      </c>
      <c r="M100" s="2">
        <v>106</v>
      </c>
      <c r="N100" s="2">
        <v>34</v>
      </c>
      <c r="O100" s="2">
        <v>145</v>
      </c>
      <c r="P100" s="2"/>
      <c r="Q100" s="2">
        <v>184</v>
      </c>
      <c r="R100" s="2">
        <v>285</v>
      </c>
      <c r="S100" s="2">
        <v>969</v>
      </c>
      <c r="T100" s="2">
        <v>507</v>
      </c>
      <c r="U100" s="2">
        <v>169</v>
      </c>
      <c r="V100" s="2"/>
      <c r="W100" s="2">
        <v>4371</v>
      </c>
      <c r="X100" s="9">
        <v>178291</v>
      </c>
      <c r="Y100" s="2" t="s">
        <v>36</v>
      </c>
      <c r="AA100" s="1" t="str">
        <f>TRIM(RPG_dataset[[#This Row],[Username]])</f>
        <v>dune_664</v>
      </c>
      <c r="AB100" s="1" t="str">
        <f>TRIM(RPG_dataset[[#This Row],[First Name]])</f>
        <v>Dune</v>
      </c>
      <c r="AC100" s="1" t="str">
        <f>PROPER(TRIM(RPG_dataset[[#This Row],[Race]]))</f>
        <v/>
      </c>
      <c r="AD100" s="1" t="str">
        <f>PROPER(TRIM(RPG_dataset[[#This Row],[Class]]))</f>
        <v>Warrior</v>
      </c>
      <c r="AE100" s="1">
        <f>ABS(RPG_dataset[[#This Row],[Level]])</f>
        <v>32</v>
      </c>
      <c r="AF100" s="1">
        <f>ABS(RPG_dataset[[#This Row],[ATK]])</f>
        <v>106</v>
      </c>
      <c r="AG100" s="1">
        <f>ABS(RPG_dataset[[#This Row],[DEF]])</f>
        <v>34</v>
      </c>
      <c r="AH100" s="1">
        <f>ABS(RPG_dataset[[#This Row],[SPD]])</f>
        <v>145</v>
      </c>
      <c r="AI100" s="1">
        <f>ABS(RPG_dataset[[#This Row],[HP]])</f>
        <v>0</v>
      </c>
      <c r="AJ100" s="1">
        <f>ABS(RPG_dataset[[#This Row],[MP]])</f>
        <v>184</v>
      </c>
      <c r="AK100" s="1">
        <f>ABS(RPG_dataset[[#This Row],[Total Stat]])</f>
        <v>285</v>
      </c>
      <c r="AL100" s="1">
        <f>ABS(RPG_dataset[[#This Row],[Kills]])</f>
        <v>969</v>
      </c>
      <c r="AM100" s="12">
        <f>ABS(RPG_dataset[[#This Row],[Win Rate (%)]])</f>
        <v>0</v>
      </c>
      <c r="AN100" s="4">
        <f>ABS(RPG_dataset[[#This Row],[Gold Earned]])</f>
        <v>178291</v>
      </c>
      <c r="AO100" s="5" t="str">
        <f t="shared" si="1"/>
        <v>OK</v>
      </c>
      <c r="AP100" s="5">
        <f>RANK(clean[[#This Row],[Clean Gold]],clean[Clean Gold], 0)</f>
        <v>410</v>
      </c>
      <c r="AQ100" s="1">
        <v>341</v>
      </c>
      <c r="AR100" s="1" t="str" cm="1">
        <f t="array" ref="AR100">_xlfn.IFS(clean[[#This Row],[Clean Level]]&gt;=76, "Legend", clean[[#This Row],[Clean Level]]&gt;=51, "Elite", clean[[#This Row],[Clean Level]]&gt;=26, "Veteran", TRUE, "Rookie")</f>
        <v>Veteran</v>
      </c>
      <c r="AS100" s="1" t="str">
        <f>IF(RPG_dataset[[#This Row],[Status]]="Active", "TRUE", "FALSE")</f>
        <v>TRUE</v>
      </c>
      <c r="AT100" s="1" t="str" cm="1">
        <f t="array" ref="AT100">_xlfn.IFS(clean[[#This Row],[Clean Win Rate]]&gt;70, "Excellent", clean[[#This Row],[Clean Win Rate]]&gt;=40, "Average", TRUE, "Poor")</f>
        <v>Poor</v>
      </c>
      <c r="AU100" s="1" t="str">
        <f>IF(AND(clean[[#This Row],[Clean Level]]&gt;80, clean[[#This Row],[Clean Total Stat]]&gt;350, clean[[#This Row],[Clean Gold]]&gt;500000), "Overpowered", "Normal")</f>
        <v>Normal</v>
      </c>
      <c r="AV100" s="1" t="str" cm="1">
        <f t="array" ref="AV10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00" s="1" t="str" cm="1">
        <f t="array" ref="AW10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00" s="1"/>
    </row>
    <row r="101" spans="1:50" x14ac:dyDescent="0.3">
      <c r="A101" s="2" t="s">
        <v>458</v>
      </c>
      <c r="B101" s="2" t="s">
        <v>459</v>
      </c>
      <c r="C101" s="2" t="s">
        <v>391</v>
      </c>
      <c r="D101" s="2" t="s">
        <v>401</v>
      </c>
      <c r="E101" s="2" t="s">
        <v>75</v>
      </c>
      <c r="F101" s="2" t="s">
        <v>61</v>
      </c>
      <c r="G101" s="2">
        <v>24</v>
      </c>
      <c r="H101" s="2" t="s">
        <v>43</v>
      </c>
      <c r="I101" s="2" t="s">
        <v>126</v>
      </c>
      <c r="J101" s="2" t="s">
        <v>111</v>
      </c>
      <c r="K101" s="2" t="s">
        <v>44</v>
      </c>
      <c r="L101" s="6" t="s">
        <v>460</v>
      </c>
      <c r="M101" s="2">
        <v>32</v>
      </c>
      <c r="N101" s="2">
        <v>109</v>
      </c>
      <c r="O101" s="2">
        <v>75</v>
      </c>
      <c r="P101" s="2">
        <v>4484</v>
      </c>
      <c r="Q101" s="2">
        <v>427</v>
      </c>
      <c r="R101" s="2">
        <v>216</v>
      </c>
      <c r="S101" s="2">
        <v>724</v>
      </c>
      <c r="T101" s="2">
        <v>379</v>
      </c>
      <c r="U101" s="2">
        <v>231</v>
      </c>
      <c r="V101" s="2">
        <v>66</v>
      </c>
      <c r="W101" s="2">
        <v>3322</v>
      </c>
      <c r="X101" s="9">
        <v>581184</v>
      </c>
      <c r="Y101" s="2" t="s">
        <v>36</v>
      </c>
      <c r="AA101" s="1" t="str">
        <f>TRIM(RPG_dataset[[#This Row],[Username]])</f>
        <v>aldric_469</v>
      </c>
      <c r="AB101" s="1" t="str">
        <f>TRIM(RPG_dataset[[#This Row],[First Name]])</f>
        <v>Aldric</v>
      </c>
      <c r="AC101" s="1" t="str">
        <f>PROPER(TRIM(RPG_dataset[[#This Row],[Race]]))</f>
        <v/>
      </c>
      <c r="AD101" s="1" t="str">
        <f>PROPER(TRIM(RPG_dataset[[#This Row],[Class]]))</f>
        <v>Ranger</v>
      </c>
      <c r="AE101" s="1">
        <f>ABS(RPG_dataset[[#This Row],[Level]])</f>
        <v>24</v>
      </c>
      <c r="AF101" s="1">
        <f>ABS(RPG_dataset[[#This Row],[ATK]])</f>
        <v>32</v>
      </c>
      <c r="AG101" s="1">
        <f>ABS(RPG_dataset[[#This Row],[DEF]])</f>
        <v>109</v>
      </c>
      <c r="AH101" s="1">
        <f>ABS(RPG_dataset[[#This Row],[SPD]])</f>
        <v>75</v>
      </c>
      <c r="AI101" s="1">
        <f>ABS(RPG_dataset[[#This Row],[HP]])</f>
        <v>4484</v>
      </c>
      <c r="AJ101" s="1">
        <f>ABS(RPG_dataset[[#This Row],[MP]])</f>
        <v>427</v>
      </c>
      <c r="AK101" s="1">
        <f>ABS(RPG_dataset[[#This Row],[Total Stat]])</f>
        <v>216</v>
      </c>
      <c r="AL101" s="1">
        <f>ABS(RPG_dataset[[#This Row],[Kills]])</f>
        <v>724</v>
      </c>
      <c r="AM101" s="12">
        <f>ABS(RPG_dataset[[#This Row],[Win Rate (%)]])</f>
        <v>66</v>
      </c>
      <c r="AN101" s="4">
        <f>ABS(RPG_dataset[[#This Row],[Gold Earned]])</f>
        <v>581184</v>
      </c>
      <c r="AO101" s="5" t="str">
        <f t="shared" si="1"/>
        <v>OK</v>
      </c>
      <c r="AP101" s="5">
        <f>RANK(clean[[#This Row],[Clean Gold]],clean[Clean Gold], 0)</f>
        <v>210</v>
      </c>
      <c r="AQ101" s="1">
        <v>264</v>
      </c>
      <c r="AR101" s="1" t="str" cm="1">
        <f t="array" ref="AR101">_xlfn.IFS(clean[[#This Row],[Clean Level]]&gt;=76, "Legend", clean[[#This Row],[Clean Level]]&gt;=51, "Elite", clean[[#This Row],[Clean Level]]&gt;=26, "Veteran", TRUE, "Rookie")</f>
        <v>Rookie</v>
      </c>
      <c r="AS101" s="1" t="str">
        <f>IF(RPG_dataset[[#This Row],[Status]]="Active", "TRUE", "FALSE")</f>
        <v>TRUE</v>
      </c>
      <c r="AT101" s="1" t="str" cm="1">
        <f t="array" ref="AT101">_xlfn.IFS(clean[[#This Row],[Clean Win Rate]]&gt;70, "Excellent", clean[[#This Row],[Clean Win Rate]]&gt;=40, "Average", TRUE, "Poor")</f>
        <v>Average</v>
      </c>
      <c r="AU101" s="1" t="str">
        <f>IF(AND(clean[[#This Row],[Clean Level]]&gt;80, clean[[#This Row],[Clean Total Stat]]&gt;350, clean[[#This Row],[Clean Gold]]&gt;500000), "Overpowered", "Normal")</f>
        <v>Normal</v>
      </c>
      <c r="AV101" s="1" t="str" cm="1">
        <f t="array" ref="AV10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01" s="1" t="str" cm="1">
        <f t="array" ref="AW10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101" s="1"/>
    </row>
    <row r="102" spans="1:50" x14ac:dyDescent="0.3">
      <c r="A102" s="2" t="s">
        <v>461</v>
      </c>
      <c r="B102" s="2" t="s">
        <v>462</v>
      </c>
      <c r="C102" s="2" t="s">
        <v>178</v>
      </c>
      <c r="D102" s="2" t="s">
        <v>349</v>
      </c>
      <c r="E102" s="2" t="s">
        <v>71</v>
      </c>
      <c r="F102" s="2" t="s">
        <v>30</v>
      </c>
      <c r="G102" s="2"/>
      <c r="H102" s="2" t="s">
        <v>73</v>
      </c>
      <c r="I102" s="2" t="s">
        <v>54</v>
      </c>
      <c r="J102" s="2" t="s">
        <v>33</v>
      </c>
      <c r="K102" s="2" t="s">
        <v>44</v>
      </c>
      <c r="L102" s="6" t="s">
        <v>463</v>
      </c>
      <c r="M102" s="2">
        <v>16</v>
      </c>
      <c r="N102" s="2">
        <v>103</v>
      </c>
      <c r="O102" s="2">
        <v>133</v>
      </c>
      <c r="P102" s="2">
        <v>3735</v>
      </c>
      <c r="Q102" s="2">
        <v>1722</v>
      </c>
      <c r="R102" s="2">
        <v>252</v>
      </c>
      <c r="S102" s="2">
        <v>2869</v>
      </c>
      <c r="T102" s="2">
        <v>716</v>
      </c>
      <c r="U102" s="2">
        <v>-211</v>
      </c>
      <c r="V102" s="2">
        <v>80</v>
      </c>
      <c r="W102" s="2">
        <v>6130</v>
      </c>
      <c r="X102" s="9">
        <v>64772</v>
      </c>
      <c r="Y102" s="2" t="s">
        <v>46</v>
      </c>
      <c r="AA102" s="1" t="str">
        <f>TRIM(RPG_dataset[[#This Row],[Username]])</f>
        <v>crix_572</v>
      </c>
      <c r="AB102" s="1" t="str">
        <f>TRIM(RPG_dataset[[#This Row],[First Name]])</f>
        <v>Crix</v>
      </c>
      <c r="AC102" s="1" t="str">
        <f>PROPER(TRIM(RPG_dataset[[#This Row],[Race]]))</f>
        <v>Dragonborn</v>
      </c>
      <c r="AD102" s="1" t="str">
        <f>PROPER(TRIM(RPG_dataset[[#This Row],[Class]]))</f>
        <v>Rogue</v>
      </c>
      <c r="AE102" s="1">
        <f>ABS(RPG_dataset[[#This Row],[Level]])</f>
        <v>0</v>
      </c>
      <c r="AF102" s="1">
        <f>ABS(RPG_dataset[[#This Row],[ATK]])</f>
        <v>16</v>
      </c>
      <c r="AG102" s="1">
        <f>ABS(RPG_dataset[[#This Row],[DEF]])</f>
        <v>103</v>
      </c>
      <c r="AH102" s="1">
        <f>ABS(RPG_dataset[[#This Row],[SPD]])</f>
        <v>133</v>
      </c>
      <c r="AI102" s="1">
        <f>ABS(RPG_dataset[[#This Row],[HP]])</f>
        <v>3735</v>
      </c>
      <c r="AJ102" s="1">
        <f>ABS(RPG_dataset[[#This Row],[MP]])</f>
        <v>1722</v>
      </c>
      <c r="AK102" s="1">
        <f>ABS(RPG_dataset[[#This Row],[Total Stat]])</f>
        <v>252</v>
      </c>
      <c r="AL102" s="1">
        <f>ABS(RPG_dataset[[#This Row],[Kills]])</f>
        <v>2869</v>
      </c>
      <c r="AM102" s="12">
        <f>ABS(RPG_dataset[[#This Row],[Win Rate (%)]])</f>
        <v>80</v>
      </c>
      <c r="AN102" s="4">
        <f>ABS(RPG_dataset[[#This Row],[Gold Earned]])</f>
        <v>64772</v>
      </c>
      <c r="AO102" s="5" t="str">
        <f t="shared" si="1"/>
        <v>OK</v>
      </c>
      <c r="AP102" s="5">
        <f>RANK(clean[[#This Row],[Clean Gold]],clean[Clean Gold], 0)</f>
        <v>452</v>
      </c>
      <c r="AQ102" s="1">
        <v>92</v>
      </c>
      <c r="AR102" s="1" t="str" cm="1">
        <f t="array" ref="AR102">_xlfn.IFS(clean[[#This Row],[Clean Level]]&gt;=76, "Legend", clean[[#This Row],[Clean Level]]&gt;=51, "Elite", clean[[#This Row],[Clean Level]]&gt;=26, "Veteran", TRUE, "Rookie")</f>
        <v>Rookie</v>
      </c>
      <c r="AS102" s="1" t="str">
        <f>IF(RPG_dataset[[#This Row],[Status]]="Active", "TRUE", "FALSE")</f>
        <v>TRUE</v>
      </c>
      <c r="AT102" s="1" t="str" cm="1">
        <f t="array" ref="AT102">_xlfn.IFS(clean[[#This Row],[Clean Win Rate]]&gt;70, "Excellent", clean[[#This Row],[Clean Win Rate]]&gt;=40, "Average", TRUE, "Poor")</f>
        <v>Excellent</v>
      </c>
      <c r="AU102" s="1" t="str">
        <f>IF(AND(clean[[#This Row],[Clean Level]]&gt;80, clean[[#This Row],[Clean Total Stat]]&gt;350, clean[[#This Row],[Clean Gold]]&gt;500000), "Overpowered", "Normal")</f>
        <v>Normal</v>
      </c>
      <c r="AV102" s="1" t="str" cm="1">
        <f t="array" ref="AV10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02" s="1" t="str" cm="1">
        <f t="array" ref="AW10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02" s="1"/>
    </row>
    <row r="103" spans="1:50" x14ac:dyDescent="0.3">
      <c r="A103" s="2" t="s">
        <v>464</v>
      </c>
      <c r="B103" s="2" t="s">
        <v>465</v>
      </c>
      <c r="C103" s="2" t="s">
        <v>219</v>
      </c>
      <c r="D103" s="2" t="s">
        <v>162</v>
      </c>
      <c r="E103" s="2" t="s">
        <v>228</v>
      </c>
      <c r="F103" s="2" t="s">
        <v>52</v>
      </c>
      <c r="G103" s="2">
        <v>48</v>
      </c>
      <c r="H103" s="2" t="s">
        <v>43</v>
      </c>
      <c r="I103" s="2" t="s">
        <v>126</v>
      </c>
      <c r="J103" s="2" t="s">
        <v>81</v>
      </c>
      <c r="K103" s="2" t="s">
        <v>99</v>
      </c>
      <c r="L103" s="6" t="s">
        <v>466</v>
      </c>
      <c r="M103" s="2">
        <v>38</v>
      </c>
      <c r="N103" s="2">
        <v>56</v>
      </c>
      <c r="O103" s="2">
        <v>99</v>
      </c>
      <c r="P103" s="2">
        <v>3714</v>
      </c>
      <c r="Q103" s="2">
        <v>577</v>
      </c>
      <c r="R103" s="2">
        <v>193</v>
      </c>
      <c r="S103" s="2">
        <v>108</v>
      </c>
      <c r="T103" s="2">
        <v>43</v>
      </c>
      <c r="U103" s="2">
        <v>247</v>
      </c>
      <c r="V103" s="2">
        <v>72</v>
      </c>
      <c r="W103" s="2">
        <v>4184</v>
      </c>
      <c r="X103" s="9">
        <v>598809</v>
      </c>
      <c r="Y103" s="2" t="s">
        <v>46</v>
      </c>
      <c r="AA103" s="1" t="str">
        <f>TRIM(RPG_dataset[[#This Row],[Username]])</f>
        <v>torin_820</v>
      </c>
      <c r="AB103" s="1" t="str">
        <f>TRIM(RPG_dataset[[#This Row],[First Name]])</f>
        <v>Torin</v>
      </c>
      <c r="AC103" s="1" t="str">
        <f>PROPER(TRIM(RPG_dataset[[#This Row],[Race]]))</f>
        <v>Elf</v>
      </c>
      <c r="AD103" s="1" t="str">
        <f>PROPER(TRIM(RPG_dataset[[#This Row],[Class]]))</f>
        <v>Bard</v>
      </c>
      <c r="AE103" s="1">
        <f>ABS(RPG_dataset[[#This Row],[Level]])</f>
        <v>48</v>
      </c>
      <c r="AF103" s="1">
        <f>ABS(RPG_dataset[[#This Row],[ATK]])</f>
        <v>38</v>
      </c>
      <c r="AG103" s="1">
        <f>ABS(RPG_dataset[[#This Row],[DEF]])</f>
        <v>56</v>
      </c>
      <c r="AH103" s="1">
        <f>ABS(RPG_dataset[[#This Row],[SPD]])</f>
        <v>99</v>
      </c>
      <c r="AI103" s="1">
        <f>ABS(RPG_dataset[[#This Row],[HP]])</f>
        <v>3714</v>
      </c>
      <c r="AJ103" s="1">
        <f>ABS(RPG_dataset[[#This Row],[MP]])</f>
        <v>577</v>
      </c>
      <c r="AK103" s="1">
        <f>ABS(RPG_dataset[[#This Row],[Total Stat]])</f>
        <v>193</v>
      </c>
      <c r="AL103" s="1">
        <f>ABS(RPG_dataset[[#This Row],[Kills]])</f>
        <v>108</v>
      </c>
      <c r="AM103" s="12">
        <f>ABS(RPG_dataset[[#This Row],[Win Rate (%)]])</f>
        <v>72</v>
      </c>
      <c r="AN103" s="4">
        <f>ABS(RPG_dataset[[#This Row],[Gold Earned]])</f>
        <v>598809</v>
      </c>
      <c r="AO103" s="5" t="str">
        <f t="shared" si="1"/>
        <v>OK</v>
      </c>
      <c r="AP103" s="5">
        <f>RANK(clean[[#This Row],[Clean Gold]],clean[Clean Gold], 0)</f>
        <v>204</v>
      </c>
      <c r="AQ103" s="1">
        <v>333</v>
      </c>
      <c r="AR103" s="1" t="str" cm="1">
        <f t="array" ref="AR103">_xlfn.IFS(clean[[#This Row],[Clean Level]]&gt;=76, "Legend", clean[[#This Row],[Clean Level]]&gt;=51, "Elite", clean[[#This Row],[Clean Level]]&gt;=26, "Veteran", TRUE, "Rookie")</f>
        <v>Veteran</v>
      </c>
      <c r="AS103" s="1" t="str">
        <f>IF(RPG_dataset[[#This Row],[Status]]="Active", "TRUE", "FALSE")</f>
        <v>FALSE</v>
      </c>
      <c r="AT103" s="1" t="str" cm="1">
        <f t="array" ref="AT103">_xlfn.IFS(clean[[#This Row],[Clean Win Rate]]&gt;70, "Excellent", clean[[#This Row],[Clean Win Rate]]&gt;=40, "Average", TRUE, "Poor")</f>
        <v>Excellent</v>
      </c>
      <c r="AU103" s="1" t="str">
        <f>IF(AND(clean[[#This Row],[Clean Level]]&gt;80, clean[[#This Row],[Clean Total Stat]]&gt;350, clean[[#This Row],[Clean Gold]]&gt;500000), "Overpowered", "Normal")</f>
        <v>Normal</v>
      </c>
      <c r="AV103" s="1" t="str" cm="1">
        <f t="array" ref="AV10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03" s="1" t="str" cm="1">
        <f t="array" ref="AW10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03" s="1"/>
    </row>
    <row r="104" spans="1:50" x14ac:dyDescent="0.3">
      <c r="A104" s="2" t="s">
        <v>467</v>
      </c>
      <c r="B104" s="2" t="s">
        <v>468</v>
      </c>
      <c r="C104" s="2" t="s">
        <v>85</v>
      </c>
      <c r="D104" s="2" t="s">
        <v>50</v>
      </c>
      <c r="E104" s="2" t="s">
        <v>105</v>
      </c>
      <c r="F104" s="2" t="s">
        <v>52</v>
      </c>
      <c r="G104" s="2"/>
      <c r="H104" s="2" t="s">
        <v>31</v>
      </c>
      <c r="I104" s="2" t="s">
        <v>74</v>
      </c>
      <c r="J104" s="2" t="s">
        <v>120</v>
      </c>
      <c r="K104" s="2" t="s">
        <v>34</v>
      </c>
      <c r="L104" s="6" t="s">
        <v>469</v>
      </c>
      <c r="M104" s="2">
        <v>47</v>
      </c>
      <c r="N104" s="2">
        <v>92</v>
      </c>
      <c r="O104" s="2">
        <v>113</v>
      </c>
      <c r="P104" s="2">
        <v>428</v>
      </c>
      <c r="Q104" s="2">
        <v>1330</v>
      </c>
      <c r="R104" s="2"/>
      <c r="S104" s="2">
        <v>451</v>
      </c>
      <c r="T104" s="2">
        <v>358</v>
      </c>
      <c r="U104" s="2">
        <v>172</v>
      </c>
      <c r="V104" s="2">
        <v>56</v>
      </c>
      <c r="W104" s="2">
        <v>8394</v>
      </c>
      <c r="X104" s="9">
        <v>281128</v>
      </c>
      <c r="Y104" s="2" t="s">
        <v>36</v>
      </c>
      <c r="AA104" s="1" t="str">
        <f>TRIM(RPG_dataset[[#This Row],[Username]])</f>
        <v>delia_255</v>
      </c>
      <c r="AB104" s="1" t="str">
        <f>TRIM(RPG_dataset[[#This Row],[First Name]])</f>
        <v>Delia</v>
      </c>
      <c r="AC104" s="1" t="str">
        <f>PROPER(TRIM(RPG_dataset[[#This Row],[Race]]))</f>
        <v>Orc</v>
      </c>
      <c r="AD104" s="1" t="str">
        <f>PROPER(TRIM(RPG_dataset[[#This Row],[Class]]))</f>
        <v>Bard</v>
      </c>
      <c r="AE104" s="1">
        <f>ABS(RPG_dataset[[#This Row],[Level]])</f>
        <v>0</v>
      </c>
      <c r="AF104" s="1">
        <f>ABS(RPG_dataset[[#This Row],[ATK]])</f>
        <v>47</v>
      </c>
      <c r="AG104" s="1">
        <f>ABS(RPG_dataset[[#This Row],[DEF]])</f>
        <v>92</v>
      </c>
      <c r="AH104" s="1">
        <f>ABS(RPG_dataset[[#This Row],[SPD]])</f>
        <v>113</v>
      </c>
      <c r="AI104" s="1">
        <f>ABS(RPG_dataset[[#This Row],[HP]])</f>
        <v>428</v>
      </c>
      <c r="AJ104" s="1">
        <f>ABS(RPG_dataset[[#This Row],[MP]])</f>
        <v>1330</v>
      </c>
      <c r="AK104" s="1">
        <f>ABS(RPG_dataset[[#This Row],[Total Stat]])</f>
        <v>0</v>
      </c>
      <c r="AL104" s="1">
        <f>ABS(RPG_dataset[[#This Row],[Kills]])</f>
        <v>451</v>
      </c>
      <c r="AM104" s="12">
        <f>ABS(RPG_dataset[[#This Row],[Win Rate (%)]])</f>
        <v>56</v>
      </c>
      <c r="AN104" s="4">
        <f>ABS(RPG_dataset[[#This Row],[Gold Earned]])</f>
        <v>281128</v>
      </c>
      <c r="AO104" s="5" t="str">
        <f t="shared" si="1"/>
        <v>OK</v>
      </c>
      <c r="AP104" s="5">
        <f>RANK(clean[[#This Row],[Clean Gold]],clean[Clean Gold], 0)</f>
        <v>361</v>
      </c>
      <c r="AQ104" s="1">
        <v>270</v>
      </c>
      <c r="AR104" s="1" t="str" cm="1">
        <f t="array" ref="AR104">_xlfn.IFS(clean[[#This Row],[Clean Level]]&gt;=76, "Legend", clean[[#This Row],[Clean Level]]&gt;=51, "Elite", clean[[#This Row],[Clean Level]]&gt;=26, "Veteran", TRUE, "Rookie")</f>
        <v>Rookie</v>
      </c>
      <c r="AS104" s="1" t="str">
        <f>IF(RPG_dataset[[#This Row],[Status]]="Active", "TRUE", "FALSE")</f>
        <v>FALSE</v>
      </c>
      <c r="AT104" s="1" t="str" cm="1">
        <f t="array" ref="AT104">_xlfn.IFS(clean[[#This Row],[Clean Win Rate]]&gt;70, "Excellent", clean[[#This Row],[Clean Win Rate]]&gt;=40, "Average", TRUE, "Poor")</f>
        <v>Average</v>
      </c>
      <c r="AU104" s="1" t="str">
        <f>IF(AND(clean[[#This Row],[Clean Level]]&gt;80, clean[[#This Row],[Clean Total Stat]]&gt;350, clean[[#This Row],[Clean Gold]]&gt;500000), "Overpowered", "Normal")</f>
        <v>Normal</v>
      </c>
      <c r="AV104" s="1" t="str" cm="1">
        <f t="array" ref="AV10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04" s="1" t="str" cm="1">
        <f t="array" ref="AW10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04" s="1"/>
    </row>
    <row r="105" spans="1:50" x14ac:dyDescent="0.3">
      <c r="A105" s="2" t="s">
        <v>470</v>
      </c>
      <c r="B105" s="2" t="s">
        <v>471</v>
      </c>
      <c r="C105" s="2" t="s">
        <v>472</v>
      </c>
      <c r="D105" s="2" t="s">
        <v>254</v>
      </c>
      <c r="E105" s="2" t="s">
        <v>29</v>
      </c>
      <c r="F105" s="2" t="s">
        <v>52</v>
      </c>
      <c r="G105" s="2">
        <v>32</v>
      </c>
      <c r="H105" s="2" t="s">
        <v>53</v>
      </c>
      <c r="I105" s="2" t="s">
        <v>54</v>
      </c>
      <c r="J105" s="2" t="s">
        <v>163</v>
      </c>
      <c r="K105" s="2" t="s">
        <v>99</v>
      </c>
      <c r="L105" s="6" t="s">
        <v>473</v>
      </c>
      <c r="M105" s="2">
        <v>93</v>
      </c>
      <c r="N105" s="2">
        <v>75</v>
      </c>
      <c r="O105" s="2">
        <v>106</v>
      </c>
      <c r="P105" s="2">
        <v>3527</v>
      </c>
      <c r="Q105" s="2">
        <v>1549</v>
      </c>
      <c r="R105" s="2">
        <v>274</v>
      </c>
      <c r="S105" s="2">
        <v>184</v>
      </c>
      <c r="T105" s="2">
        <v>498</v>
      </c>
      <c r="U105" s="2">
        <v>207</v>
      </c>
      <c r="V105" s="2">
        <v>27</v>
      </c>
      <c r="W105" s="2">
        <v>9584</v>
      </c>
      <c r="X105" s="9">
        <v>82559</v>
      </c>
      <c r="Y105" s="2" t="s">
        <v>46</v>
      </c>
      <c r="AA105" s="1" t="str">
        <f>TRIM(RPG_dataset[[#This Row],[Username]])</f>
        <v>kael_411</v>
      </c>
      <c r="AB105" s="1" t="str">
        <f>TRIM(RPG_dataset[[#This Row],[First Name]])</f>
        <v>Kael</v>
      </c>
      <c r="AC105" s="1" t="str">
        <f>PROPER(TRIM(RPG_dataset[[#This Row],[Race]]))</f>
        <v>Dwarf</v>
      </c>
      <c r="AD105" s="1" t="str">
        <f>PROPER(TRIM(RPG_dataset[[#This Row],[Class]]))</f>
        <v>Bard</v>
      </c>
      <c r="AE105" s="1">
        <f>ABS(RPG_dataset[[#This Row],[Level]])</f>
        <v>32</v>
      </c>
      <c r="AF105" s="1">
        <f>ABS(RPG_dataset[[#This Row],[ATK]])</f>
        <v>93</v>
      </c>
      <c r="AG105" s="1">
        <f>ABS(RPG_dataset[[#This Row],[DEF]])</f>
        <v>75</v>
      </c>
      <c r="AH105" s="1">
        <f>ABS(RPG_dataset[[#This Row],[SPD]])</f>
        <v>106</v>
      </c>
      <c r="AI105" s="1">
        <f>ABS(RPG_dataset[[#This Row],[HP]])</f>
        <v>3527</v>
      </c>
      <c r="AJ105" s="1">
        <f>ABS(RPG_dataset[[#This Row],[MP]])</f>
        <v>1549</v>
      </c>
      <c r="AK105" s="1">
        <f>ABS(RPG_dataset[[#This Row],[Total Stat]])</f>
        <v>274</v>
      </c>
      <c r="AL105" s="1">
        <f>ABS(RPG_dataset[[#This Row],[Kills]])</f>
        <v>184</v>
      </c>
      <c r="AM105" s="12">
        <f>ABS(RPG_dataset[[#This Row],[Win Rate (%)]])</f>
        <v>27</v>
      </c>
      <c r="AN105" s="4">
        <f>ABS(RPG_dataset[[#This Row],[Gold Earned]])</f>
        <v>82559</v>
      </c>
      <c r="AO105" s="5" t="str">
        <f t="shared" si="1"/>
        <v>OK</v>
      </c>
      <c r="AP105" s="5">
        <f>RANK(clean[[#This Row],[Clean Gold]],clean[Clean Gold], 0)</f>
        <v>446</v>
      </c>
      <c r="AQ105" s="1">
        <v>265</v>
      </c>
      <c r="AR105" s="1" t="str" cm="1">
        <f t="array" ref="AR105">_xlfn.IFS(clean[[#This Row],[Clean Level]]&gt;=76, "Legend", clean[[#This Row],[Clean Level]]&gt;=51, "Elite", clean[[#This Row],[Clean Level]]&gt;=26, "Veteran", TRUE, "Rookie")</f>
        <v>Veteran</v>
      </c>
      <c r="AS105" s="1" t="str">
        <f>IF(RPG_dataset[[#This Row],[Status]]="Active", "TRUE", "FALSE")</f>
        <v>FALSE</v>
      </c>
      <c r="AT105" s="1" t="str" cm="1">
        <f t="array" ref="AT105">_xlfn.IFS(clean[[#This Row],[Clean Win Rate]]&gt;70, "Excellent", clean[[#This Row],[Clean Win Rate]]&gt;=40, "Average", TRUE, "Poor")</f>
        <v>Poor</v>
      </c>
      <c r="AU105" s="1" t="str">
        <f>IF(AND(clean[[#This Row],[Clean Level]]&gt;80, clean[[#This Row],[Clean Total Stat]]&gt;350, clean[[#This Row],[Clean Gold]]&gt;500000), "Overpowered", "Normal")</f>
        <v>Normal</v>
      </c>
      <c r="AV105" s="1" t="str" cm="1">
        <f t="array" ref="AV105">_xlfn.IFS(
(AND(OR(clean[[#This Row],[Tier]]="Elite", clean[[#This Row],[Tier]]="Legend"), clean[[#This Row],[Performance]]="Excellent", RPG_dataset[[#This Row],[Is Premium]]="Yes")), "High", OR(OR(clean[[#This Row],[Tier]]="Elite", clean[[#This Row],[Tier]]="Legend"), clean[[#This Row],[Performance]]="Excellent", RPG_dataset[[#This Row],[Is Premium]]="Yes"), "Medium", TRUE, "Low")</f>
        <v>Low</v>
      </c>
      <c r="AW105" s="1" t="str" cm="1">
        <f t="array" ref="AW10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05" s="1"/>
    </row>
    <row r="106" spans="1:50" x14ac:dyDescent="0.3">
      <c r="A106" s="2" t="s">
        <v>474</v>
      </c>
      <c r="B106" s="2" t="s">
        <v>475</v>
      </c>
      <c r="C106" s="2" t="s">
        <v>276</v>
      </c>
      <c r="D106" s="2" t="s">
        <v>70</v>
      </c>
      <c r="E106" s="2" t="s">
        <v>71</v>
      </c>
      <c r="F106" s="2" t="s">
        <v>30</v>
      </c>
      <c r="G106" s="2">
        <v>36</v>
      </c>
      <c r="H106" s="2" t="s">
        <v>80</v>
      </c>
      <c r="I106" s="2" t="s">
        <v>140</v>
      </c>
      <c r="J106" s="2" t="s">
        <v>92</v>
      </c>
      <c r="K106" s="2" t="s">
        <v>106</v>
      </c>
      <c r="L106" s="6" t="s">
        <v>476</v>
      </c>
      <c r="M106" s="2">
        <v>84</v>
      </c>
      <c r="N106" s="2">
        <v>29</v>
      </c>
      <c r="O106" s="2">
        <v>60</v>
      </c>
      <c r="P106" s="2">
        <v>1779</v>
      </c>
      <c r="Q106" s="2"/>
      <c r="R106" s="2">
        <v>173</v>
      </c>
      <c r="S106" s="2">
        <v>447</v>
      </c>
      <c r="T106" s="2">
        <v>93</v>
      </c>
      <c r="U106" s="2">
        <v>-149</v>
      </c>
      <c r="V106" s="2">
        <v>83</v>
      </c>
      <c r="W106" s="2">
        <v>1459</v>
      </c>
      <c r="X106" s="9">
        <v>919133</v>
      </c>
      <c r="Y106" s="2" t="s">
        <v>46</v>
      </c>
      <c r="AA106" s="1" t="str">
        <f>TRIM(RPG_dataset[[#This Row],[Username]])</f>
        <v>brynn_192</v>
      </c>
      <c r="AB106" s="1" t="str">
        <f>TRIM(RPG_dataset[[#This Row],[First Name]])</f>
        <v>Brynn</v>
      </c>
      <c r="AC106" s="1" t="str">
        <f>PROPER(TRIM(RPG_dataset[[#This Row],[Race]]))</f>
        <v>Dragonborn</v>
      </c>
      <c r="AD106" s="1" t="str">
        <f>PROPER(TRIM(RPG_dataset[[#This Row],[Class]]))</f>
        <v>Rogue</v>
      </c>
      <c r="AE106" s="1">
        <f>ABS(RPG_dataset[[#This Row],[Level]])</f>
        <v>36</v>
      </c>
      <c r="AF106" s="1">
        <f>ABS(RPG_dataset[[#This Row],[ATK]])</f>
        <v>84</v>
      </c>
      <c r="AG106" s="1">
        <f>ABS(RPG_dataset[[#This Row],[DEF]])</f>
        <v>29</v>
      </c>
      <c r="AH106" s="1">
        <f>ABS(RPG_dataset[[#This Row],[SPD]])</f>
        <v>60</v>
      </c>
      <c r="AI106" s="1">
        <f>ABS(RPG_dataset[[#This Row],[HP]])</f>
        <v>1779</v>
      </c>
      <c r="AJ106" s="1">
        <f>ABS(RPG_dataset[[#This Row],[MP]])</f>
        <v>0</v>
      </c>
      <c r="AK106" s="1">
        <f>ABS(RPG_dataset[[#This Row],[Total Stat]])</f>
        <v>173</v>
      </c>
      <c r="AL106" s="1">
        <f>ABS(RPG_dataset[[#This Row],[Kills]])</f>
        <v>447</v>
      </c>
      <c r="AM106" s="12">
        <f>ABS(RPG_dataset[[#This Row],[Win Rate (%)]])</f>
        <v>83</v>
      </c>
      <c r="AN106" s="4">
        <f>ABS(RPG_dataset[[#This Row],[Gold Earned]])</f>
        <v>919133</v>
      </c>
      <c r="AO106" s="5" t="str">
        <f t="shared" si="1"/>
        <v>OK</v>
      </c>
      <c r="AP106" s="5">
        <f>RANK(clean[[#This Row],[Clean Gold]],clean[Clean Gold], 0)</f>
        <v>42</v>
      </c>
      <c r="AQ106" s="1">
        <v>242</v>
      </c>
      <c r="AR106" s="1" t="str" cm="1">
        <f t="array" ref="AR106">_xlfn.IFS(clean[[#This Row],[Clean Level]]&gt;=76, "Legend", clean[[#This Row],[Clean Level]]&gt;=51, "Elite", clean[[#This Row],[Clean Level]]&gt;=26, "Veteran", TRUE, "Rookie")</f>
        <v>Veteran</v>
      </c>
      <c r="AS106" s="1" t="str">
        <f>IF(RPG_dataset[[#This Row],[Status]]="Active", "TRUE", "FALSE")</f>
        <v>FALSE</v>
      </c>
      <c r="AT106" s="1" t="str" cm="1">
        <f t="array" ref="AT106">_xlfn.IFS(clean[[#This Row],[Clean Win Rate]]&gt;70, "Excellent", clean[[#This Row],[Clean Win Rate]]&gt;=40, "Average", TRUE, "Poor")</f>
        <v>Excellent</v>
      </c>
      <c r="AU106" s="1" t="str">
        <f>IF(AND(clean[[#This Row],[Clean Level]]&gt;80, clean[[#This Row],[Clean Total Stat]]&gt;350, clean[[#This Row],[Clean Gold]]&gt;500000), "Overpowered", "Normal")</f>
        <v>Normal</v>
      </c>
      <c r="AV106" s="1" t="str" cm="1">
        <f t="array" ref="AV10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06" s="1" t="str" cm="1">
        <f t="array" ref="AW10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106" s="1"/>
    </row>
    <row r="107" spans="1:50" x14ac:dyDescent="0.3">
      <c r="A107" s="2" t="s">
        <v>477</v>
      </c>
      <c r="B107" s="2" t="s">
        <v>478</v>
      </c>
      <c r="C107" s="2" t="s">
        <v>198</v>
      </c>
      <c r="D107" s="2" t="s">
        <v>174</v>
      </c>
      <c r="E107" s="2" t="s">
        <v>228</v>
      </c>
      <c r="F107" s="2" t="s">
        <v>98</v>
      </c>
      <c r="G107" s="2">
        <v>93</v>
      </c>
      <c r="H107" s="2" t="s">
        <v>125</v>
      </c>
      <c r="I107" s="2" t="s">
        <v>74</v>
      </c>
      <c r="J107" s="2" t="s">
        <v>163</v>
      </c>
      <c r="K107" s="2" t="s">
        <v>44</v>
      </c>
      <c r="L107" s="6" t="s">
        <v>479</v>
      </c>
      <c r="M107" s="2">
        <v>28</v>
      </c>
      <c r="N107" s="2">
        <v>29</v>
      </c>
      <c r="O107" s="2">
        <v>82</v>
      </c>
      <c r="P107" s="2">
        <v>4787</v>
      </c>
      <c r="Q107" s="2">
        <v>2023</v>
      </c>
      <c r="R107" s="2">
        <v>139</v>
      </c>
      <c r="S107" s="2">
        <v>2321</v>
      </c>
      <c r="T107" s="2">
        <v>913</v>
      </c>
      <c r="U107" s="2">
        <v>161</v>
      </c>
      <c r="V107" s="2">
        <v>72</v>
      </c>
      <c r="W107" s="2">
        <v>5851</v>
      </c>
      <c r="X107" s="9">
        <v>838224</v>
      </c>
      <c r="Y107" s="2" t="s">
        <v>36</v>
      </c>
      <c r="AA107" s="1" t="str">
        <f>TRIM(RPG_dataset[[#This Row],[Username]])</f>
        <v>lira_961</v>
      </c>
      <c r="AB107" s="1" t="str">
        <f>TRIM(RPG_dataset[[#This Row],[First Name]])</f>
        <v>Lira</v>
      </c>
      <c r="AC107" s="1" t="str">
        <f>PROPER(TRIM(RPG_dataset[[#This Row],[Race]]))</f>
        <v>Elf</v>
      </c>
      <c r="AD107" s="1" t="str">
        <f>PROPER(TRIM(RPG_dataset[[#This Row],[Class]]))</f>
        <v>Mage</v>
      </c>
      <c r="AE107" s="1">
        <f>ABS(RPG_dataset[[#This Row],[Level]])</f>
        <v>93</v>
      </c>
      <c r="AF107" s="1">
        <f>ABS(RPG_dataset[[#This Row],[ATK]])</f>
        <v>28</v>
      </c>
      <c r="AG107" s="1">
        <f>ABS(RPG_dataset[[#This Row],[DEF]])</f>
        <v>29</v>
      </c>
      <c r="AH107" s="1">
        <f>ABS(RPG_dataset[[#This Row],[SPD]])</f>
        <v>82</v>
      </c>
      <c r="AI107" s="1">
        <f>ABS(RPG_dataset[[#This Row],[HP]])</f>
        <v>4787</v>
      </c>
      <c r="AJ107" s="1">
        <f>ABS(RPG_dataset[[#This Row],[MP]])</f>
        <v>2023</v>
      </c>
      <c r="AK107" s="1">
        <f>ABS(RPG_dataset[[#This Row],[Total Stat]])</f>
        <v>139</v>
      </c>
      <c r="AL107" s="1">
        <f>ABS(RPG_dataset[[#This Row],[Kills]])</f>
        <v>2321</v>
      </c>
      <c r="AM107" s="12">
        <f>ABS(RPG_dataset[[#This Row],[Win Rate (%)]])</f>
        <v>72</v>
      </c>
      <c r="AN107" s="4">
        <f>ABS(RPG_dataset[[#This Row],[Gold Earned]])</f>
        <v>838224</v>
      </c>
      <c r="AO107" s="5" t="str">
        <f t="shared" si="1"/>
        <v>OK</v>
      </c>
      <c r="AP107" s="5">
        <f>RANK(clean[[#This Row],[Clean Gold]],clean[Clean Gold], 0)</f>
        <v>85</v>
      </c>
      <c r="AQ107" s="1">
        <v>230</v>
      </c>
      <c r="AR107" s="1" t="str" cm="1">
        <f t="array" ref="AR107">_xlfn.IFS(clean[[#This Row],[Clean Level]]&gt;=76, "Legend", clean[[#This Row],[Clean Level]]&gt;=51, "Elite", clean[[#This Row],[Clean Level]]&gt;=26, "Veteran", TRUE, "Rookie")</f>
        <v>Legend</v>
      </c>
      <c r="AS107" s="1" t="str">
        <f>IF(RPG_dataset[[#This Row],[Status]]="Active", "TRUE", "FALSE")</f>
        <v>TRUE</v>
      </c>
      <c r="AT107" s="1" t="str" cm="1">
        <f t="array" ref="AT107">_xlfn.IFS(clean[[#This Row],[Clean Win Rate]]&gt;70, "Excellent", clean[[#This Row],[Clean Win Rate]]&gt;=40, "Average", TRUE, "Poor")</f>
        <v>Excellent</v>
      </c>
      <c r="AU107" s="1" t="str">
        <f>IF(AND(clean[[#This Row],[Clean Level]]&gt;80, clean[[#This Row],[Clean Total Stat]]&gt;350, clean[[#This Row],[Clean Gold]]&gt;500000), "Overpowered", "Normal")</f>
        <v>Normal</v>
      </c>
      <c r="AV107" s="1" t="str" cm="1">
        <f t="array" ref="AV107">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107" s="1" t="str" cm="1">
        <f t="array" ref="AW10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07" s="1"/>
    </row>
    <row r="108" spans="1:50" x14ac:dyDescent="0.3">
      <c r="A108" s="2" t="s">
        <v>480</v>
      </c>
      <c r="B108" s="2" t="s">
        <v>481</v>
      </c>
      <c r="C108" s="2" t="s">
        <v>85</v>
      </c>
      <c r="D108" s="2" t="s">
        <v>210</v>
      </c>
      <c r="E108" s="2" t="s">
        <v>105</v>
      </c>
      <c r="F108" s="2" t="s">
        <v>42</v>
      </c>
      <c r="G108" s="2">
        <v>26</v>
      </c>
      <c r="H108" s="2" t="s">
        <v>31</v>
      </c>
      <c r="I108" s="2" t="s">
        <v>54</v>
      </c>
      <c r="J108" s="2" t="s">
        <v>163</v>
      </c>
      <c r="K108" s="2" t="s">
        <v>44</v>
      </c>
      <c r="L108" s="6" t="s">
        <v>482</v>
      </c>
      <c r="M108" s="2">
        <v>136</v>
      </c>
      <c r="N108" s="2">
        <v>104</v>
      </c>
      <c r="O108" s="2">
        <v>68</v>
      </c>
      <c r="P108" s="2">
        <v>1526</v>
      </c>
      <c r="Q108" s="2">
        <v>1754</v>
      </c>
      <c r="R108" s="2">
        <v>308</v>
      </c>
      <c r="S108" s="2">
        <v>497</v>
      </c>
      <c r="T108" s="2">
        <v>537</v>
      </c>
      <c r="U108" s="2">
        <v>57</v>
      </c>
      <c r="V108" s="2">
        <v>48</v>
      </c>
      <c r="W108" s="2">
        <v>1078</v>
      </c>
      <c r="X108" s="9">
        <v>780620</v>
      </c>
      <c r="Y108" s="2" t="s">
        <v>46</v>
      </c>
      <c r="AA108" s="1" t="str">
        <f>TRIM(RPG_dataset[[#This Row],[Username]])</f>
        <v>delia_570</v>
      </c>
      <c r="AB108" s="1" t="str">
        <f>TRIM(RPG_dataset[[#This Row],[First Name]])</f>
        <v>Delia</v>
      </c>
      <c r="AC108" s="1" t="str">
        <f>PROPER(TRIM(RPG_dataset[[#This Row],[Race]]))</f>
        <v>Orc</v>
      </c>
      <c r="AD108" s="1" t="str">
        <f>PROPER(TRIM(RPG_dataset[[#This Row],[Class]]))</f>
        <v>Monk</v>
      </c>
      <c r="AE108" s="1">
        <f>ABS(RPG_dataset[[#This Row],[Level]])</f>
        <v>26</v>
      </c>
      <c r="AF108" s="1">
        <f>ABS(RPG_dataset[[#This Row],[ATK]])</f>
        <v>136</v>
      </c>
      <c r="AG108" s="1">
        <f>ABS(RPG_dataset[[#This Row],[DEF]])</f>
        <v>104</v>
      </c>
      <c r="AH108" s="1">
        <f>ABS(RPG_dataset[[#This Row],[SPD]])</f>
        <v>68</v>
      </c>
      <c r="AI108" s="1">
        <f>ABS(RPG_dataset[[#This Row],[HP]])</f>
        <v>1526</v>
      </c>
      <c r="AJ108" s="1">
        <f>ABS(RPG_dataset[[#This Row],[MP]])</f>
        <v>1754</v>
      </c>
      <c r="AK108" s="1">
        <f>ABS(RPG_dataset[[#This Row],[Total Stat]])</f>
        <v>308</v>
      </c>
      <c r="AL108" s="1">
        <f>ABS(RPG_dataset[[#This Row],[Kills]])</f>
        <v>497</v>
      </c>
      <c r="AM108" s="12">
        <f>ABS(RPG_dataset[[#This Row],[Win Rate (%)]])</f>
        <v>48</v>
      </c>
      <c r="AN108" s="4">
        <f>ABS(RPG_dataset[[#This Row],[Gold Earned]])</f>
        <v>780620</v>
      </c>
      <c r="AO108" s="5" t="str">
        <f t="shared" si="1"/>
        <v>OK</v>
      </c>
      <c r="AP108" s="5">
        <f>RANK(clean[[#This Row],[Clean Gold]],clean[Clean Gold], 0)</f>
        <v>118</v>
      </c>
      <c r="AQ108" s="1">
        <v>264</v>
      </c>
      <c r="AR108" s="1" t="str" cm="1">
        <f t="array" ref="AR108">_xlfn.IFS(clean[[#This Row],[Clean Level]]&gt;=76, "Legend", clean[[#This Row],[Clean Level]]&gt;=51, "Elite", clean[[#This Row],[Clean Level]]&gt;=26, "Veteran", TRUE, "Rookie")</f>
        <v>Veteran</v>
      </c>
      <c r="AS108" s="1" t="str">
        <f>IF(RPG_dataset[[#This Row],[Status]]="Active", "TRUE", "FALSE")</f>
        <v>TRUE</v>
      </c>
      <c r="AT108" s="1" t="str" cm="1">
        <f t="array" ref="AT108">_xlfn.IFS(clean[[#This Row],[Clean Win Rate]]&gt;70, "Excellent", clean[[#This Row],[Clean Win Rate]]&gt;=40, "Average", TRUE, "Poor")</f>
        <v>Average</v>
      </c>
      <c r="AU108" s="1" t="str">
        <f>IF(AND(clean[[#This Row],[Clean Level]]&gt;80, clean[[#This Row],[Clean Total Stat]]&gt;350, clean[[#This Row],[Clean Gold]]&gt;500000), "Overpowered", "Normal")</f>
        <v>Normal</v>
      </c>
      <c r="AV108" s="1" t="str" cm="1">
        <f t="array" ref="AV108">_xlfn.IFS(
(AND(OR(clean[[#This Row],[Tier]]="Elite", clean[[#This Row],[Tier]]="Legend"), clean[[#This Row],[Performance]]="Excellent", RPG_dataset[[#This Row],[Is Premium]]="Yes")), "High", OR(OR(clean[[#This Row],[Tier]]="Elite", clean[[#This Row],[Tier]]="Legend"), clean[[#This Row],[Performance]]="Excellent", RPG_dataset[[#This Row],[Is Premium]]="Yes"), "Medium", TRUE, "Low")</f>
        <v>Low</v>
      </c>
      <c r="AW108" s="1" t="str" cm="1">
        <f t="array" ref="AW10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108" s="1"/>
    </row>
    <row r="109" spans="1:50" x14ac:dyDescent="0.3">
      <c r="A109" s="2" t="s">
        <v>483</v>
      </c>
      <c r="B109" s="2" t="s">
        <v>484</v>
      </c>
      <c r="C109" s="2" t="s">
        <v>238</v>
      </c>
      <c r="D109" s="2" t="s">
        <v>119</v>
      </c>
      <c r="E109" s="2" t="s">
        <v>60</v>
      </c>
      <c r="F109" s="2" t="s">
        <v>194</v>
      </c>
      <c r="G109" s="2">
        <v>43</v>
      </c>
      <c r="H109" s="2" t="s">
        <v>43</v>
      </c>
      <c r="I109" s="2" t="s">
        <v>74</v>
      </c>
      <c r="J109" s="2" t="s">
        <v>33</v>
      </c>
      <c r="K109" s="2" t="s">
        <v>44</v>
      </c>
      <c r="L109" s="6" t="s">
        <v>485</v>
      </c>
      <c r="M109" s="2">
        <v>144</v>
      </c>
      <c r="N109" s="2">
        <v>53</v>
      </c>
      <c r="O109" s="2">
        <v>93</v>
      </c>
      <c r="P109" s="2">
        <v>2131</v>
      </c>
      <c r="Q109" s="2">
        <v>2689</v>
      </c>
      <c r="R109" s="2">
        <v>290</v>
      </c>
      <c r="S109" s="2">
        <v>1726</v>
      </c>
      <c r="T109" s="2">
        <v>527</v>
      </c>
      <c r="U109" s="2">
        <v>122</v>
      </c>
      <c r="V109" s="2">
        <v>77</v>
      </c>
      <c r="W109" s="2">
        <v>6630</v>
      </c>
      <c r="X109" s="9">
        <v>27213</v>
      </c>
      <c r="Y109" s="2" t="s">
        <v>36</v>
      </c>
      <c r="AA109" s="1" t="str">
        <f>TRIM(RPG_dataset[[#This Row],[Username]])</f>
        <v>cael_897</v>
      </c>
      <c r="AB109" s="1" t="str">
        <f>TRIM(RPG_dataset[[#This Row],[First Name]])</f>
        <v>Cael</v>
      </c>
      <c r="AC109" s="1" t="str">
        <f>PROPER(TRIM(RPG_dataset[[#This Row],[Race]]))</f>
        <v>Human</v>
      </c>
      <c r="AD109" s="1" t="str">
        <f>PROPER(TRIM(RPG_dataset[[#This Row],[Class]]))</f>
        <v>Paladin</v>
      </c>
      <c r="AE109" s="1">
        <f>ABS(RPG_dataset[[#This Row],[Level]])</f>
        <v>43</v>
      </c>
      <c r="AF109" s="1">
        <f>ABS(RPG_dataset[[#This Row],[ATK]])</f>
        <v>144</v>
      </c>
      <c r="AG109" s="1">
        <f>ABS(RPG_dataset[[#This Row],[DEF]])</f>
        <v>53</v>
      </c>
      <c r="AH109" s="1">
        <f>ABS(RPG_dataset[[#This Row],[SPD]])</f>
        <v>93</v>
      </c>
      <c r="AI109" s="1">
        <f>ABS(RPG_dataset[[#This Row],[HP]])</f>
        <v>2131</v>
      </c>
      <c r="AJ109" s="1">
        <f>ABS(RPG_dataset[[#This Row],[MP]])</f>
        <v>2689</v>
      </c>
      <c r="AK109" s="1">
        <f>ABS(RPG_dataset[[#This Row],[Total Stat]])</f>
        <v>290</v>
      </c>
      <c r="AL109" s="1">
        <f>ABS(RPG_dataset[[#This Row],[Kills]])</f>
        <v>1726</v>
      </c>
      <c r="AM109" s="12">
        <f>ABS(RPG_dataset[[#This Row],[Win Rate (%)]])</f>
        <v>77</v>
      </c>
      <c r="AN109" s="4">
        <f>ABS(RPG_dataset[[#This Row],[Gold Earned]])</f>
        <v>27213</v>
      </c>
      <c r="AO109" s="5" t="str">
        <f t="shared" si="1"/>
        <v>OK</v>
      </c>
      <c r="AP109" s="5">
        <f>RANK(clean[[#This Row],[Clean Gold]],clean[Clean Gold], 0)</f>
        <v>469</v>
      </c>
      <c r="AQ109" s="1">
        <v>311</v>
      </c>
      <c r="AR109" s="1" t="str" cm="1">
        <f t="array" ref="AR109">_xlfn.IFS(clean[[#This Row],[Clean Level]]&gt;=76, "Legend", clean[[#This Row],[Clean Level]]&gt;=51, "Elite", clean[[#This Row],[Clean Level]]&gt;=26, "Veteran", TRUE, "Rookie")</f>
        <v>Veteran</v>
      </c>
      <c r="AS109" s="1" t="str">
        <f>IF(RPG_dataset[[#This Row],[Status]]="Active", "TRUE", "FALSE")</f>
        <v>TRUE</v>
      </c>
      <c r="AT109" s="1" t="str" cm="1">
        <f t="array" ref="AT109">_xlfn.IFS(clean[[#This Row],[Clean Win Rate]]&gt;70, "Excellent", clean[[#This Row],[Clean Win Rate]]&gt;=40, "Average", TRUE, "Poor")</f>
        <v>Excellent</v>
      </c>
      <c r="AU109" s="1" t="str">
        <f>IF(AND(clean[[#This Row],[Clean Level]]&gt;80, clean[[#This Row],[Clean Total Stat]]&gt;350, clean[[#This Row],[Clean Gold]]&gt;500000), "Overpowered", "Normal")</f>
        <v>Normal</v>
      </c>
      <c r="AV109" s="1" t="str" cm="1">
        <f t="array" ref="AV10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09" s="1" t="str" cm="1">
        <f t="array" ref="AW10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09" s="1"/>
    </row>
    <row r="110" spans="1:50" x14ac:dyDescent="0.3">
      <c r="A110" s="2" t="s">
        <v>486</v>
      </c>
      <c r="B110" s="2" t="s">
        <v>487</v>
      </c>
      <c r="C110" s="2" t="s">
        <v>233</v>
      </c>
      <c r="D110" s="2" t="s">
        <v>488</v>
      </c>
      <c r="E110" s="2" t="s">
        <v>60</v>
      </c>
      <c r="F110" s="2" t="s">
        <v>52</v>
      </c>
      <c r="G110" s="2">
        <v>85</v>
      </c>
      <c r="H110" s="2" t="s">
        <v>157</v>
      </c>
      <c r="I110" s="2" t="s">
        <v>63</v>
      </c>
      <c r="J110" s="2" t="s">
        <v>81</v>
      </c>
      <c r="K110" s="2" t="s">
        <v>34</v>
      </c>
      <c r="L110" s="6" t="s">
        <v>489</v>
      </c>
      <c r="M110" s="2">
        <v>45</v>
      </c>
      <c r="N110" s="2">
        <v>-94</v>
      </c>
      <c r="O110" s="2">
        <v>111</v>
      </c>
      <c r="P110" s="2">
        <v>2116</v>
      </c>
      <c r="Q110" s="2">
        <v>605</v>
      </c>
      <c r="R110" s="2">
        <v>250</v>
      </c>
      <c r="S110" s="2">
        <v>2051</v>
      </c>
      <c r="T110" s="2">
        <v>910</v>
      </c>
      <c r="U110" s="2">
        <v>91</v>
      </c>
      <c r="V110" s="2">
        <v>69</v>
      </c>
      <c r="W110" s="2">
        <v>3295</v>
      </c>
      <c r="X110" s="9">
        <v>301385</v>
      </c>
      <c r="Y110" s="2" t="s">
        <v>36</v>
      </c>
      <c r="AA110" s="1" t="str">
        <f>TRIM(RPG_dataset[[#This Row],[Username]])</f>
        <v>finn_825</v>
      </c>
      <c r="AB110" s="1" t="str">
        <f>TRIM(RPG_dataset[[#This Row],[First Name]])</f>
        <v>Finn</v>
      </c>
      <c r="AC110" s="1" t="str">
        <f>PROPER(TRIM(RPG_dataset[[#This Row],[Race]]))</f>
        <v>Human</v>
      </c>
      <c r="AD110" s="1" t="str">
        <f>PROPER(TRIM(RPG_dataset[[#This Row],[Class]]))</f>
        <v>Bard</v>
      </c>
      <c r="AE110" s="1">
        <f>ABS(RPG_dataset[[#This Row],[Level]])</f>
        <v>85</v>
      </c>
      <c r="AF110" s="1">
        <f>ABS(RPG_dataset[[#This Row],[ATK]])</f>
        <v>45</v>
      </c>
      <c r="AG110" s="1">
        <f>ABS(RPG_dataset[[#This Row],[DEF]])</f>
        <v>94</v>
      </c>
      <c r="AH110" s="1">
        <f>ABS(RPG_dataset[[#This Row],[SPD]])</f>
        <v>111</v>
      </c>
      <c r="AI110" s="1">
        <f>ABS(RPG_dataset[[#This Row],[HP]])</f>
        <v>2116</v>
      </c>
      <c r="AJ110" s="1">
        <f>ABS(RPG_dataset[[#This Row],[MP]])</f>
        <v>605</v>
      </c>
      <c r="AK110" s="1">
        <f>ABS(RPG_dataset[[#This Row],[Total Stat]])</f>
        <v>250</v>
      </c>
      <c r="AL110" s="1">
        <f>ABS(RPG_dataset[[#This Row],[Kills]])</f>
        <v>2051</v>
      </c>
      <c r="AM110" s="12">
        <f>ABS(RPG_dataset[[#This Row],[Win Rate (%)]])</f>
        <v>69</v>
      </c>
      <c r="AN110" s="4">
        <f>ABS(RPG_dataset[[#This Row],[Gold Earned]])</f>
        <v>301385</v>
      </c>
      <c r="AO110" s="5" t="str">
        <f t="shared" si="1"/>
        <v>OK</v>
      </c>
      <c r="AP110" s="5">
        <f>RANK(clean[[#This Row],[Clean Gold]],clean[Clean Gold], 0)</f>
        <v>353</v>
      </c>
      <c r="AQ110" s="1"/>
      <c r="AR110" s="1" t="str" cm="1">
        <f t="array" ref="AR110">_xlfn.IFS(clean[[#This Row],[Clean Level]]&gt;=76, "Legend", clean[[#This Row],[Clean Level]]&gt;=51, "Elite", clean[[#This Row],[Clean Level]]&gt;=26, "Veteran", TRUE, "Rookie")</f>
        <v>Legend</v>
      </c>
      <c r="AS110" s="1" t="str">
        <f>IF(RPG_dataset[[#This Row],[Status]]="Active", "TRUE", "FALSE")</f>
        <v>FALSE</v>
      </c>
      <c r="AT110" s="1" t="str" cm="1">
        <f t="array" ref="AT110">_xlfn.IFS(clean[[#This Row],[Clean Win Rate]]&gt;70, "Excellent", clean[[#This Row],[Clean Win Rate]]&gt;=40, "Average", TRUE, "Poor")</f>
        <v>Average</v>
      </c>
      <c r="AU110" s="1" t="str">
        <f>IF(AND(clean[[#This Row],[Clean Level]]&gt;80, clean[[#This Row],[Clean Total Stat]]&gt;350, clean[[#This Row],[Clean Gold]]&gt;500000), "Overpowered", "Normal")</f>
        <v>Normal</v>
      </c>
      <c r="AV110" s="1" t="str" cm="1">
        <f t="array" ref="AV11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10" s="1" t="str" cm="1">
        <f t="array" ref="AW11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10" s="1"/>
    </row>
    <row r="111" spans="1:50" x14ac:dyDescent="0.3">
      <c r="A111" s="2" t="s">
        <v>490</v>
      </c>
      <c r="B111" s="2" t="s">
        <v>491</v>
      </c>
      <c r="C111" s="2" t="s">
        <v>97</v>
      </c>
      <c r="D111" s="2" t="s">
        <v>155</v>
      </c>
      <c r="E111" s="2" t="s">
        <v>105</v>
      </c>
      <c r="F111" s="2" t="s">
        <v>61</v>
      </c>
      <c r="G111" s="2">
        <v>69</v>
      </c>
      <c r="H111" s="2" t="s">
        <v>157</v>
      </c>
      <c r="I111" s="2" t="s">
        <v>63</v>
      </c>
      <c r="J111" s="2" t="s">
        <v>92</v>
      </c>
      <c r="K111" s="2" t="s">
        <v>34</v>
      </c>
      <c r="L111" s="6" t="s">
        <v>492</v>
      </c>
      <c r="M111" s="2">
        <v>108</v>
      </c>
      <c r="N111" s="2">
        <v>76</v>
      </c>
      <c r="O111" s="2">
        <v>10</v>
      </c>
      <c r="P111" s="2">
        <v>711</v>
      </c>
      <c r="Q111" s="2">
        <v>2120</v>
      </c>
      <c r="R111" s="2">
        <v>194</v>
      </c>
      <c r="S111" s="2">
        <v>4665</v>
      </c>
      <c r="T111" s="2">
        <v>784</v>
      </c>
      <c r="U111" s="2">
        <v>268</v>
      </c>
      <c r="V111" s="2">
        <v>86</v>
      </c>
      <c r="W111" s="2">
        <v>7440</v>
      </c>
      <c r="X111" s="9">
        <v>347044</v>
      </c>
      <c r="Y111" s="2" t="s">
        <v>46</v>
      </c>
      <c r="AA111" s="1" t="str">
        <f>TRIM(RPG_dataset[[#This Row],[Username]])</f>
        <v>hana_902</v>
      </c>
      <c r="AB111" s="1" t="str">
        <f>TRIM(RPG_dataset[[#This Row],[First Name]])</f>
        <v>Hana</v>
      </c>
      <c r="AC111" s="1" t="str">
        <f>PROPER(TRIM(RPG_dataset[[#This Row],[Race]]))</f>
        <v>Orc</v>
      </c>
      <c r="AD111" s="1" t="str">
        <f>PROPER(TRIM(RPG_dataset[[#This Row],[Class]]))</f>
        <v>Ranger</v>
      </c>
      <c r="AE111" s="1">
        <f>ABS(RPG_dataset[[#This Row],[Level]])</f>
        <v>69</v>
      </c>
      <c r="AF111" s="1">
        <f>ABS(RPG_dataset[[#This Row],[ATK]])</f>
        <v>108</v>
      </c>
      <c r="AG111" s="1">
        <f>ABS(RPG_dataset[[#This Row],[DEF]])</f>
        <v>76</v>
      </c>
      <c r="AH111" s="1">
        <f>ABS(RPG_dataset[[#This Row],[SPD]])</f>
        <v>10</v>
      </c>
      <c r="AI111" s="1">
        <f>ABS(RPG_dataset[[#This Row],[HP]])</f>
        <v>711</v>
      </c>
      <c r="AJ111" s="1">
        <f>ABS(RPG_dataset[[#This Row],[MP]])</f>
        <v>2120</v>
      </c>
      <c r="AK111" s="1">
        <f>ABS(RPG_dataset[[#This Row],[Total Stat]])</f>
        <v>194</v>
      </c>
      <c r="AL111" s="1">
        <f>ABS(RPG_dataset[[#This Row],[Kills]])</f>
        <v>4665</v>
      </c>
      <c r="AM111" s="12">
        <f>ABS(RPG_dataset[[#This Row],[Win Rate (%)]])</f>
        <v>86</v>
      </c>
      <c r="AN111" s="4">
        <f>ABS(RPG_dataset[[#This Row],[Gold Earned]])</f>
        <v>347044</v>
      </c>
      <c r="AO111" s="5" t="str">
        <f t="shared" si="1"/>
        <v>OK</v>
      </c>
      <c r="AP111" s="5">
        <f>RANK(clean[[#This Row],[Clean Gold]],clean[Clean Gold], 0)</f>
        <v>331</v>
      </c>
      <c r="AQ111" s="1">
        <v>206</v>
      </c>
      <c r="AR111" s="1" t="str" cm="1">
        <f t="array" ref="AR111">_xlfn.IFS(clean[[#This Row],[Clean Level]]&gt;=76, "Legend", clean[[#This Row],[Clean Level]]&gt;=51, "Elite", clean[[#This Row],[Clean Level]]&gt;=26, "Veteran", TRUE, "Rookie")</f>
        <v>Elite</v>
      </c>
      <c r="AS111" s="1" t="str">
        <f>IF(RPG_dataset[[#This Row],[Status]]="Active", "TRUE", "FALSE")</f>
        <v>FALSE</v>
      </c>
      <c r="AT111" s="1" t="str" cm="1">
        <f t="array" ref="AT111">_xlfn.IFS(clean[[#This Row],[Clean Win Rate]]&gt;70, "Excellent", clean[[#This Row],[Clean Win Rate]]&gt;=40, "Average", TRUE, "Poor")</f>
        <v>Excellent</v>
      </c>
      <c r="AU111" s="1" t="str">
        <f>IF(AND(clean[[#This Row],[Clean Level]]&gt;80, clean[[#This Row],[Clean Total Stat]]&gt;350, clean[[#This Row],[Clean Gold]]&gt;500000), "Overpowered", "Normal")</f>
        <v>Normal</v>
      </c>
      <c r="AV111" s="1" t="str" cm="1">
        <f t="array" ref="AV11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11" s="1" t="str" cm="1">
        <f t="array" ref="AW11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11" s="1"/>
    </row>
    <row r="112" spans="1:50" x14ac:dyDescent="0.3">
      <c r="A112" s="2" t="s">
        <v>493</v>
      </c>
      <c r="B112" s="2" t="s">
        <v>494</v>
      </c>
      <c r="C112" s="2" t="s">
        <v>233</v>
      </c>
      <c r="D112" s="2" t="s">
        <v>495</v>
      </c>
      <c r="E112" s="2" t="s">
        <v>60</v>
      </c>
      <c r="F112" s="2" t="s">
        <v>52</v>
      </c>
      <c r="G112" s="2">
        <v>47</v>
      </c>
      <c r="H112" s="2" t="s">
        <v>53</v>
      </c>
      <c r="I112" s="2" t="s">
        <v>87</v>
      </c>
      <c r="J112" s="2" t="s">
        <v>163</v>
      </c>
      <c r="K112" s="2" t="s">
        <v>44</v>
      </c>
      <c r="L112" s="6" t="s">
        <v>496</v>
      </c>
      <c r="M112" s="2">
        <v>81</v>
      </c>
      <c r="N112" s="2">
        <v>46</v>
      </c>
      <c r="O112" s="2">
        <v>68</v>
      </c>
      <c r="P112" s="2">
        <v>4662</v>
      </c>
      <c r="Q112" s="2"/>
      <c r="R112" s="2">
        <v>195</v>
      </c>
      <c r="S112" s="2">
        <v>4349</v>
      </c>
      <c r="T112" s="2">
        <v>337</v>
      </c>
      <c r="U112" s="2"/>
      <c r="V112" s="2">
        <v>93</v>
      </c>
      <c r="W112" s="2">
        <v>4319</v>
      </c>
      <c r="X112" s="9">
        <v>121668</v>
      </c>
      <c r="Y112" s="2" t="s">
        <v>36</v>
      </c>
      <c r="AA112" s="1" t="str">
        <f>TRIM(RPG_dataset[[#This Row],[Username]])</f>
        <v>finn_703</v>
      </c>
      <c r="AB112" s="1" t="str">
        <f>TRIM(RPG_dataset[[#This Row],[First Name]])</f>
        <v>Finn</v>
      </c>
      <c r="AC112" s="1" t="str">
        <f>PROPER(TRIM(RPG_dataset[[#This Row],[Race]]))</f>
        <v>Human</v>
      </c>
      <c r="AD112" s="1" t="str">
        <f>PROPER(TRIM(RPG_dataset[[#This Row],[Class]]))</f>
        <v>Bard</v>
      </c>
      <c r="AE112" s="1">
        <f>ABS(RPG_dataset[[#This Row],[Level]])</f>
        <v>47</v>
      </c>
      <c r="AF112" s="1">
        <f>ABS(RPG_dataset[[#This Row],[ATK]])</f>
        <v>81</v>
      </c>
      <c r="AG112" s="1">
        <f>ABS(RPG_dataset[[#This Row],[DEF]])</f>
        <v>46</v>
      </c>
      <c r="AH112" s="1">
        <f>ABS(RPG_dataset[[#This Row],[SPD]])</f>
        <v>68</v>
      </c>
      <c r="AI112" s="1">
        <f>ABS(RPG_dataset[[#This Row],[HP]])</f>
        <v>4662</v>
      </c>
      <c r="AJ112" s="1">
        <f>ABS(RPG_dataset[[#This Row],[MP]])</f>
        <v>0</v>
      </c>
      <c r="AK112" s="1">
        <f>ABS(RPG_dataset[[#This Row],[Total Stat]])</f>
        <v>195</v>
      </c>
      <c r="AL112" s="1">
        <f>ABS(RPG_dataset[[#This Row],[Kills]])</f>
        <v>4349</v>
      </c>
      <c r="AM112" s="12">
        <f>ABS(RPG_dataset[[#This Row],[Win Rate (%)]])</f>
        <v>93</v>
      </c>
      <c r="AN112" s="4">
        <f>ABS(RPG_dataset[[#This Row],[Gold Earned]])</f>
        <v>121668</v>
      </c>
      <c r="AO112" s="5" t="str">
        <f t="shared" si="1"/>
        <v>OK</v>
      </c>
      <c r="AP112" s="5">
        <f>RANK(clean[[#This Row],[Clean Gold]],clean[Clean Gold], 0)</f>
        <v>427</v>
      </c>
      <c r="AQ112" s="1">
        <v>164</v>
      </c>
      <c r="AR112" s="1" t="str" cm="1">
        <f t="array" ref="AR112">_xlfn.IFS(clean[[#This Row],[Clean Level]]&gt;=76, "Legend", clean[[#This Row],[Clean Level]]&gt;=51, "Elite", clean[[#This Row],[Clean Level]]&gt;=26, "Veteran", TRUE, "Rookie")</f>
        <v>Veteran</v>
      </c>
      <c r="AS112" s="1" t="str">
        <f>IF(RPG_dataset[[#This Row],[Status]]="Active", "TRUE", "FALSE")</f>
        <v>TRUE</v>
      </c>
      <c r="AT112" s="1" t="str" cm="1">
        <f t="array" ref="AT112">_xlfn.IFS(clean[[#This Row],[Clean Win Rate]]&gt;70, "Excellent", clean[[#This Row],[Clean Win Rate]]&gt;=40, "Average", TRUE, "Poor")</f>
        <v>Excellent</v>
      </c>
      <c r="AU112" s="1" t="str">
        <f>IF(AND(clean[[#This Row],[Clean Level]]&gt;80, clean[[#This Row],[Clean Total Stat]]&gt;350, clean[[#This Row],[Clean Gold]]&gt;500000), "Overpowered", "Normal")</f>
        <v>Normal</v>
      </c>
      <c r="AV112" s="1" t="str" cm="1">
        <f t="array" ref="AV11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12" s="1" t="str" cm="1">
        <f t="array" ref="AW11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12" s="1"/>
    </row>
    <row r="113" spans="1:50" x14ac:dyDescent="0.3">
      <c r="A113" s="2" t="s">
        <v>497</v>
      </c>
      <c r="B113" s="2" t="s">
        <v>498</v>
      </c>
      <c r="C113" s="2" t="s">
        <v>271</v>
      </c>
      <c r="D113" s="2" t="s">
        <v>401</v>
      </c>
      <c r="E113" s="2" t="s">
        <v>51</v>
      </c>
      <c r="F113" s="2" t="s">
        <v>499</v>
      </c>
      <c r="G113" s="2">
        <v>37</v>
      </c>
      <c r="H113" s="2" t="s">
        <v>80</v>
      </c>
      <c r="I113" s="2" t="s">
        <v>54</v>
      </c>
      <c r="J113" s="2" t="s">
        <v>88</v>
      </c>
      <c r="K113" s="2" t="s">
        <v>44</v>
      </c>
      <c r="L113" s="6" t="s">
        <v>500</v>
      </c>
      <c r="M113" s="2">
        <v>136</v>
      </c>
      <c r="N113" s="2">
        <v>74</v>
      </c>
      <c r="O113" s="2">
        <v>100</v>
      </c>
      <c r="P113" s="2">
        <v>1335</v>
      </c>
      <c r="Q113" s="2">
        <v>593</v>
      </c>
      <c r="R113" s="2">
        <v>310</v>
      </c>
      <c r="S113" s="2">
        <v>635</v>
      </c>
      <c r="T113" s="2">
        <v>370</v>
      </c>
      <c r="U113" s="2">
        <v>245</v>
      </c>
      <c r="V113" s="2">
        <v>63</v>
      </c>
      <c r="W113" s="2">
        <v>3000</v>
      </c>
      <c r="X113" s="2"/>
      <c r="Y113" s="2" t="s">
        <v>36</v>
      </c>
      <c r="AA113" s="1" t="str">
        <f>TRIM(RPG_dataset[[#This Row],[Username]])</f>
        <v>vesper_667</v>
      </c>
      <c r="AB113" s="1" t="str">
        <f>TRIM(RPG_dataset[[#This Row],[First Name]])</f>
        <v>Vesper</v>
      </c>
      <c r="AC113" s="1" t="str">
        <f>PROPER(TRIM(RPG_dataset[[#This Row],[Race]]))</f>
        <v>Tiefling</v>
      </c>
      <c r="AD113" s="1" t="str">
        <f>PROPER(TRIM(RPG_dataset[[#This Row],[Class]]))</f>
        <v>Monk</v>
      </c>
      <c r="AE113" s="1">
        <f>ABS(RPG_dataset[[#This Row],[Level]])</f>
        <v>37</v>
      </c>
      <c r="AF113" s="1">
        <f>ABS(RPG_dataset[[#This Row],[ATK]])</f>
        <v>136</v>
      </c>
      <c r="AG113" s="1">
        <f>ABS(RPG_dataset[[#This Row],[DEF]])</f>
        <v>74</v>
      </c>
      <c r="AH113" s="1">
        <f>ABS(RPG_dataset[[#This Row],[SPD]])</f>
        <v>100</v>
      </c>
      <c r="AI113" s="1">
        <f>ABS(RPG_dataset[[#This Row],[HP]])</f>
        <v>1335</v>
      </c>
      <c r="AJ113" s="1">
        <f>ABS(RPG_dataset[[#This Row],[MP]])</f>
        <v>593</v>
      </c>
      <c r="AK113" s="1">
        <f>ABS(RPG_dataset[[#This Row],[Total Stat]])</f>
        <v>310</v>
      </c>
      <c r="AL113" s="1">
        <f>ABS(RPG_dataset[[#This Row],[Kills]])</f>
        <v>635</v>
      </c>
      <c r="AM113" s="12">
        <f>ABS(RPG_dataset[[#This Row],[Win Rate (%)]])</f>
        <v>63</v>
      </c>
      <c r="AN113" s="4">
        <f>ABS(RPG_dataset[[#This Row],[Gold Earned]])</f>
        <v>0</v>
      </c>
      <c r="AO113" s="5" t="str">
        <f t="shared" si="1"/>
        <v>OK</v>
      </c>
      <c r="AP113" s="5">
        <f>RANK(clean[[#This Row],[Clean Gold]],clean[Clean Gold], 0)</f>
        <v>486</v>
      </c>
      <c r="AQ113" s="1">
        <v>115</v>
      </c>
      <c r="AR113" s="1" t="str" cm="1">
        <f t="array" ref="AR113">_xlfn.IFS(clean[[#This Row],[Clean Level]]&gt;=76, "Legend", clean[[#This Row],[Clean Level]]&gt;=51, "Elite", clean[[#This Row],[Clean Level]]&gt;=26, "Veteran", TRUE, "Rookie")</f>
        <v>Veteran</v>
      </c>
      <c r="AS113" s="1" t="str">
        <f>IF(RPG_dataset[[#This Row],[Status]]="Active", "TRUE", "FALSE")</f>
        <v>TRUE</v>
      </c>
      <c r="AT113" s="1" t="str" cm="1">
        <f t="array" ref="AT113">_xlfn.IFS(clean[[#This Row],[Clean Win Rate]]&gt;70, "Excellent", clean[[#This Row],[Clean Win Rate]]&gt;=40, "Average", TRUE, "Poor")</f>
        <v>Average</v>
      </c>
      <c r="AU113" s="1" t="str">
        <f>IF(AND(clean[[#This Row],[Clean Level]]&gt;80, clean[[#This Row],[Clean Total Stat]]&gt;350, clean[[#This Row],[Clean Gold]]&gt;500000), "Overpowered", "Normal")</f>
        <v>Normal</v>
      </c>
      <c r="AV113" s="1" t="str" cm="1">
        <f t="array" ref="AV11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13" s="1" t="str" cm="1">
        <f t="array" ref="AW11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13" s="1"/>
    </row>
    <row r="114" spans="1:50" x14ac:dyDescent="0.3">
      <c r="A114" s="2" t="s">
        <v>501</v>
      </c>
      <c r="B114" s="2" t="s">
        <v>502</v>
      </c>
      <c r="C114" s="2" t="s">
        <v>296</v>
      </c>
      <c r="D114" s="2" t="s">
        <v>503</v>
      </c>
      <c r="E114" s="2" t="s">
        <v>60</v>
      </c>
      <c r="F114" s="2" t="s">
        <v>98</v>
      </c>
      <c r="G114" s="2">
        <v>60</v>
      </c>
      <c r="H114" s="2" t="s">
        <v>53</v>
      </c>
      <c r="I114" s="2" t="s">
        <v>74</v>
      </c>
      <c r="J114" s="2" t="s">
        <v>120</v>
      </c>
      <c r="K114" s="2" t="s">
        <v>106</v>
      </c>
      <c r="L114" s="6" t="s">
        <v>504</v>
      </c>
      <c r="M114" s="2">
        <v>19</v>
      </c>
      <c r="N114" s="2">
        <v>87</v>
      </c>
      <c r="O114" s="2">
        <v>87</v>
      </c>
      <c r="P114" s="2">
        <v>1784</v>
      </c>
      <c r="Q114" s="2">
        <v>2142</v>
      </c>
      <c r="R114" s="2"/>
      <c r="S114" s="2">
        <v>785</v>
      </c>
      <c r="T114" s="2">
        <v>173</v>
      </c>
      <c r="U114" s="2">
        <v>236</v>
      </c>
      <c r="V114" s="2">
        <v>82</v>
      </c>
      <c r="W114" s="2">
        <v>5396</v>
      </c>
      <c r="X114" s="9">
        <v>500364</v>
      </c>
      <c r="Y114" s="2" t="s">
        <v>46</v>
      </c>
      <c r="AA114" s="1" t="str">
        <f>TRIM(RPG_dataset[[#This Row],[Username]])</f>
        <v>gareth_860</v>
      </c>
      <c r="AB114" s="1" t="str">
        <f>TRIM(RPG_dataset[[#This Row],[First Name]])</f>
        <v>Gareth</v>
      </c>
      <c r="AC114" s="1" t="str">
        <f>PROPER(TRIM(RPG_dataset[[#This Row],[Race]]))</f>
        <v>Human</v>
      </c>
      <c r="AD114" s="1" t="str">
        <f>PROPER(TRIM(RPG_dataset[[#This Row],[Class]]))</f>
        <v>Mage</v>
      </c>
      <c r="AE114" s="1">
        <f>ABS(RPG_dataset[[#This Row],[Level]])</f>
        <v>60</v>
      </c>
      <c r="AF114" s="1">
        <f>ABS(RPG_dataset[[#This Row],[ATK]])</f>
        <v>19</v>
      </c>
      <c r="AG114" s="1">
        <f>ABS(RPG_dataset[[#This Row],[DEF]])</f>
        <v>87</v>
      </c>
      <c r="AH114" s="1">
        <f>ABS(RPG_dataset[[#This Row],[SPD]])</f>
        <v>87</v>
      </c>
      <c r="AI114" s="1">
        <f>ABS(RPG_dataset[[#This Row],[HP]])</f>
        <v>1784</v>
      </c>
      <c r="AJ114" s="1">
        <f>ABS(RPG_dataset[[#This Row],[MP]])</f>
        <v>2142</v>
      </c>
      <c r="AK114" s="1">
        <f>ABS(RPG_dataset[[#This Row],[Total Stat]])</f>
        <v>0</v>
      </c>
      <c r="AL114" s="1">
        <f>ABS(RPG_dataset[[#This Row],[Kills]])</f>
        <v>785</v>
      </c>
      <c r="AM114" s="12">
        <f>ABS(RPG_dataset[[#This Row],[Win Rate (%)]])</f>
        <v>82</v>
      </c>
      <c r="AN114" s="4">
        <f>ABS(RPG_dataset[[#This Row],[Gold Earned]])</f>
        <v>500364</v>
      </c>
      <c r="AO114" s="5" t="str">
        <f t="shared" si="1"/>
        <v>OK</v>
      </c>
      <c r="AP114" s="5">
        <f>RANK(clean[[#This Row],[Clean Gold]],clean[Clean Gold], 0)</f>
        <v>251</v>
      </c>
      <c r="AQ114" s="1">
        <v>258</v>
      </c>
      <c r="AR114" s="1" t="str" cm="1">
        <f t="array" ref="AR114">_xlfn.IFS(clean[[#This Row],[Clean Level]]&gt;=76, "Legend", clean[[#This Row],[Clean Level]]&gt;=51, "Elite", clean[[#This Row],[Clean Level]]&gt;=26, "Veteran", TRUE, "Rookie")</f>
        <v>Elite</v>
      </c>
      <c r="AS114" s="1" t="str">
        <f>IF(RPG_dataset[[#This Row],[Status]]="Active", "TRUE", "FALSE")</f>
        <v>FALSE</v>
      </c>
      <c r="AT114" s="1" t="str" cm="1">
        <f t="array" ref="AT114">_xlfn.IFS(clean[[#This Row],[Clean Win Rate]]&gt;70, "Excellent", clean[[#This Row],[Clean Win Rate]]&gt;=40, "Average", TRUE, "Poor")</f>
        <v>Excellent</v>
      </c>
      <c r="AU114" s="1" t="str">
        <f>IF(AND(clean[[#This Row],[Clean Level]]&gt;80, clean[[#This Row],[Clean Total Stat]]&gt;350, clean[[#This Row],[Clean Gold]]&gt;500000), "Overpowered", "Normal")</f>
        <v>Normal</v>
      </c>
      <c r="AV114" s="1" t="str" cm="1">
        <f t="array" ref="AV11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14" s="1" t="str" cm="1">
        <f t="array" ref="AW11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14" s="1"/>
    </row>
    <row r="115" spans="1:50" x14ac:dyDescent="0.3">
      <c r="A115" s="2" t="s">
        <v>505</v>
      </c>
      <c r="B115" s="2" t="s">
        <v>506</v>
      </c>
      <c r="C115" s="2" t="s">
        <v>507</v>
      </c>
      <c r="D115" s="2" t="s">
        <v>104</v>
      </c>
      <c r="E115" s="2" t="s">
        <v>105</v>
      </c>
      <c r="F115" s="2" t="s">
        <v>30</v>
      </c>
      <c r="G115" s="2">
        <v>46</v>
      </c>
      <c r="H115" s="2" t="s">
        <v>31</v>
      </c>
      <c r="I115" s="2" t="s">
        <v>140</v>
      </c>
      <c r="J115" s="2" t="s">
        <v>33</v>
      </c>
      <c r="K115" s="2" t="s">
        <v>34</v>
      </c>
      <c r="L115" s="6" t="s">
        <v>508</v>
      </c>
      <c r="M115" s="2">
        <v>96</v>
      </c>
      <c r="N115" s="2">
        <v>134</v>
      </c>
      <c r="O115" s="2">
        <v>138</v>
      </c>
      <c r="P115" s="2">
        <v>1507</v>
      </c>
      <c r="Q115" s="2">
        <v>698</v>
      </c>
      <c r="R115" s="2">
        <v>368</v>
      </c>
      <c r="S115" s="2">
        <v>4127</v>
      </c>
      <c r="T115" s="2">
        <v>839</v>
      </c>
      <c r="U115" s="2">
        <v>60</v>
      </c>
      <c r="V115" s="2">
        <v>83</v>
      </c>
      <c r="W115" s="2">
        <v>7358</v>
      </c>
      <c r="X115" s="9">
        <v>552111</v>
      </c>
      <c r="Y115" s="2" t="s">
        <v>36</v>
      </c>
      <c r="AA115" s="1" t="str">
        <f>TRIM(RPG_dataset[[#This Row],[Username]])</f>
        <v>vex_750</v>
      </c>
      <c r="AB115" s="1" t="str">
        <f>TRIM(RPG_dataset[[#This Row],[First Name]])</f>
        <v>Vex</v>
      </c>
      <c r="AC115" s="1" t="str">
        <f>PROPER(TRIM(RPG_dataset[[#This Row],[Race]]))</f>
        <v>Orc</v>
      </c>
      <c r="AD115" s="1" t="str">
        <f>PROPER(TRIM(RPG_dataset[[#This Row],[Class]]))</f>
        <v>Rogue</v>
      </c>
      <c r="AE115" s="1">
        <f>ABS(RPG_dataset[[#This Row],[Level]])</f>
        <v>46</v>
      </c>
      <c r="AF115" s="1">
        <f>ABS(RPG_dataset[[#This Row],[ATK]])</f>
        <v>96</v>
      </c>
      <c r="AG115" s="1">
        <f>ABS(RPG_dataset[[#This Row],[DEF]])</f>
        <v>134</v>
      </c>
      <c r="AH115" s="1">
        <f>ABS(RPG_dataset[[#This Row],[SPD]])</f>
        <v>138</v>
      </c>
      <c r="AI115" s="1">
        <f>ABS(RPG_dataset[[#This Row],[HP]])</f>
        <v>1507</v>
      </c>
      <c r="AJ115" s="1">
        <f>ABS(RPG_dataset[[#This Row],[MP]])</f>
        <v>698</v>
      </c>
      <c r="AK115" s="1">
        <f>ABS(RPG_dataset[[#This Row],[Total Stat]])</f>
        <v>368</v>
      </c>
      <c r="AL115" s="1">
        <f>ABS(RPG_dataset[[#This Row],[Kills]])</f>
        <v>4127</v>
      </c>
      <c r="AM115" s="12">
        <f>ABS(RPG_dataset[[#This Row],[Win Rate (%)]])</f>
        <v>83</v>
      </c>
      <c r="AN115" s="4">
        <f>ABS(RPG_dataset[[#This Row],[Gold Earned]])</f>
        <v>552111</v>
      </c>
      <c r="AO115" s="5" t="str">
        <f t="shared" si="1"/>
        <v>OK</v>
      </c>
      <c r="AP115" s="5">
        <f>RANK(clean[[#This Row],[Clean Gold]],clean[Clean Gold], 0)</f>
        <v>224</v>
      </c>
      <c r="AQ115" s="1">
        <v>196</v>
      </c>
      <c r="AR115" s="1" t="str" cm="1">
        <f t="array" ref="AR115">_xlfn.IFS(clean[[#This Row],[Clean Level]]&gt;=76, "Legend", clean[[#This Row],[Clean Level]]&gt;=51, "Elite", clean[[#This Row],[Clean Level]]&gt;=26, "Veteran", TRUE, "Rookie")</f>
        <v>Veteran</v>
      </c>
      <c r="AS115" s="1" t="str">
        <f>IF(RPG_dataset[[#This Row],[Status]]="Active", "TRUE", "FALSE")</f>
        <v>FALSE</v>
      </c>
      <c r="AT115" s="1" t="str" cm="1">
        <f t="array" ref="AT115">_xlfn.IFS(clean[[#This Row],[Clean Win Rate]]&gt;70, "Excellent", clean[[#This Row],[Clean Win Rate]]&gt;=40, "Average", TRUE, "Poor")</f>
        <v>Excellent</v>
      </c>
      <c r="AU115" s="1" t="str">
        <f>IF(AND(clean[[#This Row],[Clean Level]]&gt;80, clean[[#This Row],[Clean Total Stat]]&gt;350, clean[[#This Row],[Clean Gold]]&gt;500000), "Overpowered", "Normal")</f>
        <v>Normal</v>
      </c>
      <c r="AV115" s="1" t="str" cm="1">
        <f t="array" ref="AV11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15" s="1" t="str" cm="1">
        <f t="array" ref="AW11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115" s="1"/>
    </row>
    <row r="116" spans="1:50" x14ac:dyDescent="0.3">
      <c r="A116" s="2" t="s">
        <v>509</v>
      </c>
      <c r="B116" s="2" t="s">
        <v>510</v>
      </c>
      <c r="C116" s="2" t="s">
        <v>97</v>
      </c>
      <c r="D116" s="2" t="s">
        <v>210</v>
      </c>
      <c r="E116" s="2" t="s">
        <v>29</v>
      </c>
      <c r="F116" s="2" t="s">
        <v>42</v>
      </c>
      <c r="G116" s="2">
        <v>85</v>
      </c>
      <c r="H116" s="2" t="s">
        <v>31</v>
      </c>
      <c r="I116" s="2" t="s">
        <v>32</v>
      </c>
      <c r="J116" s="2" t="s">
        <v>92</v>
      </c>
      <c r="K116" s="2" t="s">
        <v>44</v>
      </c>
      <c r="L116" s="6" t="s">
        <v>511</v>
      </c>
      <c r="M116" s="2">
        <v>138</v>
      </c>
      <c r="N116" s="2">
        <v>120</v>
      </c>
      <c r="O116" s="2">
        <v>31</v>
      </c>
      <c r="P116" s="2">
        <v>659</v>
      </c>
      <c r="Q116" s="2">
        <v>2194</v>
      </c>
      <c r="R116" s="2">
        <v>289</v>
      </c>
      <c r="S116" s="2">
        <v>964</v>
      </c>
      <c r="T116" s="2"/>
      <c r="U116" s="2">
        <v>234</v>
      </c>
      <c r="V116" s="2">
        <v>75</v>
      </c>
      <c r="W116" s="2">
        <v>8531</v>
      </c>
      <c r="X116" s="9">
        <v>539435</v>
      </c>
      <c r="Y116" s="2" t="s">
        <v>46</v>
      </c>
      <c r="AA116" s="1" t="str">
        <f>TRIM(RPG_dataset[[#This Row],[Username]])</f>
        <v>hana_747</v>
      </c>
      <c r="AB116" s="1" t="str">
        <f>TRIM(RPG_dataset[[#This Row],[First Name]])</f>
        <v>Hana</v>
      </c>
      <c r="AC116" s="1" t="str">
        <f>PROPER(TRIM(RPG_dataset[[#This Row],[Race]]))</f>
        <v>Dwarf</v>
      </c>
      <c r="AD116" s="1" t="str">
        <f>PROPER(TRIM(RPG_dataset[[#This Row],[Class]]))</f>
        <v>Monk</v>
      </c>
      <c r="AE116" s="1">
        <f>ABS(RPG_dataset[[#This Row],[Level]])</f>
        <v>85</v>
      </c>
      <c r="AF116" s="1">
        <f>ABS(RPG_dataset[[#This Row],[ATK]])</f>
        <v>138</v>
      </c>
      <c r="AG116" s="1">
        <f>ABS(RPG_dataset[[#This Row],[DEF]])</f>
        <v>120</v>
      </c>
      <c r="AH116" s="1">
        <f>ABS(RPG_dataset[[#This Row],[SPD]])</f>
        <v>31</v>
      </c>
      <c r="AI116" s="1">
        <f>ABS(RPG_dataset[[#This Row],[HP]])</f>
        <v>659</v>
      </c>
      <c r="AJ116" s="1">
        <f>ABS(RPG_dataset[[#This Row],[MP]])</f>
        <v>2194</v>
      </c>
      <c r="AK116" s="1">
        <f>ABS(RPG_dataset[[#This Row],[Total Stat]])</f>
        <v>289</v>
      </c>
      <c r="AL116" s="1">
        <f>ABS(RPG_dataset[[#This Row],[Kills]])</f>
        <v>964</v>
      </c>
      <c r="AM116" s="12">
        <f>ABS(RPG_dataset[[#This Row],[Win Rate (%)]])</f>
        <v>75</v>
      </c>
      <c r="AN116" s="4">
        <f>ABS(RPG_dataset[[#This Row],[Gold Earned]])</f>
        <v>539435</v>
      </c>
      <c r="AO116" s="5" t="str">
        <f t="shared" si="1"/>
        <v>OK</v>
      </c>
      <c r="AP116" s="5">
        <f>RANK(clean[[#This Row],[Clean Gold]],clean[Clean Gold], 0)</f>
        <v>233</v>
      </c>
      <c r="AQ116" s="1">
        <v>180</v>
      </c>
      <c r="AR116" s="1" t="str" cm="1">
        <f t="array" ref="AR116">_xlfn.IFS(clean[[#This Row],[Clean Level]]&gt;=76, "Legend", clean[[#This Row],[Clean Level]]&gt;=51, "Elite", clean[[#This Row],[Clean Level]]&gt;=26, "Veteran", TRUE, "Rookie")</f>
        <v>Legend</v>
      </c>
      <c r="AS116" s="1" t="str">
        <f>IF(RPG_dataset[[#This Row],[Status]]="Active", "TRUE", "FALSE")</f>
        <v>TRUE</v>
      </c>
      <c r="AT116" s="1" t="str" cm="1">
        <f t="array" ref="AT116">_xlfn.IFS(clean[[#This Row],[Clean Win Rate]]&gt;70, "Excellent", clean[[#This Row],[Clean Win Rate]]&gt;=40, "Average", TRUE, "Poor")</f>
        <v>Excellent</v>
      </c>
      <c r="AU116" s="1" t="str">
        <f>IF(AND(clean[[#This Row],[Clean Level]]&gt;80, clean[[#This Row],[Clean Total Stat]]&gt;350, clean[[#This Row],[Clean Gold]]&gt;500000), "Overpowered", "Normal")</f>
        <v>Normal</v>
      </c>
      <c r="AV116" s="1" t="str" cm="1">
        <f t="array" ref="AV11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16" s="1" t="str" cm="1">
        <f t="array" ref="AW11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16" s="1"/>
    </row>
    <row r="117" spans="1:50" x14ac:dyDescent="0.3">
      <c r="A117" s="2" t="s">
        <v>512</v>
      </c>
      <c r="B117" s="2" t="s">
        <v>513</v>
      </c>
      <c r="C117" s="2" t="s">
        <v>203</v>
      </c>
      <c r="D117" s="2" t="s">
        <v>104</v>
      </c>
      <c r="E117" s="2" t="s">
        <v>228</v>
      </c>
      <c r="F117" s="2" t="s">
        <v>98</v>
      </c>
      <c r="G117" s="2">
        <v>98</v>
      </c>
      <c r="H117" s="2" t="s">
        <v>73</v>
      </c>
      <c r="I117" s="2" t="s">
        <v>140</v>
      </c>
      <c r="J117" s="2" t="s">
        <v>163</v>
      </c>
      <c r="K117" s="2" t="s">
        <v>44</v>
      </c>
      <c r="L117" s="6" t="s">
        <v>514</v>
      </c>
      <c r="M117" s="2">
        <v>127</v>
      </c>
      <c r="N117" s="2">
        <v>138</v>
      </c>
      <c r="O117" s="2">
        <v>138</v>
      </c>
      <c r="P117" s="2">
        <v>2484</v>
      </c>
      <c r="Q117" s="2">
        <v>2814</v>
      </c>
      <c r="R117" s="2">
        <v>403</v>
      </c>
      <c r="S117" s="2">
        <v>2816</v>
      </c>
      <c r="T117" s="2">
        <v>490</v>
      </c>
      <c r="U117" s="2">
        <v>193</v>
      </c>
      <c r="V117" s="2">
        <v>85</v>
      </c>
      <c r="W117" s="2">
        <v>7018</v>
      </c>
      <c r="X117" s="9">
        <v>923221</v>
      </c>
      <c r="Y117" s="2" t="s">
        <v>36</v>
      </c>
      <c r="AA117" s="1" t="str">
        <f>TRIM(RPG_dataset[[#This Row],[Username]])</f>
        <v>leon_107</v>
      </c>
      <c r="AB117" s="1" t="str">
        <f>TRIM(RPG_dataset[[#This Row],[First Name]])</f>
        <v>Leon</v>
      </c>
      <c r="AC117" s="1" t="str">
        <f>PROPER(TRIM(RPG_dataset[[#This Row],[Race]]))</f>
        <v>Elf</v>
      </c>
      <c r="AD117" s="1" t="str">
        <f>PROPER(TRIM(RPG_dataset[[#This Row],[Class]]))</f>
        <v>Mage</v>
      </c>
      <c r="AE117" s="1">
        <f>ABS(RPG_dataset[[#This Row],[Level]])</f>
        <v>98</v>
      </c>
      <c r="AF117" s="1">
        <f>ABS(RPG_dataset[[#This Row],[ATK]])</f>
        <v>127</v>
      </c>
      <c r="AG117" s="1">
        <f>ABS(RPG_dataset[[#This Row],[DEF]])</f>
        <v>138</v>
      </c>
      <c r="AH117" s="1">
        <f>ABS(RPG_dataset[[#This Row],[SPD]])</f>
        <v>138</v>
      </c>
      <c r="AI117" s="1">
        <f>ABS(RPG_dataset[[#This Row],[HP]])</f>
        <v>2484</v>
      </c>
      <c r="AJ117" s="1">
        <f>ABS(RPG_dataset[[#This Row],[MP]])</f>
        <v>2814</v>
      </c>
      <c r="AK117" s="1">
        <f>ABS(RPG_dataset[[#This Row],[Total Stat]])</f>
        <v>403</v>
      </c>
      <c r="AL117" s="1">
        <f>ABS(RPG_dataset[[#This Row],[Kills]])</f>
        <v>2816</v>
      </c>
      <c r="AM117" s="12">
        <f>ABS(RPG_dataset[[#This Row],[Win Rate (%)]])</f>
        <v>85</v>
      </c>
      <c r="AN117" s="4">
        <f>ABS(RPG_dataset[[#This Row],[Gold Earned]])</f>
        <v>923221</v>
      </c>
      <c r="AO117" s="5" t="str">
        <f t="shared" si="1"/>
        <v>Fix This</v>
      </c>
      <c r="AP117" s="5">
        <f>RANK(clean[[#This Row],[Clean Gold]],clean[Clean Gold], 0)</f>
        <v>38</v>
      </c>
      <c r="AQ117" s="1">
        <v>248</v>
      </c>
      <c r="AR117" s="1" t="str" cm="1">
        <f t="array" ref="AR117">_xlfn.IFS(clean[[#This Row],[Clean Level]]&gt;=76, "Legend", clean[[#This Row],[Clean Level]]&gt;=51, "Elite", clean[[#This Row],[Clean Level]]&gt;=26, "Veteran", TRUE, "Rookie")</f>
        <v>Legend</v>
      </c>
      <c r="AS117" s="1" t="str">
        <f>IF(RPG_dataset[[#This Row],[Status]]="Active", "TRUE", "FALSE")</f>
        <v>TRUE</v>
      </c>
      <c r="AT117" s="1" t="str" cm="1">
        <f t="array" ref="AT117">_xlfn.IFS(clean[[#This Row],[Clean Win Rate]]&gt;70, "Excellent", clean[[#This Row],[Clean Win Rate]]&gt;=40, "Average", TRUE, "Poor")</f>
        <v>Excellent</v>
      </c>
      <c r="AU117" s="1" t="str">
        <f>IF(AND(clean[[#This Row],[Clean Level]]&gt;80, clean[[#This Row],[Clean Total Stat]]&gt;350, clean[[#This Row],[Clean Gold]]&gt;500000), "Overpowered", "Normal")</f>
        <v>Overpowered</v>
      </c>
      <c r="AV117" s="1" t="str" cm="1">
        <f t="array" ref="AV117">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117" s="1" t="str" cm="1">
        <f t="array" ref="AW11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117" s="1"/>
    </row>
    <row r="118" spans="1:50" x14ac:dyDescent="0.3">
      <c r="A118" s="2" t="s">
        <v>515</v>
      </c>
      <c r="B118" s="2" t="s">
        <v>516</v>
      </c>
      <c r="C118" s="2" t="s">
        <v>517</v>
      </c>
      <c r="D118" s="2" t="s">
        <v>304</v>
      </c>
      <c r="E118" s="2" t="s">
        <v>41</v>
      </c>
      <c r="F118" s="2" t="s">
        <v>124</v>
      </c>
      <c r="G118" s="2">
        <v>4</v>
      </c>
      <c r="H118" s="2" t="s">
        <v>518</v>
      </c>
      <c r="I118" s="2" t="s">
        <v>63</v>
      </c>
      <c r="J118" s="2" t="s">
        <v>64</v>
      </c>
      <c r="K118" s="2" t="s">
        <v>99</v>
      </c>
      <c r="L118" s="6" t="s">
        <v>519</v>
      </c>
      <c r="M118" s="2">
        <v>96</v>
      </c>
      <c r="N118" s="2">
        <v>95</v>
      </c>
      <c r="O118" s="2">
        <v>19</v>
      </c>
      <c r="P118" s="2">
        <v>3194</v>
      </c>
      <c r="Q118" s="2">
        <v>2596</v>
      </c>
      <c r="R118" s="2">
        <v>210</v>
      </c>
      <c r="S118" s="2">
        <v>2186</v>
      </c>
      <c r="T118" s="2">
        <v>653</v>
      </c>
      <c r="U118" s="2">
        <v>33</v>
      </c>
      <c r="V118" s="2">
        <v>77</v>
      </c>
      <c r="W118" s="2">
        <v>9532</v>
      </c>
      <c r="X118" s="9">
        <v>645584</v>
      </c>
      <c r="Y118" s="2" t="s">
        <v>36</v>
      </c>
      <c r="AA118" s="1" t="str">
        <f>TRIM(RPG_dataset[[#This Row],[Username]])</f>
        <v>myra_582</v>
      </c>
      <c r="AB118" s="1" t="str">
        <f>TRIM(RPG_dataset[[#This Row],[First Name]])</f>
        <v>Myra</v>
      </c>
      <c r="AC118" s="1" t="str">
        <f>PROPER(TRIM(RPG_dataset[[#This Row],[Race]]))</f>
        <v>Gnome</v>
      </c>
      <c r="AD118" s="1" t="str">
        <f>PROPER(TRIM(RPG_dataset[[#This Row],[Class]]))</f>
        <v>Necromancer</v>
      </c>
      <c r="AE118" s="1">
        <f>ABS(RPG_dataset[[#This Row],[Level]])</f>
        <v>4</v>
      </c>
      <c r="AF118" s="1">
        <f>ABS(RPG_dataset[[#This Row],[ATK]])</f>
        <v>96</v>
      </c>
      <c r="AG118" s="1">
        <f>ABS(RPG_dataset[[#This Row],[DEF]])</f>
        <v>95</v>
      </c>
      <c r="AH118" s="1">
        <f>ABS(RPG_dataset[[#This Row],[SPD]])</f>
        <v>19</v>
      </c>
      <c r="AI118" s="1">
        <f>ABS(RPG_dataset[[#This Row],[HP]])</f>
        <v>3194</v>
      </c>
      <c r="AJ118" s="1">
        <f>ABS(RPG_dataset[[#This Row],[MP]])</f>
        <v>2596</v>
      </c>
      <c r="AK118" s="1">
        <f>ABS(RPG_dataset[[#This Row],[Total Stat]])</f>
        <v>210</v>
      </c>
      <c r="AL118" s="1">
        <f>ABS(RPG_dataset[[#This Row],[Kills]])</f>
        <v>2186</v>
      </c>
      <c r="AM118" s="12">
        <f>ABS(RPG_dataset[[#This Row],[Win Rate (%)]])</f>
        <v>77</v>
      </c>
      <c r="AN118" s="4">
        <f>ABS(RPG_dataset[[#This Row],[Gold Earned]])</f>
        <v>645584</v>
      </c>
      <c r="AO118" s="5" t="str">
        <f t="shared" si="1"/>
        <v>OK</v>
      </c>
      <c r="AP118" s="5">
        <f>RANK(clean[[#This Row],[Clean Gold]],clean[Clean Gold], 0)</f>
        <v>177</v>
      </c>
      <c r="AQ118" s="1">
        <v>205</v>
      </c>
      <c r="AR118" s="1" t="str" cm="1">
        <f t="array" ref="AR118">_xlfn.IFS(clean[[#This Row],[Clean Level]]&gt;=76, "Legend", clean[[#This Row],[Clean Level]]&gt;=51, "Elite", clean[[#This Row],[Clean Level]]&gt;=26, "Veteran", TRUE, "Rookie")</f>
        <v>Rookie</v>
      </c>
      <c r="AS118" s="1" t="str">
        <f>IF(RPG_dataset[[#This Row],[Status]]="Active", "TRUE", "FALSE")</f>
        <v>FALSE</v>
      </c>
      <c r="AT118" s="1" t="str" cm="1">
        <f t="array" ref="AT118">_xlfn.IFS(clean[[#This Row],[Clean Win Rate]]&gt;70, "Excellent", clean[[#This Row],[Clean Win Rate]]&gt;=40, "Average", TRUE, "Poor")</f>
        <v>Excellent</v>
      </c>
      <c r="AU118" s="1" t="str">
        <f>IF(AND(clean[[#This Row],[Clean Level]]&gt;80, clean[[#This Row],[Clean Total Stat]]&gt;350, clean[[#This Row],[Clean Gold]]&gt;500000), "Overpowered", "Normal")</f>
        <v>Normal</v>
      </c>
      <c r="AV118" s="1" t="str" cm="1">
        <f t="array" ref="AV11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18" s="1" t="str" cm="1">
        <f t="array" ref="AW11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118" s="1"/>
    </row>
    <row r="119" spans="1:50" x14ac:dyDescent="0.3">
      <c r="A119" s="2" t="s">
        <v>520</v>
      </c>
      <c r="B119" s="2" t="s">
        <v>521</v>
      </c>
      <c r="C119" s="2" t="s">
        <v>130</v>
      </c>
      <c r="D119" s="2" t="s">
        <v>70</v>
      </c>
      <c r="E119" s="2" t="s">
        <v>228</v>
      </c>
      <c r="F119" s="2" t="s">
        <v>522</v>
      </c>
      <c r="G119" s="2">
        <v>95</v>
      </c>
      <c r="H119" s="2" t="s">
        <v>62</v>
      </c>
      <c r="I119" s="2" t="s">
        <v>63</v>
      </c>
      <c r="J119" s="2" t="s">
        <v>120</v>
      </c>
      <c r="K119" s="2" t="s">
        <v>44</v>
      </c>
      <c r="L119" s="6" t="s">
        <v>523</v>
      </c>
      <c r="M119" s="2">
        <v>75</v>
      </c>
      <c r="N119" s="2">
        <v>70</v>
      </c>
      <c r="O119" s="2">
        <v>76</v>
      </c>
      <c r="P119" s="2">
        <v>4383</v>
      </c>
      <c r="Q119" s="2">
        <v>2228</v>
      </c>
      <c r="R119" s="2">
        <v>221</v>
      </c>
      <c r="S119" s="2">
        <v>761</v>
      </c>
      <c r="T119" s="2">
        <v>733</v>
      </c>
      <c r="U119" s="2">
        <v>125</v>
      </c>
      <c r="V119" s="2">
        <v>51</v>
      </c>
      <c r="W119" s="2">
        <v>9861</v>
      </c>
      <c r="X119" s="2"/>
      <c r="Y119" s="2" t="s">
        <v>36</v>
      </c>
      <c r="AA119" s="1" t="str">
        <f>TRIM(RPG_dataset[[#This Row],[Username]])</f>
        <v>ewan_676</v>
      </c>
      <c r="AB119" s="1" t="str">
        <f>TRIM(RPG_dataset[[#This Row],[First Name]])</f>
        <v>Ewan</v>
      </c>
      <c r="AC119" s="1" t="str">
        <f>PROPER(TRIM(RPG_dataset[[#This Row],[Race]]))</f>
        <v>Elf</v>
      </c>
      <c r="AD119" s="1" t="str">
        <f>PROPER(TRIM(RPG_dataset[[#This Row],[Class]]))</f>
        <v>Bard</v>
      </c>
      <c r="AE119" s="1">
        <f>ABS(RPG_dataset[[#This Row],[Level]])</f>
        <v>95</v>
      </c>
      <c r="AF119" s="1">
        <f>ABS(RPG_dataset[[#This Row],[ATK]])</f>
        <v>75</v>
      </c>
      <c r="AG119" s="1">
        <f>ABS(RPG_dataset[[#This Row],[DEF]])</f>
        <v>70</v>
      </c>
      <c r="AH119" s="1">
        <f>ABS(RPG_dataset[[#This Row],[SPD]])</f>
        <v>76</v>
      </c>
      <c r="AI119" s="1">
        <f>ABS(RPG_dataset[[#This Row],[HP]])</f>
        <v>4383</v>
      </c>
      <c r="AJ119" s="1">
        <f>ABS(RPG_dataset[[#This Row],[MP]])</f>
        <v>2228</v>
      </c>
      <c r="AK119" s="1">
        <f>ABS(RPG_dataset[[#This Row],[Total Stat]])</f>
        <v>221</v>
      </c>
      <c r="AL119" s="1">
        <f>ABS(RPG_dataset[[#This Row],[Kills]])</f>
        <v>761</v>
      </c>
      <c r="AM119" s="12">
        <f>ABS(RPG_dataset[[#This Row],[Win Rate (%)]])</f>
        <v>51</v>
      </c>
      <c r="AN119" s="4">
        <f>ABS(RPG_dataset[[#This Row],[Gold Earned]])</f>
        <v>0</v>
      </c>
      <c r="AO119" s="5" t="str">
        <f t="shared" si="1"/>
        <v>OK</v>
      </c>
      <c r="AP119" s="5">
        <f>RANK(clean[[#This Row],[Clean Gold]],clean[Clean Gold], 0)</f>
        <v>486</v>
      </c>
      <c r="AQ119" s="1">
        <v>305</v>
      </c>
      <c r="AR119" s="1" t="str" cm="1">
        <f t="array" ref="AR119">_xlfn.IFS(clean[[#This Row],[Clean Level]]&gt;=76, "Legend", clean[[#This Row],[Clean Level]]&gt;=51, "Elite", clean[[#This Row],[Clean Level]]&gt;=26, "Veteran", TRUE, "Rookie")</f>
        <v>Legend</v>
      </c>
      <c r="AS119" s="1" t="str">
        <f>IF(RPG_dataset[[#This Row],[Status]]="Active", "TRUE", "FALSE")</f>
        <v>TRUE</v>
      </c>
      <c r="AT119" s="1" t="str" cm="1">
        <f t="array" ref="AT119">_xlfn.IFS(clean[[#This Row],[Clean Win Rate]]&gt;70, "Excellent", clean[[#This Row],[Clean Win Rate]]&gt;=40, "Average", TRUE, "Poor")</f>
        <v>Average</v>
      </c>
      <c r="AU119" s="1" t="str">
        <f>IF(AND(clean[[#This Row],[Clean Level]]&gt;80, clean[[#This Row],[Clean Total Stat]]&gt;350, clean[[#This Row],[Clean Gold]]&gt;500000), "Overpowered", "Normal")</f>
        <v>Normal</v>
      </c>
      <c r="AV119" s="1" t="str" cm="1">
        <f t="array" ref="AV11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19" s="1" t="str" cm="1">
        <f t="array" ref="AW11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19" s="1"/>
    </row>
    <row r="120" spans="1:50" x14ac:dyDescent="0.3">
      <c r="A120" s="2" t="s">
        <v>524</v>
      </c>
      <c r="B120" s="2" t="s">
        <v>525</v>
      </c>
      <c r="C120" s="2" t="s">
        <v>276</v>
      </c>
      <c r="D120" s="2" t="s">
        <v>144</v>
      </c>
      <c r="E120" s="2" t="s">
        <v>228</v>
      </c>
      <c r="F120" s="2" t="s">
        <v>124</v>
      </c>
      <c r="G120" s="2">
        <v>95</v>
      </c>
      <c r="H120" s="2" t="s">
        <v>157</v>
      </c>
      <c r="I120" s="2" t="s">
        <v>74</v>
      </c>
      <c r="J120" s="2" t="s">
        <v>92</v>
      </c>
      <c r="K120" s="2" t="s">
        <v>44</v>
      </c>
      <c r="L120" s="6" t="s">
        <v>526</v>
      </c>
      <c r="M120" s="2">
        <v>127</v>
      </c>
      <c r="N120" s="2">
        <v>15</v>
      </c>
      <c r="O120" s="2">
        <v>136</v>
      </c>
      <c r="P120" s="2">
        <v>365</v>
      </c>
      <c r="Q120" s="2">
        <v>326</v>
      </c>
      <c r="R120" s="2">
        <v>278</v>
      </c>
      <c r="S120" s="2">
        <v>1880</v>
      </c>
      <c r="T120" s="2">
        <v>797</v>
      </c>
      <c r="U120" s="2">
        <v>67</v>
      </c>
      <c r="V120" s="2">
        <v>70</v>
      </c>
      <c r="W120" s="2">
        <v>4862</v>
      </c>
      <c r="X120" s="9">
        <v>498015</v>
      </c>
      <c r="Y120" s="2" t="s">
        <v>46</v>
      </c>
      <c r="AA120" s="1" t="str">
        <f>TRIM(RPG_dataset[[#This Row],[Username]])</f>
        <v>brynn_585</v>
      </c>
      <c r="AB120" s="1" t="str">
        <f>TRIM(RPG_dataset[[#This Row],[First Name]])</f>
        <v>Brynn</v>
      </c>
      <c r="AC120" s="1" t="str">
        <f>PROPER(TRIM(RPG_dataset[[#This Row],[Race]]))</f>
        <v>Elf</v>
      </c>
      <c r="AD120" s="1" t="str">
        <f>PROPER(TRIM(RPG_dataset[[#This Row],[Class]]))</f>
        <v>Necromancer</v>
      </c>
      <c r="AE120" s="1">
        <f>ABS(RPG_dataset[[#This Row],[Level]])</f>
        <v>95</v>
      </c>
      <c r="AF120" s="1">
        <f>ABS(RPG_dataset[[#This Row],[ATK]])</f>
        <v>127</v>
      </c>
      <c r="AG120" s="1">
        <f>ABS(RPG_dataset[[#This Row],[DEF]])</f>
        <v>15</v>
      </c>
      <c r="AH120" s="1">
        <f>ABS(RPG_dataset[[#This Row],[SPD]])</f>
        <v>136</v>
      </c>
      <c r="AI120" s="1">
        <f>ABS(RPG_dataset[[#This Row],[HP]])</f>
        <v>365</v>
      </c>
      <c r="AJ120" s="1">
        <f>ABS(RPG_dataset[[#This Row],[MP]])</f>
        <v>326</v>
      </c>
      <c r="AK120" s="1">
        <f>ABS(RPG_dataset[[#This Row],[Total Stat]])</f>
        <v>278</v>
      </c>
      <c r="AL120" s="1">
        <f>ABS(RPG_dataset[[#This Row],[Kills]])</f>
        <v>1880</v>
      </c>
      <c r="AM120" s="12">
        <f>ABS(RPG_dataset[[#This Row],[Win Rate (%)]])</f>
        <v>70</v>
      </c>
      <c r="AN120" s="4">
        <f>ABS(RPG_dataset[[#This Row],[Gold Earned]])</f>
        <v>498015</v>
      </c>
      <c r="AO120" s="5" t="str">
        <f t="shared" si="1"/>
        <v>OK</v>
      </c>
      <c r="AP120" s="5">
        <f>RANK(clean[[#This Row],[Clean Gold]],clean[Clean Gold], 0)</f>
        <v>253</v>
      </c>
      <c r="AQ120" s="1">
        <v>266</v>
      </c>
      <c r="AR120" s="1" t="str" cm="1">
        <f t="array" ref="AR120">_xlfn.IFS(clean[[#This Row],[Clean Level]]&gt;=76, "Legend", clean[[#This Row],[Clean Level]]&gt;=51, "Elite", clean[[#This Row],[Clean Level]]&gt;=26, "Veteran", TRUE, "Rookie")</f>
        <v>Legend</v>
      </c>
      <c r="AS120" s="1" t="str">
        <f>IF(RPG_dataset[[#This Row],[Status]]="Active", "TRUE", "FALSE")</f>
        <v>TRUE</v>
      </c>
      <c r="AT120" s="1" t="str" cm="1">
        <f t="array" ref="AT120">_xlfn.IFS(clean[[#This Row],[Clean Win Rate]]&gt;70, "Excellent", clean[[#This Row],[Clean Win Rate]]&gt;=40, "Average", TRUE, "Poor")</f>
        <v>Average</v>
      </c>
      <c r="AU120" s="1" t="str">
        <f>IF(AND(clean[[#This Row],[Clean Level]]&gt;80, clean[[#This Row],[Clean Total Stat]]&gt;350, clean[[#This Row],[Clean Gold]]&gt;500000), "Overpowered", "Normal")</f>
        <v>Normal</v>
      </c>
      <c r="AV120" s="1" t="str" cm="1">
        <f t="array" ref="AV12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20" s="1" t="str" cm="1">
        <f t="array" ref="AW12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20" s="1"/>
    </row>
    <row r="121" spans="1:50" x14ac:dyDescent="0.3">
      <c r="A121" s="2" t="s">
        <v>527</v>
      </c>
      <c r="B121" s="2" t="s">
        <v>528</v>
      </c>
      <c r="C121" s="2" t="s">
        <v>233</v>
      </c>
      <c r="D121" s="2" t="s">
        <v>28</v>
      </c>
      <c r="E121" s="2" t="s">
        <v>71</v>
      </c>
      <c r="F121" s="2" t="s">
        <v>124</v>
      </c>
      <c r="G121" s="2">
        <v>85</v>
      </c>
      <c r="H121" s="2" t="s">
        <v>53</v>
      </c>
      <c r="I121" s="2" t="s">
        <v>63</v>
      </c>
      <c r="J121" s="2" t="s">
        <v>120</v>
      </c>
      <c r="K121" s="2" t="s">
        <v>99</v>
      </c>
      <c r="L121" s="6" t="s">
        <v>529</v>
      </c>
      <c r="M121" s="2">
        <v>94</v>
      </c>
      <c r="N121" s="2">
        <v>66</v>
      </c>
      <c r="O121" s="2">
        <v>73</v>
      </c>
      <c r="P121" s="2">
        <v>4758</v>
      </c>
      <c r="Q121" s="2">
        <v>687</v>
      </c>
      <c r="R121" s="2">
        <v>233</v>
      </c>
      <c r="S121" s="2">
        <v>2842</v>
      </c>
      <c r="T121" s="2">
        <v>300</v>
      </c>
      <c r="U121" s="2">
        <v>19</v>
      </c>
      <c r="V121" s="2">
        <v>90</v>
      </c>
      <c r="W121" s="2">
        <v>1589</v>
      </c>
      <c r="X121" s="9">
        <v>482919</v>
      </c>
      <c r="Y121" s="2" t="s">
        <v>36</v>
      </c>
      <c r="AA121" s="1" t="str">
        <f>TRIM(RPG_dataset[[#This Row],[Username]])</f>
        <v>finn_668</v>
      </c>
      <c r="AB121" s="1" t="str">
        <f>TRIM(RPG_dataset[[#This Row],[First Name]])</f>
        <v>Finn</v>
      </c>
      <c r="AC121" s="1" t="str">
        <f>PROPER(TRIM(RPG_dataset[[#This Row],[Race]]))</f>
        <v>Dragonborn</v>
      </c>
      <c r="AD121" s="1" t="str">
        <f>PROPER(TRIM(RPG_dataset[[#This Row],[Class]]))</f>
        <v>Necromancer</v>
      </c>
      <c r="AE121" s="1">
        <f>ABS(RPG_dataset[[#This Row],[Level]])</f>
        <v>85</v>
      </c>
      <c r="AF121" s="1">
        <f>ABS(RPG_dataset[[#This Row],[ATK]])</f>
        <v>94</v>
      </c>
      <c r="AG121" s="1">
        <f>ABS(RPG_dataset[[#This Row],[DEF]])</f>
        <v>66</v>
      </c>
      <c r="AH121" s="1">
        <f>ABS(RPG_dataset[[#This Row],[SPD]])</f>
        <v>73</v>
      </c>
      <c r="AI121" s="1">
        <f>ABS(RPG_dataset[[#This Row],[HP]])</f>
        <v>4758</v>
      </c>
      <c r="AJ121" s="1">
        <f>ABS(RPG_dataset[[#This Row],[MP]])</f>
        <v>687</v>
      </c>
      <c r="AK121" s="1">
        <f>ABS(RPG_dataset[[#This Row],[Total Stat]])</f>
        <v>233</v>
      </c>
      <c r="AL121" s="1">
        <f>ABS(RPG_dataset[[#This Row],[Kills]])</f>
        <v>2842</v>
      </c>
      <c r="AM121" s="12">
        <f>ABS(RPG_dataset[[#This Row],[Win Rate (%)]])</f>
        <v>90</v>
      </c>
      <c r="AN121" s="4">
        <f>ABS(RPG_dataset[[#This Row],[Gold Earned]])</f>
        <v>482919</v>
      </c>
      <c r="AO121" s="5" t="str">
        <f t="shared" si="1"/>
        <v>Fix This</v>
      </c>
      <c r="AP121" s="5">
        <f>RANK(clean[[#This Row],[Clean Gold]],clean[Clean Gold], 0)</f>
        <v>264</v>
      </c>
      <c r="AQ121" s="1">
        <v>193</v>
      </c>
      <c r="AR121" s="1" t="str" cm="1">
        <f t="array" ref="AR121">_xlfn.IFS(clean[[#This Row],[Clean Level]]&gt;=76, "Legend", clean[[#This Row],[Clean Level]]&gt;=51, "Elite", clean[[#This Row],[Clean Level]]&gt;=26, "Veteran", TRUE, "Rookie")</f>
        <v>Legend</v>
      </c>
      <c r="AS121" s="1" t="str">
        <f>IF(RPG_dataset[[#This Row],[Status]]="Active", "TRUE", "FALSE")</f>
        <v>FALSE</v>
      </c>
      <c r="AT121" s="1" t="str" cm="1">
        <f t="array" ref="AT121">_xlfn.IFS(clean[[#This Row],[Clean Win Rate]]&gt;70, "Excellent", clean[[#This Row],[Clean Win Rate]]&gt;=40, "Average", TRUE, "Poor")</f>
        <v>Excellent</v>
      </c>
      <c r="AU121" s="1" t="str">
        <f>IF(AND(clean[[#This Row],[Clean Level]]&gt;80, clean[[#This Row],[Clean Total Stat]]&gt;350, clean[[#This Row],[Clean Gold]]&gt;500000), "Overpowered", "Normal")</f>
        <v>Normal</v>
      </c>
      <c r="AV121" s="1" t="str" cm="1">
        <f t="array" ref="AV121">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121" s="1" t="str" cm="1">
        <f t="array" ref="AW12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121" s="1"/>
    </row>
    <row r="122" spans="1:50" x14ac:dyDescent="0.3">
      <c r="A122" s="2" t="s">
        <v>530</v>
      </c>
      <c r="B122" s="2" t="s">
        <v>531</v>
      </c>
      <c r="C122" s="2" t="s">
        <v>27</v>
      </c>
      <c r="D122" s="2" t="s">
        <v>254</v>
      </c>
      <c r="E122" s="2" t="s">
        <v>105</v>
      </c>
      <c r="F122" s="2" t="s">
        <v>532</v>
      </c>
      <c r="G122" s="2">
        <v>86</v>
      </c>
      <c r="H122" s="2" t="s">
        <v>31</v>
      </c>
      <c r="I122" s="2" t="s">
        <v>87</v>
      </c>
      <c r="J122" s="2" t="s">
        <v>92</v>
      </c>
      <c r="K122" s="2" t="s">
        <v>44</v>
      </c>
      <c r="L122" s="6" t="s">
        <v>533</v>
      </c>
      <c r="M122" s="2">
        <v>129</v>
      </c>
      <c r="N122" s="2">
        <v>27</v>
      </c>
      <c r="O122" s="2">
        <v>19</v>
      </c>
      <c r="P122" s="2">
        <v>1458</v>
      </c>
      <c r="Q122" s="2">
        <v>656</v>
      </c>
      <c r="R122" s="2">
        <v>175</v>
      </c>
      <c r="S122" s="2">
        <v>4048</v>
      </c>
      <c r="T122" s="2">
        <v>368</v>
      </c>
      <c r="U122" s="2">
        <v>46</v>
      </c>
      <c r="V122" s="2">
        <v>92</v>
      </c>
      <c r="W122" s="2">
        <v>2910</v>
      </c>
      <c r="X122" s="9">
        <v>786217</v>
      </c>
      <c r="Y122" s="2" t="s">
        <v>36</v>
      </c>
      <c r="AA122" s="1" t="str">
        <f>TRIM(RPG_dataset[[#This Row],[Username]])</f>
        <v>aiden_632</v>
      </c>
      <c r="AB122" s="1" t="str">
        <f>TRIM(RPG_dataset[[#This Row],[First Name]])</f>
        <v>Aiden</v>
      </c>
      <c r="AC122" s="1" t="str">
        <f>PROPER(TRIM(RPG_dataset[[#This Row],[Race]]))</f>
        <v>Orc</v>
      </c>
      <c r="AD122" s="1" t="str">
        <f>PROPER(TRIM(RPG_dataset[[#This Row],[Class]]))</f>
        <v>Necromancer</v>
      </c>
      <c r="AE122" s="1">
        <f>ABS(RPG_dataset[[#This Row],[Level]])</f>
        <v>86</v>
      </c>
      <c r="AF122" s="1">
        <f>ABS(RPG_dataset[[#This Row],[ATK]])</f>
        <v>129</v>
      </c>
      <c r="AG122" s="1">
        <f>ABS(RPG_dataset[[#This Row],[DEF]])</f>
        <v>27</v>
      </c>
      <c r="AH122" s="1">
        <f>ABS(RPG_dataset[[#This Row],[SPD]])</f>
        <v>19</v>
      </c>
      <c r="AI122" s="1">
        <f>ABS(RPG_dataset[[#This Row],[HP]])</f>
        <v>1458</v>
      </c>
      <c r="AJ122" s="1">
        <f>ABS(RPG_dataset[[#This Row],[MP]])</f>
        <v>656</v>
      </c>
      <c r="AK122" s="1">
        <f>ABS(RPG_dataset[[#This Row],[Total Stat]])</f>
        <v>175</v>
      </c>
      <c r="AL122" s="1">
        <f>ABS(RPG_dataset[[#This Row],[Kills]])</f>
        <v>4048</v>
      </c>
      <c r="AM122" s="12">
        <f>ABS(RPG_dataset[[#This Row],[Win Rate (%)]])</f>
        <v>92</v>
      </c>
      <c r="AN122" s="4">
        <f>ABS(RPG_dataset[[#This Row],[Gold Earned]])</f>
        <v>786217</v>
      </c>
      <c r="AO122" s="5" t="str">
        <f t="shared" si="1"/>
        <v>OK</v>
      </c>
      <c r="AP122" s="5">
        <f>RANK(clean[[#This Row],[Clean Gold]],clean[Clean Gold], 0)</f>
        <v>116</v>
      </c>
      <c r="AQ122" s="1">
        <v>170</v>
      </c>
      <c r="AR122" s="1" t="str" cm="1">
        <f t="array" ref="AR122">_xlfn.IFS(clean[[#This Row],[Clean Level]]&gt;=76, "Legend", clean[[#This Row],[Clean Level]]&gt;=51, "Elite", clean[[#This Row],[Clean Level]]&gt;=26, "Veteran", TRUE, "Rookie")</f>
        <v>Legend</v>
      </c>
      <c r="AS122" s="1" t="str">
        <f>IF(RPG_dataset[[#This Row],[Status]]="Active", "TRUE", "FALSE")</f>
        <v>TRUE</v>
      </c>
      <c r="AT122" s="1" t="str" cm="1">
        <f t="array" ref="AT122">_xlfn.IFS(clean[[#This Row],[Clean Win Rate]]&gt;70, "Excellent", clean[[#This Row],[Clean Win Rate]]&gt;=40, "Average", TRUE, "Poor")</f>
        <v>Excellent</v>
      </c>
      <c r="AU122" s="1" t="str">
        <f>IF(AND(clean[[#This Row],[Clean Level]]&gt;80, clean[[#This Row],[Clean Total Stat]]&gt;350, clean[[#This Row],[Clean Gold]]&gt;500000), "Overpowered", "Normal")</f>
        <v>Normal</v>
      </c>
      <c r="AV122" s="1" t="str" cm="1">
        <f t="array" ref="AV122">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122" s="1" t="str" cm="1">
        <f t="array" ref="AW12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22" s="1"/>
    </row>
    <row r="123" spans="1:50" x14ac:dyDescent="0.3">
      <c r="A123" s="2" t="s">
        <v>534</v>
      </c>
      <c r="B123" s="2" t="s">
        <v>535</v>
      </c>
      <c r="C123" s="2" t="s">
        <v>203</v>
      </c>
      <c r="D123" s="2" t="s">
        <v>401</v>
      </c>
      <c r="E123" s="2" t="s">
        <v>41</v>
      </c>
      <c r="F123" s="2" t="s">
        <v>536</v>
      </c>
      <c r="G123" s="2">
        <v>33</v>
      </c>
      <c r="H123" s="2" t="s">
        <v>53</v>
      </c>
      <c r="I123" s="2" t="s">
        <v>63</v>
      </c>
      <c r="J123" s="2" t="s">
        <v>33</v>
      </c>
      <c r="K123" s="2" t="s">
        <v>34</v>
      </c>
      <c r="L123" s="6" t="s">
        <v>537</v>
      </c>
      <c r="M123" s="2">
        <v>46</v>
      </c>
      <c r="N123" s="2">
        <v>20</v>
      </c>
      <c r="O123" s="2">
        <v>30</v>
      </c>
      <c r="P123" s="2">
        <v>-3841</v>
      </c>
      <c r="Q123" s="2">
        <v>2543</v>
      </c>
      <c r="R123" s="2">
        <v>96</v>
      </c>
      <c r="S123" s="2">
        <v>1405</v>
      </c>
      <c r="T123" s="2">
        <v>787</v>
      </c>
      <c r="U123" s="2">
        <v>89</v>
      </c>
      <c r="V123" s="2">
        <v>64</v>
      </c>
      <c r="W123" s="2">
        <v>4553</v>
      </c>
      <c r="X123" s="9">
        <v>259646</v>
      </c>
      <c r="Y123" s="2" t="s">
        <v>46</v>
      </c>
      <c r="AA123" s="1" t="str">
        <f>TRIM(RPG_dataset[[#This Row],[Username]])</f>
        <v>leon_951</v>
      </c>
      <c r="AB123" s="1" t="str">
        <f>TRIM(RPG_dataset[[#This Row],[First Name]])</f>
        <v>Leon</v>
      </c>
      <c r="AC123" s="1" t="str">
        <f>PROPER(TRIM(RPG_dataset[[#This Row],[Race]]))</f>
        <v>Gnome</v>
      </c>
      <c r="AD123" s="1" t="str">
        <f>PROPER(TRIM(RPG_dataset[[#This Row],[Class]]))</f>
        <v>Ranger</v>
      </c>
      <c r="AE123" s="1">
        <f>ABS(RPG_dataset[[#This Row],[Level]])</f>
        <v>33</v>
      </c>
      <c r="AF123" s="1">
        <f>ABS(RPG_dataset[[#This Row],[ATK]])</f>
        <v>46</v>
      </c>
      <c r="AG123" s="1">
        <f>ABS(RPG_dataset[[#This Row],[DEF]])</f>
        <v>20</v>
      </c>
      <c r="AH123" s="1">
        <f>ABS(RPG_dataset[[#This Row],[SPD]])</f>
        <v>30</v>
      </c>
      <c r="AI123" s="1">
        <f>ABS(RPG_dataset[[#This Row],[HP]])</f>
        <v>3841</v>
      </c>
      <c r="AJ123" s="1">
        <f>ABS(RPG_dataset[[#This Row],[MP]])</f>
        <v>2543</v>
      </c>
      <c r="AK123" s="1">
        <f>ABS(RPG_dataset[[#This Row],[Total Stat]])</f>
        <v>96</v>
      </c>
      <c r="AL123" s="1">
        <f>ABS(RPG_dataset[[#This Row],[Kills]])</f>
        <v>1405</v>
      </c>
      <c r="AM123" s="12">
        <f>ABS(RPG_dataset[[#This Row],[Win Rate (%)]])</f>
        <v>64</v>
      </c>
      <c r="AN123" s="4">
        <f>ABS(RPG_dataset[[#This Row],[Gold Earned]])</f>
        <v>259646</v>
      </c>
      <c r="AO123" s="5" t="str">
        <f t="shared" si="1"/>
        <v>OK</v>
      </c>
      <c r="AP123" s="5">
        <f>RANK(clean[[#This Row],[Clean Gold]],clean[Clean Gold], 0)</f>
        <v>371</v>
      </c>
      <c r="AQ123" s="1">
        <v>336</v>
      </c>
      <c r="AR123" s="1" t="str" cm="1">
        <f t="array" ref="AR123">_xlfn.IFS(clean[[#This Row],[Clean Level]]&gt;=76, "Legend", clean[[#This Row],[Clean Level]]&gt;=51, "Elite", clean[[#This Row],[Clean Level]]&gt;=26, "Veteran", TRUE, "Rookie")</f>
        <v>Veteran</v>
      </c>
      <c r="AS123" s="1" t="str">
        <f>IF(RPG_dataset[[#This Row],[Status]]="Active", "TRUE", "FALSE")</f>
        <v>FALSE</v>
      </c>
      <c r="AT123" s="1" t="str" cm="1">
        <f t="array" ref="AT123">_xlfn.IFS(clean[[#This Row],[Clean Win Rate]]&gt;70, "Excellent", clean[[#This Row],[Clean Win Rate]]&gt;=40, "Average", TRUE, "Poor")</f>
        <v>Average</v>
      </c>
      <c r="AU123" s="1" t="str">
        <f>IF(AND(clean[[#This Row],[Clean Level]]&gt;80, clean[[#This Row],[Clean Total Stat]]&gt;350, clean[[#This Row],[Clean Gold]]&gt;500000), "Overpowered", "Normal")</f>
        <v>Normal</v>
      </c>
      <c r="AV123" s="1" t="str" cm="1">
        <f t="array" ref="AV123">_xlfn.IFS(
(AND(OR(clean[[#This Row],[Tier]]="Elite", clean[[#This Row],[Tier]]="Legend"), clean[[#This Row],[Performance]]="Excellent", RPG_dataset[[#This Row],[Is Premium]]="Yes")), "High", OR(OR(clean[[#This Row],[Tier]]="Elite", clean[[#This Row],[Tier]]="Legend"), clean[[#This Row],[Performance]]="Excellent", RPG_dataset[[#This Row],[Is Premium]]="Yes"), "Medium", TRUE, "Low")</f>
        <v>Low</v>
      </c>
      <c r="AW123" s="1" t="str" cm="1">
        <f t="array" ref="AW12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23" s="1"/>
    </row>
    <row r="124" spans="1:50" x14ac:dyDescent="0.3">
      <c r="A124" s="2" t="s">
        <v>538</v>
      </c>
      <c r="B124" s="2" t="s">
        <v>539</v>
      </c>
      <c r="C124" s="2" t="s">
        <v>507</v>
      </c>
      <c r="D124" s="2" t="s">
        <v>59</v>
      </c>
      <c r="E124" s="2" t="s">
        <v>105</v>
      </c>
      <c r="F124" s="2" t="s">
        <v>30</v>
      </c>
      <c r="G124" s="2">
        <v>90</v>
      </c>
      <c r="H124" s="2" t="s">
        <v>73</v>
      </c>
      <c r="I124" s="2" t="s">
        <v>87</v>
      </c>
      <c r="J124" s="2" t="s">
        <v>64</v>
      </c>
      <c r="K124" s="2" t="s">
        <v>106</v>
      </c>
      <c r="L124" s="6" t="s">
        <v>540</v>
      </c>
      <c r="M124" s="2">
        <v>44</v>
      </c>
      <c r="N124" s="2">
        <v>92</v>
      </c>
      <c r="O124" s="2">
        <v>94</v>
      </c>
      <c r="P124" s="2">
        <v>443</v>
      </c>
      <c r="Q124" s="2">
        <v>1249</v>
      </c>
      <c r="R124" s="2">
        <v>230</v>
      </c>
      <c r="S124" s="2">
        <v>3259</v>
      </c>
      <c r="T124" s="2">
        <v>608</v>
      </c>
      <c r="U124" s="2">
        <v>292</v>
      </c>
      <c r="V124" s="2">
        <v>84</v>
      </c>
      <c r="W124" s="2">
        <v>9053</v>
      </c>
      <c r="X124" s="9">
        <v>668400</v>
      </c>
      <c r="Y124" s="2" t="s">
        <v>46</v>
      </c>
      <c r="AA124" s="1" t="str">
        <f>TRIM(RPG_dataset[[#This Row],[Username]])</f>
        <v>vex_417</v>
      </c>
      <c r="AB124" s="1" t="str">
        <f>TRIM(RPG_dataset[[#This Row],[First Name]])</f>
        <v>Vex</v>
      </c>
      <c r="AC124" s="1" t="str">
        <f>PROPER(TRIM(RPG_dataset[[#This Row],[Race]]))</f>
        <v>Orc</v>
      </c>
      <c r="AD124" s="1" t="str">
        <f>PROPER(TRIM(RPG_dataset[[#This Row],[Class]]))</f>
        <v>Rogue</v>
      </c>
      <c r="AE124" s="1">
        <f>ABS(RPG_dataset[[#This Row],[Level]])</f>
        <v>90</v>
      </c>
      <c r="AF124" s="1">
        <f>ABS(RPG_dataset[[#This Row],[ATK]])</f>
        <v>44</v>
      </c>
      <c r="AG124" s="1">
        <f>ABS(RPG_dataset[[#This Row],[DEF]])</f>
        <v>92</v>
      </c>
      <c r="AH124" s="1">
        <f>ABS(RPG_dataset[[#This Row],[SPD]])</f>
        <v>94</v>
      </c>
      <c r="AI124" s="1">
        <f>ABS(RPG_dataset[[#This Row],[HP]])</f>
        <v>443</v>
      </c>
      <c r="AJ124" s="1">
        <f>ABS(RPG_dataset[[#This Row],[MP]])</f>
        <v>1249</v>
      </c>
      <c r="AK124" s="1">
        <f>ABS(RPG_dataset[[#This Row],[Total Stat]])</f>
        <v>230</v>
      </c>
      <c r="AL124" s="1">
        <f>ABS(RPG_dataset[[#This Row],[Kills]])</f>
        <v>3259</v>
      </c>
      <c r="AM124" s="12">
        <f>ABS(RPG_dataset[[#This Row],[Win Rate (%)]])</f>
        <v>84</v>
      </c>
      <c r="AN124" s="4">
        <f>ABS(RPG_dataset[[#This Row],[Gold Earned]])</f>
        <v>668400</v>
      </c>
      <c r="AO124" s="5" t="str">
        <f t="shared" si="1"/>
        <v>OK</v>
      </c>
      <c r="AP124" s="5">
        <f>RANK(clean[[#This Row],[Clean Gold]],clean[Clean Gold], 0)</f>
        <v>165</v>
      </c>
      <c r="AQ124" s="1">
        <v>199</v>
      </c>
      <c r="AR124" s="1" t="str" cm="1">
        <f t="array" ref="AR124">_xlfn.IFS(clean[[#This Row],[Clean Level]]&gt;=76, "Legend", clean[[#This Row],[Clean Level]]&gt;=51, "Elite", clean[[#This Row],[Clean Level]]&gt;=26, "Veteran", TRUE, "Rookie")</f>
        <v>Legend</v>
      </c>
      <c r="AS124" s="1" t="str">
        <f>IF(RPG_dataset[[#This Row],[Status]]="Active", "TRUE", "FALSE")</f>
        <v>FALSE</v>
      </c>
      <c r="AT124" s="1" t="str" cm="1">
        <f t="array" ref="AT124">_xlfn.IFS(clean[[#This Row],[Clean Win Rate]]&gt;70, "Excellent", clean[[#This Row],[Clean Win Rate]]&gt;=40, "Average", TRUE, "Poor")</f>
        <v>Excellent</v>
      </c>
      <c r="AU124" s="1" t="str">
        <f>IF(AND(clean[[#This Row],[Clean Level]]&gt;80, clean[[#This Row],[Clean Total Stat]]&gt;350, clean[[#This Row],[Clean Gold]]&gt;500000), "Overpowered", "Normal")</f>
        <v>Normal</v>
      </c>
      <c r="AV124" s="1" t="str" cm="1">
        <f t="array" ref="AV12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24" s="1" t="str" cm="1">
        <f t="array" ref="AW12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24" s="1"/>
    </row>
    <row r="125" spans="1:50" x14ac:dyDescent="0.3">
      <c r="A125" s="2" t="s">
        <v>541</v>
      </c>
      <c r="B125" s="2" t="s">
        <v>542</v>
      </c>
      <c r="C125" s="2" t="s">
        <v>543</v>
      </c>
      <c r="D125" s="2" t="s">
        <v>139</v>
      </c>
      <c r="E125" s="2" t="s">
        <v>105</v>
      </c>
      <c r="F125" s="2" t="s">
        <v>98</v>
      </c>
      <c r="G125" s="2">
        <v>64</v>
      </c>
      <c r="H125" s="2" t="s">
        <v>80</v>
      </c>
      <c r="I125" s="2" t="s">
        <v>74</v>
      </c>
      <c r="J125" s="2" t="s">
        <v>33</v>
      </c>
      <c r="K125" s="2" t="s">
        <v>44</v>
      </c>
      <c r="L125" s="6" t="s">
        <v>544</v>
      </c>
      <c r="M125" s="2">
        <v>133</v>
      </c>
      <c r="N125" s="2">
        <v>145</v>
      </c>
      <c r="O125" s="2">
        <v>16</v>
      </c>
      <c r="P125" s="2">
        <v>616</v>
      </c>
      <c r="Q125" s="2">
        <v>2496</v>
      </c>
      <c r="R125" s="2">
        <v>294</v>
      </c>
      <c r="S125" s="2">
        <v>2528</v>
      </c>
      <c r="T125" s="2">
        <v>917</v>
      </c>
      <c r="U125" s="2">
        <v>106</v>
      </c>
      <c r="V125" s="2">
        <v>73</v>
      </c>
      <c r="W125" s="2">
        <v>1918</v>
      </c>
      <c r="X125" s="9">
        <v>627722</v>
      </c>
      <c r="Y125" s="2" t="s">
        <v>36</v>
      </c>
      <c r="AA125" s="1" t="str">
        <f>TRIM(RPG_dataset[[#This Row],[Username]])</f>
        <v>MORA_364</v>
      </c>
      <c r="AB125" s="1" t="str">
        <f>TRIM(RPG_dataset[[#This Row],[First Name]])</f>
        <v>Mora</v>
      </c>
      <c r="AC125" s="1" t="str">
        <f>PROPER(TRIM(RPG_dataset[[#This Row],[Race]]))</f>
        <v>Orc</v>
      </c>
      <c r="AD125" s="1" t="str">
        <f>PROPER(TRIM(RPG_dataset[[#This Row],[Class]]))</f>
        <v>Mage</v>
      </c>
      <c r="AE125" s="1">
        <f>ABS(RPG_dataset[[#This Row],[Level]])</f>
        <v>64</v>
      </c>
      <c r="AF125" s="1">
        <f>ABS(RPG_dataset[[#This Row],[ATK]])</f>
        <v>133</v>
      </c>
      <c r="AG125" s="1">
        <f>ABS(RPG_dataset[[#This Row],[DEF]])</f>
        <v>145</v>
      </c>
      <c r="AH125" s="1">
        <f>ABS(RPG_dataset[[#This Row],[SPD]])</f>
        <v>16</v>
      </c>
      <c r="AI125" s="1">
        <f>ABS(RPG_dataset[[#This Row],[HP]])</f>
        <v>616</v>
      </c>
      <c r="AJ125" s="1">
        <f>ABS(RPG_dataset[[#This Row],[MP]])</f>
        <v>2496</v>
      </c>
      <c r="AK125" s="1">
        <f>ABS(RPG_dataset[[#This Row],[Total Stat]])</f>
        <v>294</v>
      </c>
      <c r="AL125" s="1">
        <f>ABS(RPG_dataset[[#This Row],[Kills]])</f>
        <v>2528</v>
      </c>
      <c r="AM125" s="12">
        <f>ABS(RPG_dataset[[#This Row],[Win Rate (%)]])</f>
        <v>73</v>
      </c>
      <c r="AN125" s="4">
        <f>ABS(RPG_dataset[[#This Row],[Gold Earned]])</f>
        <v>627722</v>
      </c>
      <c r="AO125" s="5" t="str">
        <f t="shared" si="1"/>
        <v>OK</v>
      </c>
      <c r="AP125" s="5">
        <f>RANK(clean[[#This Row],[Clean Gold]],clean[Clean Gold], 0)</f>
        <v>188</v>
      </c>
      <c r="AQ125" s="1">
        <v>237</v>
      </c>
      <c r="AR125" s="1" t="str" cm="1">
        <f t="array" ref="AR125">_xlfn.IFS(clean[[#This Row],[Clean Level]]&gt;=76, "Legend", clean[[#This Row],[Clean Level]]&gt;=51, "Elite", clean[[#This Row],[Clean Level]]&gt;=26, "Veteran", TRUE, "Rookie")</f>
        <v>Elite</v>
      </c>
      <c r="AS125" s="1" t="str">
        <f>IF(RPG_dataset[[#This Row],[Status]]="Active", "TRUE", "FALSE")</f>
        <v>TRUE</v>
      </c>
      <c r="AT125" s="1" t="str" cm="1">
        <f t="array" ref="AT125">_xlfn.IFS(clean[[#This Row],[Clean Win Rate]]&gt;70, "Excellent", clean[[#This Row],[Clean Win Rate]]&gt;=40, "Average", TRUE, "Poor")</f>
        <v>Excellent</v>
      </c>
      <c r="AU125" s="1" t="str">
        <f>IF(AND(clean[[#This Row],[Clean Level]]&gt;80, clean[[#This Row],[Clean Total Stat]]&gt;350, clean[[#This Row],[Clean Gold]]&gt;500000), "Overpowered", "Normal")</f>
        <v>Normal</v>
      </c>
      <c r="AV125" s="1" t="str" cm="1">
        <f t="array" ref="AV125">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125" s="1" t="str" cm="1">
        <f t="array" ref="AW12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25" s="1"/>
    </row>
    <row r="126" spans="1:50" x14ac:dyDescent="0.3">
      <c r="A126" s="2" t="s">
        <v>545</v>
      </c>
      <c r="B126" s="2" t="s">
        <v>546</v>
      </c>
      <c r="C126" s="2" t="s">
        <v>253</v>
      </c>
      <c r="D126" s="2" t="s">
        <v>210</v>
      </c>
      <c r="E126" s="2" t="s">
        <v>547</v>
      </c>
      <c r="F126" s="2" t="s">
        <v>30</v>
      </c>
      <c r="G126" s="2">
        <v>23</v>
      </c>
      <c r="H126" s="2" t="s">
        <v>125</v>
      </c>
      <c r="I126" s="2" t="s">
        <v>74</v>
      </c>
      <c r="J126" s="2" t="s">
        <v>163</v>
      </c>
      <c r="K126" s="2" t="s">
        <v>99</v>
      </c>
      <c r="L126" s="6" t="s">
        <v>548</v>
      </c>
      <c r="M126" s="2">
        <v>125</v>
      </c>
      <c r="N126" s="2">
        <v>136</v>
      </c>
      <c r="O126" s="2">
        <v>27</v>
      </c>
      <c r="P126" s="2">
        <v>3343</v>
      </c>
      <c r="Q126" s="2">
        <v>405</v>
      </c>
      <c r="R126" s="2">
        <v>288</v>
      </c>
      <c r="S126" s="2">
        <v>30</v>
      </c>
      <c r="T126" s="2">
        <v>161</v>
      </c>
      <c r="U126" s="2">
        <v>35</v>
      </c>
      <c r="V126" s="2">
        <v>16</v>
      </c>
      <c r="W126" s="2">
        <v>259</v>
      </c>
      <c r="X126" s="9">
        <v>701780</v>
      </c>
      <c r="Y126" s="2" t="s">
        <v>36</v>
      </c>
      <c r="AA126" s="1" t="str">
        <f>TRIM(RPG_dataset[[#This Row],[Username]])</f>
        <v>freya_335</v>
      </c>
      <c r="AB126" s="1" t="str">
        <f>TRIM(RPG_dataset[[#This Row],[First Name]])</f>
        <v>Freya</v>
      </c>
      <c r="AC126" s="1" t="str">
        <f>PROPER(TRIM(RPG_dataset[[#This Row],[Race]]))</f>
        <v>Dragonborn</v>
      </c>
      <c r="AD126" s="1" t="str">
        <f>PROPER(TRIM(RPG_dataset[[#This Row],[Class]]))</f>
        <v>Rogue</v>
      </c>
      <c r="AE126" s="1">
        <f>ABS(RPG_dataset[[#This Row],[Level]])</f>
        <v>23</v>
      </c>
      <c r="AF126" s="1">
        <f>ABS(RPG_dataset[[#This Row],[ATK]])</f>
        <v>125</v>
      </c>
      <c r="AG126" s="1">
        <f>ABS(RPG_dataset[[#This Row],[DEF]])</f>
        <v>136</v>
      </c>
      <c r="AH126" s="1">
        <f>ABS(RPG_dataset[[#This Row],[SPD]])</f>
        <v>27</v>
      </c>
      <c r="AI126" s="1">
        <f>ABS(RPG_dataset[[#This Row],[HP]])</f>
        <v>3343</v>
      </c>
      <c r="AJ126" s="1">
        <f>ABS(RPG_dataset[[#This Row],[MP]])</f>
        <v>405</v>
      </c>
      <c r="AK126" s="1">
        <f>ABS(RPG_dataset[[#This Row],[Total Stat]])</f>
        <v>288</v>
      </c>
      <c r="AL126" s="1">
        <f>ABS(RPG_dataset[[#This Row],[Kills]])</f>
        <v>30</v>
      </c>
      <c r="AM126" s="12">
        <f>ABS(RPG_dataset[[#This Row],[Win Rate (%)]])</f>
        <v>16</v>
      </c>
      <c r="AN126" s="4">
        <f>ABS(RPG_dataset[[#This Row],[Gold Earned]])</f>
        <v>701780</v>
      </c>
      <c r="AO126" s="5" t="str">
        <f t="shared" si="1"/>
        <v>OK</v>
      </c>
      <c r="AP126" s="5">
        <f>RANK(clean[[#This Row],[Clean Gold]],clean[Clean Gold], 0)</f>
        <v>148</v>
      </c>
      <c r="AQ126" s="1">
        <v>273</v>
      </c>
      <c r="AR126" s="1" t="str" cm="1">
        <f t="array" ref="AR126">_xlfn.IFS(clean[[#This Row],[Clean Level]]&gt;=76, "Legend", clean[[#This Row],[Clean Level]]&gt;=51, "Elite", clean[[#This Row],[Clean Level]]&gt;=26, "Veteran", TRUE, "Rookie")</f>
        <v>Rookie</v>
      </c>
      <c r="AS126" s="1" t="str">
        <f>IF(RPG_dataset[[#This Row],[Status]]="Active", "TRUE", "FALSE")</f>
        <v>FALSE</v>
      </c>
      <c r="AT126" s="1" t="str" cm="1">
        <f t="array" ref="AT126">_xlfn.IFS(clean[[#This Row],[Clean Win Rate]]&gt;70, "Excellent", clean[[#This Row],[Clean Win Rate]]&gt;=40, "Average", TRUE, "Poor")</f>
        <v>Poor</v>
      </c>
      <c r="AU126" s="1" t="str">
        <f>IF(AND(clean[[#This Row],[Clean Level]]&gt;80, clean[[#This Row],[Clean Total Stat]]&gt;350, clean[[#This Row],[Clean Gold]]&gt;500000), "Overpowered", "Normal")</f>
        <v>Normal</v>
      </c>
      <c r="AV126" s="1" t="str" cm="1">
        <f t="array" ref="AV12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26" s="1" t="str" cm="1">
        <f t="array" ref="AW12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126" s="1"/>
    </row>
    <row r="127" spans="1:50" x14ac:dyDescent="0.3">
      <c r="A127" s="2" t="s">
        <v>549</v>
      </c>
      <c r="B127" s="2" t="s">
        <v>550</v>
      </c>
      <c r="C127" s="2" t="s">
        <v>39</v>
      </c>
      <c r="D127" s="2" t="s">
        <v>144</v>
      </c>
      <c r="E127" s="2" t="s">
        <v>551</v>
      </c>
      <c r="F127" s="2" t="s">
        <v>124</v>
      </c>
      <c r="G127" s="2">
        <v>96</v>
      </c>
      <c r="H127" s="2" t="s">
        <v>157</v>
      </c>
      <c r="I127" s="2" t="s">
        <v>32</v>
      </c>
      <c r="J127" s="2" t="s">
        <v>120</v>
      </c>
      <c r="K127" s="2" t="s">
        <v>44</v>
      </c>
      <c r="L127" s="6" t="s">
        <v>552</v>
      </c>
      <c r="M127" s="2">
        <v>61</v>
      </c>
      <c r="N127" s="2">
        <v>40</v>
      </c>
      <c r="O127" s="2">
        <v>58</v>
      </c>
      <c r="P127" s="2">
        <v>4691</v>
      </c>
      <c r="Q127" s="2">
        <v>1834</v>
      </c>
      <c r="R127" s="2">
        <v>159</v>
      </c>
      <c r="S127" s="2">
        <v>1933</v>
      </c>
      <c r="T127" s="2">
        <v>765</v>
      </c>
      <c r="U127" s="2">
        <v>76</v>
      </c>
      <c r="V127" s="2">
        <v>72</v>
      </c>
      <c r="W127" s="2">
        <v>2565</v>
      </c>
      <c r="X127" s="9">
        <v>872225</v>
      </c>
      <c r="Y127" s="2" t="s">
        <v>46</v>
      </c>
      <c r="AA127" s="1" t="str">
        <f>TRIM(RPG_dataset[[#This Row],[Username]])</f>
        <v>yara_428</v>
      </c>
      <c r="AB127" s="1" t="str">
        <f>TRIM(RPG_dataset[[#This Row],[First Name]])</f>
        <v>Yara</v>
      </c>
      <c r="AC127" s="1" t="str">
        <f>PROPER(TRIM(RPG_dataset[[#This Row],[Race]]))</f>
        <v>Halfling</v>
      </c>
      <c r="AD127" s="1" t="str">
        <f>PROPER(TRIM(RPG_dataset[[#This Row],[Class]]))</f>
        <v>Necromancer</v>
      </c>
      <c r="AE127" s="1">
        <f>ABS(RPG_dataset[[#This Row],[Level]])</f>
        <v>96</v>
      </c>
      <c r="AF127" s="1">
        <f>ABS(RPG_dataset[[#This Row],[ATK]])</f>
        <v>61</v>
      </c>
      <c r="AG127" s="1">
        <f>ABS(RPG_dataset[[#This Row],[DEF]])</f>
        <v>40</v>
      </c>
      <c r="AH127" s="1">
        <f>ABS(RPG_dataset[[#This Row],[SPD]])</f>
        <v>58</v>
      </c>
      <c r="AI127" s="1">
        <f>ABS(RPG_dataset[[#This Row],[HP]])</f>
        <v>4691</v>
      </c>
      <c r="AJ127" s="1">
        <f>ABS(RPG_dataset[[#This Row],[MP]])</f>
        <v>1834</v>
      </c>
      <c r="AK127" s="1">
        <f>ABS(RPG_dataset[[#This Row],[Total Stat]])</f>
        <v>159</v>
      </c>
      <c r="AL127" s="1">
        <f>ABS(RPG_dataset[[#This Row],[Kills]])</f>
        <v>1933</v>
      </c>
      <c r="AM127" s="12">
        <f>ABS(RPG_dataset[[#This Row],[Win Rate (%)]])</f>
        <v>72</v>
      </c>
      <c r="AN127" s="4">
        <f>ABS(RPG_dataset[[#This Row],[Gold Earned]])</f>
        <v>872225</v>
      </c>
      <c r="AO127" s="5" t="str">
        <f t="shared" si="1"/>
        <v>OK</v>
      </c>
      <c r="AP127" s="5">
        <f>RANK(clean[[#This Row],[Clean Gold]],clean[Clean Gold], 0)</f>
        <v>61</v>
      </c>
      <c r="AQ127" s="1">
        <v>275</v>
      </c>
      <c r="AR127" s="1" t="str" cm="1">
        <f t="array" ref="AR127">_xlfn.IFS(clean[[#This Row],[Clean Level]]&gt;=76, "Legend", clean[[#This Row],[Clean Level]]&gt;=51, "Elite", clean[[#This Row],[Clean Level]]&gt;=26, "Veteran", TRUE, "Rookie")</f>
        <v>Legend</v>
      </c>
      <c r="AS127" s="1" t="str">
        <f>IF(RPG_dataset[[#This Row],[Status]]="Active", "TRUE", "FALSE")</f>
        <v>TRUE</v>
      </c>
      <c r="AT127" s="1" t="str" cm="1">
        <f t="array" ref="AT127">_xlfn.IFS(clean[[#This Row],[Clean Win Rate]]&gt;70, "Excellent", clean[[#This Row],[Clean Win Rate]]&gt;=40, "Average", TRUE, "Poor")</f>
        <v>Excellent</v>
      </c>
      <c r="AU127" s="1" t="str">
        <f>IF(AND(clean[[#This Row],[Clean Level]]&gt;80, clean[[#This Row],[Clean Total Stat]]&gt;350, clean[[#This Row],[Clean Gold]]&gt;500000), "Overpowered", "Normal")</f>
        <v>Normal</v>
      </c>
      <c r="AV127" s="1" t="str" cm="1">
        <f t="array" ref="AV12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27" s="1" t="str" cm="1">
        <f t="array" ref="AW12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27" s="1"/>
    </row>
    <row r="128" spans="1:50" x14ac:dyDescent="0.3">
      <c r="A128" s="2" t="s">
        <v>553</v>
      </c>
      <c r="B128" s="2" t="s">
        <v>554</v>
      </c>
      <c r="C128" s="2" t="s">
        <v>223</v>
      </c>
      <c r="D128" s="2" t="s">
        <v>119</v>
      </c>
      <c r="E128" s="2" t="s">
        <v>169</v>
      </c>
      <c r="F128" s="2" t="s">
        <v>194</v>
      </c>
      <c r="G128" s="2">
        <v>12</v>
      </c>
      <c r="H128" s="2" t="s">
        <v>31</v>
      </c>
      <c r="I128" s="2" t="s">
        <v>74</v>
      </c>
      <c r="J128" s="2" t="s">
        <v>64</v>
      </c>
      <c r="K128" s="2" t="s">
        <v>106</v>
      </c>
      <c r="L128" s="6" t="s">
        <v>555</v>
      </c>
      <c r="M128" s="2">
        <v>59</v>
      </c>
      <c r="N128" s="2">
        <v>40</v>
      </c>
      <c r="O128" s="2"/>
      <c r="P128" s="2">
        <v>207</v>
      </c>
      <c r="Q128" s="2">
        <v>521</v>
      </c>
      <c r="R128" s="2">
        <v>175</v>
      </c>
      <c r="S128" s="2">
        <v>1401</v>
      </c>
      <c r="T128" s="2">
        <v>29</v>
      </c>
      <c r="U128" s="2">
        <v>244</v>
      </c>
      <c r="V128" s="2">
        <v>98</v>
      </c>
      <c r="W128" s="2">
        <v>6638</v>
      </c>
      <c r="X128" s="9">
        <v>434387</v>
      </c>
      <c r="Y128" s="2" t="s">
        <v>46</v>
      </c>
      <c r="AA128" s="1" t="str">
        <f>TRIM(RPG_dataset[[#This Row],[Username]])</f>
        <v>lyra_458</v>
      </c>
      <c r="AB128" s="1" t="str">
        <f>TRIM(RPG_dataset[[#This Row],[First Name]])</f>
        <v>Lyra</v>
      </c>
      <c r="AC128" s="1" t="str">
        <f>PROPER(TRIM(RPG_dataset[[#This Row],[Race]]))</f>
        <v>Halfling</v>
      </c>
      <c r="AD128" s="1" t="str">
        <f>PROPER(TRIM(RPG_dataset[[#This Row],[Class]]))</f>
        <v>Paladin</v>
      </c>
      <c r="AE128" s="1">
        <f>ABS(RPG_dataset[[#This Row],[Level]])</f>
        <v>12</v>
      </c>
      <c r="AF128" s="1">
        <f>ABS(RPG_dataset[[#This Row],[ATK]])</f>
        <v>59</v>
      </c>
      <c r="AG128" s="1">
        <f>ABS(RPG_dataset[[#This Row],[DEF]])</f>
        <v>40</v>
      </c>
      <c r="AH128" s="1">
        <f>ABS(RPG_dataset[[#This Row],[SPD]])</f>
        <v>0</v>
      </c>
      <c r="AI128" s="1">
        <f>ABS(RPG_dataset[[#This Row],[HP]])</f>
        <v>207</v>
      </c>
      <c r="AJ128" s="1">
        <f>ABS(RPG_dataset[[#This Row],[MP]])</f>
        <v>521</v>
      </c>
      <c r="AK128" s="1">
        <f>ABS(RPG_dataset[[#This Row],[Total Stat]])</f>
        <v>175</v>
      </c>
      <c r="AL128" s="1">
        <f>ABS(RPG_dataset[[#This Row],[Kills]])</f>
        <v>1401</v>
      </c>
      <c r="AM128" s="12">
        <f>ABS(RPG_dataset[[#This Row],[Win Rate (%)]])</f>
        <v>98</v>
      </c>
      <c r="AN128" s="4">
        <f>ABS(RPG_dataset[[#This Row],[Gold Earned]])</f>
        <v>434387</v>
      </c>
      <c r="AO128" s="5" t="str">
        <f t="shared" si="1"/>
        <v>OK</v>
      </c>
      <c r="AP128" s="5">
        <f>RANK(clean[[#This Row],[Clean Gold]],clean[Clean Gold], 0)</f>
        <v>289</v>
      </c>
      <c r="AQ128" s="1">
        <v>389</v>
      </c>
      <c r="AR128" s="1" t="str" cm="1">
        <f t="array" ref="AR128">_xlfn.IFS(clean[[#This Row],[Clean Level]]&gt;=76, "Legend", clean[[#This Row],[Clean Level]]&gt;=51, "Elite", clean[[#This Row],[Clean Level]]&gt;=26, "Veteran", TRUE, "Rookie")</f>
        <v>Rookie</v>
      </c>
      <c r="AS128" s="1" t="str">
        <f>IF(RPG_dataset[[#This Row],[Status]]="Active", "TRUE", "FALSE")</f>
        <v>FALSE</v>
      </c>
      <c r="AT128" s="1" t="str" cm="1">
        <f t="array" ref="AT128">_xlfn.IFS(clean[[#This Row],[Clean Win Rate]]&gt;70, "Excellent", clean[[#This Row],[Clean Win Rate]]&gt;=40, "Average", TRUE, "Poor")</f>
        <v>Excellent</v>
      </c>
      <c r="AU128" s="1" t="str">
        <f>IF(AND(clean[[#This Row],[Clean Level]]&gt;80, clean[[#This Row],[Clean Total Stat]]&gt;350, clean[[#This Row],[Clean Gold]]&gt;500000), "Overpowered", "Normal")</f>
        <v>Normal</v>
      </c>
      <c r="AV128" s="1" t="str" cm="1">
        <f t="array" ref="AV12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28" s="1" t="str" cm="1">
        <f t="array" ref="AW12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28" s="1"/>
    </row>
    <row r="129" spans="1:50" x14ac:dyDescent="0.3">
      <c r="A129" s="2" t="s">
        <v>556</v>
      </c>
      <c r="B129" s="2" t="s">
        <v>557</v>
      </c>
      <c r="C129" s="2" t="s">
        <v>69</v>
      </c>
      <c r="D129" s="2" t="s">
        <v>131</v>
      </c>
      <c r="E129" s="2" t="s">
        <v>169</v>
      </c>
      <c r="F129" s="2" t="s">
        <v>52</v>
      </c>
      <c r="G129" s="2">
        <v>95</v>
      </c>
      <c r="H129" s="2" t="s">
        <v>53</v>
      </c>
      <c r="I129" s="2" t="s">
        <v>140</v>
      </c>
      <c r="J129" s="2" t="s">
        <v>120</v>
      </c>
      <c r="K129" s="2" t="s">
        <v>44</v>
      </c>
      <c r="L129" s="6" t="s">
        <v>558</v>
      </c>
      <c r="M129" s="2">
        <v>82</v>
      </c>
      <c r="N129" s="2">
        <v>42</v>
      </c>
      <c r="O129" s="2">
        <v>84</v>
      </c>
      <c r="P129" s="2">
        <v>3530</v>
      </c>
      <c r="Q129" s="2">
        <v>274</v>
      </c>
      <c r="R129" s="2">
        <v>208</v>
      </c>
      <c r="S129" s="2">
        <v>458</v>
      </c>
      <c r="T129" s="2">
        <v>330</v>
      </c>
      <c r="U129" s="2">
        <v>15</v>
      </c>
      <c r="V129" s="2">
        <v>58</v>
      </c>
      <c r="W129" s="2">
        <v>2213</v>
      </c>
      <c r="X129" s="9">
        <v>479148</v>
      </c>
      <c r="Y129" s="2" t="s">
        <v>46</v>
      </c>
      <c r="AA129" s="1" t="str">
        <f>TRIM(RPG_dataset[[#This Row],[Username]])</f>
        <v>seth_402</v>
      </c>
      <c r="AB129" s="1" t="str">
        <f>TRIM(RPG_dataset[[#This Row],[First Name]])</f>
        <v>Seth</v>
      </c>
      <c r="AC129" s="1" t="str">
        <f>PROPER(TRIM(RPG_dataset[[#This Row],[Race]]))</f>
        <v>Halfling</v>
      </c>
      <c r="AD129" s="1" t="str">
        <f>PROPER(TRIM(RPG_dataset[[#This Row],[Class]]))</f>
        <v>Bard</v>
      </c>
      <c r="AE129" s="1">
        <f>ABS(RPG_dataset[[#This Row],[Level]])</f>
        <v>95</v>
      </c>
      <c r="AF129" s="1">
        <f>ABS(RPG_dataset[[#This Row],[ATK]])</f>
        <v>82</v>
      </c>
      <c r="AG129" s="1">
        <f>ABS(RPG_dataset[[#This Row],[DEF]])</f>
        <v>42</v>
      </c>
      <c r="AH129" s="1">
        <f>ABS(RPG_dataset[[#This Row],[SPD]])</f>
        <v>84</v>
      </c>
      <c r="AI129" s="1">
        <f>ABS(RPG_dataset[[#This Row],[HP]])</f>
        <v>3530</v>
      </c>
      <c r="AJ129" s="1">
        <f>ABS(RPG_dataset[[#This Row],[MP]])</f>
        <v>274</v>
      </c>
      <c r="AK129" s="1">
        <f>ABS(RPG_dataset[[#This Row],[Total Stat]])</f>
        <v>208</v>
      </c>
      <c r="AL129" s="1">
        <f>ABS(RPG_dataset[[#This Row],[Kills]])</f>
        <v>458</v>
      </c>
      <c r="AM129" s="12">
        <f>ABS(RPG_dataset[[#This Row],[Win Rate (%)]])</f>
        <v>58</v>
      </c>
      <c r="AN129" s="4">
        <f>ABS(RPG_dataset[[#This Row],[Gold Earned]])</f>
        <v>479148</v>
      </c>
      <c r="AO129" s="5" t="str">
        <f t="shared" si="1"/>
        <v>OK</v>
      </c>
      <c r="AP129" s="5">
        <f>RANK(clean[[#This Row],[Clean Gold]],clean[Clean Gold], 0)</f>
        <v>267</v>
      </c>
      <c r="AQ129" s="1">
        <v>216</v>
      </c>
      <c r="AR129" s="1" t="str" cm="1">
        <f t="array" ref="AR129">_xlfn.IFS(clean[[#This Row],[Clean Level]]&gt;=76, "Legend", clean[[#This Row],[Clean Level]]&gt;=51, "Elite", clean[[#This Row],[Clean Level]]&gt;=26, "Veteran", TRUE, "Rookie")</f>
        <v>Legend</v>
      </c>
      <c r="AS129" s="1" t="str">
        <f>IF(RPG_dataset[[#This Row],[Status]]="Active", "TRUE", "FALSE")</f>
        <v>TRUE</v>
      </c>
      <c r="AT129" s="1" t="str" cm="1">
        <f t="array" ref="AT129">_xlfn.IFS(clean[[#This Row],[Clean Win Rate]]&gt;70, "Excellent", clean[[#This Row],[Clean Win Rate]]&gt;=40, "Average", TRUE, "Poor")</f>
        <v>Average</v>
      </c>
      <c r="AU129" s="1" t="str">
        <f>IF(AND(clean[[#This Row],[Clean Level]]&gt;80, clean[[#This Row],[Clean Total Stat]]&gt;350, clean[[#This Row],[Clean Gold]]&gt;500000), "Overpowered", "Normal")</f>
        <v>Normal</v>
      </c>
      <c r="AV129" s="1" t="str" cm="1">
        <f t="array" ref="AV12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29" s="1" t="str" cm="1">
        <f t="array" ref="AW12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129" s="1"/>
    </row>
    <row r="130" spans="1:50" x14ac:dyDescent="0.3">
      <c r="A130" s="2" t="s">
        <v>559</v>
      </c>
      <c r="B130" s="2" t="s">
        <v>560</v>
      </c>
      <c r="C130" s="2" t="s">
        <v>253</v>
      </c>
      <c r="D130" s="2" t="s">
        <v>250</v>
      </c>
      <c r="E130" s="2" t="s">
        <v>561</v>
      </c>
      <c r="F130" s="2" t="s">
        <v>52</v>
      </c>
      <c r="G130" s="2">
        <v>29</v>
      </c>
      <c r="H130" s="2" t="s">
        <v>80</v>
      </c>
      <c r="I130" s="2" t="s">
        <v>87</v>
      </c>
      <c r="J130" s="2" t="s">
        <v>163</v>
      </c>
      <c r="K130" s="2" t="s">
        <v>44</v>
      </c>
      <c r="L130" s="6" t="s">
        <v>562</v>
      </c>
      <c r="M130" s="2">
        <v>147</v>
      </c>
      <c r="N130" s="2">
        <v>79</v>
      </c>
      <c r="O130" s="2">
        <v>55</v>
      </c>
      <c r="P130" s="2">
        <v>2604</v>
      </c>
      <c r="Q130" s="2">
        <v>2880</v>
      </c>
      <c r="R130" s="2">
        <v>281</v>
      </c>
      <c r="S130" s="2">
        <v>523</v>
      </c>
      <c r="T130" s="2">
        <v>703</v>
      </c>
      <c r="U130" s="2">
        <v>71</v>
      </c>
      <c r="V130" s="2">
        <v>43</v>
      </c>
      <c r="W130" s="2">
        <v>7331</v>
      </c>
      <c r="X130" s="9">
        <v>838092</v>
      </c>
      <c r="Y130" s="2" t="s">
        <v>36</v>
      </c>
      <c r="AA130" s="1" t="str">
        <f>TRIM(RPG_dataset[[#This Row],[Username]])</f>
        <v>freya_632</v>
      </c>
      <c r="AB130" s="1" t="str">
        <f>TRIM(RPG_dataset[[#This Row],[First Name]])</f>
        <v>Freya</v>
      </c>
      <c r="AC130" s="1" t="str">
        <f>PROPER(TRIM(RPG_dataset[[#This Row],[Race]]))</f>
        <v>Dwarf</v>
      </c>
      <c r="AD130" s="1" t="str">
        <f>PROPER(TRIM(RPG_dataset[[#This Row],[Class]]))</f>
        <v>Bard</v>
      </c>
      <c r="AE130" s="1">
        <f>ABS(RPG_dataset[[#This Row],[Level]])</f>
        <v>29</v>
      </c>
      <c r="AF130" s="1">
        <f>ABS(RPG_dataset[[#This Row],[ATK]])</f>
        <v>147</v>
      </c>
      <c r="AG130" s="1">
        <f>ABS(RPG_dataset[[#This Row],[DEF]])</f>
        <v>79</v>
      </c>
      <c r="AH130" s="1">
        <f>ABS(RPG_dataset[[#This Row],[SPD]])</f>
        <v>55</v>
      </c>
      <c r="AI130" s="1">
        <f>ABS(RPG_dataset[[#This Row],[HP]])</f>
        <v>2604</v>
      </c>
      <c r="AJ130" s="1">
        <f>ABS(RPG_dataset[[#This Row],[MP]])</f>
        <v>2880</v>
      </c>
      <c r="AK130" s="1">
        <f>ABS(RPG_dataset[[#This Row],[Total Stat]])</f>
        <v>281</v>
      </c>
      <c r="AL130" s="1">
        <f>ABS(RPG_dataset[[#This Row],[Kills]])</f>
        <v>523</v>
      </c>
      <c r="AM130" s="12">
        <f>ABS(RPG_dataset[[#This Row],[Win Rate (%)]])</f>
        <v>43</v>
      </c>
      <c r="AN130" s="4">
        <f>ABS(RPG_dataset[[#This Row],[Gold Earned]])</f>
        <v>838092</v>
      </c>
      <c r="AO130" s="5" t="str">
        <f t="shared" ref="AO130:AO193" si="2">IF(MID(L130, 5, 1)="-", "OK", "Fix This")</f>
        <v>OK</v>
      </c>
      <c r="AP130" s="5">
        <f>RANK(clean[[#This Row],[Clean Gold]],clean[Clean Gold], 0)</f>
        <v>86</v>
      </c>
      <c r="AQ130" s="1">
        <v>269</v>
      </c>
      <c r="AR130" s="1" t="str" cm="1">
        <f t="array" ref="AR130">_xlfn.IFS(clean[[#This Row],[Clean Level]]&gt;=76, "Legend", clean[[#This Row],[Clean Level]]&gt;=51, "Elite", clean[[#This Row],[Clean Level]]&gt;=26, "Veteran", TRUE, "Rookie")</f>
        <v>Veteran</v>
      </c>
      <c r="AS130" s="1" t="str">
        <f>IF(RPG_dataset[[#This Row],[Status]]="Active", "TRUE", "FALSE")</f>
        <v>TRUE</v>
      </c>
      <c r="AT130" s="1" t="str" cm="1">
        <f t="array" ref="AT130">_xlfn.IFS(clean[[#This Row],[Clean Win Rate]]&gt;70, "Excellent", clean[[#This Row],[Clean Win Rate]]&gt;=40, "Average", TRUE, "Poor")</f>
        <v>Average</v>
      </c>
      <c r="AU130" s="1" t="str">
        <f>IF(AND(clean[[#This Row],[Clean Level]]&gt;80, clean[[#This Row],[Clean Total Stat]]&gt;350, clean[[#This Row],[Clean Gold]]&gt;500000), "Overpowered", "Normal")</f>
        <v>Normal</v>
      </c>
      <c r="AV130" s="1" t="str" cm="1">
        <f t="array" ref="AV13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30" s="1" t="str" cm="1">
        <f t="array" ref="AW13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30" s="1"/>
    </row>
    <row r="131" spans="1:50" x14ac:dyDescent="0.3">
      <c r="A131" s="2" t="s">
        <v>563</v>
      </c>
      <c r="B131" s="2" t="s">
        <v>564</v>
      </c>
      <c r="C131" s="2" t="s">
        <v>27</v>
      </c>
      <c r="D131" s="2" t="s">
        <v>139</v>
      </c>
      <c r="E131" s="2" t="s">
        <v>60</v>
      </c>
      <c r="F131" s="2" t="s">
        <v>52</v>
      </c>
      <c r="G131" s="2">
        <v>-12</v>
      </c>
      <c r="H131" s="2" t="s">
        <v>43</v>
      </c>
      <c r="I131" s="2" t="s">
        <v>87</v>
      </c>
      <c r="J131" s="2" t="s">
        <v>88</v>
      </c>
      <c r="K131" s="2" t="s">
        <v>106</v>
      </c>
      <c r="L131" s="6" t="s">
        <v>565</v>
      </c>
      <c r="M131" s="2">
        <v>38</v>
      </c>
      <c r="N131" s="2">
        <v>-48</v>
      </c>
      <c r="O131" s="2">
        <v>40</v>
      </c>
      <c r="P131" s="2">
        <v>3501</v>
      </c>
      <c r="Q131" s="2">
        <v>1951</v>
      </c>
      <c r="R131" s="2">
        <v>126</v>
      </c>
      <c r="S131" s="2">
        <v>4469</v>
      </c>
      <c r="T131" s="2"/>
      <c r="U131" s="2">
        <v>54</v>
      </c>
      <c r="V131" s="2">
        <v>97</v>
      </c>
      <c r="W131" s="2">
        <v>-783</v>
      </c>
      <c r="X131" s="2"/>
      <c r="Y131" s="2" t="s">
        <v>46</v>
      </c>
      <c r="AA131" s="1" t="str">
        <f>TRIM(RPG_dataset[[#This Row],[Username]])</f>
        <v>aiden_266</v>
      </c>
      <c r="AB131" s="1" t="str">
        <f>TRIM(RPG_dataset[[#This Row],[First Name]])</f>
        <v>Aiden</v>
      </c>
      <c r="AC131" s="1" t="str">
        <f>PROPER(TRIM(RPG_dataset[[#This Row],[Race]]))</f>
        <v>Human</v>
      </c>
      <c r="AD131" s="1" t="str">
        <f>PROPER(TRIM(RPG_dataset[[#This Row],[Class]]))</f>
        <v>Bard</v>
      </c>
      <c r="AE131" s="1">
        <f>ABS(RPG_dataset[[#This Row],[Level]])</f>
        <v>12</v>
      </c>
      <c r="AF131" s="1">
        <f>ABS(RPG_dataset[[#This Row],[ATK]])</f>
        <v>38</v>
      </c>
      <c r="AG131" s="1">
        <f>ABS(RPG_dataset[[#This Row],[DEF]])</f>
        <v>48</v>
      </c>
      <c r="AH131" s="1">
        <f>ABS(RPG_dataset[[#This Row],[SPD]])</f>
        <v>40</v>
      </c>
      <c r="AI131" s="1">
        <f>ABS(RPG_dataset[[#This Row],[HP]])</f>
        <v>3501</v>
      </c>
      <c r="AJ131" s="1">
        <f>ABS(RPG_dataset[[#This Row],[MP]])</f>
        <v>1951</v>
      </c>
      <c r="AK131" s="1">
        <f>ABS(RPG_dataset[[#This Row],[Total Stat]])</f>
        <v>126</v>
      </c>
      <c r="AL131" s="1">
        <f>ABS(RPG_dataset[[#This Row],[Kills]])</f>
        <v>4469</v>
      </c>
      <c r="AM131" s="12">
        <f>ABS(RPG_dataset[[#This Row],[Win Rate (%)]])</f>
        <v>97</v>
      </c>
      <c r="AN131" s="4">
        <f>ABS(RPG_dataset[[#This Row],[Gold Earned]])</f>
        <v>0</v>
      </c>
      <c r="AO131" s="5" t="str">
        <f t="shared" si="2"/>
        <v>OK</v>
      </c>
      <c r="AP131" s="5">
        <f>RANK(clean[[#This Row],[Clean Gold]],clean[Clean Gold], 0)</f>
        <v>486</v>
      </c>
      <c r="AQ131" s="1">
        <v>247</v>
      </c>
      <c r="AR131" s="1" t="str" cm="1">
        <f t="array" ref="AR131">_xlfn.IFS(clean[[#This Row],[Clean Level]]&gt;=76, "Legend", clean[[#This Row],[Clean Level]]&gt;=51, "Elite", clean[[#This Row],[Clean Level]]&gt;=26, "Veteran", TRUE, "Rookie")</f>
        <v>Rookie</v>
      </c>
      <c r="AS131" s="1" t="str">
        <f>IF(RPG_dataset[[#This Row],[Status]]="Active", "TRUE", "FALSE")</f>
        <v>FALSE</v>
      </c>
      <c r="AT131" s="1" t="str" cm="1">
        <f t="array" ref="AT131">_xlfn.IFS(clean[[#This Row],[Clean Win Rate]]&gt;70, "Excellent", clean[[#This Row],[Clean Win Rate]]&gt;=40, "Average", TRUE, "Poor")</f>
        <v>Excellent</v>
      </c>
      <c r="AU131" s="1" t="str">
        <f>IF(AND(clean[[#This Row],[Clean Level]]&gt;80, clean[[#This Row],[Clean Total Stat]]&gt;350, clean[[#This Row],[Clean Gold]]&gt;500000), "Overpowered", "Normal")</f>
        <v>Normal</v>
      </c>
      <c r="AV131" s="1" t="str" cm="1">
        <f t="array" ref="AV13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31" s="1" t="str" cm="1">
        <f t="array" ref="AW13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31" s="1"/>
    </row>
    <row r="132" spans="1:50" x14ac:dyDescent="0.3">
      <c r="A132" s="2" t="s">
        <v>566</v>
      </c>
      <c r="B132" s="2" t="s">
        <v>567</v>
      </c>
      <c r="C132" s="2" t="s">
        <v>227</v>
      </c>
      <c r="D132" s="2" t="s">
        <v>168</v>
      </c>
      <c r="E132" s="2" t="s">
        <v>228</v>
      </c>
      <c r="F132" s="2" t="s">
        <v>42</v>
      </c>
      <c r="G132" s="2">
        <v>6</v>
      </c>
      <c r="H132" s="2" t="s">
        <v>53</v>
      </c>
      <c r="I132" s="2" t="s">
        <v>63</v>
      </c>
      <c r="J132" s="2" t="s">
        <v>111</v>
      </c>
      <c r="K132" s="2" t="s">
        <v>44</v>
      </c>
      <c r="L132" s="6" t="s">
        <v>568</v>
      </c>
      <c r="M132" s="2">
        <v>137</v>
      </c>
      <c r="N132" s="2">
        <v>102</v>
      </c>
      <c r="O132" s="2">
        <v>84</v>
      </c>
      <c r="P132" s="2">
        <v>1230</v>
      </c>
      <c r="Q132" s="2">
        <v>2633</v>
      </c>
      <c r="R132" s="2">
        <v>323</v>
      </c>
      <c r="S132" s="2">
        <v>3340</v>
      </c>
      <c r="T132" s="2">
        <v>492</v>
      </c>
      <c r="U132" s="2">
        <v>272</v>
      </c>
      <c r="V132" s="2">
        <v>87</v>
      </c>
      <c r="W132" s="2">
        <v>5213</v>
      </c>
      <c r="X132" s="9">
        <v>842176</v>
      </c>
      <c r="Y132" s="2" t="s">
        <v>36</v>
      </c>
      <c r="AA132" s="1" t="str">
        <f>TRIM(RPG_dataset[[#This Row],[Username]])</f>
        <v>nyx_493</v>
      </c>
      <c r="AB132" s="1" t="str">
        <f>TRIM(RPG_dataset[[#This Row],[First Name]])</f>
        <v>Nyx</v>
      </c>
      <c r="AC132" s="1" t="str">
        <f>PROPER(TRIM(RPG_dataset[[#This Row],[Race]]))</f>
        <v>Elf</v>
      </c>
      <c r="AD132" s="1" t="str">
        <f>PROPER(TRIM(RPG_dataset[[#This Row],[Class]]))</f>
        <v>Monk</v>
      </c>
      <c r="AE132" s="1">
        <f>ABS(RPG_dataset[[#This Row],[Level]])</f>
        <v>6</v>
      </c>
      <c r="AF132" s="1">
        <f>ABS(RPG_dataset[[#This Row],[ATK]])</f>
        <v>137</v>
      </c>
      <c r="AG132" s="1">
        <f>ABS(RPG_dataset[[#This Row],[DEF]])</f>
        <v>102</v>
      </c>
      <c r="AH132" s="1">
        <f>ABS(RPG_dataset[[#This Row],[SPD]])</f>
        <v>84</v>
      </c>
      <c r="AI132" s="1">
        <f>ABS(RPG_dataset[[#This Row],[HP]])</f>
        <v>1230</v>
      </c>
      <c r="AJ132" s="1">
        <f>ABS(RPG_dataset[[#This Row],[MP]])</f>
        <v>2633</v>
      </c>
      <c r="AK132" s="1">
        <f>ABS(RPG_dataset[[#This Row],[Total Stat]])</f>
        <v>323</v>
      </c>
      <c r="AL132" s="1">
        <f>ABS(RPG_dataset[[#This Row],[Kills]])</f>
        <v>3340</v>
      </c>
      <c r="AM132" s="12">
        <f>ABS(RPG_dataset[[#This Row],[Win Rate (%)]])</f>
        <v>87</v>
      </c>
      <c r="AN132" s="4">
        <f>ABS(RPG_dataset[[#This Row],[Gold Earned]])</f>
        <v>842176</v>
      </c>
      <c r="AO132" s="5" t="str">
        <f t="shared" si="2"/>
        <v>OK</v>
      </c>
      <c r="AP132" s="5">
        <f>RANK(clean[[#This Row],[Clean Gold]],clean[Clean Gold], 0)</f>
        <v>81</v>
      </c>
      <c r="AQ132" s="1">
        <v>278</v>
      </c>
      <c r="AR132" s="1" t="str" cm="1">
        <f t="array" ref="AR132">_xlfn.IFS(clean[[#This Row],[Clean Level]]&gt;=76, "Legend", clean[[#This Row],[Clean Level]]&gt;=51, "Elite", clean[[#This Row],[Clean Level]]&gt;=26, "Veteran", TRUE, "Rookie")</f>
        <v>Rookie</v>
      </c>
      <c r="AS132" s="1" t="str">
        <f>IF(RPG_dataset[[#This Row],[Status]]="Active", "TRUE", "FALSE")</f>
        <v>TRUE</v>
      </c>
      <c r="AT132" s="1" t="str" cm="1">
        <f t="array" ref="AT132">_xlfn.IFS(clean[[#This Row],[Clean Win Rate]]&gt;70, "Excellent", clean[[#This Row],[Clean Win Rate]]&gt;=40, "Average", TRUE, "Poor")</f>
        <v>Excellent</v>
      </c>
      <c r="AU132" s="1" t="str">
        <f>IF(AND(clean[[#This Row],[Clean Level]]&gt;80, clean[[#This Row],[Clean Total Stat]]&gt;350, clean[[#This Row],[Clean Gold]]&gt;500000), "Overpowered", "Normal")</f>
        <v>Normal</v>
      </c>
      <c r="AV132" s="1" t="str" cm="1">
        <f t="array" ref="AV13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32" s="1" t="str" cm="1">
        <f t="array" ref="AW13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32" s="1"/>
    </row>
    <row r="133" spans="1:50" x14ac:dyDescent="0.3">
      <c r="A133" s="2" t="s">
        <v>569</v>
      </c>
      <c r="B133" s="2" t="s">
        <v>570</v>
      </c>
      <c r="C133" s="2" t="s">
        <v>97</v>
      </c>
      <c r="D133" s="2" t="s">
        <v>139</v>
      </c>
      <c r="E133" s="2" t="s">
        <v>228</v>
      </c>
      <c r="F133" s="2" t="s">
        <v>124</v>
      </c>
      <c r="G133" s="2">
        <v>36</v>
      </c>
      <c r="H133" s="2" t="s">
        <v>53</v>
      </c>
      <c r="I133" s="2" t="s">
        <v>87</v>
      </c>
      <c r="J133" s="2" t="s">
        <v>111</v>
      </c>
      <c r="K133" s="2" t="s">
        <v>34</v>
      </c>
      <c r="L133" s="6" t="s">
        <v>571</v>
      </c>
      <c r="M133" s="2">
        <v>46</v>
      </c>
      <c r="N133" s="2">
        <v>35</v>
      </c>
      <c r="O133" s="2">
        <v>131</v>
      </c>
      <c r="P133" s="2">
        <v>4652</v>
      </c>
      <c r="Q133" s="2">
        <v>2251</v>
      </c>
      <c r="R133" s="2">
        <v>212</v>
      </c>
      <c r="S133" s="2">
        <v>986</v>
      </c>
      <c r="T133" s="2">
        <v>595</v>
      </c>
      <c r="U133" s="2">
        <v>90</v>
      </c>
      <c r="V133" s="2">
        <v>62</v>
      </c>
      <c r="W133" s="2">
        <v>4673</v>
      </c>
      <c r="X133" s="9">
        <v>941974</v>
      </c>
      <c r="Y133" s="2" t="s">
        <v>46</v>
      </c>
      <c r="AA133" s="1" t="str">
        <f>TRIM(RPG_dataset[[#This Row],[Username]])</f>
        <v>HANA_991</v>
      </c>
      <c r="AB133" s="1" t="str">
        <f>TRIM(RPG_dataset[[#This Row],[First Name]])</f>
        <v>Hana</v>
      </c>
      <c r="AC133" s="1" t="str">
        <f>PROPER(TRIM(RPG_dataset[[#This Row],[Race]]))</f>
        <v>Elf</v>
      </c>
      <c r="AD133" s="1" t="str">
        <f>PROPER(TRIM(RPG_dataset[[#This Row],[Class]]))</f>
        <v>Necromancer</v>
      </c>
      <c r="AE133" s="1">
        <f>ABS(RPG_dataset[[#This Row],[Level]])</f>
        <v>36</v>
      </c>
      <c r="AF133" s="1">
        <f>ABS(RPG_dataset[[#This Row],[ATK]])</f>
        <v>46</v>
      </c>
      <c r="AG133" s="1">
        <f>ABS(RPG_dataset[[#This Row],[DEF]])</f>
        <v>35</v>
      </c>
      <c r="AH133" s="1">
        <f>ABS(RPG_dataset[[#This Row],[SPD]])</f>
        <v>131</v>
      </c>
      <c r="AI133" s="1">
        <f>ABS(RPG_dataset[[#This Row],[HP]])</f>
        <v>4652</v>
      </c>
      <c r="AJ133" s="1">
        <f>ABS(RPG_dataset[[#This Row],[MP]])</f>
        <v>2251</v>
      </c>
      <c r="AK133" s="1">
        <f>ABS(RPG_dataset[[#This Row],[Total Stat]])</f>
        <v>212</v>
      </c>
      <c r="AL133" s="1">
        <f>ABS(RPG_dataset[[#This Row],[Kills]])</f>
        <v>986</v>
      </c>
      <c r="AM133" s="12">
        <f>ABS(RPG_dataset[[#This Row],[Win Rate (%)]])</f>
        <v>62</v>
      </c>
      <c r="AN133" s="4">
        <f>ABS(RPG_dataset[[#This Row],[Gold Earned]])</f>
        <v>941974</v>
      </c>
      <c r="AO133" s="5" t="str">
        <f t="shared" si="2"/>
        <v>OK</v>
      </c>
      <c r="AP133" s="5">
        <f>RANK(clean[[#This Row],[Clean Gold]],clean[Clean Gold], 0)</f>
        <v>28</v>
      </c>
      <c r="AQ133" s="1">
        <v>337</v>
      </c>
      <c r="AR133" s="1" t="str" cm="1">
        <f t="array" ref="AR133">_xlfn.IFS(clean[[#This Row],[Clean Level]]&gt;=76, "Legend", clean[[#This Row],[Clean Level]]&gt;=51, "Elite", clean[[#This Row],[Clean Level]]&gt;=26, "Veteran", TRUE, "Rookie")</f>
        <v>Veteran</v>
      </c>
      <c r="AS133" s="1" t="str">
        <f>IF(RPG_dataset[[#This Row],[Status]]="Active", "TRUE", "FALSE")</f>
        <v>FALSE</v>
      </c>
      <c r="AT133" s="1" t="str" cm="1">
        <f t="array" ref="AT133">_xlfn.IFS(clean[[#This Row],[Clean Win Rate]]&gt;70, "Excellent", clean[[#This Row],[Clean Win Rate]]&gt;=40, "Average", TRUE, "Poor")</f>
        <v>Average</v>
      </c>
      <c r="AU133" s="1" t="str">
        <f>IF(AND(clean[[#This Row],[Clean Level]]&gt;80, clean[[#This Row],[Clean Total Stat]]&gt;350, clean[[#This Row],[Clean Gold]]&gt;500000), "Overpowered", "Normal")</f>
        <v>Normal</v>
      </c>
      <c r="AV133" s="1" t="str" cm="1">
        <f t="array" ref="AV133">_xlfn.IFS(
(AND(OR(clean[[#This Row],[Tier]]="Elite", clean[[#This Row],[Tier]]="Legend"), clean[[#This Row],[Performance]]="Excellent", RPG_dataset[[#This Row],[Is Premium]]="Yes")), "High", OR(OR(clean[[#This Row],[Tier]]="Elite", clean[[#This Row],[Tier]]="Legend"), clean[[#This Row],[Performance]]="Excellent", RPG_dataset[[#This Row],[Is Premium]]="Yes"), "Medium", TRUE, "Low")</f>
        <v>Low</v>
      </c>
      <c r="AW133" s="1" t="str" cm="1">
        <f t="array" ref="AW13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33" s="1"/>
    </row>
    <row r="134" spans="1:50" x14ac:dyDescent="0.3">
      <c r="A134" s="2" t="s">
        <v>572</v>
      </c>
      <c r="B134" s="2" t="s">
        <v>573</v>
      </c>
      <c r="C134" s="2" t="s">
        <v>118</v>
      </c>
      <c r="D134" s="2" t="s">
        <v>59</v>
      </c>
      <c r="E134" s="2" t="s">
        <v>29</v>
      </c>
      <c r="F134" s="2" t="s">
        <v>124</v>
      </c>
      <c r="G134" s="2">
        <v>18</v>
      </c>
      <c r="H134" s="2" t="s">
        <v>62</v>
      </c>
      <c r="I134" s="2" t="s">
        <v>63</v>
      </c>
      <c r="J134" s="2" t="s">
        <v>163</v>
      </c>
      <c r="K134" s="2" t="s">
        <v>99</v>
      </c>
      <c r="L134" s="6" t="s">
        <v>574</v>
      </c>
      <c r="M134" s="2">
        <v>30</v>
      </c>
      <c r="N134" s="2">
        <v>114</v>
      </c>
      <c r="O134" s="2">
        <v>98</v>
      </c>
      <c r="P134" s="2">
        <v>1578</v>
      </c>
      <c r="Q134" s="2">
        <v>243</v>
      </c>
      <c r="R134" s="2">
        <v>242</v>
      </c>
      <c r="S134" s="2">
        <v>1</v>
      </c>
      <c r="T134" s="2">
        <v>46</v>
      </c>
      <c r="U134" s="2">
        <v>17</v>
      </c>
      <c r="V134" s="2">
        <v>2</v>
      </c>
      <c r="W134" s="2">
        <v>-145</v>
      </c>
      <c r="X134" s="2"/>
      <c r="Y134" s="2" t="s">
        <v>46</v>
      </c>
      <c r="AA134" s="1" t="str">
        <f>TRIM(RPG_dataset[[#This Row],[Username]])</f>
        <v>ivan_398</v>
      </c>
      <c r="AB134" s="1" t="str">
        <f>TRIM(RPG_dataset[[#This Row],[First Name]])</f>
        <v>Ivan</v>
      </c>
      <c r="AC134" s="1" t="str">
        <f>PROPER(TRIM(RPG_dataset[[#This Row],[Race]]))</f>
        <v>Dwarf</v>
      </c>
      <c r="AD134" s="1" t="str">
        <f>PROPER(TRIM(RPG_dataset[[#This Row],[Class]]))</f>
        <v>Necromancer</v>
      </c>
      <c r="AE134" s="1">
        <f>ABS(RPG_dataset[[#This Row],[Level]])</f>
        <v>18</v>
      </c>
      <c r="AF134" s="1">
        <f>ABS(RPG_dataset[[#This Row],[ATK]])</f>
        <v>30</v>
      </c>
      <c r="AG134" s="1">
        <f>ABS(RPG_dataset[[#This Row],[DEF]])</f>
        <v>114</v>
      </c>
      <c r="AH134" s="1">
        <f>ABS(RPG_dataset[[#This Row],[SPD]])</f>
        <v>98</v>
      </c>
      <c r="AI134" s="1">
        <f>ABS(RPG_dataset[[#This Row],[HP]])</f>
        <v>1578</v>
      </c>
      <c r="AJ134" s="1">
        <f>ABS(RPG_dataset[[#This Row],[MP]])</f>
        <v>243</v>
      </c>
      <c r="AK134" s="1">
        <f>ABS(RPG_dataset[[#This Row],[Total Stat]])</f>
        <v>242</v>
      </c>
      <c r="AL134" s="1">
        <f>ABS(RPG_dataset[[#This Row],[Kills]])</f>
        <v>1</v>
      </c>
      <c r="AM134" s="12">
        <f>ABS(RPG_dataset[[#This Row],[Win Rate (%)]])</f>
        <v>2</v>
      </c>
      <c r="AN134" s="4">
        <f>ABS(RPG_dataset[[#This Row],[Gold Earned]])</f>
        <v>0</v>
      </c>
      <c r="AO134" s="5" t="str">
        <f t="shared" si="2"/>
        <v>OK</v>
      </c>
      <c r="AP134" s="5">
        <f>RANK(clean[[#This Row],[Clean Gold]],clean[Clean Gold], 0)</f>
        <v>486</v>
      </c>
      <c r="AQ134" s="1">
        <v>-142</v>
      </c>
      <c r="AR134" s="1" t="str" cm="1">
        <f t="array" ref="AR134">_xlfn.IFS(clean[[#This Row],[Clean Level]]&gt;=76, "Legend", clean[[#This Row],[Clean Level]]&gt;=51, "Elite", clean[[#This Row],[Clean Level]]&gt;=26, "Veteran", TRUE, "Rookie")</f>
        <v>Rookie</v>
      </c>
      <c r="AS134" s="1" t="str">
        <f>IF(RPG_dataset[[#This Row],[Status]]="Active", "TRUE", "FALSE")</f>
        <v>FALSE</v>
      </c>
      <c r="AT134" s="1" t="str" cm="1">
        <f t="array" ref="AT134">_xlfn.IFS(clean[[#This Row],[Clean Win Rate]]&gt;70, "Excellent", clean[[#This Row],[Clean Win Rate]]&gt;=40, "Average", TRUE, "Poor")</f>
        <v>Poor</v>
      </c>
      <c r="AU134" s="1" t="str">
        <f>IF(AND(clean[[#This Row],[Clean Level]]&gt;80, clean[[#This Row],[Clean Total Stat]]&gt;350, clean[[#This Row],[Clean Gold]]&gt;500000), "Overpowered", "Normal")</f>
        <v>Normal</v>
      </c>
      <c r="AV134" s="1" t="str" cm="1">
        <f t="array" ref="AV134">_xlfn.IFS(
(AND(OR(clean[[#This Row],[Tier]]="Elite", clean[[#This Row],[Tier]]="Legend"), clean[[#This Row],[Performance]]="Excellent", RPG_dataset[[#This Row],[Is Premium]]="Yes")), "High", OR(OR(clean[[#This Row],[Tier]]="Elite", clean[[#This Row],[Tier]]="Legend"), clean[[#This Row],[Performance]]="Excellent", RPG_dataset[[#This Row],[Is Premium]]="Yes"), "Medium", TRUE, "Low")</f>
        <v>Low</v>
      </c>
      <c r="AW134" s="1" t="str" cm="1">
        <f t="array" ref="AW13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34" s="1"/>
    </row>
    <row r="135" spans="1:50" x14ac:dyDescent="0.3">
      <c r="A135" s="2" t="s">
        <v>575</v>
      </c>
      <c r="B135" s="2" t="s">
        <v>576</v>
      </c>
      <c r="C135" s="2" t="s">
        <v>367</v>
      </c>
      <c r="D135" s="2" t="s">
        <v>131</v>
      </c>
      <c r="E135" s="2" t="s">
        <v>169</v>
      </c>
      <c r="F135" s="2" t="s">
        <v>194</v>
      </c>
      <c r="G135" s="2">
        <v>11</v>
      </c>
      <c r="H135" s="2" t="s">
        <v>31</v>
      </c>
      <c r="I135" s="2" t="s">
        <v>32</v>
      </c>
      <c r="J135" s="2" t="s">
        <v>81</v>
      </c>
      <c r="K135" s="2" t="s">
        <v>106</v>
      </c>
      <c r="L135" s="6" t="s">
        <v>577</v>
      </c>
      <c r="M135" s="2">
        <v>47</v>
      </c>
      <c r="N135" s="2">
        <v>123</v>
      </c>
      <c r="O135" s="2">
        <v>46</v>
      </c>
      <c r="P135" s="2">
        <v>3494</v>
      </c>
      <c r="Q135" s="2">
        <v>2393</v>
      </c>
      <c r="R135" s="2">
        <v>216</v>
      </c>
      <c r="S135" s="2">
        <v>3566</v>
      </c>
      <c r="T135" s="2">
        <v>942</v>
      </c>
      <c r="U135" s="2">
        <v>289</v>
      </c>
      <c r="V135" s="2">
        <v>79</v>
      </c>
      <c r="W135" s="2">
        <v>8559</v>
      </c>
      <c r="X135" s="9">
        <v>896003</v>
      </c>
      <c r="Y135" s="2" t="s">
        <v>36</v>
      </c>
      <c r="AA135" s="1" t="str">
        <f>TRIM(RPG_dataset[[#This Row],[Username]])</f>
        <v>sable_615</v>
      </c>
      <c r="AB135" s="1" t="str">
        <f>TRIM(RPG_dataset[[#This Row],[First Name]])</f>
        <v>Sable</v>
      </c>
      <c r="AC135" s="1" t="str">
        <f>PROPER(TRIM(RPG_dataset[[#This Row],[Race]]))</f>
        <v>Halfling</v>
      </c>
      <c r="AD135" s="1" t="str">
        <f>PROPER(TRIM(RPG_dataset[[#This Row],[Class]]))</f>
        <v>Paladin</v>
      </c>
      <c r="AE135" s="1">
        <f>ABS(RPG_dataset[[#This Row],[Level]])</f>
        <v>11</v>
      </c>
      <c r="AF135" s="1">
        <f>ABS(RPG_dataset[[#This Row],[ATK]])</f>
        <v>47</v>
      </c>
      <c r="AG135" s="1">
        <f>ABS(RPG_dataset[[#This Row],[DEF]])</f>
        <v>123</v>
      </c>
      <c r="AH135" s="1">
        <f>ABS(RPG_dataset[[#This Row],[SPD]])</f>
        <v>46</v>
      </c>
      <c r="AI135" s="1">
        <f>ABS(RPG_dataset[[#This Row],[HP]])</f>
        <v>3494</v>
      </c>
      <c r="AJ135" s="1">
        <f>ABS(RPG_dataset[[#This Row],[MP]])</f>
        <v>2393</v>
      </c>
      <c r="AK135" s="1">
        <f>ABS(RPG_dataset[[#This Row],[Total Stat]])</f>
        <v>216</v>
      </c>
      <c r="AL135" s="1">
        <f>ABS(RPG_dataset[[#This Row],[Kills]])</f>
        <v>3566</v>
      </c>
      <c r="AM135" s="12">
        <f>ABS(RPG_dataset[[#This Row],[Win Rate (%)]])</f>
        <v>79</v>
      </c>
      <c r="AN135" s="4">
        <f>ABS(RPG_dataset[[#This Row],[Gold Earned]])</f>
        <v>896003</v>
      </c>
      <c r="AO135" s="5" t="str">
        <f t="shared" si="2"/>
        <v>OK</v>
      </c>
      <c r="AP135" s="5">
        <f>RANK(clean[[#This Row],[Clean Gold]],clean[Clean Gold], 0)</f>
        <v>56</v>
      </c>
      <c r="AQ135" s="1">
        <v>138</v>
      </c>
      <c r="AR135" s="1" t="str" cm="1">
        <f t="array" ref="AR135">_xlfn.IFS(clean[[#This Row],[Clean Level]]&gt;=76, "Legend", clean[[#This Row],[Clean Level]]&gt;=51, "Elite", clean[[#This Row],[Clean Level]]&gt;=26, "Veteran", TRUE, "Rookie")</f>
        <v>Rookie</v>
      </c>
      <c r="AS135" s="1" t="str">
        <f>IF(RPG_dataset[[#This Row],[Status]]="Active", "TRUE", "FALSE")</f>
        <v>FALSE</v>
      </c>
      <c r="AT135" s="1" t="str" cm="1">
        <f t="array" ref="AT135">_xlfn.IFS(clean[[#This Row],[Clean Win Rate]]&gt;70, "Excellent", clean[[#This Row],[Clean Win Rate]]&gt;=40, "Average", TRUE, "Poor")</f>
        <v>Excellent</v>
      </c>
      <c r="AU135" s="1" t="str">
        <f>IF(AND(clean[[#This Row],[Clean Level]]&gt;80, clean[[#This Row],[Clean Total Stat]]&gt;350, clean[[#This Row],[Clean Gold]]&gt;500000), "Overpowered", "Normal")</f>
        <v>Normal</v>
      </c>
      <c r="AV135" s="1" t="str" cm="1">
        <f t="array" ref="AV13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35" s="1" t="str" cm="1">
        <f t="array" ref="AW13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135" s="1"/>
    </row>
    <row r="136" spans="1:50" x14ac:dyDescent="0.3">
      <c r="A136" s="2" t="s">
        <v>578</v>
      </c>
      <c r="B136" s="2" t="s">
        <v>579</v>
      </c>
      <c r="C136" s="2" t="s">
        <v>110</v>
      </c>
      <c r="D136" s="2" t="s">
        <v>349</v>
      </c>
      <c r="E136" s="2" t="s">
        <v>29</v>
      </c>
      <c r="F136" s="2" t="s">
        <v>72</v>
      </c>
      <c r="G136" s="2">
        <v>46</v>
      </c>
      <c r="H136" s="2" t="s">
        <v>157</v>
      </c>
      <c r="I136" s="2" t="s">
        <v>54</v>
      </c>
      <c r="J136" s="2" t="s">
        <v>81</v>
      </c>
      <c r="K136" s="2" t="s">
        <v>44</v>
      </c>
      <c r="L136" s="6" t="s">
        <v>580</v>
      </c>
      <c r="M136" s="2">
        <v>95</v>
      </c>
      <c r="N136" s="2">
        <v>11</v>
      </c>
      <c r="O136" s="2">
        <v>95</v>
      </c>
      <c r="P136" s="2">
        <v>601</v>
      </c>
      <c r="Q136" s="2">
        <v>1159</v>
      </c>
      <c r="R136" s="2">
        <v>201</v>
      </c>
      <c r="S136" s="2">
        <v>3541</v>
      </c>
      <c r="T136" s="2">
        <v>367</v>
      </c>
      <c r="U136" s="2">
        <v>235</v>
      </c>
      <c r="V136" s="2">
        <v>91</v>
      </c>
      <c r="W136" s="2">
        <v>7706</v>
      </c>
      <c r="X136" s="9">
        <v>265990</v>
      </c>
      <c r="Y136" s="2" t="s">
        <v>46</v>
      </c>
      <c r="AA136" s="1" t="str">
        <f>TRIM(RPG_dataset[[#This Row],[Username]])</f>
        <v>tara_704</v>
      </c>
      <c r="AB136" s="1" t="str">
        <f>TRIM(RPG_dataset[[#This Row],[First Name]])</f>
        <v>Tara</v>
      </c>
      <c r="AC136" s="1" t="str">
        <f>PROPER(TRIM(RPG_dataset[[#This Row],[Race]]))</f>
        <v>Dwarf</v>
      </c>
      <c r="AD136" s="1" t="str">
        <f>PROPER(TRIM(RPG_dataset[[#This Row],[Class]]))</f>
        <v>Warrior</v>
      </c>
      <c r="AE136" s="1">
        <f>ABS(RPG_dataset[[#This Row],[Level]])</f>
        <v>46</v>
      </c>
      <c r="AF136" s="1">
        <f>ABS(RPG_dataset[[#This Row],[ATK]])</f>
        <v>95</v>
      </c>
      <c r="AG136" s="1">
        <f>ABS(RPG_dataset[[#This Row],[DEF]])</f>
        <v>11</v>
      </c>
      <c r="AH136" s="1">
        <f>ABS(RPG_dataset[[#This Row],[SPD]])</f>
        <v>95</v>
      </c>
      <c r="AI136" s="1">
        <f>ABS(RPG_dataset[[#This Row],[HP]])</f>
        <v>601</v>
      </c>
      <c r="AJ136" s="1">
        <f>ABS(RPG_dataset[[#This Row],[MP]])</f>
        <v>1159</v>
      </c>
      <c r="AK136" s="1">
        <f>ABS(RPG_dataset[[#This Row],[Total Stat]])</f>
        <v>201</v>
      </c>
      <c r="AL136" s="1">
        <f>ABS(RPG_dataset[[#This Row],[Kills]])</f>
        <v>3541</v>
      </c>
      <c r="AM136" s="12">
        <f>ABS(RPG_dataset[[#This Row],[Win Rate (%)]])</f>
        <v>91</v>
      </c>
      <c r="AN136" s="4">
        <f>ABS(RPG_dataset[[#This Row],[Gold Earned]])</f>
        <v>265990</v>
      </c>
      <c r="AO136" s="5" t="str">
        <f t="shared" si="2"/>
        <v>Fix This</v>
      </c>
      <c r="AP136" s="5">
        <f>RANK(clean[[#This Row],[Clean Gold]],clean[Clean Gold], 0)</f>
        <v>368</v>
      </c>
      <c r="AQ136" s="1">
        <v>-224</v>
      </c>
      <c r="AR136" s="1" t="str" cm="1">
        <f t="array" ref="AR136">_xlfn.IFS(clean[[#This Row],[Clean Level]]&gt;=76, "Legend", clean[[#This Row],[Clean Level]]&gt;=51, "Elite", clean[[#This Row],[Clean Level]]&gt;=26, "Veteran", TRUE, "Rookie")</f>
        <v>Veteran</v>
      </c>
      <c r="AS136" s="1" t="str">
        <f>IF(RPG_dataset[[#This Row],[Status]]="Active", "TRUE", "FALSE")</f>
        <v>TRUE</v>
      </c>
      <c r="AT136" s="1" t="str" cm="1">
        <f t="array" ref="AT136">_xlfn.IFS(clean[[#This Row],[Clean Win Rate]]&gt;70, "Excellent", clean[[#This Row],[Clean Win Rate]]&gt;=40, "Average", TRUE, "Poor")</f>
        <v>Excellent</v>
      </c>
      <c r="AU136" s="1" t="str">
        <f>IF(AND(clean[[#This Row],[Clean Level]]&gt;80, clean[[#This Row],[Clean Total Stat]]&gt;350, clean[[#This Row],[Clean Gold]]&gt;500000), "Overpowered", "Normal")</f>
        <v>Normal</v>
      </c>
      <c r="AV136" s="1" t="str" cm="1">
        <f t="array" ref="AV13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36" s="1" t="str" cm="1">
        <f t="array" ref="AW13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36" s="1"/>
    </row>
    <row r="137" spans="1:50" x14ac:dyDescent="0.3">
      <c r="A137" s="2" t="s">
        <v>581</v>
      </c>
      <c r="B137" s="2" t="s">
        <v>582</v>
      </c>
      <c r="C137" s="2" t="s">
        <v>339</v>
      </c>
      <c r="D137" s="2" t="s">
        <v>304</v>
      </c>
      <c r="E137" s="2" t="s">
        <v>60</v>
      </c>
      <c r="F137" s="2" t="s">
        <v>98</v>
      </c>
      <c r="G137" s="2">
        <v>4</v>
      </c>
      <c r="H137" s="2" t="s">
        <v>43</v>
      </c>
      <c r="I137" s="2" t="s">
        <v>54</v>
      </c>
      <c r="J137" s="2" t="s">
        <v>111</v>
      </c>
      <c r="K137" s="2" t="s">
        <v>99</v>
      </c>
      <c r="L137" s="6" t="s">
        <v>583</v>
      </c>
      <c r="M137" s="2">
        <v>129</v>
      </c>
      <c r="N137" s="2">
        <v>14</v>
      </c>
      <c r="O137" s="2">
        <v>78</v>
      </c>
      <c r="P137" s="2">
        <v>2525</v>
      </c>
      <c r="Q137" s="2">
        <v>2326</v>
      </c>
      <c r="R137" s="2">
        <v>221</v>
      </c>
      <c r="S137" s="2">
        <v>4348</v>
      </c>
      <c r="T137" s="2">
        <v>386</v>
      </c>
      <c r="U137" s="2">
        <v>24</v>
      </c>
      <c r="V137" s="2">
        <v>-92</v>
      </c>
      <c r="W137" s="2">
        <v>8328</v>
      </c>
      <c r="X137" s="9">
        <v>667046</v>
      </c>
      <c r="Y137" s="2" t="s">
        <v>36</v>
      </c>
      <c r="AA137" s="1" t="str">
        <f>TRIM(RPG_dataset[[#This Row],[Username]])</f>
        <v>drak_553</v>
      </c>
      <c r="AB137" s="1" t="str">
        <f>TRIM(RPG_dataset[[#This Row],[First Name]])</f>
        <v>Drak</v>
      </c>
      <c r="AC137" s="1" t="str">
        <f>PROPER(TRIM(RPG_dataset[[#This Row],[Race]]))</f>
        <v>Human</v>
      </c>
      <c r="AD137" s="1" t="str">
        <f>PROPER(TRIM(RPG_dataset[[#This Row],[Class]]))</f>
        <v>Mage</v>
      </c>
      <c r="AE137" s="1">
        <f>ABS(RPG_dataset[[#This Row],[Level]])</f>
        <v>4</v>
      </c>
      <c r="AF137" s="1">
        <f>ABS(RPG_dataset[[#This Row],[ATK]])</f>
        <v>129</v>
      </c>
      <c r="AG137" s="1">
        <f>ABS(RPG_dataset[[#This Row],[DEF]])</f>
        <v>14</v>
      </c>
      <c r="AH137" s="1">
        <f>ABS(RPG_dataset[[#This Row],[SPD]])</f>
        <v>78</v>
      </c>
      <c r="AI137" s="1">
        <f>ABS(RPG_dataset[[#This Row],[HP]])</f>
        <v>2525</v>
      </c>
      <c r="AJ137" s="1">
        <f>ABS(RPG_dataset[[#This Row],[MP]])</f>
        <v>2326</v>
      </c>
      <c r="AK137" s="1">
        <f>ABS(RPG_dataset[[#This Row],[Total Stat]])</f>
        <v>221</v>
      </c>
      <c r="AL137" s="1">
        <f>ABS(RPG_dataset[[#This Row],[Kills]])</f>
        <v>4348</v>
      </c>
      <c r="AM137" s="12">
        <f>ABS(RPG_dataset[[#This Row],[Win Rate (%)]])</f>
        <v>92</v>
      </c>
      <c r="AN137" s="4">
        <f>ABS(RPG_dataset[[#This Row],[Gold Earned]])</f>
        <v>667046</v>
      </c>
      <c r="AO137" s="5" t="str">
        <f t="shared" si="2"/>
        <v>OK</v>
      </c>
      <c r="AP137" s="5">
        <f>RANK(clean[[#This Row],[Clean Gold]],clean[Clean Gold], 0)</f>
        <v>166</v>
      </c>
      <c r="AQ137" s="1">
        <v>180</v>
      </c>
      <c r="AR137" s="1" t="str" cm="1">
        <f t="array" ref="AR137">_xlfn.IFS(clean[[#This Row],[Clean Level]]&gt;=76, "Legend", clean[[#This Row],[Clean Level]]&gt;=51, "Elite", clean[[#This Row],[Clean Level]]&gt;=26, "Veteran", TRUE, "Rookie")</f>
        <v>Rookie</v>
      </c>
      <c r="AS137" s="1" t="str">
        <f>IF(RPG_dataset[[#This Row],[Status]]="Active", "TRUE", "FALSE")</f>
        <v>FALSE</v>
      </c>
      <c r="AT137" s="1" t="str" cm="1">
        <f t="array" ref="AT137">_xlfn.IFS(clean[[#This Row],[Clean Win Rate]]&gt;70, "Excellent", clean[[#This Row],[Clean Win Rate]]&gt;=40, "Average", TRUE, "Poor")</f>
        <v>Excellent</v>
      </c>
      <c r="AU137" s="1" t="str">
        <f>IF(AND(clean[[#This Row],[Clean Level]]&gt;80, clean[[#This Row],[Clean Total Stat]]&gt;350, clean[[#This Row],[Clean Gold]]&gt;500000), "Overpowered", "Normal")</f>
        <v>Normal</v>
      </c>
      <c r="AV137" s="1" t="str" cm="1">
        <f t="array" ref="AV13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37" s="1" t="str" cm="1">
        <f t="array" ref="AW13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137" s="1"/>
    </row>
    <row r="138" spans="1:50" x14ac:dyDescent="0.3">
      <c r="A138" s="2" t="s">
        <v>584</v>
      </c>
      <c r="B138" s="2" t="s">
        <v>585</v>
      </c>
      <c r="C138" s="2" t="s">
        <v>586</v>
      </c>
      <c r="D138" s="2" t="s">
        <v>162</v>
      </c>
      <c r="E138" s="2" t="s">
        <v>105</v>
      </c>
      <c r="F138" s="2" t="s">
        <v>72</v>
      </c>
      <c r="G138" s="2">
        <v>60</v>
      </c>
      <c r="H138" s="2" t="s">
        <v>62</v>
      </c>
      <c r="I138" s="2" t="s">
        <v>74</v>
      </c>
      <c r="J138" s="2" t="s">
        <v>64</v>
      </c>
      <c r="K138" s="2" t="s">
        <v>44</v>
      </c>
      <c r="L138" s="6" t="s">
        <v>587</v>
      </c>
      <c r="M138" s="2">
        <v>75</v>
      </c>
      <c r="N138" s="2">
        <v>54</v>
      </c>
      <c r="O138" s="2">
        <v>95</v>
      </c>
      <c r="P138" s="2">
        <v>654</v>
      </c>
      <c r="Q138" s="2">
        <v>454</v>
      </c>
      <c r="R138" s="2">
        <v>224</v>
      </c>
      <c r="S138" s="2">
        <v>1973</v>
      </c>
      <c r="T138" s="2">
        <v>394</v>
      </c>
      <c r="U138" s="2">
        <v>133</v>
      </c>
      <c r="V138" s="2">
        <v>83</v>
      </c>
      <c r="W138" s="2">
        <v>5813</v>
      </c>
      <c r="X138" s="9">
        <v>914714</v>
      </c>
      <c r="Y138" s="2" t="s">
        <v>46</v>
      </c>
      <c r="AA138" s="1" t="str">
        <f>TRIM(RPG_dataset[[#This Row],[Username]])</f>
        <v>selene_612</v>
      </c>
      <c r="AB138" s="1" t="str">
        <f>TRIM(RPG_dataset[[#This Row],[First Name]])</f>
        <v>Selene</v>
      </c>
      <c r="AC138" s="1" t="str">
        <f>PROPER(TRIM(RPG_dataset[[#This Row],[Race]]))</f>
        <v>Orc</v>
      </c>
      <c r="AD138" s="1" t="str">
        <f>PROPER(TRIM(RPG_dataset[[#This Row],[Class]]))</f>
        <v>Warrior</v>
      </c>
      <c r="AE138" s="1">
        <f>ABS(RPG_dataset[[#This Row],[Level]])</f>
        <v>60</v>
      </c>
      <c r="AF138" s="1">
        <f>ABS(RPG_dataset[[#This Row],[ATK]])</f>
        <v>75</v>
      </c>
      <c r="AG138" s="1">
        <f>ABS(RPG_dataset[[#This Row],[DEF]])</f>
        <v>54</v>
      </c>
      <c r="AH138" s="1">
        <f>ABS(RPG_dataset[[#This Row],[SPD]])</f>
        <v>95</v>
      </c>
      <c r="AI138" s="1">
        <f>ABS(RPG_dataset[[#This Row],[HP]])</f>
        <v>654</v>
      </c>
      <c r="AJ138" s="1">
        <f>ABS(RPG_dataset[[#This Row],[MP]])</f>
        <v>454</v>
      </c>
      <c r="AK138" s="1">
        <f>ABS(RPG_dataset[[#This Row],[Total Stat]])</f>
        <v>224</v>
      </c>
      <c r="AL138" s="1">
        <f>ABS(RPG_dataset[[#This Row],[Kills]])</f>
        <v>1973</v>
      </c>
      <c r="AM138" s="12">
        <f>ABS(RPG_dataset[[#This Row],[Win Rate (%)]])</f>
        <v>83</v>
      </c>
      <c r="AN138" s="4">
        <f>ABS(RPG_dataset[[#This Row],[Gold Earned]])</f>
        <v>914714</v>
      </c>
      <c r="AO138" s="5" t="str">
        <f t="shared" si="2"/>
        <v>OK</v>
      </c>
      <c r="AP138" s="5">
        <f>RANK(clean[[#This Row],[Clean Gold]],clean[Clean Gold], 0)</f>
        <v>46</v>
      </c>
      <c r="AQ138" s="1">
        <v>274</v>
      </c>
      <c r="AR138" s="1" t="str" cm="1">
        <f t="array" ref="AR138">_xlfn.IFS(clean[[#This Row],[Clean Level]]&gt;=76, "Legend", clean[[#This Row],[Clean Level]]&gt;=51, "Elite", clean[[#This Row],[Clean Level]]&gt;=26, "Veteran", TRUE, "Rookie")</f>
        <v>Elite</v>
      </c>
      <c r="AS138" s="1" t="str">
        <f>IF(RPG_dataset[[#This Row],[Status]]="Active", "TRUE", "FALSE")</f>
        <v>TRUE</v>
      </c>
      <c r="AT138" s="1" t="str" cm="1">
        <f t="array" ref="AT138">_xlfn.IFS(clean[[#This Row],[Clean Win Rate]]&gt;70, "Excellent", clean[[#This Row],[Clean Win Rate]]&gt;=40, "Average", TRUE, "Poor")</f>
        <v>Excellent</v>
      </c>
      <c r="AU138" s="1" t="str">
        <f>IF(AND(clean[[#This Row],[Clean Level]]&gt;80, clean[[#This Row],[Clean Total Stat]]&gt;350, clean[[#This Row],[Clean Gold]]&gt;500000), "Overpowered", "Normal")</f>
        <v>Normal</v>
      </c>
      <c r="AV138" s="1" t="str" cm="1">
        <f t="array" ref="AV13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38" s="1" t="str" cm="1">
        <f t="array" ref="AW13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38" s="1"/>
    </row>
    <row r="139" spans="1:50" x14ac:dyDescent="0.3">
      <c r="A139" s="2" t="s">
        <v>588</v>
      </c>
      <c r="B139" s="2" t="s">
        <v>589</v>
      </c>
      <c r="C139" s="2" t="s">
        <v>339</v>
      </c>
      <c r="D139" s="2" t="s">
        <v>40</v>
      </c>
      <c r="E139" s="2" t="s">
        <v>60</v>
      </c>
      <c r="F139" s="2" t="s">
        <v>30</v>
      </c>
      <c r="G139" s="2">
        <v>88</v>
      </c>
      <c r="H139" s="2" t="s">
        <v>157</v>
      </c>
      <c r="I139" s="2" t="s">
        <v>54</v>
      </c>
      <c r="J139" s="2" t="s">
        <v>111</v>
      </c>
      <c r="K139" s="2" t="s">
        <v>34</v>
      </c>
      <c r="L139" s="6" t="s">
        <v>590</v>
      </c>
      <c r="M139" s="2">
        <v>20</v>
      </c>
      <c r="N139" s="2">
        <v>147</v>
      </c>
      <c r="O139" s="2">
        <v>91</v>
      </c>
      <c r="P139" s="2"/>
      <c r="Q139" s="2">
        <v>385</v>
      </c>
      <c r="R139" s="2">
        <v>258</v>
      </c>
      <c r="S139" s="2">
        <v>1060</v>
      </c>
      <c r="T139" s="2">
        <v>537</v>
      </c>
      <c r="U139" s="2">
        <v>127</v>
      </c>
      <c r="V139" s="2">
        <v>66</v>
      </c>
      <c r="W139" s="2">
        <v>6883</v>
      </c>
      <c r="X139" s="9">
        <v>233738</v>
      </c>
      <c r="Y139" s="2" t="s">
        <v>36</v>
      </c>
      <c r="AA139" s="1" t="str">
        <f>TRIM(RPG_dataset[[#This Row],[Username]])</f>
        <v>drak_196</v>
      </c>
      <c r="AB139" s="1" t="str">
        <f>TRIM(RPG_dataset[[#This Row],[First Name]])</f>
        <v>Drak</v>
      </c>
      <c r="AC139" s="1" t="str">
        <f>PROPER(TRIM(RPG_dataset[[#This Row],[Race]]))</f>
        <v>Human</v>
      </c>
      <c r="AD139" s="1" t="str">
        <f>PROPER(TRIM(RPG_dataset[[#This Row],[Class]]))</f>
        <v>Rogue</v>
      </c>
      <c r="AE139" s="1">
        <f>ABS(RPG_dataset[[#This Row],[Level]])</f>
        <v>88</v>
      </c>
      <c r="AF139" s="1">
        <f>ABS(RPG_dataset[[#This Row],[ATK]])</f>
        <v>20</v>
      </c>
      <c r="AG139" s="1">
        <f>ABS(RPG_dataset[[#This Row],[DEF]])</f>
        <v>147</v>
      </c>
      <c r="AH139" s="1">
        <f>ABS(RPG_dataset[[#This Row],[SPD]])</f>
        <v>91</v>
      </c>
      <c r="AI139" s="1">
        <f>ABS(RPG_dataset[[#This Row],[HP]])</f>
        <v>0</v>
      </c>
      <c r="AJ139" s="1">
        <f>ABS(RPG_dataset[[#This Row],[MP]])</f>
        <v>385</v>
      </c>
      <c r="AK139" s="1">
        <f>ABS(RPG_dataset[[#This Row],[Total Stat]])</f>
        <v>258</v>
      </c>
      <c r="AL139" s="1">
        <f>ABS(RPG_dataset[[#This Row],[Kills]])</f>
        <v>1060</v>
      </c>
      <c r="AM139" s="12">
        <f>ABS(RPG_dataset[[#This Row],[Win Rate (%)]])</f>
        <v>66</v>
      </c>
      <c r="AN139" s="4">
        <f>ABS(RPG_dataset[[#This Row],[Gold Earned]])</f>
        <v>233738</v>
      </c>
      <c r="AO139" s="5" t="str">
        <f t="shared" si="2"/>
        <v>OK</v>
      </c>
      <c r="AP139" s="5">
        <f>RANK(clean[[#This Row],[Clean Gold]],clean[Clean Gold], 0)</f>
        <v>381</v>
      </c>
      <c r="AQ139" s="1">
        <v>308</v>
      </c>
      <c r="AR139" s="1" t="str" cm="1">
        <f t="array" ref="AR139">_xlfn.IFS(clean[[#This Row],[Clean Level]]&gt;=76, "Legend", clean[[#This Row],[Clean Level]]&gt;=51, "Elite", clean[[#This Row],[Clean Level]]&gt;=26, "Veteran", TRUE, "Rookie")</f>
        <v>Legend</v>
      </c>
      <c r="AS139" s="1" t="str">
        <f>IF(RPG_dataset[[#This Row],[Status]]="Active", "TRUE", "FALSE")</f>
        <v>FALSE</v>
      </c>
      <c r="AT139" s="1" t="str" cm="1">
        <f t="array" ref="AT139">_xlfn.IFS(clean[[#This Row],[Clean Win Rate]]&gt;70, "Excellent", clean[[#This Row],[Clean Win Rate]]&gt;=40, "Average", TRUE, "Poor")</f>
        <v>Average</v>
      </c>
      <c r="AU139" s="1" t="str">
        <f>IF(AND(clean[[#This Row],[Clean Level]]&gt;80, clean[[#This Row],[Clean Total Stat]]&gt;350, clean[[#This Row],[Clean Gold]]&gt;500000), "Overpowered", "Normal")</f>
        <v>Normal</v>
      </c>
      <c r="AV139" s="1" t="str" cm="1">
        <f t="array" ref="AV13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39" s="1" t="str" cm="1">
        <f t="array" ref="AW13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39" s="1"/>
    </row>
    <row r="140" spans="1:50" x14ac:dyDescent="0.3">
      <c r="A140" s="2" t="s">
        <v>591</v>
      </c>
      <c r="B140" s="2" t="s">
        <v>592</v>
      </c>
      <c r="C140" s="2" t="s">
        <v>253</v>
      </c>
      <c r="D140" s="2" t="s">
        <v>210</v>
      </c>
      <c r="E140" s="2" t="s">
        <v>41</v>
      </c>
      <c r="F140" s="2" t="s">
        <v>42</v>
      </c>
      <c r="G140" s="2">
        <v>96</v>
      </c>
      <c r="H140" s="2" t="s">
        <v>125</v>
      </c>
      <c r="I140" s="2" t="s">
        <v>54</v>
      </c>
      <c r="J140" s="2" t="s">
        <v>163</v>
      </c>
      <c r="K140" s="2" t="s">
        <v>99</v>
      </c>
      <c r="L140" s="6" t="s">
        <v>593</v>
      </c>
      <c r="M140" s="2">
        <v>55</v>
      </c>
      <c r="N140" s="2">
        <v>10</v>
      </c>
      <c r="O140" s="2">
        <v>112</v>
      </c>
      <c r="P140" s="2">
        <v>4927</v>
      </c>
      <c r="Q140" s="2">
        <v>50</v>
      </c>
      <c r="R140" s="2">
        <v>177</v>
      </c>
      <c r="S140" s="2">
        <v>4903</v>
      </c>
      <c r="T140" s="2">
        <v>226</v>
      </c>
      <c r="U140" s="2">
        <v>286</v>
      </c>
      <c r="V140" s="2">
        <v>96</v>
      </c>
      <c r="W140" s="2">
        <v>4081</v>
      </c>
      <c r="X140" s="9">
        <v>780031</v>
      </c>
      <c r="Y140" s="2" t="s">
        <v>46</v>
      </c>
      <c r="AA140" s="1" t="str">
        <f>TRIM(RPG_dataset[[#This Row],[Username]])</f>
        <v>freya_665</v>
      </c>
      <c r="AB140" s="1" t="str">
        <f>TRIM(RPG_dataset[[#This Row],[First Name]])</f>
        <v>Freya</v>
      </c>
      <c r="AC140" s="1" t="str">
        <f>PROPER(TRIM(RPG_dataset[[#This Row],[Race]]))</f>
        <v>Gnome</v>
      </c>
      <c r="AD140" s="1" t="str">
        <f>PROPER(TRIM(RPG_dataset[[#This Row],[Class]]))</f>
        <v>Monk</v>
      </c>
      <c r="AE140" s="1">
        <f>ABS(RPG_dataset[[#This Row],[Level]])</f>
        <v>96</v>
      </c>
      <c r="AF140" s="1">
        <f>ABS(RPG_dataset[[#This Row],[ATK]])</f>
        <v>55</v>
      </c>
      <c r="AG140" s="1">
        <f>ABS(RPG_dataset[[#This Row],[DEF]])</f>
        <v>10</v>
      </c>
      <c r="AH140" s="1">
        <f>ABS(RPG_dataset[[#This Row],[SPD]])</f>
        <v>112</v>
      </c>
      <c r="AI140" s="1">
        <f>ABS(RPG_dataset[[#This Row],[HP]])</f>
        <v>4927</v>
      </c>
      <c r="AJ140" s="1">
        <f>ABS(RPG_dataset[[#This Row],[MP]])</f>
        <v>50</v>
      </c>
      <c r="AK140" s="1">
        <f>ABS(RPG_dataset[[#This Row],[Total Stat]])</f>
        <v>177</v>
      </c>
      <c r="AL140" s="1">
        <f>ABS(RPG_dataset[[#This Row],[Kills]])</f>
        <v>4903</v>
      </c>
      <c r="AM140" s="12">
        <f>ABS(RPG_dataset[[#This Row],[Win Rate (%)]])</f>
        <v>96</v>
      </c>
      <c r="AN140" s="4">
        <f>ABS(RPG_dataset[[#This Row],[Gold Earned]])</f>
        <v>780031</v>
      </c>
      <c r="AO140" s="5" t="str">
        <f t="shared" si="2"/>
        <v>OK</v>
      </c>
      <c r="AP140" s="5">
        <f>RANK(clean[[#This Row],[Clean Gold]],clean[Clean Gold], 0)</f>
        <v>119</v>
      </c>
      <c r="AQ140" s="1">
        <v>273</v>
      </c>
      <c r="AR140" s="1" t="str" cm="1">
        <f t="array" ref="AR140">_xlfn.IFS(clean[[#This Row],[Clean Level]]&gt;=76, "Legend", clean[[#This Row],[Clean Level]]&gt;=51, "Elite", clean[[#This Row],[Clean Level]]&gt;=26, "Veteran", TRUE, "Rookie")</f>
        <v>Legend</v>
      </c>
      <c r="AS140" s="1" t="str">
        <f>IF(RPG_dataset[[#This Row],[Status]]="Active", "TRUE", "FALSE")</f>
        <v>FALSE</v>
      </c>
      <c r="AT140" s="1" t="str" cm="1">
        <f t="array" ref="AT140">_xlfn.IFS(clean[[#This Row],[Clean Win Rate]]&gt;70, "Excellent", clean[[#This Row],[Clean Win Rate]]&gt;=40, "Average", TRUE, "Poor")</f>
        <v>Excellent</v>
      </c>
      <c r="AU140" s="1" t="str">
        <f>IF(AND(clean[[#This Row],[Clean Level]]&gt;80, clean[[#This Row],[Clean Total Stat]]&gt;350, clean[[#This Row],[Clean Gold]]&gt;500000), "Overpowered", "Normal")</f>
        <v>Normal</v>
      </c>
      <c r="AV140" s="1" t="str" cm="1">
        <f t="array" ref="AV14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40" s="1" t="str" cm="1">
        <f t="array" ref="AW14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40" s="1"/>
    </row>
    <row r="141" spans="1:50" x14ac:dyDescent="0.3">
      <c r="A141" s="2" t="s">
        <v>594</v>
      </c>
      <c r="B141" s="2" t="s">
        <v>595</v>
      </c>
      <c r="C141" s="2" t="s">
        <v>103</v>
      </c>
      <c r="D141" s="2" t="s">
        <v>155</v>
      </c>
      <c r="E141" s="2" t="s">
        <v>60</v>
      </c>
      <c r="F141" s="2" t="s">
        <v>30</v>
      </c>
      <c r="G141" s="2">
        <v>27</v>
      </c>
      <c r="H141" s="2" t="s">
        <v>157</v>
      </c>
      <c r="I141" s="2" t="s">
        <v>140</v>
      </c>
      <c r="J141" s="2" t="s">
        <v>88</v>
      </c>
      <c r="K141" s="2" t="s">
        <v>44</v>
      </c>
      <c r="L141" s="6" t="s">
        <v>565</v>
      </c>
      <c r="M141" s="2">
        <v>76</v>
      </c>
      <c r="N141" s="2">
        <v>64</v>
      </c>
      <c r="O141" s="2">
        <v>10</v>
      </c>
      <c r="P141" s="2">
        <v>2183</v>
      </c>
      <c r="Q141" s="2">
        <v>688</v>
      </c>
      <c r="R141" s="2">
        <v>150</v>
      </c>
      <c r="S141" s="2">
        <v>2272</v>
      </c>
      <c r="T141" s="2">
        <v>586</v>
      </c>
      <c r="U141" s="2">
        <v>228</v>
      </c>
      <c r="V141" s="2">
        <v>79</v>
      </c>
      <c r="W141" s="2">
        <v>5778</v>
      </c>
      <c r="X141" s="9">
        <v>279917</v>
      </c>
      <c r="Y141" s="2" t="s">
        <v>36</v>
      </c>
      <c r="AA141" s="1" t="str">
        <f>TRIM(RPG_dataset[[#This Row],[Username]])</f>
        <v>aria_135</v>
      </c>
      <c r="AB141" s="1" t="str">
        <f>TRIM(RPG_dataset[[#This Row],[First Name]])</f>
        <v>Aria</v>
      </c>
      <c r="AC141" s="1" t="str">
        <f>PROPER(TRIM(RPG_dataset[[#This Row],[Race]]))</f>
        <v>Human</v>
      </c>
      <c r="AD141" s="1" t="str">
        <f>PROPER(TRIM(RPG_dataset[[#This Row],[Class]]))</f>
        <v>Rogue</v>
      </c>
      <c r="AE141" s="1">
        <f>ABS(RPG_dataset[[#This Row],[Level]])</f>
        <v>27</v>
      </c>
      <c r="AF141" s="1">
        <f>ABS(RPG_dataset[[#This Row],[ATK]])</f>
        <v>76</v>
      </c>
      <c r="AG141" s="1">
        <f>ABS(RPG_dataset[[#This Row],[DEF]])</f>
        <v>64</v>
      </c>
      <c r="AH141" s="1">
        <f>ABS(RPG_dataset[[#This Row],[SPD]])</f>
        <v>10</v>
      </c>
      <c r="AI141" s="1">
        <f>ABS(RPG_dataset[[#This Row],[HP]])</f>
        <v>2183</v>
      </c>
      <c r="AJ141" s="1">
        <f>ABS(RPG_dataset[[#This Row],[MP]])</f>
        <v>688</v>
      </c>
      <c r="AK141" s="1">
        <f>ABS(RPG_dataset[[#This Row],[Total Stat]])</f>
        <v>150</v>
      </c>
      <c r="AL141" s="1">
        <f>ABS(RPG_dataset[[#This Row],[Kills]])</f>
        <v>2272</v>
      </c>
      <c r="AM141" s="12">
        <f>ABS(RPG_dataset[[#This Row],[Win Rate (%)]])</f>
        <v>79</v>
      </c>
      <c r="AN141" s="4">
        <f>ABS(RPG_dataset[[#This Row],[Gold Earned]])</f>
        <v>279917</v>
      </c>
      <c r="AO141" s="5" t="str">
        <f t="shared" si="2"/>
        <v>OK</v>
      </c>
      <c r="AP141" s="5">
        <f>RANK(clean[[#This Row],[Clean Gold]],clean[Clean Gold], 0)</f>
        <v>362</v>
      </c>
      <c r="AQ141" s="1">
        <v>353</v>
      </c>
      <c r="AR141" s="1" t="str" cm="1">
        <f t="array" ref="AR141">_xlfn.IFS(clean[[#This Row],[Clean Level]]&gt;=76, "Legend", clean[[#This Row],[Clean Level]]&gt;=51, "Elite", clean[[#This Row],[Clean Level]]&gt;=26, "Veteran", TRUE, "Rookie")</f>
        <v>Veteran</v>
      </c>
      <c r="AS141" s="1" t="str">
        <f>IF(RPG_dataset[[#This Row],[Status]]="Active", "TRUE", "FALSE")</f>
        <v>TRUE</v>
      </c>
      <c r="AT141" s="1" t="str" cm="1">
        <f t="array" ref="AT141">_xlfn.IFS(clean[[#This Row],[Clean Win Rate]]&gt;70, "Excellent", clean[[#This Row],[Clean Win Rate]]&gt;=40, "Average", TRUE, "Poor")</f>
        <v>Excellent</v>
      </c>
      <c r="AU141" s="1" t="str">
        <f>IF(AND(clean[[#This Row],[Clean Level]]&gt;80, clean[[#This Row],[Clean Total Stat]]&gt;350, clean[[#This Row],[Clean Gold]]&gt;500000), "Overpowered", "Normal")</f>
        <v>Normal</v>
      </c>
      <c r="AV141" s="1" t="str" cm="1">
        <f t="array" ref="AV14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41" s="1" t="str" cm="1">
        <f t="array" ref="AW14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141" s="1"/>
    </row>
    <row r="142" spans="1:50" x14ac:dyDescent="0.3">
      <c r="A142" s="2" t="s">
        <v>596</v>
      </c>
      <c r="B142" s="2" t="s">
        <v>597</v>
      </c>
      <c r="C142" s="2" t="s">
        <v>227</v>
      </c>
      <c r="D142" s="2" t="s">
        <v>119</v>
      </c>
      <c r="E142" s="2" t="s">
        <v>60</v>
      </c>
      <c r="F142" s="2" t="s">
        <v>72</v>
      </c>
      <c r="G142" s="2">
        <v>68</v>
      </c>
      <c r="H142" s="2" t="s">
        <v>62</v>
      </c>
      <c r="I142" s="2" t="s">
        <v>87</v>
      </c>
      <c r="J142" s="2" t="s">
        <v>92</v>
      </c>
      <c r="K142" s="2" t="s">
        <v>99</v>
      </c>
      <c r="L142" s="6" t="s">
        <v>598</v>
      </c>
      <c r="M142" s="2">
        <v>62</v>
      </c>
      <c r="N142" s="2">
        <v>64</v>
      </c>
      <c r="O142" s="2">
        <v>-48</v>
      </c>
      <c r="P142" s="2">
        <v>4923</v>
      </c>
      <c r="Q142" s="2">
        <v>633</v>
      </c>
      <c r="R142" s="2"/>
      <c r="S142" s="2">
        <v>2509</v>
      </c>
      <c r="T142" s="2">
        <v>566</v>
      </c>
      <c r="U142" s="2">
        <v>73</v>
      </c>
      <c r="V142" s="2">
        <v>82</v>
      </c>
      <c r="W142" s="2">
        <v>8094</v>
      </c>
      <c r="X142" s="9">
        <v>484530</v>
      </c>
      <c r="Y142" s="2" t="s">
        <v>46</v>
      </c>
      <c r="AA142" s="1" t="str">
        <f>TRIM(RPG_dataset[[#This Row],[Username]])</f>
        <v>nyx_423</v>
      </c>
      <c r="AB142" s="1" t="str">
        <f>TRIM(RPG_dataset[[#This Row],[First Name]])</f>
        <v>Nyx</v>
      </c>
      <c r="AC142" s="1" t="str">
        <f>PROPER(TRIM(RPG_dataset[[#This Row],[Race]]))</f>
        <v>Human</v>
      </c>
      <c r="AD142" s="1" t="str">
        <f>PROPER(TRIM(RPG_dataset[[#This Row],[Class]]))</f>
        <v>Warrior</v>
      </c>
      <c r="AE142" s="1">
        <f>ABS(RPG_dataset[[#This Row],[Level]])</f>
        <v>68</v>
      </c>
      <c r="AF142" s="1">
        <f>ABS(RPG_dataset[[#This Row],[ATK]])</f>
        <v>62</v>
      </c>
      <c r="AG142" s="1">
        <f>ABS(RPG_dataset[[#This Row],[DEF]])</f>
        <v>64</v>
      </c>
      <c r="AH142" s="1">
        <f>ABS(RPG_dataset[[#This Row],[SPD]])</f>
        <v>48</v>
      </c>
      <c r="AI142" s="1">
        <f>ABS(RPG_dataset[[#This Row],[HP]])</f>
        <v>4923</v>
      </c>
      <c r="AJ142" s="1">
        <f>ABS(RPG_dataset[[#This Row],[MP]])</f>
        <v>633</v>
      </c>
      <c r="AK142" s="1">
        <f>ABS(RPG_dataset[[#This Row],[Total Stat]])</f>
        <v>0</v>
      </c>
      <c r="AL142" s="1">
        <f>ABS(RPG_dataset[[#This Row],[Kills]])</f>
        <v>2509</v>
      </c>
      <c r="AM142" s="12">
        <f>ABS(RPG_dataset[[#This Row],[Win Rate (%)]])</f>
        <v>82</v>
      </c>
      <c r="AN142" s="4">
        <f>ABS(RPG_dataset[[#This Row],[Gold Earned]])</f>
        <v>484530</v>
      </c>
      <c r="AO142" s="5" t="str">
        <f t="shared" si="2"/>
        <v>OK</v>
      </c>
      <c r="AP142" s="5">
        <f>RANK(clean[[#This Row],[Clean Gold]],clean[Clean Gold], 0)</f>
        <v>262</v>
      </c>
      <c r="AQ142" s="1">
        <v>242</v>
      </c>
      <c r="AR142" s="1" t="str" cm="1">
        <f t="array" ref="AR142">_xlfn.IFS(clean[[#This Row],[Clean Level]]&gt;=76, "Legend", clean[[#This Row],[Clean Level]]&gt;=51, "Elite", clean[[#This Row],[Clean Level]]&gt;=26, "Veteran", TRUE, "Rookie")</f>
        <v>Elite</v>
      </c>
      <c r="AS142" s="1" t="str">
        <f>IF(RPG_dataset[[#This Row],[Status]]="Active", "TRUE", "FALSE")</f>
        <v>FALSE</v>
      </c>
      <c r="AT142" s="1" t="str" cm="1">
        <f t="array" ref="AT142">_xlfn.IFS(clean[[#This Row],[Clean Win Rate]]&gt;70, "Excellent", clean[[#This Row],[Clean Win Rate]]&gt;=40, "Average", TRUE, "Poor")</f>
        <v>Excellent</v>
      </c>
      <c r="AU142" s="1" t="str">
        <f>IF(AND(clean[[#This Row],[Clean Level]]&gt;80, clean[[#This Row],[Clean Total Stat]]&gt;350, clean[[#This Row],[Clean Gold]]&gt;500000), "Overpowered", "Normal")</f>
        <v>Normal</v>
      </c>
      <c r="AV142" s="1" t="str" cm="1">
        <f t="array" ref="AV14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42" s="1" t="str" cm="1">
        <f t="array" ref="AW14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42" s="1"/>
    </row>
    <row r="143" spans="1:50" x14ac:dyDescent="0.3">
      <c r="A143" s="2" t="s">
        <v>599</v>
      </c>
      <c r="B143" s="2" t="s">
        <v>600</v>
      </c>
      <c r="C143" s="2" t="s">
        <v>253</v>
      </c>
      <c r="D143" s="2" t="s">
        <v>162</v>
      </c>
      <c r="E143" s="2" t="s">
        <v>51</v>
      </c>
      <c r="F143" s="2" t="s">
        <v>499</v>
      </c>
      <c r="G143" s="2">
        <v>89</v>
      </c>
      <c r="H143" s="2" t="s">
        <v>73</v>
      </c>
      <c r="I143" s="2" t="s">
        <v>63</v>
      </c>
      <c r="J143" s="2" t="s">
        <v>64</v>
      </c>
      <c r="K143" s="2" t="s">
        <v>44</v>
      </c>
      <c r="L143" s="6" t="s">
        <v>601</v>
      </c>
      <c r="M143" s="2">
        <v>30</v>
      </c>
      <c r="N143" s="2">
        <v>88</v>
      </c>
      <c r="O143" s="2">
        <v>145</v>
      </c>
      <c r="P143" s="2">
        <v>2990</v>
      </c>
      <c r="Q143" s="2">
        <v>1717</v>
      </c>
      <c r="R143" s="2">
        <v>263</v>
      </c>
      <c r="S143" s="2">
        <v>2719</v>
      </c>
      <c r="T143" s="2">
        <v>907</v>
      </c>
      <c r="U143" s="2">
        <v>140</v>
      </c>
      <c r="V143" s="2">
        <v>75</v>
      </c>
      <c r="W143" s="2">
        <v>5362</v>
      </c>
      <c r="X143" s="9">
        <v>341589</v>
      </c>
      <c r="Y143" s="2" t="s">
        <v>46</v>
      </c>
      <c r="AA143" s="1" t="str">
        <f>TRIM(RPG_dataset[[#This Row],[Username]])</f>
        <v>freya_315</v>
      </c>
      <c r="AB143" s="1" t="str">
        <f>TRIM(RPG_dataset[[#This Row],[First Name]])</f>
        <v>Freya</v>
      </c>
      <c r="AC143" s="1" t="str">
        <f>PROPER(TRIM(RPG_dataset[[#This Row],[Race]]))</f>
        <v>Tiefling</v>
      </c>
      <c r="AD143" s="1" t="str">
        <f>PROPER(TRIM(RPG_dataset[[#This Row],[Class]]))</f>
        <v>Monk</v>
      </c>
      <c r="AE143" s="1">
        <f>ABS(RPG_dataset[[#This Row],[Level]])</f>
        <v>89</v>
      </c>
      <c r="AF143" s="1">
        <f>ABS(RPG_dataset[[#This Row],[ATK]])</f>
        <v>30</v>
      </c>
      <c r="AG143" s="1">
        <f>ABS(RPG_dataset[[#This Row],[DEF]])</f>
        <v>88</v>
      </c>
      <c r="AH143" s="1">
        <f>ABS(RPG_dataset[[#This Row],[SPD]])</f>
        <v>145</v>
      </c>
      <c r="AI143" s="1">
        <f>ABS(RPG_dataset[[#This Row],[HP]])</f>
        <v>2990</v>
      </c>
      <c r="AJ143" s="1">
        <f>ABS(RPG_dataset[[#This Row],[MP]])</f>
        <v>1717</v>
      </c>
      <c r="AK143" s="1">
        <f>ABS(RPG_dataset[[#This Row],[Total Stat]])</f>
        <v>263</v>
      </c>
      <c r="AL143" s="1">
        <f>ABS(RPG_dataset[[#This Row],[Kills]])</f>
        <v>2719</v>
      </c>
      <c r="AM143" s="12">
        <f>ABS(RPG_dataset[[#This Row],[Win Rate (%)]])</f>
        <v>75</v>
      </c>
      <c r="AN143" s="4">
        <f>ABS(RPG_dataset[[#This Row],[Gold Earned]])</f>
        <v>341589</v>
      </c>
      <c r="AO143" s="5" t="str">
        <f t="shared" si="2"/>
        <v>Fix This</v>
      </c>
      <c r="AP143" s="5">
        <f>RANK(clean[[#This Row],[Clean Gold]],clean[Clean Gold], 0)</f>
        <v>334</v>
      </c>
      <c r="AQ143" s="1">
        <v>112</v>
      </c>
      <c r="AR143" s="1" t="str" cm="1">
        <f t="array" ref="AR143">_xlfn.IFS(clean[[#This Row],[Clean Level]]&gt;=76, "Legend", clean[[#This Row],[Clean Level]]&gt;=51, "Elite", clean[[#This Row],[Clean Level]]&gt;=26, "Veteran", TRUE, "Rookie")</f>
        <v>Legend</v>
      </c>
      <c r="AS143" s="1" t="str">
        <f>IF(RPG_dataset[[#This Row],[Status]]="Active", "TRUE", "FALSE")</f>
        <v>TRUE</v>
      </c>
      <c r="AT143" s="1" t="str" cm="1">
        <f t="array" ref="AT143">_xlfn.IFS(clean[[#This Row],[Clean Win Rate]]&gt;70, "Excellent", clean[[#This Row],[Clean Win Rate]]&gt;=40, "Average", TRUE, "Poor")</f>
        <v>Excellent</v>
      </c>
      <c r="AU143" s="1" t="str">
        <f>IF(AND(clean[[#This Row],[Clean Level]]&gt;80, clean[[#This Row],[Clean Total Stat]]&gt;350, clean[[#This Row],[Clean Gold]]&gt;500000), "Overpowered", "Normal")</f>
        <v>Normal</v>
      </c>
      <c r="AV143" s="1" t="str" cm="1">
        <f t="array" ref="AV14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43" s="1" t="str" cm="1">
        <f t="array" ref="AW14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43" s="1"/>
    </row>
    <row r="144" spans="1:50" x14ac:dyDescent="0.3">
      <c r="A144" s="2" t="s">
        <v>602</v>
      </c>
      <c r="B144" s="2" t="s">
        <v>603</v>
      </c>
      <c r="C144" s="2" t="s">
        <v>604</v>
      </c>
      <c r="D144" s="2" t="s">
        <v>234</v>
      </c>
      <c r="E144" s="2" t="s">
        <v>60</v>
      </c>
      <c r="F144" s="2" t="s">
        <v>194</v>
      </c>
      <c r="G144" s="2">
        <v>22</v>
      </c>
      <c r="H144" s="2" t="s">
        <v>125</v>
      </c>
      <c r="I144" s="2" t="s">
        <v>126</v>
      </c>
      <c r="J144" s="2" t="s">
        <v>33</v>
      </c>
      <c r="K144" s="2" t="s">
        <v>34</v>
      </c>
      <c r="L144" s="6" t="s">
        <v>605</v>
      </c>
      <c r="M144" s="2">
        <v>125</v>
      </c>
      <c r="N144" s="2">
        <v>43</v>
      </c>
      <c r="O144" s="2">
        <v>31</v>
      </c>
      <c r="P144" s="2">
        <v>3411</v>
      </c>
      <c r="Q144" s="2">
        <v>506</v>
      </c>
      <c r="R144" s="2">
        <v>199</v>
      </c>
      <c r="S144" s="2">
        <v>2540</v>
      </c>
      <c r="T144" s="2">
        <v>215</v>
      </c>
      <c r="U144" s="2">
        <v>293</v>
      </c>
      <c r="V144" s="2">
        <v>92</v>
      </c>
      <c r="W144" s="2">
        <v>267</v>
      </c>
      <c r="X144" s="9">
        <v>187053</v>
      </c>
      <c r="Y144" s="2" t="s">
        <v>46</v>
      </c>
      <c r="AA144" s="1" t="str">
        <f>TRIM(RPG_dataset[[#This Row],[Username]])</f>
        <v>roran_868</v>
      </c>
      <c r="AB144" s="1" t="str">
        <f>TRIM(RPG_dataset[[#This Row],[First Name]])</f>
        <v>Roran</v>
      </c>
      <c r="AC144" s="1" t="str">
        <f>PROPER(TRIM(RPG_dataset[[#This Row],[Race]]))</f>
        <v>Human</v>
      </c>
      <c r="AD144" s="1" t="str">
        <f>PROPER(TRIM(RPG_dataset[[#This Row],[Class]]))</f>
        <v>Paladin</v>
      </c>
      <c r="AE144" s="1">
        <f>ABS(RPG_dataset[[#This Row],[Level]])</f>
        <v>22</v>
      </c>
      <c r="AF144" s="1">
        <f>ABS(RPG_dataset[[#This Row],[ATK]])</f>
        <v>125</v>
      </c>
      <c r="AG144" s="1">
        <f>ABS(RPG_dataset[[#This Row],[DEF]])</f>
        <v>43</v>
      </c>
      <c r="AH144" s="1">
        <f>ABS(RPG_dataset[[#This Row],[SPD]])</f>
        <v>31</v>
      </c>
      <c r="AI144" s="1">
        <f>ABS(RPG_dataset[[#This Row],[HP]])</f>
        <v>3411</v>
      </c>
      <c r="AJ144" s="1">
        <f>ABS(RPG_dataset[[#This Row],[MP]])</f>
        <v>506</v>
      </c>
      <c r="AK144" s="1">
        <f>ABS(RPG_dataset[[#This Row],[Total Stat]])</f>
        <v>199</v>
      </c>
      <c r="AL144" s="1">
        <f>ABS(RPG_dataset[[#This Row],[Kills]])</f>
        <v>2540</v>
      </c>
      <c r="AM144" s="12">
        <f>ABS(RPG_dataset[[#This Row],[Win Rate (%)]])</f>
        <v>92</v>
      </c>
      <c r="AN144" s="4">
        <f>ABS(RPG_dataset[[#This Row],[Gold Earned]])</f>
        <v>187053</v>
      </c>
      <c r="AO144" s="5" t="str">
        <f t="shared" si="2"/>
        <v>OK</v>
      </c>
      <c r="AP144" s="5">
        <f>RANK(clean[[#This Row],[Clean Gold]],clean[Clean Gold], 0)</f>
        <v>407</v>
      </c>
      <c r="AQ144" s="1">
        <v>290</v>
      </c>
      <c r="AR144" s="1" t="str" cm="1">
        <f t="array" ref="AR144">_xlfn.IFS(clean[[#This Row],[Clean Level]]&gt;=76, "Legend", clean[[#This Row],[Clean Level]]&gt;=51, "Elite", clean[[#This Row],[Clean Level]]&gt;=26, "Veteran", TRUE, "Rookie")</f>
        <v>Rookie</v>
      </c>
      <c r="AS144" s="1" t="str">
        <f>IF(RPG_dataset[[#This Row],[Status]]="Active", "TRUE", "FALSE")</f>
        <v>FALSE</v>
      </c>
      <c r="AT144" s="1" t="str" cm="1">
        <f t="array" ref="AT144">_xlfn.IFS(clean[[#This Row],[Clean Win Rate]]&gt;70, "Excellent", clean[[#This Row],[Clean Win Rate]]&gt;=40, "Average", TRUE, "Poor")</f>
        <v>Excellent</v>
      </c>
      <c r="AU144" s="1" t="str">
        <f>IF(AND(clean[[#This Row],[Clean Level]]&gt;80, clean[[#This Row],[Clean Total Stat]]&gt;350, clean[[#This Row],[Clean Gold]]&gt;500000), "Overpowered", "Normal")</f>
        <v>Normal</v>
      </c>
      <c r="AV144" s="1" t="str" cm="1">
        <f t="array" ref="AV14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44" s="1" t="str" cm="1">
        <f t="array" ref="AW14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44" s="1"/>
    </row>
    <row r="145" spans="1:50" x14ac:dyDescent="0.3">
      <c r="A145" s="2" t="s">
        <v>606</v>
      </c>
      <c r="B145" s="2" t="s">
        <v>607</v>
      </c>
      <c r="C145" s="2" t="s">
        <v>233</v>
      </c>
      <c r="D145" s="2" t="s">
        <v>28</v>
      </c>
      <c r="E145" s="2" t="s">
        <v>608</v>
      </c>
      <c r="F145" s="2" t="s">
        <v>42</v>
      </c>
      <c r="G145" s="2">
        <v>88</v>
      </c>
      <c r="H145" s="2" t="s">
        <v>53</v>
      </c>
      <c r="I145" s="2" t="s">
        <v>32</v>
      </c>
      <c r="J145" s="2" t="s">
        <v>33</v>
      </c>
      <c r="K145" s="2" t="s">
        <v>99</v>
      </c>
      <c r="L145" s="6" t="s">
        <v>609</v>
      </c>
      <c r="M145" s="2">
        <v>136</v>
      </c>
      <c r="N145" s="2">
        <v>38</v>
      </c>
      <c r="O145" s="2">
        <v>41</v>
      </c>
      <c r="P145" s="2">
        <v>2368</v>
      </c>
      <c r="Q145" s="2">
        <v>2899</v>
      </c>
      <c r="R145" s="2">
        <v>215</v>
      </c>
      <c r="S145" s="2">
        <v>2909</v>
      </c>
      <c r="T145" s="2">
        <v>585</v>
      </c>
      <c r="U145" s="2">
        <v>232</v>
      </c>
      <c r="V145" s="2">
        <v>83</v>
      </c>
      <c r="W145" s="2">
        <v>1749</v>
      </c>
      <c r="X145" s="9">
        <v>236468</v>
      </c>
      <c r="Y145" s="2" t="s">
        <v>46</v>
      </c>
      <c r="AA145" s="1" t="str">
        <f>TRIM(RPG_dataset[[#This Row],[Username]])</f>
        <v>finn_689</v>
      </c>
      <c r="AB145" s="1" t="str">
        <f>TRIM(RPG_dataset[[#This Row],[First Name]])</f>
        <v>Finn</v>
      </c>
      <c r="AC145" s="1" t="str">
        <f>PROPER(TRIM(RPG_dataset[[#This Row],[Race]]))</f>
        <v>Dragonborn</v>
      </c>
      <c r="AD145" s="1" t="str">
        <f>PROPER(TRIM(RPG_dataset[[#This Row],[Class]]))</f>
        <v>Monk</v>
      </c>
      <c r="AE145" s="1">
        <f>ABS(RPG_dataset[[#This Row],[Level]])</f>
        <v>88</v>
      </c>
      <c r="AF145" s="1">
        <f>ABS(RPG_dataset[[#This Row],[ATK]])</f>
        <v>136</v>
      </c>
      <c r="AG145" s="1">
        <f>ABS(RPG_dataset[[#This Row],[DEF]])</f>
        <v>38</v>
      </c>
      <c r="AH145" s="1">
        <f>ABS(RPG_dataset[[#This Row],[SPD]])</f>
        <v>41</v>
      </c>
      <c r="AI145" s="1">
        <f>ABS(RPG_dataset[[#This Row],[HP]])</f>
        <v>2368</v>
      </c>
      <c r="AJ145" s="1">
        <f>ABS(RPG_dataset[[#This Row],[MP]])</f>
        <v>2899</v>
      </c>
      <c r="AK145" s="1">
        <f>ABS(RPG_dataset[[#This Row],[Total Stat]])</f>
        <v>215</v>
      </c>
      <c r="AL145" s="1">
        <f>ABS(RPG_dataset[[#This Row],[Kills]])</f>
        <v>2909</v>
      </c>
      <c r="AM145" s="12">
        <f>ABS(RPG_dataset[[#This Row],[Win Rate (%)]])</f>
        <v>83</v>
      </c>
      <c r="AN145" s="4">
        <f>ABS(RPG_dataset[[#This Row],[Gold Earned]])</f>
        <v>236468</v>
      </c>
      <c r="AO145" s="5" t="str">
        <f t="shared" si="2"/>
        <v>OK</v>
      </c>
      <c r="AP145" s="5">
        <f>RANK(clean[[#This Row],[Clean Gold]],clean[Clean Gold], 0)</f>
        <v>379</v>
      </c>
      <c r="AQ145" s="1">
        <v>275</v>
      </c>
      <c r="AR145" s="1" t="str" cm="1">
        <f t="array" ref="AR145">_xlfn.IFS(clean[[#This Row],[Clean Level]]&gt;=76, "Legend", clean[[#This Row],[Clean Level]]&gt;=51, "Elite", clean[[#This Row],[Clean Level]]&gt;=26, "Veteran", TRUE, "Rookie")</f>
        <v>Legend</v>
      </c>
      <c r="AS145" s="1" t="str">
        <f>IF(RPG_dataset[[#This Row],[Status]]="Active", "TRUE", "FALSE")</f>
        <v>FALSE</v>
      </c>
      <c r="AT145" s="1" t="str" cm="1">
        <f t="array" ref="AT145">_xlfn.IFS(clean[[#This Row],[Clean Win Rate]]&gt;70, "Excellent", clean[[#This Row],[Clean Win Rate]]&gt;=40, "Average", TRUE, "Poor")</f>
        <v>Excellent</v>
      </c>
      <c r="AU145" s="1" t="str">
        <f>IF(AND(clean[[#This Row],[Clean Level]]&gt;80, clean[[#This Row],[Clean Total Stat]]&gt;350, clean[[#This Row],[Clean Gold]]&gt;500000), "Overpowered", "Normal")</f>
        <v>Normal</v>
      </c>
      <c r="AV145" s="1" t="str" cm="1">
        <f t="array" ref="AV14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45" s="1" t="str" cm="1">
        <f t="array" ref="AW14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45" s="1"/>
    </row>
    <row r="146" spans="1:50" x14ac:dyDescent="0.3">
      <c r="A146" s="2" t="s">
        <v>610</v>
      </c>
      <c r="B146" s="2" t="s">
        <v>611</v>
      </c>
      <c r="C146" s="2" t="s">
        <v>391</v>
      </c>
      <c r="D146" s="2" t="s">
        <v>59</v>
      </c>
      <c r="E146" s="2" t="s">
        <v>105</v>
      </c>
      <c r="F146" s="2" t="s">
        <v>194</v>
      </c>
      <c r="G146" s="2">
        <v>68</v>
      </c>
      <c r="H146" s="2" t="s">
        <v>80</v>
      </c>
      <c r="I146" s="2" t="s">
        <v>140</v>
      </c>
      <c r="J146" s="2" t="s">
        <v>88</v>
      </c>
      <c r="K146" s="2" t="s">
        <v>44</v>
      </c>
      <c r="L146" s="6" t="s">
        <v>612</v>
      </c>
      <c r="M146" s="2">
        <v>144</v>
      </c>
      <c r="N146" s="2">
        <v>144</v>
      </c>
      <c r="O146" s="2">
        <v>97</v>
      </c>
      <c r="P146" s="2">
        <v>3289</v>
      </c>
      <c r="Q146" s="2">
        <v>1882</v>
      </c>
      <c r="R146" s="2">
        <v>385</v>
      </c>
      <c r="S146" s="2">
        <v>4904</v>
      </c>
      <c r="T146" s="2">
        <v>147</v>
      </c>
      <c r="U146" s="2"/>
      <c r="V146" s="2">
        <v>97</v>
      </c>
      <c r="W146" s="2">
        <v>8843</v>
      </c>
      <c r="X146" s="9">
        <v>900709</v>
      </c>
      <c r="Y146" s="2" t="s">
        <v>46</v>
      </c>
      <c r="AA146" s="1" t="str">
        <f>TRIM(RPG_dataset[[#This Row],[Username]])</f>
        <v>aldric_560</v>
      </c>
      <c r="AB146" s="1" t="str">
        <f>TRIM(RPG_dataset[[#This Row],[First Name]])</f>
        <v>Aldric</v>
      </c>
      <c r="AC146" s="1" t="str">
        <f>PROPER(TRIM(RPG_dataset[[#This Row],[Race]]))</f>
        <v>Orc</v>
      </c>
      <c r="AD146" s="1" t="str">
        <f>PROPER(TRIM(RPG_dataset[[#This Row],[Class]]))</f>
        <v>Paladin</v>
      </c>
      <c r="AE146" s="1">
        <f>ABS(RPG_dataset[[#This Row],[Level]])</f>
        <v>68</v>
      </c>
      <c r="AF146" s="1">
        <f>ABS(RPG_dataset[[#This Row],[ATK]])</f>
        <v>144</v>
      </c>
      <c r="AG146" s="1">
        <f>ABS(RPG_dataset[[#This Row],[DEF]])</f>
        <v>144</v>
      </c>
      <c r="AH146" s="1">
        <f>ABS(RPG_dataset[[#This Row],[SPD]])</f>
        <v>97</v>
      </c>
      <c r="AI146" s="1">
        <f>ABS(RPG_dataset[[#This Row],[HP]])</f>
        <v>3289</v>
      </c>
      <c r="AJ146" s="1">
        <f>ABS(RPG_dataset[[#This Row],[MP]])</f>
        <v>1882</v>
      </c>
      <c r="AK146" s="1">
        <f>ABS(RPG_dataset[[#This Row],[Total Stat]])</f>
        <v>385</v>
      </c>
      <c r="AL146" s="1">
        <f>ABS(RPG_dataset[[#This Row],[Kills]])</f>
        <v>4904</v>
      </c>
      <c r="AM146" s="12">
        <f>ABS(RPG_dataset[[#This Row],[Win Rate (%)]])</f>
        <v>97</v>
      </c>
      <c r="AN146" s="4">
        <f>ABS(RPG_dataset[[#This Row],[Gold Earned]])</f>
        <v>900709</v>
      </c>
      <c r="AO146" s="5" t="str">
        <f t="shared" si="2"/>
        <v>OK</v>
      </c>
      <c r="AP146" s="5">
        <f>RANK(clean[[#This Row],[Clean Gold]],clean[Clean Gold], 0)</f>
        <v>53</v>
      </c>
      <c r="AQ146" s="1">
        <v>172</v>
      </c>
      <c r="AR146" s="1" t="str" cm="1">
        <f t="array" ref="AR146">_xlfn.IFS(clean[[#This Row],[Clean Level]]&gt;=76, "Legend", clean[[#This Row],[Clean Level]]&gt;=51, "Elite", clean[[#This Row],[Clean Level]]&gt;=26, "Veteran", TRUE, "Rookie")</f>
        <v>Elite</v>
      </c>
      <c r="AS146" s="1" t="str">
        <f>IF(RPG_dataset[[#This Row],[Status]]="Active", "TRUE", "FALSE")</f>
        <v>TRUE</v>
      </c>
      <c r="AT146" s="1" t="str" cm="1">
        <f t="array" ref="AT146">_xlfn.IFS(clean[[#This Row],[Clean Win Rate]]&gt;70, "Excellent", clean[[#This Row],[Clean Win Rate]]&gt;=40, "Average", TRUE, "Poor")</f>
        <v>Excellent</v>
      </c>
      <c r="AU146" s="1" t="str">
        <f>IF(AND(clean[[#This Row],[Clean Level]]&gt;80, clean[[#This Row],[Clean Total Stat]]&gt;350, clean[[#This Row],[Clean Gold]]&gt;500000), "Overpowered", "Normal")</f>
        <v>Normal</v>
      </c>
      <c r="AV146" s="1" t="str" cm="1">
        <f t="array" ref="AV14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46" s="1" t="str" cm="1">
        <f t="array" ref="AW14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146" s="1"/>
    </row>
    <row r="147" spans="1:50" x14ac:dyDescent="0.3">
      <c r="A147" s="2" t="s">
        <v>613</v>
      </c>
      <c r="B147" s="2" t="s">
        <v>614</v>
      </c>
      <c r="C147" s="2" t="s">
        <v>123</v>
      </c>
      <c r="D147" s="2" t="s">
        <v>139</v>
      </c>
      <c r="E147" s="2" t="s">
        <v>60</v>
      </c>
      <c r="F147" s="2" t="s">
        <v>42</v>
      </c>
      <c r="G147" s="2"/>
      <c r="H147" s="2" t="s">
        <v>53</v>
      </c>
      <c r="I147" s="2" t="s">
        <v>54</v>
      </c>
      <c r="J147" s="2" t="s">
        <v>111</v>
      </c>
      <c r="K147" s="2" t="s">
        <v>44</v>
      </c>
      <c r="L147" s="6" t="s">
        <v>615</v>
      </c>
      <c r="M147" s="2">
        <v>14</v>
      </c>
      <c r="N147" s="2">
        <v>68</v>
      </c>
      <c r="O147" s="2">
        <v>149</v>
      </c>
      <c r="P147" s="2">
        <v>1176</v>
      </c>
      <c r="Q147" s="2">
        <v>2652</v>
      </c>
      <c r="R147" s="2">
        <v>231</v>
      </c>
      <c r="S147" s="2">
        <v>4545</v>
      </c>
      <c r="T147" s="2">
        <v>847</v>
      </c>
      <c r="U147" s="2">
        <v>181</v>
      </c>
      <c r="V147" s="2">
        <v>84</v>
      </c>
      <c r="W147" s="2">
        <v>4220</v>
      </c>
      <c r="X147" s="9">
        <v>858802</v>
      </c>
      <c r="Y147" s="2" t="s">
        <v>46</v>
      </c>
      <c r="AA147" s="1" t="str">
        <f>TRIM(RPG_dataset[[#This Row],[Username]])</f>
        <v>faye_831</v>
      </c>
      <c r="AB147" s="1" t="str">
        <f>TRIM(RPG_dataset[[#This Row],[First Name]])</f>
        <v>Faye</v>
      </c>
      <c r="AC147" s="1" t="str">
        <f>PROPER(TRIM(RPG_dataset[[#This Row],[Race]]))</f>
        <v>Human</v>
      </c>
      <c r="AD147" s="1" t="str">
        <f>PROPER(TRIM(RPG_dataset[[#This Row],[Class]]))</f>
        <v>Monk</v>
      </c>
      <c r="AE147" s="1">
        <f>ABS(RPG_dataset[[#This Row],[Level]])</f>
        <v>0</v>
      </c>
      <c r="AF147" s="1">
        <f>ABS(RPG_dataset[[#This Row],[ATK]])</f>
        <v>14</v>
      </c>
      <c r="AG147" s="1">
        <f>ABS(RPG_dataset[[#This Row],[DEF]])</f>
        <v>68</v>
      </c>
      <c r="AH147" s="1">
        <f>ABS(RPG_dataset[[#This Row],[SPD]])</f>
        <v>149</v>
      </c>
      <c r="AI147" s="1">
        <f>ABS(RPG_dataset[[#This Row],[HP]])</f>
        <v>1176</v>
      </c>
      <c r="AJ147" s="1">
        <f>ABS(RPG_dataset[[#This Row],[MP]])</f>
        <v>2652</v>
      </c>
      <c r="AK147" s="1">
        <f>ABS(RPG_dataset[[#This Row],[Total Stat]])</f>
        <v>231</v>
      </c>
      <c r="AL147" s="1">
        <f>ABS(RPG_dataset[[#This Row],[Kills]])</f>
        <v>4545</v>
      </c>
      <c r="AM147" s="12">
        <f>ABS(RPG_dataset[[#This Row],[Win Rate (%)]])</f>
        <v>84</v>
      </c>
      <c r="AN147" s="4">
        <f>ABS(RPG_dataset[[#This Row],[Gold Earned]])</f>
        <v>858802</v>
      </c>
      <c r="AO147" s="5" t="str">
        <f t="shared" si="2"/>
        <v>OK</v>
      </c>
      <c r="AP147" s="5">
        <f>RANK(clean[[#This Row],[Clean Gold]],clean[Clean Gold], 0)</f>
        <v>69</v>
      </c>
      <c r="AQ147" s="1">
        <v>242</v>
      </c>
      <c r="AR147" s="1" t="str" cm="1">
        <f t="array" ref="AR147">_xlfn.IFS(clean[[#This Row],[Clean Level]]&gt;=76, "Legend", clean[[#This Row],[Clean Level]]&gt;=51, "Elite", clean[[#This Row],[Clean Level]]&gt;=26, "Veteran", TRUE, "Rookie")</f>
        <v>Rookie</v>
      </c>
      <c r="AS147" s="1" t="str">
        <f>IF(RPG_dataset[[#This Row],[Status]]="Active", "TRUE", "FALSE")</f>
        <v>TRUE</v>
      </c>
      <c r="AT147" s="1" t="str" cm="1">
        <f t="array" ref="AT147">_xlfn.IFS(clean[[#This Row],[Clean Win Rate]]&gt;70, "Excellent", clean[[#This Row],[Clean Win Rate]]&gt;=40, "Average", TRUE, "Poor")</f>
        <v>Excellent</v>
      </c>
      <c r="AU147" s="1" t="str">
        <f>IF(AND(clean[[#This Row],[Clean Level]]&gt;80, clean[[#This Row],[Clean Total Stat]]&gt;350, clean[[#This Row],[Clean Gold]]&gt;500000), "Overpowered", "Normal")</f>
        <v>Normal</v>
      </c>
      <c r="AV147" s="1" t="str" cm="1">
        <f t="array" ref="AV14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47" s="1" t="str" cm="1">
        <f t="array" ref="AW14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47" s="1"/>
    </row>
    <row r="148" spans="1:50" x14ac:dyDescent="0.3">
      <c r="A148" s="2" t="s">
        <v>616</v>
      </c>
      <c r="B148" s="2" t="s">
        <v>617</v>
      </c>
      <c r="C148" s="2" t="s">
        <v>39</v>
      </c>
      <c r="D148" s="2" t="s">
        <v>618</v>
      </c>
      <c r="E148" s="2" t="s">
        <v>169</v>
      </c>
      <c r="F148" s="2" t="s">
        <v>52</v>
      </c>
      <c r="G148" s="2">
        <v>98</v>
      </c>
      <c r="H148" s="2" t="s">
        <v>73</v>
      </c>
      <c r="I148" s="2" t="s">
        <v>87</v>
      </c>
      <c r="J148" s="2" t="s">
        <v>88</v>
      </c>
      <c r="K148" s="2" t="s">
        <v>44</v>
      </c>
      <c r="L148" s="6" t="s">
        <v>619</v>
      </c>
      <c r="M148" s="2">
        <v>134</v>
      </c>
      <c r="N148" s="2">
        <v>86</v>
      </c>
      <c r="O148" s="2">
        <v>95</v>
      </c>
      <c r="P148" s="2">
        <v>-4825</v>
      </c>
      <c r="Q148" s="2">
        <v>1601</v>
      </c>
      <c r="R148" s="2">
        <v>315</v>
      </c>
      <c r="S148" s="2">
        <v>1389</v>
      </c>
      <c r="T148" s="2">
        <v>448</v>
      </c>
      <c r="U148" s="2">
        <v>244</v>
      </c>
      <c r="V148" s="2">
        <v>76</v>
      </c>
      <c r="W148" s="2">
        <v>1745</v>
      </c>
      <c r="X148" s="9">
        <v>289851</v>
      </c>
      <c r="Y148" s="2" t="s">
        <v>46</v>
      </c>
      <c r="AA148" s="1" t="str">
        <f>TRIM(RPG_dataset[[#This Row],[Username]])</f>
        <v>yara_958</v>
      </c>
      <c r="AB148" s="1" t="str">
        <f>TRIM(RPG_dataset[[#This Row],[First Name]])</f>
        <v>Yara</v>
      </c>
      <c r="AC148" s="1" t="str">
        <f>PROPER(TRIM(RPG_dataset[[#This Row],[Race]]))</f>
        <v>Halfling</v>
      </c>
      <c r="AD148" s="1" t="str">
        <f>PROPER(TRIM(RPG_dataset[[#This Row],[Class]]))</f>
        <v>Bard</v>
      </c>
      <c r="AE148" s="1">
        <f>ABS(RPG_dataset[[#This Row],[Level]])</f>
        <v>98</v>
      </c>
      <c r="AF148" s="1">
        <f>ABS(RPG_dataset[[#This Row],[ATK]])</f>
        <v>134</v>
      </c>
      <c r="AG148" s="1">
        <f>ABS(RPG_dataset[[#This Row],[DEF]])</f>
        <v>86</v>
      </c>
      <c r="AH148" s="1">
        <f>ABS(RPG_dataset[[#This Row],[SPD]])</f>
        <v>95</v>
      </c>
      <c r="AI148" s="1">
        <f>ABS(RPG_dataset[[#This Row],[HP]])</f>
        <v>4825</v>
      </c>
      <c r="AJ148" s="1">
        <f>ABS(RPG_dataset[[#This Row],[MP]])</f>
        <v>1601</v>
      </c>
      <c r="AK148" s="1">
        <f>ABS(RPG_dataset[[#This Row],[Total Stat]])</f>
        <v>315</v>
      </c>
      <c r="AL148" s="1">
        <f>ABS(RPG_dataset[[#This Row],[Kills]])</f>
        <v>1389</v>
      </c>
      <c r="AM148" s="12">
        <f>ABS(RPG_dataset[[#This Row],[Win Rate (%)]])</f>
        <v>76</v>
      </c>
      <c r="AN148" s="4">
        <f>ABS(RPG_dataset[[#This Row],[Gold Earned]])</f>
        <v>289851</v>
      </c>
      <c r="AO148" s="5" t="str">
        <f t="shared" si="2"/>
        <v>OK</v>
      </c>
      <c r="AP148" s="5">
        <f>RANK(clean[[#This Row],[Clean Gold]],clean[Clean Gold], 0)</f>
        <v>358</v>
      </c>
      <c r="AQ148" s="1">
        <v>132</v>
      </c>
      <c r="AR148" s="1" t="str" cm="1">
        <f t="array" ref="AR148">_xlfn.IFS(clean[[#This Row],[Clean Level]]&gt;=76, "Legend", clean[[#This Row],[Clean Level]]&gt;=51, "Elite", clean[[#This Row],[Clean Level]]&gt;=26, "Veteran", TRUE, "Rookie")</f>
        <v>Legend</v>
      </c>
      <c r="AS148" s="1" t="str">
        <f>IF(RPG_dataset[[#This Row],[Status]]="Active", "TRUE", "FALSE")</f>
        <v>TRUE</v>
      </c>
      <c r="AT148" s="1" t="str" cm="1">
        <f t="array" ref="AT148">_xlfn.IFS(clean[[#This Row],[Clean Win Rate]]&gt;70, "Excellent", clean[[#This Row],[Clean Win Rate]]&gt;=40, "Average", TRUE, "Poor")</f>
        <v>Excellent</v>
      </c>
      <c r="AU148" s="1" t="str">
        <f>IF(AND(clean[[#This Row],[Clean Level]]&gt;80, clean[[#This Row],[Clean Total Stat]]&gt;350, clean[[#This Row],[Clean Gold]]&gt;500000), "Overpowered", "Normal")</f>
        <v>Normal</v>
      </c>
      <c r="AV148" s="1" t="str" cm="1">
        <f t="array" ref="AV14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48" s="1" t="str" cm="1">
        <f t="array" ref="AW14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48" s="1"/>
    </row>
    <row r="149" spans="1:50" x14ac:dyDescent="0.3">
      <c r="A149" s="2" t="s">
        <v>620</v>
      </c>
      <c r="B149" s="2" t="s">
        <v>621</v>
      </c>
      <c r="C149" s="2" t="s">
        <v>353</v>
      </c>
      <c r="D149" s="2" t="s">
        <v>40</v>
      </c>
      <c r="E149" s="2" t="s">
        <v>29</v>
      </c>
      <c r="F149" s="2" t="s">
        <v>194</v>
      </c>
      <c r="G149" s="2">
        <v>8</v>
      </c>
      <c r="H149" s="2" t="s">
        <v>62</v>
      </c>
      <c r="I149" s="2" t="s">
        <v>32</v>
      </c>
      <c r="J149" s="2" t="s">
        <v>92</v>
      </c>
      <c r="K149" s="2" t="s">
        <v>44</v>
      </c>
      <c r="L149" s="6" t="s">
        <v>622</v>
      </c>
      <c r="M149" s="2">
        <v>78</v>
      </c>
      <c r="N149" s="2">
        <v>68</v>
      </c>
      <c r="O149" s="2">
        <v>91</v>
      </c>
      <c r="P149" s="2">
        <v>2442</v>
      </c>
      <c r="Q149" s="2">
        <v>1715</v>
      </c>
      <c r="R149" s="2">
        <v>237</v>
      </c>
      <c r="S149" s="2">
        <v>2980</v>
      </c>
      <c r="T149" s="2">
        <v>614</v>
      </c>
      <c r="U149" s="2">
        <v>192</v>
      </c>
      <c r="V149" s="2">
        <v>83</v>
      </c>
      <c r="W149" s="2">
        <v>8843</v>
      </c>
      <c r="X149" s="9">
        <v>72788</v>
      </c>
      <c r="Y149" s="2" t="s">
        <v>46</v>
      </c>
      <c r="AA149" s="1" t="str">
        <f>TRIM(RPG_dataset[[#This Row],[Username]])</f>
        <v>percy_352</v>
      </c>
      <c r="AB149" s="1" t="str">
        <f>TRIM(RPG_dataset[[#This Row],[First Name]])</f>
        <v>Percy</v>
      </c>
      <c r="AC149" s="1" t="str">
        <f>PROPER(TRIM(RPG_dataset[[#This Row],[Race]]))</f>
        <v>Dwarf</v>
      </c>
      <c r="AD149" s="1" t="str">
        <f>PROPER(TRIM(RPG_dataset[[#This Row],[Class]]))</f>
        <v>Paladin</v>
      </c>
      <c r="AE149" s="1">
        <f>ABS(RPG_dataset[[#This Row],[Level]])</f>
        <v>8</v>
      </c>
      <c r="AF149" s="1">
        <f>ABS(RPG_dataset[[#This Row],[ATK]])</f>
        <v>78</v>
      </c>
      <c r="AG149" s="1">
        <f>ABS(RPG_dataset[[#This Row],[DEF]])</f>
        <v>68</v>
      </c>
      <c r="AH149" s="1">
        <f>ABS(RPG_dataset[[#This Row],[SPD]])</f>
        <v>91</v>
      </c>
      <c r="AI149" s="1">
        <f>ABS(RPG_dataset[[#This Row],[HP]])</f>
        <v>2442</v>
      </c>
      <c r="AJ149" s="1">
        <f>ABS(RPG_dataset[[#This Row],[MP]])</f>
        <v>1715</v>
      </c>
      <c r="AK149" s="1">
        <f>ABS(RPG_dataset[[#This Row],[Total Stat]])</f>
        <v>237</v>
      </c>
      <c r="AL149" s="1">
        <f>ABS(RPG_dataset[[#This Row],[Kills]])</f>
        <v>2980</v>
      </c>
      <c r="AM149" s="12">
        <f>ABS(RPG_dataset[[#This Row],[Win Rate (%)]])</f>
        <v>83</v>
      </c>
      <c r="AN149" s="4">
        <f>ABS(RPG_dataset[[#This Row],[Gold Earned]])</f>
        <v>72788</v>
      </c>
      <c r="AO149" s="5" t="str">
        <f t="shared" si="2"/>
        <v>OK</v>
      </c>
      <c r="AP149" s="5">
        <f>RANK(clean[[#This Row],[Clean Gold]],clean[Clean Gold], 0)</f>
        <v>449</v>
      </c>
      <c r="AQ149" s="1">
        <v>146</v>
      </c>
      <c r="AR149" s="1" t="str" cm="1">
        <f t="array" ref="AR149">_xlfn.IFS(clean[[#This Row],[Clean Level]]&gt;=76, "Legend", clean[[#This Row],[Clean Level]]&gt;=51, "Elite", clean[[#This Row],[Clean Level]]&gt;=26, "Veteran", TRUE, "Rookie")</f>
        <v>Rookie</v>
      </c>
      <c r="AS149" s="1" t="str">
        <f>IF(RPG_dataset[[#This Row],[Status]]="Active", "TRUE", "FALSE")</f>
        <v>TRUE</v>
      </c>
      <c r="AT149" s="1" t="str" cm="1">
        <f t="array" ref="AT149">_xlfn.IFS(clean[[#This Row],[Clean Win Rate]]&gt;70, "Excellent", clean[[#This Row],[Clean Win Rate]]&gt;=40, "Average", TRUE, "Poor")</f>
        <v>Excellent</v>
      </c>
      <c r="AU149" s="1" t="str">
        <f>IF(AND(clean[[#This Row],[Clean Level]]&gt;80, clean[[#This Row],[Clean Total Stat]]&gt;350, clean[[#This Row],[Clean Gold]]&gt;500000), "Overpowered", "Normal")</f>
        <v>Normal</v>
      </c>
      <c r="AV149" s="1" t="str" cm="1">
        <f t="array" ref="AV14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49" s="1" t="str" cm="1">
        <f t="array" ref="AW14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49" s="1"/>
    </row>
    <row r="150" spans="1:50" x14ac:dyDescent="0.3">
      <c r="A150" s="2" t="s">
        <v>623</v>
      </c>
      <c r="B150" s="2" t="s">
        <v>75</v>
      </c>
      <c r="C150" s="2" t="s">
        <v>219</v>
      </c>
      <c r="D150" s="2" t="s">
        <v>150</v>
      </c>
      <c r="E150" s="2" t="s">
        <v>41</v>
      </c>
      <c r="F150" s="2" t="s">
        <v>30</v>
      </c>
      <c r="G150" s="2">
        <v>37</v>
      </c>
      <c r="H150" s="2" t="s">
        <v>62</v>
      </c>
      <c r="I150" s="2" t="s">
        <v>63</v>
      </c>
      <c r="J150" s="2" t="s">
        <v>64</v>
      </c>
      <c r="K150" s="2" t="s">
        <v>75</v>
      </c>
      <c r="L150" s="6" t="s">
        <v>624</v>
      </c>
      <c r="M150" s="2">
        <v>11</v>
      </c>
      <c r="N150" s="2">
        <v>101</v>
      </c>
      <c r="O150" s="2">
        <v>149</v>
      </c>
      <c r="P150" s="2">
        <v>4400</v>
      </c>
      <c r="Q150" s="2">
        <v>1132</v>
      </c>
      <c r="R150" s="2">
        <v>261</v>
      </c>
      <c r="S150" s="2">
        <v>3587</v>
      </c>
      <c r="T150" s="2">
        <v>342</v>
      </c>
      <c r="U150" s="2">
        <v>91</v>
      </c>
      <c r="V150" s="2">
        <v>91</v>
      </c>
      <c r="W150" s="2">
        <v>3733</v>
      </c>
      <c r="X150" s="9">
        <v>657980</v>
      </c>
      <c r="Y150" s="2" t="s">
        <v>36</v>
      </c>
      <c r="AA150" s="1" t="str">
        <f>TRIM(RPG_dataset[[#This Row],[Username]])</f>
        <v/>
      </c>
      <c r="AB150" s="1" t="str">
        <f>TRIM(RPG_dataset[[#This Row],[First Name]])</f>
        <v>Torin</v>
      </c>
      <c r="AC150" s="1" t="str">
        <f>PROPER(TRIM(RPG_dataset[[#This Row],[Race]]))</f>
        <v>Gnome</v>
      </c>
      <c r="AD150" s="1" t="str">
        <f>PROPER(TRIM(RPG_dataset[[#This Row],[Class]]))</f>
        <v>Rogue</v>
      </c>
      <c r="AE150" s="1">
        <f>ABS(RPG_dataset[[#This Row],[Level]])</f>
        <v>37</v>
      </c>
      <c r="AF150" s="1">
        <f>ABS(RPG_dataset[[#This Row],[ATK]])</f>
        <v>11</v>
      </c>
      <c r="AG150" s="1">
        <f>ABS(RPG_dataset[[#This Row],[DEF]])</f>
        <v>101</v>
      </c>
      <c r="AH150" s="1">
        <f>ABS(RPG_dataset[[#This Row],[SPD]])</f>
        <v>149</v>
      </c>
      <c r="AI150" s="1">
        <f>ABS(RPG_dataset[[#This Row],[HP]])</f>
        <v>4400</v>
      </c>
      <c r="AJ150" s="1">
        <f>ABS(RPG_dataset[[#This Row],[MP]])</f>
        <v>1132</v>
      </c>
      <c r="AK150" s="1">
        <f>ABS(RPG_dataset[[#This Row],[Total Stat]])</f>
        <v>261</v>
      </c>
      <c r="AL150" s="1">
        <f>ABS(RPG_dataset[[#This Row],[Kills]])</f>
        <v>3587</v>
      </c>
      <c r="AM150" s="12">
        <f>ABS(RPG_dataset[[#This Row],[Win Rate (%)]])</f>
        <v>91</v>
      </c>
      <c r="AN150" s="4">
        <f>ABS(RPG_dataset[[#This Row],[Gold Earned]])</f>
        <v>657980</v>
      </c>
      <c r="AO150" s="5" t="str">
        <f t="shared" si="2"/>
        <v>OK</v>
      </c>
      <c r="AP150" s="5">
        <f>RANK(clean[[#This Row],[Clean Gold]],clean[Clean Gold], 0)</f>
        <v>170</v>
      </c>
      <c r="AQ150" s="1">
        <v>286</v>
      </c>
      <c r="AR150" s="1" t="str" cm="1">
        <f t="array" ref="AR150">_xlfn.IFS(clean[[#This Row],[Clean Level]]&gt;=76, "Legend", clean[[#This Row],[Clean Level]]&gt;=51, "Elite", clean[[#This Row],[Clean Level]]&gt;=26, "Veteran", TRUE, "Rookie")</f>
        <v>Veteran</v>
      </c>
      <c r="AS150" s="1" t="str">
        <f>IF(RPG_dataset[[#This Row],[Status]]="Active", "TRUE", "FALSE")</f>
        <v>FALSE</v>
      </c>
      <c r="AT150" s="1" t="str" cm="1">
        <f t="array" ref="AT150">_xlfn.IFS(clean[[#This Row],[Clean Win Rate]]&gt;70, "Excellent", clean[[#This Row],[Clean Win Rate]]&gt;=40, "Average", TRUE, "Poor")</f>
        <v>Excellent</v>
      </c>
      <c r="AU150" s="1" t="str">
        <f>IF(AND(clean[[#This Row],[Clean Level]]&gt;80, clean[[#This Row],[Clean Total Stat]]&gt;350, clean[[#This Row],[Clean Gold]]&gt;500000), "Overpowered", "Normal")</f>
        <v>Normal</v>
      </c>
      <c r="AV150" s="1" t="str" cm="1">
        <f t="array" ref="AV15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50" s="1" t="str" cm="1">
        <f t="array" ref="AW15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50" s="1"/>
    </row>
    <row r="151" spans="1:50" x14ac:dyDescent="0.3">
      <c r="A151" s="2" t="s">
        <v>625</v>
      </c>
      <c r="B151" s="2" t="s">
        <v>626</v>
      </c>
      <c r="C151" s="2" t="s">
        <v>627</v>
      </c>
      <c r="D151" s="2" t="s">
        <v>277</v>
      </c>
      <c r="E151" s="2" t="s">
        <v>105</v>
      </c>
      <c r="F151" s="2" t="s">
        <v>98</v>
      </c>
      <c r="G151" s="2">
        <v>51</v>
      </c>
      <c r="H151" s="2" t="s">
        <v>157</v>
      </c>
      <c r="I151" s="2" t="s">
        <v>63</v>
      </c>
      <c r="J151" s="2" t="s">
        <v>163</v>
      </c>
      <c r="K151" s="2" t="s">
        <v>44</v>
      </c>
      <c r="L151" s="6" t="s">
        <v>628</v>
      </c>
      <c r="M151" s="2">
        <v>32</v>
      </c>
      <c r="N151" s="2">
        <v>114</v>
      </c>
      <c r="O151" s="2">
        <v>82</v>
      </c>
      <c r="P151" s="2">
        <v>2561</v>
      </c>
      <c r="Q151" s="2"/>
      <c r="R151" s="2">
        <v>228</v>
      </c>
      <c r="S151" s="2">
        <v>1481</v>
      </c>
      <c r="T151" s="2">
        <v>463</v>
      </c>
      <c r="U151" s="2">
        <v>148</v>
      </c>
      <c r="V151" s="2">
        <v>76</v>
      </c>
      <c r="W151" s="2"/>
      <c r="X151" s="9">
        <v>341092</v>
      </c>
      <c r="Y151" s="2" t="s">
        <v>46</v>
      </c>
      <c r="AA151" s="1" t="str">
        <f>TRIM(RPG_dataset[[#This Row],[Username]])</f>
        <v>yara_597</v>
      </c>
      <c r="AB151" s="1" t="str">
        <f>TRIM(RPG_dataset[[#This Row],[First Name]])</f>
        <v>YARA</v>
      </c>
      <c r="AC151" s="1" t="str">
        <f>PROPER(TRIM(RPG_dataset[[#This Row],[Race]]))</f>
        <v>Orc</v>
      </c>
      <c r="AD151" s="1" t="str">
        <f>PROPER(TRIM(RPG_dataset[[#This Row],[Class]]))</f>
        <v>Mage</v>
      </c>
      <c r="AE151" s="1">
        <f>ABS(RPG_dataset[[#This Row],[Level]])</f>
        <v>51</v>
      </c>
      <c r="AF151" s="1">
        <f>ABS(RPG_dataset[[#This Row],[ATK]])</f>
        <v>32</v>
      </c>
      <c r="AG151" s="1">
        <f>ABS(RPG_dataset[[#This Row],[DEF]])</f>
        <v>114</v>
      </c>
      <c r="AH151" s="1">
        <f>ABS(RPG_dataset[[#This Row],[SPD]])</f>
        <v>82</v>
      </c>
      <c r="AI151" s="1">
        <f>ABS(RPG_dataset[[#This Row],[HP]])</f>
        <v>2561</v>
      </c>
      <c r="AJ151" s="1">
        <f>ABS(RPG_dataset[[#This Row],[MP]])</f>
        <v>0</v>
      </c>
      <c r="AK151" s="1">
        <f>ABS(RPG_dataset[[#This Row],[Total Stat]])</f>
        <v>228</v>
      </c>
      <c r="AL151" s="1">
        <f>ABS(RPG_dataset[[#This Row],[Kills]])</f>
        <v>1481</v>
      </c>
      <c r="AM151" s="12">
        <f>ABS(RPG_dataset[[#This Row],[Win Rate (%)]])</f>
        <v>76</v>
      </c>
      <c r="AN151" s="4">
        <f>ABS(RPG_dataset[[#This Row],[Gold Earned]])</f>
        <v>341092</v>
      </c>
      <c r="AO151" s="5" t="str">
        <f t="shared" si="2"/>
        <v>OK</v>
      </c>
      <c r="AP151" s="5">
        <f>RANK(clean[[#This Row],[Clean Gold]],clean[Clean Gold], 0)</f>
        <v>335</v>
      </c>
      <c r="AQ151" s="1">
        <v>263</v>
      </c>
      <c r="AR151" s="1" t="str" cm="1">
        <f t="array" ref="AR151">_xlfn.IFS(clean[[#This Row],[Clean Level]]&gt;=76, "Legend", clean[[#This Row],[Clean Level]]&gt;=51, "Elite", clean[[#This Row],[Clean Level]]&gt;=26, "Veteran", TRUE, "Rookie")</f>
        <v>Elite</v>
      </c>
      <c r="AS151" s="1" t="str">
        <f>IF(RPG_dataset[[#This Row],[Status]]="Active", "TRUE", "FALSE")</f>
        <v>TRUE</v>
      </c>
      <c r="AT151" s="1" t="str" cm="1">
        <f t="array" ref="AT151">_xlfn.IFS(clean[[#This Row],[Clean Win Rate]]&gt;70, "Excellent", clean[[#This Row],[Clean Win Rate]]&gt;=40, "Average", TRUE, "Poor")</f>
        <v>Excellent</v>
      </c>
      <c r="AU151" s="1" t="str">
        <f>IF(AND(clean[[#This Row],[Clean Level]]&gt;80, clean[[#This Row],[Clean Total Stat]]&gt;350, clean[[#This Row],[Clean Gold]]&gt;500000), "Overpowered", "Normal")</f>
        <v>Normal</v>
      </c>
      <c r="AV151" s="1" t="str" cm="1">
        <f t="array" ref="AV15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51" s="1" t="str" cm="1">
        <f t="array" ref="AW15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51" s="1"/>
    </row>
    <row r="152" spans="1:50" x14ac:dyDescent="0.3">
      <c r="A152" s="2" t="s">
        <v>629</v>
      </c>
      <c r="B152" s="2" t="s">
        <v>630</v>
      </c>
      <c r="C152" s="2" t="s">
        <v>391</v>
      </c>
      <c r="D152" s="2" t="s">
        <v>104</v>
      </c>
      <c r="E152" s="2" t="s">
        <v>71</v>
      </c>
      <c r="F152" s="2" t="s">
        <v>61</v>
      </c>
      <c r="G152" s="2">
        <v>20</v>
      </c>
      <c r="H152" s="2" t="s">
        <v>73</v>
      </c>
      <c r="I152" s="2" t="s">
        <v>126</v>
      </c>
      <c r="J152" s="2" t="s">
        <v>92</v>
      </c>
      <c r="K152" s="2" t="s">
        <v>34</v>
      </c>
      <c r="L152" s="6" t="s">
        <v>631</v>
      </c>
      <c r="M152" s="2">
        <v>20</v>
      </c>
      <c r="N152" s="2">
        <v>81</v>
      </c>
      <c r="O152" s="2">
        <v>14</v>
      </c>
      <c r="P152" s="2">
        <v>1388</v>
      </c>
      <c r="Q152" s="2">
        <v>1749</v>
      </c>
      <c r="R152" s="2">
        <v>115</v>
      </c>
      <c r="S152" s="2">
        <v>2358</v>
      </c>
      <c r="T152" s="2">
        <v>83</v>
      </c>
      <c r="U152" s="2">
        <v>270</v>
      </c>
      <c r="V152" s="2">
        <v>97</v>
      </c>
      <c r="W152" s="2">
        <v>6257</v>
      </c>
      <c r="X152" s="9">
        <v>216491</v>
      </c>
      <c r="Y152" s="2" t="s">
        <v>46</v>
      </c>
      <c r="AA152" s="1" t="str">
        <f>TRIM(RPG_dataset[[#This Row],[Username]])</f>
        <v>aldric_538</v>
      </c>
      <c r="AB152" s="1" t="str">
        <f>TRIM(RPG_dataset[[#This Row],[First Name]])</f>
        <v>Aldric</v>
      </c>
      <c r="AC152" s="1" t="str">
        <f>PROPER(TRIM(RPG_dataset[[#This Row],[Race]]))</f>
        <v>Dragonborn</v>
      </c>
      <c r="AD152" s="1" t="str">
        <f>PROPER(TRIM(RPG_dataset[[#This Row],[Class]]))</f>
        <v>Ranger</v>
      </c>
      <c r="AE152" s="1">
        <f>ABS(RPG_dataset[[#This Row],[Level]])</f>
        <v>20</v>
      </c>
      <c r="AF152" s="1">
        <f>ABS(RPG_dataset[[#This Row],[ATK]])</f>
        <v>20</v>
      </c>
      <c r="AG152" s="1">
        <f>ABS(RPG_dataset[[#This Row],[DEF]])</f>
        <v>81</v>
      </c>
      <c r="AH152" s="1">
        <f>ABS(RPG_dataset[[#This Row],[SPD]])</f>
        <v>14</v>
      </c>
      <c r="AI152" s="1">
        <f>ABS(RPG_dataset[[#This Row],[HP]])</f>
        <v>1388</v>
      </c>
      <c r="AJ152" s="1">
        <f>ABS(RPG_dataset[[#This Row],[MP]])</f>
        <v>1749</v>
      </c>
      <c r="AK152" s="1">
        <f>ABS(RPG_dataset[[#This Row],[Total Stat]])</f>
        <v>115</v>
      </c>
      <c r="AL152" s="1">
        <f>ABS(RPG_dataset[[#This Row],[Kills]])</f>
        <v>2358</v>
      </c>
      <c r="AM152" s="12">
        <f>ABS(RPG_dataset[[#This Row],[Win Rate (%)]])</f>
        <v>97</v>
      </c>
      <c r="AN152" s="4">
        <f>ABS(RPG_dataset[[#This Row],[Gold Earned]])</f>
        <v>216491</v>
      </c>
      <c r="AO152" s="5" t="str">
        <f t="shared" si="2"/>
        <v>OK</v>
      </c>
      <c r="AP152" s="5">
        <f>RANK(clean[[#This Row],[Clean Gold]],clean[Clean Gold], 0)</f>
        <v>393</v>
      </c>
      <c r="AQ152" s="1">
        <v>270</v>
      </c>
      <c r="AR152" s="1" t="str" cm="1">
        <f t="array" ref="AR152">_xlfn.IFS(clean[[#This Row],[Clean Level]]&gt;=76, "Legend", clean[[#This Row],[Clean Level]]&gt;=51, "Elite", clean[[#This Row],[Clean Level]]&gt;=26, "Veteran", TRUE, "Rookie")</f>
        <v>Rookie</v>
      </c>
      <c r="AS152" s="1" t="str">
        <f>IF(RPG_dataset[[#This Row],[Status]]="Active", "TRUE", "FALSE")</f>
        <v>FALSE</v>
      </c>
      <c r="AT152" s="1" t="str" cm="1">
        <f t="array" ref="AT152">_xlfn.IFS(clean[[#This Row],[Clean Win Rate]]&gt;70, "Excellent", clean[[#This Row],[Clean Win Rate]]&gt;=40, "Average", TRUE, "Poor")</f>
        <v>Excellent</v>
      </c>
      <c r="AU152" s="1" t="str">
        <f>IF(AND(clean[[#This Row],[Clean Level]]&gt;80, clean[[#This Row],[Clean Total Stat]]&gt;350, clean[[#This Row],[Clean Gold]]&gt;500000), "Overpowered", "Normal")</f>
        <v>Normal</v>
      </c>
      <c r="AV152" s="1" t="str" cm="1">
        <f t="array" ref="AV15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52" s="1" t="str" cm="1">
        <f t="array" ref="AW15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52" s="1"/>
    </row>
    <row r="153" spans="1:50" x14ac:dyDescent="0.3">
      <c r="A153" s="2" t="s">
        <v>632</v>
      </c>
      <c r="B153" s="2" t="s">
        <v>633</v>
      </c>
      <c r="C153" s="2" t="s">
        <v>223</v>
      </c>
      <c r="D153" s="2" t="s">
        <v>272</v>
      </c>
      <c r="E153" s="2" t="s">
        <v>71</v>
      </c>
      <c r="F153" s="2" t="s">
        <v>72</v>
      </c>
      <c r="G153" s="2">
        <v>49</v>
      </c>
      <c r="H153" s="2" t="s">
        <v>43</v>
      </c>
      <c r="I153" s="2" t="s">
        <v>63</v>
      </c>
      <c r="J153" s="2" t="s">
        <v>33</v>
      </c>
      <c r="K153" s="2" t="s">
        <v>44</v>
      </c>
      <c r="L153" s="6" t="s">
        <v>634</v>
      </c>
      <c r="M153" s="2">
        <v>118</v>
      </c>
      <c r="N153" s="2">
        <v>66</v>
      </c>
      <c r="O153" s="2">
        <v>15</v>
      </c>
      <c r="P153" s="2">
        <v>1175</v>
      </c>
      <c r="Q153" s="2">
        <v>2917</v>
      </c>
      <c r="R153" s="2">
        <v>199</v>
      </c>
      <c r="S153" s="2">
        <v>4206</v>
      </c>
      <c r="T153" s="2">
        <v>778</v>
      </c>
      <c r="U153" s="2">
        <v>88</v>
      </c>
      <c r="V153" s="2">
        <v>84</v>
      </c>
      <c r="W153" s="2">
        <v>8910</v>
      </c>
      <c r="X153" s="9">
        <v>49084</v>
      </c>
      <c r="Y153" s="2" t="s">
        <v>36</v>
      </c>
      <c r="AA153" s="1" t="str">
        <f>TRIM(RPG_dataset[[#This Row],[Username]])</f>
        <v>lyra_842</v>
      </c>
      <c r="AB153" s="1" t="str">
        <f>TRIM(RPG_dataset[[#This Row],[First Name]])</f>
        <v>Lyra</v>
      </c>
      <c r="AC153" s="1" t="str">
        <f>PROPER(TRIM(RPG_dataset[[#This Row],[Race]]))</f>
        <v>Dragonborn</v>
      </c>
      <c r="AD153" s="1" t="str">
        <f>PROPER(TRIM(RPG_dataset[[#This Row],[Class]]))</f>
        <v>Warrior</v>
      </c>
      <c r="AE153" s="1">
        <f>ABS(RPG_dataset[[#This Row],[Level]])</f>
        <v>49</v>
      </c>
      <c r="AF153" s="1">
        <f>ABS(RPG_dataset[[#This Row],[ATK]])</f>
        <v>118</v>
      </c>
      <c r="AG153" s="1">
        <f>ABS(RPG_dataset[[#This Row],[DEF]])</f>
        <v>66</v>
      </c>
      <c r="AH153" s="1">
        <f>ABS(RPG_dataset[[#This Row],[SPD]])</f>
        <v>15</v>
      </c>
      <c r="AI153" s="1">
        <f>ABS(RPG_dataset[[#This Row],[HP]])</f>
        <v>1175</v>
      </c>
      <c r="AJ153" s="1">
        <f>ABS(RPG_dataset[[#This Row],[MP]])</f>
        <v>2917</v>
      </c>
      <c r="AK153" s="1">
        <f>ABS(RPG_dataset[[#This Row],[Total Stat]])</f>
        <v>199</v>
      </c>
      <c r="AL153" s="1">
        <f>ABS(RPG_dataset[[#This Row],[Kills]])</f>
        <v>4206</v>
      </c>
      <c r="AM153" s="12">
        <f>ABS(RPG_dataset[[#This Row],[Win Rate (%)]])</f>
        <v>84</v>
      </c>
      <c r="AN153" s="4">
        <f>ABS(RPG_dataset[[#This Row],[Gold Earned]])</f>
        <v>49084</v>
      </c>
      <c r="AO153" s="5" t="str">
        <f t="shared" si="2"/>
        <v>OK</v>
      </c>
      <c r="AP153" s="5">
        <f>RANK(clean[[#This Row],[Clean Gold]],clean[Clean Gold], 0)</f>
        <v>457</v>
      </c>
      <c r="AQ153" s="1">
        <v>256</v>
      </c>
      <c r="AR153" s="1" t="str" cm="1">
        <f t="array" ref="AR153">_xlfn.IFS(clean[[#This Row],[Clean Level]]&gt;=76, "Legend", clean[[#This Row],[Clean Level]]&gt;=51, "Elite", clean[[#This Row],[Clean Level]]&gt;=26, "Veteran", TRUE, "Rookie")</f>
        <v>Veteran</v>
      </c>
      <c r="AS153" s="1" t="str">
        <f>IF(RPG_dataset[[#This Row],[Status]]="Active", "TRUE", "FALSE")</f>
        <v>TRUE</v>
      </c>
      <c r="AT153" s="1" t="str" cm="1">
        <f t="array" ref="AT153">_xlfn.IFS(clean[[#This Row],[Clean Win Rate]]&gt;70, "Excellent", clean[[#This Row],[Clean Win Rate]]&gt;=40, "Average", TRUE, "Poor")</f>
        <v>Excellent</v>
      </c>
      <c r="AU153" s="1" t="str">
        <f>IF(AND(clean[[#This Row],[Clean Level]]&gt;80, clean[[#This Row],[Clean Total Stat]]&gt;350, clean[[#This Row],[Clean Gold]]&gt;500000), "Overpowered", "Normal")</f>
        <v>Normal</v>
      </c>
      <c r="AV153" s="1" t="str" cm="1">
        <f t="array" ref="AV15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53" s="1" t="str" cm="1">
        <f t="array" ref="AW15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53" s="1"/>
    </row>
    <row r="154" spans="1:50" x14ac:dyDescent="0.3">
      <c r="A154" s="2" t="s">
        <v>635</v>
      </c>
      <c r="B154" s="2" t="s">
        <v>636</v>
      </c>
      <c r="C154" s="2" t="s">
        <v>281</v>
      </c>
      <c r="D154" s="2" t="s">
        <v>168</v>
      </c>
      <c r="E154" s="2" t="s">
        <v>51</v>
      </c>
      <c r="F154" s="2" t="s">
        <v>30</v>
      </c>
      <c r="G154" s="2">
        <v>70</v>
      </c>
      <c r="H154" s="2" t="s">
        <v>80</v>
      </c>
      <c r="I154" s="2" t="s">
        <v>74</v>
      </c>
      <c r="J154" s="2" t="s">
        <v>88</v>
      </c>
      <c r="K154" s="2" t="s">
        <v>106</v>
      </c>
      <c r="L154" s="6" t="s">
        <v>637</v>
      </c>
      <c r="M154" s="2"/>
      <c r="N154" s="2">
        <v>95</v>
      </c>
      <c r="O154" s="2"/>
      <c r="P154" s="2">
        <v>1008</v>
      </c>
      <c r="Q154" s="2">
        <v>1914</v>
      </c>
      <c r="R154" s="2">
        <v>231</v>
      </c>
      <c r="S154" s="2">
        <v>3049</v>
      </c>
      <c r="T154" s="2">
        <v>-16</v>
      </c>
      <c r="U154" s="2">
        <v>141</v>
      </c>
      <c r="V154" s="2">
        <v>99</v>
      </c>
      <c r="W154" s="2">
        <v>6451</v>
      </c>
      <c r="X154" s="9">
        <v>228433</v>
      </c>
      <c r="Y154" s="2" t="s">
        <v>36</v>
      </c>
      <c r="AA154" s="1" t="str">
        <f>TRIM(RPG_dataset[[#This Row],[Username]])</f>
        <v>nova_963</v>
      </c>
      <c r="AB154" s="1" t="str">
        <f>TRIM(RPG_dataset[[#This Row],[First Name]])</f>
        <v>Nova</v>
      </c>
      <c r="AC154" s="1" t="str">
        <f>PROPER(TRIM(RPG_dataset[[#This Row],[Race]]))</f>
        <v>Tiefling</v>
      </c>
      <c r="AD154" s="1" t="str">
        <f>PROPER(TRIM(RPG_dataset[[#This Row],[Class]]))</f>
        <v>Rogue</v>
      </c>
      <c r="AE154" s="1">
        <f>ABS(RPG_dataset[[#This Row],[Level]])</f>
        <v>70</v>
      </c>
      <c r="AF154" s="1">
        <f>ABS(RPG_dataset[[#This Row],[ATK]])</f>
        <v>0</v>
      </c>
      <c r="AG154" s="1">
        <f>ABS(RPG_dataset[[#This Row],[DEF]])</f>
        <v>95</v>
      </c>
      <c r="AH154" s="1">
        <f>ABS(RPG_dataset[[#This Row],[SPD]])</f>
        <v>0</v>
      </c>
      <c r="AI154" s="1">
        <f>ABS(RPG_dataset[[#This Row],[HP]])</f>
        <v>1008</v>
      </c>
      <c r="AJ154" s="1">
        <f>ABS(RPG_dataset[[#This Row],[MP]])</f>
        <v>1914</v>
      </c>
      <c r="AK154" s="1">
        <f>ABS(RPG_dataset[[#This Row],[Total Stat]])</f>
        <v>231</v>
      </c>
      <c r="AL154" s="1">
        <f>ABS(RPG_dataset[[#This Row],[Kills]])</f>
        <v>3049</v>
      </c>
      <c r="AM154" s="12">
        <f>ABS(RPG_dataset[[#This Row],[Win Rate (%)]])</f>
        <v>99</v>
      </c>
      <c r="AN154" s="4">
        <f>ABS(RPG_dataset[[#This Row],[Gold Earned]])</f>
        <v>228433</v>
      </c>
      <c r="AO154" s="5" t="str">
        <f t="shared" si="2"/>
        <v>OK</v>
      </c>
      <c r="AP154" s="5">
        <f>RANK(clean[[#This Row],[Clean Gold]],clean[Clean Gold], 0)</f>
        <v>387</v>
      </c>
      <c r="AQ154" s="1">
        <v>281</v>
      </c>
      <c r="AR154" s="1" t="str" cm="1">
        <f t="array" ref="AR154">_xlfn.IFS(clean[[#This Row],[Clean Level]]&gt;=76, "Legend", clean[[#This Row],[Clean Level]]&gt;=51, "Elite", clean[[#This Row],[Clean Level]]&gt;=26, "Veteran", TRUE, "Rookie")</f>
        <v>Elite</v>
      </c>
      <c r="AS154" s="1" t="str">
        <f>IF(RPG_dataset[[#This Row],[Status]]="Active", "TRUE", "FALSE")</f>
        <v>FALSE</v>
      </c>
      <c r="AT154" s="1" t="str" cm="1">
        <f t="array" ref="AT154">_xlfn.IFS(clean[[#This Row],[Clean Win Rate]]&gt;70, "Excellent", clean[[#This Row],[Clean Win Rate]]&gt;=40, "Average", TRUE, "Poor")</f>
        <v>Excellent</v>
      </c>
      <c r="AU154" s="1" t="str">
        <f>IF(AND(clean[[#This Row],[Clean Level]]&gt;80, clean[[#This Row],[Clean Total Stat]]&gt;350, clean[[#This Row],[Clean Gold]]&gt;500000), "Overpowered", "Normal")</f>
        <v>Normal</v>
      </c>
      <c r="AV154" s="1" t="str" cm="1">
        <f t="array" ref="AV154">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154" s="1" t="str" cm="1">
        <f t="array" ref="AW15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54" s="1"/>
    </row>
    <row r="155" spans="1:50" x14ac:dyDescent="0.3">
      <c r="A155" s="2" t="s">
        <v>638</v>
      </c>
      <c r="B155" s="2" t="s">
        <v>639</v>
      </c>
      <c r="C155" s="2" t="s">
        <v>227</v>
      </c>
      <c r="D155" s="2" t="s">
        <v>70</v>
      </c>
      <c r="E155" s="2" t="s">
        <v>29</v>
      </c>
      <c r="F155" s="2" t="s">
        <v>194</v>
      </c>
      <c r="G155" s="2">
        <v>85</v>
      </c>
      <c r="H155" s="2" t="s">
        <v>43</v>
      </c>
      <c r="I155" s="2" t="s">
        <v>32</v>
      </c>
      <c r="J155" s="2" t="s">
        <v>88</v>
      </c>
      <c r="K155" s="2" t="s">
        <v>44</v>
      </c>
      <c r="L155" s="6" t="s">
        <v>640</v>
      </c>
      <c r="M155" s="2">
        <v>10</v>
      </c>
      <c r="N155" s="2">
        <v>117</v>
      </c>
      <c r="O155" s="2">
        <v>56</v>
      </c>
      <c r="P155" s="2">
        <v>1777</v>
      </c>
      <c r="Q155" s="2">
        <v>2623</v>
      </c>
      <c r="R155" s="2">
        <v>183</v>
      </c>
      <c r="S155" s="2">
        <v>1836</v>
      </c>
      <c r="T155" s="2">
        <v>528</v>
      </c>
      <c r="U155" s="2">
        <v>58</v>
      </c>
      <c r="V155" s="2">
        <v>78</v>
      </c>
      <c r="W155" s="2">
        <v>9706</v>
      </c>
      <c r="X155" s="9">
        <v>866419</v>
      </c>
      <c r="Y155" s="2" t="s">
        <v>36</v>
      </c>
      <c r="AA155" s="1" t="str">
        <f>TRIM(RPG_dataset[[#This Row],[Username]])</f>
        <v>nyx_617</v>
      </c>
      <c r="AB155" s="1" t="str">
        <f>TRIM(RPG_dataset[[#This Row],[First Name]])</f>
        <v>Nyx</v>
      </c>
      <c r="AC155" s="1" t="str">
        <f>PROPER(TRIM(RPG_dataset[[#This Row],[Race]]))</f>
        <v>Dwarf</v>
      </c>
      <c r="AD155" s="1" t="str">
        <f>PROPER(TRIM(RPG_dataset[[#This Row],[Class]]))</f>
        <v>Paladin</v>
      </c>
      <c r="AE155" s="1">
        <f>ABS(RPG_dataset[[#This Row],[Level]])</f>
        <v>85</v>
      </c>
      <c r="AF155" s="1">
        <f>ABS(RPG_dataset[[#This Row],[ATK]])</f>
        <v>10</v>
      </c>
      <c r="AG155" s="1">
        <f>ABS(RPG_dataset[[#This Row],[DEF]])</f>
        <v>117</v>
      </c>
      <c r="AH155" s="1">
        <f>ABS(RPG_dataset[[#This Row],[SPD]])</f>
        <v>56</v>
      </c>
      <c r="AI155" s="1">
        <f>ABS(RPG_dataset[[#This Row],[HP]])</f>
        <v>1777</v>
      </c>
      <c r="AJ155" s="1">
        <f>ABS(RPG_dataset[[#This Row],[MP]])</f>
        <v>2623</v>
      </c>
      <c r="AK155" s="1">
        <f>ABS(RPG_dataset[[#This Row],[Total Stat]])</f>
        <v>183</v>
      </c>
      <c r="AL155" s="1">
        <f>ABS(RPG_dataset[[#This Row],[Kills]])</f>
        <v>1836</v>
      </c>
      <c r="AM155" s="12">
        <f>ABS(RPG_dataset[[#This Row],[Win Rate (%)]])</f>
        <v>78</v>
      </c>
      <c r="AN155" s="4">
        <f>ABS(RPG_dataset[[#This Row],[Gold Earned]])</f>
        <v>866419</v>
      </c>
      <c r="AO155" s="5" t="str">
        <f t="shared" si="2"/>
        <v>OK</v>
      </c>
      <c r="AP155" s="5">
        <f>RANK(clean[[#This Row],[Clean Gold]],clean[Clean Gold], 0)</f>
        <v>64</v>
      </c>
      <c r="AQ155" s="1">
        <v>214</v>
      </c>
      <c r="AR155" s="1" t="str" cm="1">
        <f t="array" ref="AR155">_xlfn.IFS(clean[[#This Row],[Clean Level]]&gt;=76, "Legend", clean[[#This Row],[Clean Level]]&gt;=51, "Elite", clean[[#This Row],[Clean Level]]&gt;=26, "Veteran", TRUE, "Rookie")</f>
        <v>Legend</v>
      </c>
      <c r="AS155" s="1" t="str">
        <f>IF(RPG_dataset[[#This Row],[Status]]="Active", "TRUE", "FALSE")</f>
        <v>TRUE</v>
      </c>
      <c r="AT155" s="1" t="str" cm="1">
        <f t="array" ref="AT155">_xlfn.IFS(clean[[#This Row],[Clean Win Rate]]&gt;70, "Excellent", clean[[#This Row],[Clean Win Rate]]&gt;=40, "Average", TRUE, "Poor")</f>
        <v>Excellent</v>
      </c>
      <c r="AU155" s="1" t="str">
        <f>IF(AND(clean[[#This Row],[Clean Level]]&gt;80, clean[[#This Row],[Clean Total Stat]]&gt;350, clean[[#This Row],[Clean Gold]]&gt;500000), "Overpowered", "Normal")</f>
        <v>Normal</v>
      </c>
      <c r="AV155" s="1" t="str" cm="1">
        <f t="array" ref="AV155">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155" s="1" t="str" cm="1">
        <f t="array" ref="AW15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55" s="1"/>
    </row>
    <row r="156" spans="1:50" x14ac:dyDescent="0.3">
      <c r="A156" s="2" t="s">
        <v>641</v>
      </c>
      <c r="B156" s="2" t="s">
        <v>642</v>
      </c>
      <c r="C156" s="2" t="s">
        <v>173</v>
      </c>
      <c r="D156" s="2" t="s">
        <v>618</v>
      </c>
      <c r="E156" s="2" t="s">
        <v>169</v>
      </c>
      <c r="F156" s="2" t="s">
        <v>30</v>
      </c>
      <c r="G156" s="2">
        <v>49</v>
      </c>
      <c r="H156" s="2" t="s">
        <v>157</v>
      </c>
      <c r="I156" s="2" t="s">
        <v>87</v>
      </c>
      <c r="J156" s="2" t="s">
        <v>92</v>
      </c>
      <c r="K156" s="2" t="s">
        <v>106</v>
      </c>
      <c r="L156" s="6" t="s">
        <v>392</v>
      </c>
      <c r="M156" s="2">
        <v>90</v>
      </c>
      <c r="N156" s="2"/>
      <c r="O156" s="2">
        <v>65</v>
      </c>
      <c r="P156" s="2">
        <v>2378</v>
      </c>
      <c r="Q156" s="2">
        <v>422</v>
      </c>
      <c r="R156" s="2">
        <v>213</v>
      </c>
      <c r="S156" s="2">
        <v>2527</v>
      </c>
      <c r="T156" s="2">
        <v>532</v>
      </c>
      <c r="U156" s="2">
        <v>128</v>
      </c>
      <c r="V156" s="2">
        <v>-83</v>
      </c>
      <c r="W156" s="2">
        <v>47</v>
      </c>
      <c r="X156" s="9">
        <v>970336</v>
      </c>
      <c r="Y156" s="2" t="s">
        <v>46</v>
      </c>
      <c r="AA156" s="1" t="str">
        <f>TRIM(RPG_dataset[[#This Row],[Username]])</f>
        <v>rosa_350</v>
      </c>
      <c r="AB156" s="1" t="str">
        <f>TRIM(RPG_dataset[[#This Row],[First Name]])</f>
        <v>Rosa</v>
      </c>
      <c r="AC156" s="1" t="str">
        <f>PROPER(TRIM(RPG_dataset[[#This Row],[Race]]))</f>
        <v>Halfling</v>
      </c>
      <c r="AD156" s="1" t="str">
        <f>PROPER(TRIM(RPG_dataset[[#This Row],[Class]]))</f>
        <v>Rogue</v>
      </c>
      <c r="AE156" s="1">
        <f>ABS(RPG_dataset[[#This Row],[Level]])</f>
        <v>49</v>
      </c>
      <c r="AF156" s="1">
        <f>ABS(RPG_dataset[[#This Row],[ATK]])</f>
        <v>90</v>
      </c>
      <c r="AG156" s="1">
        <f>ABS(RPG_dataset[[#This Row],[DEF]])</f>
        <v>0</v>
      </c>
      <c r="AH156" s="1">
        <f>ABS(RPG_dataset[[#This Row],[SPD]])</f>
        <v>65</v>
      </c>
      <c r="AI156" s="1">
        <f>ABS(RPG_dataset[[#This Row],[HP]])</f>
        <v>2378</v>
      </c>
      <c r="AJ156" s="1">
        <f>ABS(RPG_dataset[[#This Row],[MP]])</f>
        <v>422</v>
      </c>
      <c r="AK156" s="1">
        <f>ABS(RPG_dataset[[#This Row],[Total Stat]])</f>
        <v>213</v>
      </c>
      <c r="AL156" s="1">
        <f>ABS(RPG_dataset[[#This Row],[Kills]])</f>
        <v>2527</v>
      </c>
      <c r="AM156" s="12">
        <f>ABS(RPG_dataset[[#This Row],[Win Rate (%)]])</f>
        <v>83</v>
      </c>
      <c r="AN156" s="4">
        <f>ABS(RPG_dataset[[#This Row],[Gold Earned]])</f>
        <v>970336</v>
      </c>
      <c r="AO156" s="5" t="str">
        <f t="shared" si="2"/>
        <v>OK</v>
      </c>
      <c r="AP156" s="5">
        <f>RANK(clean[[#This Row],[Clean Gold]],clean[Clean Gold], 0)</f>
        <v>16</v>
      </c>
      <c r="AQ156" s="1">
        <v>191</v>
      </c>
      <c r="AR156" s="1" t="str" cm="1">
        <f t="array" ref="AR156">_xlfn.IFS(clean[[#This Row],[Clean Level]]&gt;=76, "Legend", clean[[#This Row],[Clean Level]]&gt;=51, "Elite", clean[[#This Row],[Clean Level]]&gt;=26, "Veteran", TRUE, "Rookie")</f>
        <v>Veteran</v>
      </c>
      <c r="AS156" s="1" t="str">
        <f>IF(RPG_dataset[[#This Row],[Status]]="Active", "TRUE", "FALSE")</f>
        <v>FALSE</v>
      </c>
      <c r="AT156" s="1" t="str" cm="1">
        <f t="array" ref="AT156">_xlfn.IFS(clean[[#This Row],[Clean Win Rate]]&gt;70, "Excellent", clean[[#This Row],[Clean Win Rate]]&gt;=40, "Average", TRUE, "Poor")</f>
        <v>Excellent</v>
      </c>
      <c r="AU156" s="1" t="str">
        <f>IF(AND(clean[[#This Row],[Clean Level]]&gt;80, clean[[#This Row],[Clean Total Stat]]&gt;350, clean[[#This Row],[Clean Gold]]&gt;500000), "Overpowered", "Normal")</f>
        <v>Normal</v>
      </c>
      <c r="AV156" s="1" t="str" cm="1">
        <f t="array" ref="AV15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56" s="1" t="str" cm="1">
        <f t="array" ref="AW15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156" s="1"/>
    </row>
    <row r="157" spans="1:50" x14ac:dyDescent="0.3">
      <c r="A157" s="2" t="s">
        <v>643</v>
      </c>
      <c r="B157" s="2" t="s">
        <v>644</v>
      </c>
      <c r="C157" s="2" t="s">
        <v>360</v>
      </c>
      <c r="D157" s="2" t="s">
        <v>618</v>
      </c>
      <c r="E157" s="2" t="s">
        <v>105</v>
      </c>
      <c r="F157" s="2" t="s">
        <v>72</v>
      </c>
      <c r="G157" s="2">
        <v>77</v>
      </c>
      <c r="H157" s="2" t="s">
        <v>62</v>
      </c>
      <c r="I157" s="2" t="s">
        <v>63</v>
      </c>
      <c r="J157" s="2" t="s">
        <v>120</v>
      </c>
      <c r="K157" s="2" t="s">
        <v>106</v>
      </c>
      <c r="L157" s="6" t="s">
        <v>645</v>
      </c>
      <c r="M157" s="2">
        <v>125</v>
      </c>
      <c r="N157" s="2">
        <v>33</v>
      </c>
      <c r="O157" s="2">
        <v>46</v>
      </c>
      <c r="P157" s="2">
        <v>289</v>
      </c>
      <c r="Q157" s="2">
        <v>1895</v>
      </c>
      <c r="R157" s="2">
        <v>204</v>
      </c>
      <c r="S157" s="2">
        <v>2266</v>
      </c>
      <c r="T157" s="2">
        <v>763</v>
      </c>
      <c r="U157" s="2">
        <v>94</v>
      </c>
      <c r="V157" s="2">
        <v>75</v>
      </c>
      <c r="W157" s="2">
        <v>3112</v>
      </c>
      <c r="X157" s="9">
        <v>143046</v>
      </c>
      <c r="Y157" s="2" t="s">
        <v>36</v>
      </c>
      <c r="AA157" s="1" t="str">
        <f>TRIM(RPG_dataset[[#This Row],[Username]])</f>
        <v>oryn_242</v>
      </c>
      <c r="AB157" s="1" t="str">
        <f>TRIM(RPG_dataset[[#This Row],[First Name]])</f>
        <v>Oryn</v>
      </c>
      <c r="AC157" s="1" t="str">
        <f>PROPER(TRIM(RPG_dataset[[#This Row],[Race]]))</f>
        <v>Orc</v>
      </c>
      <c r="AD157" s="1" t="str">
        <f>PROPER(TRIM(RPG_dataset[[#This Row],[Class]]))</f>
        <v>Warrior</v>
      </c>
      <c r="AE157" s="1">
        <f>ABS(RPG_dataset[[#This Row],[Level]])</f>
        <v>77</v>
      </c>
      <c r="AF157" s="1">
        <f>ABS(RPG_dataset[[#This Row],[ATK]])</f>
        <v>125</v>
      </c>
      <c r="AG157" s="1">
        <f>ABS(RPG_dataset[[#This Row],[DEF]])</f>
        <v>33</v>
      </c>
      <c r="AH157" s="1">
        <f>ABS(RPG_dataset[[#This Row],[SPD]])</f>
        <v>46</v>
      </c>
      <c r="AI157" s="1">
        <f>ABS(RPG_dataset[[#This Row],[HP]])</f>
        <v>289</v>
      </c>
      <c r="AJ157" s="1">
        <f>ABS(RPG_dataset[[#This Row],[MP]])</f>
        <v>1895</v>
      </c>
      <c r="AK157" s="1">
        <f>ABS(RPG_dataset[[#This Row],[Total Stat]])</f>
        <v>204</v>
      </c>
      <c r="AL157" s="1">
        <f>ABS(RPG_dataset[[#This Row],[Kills]])</f>
        <v>2266</v>
      </c>
      <c r="AM157" s="12">
        <f>ABS(RPG_dataset[[#This Row],[Win Rate (%)]])</f>
        <v>75</v>
      </c>
      <c r="AN157" s="4">
        <f>ABS(RPG_dataset[[#This Row],[Gold Earned]])</f>
        <v>143046</v>
      </c>
      <c r="AO157" s="5" t="str">
        <f t="shared" si="2"/>
        <v>OK</v>
      </c>
      <c r="AP157" s="5">
        <f>RANK(clean[[#This Row],[Clean Gold]],clean[Clean Gold], 0)</f>
        <v>422</v>
      </c>
      <c r="AQ157" s="1">
        <v>86</v>
      </c>
      <c r="AR157" s="1" t="str" cm="1">
        <f t="array" ref="AR157">_xlfn.IFS(clean[[#This Row],[Clean Level]]&gt;=76, "Legend", clean[[#This Row],[Clean Level]]&gt;=51, "Elite", clean[[#This Row],[Clean Level]]&gt;=26, "Veteran", TRUE, "Rookie")</f>
        <v>Legend</v>
      </c>
      <c r="AS157" s="1" t="str">
        <f>IF(RPG_dataset[[#This Row],[Status]]="Active", "TRUE", "FALSE")</f>
        <v>FALSE</v>
      </c>
      <c r="AT157" s="1" t="str" cm="1">
        <f t="array" ref="AT157">_xlfn.IFS(clean[[#This Row],[Clean Win Rate]]&gt;70, "Excellent", clean[[#This Row],[Clean Win Rate]]&gt;=40, "Average", TRUE, "Poor")</f>
        <v>Excellent</v>
      </c>
      <c r="AU157" s="1" t="str">
        <f>IF(AND(clean[[#This Row],[Clean Level]]&gt;80, clean[[#This Row],[Clean Total Stat]]&gt;350, clean[[#This Row],[Clean Gold]]&gt;500000), "Overpowered", "Normal")</f>
        <v>Normal</v>
      </c>
      <c r="AV157" s="1" t="str" cm="1">
        <f t="array" ref="AV157">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157" s="1" t="str" cm="1">
        <f t="array" ref="AW15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57" s="1"/>
    </row>
    <row r="158" spans="1:50" x14ac:dyDescent="0.3">
      <c r="A158" s="2" t="s">
        <v>646</v>
      </c>
      <c r="B158" s="2" t="s">
        <v>647</v>
      </c>
      <c r="C158" s="2" t="s">
        <v>296</v>
      </c>
      <c r="D158" s="2" t="s">
        <v>50</v>
      </c>
      <c r="E158" s="2" t="s">
        <v>71</v>
      </c>
      <c r="F158" s="2" t="s">
        <v>61</v>
      </c>
      <c r="G158" s="2">
        <v>2</v>
      </c>
      <c r="H158" s="2" t="s">
        <v>157</v>
      </c>
      <c r="I158" s="2" t="s">
        <v>32</v>
      </c>
      <c r="J158" s="2" t="s">
        <v>33</v>
      </c>
      <c r="K158" s="2" t="s">
        <v>99</v>
      </c>
      <c r="L158" s="6" t="s">
        <v>648</v>
      </c>
      <c r="M158" s="2">
        <v>57</v>
      </c>
      <c r="N158" s="2">
        <v>30</v>
      </c>
      <c r="O158" s="2">
        <v>139</v>
      </c>
      <c r="P158" s="2"/>
      <c r="Q158" s="2">
        <v>2356</v>
      </c>
      <c r="R158" s="2">
        <v>226</v>
      </c>
      <c r="S158" s="2">
        <v>4065</v>
      </c>
      <c r="T158" s="2"/>
      <c r="U158" s="2">
        <v>137</v>
      </c>
      <c r="V158" s="2">
        <v>86</v>
      </c>
      <c r="W158" s="2">
        <v>-9980</v>
      </c>
      <c r="X158" s="9">
        <v>119929</v>
      </c>
      <c r="Y158" s="2" t="s">
        <v>46</v>
      </c>
      <c r="AA158" s="1" t="str">
        <f>TRIM(RPG_dataset[[#This Row],[Username]])</f>
        <v>gareth_438</v>
      </c>
      <c r="AB158" s="1" t="str">
        <f>TRIM(RPG_dataset[[#This Row],[First Name]])</f>
        <v>Gareth</v>
      </c>
      <c r="AC158" s="1" t="str">
        <f>PROPER(TRIM(RPG_dataset[[#This Row],[Race]]))</f>
        <v>Dragonborn</v>
      </c>
      <c r="AD158" s="1" t="str">
        <f>PROPER(TRIM(RPG_dataset[[#This Row],[Class]]))</f>
        <v>Ranger</v>
      </c>
      <c r="AE158" s="1">
        <f>ABS(RPG_dataset[[#This Row],[Level]])</f>
        <v>2</v>
      </c>
      <c r="AF158" s="1">
        <f>ABS(RPG_dataset[[#This Row],[ATK]])</f>
        <v>57</v>
      </c>
      <c r="AG158" s="1">
        <f>ABS(RPG_dataset[[#This Row],[DEF]])</f>
        <v>30</v>
      </c>
      <c r="AH158" s="1">
        <f>ABS(RPG_dataset[[#This Row],[SPD]])</f>
        <v>139</v>
      </c>
      <c r="AI158" s="1">
        <f>ABS(RPG_dataset[[#This Row],[HP]])</f>
        <v>0</v>
      </c>
      <c r="AJ158" s="1">
        <f>ABS(RPG_dataset[[#This Row],[MP]])</f>
        <v>2356</v>
      </c>
      <c r="AK158" s="1">
        <f>ABS(RPG_dataset[[#This Row],[Total Stat]])</f>
        <v>226</v>
      </c>
      <c r="AL158" s="1">
        <f>ABS(RPG_dataset[[#This Row],[Kills]])</f>
        <v>4065</v>
      </c>
      <c r="AM158" s="12">
        <f>ABS(RPG_dataset[[#This Row],[Win Rate (%)]])</f>
        <v>86</v>
      </c>
      <c r="AN158" s="4">
        <f>ABS(RPG_dataset[[#This Row],[Gold Earned]])</f>
        <v>119929</v>
      </c>
      <c r="AO158" s="5" t="str">
        <f t="shared" si="2"/>
        <v>OK</v>
      </c>
      <c r="AP158" s="5">
        <f>RANK(clean[[#This Row],[Clean Gold]],clean[Clean Gold], 0)</f>
        <v>428</v>
      </c>
      <c r="AQ158" s="1">
        <v>274</v>
      </c>
      <c r="AR158" s="1" t="str" cm="1">
        <f t="array" ref="AR158">_xlfn.IFS(clean[[#This Row],[Clean Level]]&gt;=76, "Legend", clean[[#This Row],[Clean Level]]&gt;=51, "Elite", clean[[#This Row],[Clean Level]]&gt;=26, "Veteran", TRUE, "Rookie")</f>
        <v>Rookie</v>
      </c>
      <c r="AS158" s="1" t="str">
        <f>IF(RPG_dataset[[#This Row],[Status]]="Active", "TRUE", "FALSE")</f>
        <v>FALSE</v>
      </c>
      <c r="AT158" s="1" t="str" cm="1">
        <f t="array" ref="AT158">_xlfn.IFS(clean[[#This Row],[Clean Win Rate]]&gt;70, "Excellent", clean[[#This Row],[Clean Win Rate]]&gt;=40, "Average", TRUE, "Poor")</f>
        <v>Excellent</v>
      </c>
      <c r="AU158" s="1" t="str">
        <f>IF(AND(clean[[#This Row],[Clean Level]]&gt;80, clean[[#This Row],[Clean Total Stat]]&gt;350, clean[[#This Row],[Clean Gold]]&gt;500000), "Overpowered", "Normal")</f>
        <v>Normal</v>
      </c>
      <c r="AV158" s="1" t="str" cm="1">
        <f t="array" ref="AV15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58" s="1" t="str" cm="1">
        <f t="array" ref="AW15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58" s="1"/>
    </row>
    <row r="159" spans="1:50" x14ac:dyDescent="0.3">
      <c r="A159" s="2" t="s">
        <v>649</v>
      </c>
      <c r="B159" s="2" t="s">
        <v>650</v>
      </c>
      <c r="C159" s="2" t="s">
        <v>604</v>
      </c>
      <c r="D159" s="2" t="s">
        <v>254</v>
      </c>
      <c r="E159" s="2" t="s">
        <v>228</v>
      </c>
      <c r="F159" s="2" t="s">
        <v>52</v>
      </c>
      <c r="G159" s="2">
        <v>82</v>
      </c>
      <c r="H159" s="2" t="s">
        <v>157</v>
      </c>
      <c r="I159" s="2" t="s">
        <v>87</v>
      </c>
      <c r="J159" s="2" t="s">
        <v>81</v>
      </c>
      <c r="K159" s="2" t="s">
        <v>34</v>
      </c>
      <c r="L159" s="6" t="s">
        <v>651</v>
      </c>
      <c r="M159" s="2">
        <v>38</v>
      </c>
      <c r="N159" s="2"/>
      <c r="O159" s="2">
        <v>87</v>
      </c>
      <c r="P159" s="2">
        <v>356</v>
      </c>
      <c r="Q159" s="2">
        <v>2037</v>
      </c>
      <c r="R159" s="2">
        <v>248</v>
      </c>
      <c r="S159" s="2">
        <v>2355</v>
      </c>
      <c r="T159" s="2">
        <v>59</v>
      </c>
      <c r="U159" s="2">
        <v>61</v>
      </c>
      <c r="V159" s="2">
        <v>98</v>
      </c>
      <c r="W159" s="2">
        <v>7372</v>
      </c>
      <c r="X159" s="9">
        <v>710046</v>
      </c>
      <c r="Y159" s="2" t="s">
        <v>46</v>
      </c>
      <c r="AA159" s="1" t="str">
        <f>TRIM(RPG_dataset[[#This Row],[Username]])</f>
        <v>roran_470</v>
      </c>
      <c r="AB159" s="1" t="str">
        <f>TRIM(RPG_dataset[[#This Row],[First Name]])</f>
        <v>Roran</v>
      </c>
      <c r="AC159" s="1" t="str">
        <f>PROPER(TRIM(RPG_dataset[[#This Row],[Race]]))</f>
        <v>Elf</v>
      </c>
      <c r="AD159" s="1" t="str">
        <f>PROPER(TRIM(RPG_dataset[[#This Row],[Class]]))</f>
        <v>Bard</v>
      </c>
      <c r="AE159" s="1">
        <f>ABS(RPG_dataset[[#This Row],[Level]])</f>
        <v>82</v>
      </c>
      <c r="AF159" s="1">
        <f>ABS(RPG_dataset[[#This Row],[ATK]])</f>
        <v>38</v>
      </c>
      <c r="AG159" s="1">
        <f>ABS(RPG_dataset[[#This Row],[DEF]])</f>
        <v>0</v>
      </c>
      <c r="AH159" s="1">
        <f>ABS(RPG_dataset[[#This Row],[SPD]])</f>
        <v>87</v>
      </c>
      <c r="AI159" s="1">
        <f>ABS(RPG_dataset[[#This Row],[HP]])</f>
        <v>356</v>
      </c>
      <c r="AJ159" s="1">
        <f>ABS(RPG_dataset[[#This Row],[MP]])</f>
        <v>2037</v>
      </c>
      <c r="AK159" s="1">
        <f>ABS(RPG_dataset[[#This Row],[Total Stat]])</f>
        <v>248</v>
      </c>
      <c r="AL159" s="1">
        <f>ABS(RPG_dataset[[#This Row],[Kills]])</f>
        <v>2355</v>
      </c>
      <c r="AM159" s="12">
        <f>ABS(RPG_dataset[[#This Row],[Win Rate (%)]])</f>
        <v>98</v>
      </c>
      <c r="AN159" s="4">
        <f>ABS(RPG_dataset[[#This Row],[Gold Earned]])</f>
        <v>710046</v>
      </c>
      <c r="AO159" s="5" t="str">
        <f t="shared" si="2"/>
        <v>OK</v>
      </c>
      <c r="AP159" s="5">
        <f>RANK(clean[[#This Row],[Clean Gold]],clean[Clean Gold], 0)</f>
        <v>143</v>
      </c>
      <c r="AQ159" s="1">
        <v>158</v>
      </c>
      <c r="AR159" s="1" t="str" cm="1">
        <f t="array" ref="AR159">_xlfn.IFS(clean[[#This Row],[Clean Level]]&gt;=76, "Legend", clean[[#This Row],[Clean Level]]&gt;=51, "Elite", clean[[#This Row],[Clean Level]]&gt;=26, "Veteran", TRUE, "Rookie")</f>
        <v>Legend</v>
      </c>
      <c r="AS159" s="1" t="str">
        <f>IF(RPG_dataset[[#This Row],[Status]]="Active", "TRUE", "FALSE")</f>
        <v>FALSE</v>
      </c>
      <c r="AT159" s="1" t="str" cm="1">
        <f t="array" ref="AT159">_xlfn.IFS(clean[[#This Row],[Clean Win Rate]]&gt;70, "Excellent", clean[[#This Row],[Clean Win Rate]]&gt;=40, "Average", TRUE, "Poor")</f>
        <v>Excellent</v>
      </c>
      <c r="AU159" s="1" t="str">
        <f>IF(AND(clean[[#This Row],[Clean Level]]&gt;80, clean[[#This Row],[Clean Total Stat]]&gt;350, clean[[#This Row],[Clean Gold]]&gt;500000), "Overpowered", "Normal")</f>
        <v>Normal</v>
      </c>
      <c r="AV159" s="1" t="str" cm="1">
        <f t="array" ref="AV15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59" s="1" t="str" cm="1">
        <f t="array" ref="AW15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59" s="1"/>
    </row>
    <row r="160" spans="1:50" x14ac:dyDescent="0.3">
      <c r="A160" s="2" t="s">
        <v>652</v>
      </c>
      <c r="B160" s="2" t="s">
        <v>653</v>
      </c>
      <c r="C160" s="2" t="s">
        <v>360</v>
      </c>
      <c r="D160" s="2" t="s">
        <v>277</v>
      </c>
      <c r="E160" s="2" t="s">
        <v>29</v>
      </c>
      <c r="F160" s="2" t="s">
        <v>42</v>
      </c>
      <c r="G160" s="2">
        <v>25</v>
      </c>
      <c r="H160" s="2" t="s">
        <v>73</v>
      </c>
      <c r="I160" s="2" t="s">
        <v>74</v>
      </c>
      <c r="J160" s="2" t="s">
        <v>163</v>
      </c>
      <c r="K160" s="2" t="s">
        <v>44</v>
      </c>
      <c r="L160" s="6" t="s">
        <v>654</v>
      </c>
      <c r="M160" s="2">
        <v>137</v>
      </c>
      <c r="N160" s="2">
        <v>141</v>
      </c>
      <c r="O160" s="2">
        <v>59</v>
      </c>
      <c r="P160" s="2">
        <v>4604</v>
      </c>
      <c r="Q160" s="2">
        <v>2412</v>
      </c>
      <c r="R160" s="2">
        <v>337</v>
      </c>
      <c r="S160" s="2">
        <v>469</v>
      </c>
      <c r="T160" s="2">
        <v>335</v>
      </c>
      <c r="U160" s="2">
        <v>9</v>
      </c>
      <c r="V160" s="2">
        <v>58</v>
      </c>
      <c r="W160" s="2">
        <v>5026</v>
      </c>
      <c r="X160" s="9">
        <v>579921</v>
      </c>
      <c r="Y160" s="2" t="s">
        <v>36</v>
      </c>
      <c r="AA160" s="1" t="str">
        <f>TRIM(RPG_dataset[[#This Row],[Username]])</f>
        <v>oryn_669</v>
      </c>
      <c r="AB160" s="1" t="str">
        <f>TRIM(RPG_dataset[[#This Row],[First Name]])</f>
        <v>Oryn</v>
      </c>
      <c r="AC160" s="1" t="str">
        <f>PROPER(TRIM(RPG_dataset[[#This Row],[Race]]))</f>
        <v>Dwarf</v>
      </c>
      <c r="AD160" s="1" t="str">
        <f>PROPER(TRIM(RPG_dataset[[#This Row],[Class]]))</f>
        <v>Monk</v>
      </c>
      <c r="AE160" s="1">
        <f>ABS(RPG_dataset[[#This Row],[Level]])</f>
        <v>25</v>
      </c>
      <c r="AF160" s="1">
        <f>ABS(RPG_dataset[[#This Row],[ATK]])</f>
        <v>137</v>
      </c>
      <c r="AG160" s="1">
        <f>ABS(RPG_dataset[[#This Row],[DEF]])</f>
        <v>141</v>
      </c>
      <c r="AH160" s="1">
        <f>ABS(RPG_dataset[[#This Row],[SPD]])</f>
        <v>59</v>
      </c>
      <c r="AI160" s="1">
        <f>ABS(RPG_dataset[[#This Row],[HP]])</f>
        <v>4604</v>
      </c>
      <c r="AJ160" s="1">
        <f>ABS(RPG_dataset[[#This Row],[MP]])</f>
        <v>2412</v>
      </c>
      <c r="AK160" s="1">
        <f>ABS(RPG_dataset[[#This Row],[Total Stat]])</f>
        <v>337</v>
      </c>
      <c r="AL160" s="1">
        <f>ABS(RPG_dataset[[#This Row],[Kills]])</f>
        <v>469</v>
      </c>
      <c r="AM160" s="12">
        <f>ABS(RPG_dataset[[#This Row],[Win Rate (%)]])</f>
        <v>58</v>
      </c>
      <c r="AN160" s="4">
        <f>ABS(RPG_dataset[[#This Row],[Gold Earned]])</f>
        <v>579921</v>
      </c>
      <c r="AO160" s="5" t="str">
        <f t="shared" si="2"/>
        <v>Fix This</v>
      </c>
      <c r="AP160" s="5">
        <f>RANK(clean[[#This Row],[Clean Gold]],clean[Clean Gold], 0)</f>
        <v>212</v>
      </c>
      <c r="AQ160" s="1">
        <v>272</v>
      </c>
      <c r="AR160" s="1" t="str" cm="1">
        <f t="array" ref="AR160">_xlfn.IFS(clean[[#This Row],[Clean Level]]&gt;=76, "Legend", clean[[#This Row],[Clean Level]]&gt;=51, "Elite", clean[[#This Row],[Clean Level]]&gt;=26, "Veteran", TRUE, "Rookie")</f>
        <v>Rookie</v>
      </c>
      <c r="AS160" s="1" t="str">
        <f>IF(RPG_dataset[[#This Row],[Status]]="Active", "TRUE", "FALSE")</f>
        <v>TRUE</v>
      </c>
      <c r="AT160" s="1" t="str" cm="1">
        <f t="array" ref="AT160">_xlfn.IFS(clean[[#This Row],[Clean Win Rate]]&gt;70, "Excellent", clean[[#This Row],[Clean Win Rate]]&gt;=40, "Average", TRUE, "Poor")</f>
        <v>Average</v>
      </c>
      <c r="AU160" s="1" t="str">
        <f>IF(AND(clean[[#This Row],[Clean Level]]&gt;80, clean[[#This Row],[Clean Total Stat]]&gt;350, clean[[#This Row],[Clean Gold]]&gt;500000), "Overpowered", "Normal")</f>
        <v>Normal</v>
      </c>
      <c r="AV160" s="1" t="str" cm="1">
        <f t="array" ref="AV16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60" s="1" t="str" cm="1">
        <f t="array" ref="AW16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160" s="1"/>
    </row>
    <row r="161" spans="1:50" x14ac:dyDescent="0.3">
      <c r="A161" s="2" t="s">
        <v>655</v>
      </c>
      <c r="B161" s="2" t="s">
        <v>656</v>
      </c>
      <c r="C161" s="2" t="s">
        <v>138</v>
      </c>
      <c r="D161" s="2" t="s">
        <v>144</v>
      </c>
      <c r="E161" s="2" t="s">
        <v>51</v>
      </c>
      <c r="F161" s="2" t="s">
        <v>61</v>
      </c>
      <c r="G161" s="2">
        <v>84</v>
      </c>
      <c r="H161" s="2" t="s">
        <v>125</v>
      </c>
      <c r="I161" s="2" t="s">
        <v>63</v>
      </c>
      <c r="J161" s="2" t="s">
        <v>81</v>
      </c>
      <c r="K161" s="2" t="s">
        <v>106</v>
      </c>
      <c r="L161" s="6" t="s">
        <v>657</v>
      </c>
      <c r="M161" s="2">
        <v>95</v>
      </c>
      <c r="N161" s="2">
        <v>89</v>
      </c>
      <c r="O161" s="2">
        <v>112</v>
      </c>
      <c r="P161" s="2">
        <v>2451</v>
      </c>
      <c r="Q161" s="2">
        <v>820</v>
      </c>
      <c r="R161" s="2">
        <v>296</v>
      </c>
      <c r="S161" s="2">
        <v>1625</v>
      </c>
      <c r="T161" s="2">
        <v>273</v>
      </c>
      <c r="U161" s="2">
        <v>246</v>
      </c>
      <c r="V161" s="2">
        <v>86</v>
      </c>
      <c r="W161" s="2">
        <v>9361</v>
      </c>
      <c r="X161" s="9">
        <v>372846</v>
      </c>
      <c r="Y161" s="2" t="s">
        <v>46</v>
      </c>
      <c r="AA161" s="1" t="str">
        <f>TRIM(RPG_dataset[[#This Row],[Username]])</f>
        <v>grim_353</v>
      </c>
      <c r="AB161" s="1" t="str">
        <f>TRIM(RPG_dataset[[#This Row],[First Name]])</f>
        <v>Grim</v>
      </c>
      <c r="AC161" s="1" t="str">
        <f>PROPER(TRIM(RPG_dataset[[#This Row],[Race]]))</f>
        <v>Tiefling</v>
      </c>
      <c r="AD161" s="1" t="str">
        <f>PROPER(TRIM(RPG_dataset[[#This Row],[Class]]))</f>
        <v>Ranger</v>
      </c>
      <c r="AE161" s="1">
        <f>ABS(RPG_dataset[[#This Row],[Level]])</f>
        <v>84</v>
      </c>
      <c r="AF161" s="1">
        <f>ABS(RPG_dataset[[#This Row],[ATK]])</f>
        <v>95</v>
      </c>
      <c r="AG161" s="1">
        <f>ABS(RPG_dataset[[#This Row],[DEF]])</f>
        <v>89</v>
      </c>
      <c r="AH161" s="1">
        <f>ABS(RPG_dataset[[#This Row],[SPD]])</f>
        <v>112</v>
      </c>
      <c r="AI161" s="1">
        <f>ABS(RPG_dataset[[#This Row],[HP]])</f>
        <v>2451</v>
      </c>
      <c r="AJ161" s="1">
        <f>ABS(RPG_dataset[[#This Row],[MP]])</f>
        <v>820</v>
      </c>
      <c r="AK161" s="1">
        <f>ABS(RPG_dataset[[#This Row],[Total Stat]])</f>
        <v>296</v>
      </c>
      <c r="AL161" s="1">
        <f>ABS(RPG_dataset[[#This Row],[Kills]])</f>
        <v>1625</v>
      </c>
      <c r="AM161" s="12">
        <f>ABS(RPG_dataset[[#This Row],[Win Rate (%)]])</f>
        <v>86</v>
      </c>
      <c r="AN161" s="4">
        <f>ABS(RPG_dataset[[#This Row],[Gold Earned]])</f>
        <v>372846</v>
      </c>
      <c r="AO161" s="5" t="str">
        <f t="shared" si="2"/>
        <v>OK</v>
      </c>
      <c r="AP161" s="5">
        <f>RANK(clean[[#This Row],[Clean Gold]],clean[Clean Gold], 0)</f>
        <v>318</v>
      </c>
      <c r="AQ161" s="1">
        <v>239</v>
      </c>
      <c r="AR161" s="1" t="str" cm="1">
        <f t="array" ref="AR161">_xlfn.IFS(clean[[#This Row],[Clean Level]]&gt;=76, "Legend", clean[[#This Row],[Clean Level]]&gt;=51, "Elite", clean[[#This Row],[Clean Level]]&gt;=26, "Veteran", TRUE, "Rookie")</f>
        <v>Legend</v>
      </c>
      <c r="AS161" s="1" t="str">
        <f>IF(RPG_dataset[[#This Row],[Status]]="Active", "TRUE", "FALSE")</f>
        <v>FALSE</v>
      </c>
      <c r="AT161" s="1" t="str" cm="1">
        <f t="array" ref="AT161">_xlfn.IFS(clean[[#This Row],[Clean Win Rate]]&gt;70, "Excellent", clean[[#This Row],[Clean Win Rate]]&gt;=40, "Average", TRUE, "Poor")</f>
        <v>Excellent</v>
      </c>
      <c r="AU161" s="1" t="str">
        <f>IF(AND(clean[[#This Row],[Clean Level]]&gt;80, clean[[#This Row],[Clean Total Stat]]&gt;350, clean[[#This Row],[Clean Gold]]&gt;500000), "Overpowered", "Normal")</f>
        <v>Normal</v>
      </c>
      <c r="AV161" s="1" t="str" cm="1">
        <f t="array" ref="AV16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61" s="1" t="str" cm="1">
        <f t="array" ref="AW16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61" s="1"/>
    </row>
    <row r="162" spans="1:50" x14ac:dyDescent="0.3">
      <c r="A162" s="2" t="s">
        <v>658</v>
      </c>
      <c r="B162" s="2" t="s">
        <v>659</v>
      </c>
      <c r="C162" s="2" t="s">
        <v>219</v>
      </c>
      <c r="D162" s="2" t="s">
        <v>155</v>
      </c>
      <c r="E162" s="2" t="s">
        <v>228</v>
      </c>
      <c r="F162" s="2" t="s">
        <v>72</v>
      </c>
      <c r="G162" s="2">
        <v>4</v>
      </c>
      <c r="H162" s="2" t="s">
        <v>125</v>
      </c>
      <c r="I162" s="2" t="s">
        <v>74</v>
      </c>
      <c r="J162" s="2" t="s">
        <v>64</v>
      </c>
      <c r="K162" s="2" t="s">
        <v>34</v>
      </c>
      <c r="L162" s="6" t="s">
        <v>660</v>
      </c>
      <c r="M162" s="2">
        <v>59</v>
      </c>
      <c r="N162" s="2">
        <v>137</v>
      </c>
      <c r="O162" s="2">
        <v>58</v>
      </c>
      <c r="P162" s="2"/>
      <c r="Q162" s="2">
        <v>240</v>
      </c>
      <c r="R162" s="2">
        <v>254</v>
      </c>
      <c r="S162" s="2"/>
      <c r="T162" s="2">
        <v>820</v>
      </c>
      <c r="U162" s="2">
        <v>247</v>
      </c>
      <c r="V162" s="2">
        <v>65</v>
      </c>
      <c r="W162" s="2">
        <v>5218</v>
      </c>
      <c r="X162" s="9">
        <v>905300</v>
      </c>
      <c r="Y162" s="2" t="s">
        <v>36</v>
      </c>
      <c r="AA162" s="1" t="str">
        <f>TRIM(RPG_dataset[[#This Row],[Username]])</f>
        <v>torin_228</v>
      </c>
      <c r="AB162" s="1" t="str">
        <f>TRIM(RPG_dataset[[#This Row],[First Name]])</f>
        <v>Torin</v>
      </c>
      <c r="AC162" s="1" t="str">
        <f>PROPER(TRIM(RPG_dataset[[#This Row],[Race]]))</f>
        <v>Elf</v>
      </c>
      <c r="AD162" s="1" t="str">
        <f>PROPER(TRIM(RPG_dataset[[#This Row],[Class]]))</f>
        <v>Warrior</v>
      </c>
      <c r="AE162" s="1">
        <f>ABS(RPG_dataset[[#This Row],[Level]])</f>
        <v>4</v>
      </c>
      <c r="AF162" s="1">
        <f>ABS(RPG_dataset[[#This Row],[ATK]])</f>
        <v>59</v>
      </c>
      <c r="AG162" s="1">
        <f>ABS(RPG_dataset[[#This Row],[DEF]])</f>
        <v>137</v>
      </c>
      <c r="AH162" s="1">
        <f>ABS(RPG_dataset[[#This Row],[SPD]])</f>
        <v>58</v>
      </c>
      <c r="AI162" s="1">
        <f>ABS(RPG_dataset[[#This Row],[HP]])</f>
        <v>0</v>
      </c>
      <c r="AJ162" s="1">
        <f>ABS(RPG_dataset[[#This Row],[MP]])</f>
        <v>240</v>
      </c>
      <c r="AK162" s="1">
        <f>ABS(RPG_dataset[[#This Row],[Total Stat]])</f>
        <v>254</v>
      </c>
      <c r="AL162" s="1">
        <f>ABS(RPG_dataset[[#This Row],[Kills]])</f>
        <v>0</v>
      </c>
      <c r="AM162" s="12">
        <f>ABS(RPG_dataset[[#This Row],[Win Rate (%)]])</f>
        <v>65</v>
      </c>
      <c r="AN162" s="4">
        <f>ABS(RPG_dataset[[#This Row],[Gold Earned]])</f>
        <v>905300</v>
      </c>
      <c r="AO162" s="5" t="str">
        <f t="shared" si="2"/>
        <v>OK</v>
      </c>
      <c r="AP162" s="5">
        <f>RANK(clean[[#This Row],[Clean Gold]],clean[Clean Gold], 0)</f>
        <v>49</v>
      </c>
      <c r="AQ162" s="1">
        <v>286</v>
      </c>
      <c r="AR162" s="1" t="str" cm="1">
        <f t="array" ref="AR162">_xlfn.IFS(clean[[#This Row],[Clean Level]]&gt;=76, "Legend", clean[[#This Row],[Clean Level]]&gt;=51, "Elite", clean[[#This Row],[Clean Level]]&gt;=26, "Veteran", TRUE, "Rookie")</f>
        <v>Rookie</v>
      </c>
      <c r="AS162" s="1" t="str">
        <f>IF(RPG_dataset[[#This Row],[Status]]="Active", "TRUE", "FALSE")</f>
        <v>FALSE</v>
      </c>
      <c r="AT162" s="1" t="str" cm="1">
        <f t="array" ref="AT162">_xlfn.IFS(clean[[#This Row],[Clean Win Rate]]&gt;70, "Excellent", clean[[#This Row],[Clean Win Rate]]&gt;=40, "Average", TRUE, "Poor")</f>
        <v>Average</v>
      </c>
      <c r="AU162" s="1" t="str">
        <f>IF(AND(clean[[#This Row],[Clean Level]]&gt;80, clean[[#This Row],[Clean Total Stat]]&gt;350, clean[[#This Row],[Clean Gold]]&gt;500000), "Overpowered", "Normal")</f>
        <v>Normal</v>
      </c>
      <c r="AV162" s="1" t="str" cm="1">
        <f t="array" ref="AV16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62" s="1" t="str" cm="1">
        <f t="array" ref="AW16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62" s="1"/>
    </row>
    <row r="163" spans="1:50" x14ac:dyDescent="0.3">
      <c r="A163" s="2" t="s">
        <v>661</v>
      </c>
      <c r="B163" s="2" t="s">
        <v>662</v>
      </c>
      <c r="C163" s="2" t="s">
        <v>123</v>
      </c>
      <c r="D163" s="2" t="s">
        <v>254</v>
      </c>
      <c r="E163" s="2" t="s">
        <v>51</v>
      </c>
      <c r="F163" s="2" t="s">
        <v>42</v>
      </c>
      <c r="G163" s="2">
        <v>96</v>
      </c>
      <c r="H163" s="2" t="s">
        <v>53</v>
      </c>
      <c r="I163" s="2" t="s">
        <v>74</v>
      </c>
      <c r="J163" s="2" t="s">
        <v>33</v>
      </c>
      <c r="K163" s="2" t="s">
        <v>44</v>
      </c>
      <c r="L163" s="6" t="s">
        <v>663</v>
      </c>
      <c r="M163" s="2">
        <v>129</v>
      </c>
      <c r="N163" s="2">
        <v>61</v>
      </c>
      <c r="O163" s="2">
        <v>70</v>
      </c>
      <c r="P163" s="2">
        <v>375</v>
      </c>
      <c r="Q163" s="2">
        <v>2410</v>
      </c>
      <c r="R163" s="2">
        <v>260</v>
      </c>
      <c r="S163" s="2"/>
      <c r="T163" s="2">
        <v>235</v>
      </c>
      <c r="U163" s="2">
        <v>26</v>
      </c>
      <c r="V163" s="2">
        <v>81</v>
      </c>
      <c r="W163" s="2">
        <v>4908</v>
      </c>
      <c r="X163" s="9">
        <v>991621</v>
      </c>
      <c r="Y163" s="2" t="s">
        <v>36</v>
      </c>
      <c r="AA163" s="1" t="str">
        <f>TRIM(RPG_dataset[[#This Row],[Username]])</f>
        <v>faye_459</v>
      </c>
      <c r="AB163" s="1" t="str">
        <f>TRIM(RPG_dataset[[#This Row],[First Name]])</f>
        <v>Faye</v>
      </c>
      <c r="AC163" s="1" t="str">
        <f>PROPER(TRIM(RPG_dataset[[#This Row],[Race]]))</f>
        <v>Tiefling</v>
      </c>
      <c r="AD163" s="1" t="str">
        <f>PROPER(TRIM(RPG_dataset[[#This Row],[Class]]))</f>
        <v>Monk</v>
      </c>
      <c r="AE163" s="1">
        <f>ABS(RPG_dataset[[#This Row],[Level]])</f>
        <v>96</v>
      </c>
      <c r="AF163" s="1">
        <f>ABS(RPG_dataset[[#This Row],[ATK]])</f>
        <v>129</v>
      </c>
      <c r="AG163" s="1">
        <f>ABS(RPG_dataset[[#This Row],[DEF]])</f>
        <v>61</v>
      </c>
      <c r="AH163" s="1">
        <f>ABS(RPG_dataset[[#This Row],[SPD]])</f>
        <v>70</v>
      </c>
      <c r="AI163" s="1">
        <f>ABS(RPG_dataset[[#This Row],[HP]])</f>
        <v>375</v>
      </c>
      <c r="AJ163" s="1">
        <f>ABS(RPG_dataset[[#This Row],[MP]])</f>
        <v>2410</v>
      </c>
      <c r="AK163" s="1">
        <f>ABS(RPG_dataset[[#This Row],[Total Stat]])</f>
        <v>260</v>
      </c>
      <c r="AL163" s="1">
        <f>ABS(RPG_dataset[[#This Row],[Kills]])</f>
        <v>0</v>
      </c>
      <c r="AM163" s="12">
        <f>ABS(RPG_dataset[[#This Row],[Win Rate (%)]])</f>
        <v>81</v>
      </c>
      <c r="AN163" s="4">
        <f>ABS(RPG_dataset[[#This Row],[Gold Earned]])</f>
        <v>991621</v>
      </c>
      <c r="AO163" s="5" t="str">
        <f t="shared" si="2"/>
        <v>OK</v>
      </c>
      <c r="AP163" s="5">
        <f>RANK(clean[[#This Row],[Clean Gold]],clean[Clean Gold], 0)</f>
        <v>5</v>
      </c>
      <c r="AQ163" s="1">
        <v>116</v>
      </c>
      <c r="AR163" s="1" t="str" cm="1">
        <f t="array" ref="AR163">_xlfn.IFS(clean[[#This Row],[Clean Level]]&gt;=76, "Legend", clean[[#This Row],[Clean Level]]&gt;=51, "Elite", clean[[#This Row],[Clean Level]]&gt;=26, "Veteran", TRUE, "Rookie")</f>
        <v>Legend</v>
      </c>
      <c r="AS163" s="1" t="str">
        <f>IF(RPG_dataset[[#This Row],[Status]]="Active", "TRUE", "FALSE")</f>
        <v>TRUE</v>
      </c>
      <c r="AT163" s="1" t="str" cm="1">
        <f t="array" ref="AT163">_xlfn.IFS(clean[[#This Row],[Clean Win Rate]]&gt;70, "Excellent", clean[[#This Row],[Clean Win Rate]]&gt;=40, "Average", TRUE, "Poor")</f>
        <v>Excellent</v>
      </c>
      <c r="AU163" s="1" t="str">
        <f>IF(AND(clean[[#This Row],[Clean Level]]&gt;80, clean[[#This Row],[Clean Total Stat]]&gt;350, clean[[#This Row],[Clean Gold]]&gt;500000), "Overpowered", "Normal")</f>
        <v>Normal</v>
      </c>
      <c r="AV163" s="1" t="str" cm="1">
        <f t="array" ref="AV163">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163" s="1" t="str" cm="1">
        <f t="array" ref="AW16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163" s="1"/>
    </row>
    <row r="164" spans="1:50" x14ac:dyDescent="0.3">
      <c r="A164" s="2" t="s">
        <v>664</v>
      </c>
      <c r="B164" s="2" t="s">
        <v>665</v>
      </c>
      <c r="C164" s="2" t="s">
        <v>666</v>
      </c>
      <c r="D164" s="2" t="s">
        <v>210</v>
      </c>
      <c r="E164" s="2" t="s">
        <v>169</v>
      </c>
      <c r="F164" s="2" t="s">
        <v>52</v>
      </c>
      <c r="G164" s="2">
        <v>61</v>
      </c>
      <c r="H164" s="2" t="s">
        <v>75</v>
      </c>
      <c r="I164" s="2" t="s">
        <v>54</v>
      </c>
      <c r="J164" s="2" t="s">
        <v>88</v>
      </c>
      <c r="K164" s="2" t="s">
        <v>44</v>
      </c>
      <c r="L164" s="6" t="s">
        <v>667</v>
      </c>
      <c r="M164" s="2">
        <v>94</v>
      </c>
      <c r="N164" s="2">
        <v>42</v>
      </c>
      <c r="O164" s="2">
        <v>129</v>
      </c>
      <c r="P164" s="2">
        <v>2442</v>
      </c>
      <c r="Q164" s="2">
        <v>2277</v>
      </c>
      <c r="R164" s="2">
        <v>265</v>
      </c>
      <c r="S164" s="2">
        <v>1645</v>
      </c>
      <c r="T164" s="2">
        <v>524</v>
      </c>
      <c r="U164" s="2">
        <v>120</v>
      </c>
      <c r="V164" s="2">
        <v>76</v>
      </c>
      <c r="W164" s="2">
        <v>3946</v>
      </c>
      <c r="X164" s="9">
        <v>819018</v>
      </c>
      <c r="Y164" s="2" t="s">
        <v>46</v>
      </c>
      <c r="AA164" s="1" t="str">
        <f>TRIM(RPG_dataset[[#This Row],[Username]])</f>
        <v>kira_361</v>
      </c>
      <c r="AB164" s="1" t="str">
        <f>TRIM(RPG_dataset[[#This Row],[First Name]])</f>
        <v>KIRA</v>
      </c>
      <c r="AC164" s="1" t="str">
        <f>PROPER(TRIM(RPG_dataset[[#This Row],[Race]]))</f>
        <v>Halfling</v>
      </c>
      <c r="AD164" s="1" t="str">
        <f>PROPER(TRIM(RPG_dataset[[#This Row],[Class]]))</f>
        <v>Bard</v>
      </c>
      <c r="AE164" s="1">
        <f>ABS(RPG_dataset[[#This Row],[Level]])</f>
        <v>61</v>
      </c>
      <c r="AF164" s="1">
        <f>ABS(RPG_dataset[[#This Row],[ATK]])</f>
        <v>94</v>
      </c>
      <c r="AG164" s="1">
        <f>ABS(RPG_dataset[[#This Row],[DEF]])</f>
        <v>42</v>
      </c>
      <c r="AH164" s="1">
        <f>ABS(RPG_dataset[[#This Row],[SPD]])</f>
        <v>129</v>
      </c>
      <c r="AI164" s="1">
        <f>ABS(RPG_dataset[[#This Row],[HP]])</f>
        <v>2442</v>
      </c>
      <c r="AJ164" s="1">
        <f>ABS(RPG_dataset[[#This Row],[MP]])</f>
        <v>2277</v>
      </c>
      <c r="AK164" s="1">
        <f>ABS(RPG_dataset[[#This Row],[Total Stat]])</f>
        <v>265</v>
      </c>
      <c r="AL164" s="1">
        <f>ABS(RPG_dataset[[#This Row],[Kills]])</f>
        <v>1645</v>
      </c>
      <c r="AM164" s="12">
        <f>ABS(RPG_dataset[[#This Row],[Win Rate (%)]])</f>
        <v>76</v>
      </c>
      <c r="AN164" s="4">
        <f>ABS(RPG_dataset[[#This Row],[Gold Earned]])</f>
        <v>819018</v>
      </c>
      <c r="AO164" s="5" t="str">
        <f t="shared" si="2"/>
        <v>Fix This</v>
      </c>
      <c r="AP164" s="5">
        <f>RANK(clean[[#This Row],[Clean Gold]],clean[Clean Gold], 0)</f>
        <v>95</v>
      </c>
      <c r="AQ164" s="1">
        <v>254</v>
      </c>
      <c r="AR164" s="1" t="str" cm="1">
        <f t="array" ref="AR164">_xlfn.IFS(clean[[#This Row],[Clean Level]]&gt;=76, "Legend", clean[[#This Row],[Clean Level]]&gt;=51, "Elite", clean[[#This Row],[Clean Level]]&gt;=26, "Veteran", TRUE, "Rookie")</f>
        <v>Elite</v>
      </c>
      <c r="AS164" s="1" t="str">
        <f>IF(RPG_dataset[[#This Row],[Status]]="Active", "TRUE", "FALSE")</f>
        <v>TRUE</v>
      </c>
      <c r="AT164" s="1" t="str" cm="1">
        <f t="array" ref="AT164">_xlfn.IFS(clean[[#This Row],[Clean Win Rate]]&gt;70, "Excellent", clean[[#This Row],[Clean Win Rate]]&gt;=40, "Average", TRUE, "Poor")</f>
        <v>Excellent</v>
      </c>
      <c r="AU164" s="1" t="str">
        <f>IF(AND(clean[[#This Row],[Clean Level]]&gt;80, clean[[#This Row],[Clean Total Stat]]&gt;350, clean[[#This Row],[Clean Gold]]&gt;500000), "Overpowered", "Normal")</f>
        <v>Normal</v>
      </c>
      <c r="AV164" s="1" t="str" cm="1">
        <f t="array" ref="AV16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64" s="1" t="str" cm="1">
        <f t="array" ref="AW16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64" s="1"/>
    </row>
    <row r="165" spans="1:50" x14ac:dyDescent="0.3">
      <c r="A165" s="2" t="s">
        <v>668</v>
      </c>
      <c r="B165" s="2" t="s">
        <v>669</v>
      </c>
      <c r="C165" s="2" t="s">
        <v>517</v>
      </c>
      <c r="D165" s="2" t="s">
        <v>104</v>
      </c>
      <c r="E165" s="2" t="s">
        <v>51</v>
      </c>
      <c r="F165" s="2" t="s">
        <v>30</v>
      </c>
      <c r="G165" s="2">
        <v>96</v>
      </c>
      <c r="H165" s="2" t="s">
        <v>43</v>
      </c>
      <c r="I165" s="2" t="s">
        <v>54</v>
      </c>
      <c r="J165" s="2" t="s">
        <v>33</v>
      </c>
      <c r="K165" s="2" t="s">
        <v>44</v>
      </c>
      <c r="L165" s="6" t="s">
        <v>670</v>
      </c>
      <c r="M165" s="2">
        <v>122</v>
      </c>
      <c r="N165" s="2">
        <v>98</v>
      </c>
      <c r="O165" s="2">
        <v>42</v>
      </c>
      <c r="P165" s="2">
        <v>358</v>
      </c>
      <c r="Q165" s="2">
        <v>1793</v>
      </c>
      <c r="R165" s="2"/>
      <c r="S165" s="2">
        <v>2897</v>
      </c>
      <c r="T165" s="2">
        <v>707</v>
      </c>
      <c r="U165" s="2">
        <v>133</v>
      </c>
      <c r="V165" s="2">
        <v>80</v>
      </c>
      <c r="W165" s="2">
        <v>755</v>
      </c>
      <c r="X165" s="9">
        <v>502845</v>
      </c>
      <c r="Y165" s="2" t="s">
        <v>46</v>
      </c>
      <c r="AA165" s="1" t="str">
        <f>TRIM(RPG_dataset[[#This Row],[Username]])</f>
        <v>myra_770</v>
      </c>
      <c r="AB165" s="1" t="str">
        <f>TRIM(RPG_dataset[[#This Row],[First Name]])</f>
        <v>Myra</v>
      </c>
      <c r="AC165" s="1" t="str">
        <f>PROPER(TRIM(RPG_dataset[[#This Row],[Race]]))</f>
        <v>Tiefling</v>
      </c>
      <c r="AD165" s="1" t="str">
        <f>PROPER(TRIM(RPG_dataset[[#This Row],[Class]]))</f>
        <v>Rogue</v>
      </c>
      <c r="AE165" s="1">
        <f>ABS(RPG_dataset[[#This Row],[Level]])</f>
        <v>96</v>
      </c>
      <c r="AF165" s="1">
        <f>ABS(RPG_dataset[[#This Row],[ATK]])</f>
        <v>122</v>
      </c>
      <c r="AG165" s="1">
        <f>ABS(RPG_dataset[[#This Row],[DEF]])</f>
        <v>98</v>
      </c>
      <c r="AH165" s="1">
        <f>ABS(RPG_dataset[[#This Row],[SPD]])</f>
        <v>42</v>
      </c>
      <c r="AI165" s="1">
        <f>ABS(RPG_dataset[[#This Row],[HP]])</f>
        <v>358</v>
      </c>
      <c r="AJ165" s="1">
        <f>ABS(RPG_dataset[[#This Row],[MP]])</f>
        <v>1793</v>
      </c>
      <c r="AK165" s="1">
        <f>ABS(RPG_dataset[[#This Row],[Total Stat]])</f>
        <v>0</v>
      </c>
      <c r="AL165" s="1">
        <f>ABS(RPG_dataset[[#This Row],[Kills]])</f>
        <v>2897</v>
      </c>
      <c r="AM165" s="12">
        <f>ABS(RPG_dataset[[#This Row],[Win Rate (%)]])</f>
        <v>80</v>
      </c>
      <c r="AN165" s="4">
        <f>ABS(RPG_dataset[[#This Row],[Gold Earned]])</f>
        <v>502845</v>
      </c>
      <c r="AO165" s="5" t="str">
        <f t="shared" si="2"/>
        <v>OK</v>
      </c>
      <c r="AP165" s="5">
        <f>RANK(clean[[#This Row],[Clean Gold]],clean[Clean Gold], 0)</f>
        <v>249</v>
      </c>
      <c r="AQ165" s="1">
        <v>218</v>
      </c>
      <c r="AR165" s="1" t="str" cm="1">
        <f t="array" ref="AR165">_xlfn.IFS(clean[[#This Row],[Clean Level]]&gt;=76, "Legend", clean[[#This Row],[Clean Level]]&gt;=51, "Elite", clean[[#This Row],[Clean Level]]&gt;=26, "Veteran", TRUE, "Rookie")</f>
        <v>Legend</v>
      </c>
      <c r="AS165" s="1" t="str">
        <f>IF(RPG_dataset[[#This Row],[Status]]="Active", "TRUE", "FALSE")</f>
        <v>TRUE</v>
      </c>
      <c r="AT165" s="1" t="str" cm="1">
        <f t="array" ref="AT165">_xlfn.IFS(clean[[#This Row],[Clean Win Rate]]&gt;70, "Excellent", clean[[#This Row],[Clean Win Rate]]&gt;=40, "Average", TRUE, "Poor")</f>
        <v>Excellent</v>
      </c>
      <c r="AU165" s="1" t="str">
        <f>IF(AND(clean[[#This Row],[Clean Level]]&gt;80, clean[[#This Row],[Clean Total Stat]]&gt;350, clean[[#This Row],[Clean Gold]]&gt;500000), "Overpowered", "Normal")</f>
        <v>Normal</v>
      </c>
      <c r="AV165" s="1" t="str" cm="1">
        <f t="array" ref="AV16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65" s="1" t="str" cm="1">
        <f t="array" ref="AW16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165" s="1"/>
    </row>
    <row r="166" spans="1:50" x14ac:dyDescent="0.3">
      <c r="A166" s="2" t="s">
        <v>671</v>
      </c>
      <c r="B166" s="2" t="s">
        <v>672</v>
      </c>
      <c r="C166" s="2" t="s">
        <v>673</v>
      </c>
      <c r="D166" s="2" t="s">
        <v>254</v>
      </c>
      <c r="E166" s="2" t="s">
        <v>60</v>
      </c>
      <c r="F166" s="2" t="s">
        <v>98</v>
      </c>
      <c r="G166" s="2">
        <v>95</v>
      </c>
      <c r="H166" s="2" t="s">
        <v>80</v>
      </c>
      <c r="I166" s="2" t="s">
        <v>74</v>
      </c>
      <c r="J166" s="2" t="s">
        <v>33</v>
      </c>
      <c r="K166" s="2" t="s">
        <v>44</v>
      </c>
      <c r="L166" s="6" t="s">
        <v>674</v>
      </c>
      <c r="M166" s="2">
        <v>110</v>
      </c>
      <c r="N166" s="2">
        <v>74</v>
      </c>
      <c r="O166" s="2">
        <v>14</v>
      </c>
      <c r="P166" s="2">
        <v>178</v>
      </c>
      <c r="Q166" s="2">
        <v>2955</v>
      </c>
      <c r="R166" s="2">
        <v>198</v>
      </c>
      <c r="S166" s="2">
        <v>4059</v>
      </c>
      <c r="T166" s="2">
        <v>35</v>
      </c>
      <c r="U166" s="2">
        <v>58</v>
      </c>
      <c r="V166" s="2">
        <v>-99</v>
      </c>
      <c r="W166" s="2">
        <v>5940</v>
      </c>
      <c r="X166" s="9">
        <v>901036</v>
      </c>
      <c r="Y166" s="2" t="s">
        <v>36</v>
      </c>
      <c r="AA166" s="1" t="str">
        <f>TRIM(RPG_dataset[[#This Row],[Username]])</f>
        <v>torin_318</v>
      </c>
      <c r="AB166" s="1" t="str">
        <f>TRIM(RPG_dataset[[#This Row],[First Name]])</f>
        <v>TORIN</v>
      </c>
      <c r="AC166" s="1" t="str">
        <f>PROPER(TRIM(RPG_dataset[[#This Row],[Race]]))</f>
        <v>Human</v>
      </c>
      <c r="AD166" s="1" t="str">
        <f>PROPER(TRIM(RPG_dataset[[#This Row],[Class]]))</f>
        <v>Mage</v>
      </c>
      <c r="AE166" s="1">
        <f>ABS(RPG_dataset[[#This Row],[Level]])</f>
        <v>95</v>
      </c>
      <c r="AF166" s="1">
        <f>ABS(RPG_dataset[[#This Row],[ATK]])</f>
        <v>110</v>
      </c>
      <c r="AG166" s="1">
        <f>ABS(RPG_dataset[[#This Row],[DEF]])</f>
        <v>74</v>
      </c>
      <c r="AH166" s="1">
        <f>ABS(RPG_dataset[[#This Row],[SPD]])</f>
        <v>14</v>
      </c>
      <c r="AI166" s="1">
        <f>ABS(RPG_dataset[[#This Row],[HP]])</f>
        <v>178</v>
      </c>
      <c r="AJ166" s="1">
        <f>ABS(RPG_dataset[[#This Row],[MP]])</f>
        <v>2955</v>
      </c>
      <c r="AK166" s="1">
        <f>ABS(RPG_dataset[[#This Row],[Total Stat]])</f>
        <v>198</v>
      </c>
      <c r="AL166" s="1">
        <f>ABS(RPG_dataset[[#This Row],[Kills]])</f>
        <v>4059</v>
      </c>
      <c r="AM166" s="12">
        <f>ABS(RPG_dataset[[#This Row],[Win Rate (%)]])</f>
        <v>99</v>
      </c>
      <c r="AN166" s="4">
        <f>ABS(RPG_dataset[[#This Row],[Gold Earned]])</f>
        <v>901036</v>
      </c>
      <c r="AO166" s="5" t="str">
        <f t="shared" si="2"/>
        <v>OK</v>
      </c>
      <c r="AP166" s="5">
        <f>RANK(clean[[#This Row],[Clean Gold]],clean[Clean Gold], 0)</f>
        <v>52</v>
      </c>
      <c r="AQ166" s="1">
        <v>109</v>
      </c>
      <c r="AR166" s="1" t="str" cm="1">
        <f t="array" ref="AR166">_xlfn.IFS(clean[[#This Row],[Clean Level]]&gt;=76, "Legend", clean[[#This Row],[Clean Level]]&gt;=51, "Elite", clean[[#This Row],[Clean Level]]&gt;=26, "Veteran", TRUE, "Rookie")</f>
        <v>Legend</v>
      </c>
      <c r="AS166" s="1" t="str">
        <f>IF(RPG_dataset[[#This Row],[Status]]="Active", "TRUE", "FALSE")</f>
        <v>TRUE</v>
      </c>
      <c r="AT166" s="1" t="str" cm="1">
        <f t="array" ref="AT166">_xlfn.IFS(clean[[#This Row],[Clean Win Rate]]&gt;70, "Excellent", clean[[#This Row],[Clean Win Rate]]&gt;=40, "Average", TRUE, "Poor")</f>
        <v>Excellent</v>
      </c>
      <c r="AU166" s="1" t="str">
        <f>IF(AND(clean[[#This Row],[Clean Level]]&gt;80, clean[[#This Row],[Clean Total Stat]]&gt;350, clean[[#This Row],[Clean Gold]]&gt;500000), "Overpowered", "Normal")</f>
        <v>Normal</v>
      </c>
      <c r="AV166" s="1" t="str" cm="1">
        <f t="array" ref="AV166">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166" s="1" t="str" cm="1">
        <f t="array" ref="AW16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66" s="1"/>
    </row>
    <row r="167" spans="1:50" x14ac:dyDescent="0.3">
      <c r="A167" s="2" t="s">
        <v>675</v>
      </c>
      <c r="B167" s="2" t="s">
        <v>676</v>
      </c>
      <c r="C167" s="2" t="s">
        <v>27</v>
      </c>
      <c r="D167" s="2" t="s">
        <v>272</v>
      </c>
      <c r="E167" s="2" t="s">
        <v>60</v>
      </c>
      <c r="F167" s="2" t="s">
        <v>98</v>
      </c>
      <c r="G167" s="2">
        <v>65</v>
      </c>
      <c r="H167" s="2" t="s">
        <v>125</v>
      </c>
      <c r="I167" s="2" t="s">
        <v>74</v>
      </c>
      <c r="J167" s="2" t="s">
        <v>163</v>
      </c>
      <c r="K167" s="2" t="s">
        <v>106</v>
      </c>
      <c r="L167" s="6" t="s">
        <v>677</v>
      </c>
      <c r="M167" s="2">
        <v>39</v>
      </c>
      <c r="N167" s="2">
        <v>149</v>
      </c>
      <c r="O167" s="2">
        <v>128</v>
      </c>
      <c r="P167" s="2">
        <v>4207</v>
      </c>
      <c r="Q167" s="2">
        <v>1597</v>
      </c>
      <c r="R167" s="2"/>
      <c r="S167" s="2">
        <v>3052</v>
      </c>
      <c r="T167" s="2">
        <v>491</v>
      </c>
      <c r="U167" s="2">
        <v>16</v>
      </c>
      <c r="V167" s="2">
        <v>86</v>
      </c>
      <c r="W167" s="2">
        <v>7039</v>
      </c>
      <c r="X167" s="9">
        <v>886109</v>
      </c>
      <c r="Y167" s="2" t="s">
        <v>46</v>
      </c>
      <c r="AA167" s="1" t="str">
        <f>TRIM(RPG_dataset[[#This Row],[Username]])</f>
        <v>aiden_630</v>
      </c>
      <c r="AB167" s="1" t="str">
        <f>TRIM(RPG_dataset[[#This Row],[First Name]])</f>
        <v>Aiden</v>
      </c>
      <c r="AC167" s="1" t="str">
        <f>PROPER(TRIM(RPG_dataset[[#This Row],[Race]]))</f>
        <v>Human</v>
      </c>
      <c r="AD167" s="1" t="str">
        <f>PROPER(TRIM(RPG_dataset[[#This Row],[Class]]))</f>
        <v>Mage</v>
      </c>
      <c r="AE167" s="1">
        <f>ABS(RPG_dataset[[#This Row],[Level]])</f>
        <v>65</v>
      </c>
      <c r="AF167" s="1">
        <f>ABS(RPG_dataset[[#This Row],[ATK]])</f>
        <v>39</v>
      </c>
      <c r="AG167" s="1">
        <f>ABS(RPG_dataset[[#This Row],[DEF]])</f>
        <v>149</v>
      </c>
      <c r="AH167" s="1">
        <f>ABS(RPG_dataset[[#This Row],[SPD]])</f>
        <v>128</v>
      </c>
      <c r="AI167" s="1">
        <f>ABS(RPG_dataset[[#This Row],[HP]])</f>
        <v>4207</v>
      </c>
      <c r="AJ167" s="1">
        <f>ABS(RPG_dataset[[#This Row],[MP]])</f>
        <v>1597</v>
      </c>
      <c r="AK167" s="1">
        <f>ABS(RPG_dataset[[#This Row],[Total Stat]])</f>
        <v>0</v>
      </c>
      <c r="AL167" s="1">
        <f>ABS(RPG_dataset[[#This Row],[Kills]])</f>
        <v>3052</v>
      </c>
      <c r="AM167" s="12">
        <f>ABS(RPG_dataset[[#This Row],[Win Rate (%)]])</f>
        <v>86</v>
      </c>
      <c r="AN167" s="4">
        <f>ABS(RPG_dataset[[#This Row],[Gold Earned]])</f>
        <v>886109</v>
      </c>
      <c r="AO167" s="5" t="str">
        <f t="shared" si="2"/>
        <v>OK</v>
      </c>
      <c r="AP167" s="5">
        <f>RANK(clean[[#This Row],[Clean Gold]],clean[Clean Gold], 0)</f>
        <v>59</v>
      </c>
      <c r="AQ167" s="1"/>
      <c r="AR167" s="1" t="str" cm="1">
        <f t="array" ref="AR167">_xlfn.IFS(clean[[#This Row],[Clean Level]]&gt;=76, "Legend", clean[[#This Row],[Clean Level]]&gt;=51, "Elite", clean[[#This Row],[Clean Level]]&gt;=26, "Veteran", TRUE, "Rookie")</f>
        <v>Elite</v>
      </c>
      <c r="AS167" s="1" t="str">
        <f>IF(RPG_dataset[[#This Row],[Status]]="Active", "TRUE", "FALSE")</f>
        <v>FALSE</v>
      </c>
      <c r="AT167" s="1" t="str" cm="1">
        <f t="array" ref="AT167">_xlfn.IFS(clean[[#This Row],[Clean Win Rate]]&gt;70, "Excellent", clean[[#This Row],[Clean Win Rate]]&gt;=40, "Average", TRUE, "Poor")</f>
        <v>Excellent</v>
      </c>
      <c r="AU167" s="1" t="str">
        <f>IF(AND(clean[[#This Row],[Clean Level]]&gt;80, clean[[#This Row],[Clean Total Stat]]&gt;350, clean[[#This Row],[Clean Gold]]&gt;500000), "Overpowered", "Normal")</f>
        <v>Normal</v>
      </c>
      <c r="AV167" s="1" t="str" cm="1">
        <f t="array" ref="AV16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67" s="1" t="str" cm="1">
        <f t="array" ref="AW16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67" s="1"/>
    </row>
    <row r="168" spans="1:50" x14ac:dyDescent="0.3">
      <c r="A168" s="2" t="s">
        <v>678</v>
      </c>
      <c r="B168" s="2" t="s">
        <v>679</v>
      </c>
      <c r="C168" s="2" t="s">
        <v>680</v>
      </c>
      <c r="D168" s="2" t="s">
        <v>681</v>
      </c>
      <c r="E168" s="2" t="s">
        <v>228</v>
      </c>
      <c r="F168" s="2" t="s">
        <v>682</v>
      </c>
      <c r="G168" s="2">
        <v>41</v>
      </c>
      <c r="H168" s="2" t="s">
        <v>80</v>
      </c>
      <c r="I168" s="2" t="s">
        <v>54</v>
      </c>
      <c r="J168" s="2" t="s">
        <v>92</v>
      </c>
      <c r="K168" s="2" t="s">
        <v>146</v>
      </c>
      <c r="L168" s="6" t="s">
        <v>683</v>
      </c>
      <c r="M168" s="2">
        <v>148</v>
      </c>
      <c r="N168" s="2">
        <v>111</v>
      </c>
      <c r="O168" s="2">
        <v>124</v>
      </c>
      <c r="P168" s="2">
        <v>2298</v>
      </c>
      <c r="Q168" s="2">
        <v>682</v>
      </c>
      <c r="R168" s="2">
        <v>383</v>
      </c>
      <c r="S168" s="2">
        <v>564</v>
      </c>
      <c r="T168" s="2">
        <v>50</v>
      </c>
      <c r="U168" s="2">
        <v>131</v>
      </c>
      <c r="V168" s="2">
        <v>92</v>
      </c>
      <c r="W168" s="2">
        <v>8007</v>
      </c>
      <c r="X168" s="9">
        <v>841598</v>
      </c>
      <c r="Y168" s="2" t="s">
        <v>36</v>
      </c>
      <c r="AA168" s="1" t="str">
        <f>TRIM(RPG_dataset[[#This Row],[Username]])</f>
        <v>brix_222</v>
      </c>
      <c r="AB168" s="1" t="str">
        <f>TRIM(RPG_dataset[[#This Row],[First Name]])</f>
        <v>Brix</v>
      </c>
      <c r="AC168" s="1" t="str">
        <f>PROPER(TRIM(RPG_dataset[[#This Row],[Race]]))</f>
        <v>Elf</v>
      </c>
      <c r="AD168" s="1" t="str">
        <f>PROPER(TRIM(RPG_dataset[[#This Row],[Class]]))</f>
        <v>Monk</v>
      </c>
      <c r="AE168" s="1">
        <f>ABS(RPG_dataset[[#This Row],[Level]])</f>
        <v>41</v>
      </c>
      <c r="AF168" s="1">
        <f>ABS(RPG_dataset[[#This Row],[ATK]])</f>
        <v>148</v>
      </c>
      <c r="AG168" s="1">
        <f>ABS(RPG_dataset[[#This Row],[DEF]])</f>
        <v>111</v>
      </c>
      <c r="AH168" s="1">
        <f>ABS(RPG_dataset[[#This Row],[SPD]])</f>
        <v>124</v>
      </c>
      <c r="AI168" s="1">
        <f>ABS(RPG_dataset[[#This Row],[HP]])</f>
        <v>2298</v>
      </c>
      <c r="AJ168" s="1">
        <f>ABS(RPG_dataset[[#This Row],[MP]])</f>
        <v>682</v>
      </c>
      <c r="AK168" s="1">
        <f>ABS(RPG_dataset[[#This Row],[Total Stat]])</f>
        <v>383</v>
      </c>
      <c r="AL168" s="1">
        <f>ABS(RPG_dataset[[#This Row],[Kills]])</f>
        <v>564</v>
      </c>
      <c r="AM168" s="12">
        <f>ABS(RPG_dataset[[#This Row],[Win Rate (%)]])</f>
        <v>92</v>
      </c>
      <c r="AN168" s="4">
        <f>ABS(RPG_dataset[[#This Row],[Gold Earned]])</f>
        <v>841598</v>
      </c>
      <c r="AO168" s="5" t="str">
        <f t="shared" si="2"/>
        <v>OK</v>
      </c>
      <c r="AP168" s="5">
        <f>RANK(clean[[#This Row],[Clean Gold]],clean[Clean Gold], 0)</f>
        <v>82</v>
      </c>
      <c r="AQ168" s="1">
        <v>285</v>
      </c>
      <c r="AR168" s="1" t="str" cm="1">
        <f t="array" ref="AR168">_xlfn.IFS(clean[[#This Row],[Clean Level]]&gt;=76, "Legend", clean[[#This Row],[Clean Level]]&gt;=51, "Elite", clean[[#This Row],[Clean Level]]&gt;=26, "Veteran", TRUE, "Rookie")</f>
        <v>Veteran</v>
      </c>
      <c r="AS168" s="1" t="str">
        <f>IF(RPG_dataset[[#This Row],[Status]]="Active", "TRUE", "FALSE")</f>
        <v>TRUE</v>
      </c>
      <c r="AT168" s="1" t="str" cm="1">
        <f t="array" ref="AT168">_xlfn.IFS(clean[[#This Row],[Clean Win Rate]]&gt;70, "Excellent", clean[[#This Row],[Clean Win Rate]]&gt;=40, "Average", TRUE, "Poor")</f>
        <v>Excellent</v>
      </c>
      <c r="AU168" s="1" t="str">
        <f>IF(AND(clean[[#This Row],[Clean Level]]&gt;80, clean[[#This Row],[Clean Total Stat]]&gt;350, clean[[#This Row],[Clean Gold]]&gt;500000), "Overpowered", "Normal")</f>
        <v>Normal</v>
      </c>
      <c r="AV168" s="1" t="str" cm="1">
        <f t="array" ref="AV16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68" s="1" t="str" cm="1">
        <f t="array" ref="AW16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68" s="1"/>
    </row>
    <row r="169" spans="1:50" x14ac:dyDescent="0.3">
      <c r="A169" s="2" t="s">
        <v>684</v>
      </c>
      <c r="B169" s="2" t="s">
        <v>685</v>
      </c>
      <c r="C169" s="2" t="s">
        <v>281</v>
      </c>
      <c r="D169" s="2" t="s">
        <v>119</v>
      </c>
      <c r="E169" s="2" t="s">
        <v>41</v>
      </c>
      <c r="F169" s="2" t="s">
        <v>61</v>
      </c>
      <c r="G169" s="2">
        <v>57</v>
      </c>
      <c r="H169" s="2" t="s">
        <v>125</v>
      </c>
      <c r="I169" s="2" t="s">
        <v>63</v>
      </c>
      <c r="J169" s="2" t="s">
        <v>88</v>
      </c>
      <c r="K169" s="2" t="s">
        <v>44</v>
      </c>
      <c r="L169" s="6" t="s">
        <v>686</v>
      </c>
      <c r="M169" s="2">
        <v>139</v>
      </c>
      <c r="N169" s="2">
        <v>92</v>
      </c>
      <c r="O169" s="2">
        <v>117</v>
      </c>
      <c r="P169" s="2">
        <v>2340</v>
      </c>
      <c r="Q169" s="2">
        <v>156</v>
      </c>
      <c r="R169" s="2">
        <v>348</v>
      </c>
      <c r="S169" s="2">
        <v>2590</v>
      </c>
      <c r="T169" s="2"/>
      <c r="U169" s="2">
        <v>233</v>
      </c>
      <c r="V169" s="2">
        <v>100</v>
      </c>
      <c r="W169" s="2">
        <v>2122</v>
      </c>
      <c r="X169" s="9">
        <v>302621</v>
      </c>
      <c r="Y169" s="2" t="s">
        <v>46</v>
      </c>
      <c r="AA169" s="1" t="str">
        <f>TRIM(RPG_dataset[[#This Row],[Username]])</f>
        <v>nova_323</v>
      </c>
      <c r="AB169" s="1" t="str">
        <f>TRIM(RPG_dataset[[#This Row],[First Name]])</f>
        <v>Nova</v>
      </c>
      <c r="AC169" s="1" t="str">
        <f>PROPER(TRIM(RPG_dataset[[#This Row],[Race]]))</f>
        <v>Gnome</v>
      </c>
      <c r="AD169" s="1" t="str">
        <f>PROPER(TRIM(RPG_dataset[[#This Row],[Class]]))</f>
        <v>Ranger</v>
      </c>
      <c r="AE169" s="1">
        <f>ABS(RPG_dataset[[#This Row],[Level]])</f>
        <v>57</v>
      </c>
      <c r="AF169" s="1">
        <f>ABS(RPG_dataset[[#This Row],[ATK]])</f>
        <v>139</v>
      </c>
      <c r="AG169" s="1">
        <f>ABS(RPG_dataset[[#This Row],[DEF]])</f>
        <v>92</v>
      </c>
      <c r="AH169" s="1">
        <f>ABS(RPG_dataset[[#This Row],[SPD]])</f>
        <v>117</v>
      </c>
      <c r="AI169" s="1">
        <f>ABS(RPG_dataset[[#This Row],[HP]])</f>
        <v>2340</v>
      </c>
      <c r="AJ169" s="1">
        <f>ABS(RPG_dataset[[#This Row],[MP]])</f>
        <v>156</v>
      </c>
      <c r="AK169" s="1">
        <f>ABS(RPG_dataset[[#This Row],[Total Stat]])</f>
        <v>348</v>
      </c>
      <c r="AL169" s="1">
        <f>ABS(RPG_dataset[[#This Row],[Kills]])</f>
        <v>2590</v>
      </c>
      <c r="AM169" s="12">
        <f>ABS(RPG_dataset[[#This Row],[Win Rate (%)]])</f>
        <v>100</v>
      </c>
      <c r="AN169" s="4">
        <f>ABS(RPG_dataset[[#This Row],[Gold Earned]])</f>
        <v>302621</v>
      </c>
      <c r="AO169" s="5" t="str">
        <f t="shared" si="2"/>
        <v>OK</v>
      </c>
      <c r="AP169" s="5">
        <f>RANK(clean[[#This Row],[Clean Gold]],clean[Clean Gold], 0)</f>
        <v>352</v>
      </c>
      <c r="AQ169" s="1">
        <v>274</v>
      </c>
      <c r="AR169" s="1" t="str" cm="1">
        <f t="array" ref="AR169">_xlfn.IFS(clean[[#This Row],[Clean Level]]&gt;=76, "Legend", clean[[#This Row],[Clean Level]]&gt;=51, "Elite", clean[[#This Row],[Clean Level]]&gt;=26, "Veteran", TRUE, "Rookie")</f>
        <v>Elite</v>
      </c>
      <c r="AS169" s="1" t="str">
        <f>IF(RPG_dataset[[#This Row],[Status]]="Active", "TRUE", "FALSE")</f>
        <v>TRUE</v>
      </c>
      <c r="AT169" s="1" t="str" cm="1">
        <f t="array" ref="AT169">_xlfn.IFS(clean[[#This Row],[Clean Win Rate]]&gt;70, "Excellent", clean[[#This Row],[Clean Win Rate]]&gt;=40, "Average", TRUE, "Poor")</f>
        <v>Excellent</v>
      </c>
      <c r="AU169" s="1" t="str">
        <f>IF(AND(clean[[#This Row],[Clean Level]]&gt;80, clean[[#This Row],[Clean Total Stat]]&gt;350, clean[[#This Row],[Clean Gold]]&gt;500000), "Overpowered", "Normal")</f>
        <v>Normal</v>
      </c>
      <c r="AV169" s="1" t="str" cm="1">
        <f t="array" ref="AV16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69" s="1" t="str" cm="1">
        <f t="array" ref="AW16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69" s="1"/>
    </row>
    <row r="170" spans="1:50" x14ac:dyDescent="0.3">
      <c r="A170" s="2" t="s">
        <v>687</v>
      </c>
      <c r="B170" s="2" t="s">
        <v>688</v>
      </c>
      <c r="C170" s="2" t="s">
        <v>689</v>
      </c>
      <c r="D170" s="2" t="s">
        <v>250</v>
      </c>
      <c r="E170" s="2" t="s">
        <v>228</v>
      </c>
      <c r="F170" s="2" t="s">
        <v>52</v>
      </c>
      <c r="G170" s="2">
        <v>43</v>
      </c>
      <c r="H170" s="2" t="s">
        <v>80</v>
      </c>
      <c r="I170" s="2" t="s">
        <v>32</v>
      </c>
      <c r="J170" s="2" t="s">
        <v>120</v>
      </c>
      <c r="K170" s="2" t="s">
        <v>44</v>
      </c>
      <c r="L170" s="6" t="s">
        <v>690</v>
      </c>
      <c r="M170" s="2">
        <v>149</v>
      </c>
      <c r="N170" s="2">
        <v>44</v>
      </c>
      <c r="O170" s="2">
        <v>68</v>
      </c>
      <c r="P170" s="2">
        <v>4497</v>
      </c>
      <c r="Q170" s="2">
        <v>1491</v>
      </c>
      <c r="R170" s="2">
        <v>261</v>
      </c>
      <c r="S170" s="2">
        <v>-3271</v>
      </c>
      <c r="T170" s="2">
        <v>692</v>
      </c>
      <c r="U170" s="2">
        <v>256</v>
      </c>
      <c r="V170" s="2">
        <v>83</v>
      </c>
      <c r="W170" s="2">
        <v>4174</v>
      </c>
      <c r="X170" s="9">
        <v>449045</v>
      </c>
      <c r="Y170" s="2" t="s">
        <v>46</v>
      </c>
      <c r="AA170" s="1" t="str">
        <f>TRIM(RPG_dataset[[#This Row],[Username]])</f>
        <v>theron_534</v>
      </c>
      <c r="AB170" s="1" t="str">
        <f>TRIM(RPG_dataset[[#This Row],[First Name]])</f>
        <v>Theron</v>
      </c>
      <c r="AC170" s="1" t="str">
        <f>PROPER(TRIM(RPG_dataset[[#This Row],[Race]]))</f>
        <v>Elf</v>
      </c>
      <c r="AD170" s="1" t="str">
        <f>PROPER(TRIM(RPG_dataset[[#This Row],[Class]]))</f>
        <v>Bard</v>
      </c>
      <c r="AE170" s="1">
        <f>ABS(RPG_dataset[[#This Row],[Level]])</f>
        <v>43</v>
      </c>
      <c r="AF170" s="1">
        <f>ABS(RPG_dataset[[#This Row],[ATK]])</f>
        <v>149</v>
      </c>
      <c r="AG170" s="1">
        <f>ABS(RPG_dataset[[#This Row],[DEF]])</f>
        <v>44</v>
      </c>
      <c r="AH170" s="1">
        <f>ABS(RPG_dataset[[#This Row],[SPD]])</f>
        <v>68</v>
      </c>
      <c r="AI170" s="1">
        <f>ABS(RPG_dataset[[#This Row],[HP]])</f>
        <v>4497</v>
      </c>
      <c r="AJ170" s="1">
        <f>ABS(RPG_dataset[[#This Row],[MP]])</f>
        <v>1491</v>
      </c>
      <c r="AK170" s="1">
        <f>ABS(RPG_dataset[[#This Row],[Total Stat]])</f>
        <v>261</v>
      </c>
      <c r="AL170" s="1">
        <f>ABS(RPG_dataset[[#This Row],[Kills]])</f>
        <v>3271</v>
      </c>
      <c r="AM170" s="12">
        <f>ABS(RPG_dataset[[#This Row],[Win Rate (%)]])</f>
        <v>83</v>
      </c>
      <c r="AN170" s="4">
        <f>ABS(RPG_dataset[[#This Row],[Gold Earned]])</f>
        <v>449045</v>
      </c>
      <c r="AO170" s="5" t="str">
        <f t="shared" si="2"/>
        <v>OK</v>
      </c>
      <c r="AP170" s="5">
        <f>RANK(clean[[#This Row],[Clean Gold]],clean[Clean Gold], 0)</f>
        <v>279</v>
      </c>
      <c r="AQ170" s="1">
        <v>250</v>
      </c>
      <c r="AR170" s="1" t="str" cm="1">
        <f t="array" ref="AR170">_xlfn.IFS(clean[[#This Row],[Clean Level]]&gt;=76, "Legend", clean[[#This Row],[Clean Level]]&gt;=51, "Elite", clean[[#This Row],[Clean Level]]&gt;=26, "Veteran", TRUE, "Rookie")</f>
        <v>Veteran</v>
      </c>
      <c r="AS170" s="1" t="str">
        <f>IF(RPG_dataset[[#This Row],[Status]]="Active", "TRUE", "FALSE")</f>
        <v>TRUE</v>
      </c>
      <c r="AT170" s="1" t="str" cm="1">
        <f t="array" ref="AT170">_xlfn.IFS(clean[[#This Row],[Clean Win Rate]]&gt;70, "Excellent", clean[[#This Row],[Clean Win Rate]]&gt;=40, "Average", TRUE, "Poor")</f>
        <v>Excellent</v>
      </c>
      <c r="AU170" s="1" t="str">
        <f>IF(AND(clean[[#This Row],[Clean Level]]&gt;80, clean[[#This Row],[Clean Total Stat]]&gt;350, clean[[#This Row],[Clean Gold]]&gt;500000), "Overpowered", "Normal")</f>
        <v>Normal</v>
      </c>
      <c r="AV170" s="1" t="str" cm="1">
        <f t="array" ref="AV17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70" s="1" t="str" cm="1">
        <f t="array" ref="AW17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170" s="1"/>
    </row>
    <row r="171" spans="1:50" x14ac:dyDescent="0.3">
      <c r="A171" s="2" t="s">
        <v>691</v>
      </c>
      <c r="B171" s="2" t="s">
        <v>692</v>
      </c>
      <c r="C171" s="2" t="s">
        <v>693</v>
      </c>
      <c r="D171" s="2" t="s">
        <v>28</v>
      </c>
      <c r="E171" s="2" t="s">
        <v>41</v>
      </c>
      <c r="F171" s="2" t="s">
        <v>30</v>
      </c>
      <c r="G171" s="2">
        <v>21</v>
      </c>
      <c r="H171" s="2" t="s">
        <v>31</v>
      </c>
      <c r="I171" s="2" t="s">
        <v>63</v>
      </c>
      <c r="J171" s="2" t="s">
        <v>120</v>
      </c>
      <c r="K171" s="2" t="s">
        <v>34</v>
      </c>
      <c r="L171" s="6" t="s">
        <v>694</v>
      </c>
      <c r="M171" s="2">
        <v>114</v>
      </c>
      <c r="N171" s="2">
        <v>46</v>
      </c>
      <c r="O171" s="2">
        <v>141</v>
      </c>
      <c r="P171" s="2">
        <v>1299</v>
      </c>
      <c r="Q171" s="2">
        <v>1932</v>
      </c>
      <c r="R171" s="2">
        <v>301</v>
      </c>
      <c r="S171" s="2">
        <v>1861</v>
      </c>
      <c r="T171" s="2">
        <v>313</v>
      </c>
      <c r="U171" s="2">
        <v>273</v>
      </c>
      <c r="V171" s="2">
        <v>86</v>
      </c>
      <c r="W171" s="2">
        <v>8001</v>
      </c>
      <c r="X171" s="9">
        <v>377955</v>
      </c>
      <c r="Y171" s="2" t="s">
        <v>36</v>
      </c>
      <c r="AA171" s="1" t="str">
        <f>TRIM(RPG_dataset[[#This Row],[Username]])</f>
        <v>elara_939</v>
      </c>
      <c r="AB171" s="1" t="str">
        <f>TRIM(RPG_dataset[[#This Row],[First Name]])</f>
        <v>Elara</v>
      </c>
      <c r="AC171" s="1" t="str">
        <f>PROPER(TRIM(RPG_dataset[[#This Row],[Race]]))</f>
        <v>Gnome</v>
      </c>
      <c r="AD171" s="1" t="str">
        <f>PROPER(TRIM(RPG_dataset[[#This Row],[Class]]))</f>
        <v>Rogue</v>
      </c>
      <c r="AE171" s="1">
        <f>ABS(RPG_dataset[[#This Row],[Level]])</f>
        <v>21</v>
      </c>
      <c r="AF171" s="1">
        <f>ABS(RPG_dataset[[#This Row],[ATK]])</f>
        <v>114</v>
      </c>
      <c r="AG171" s="1">
        <f>ABS(RPG_dataset[[#This Row],[DEF]])</f>
        <v>46</v>
      </c>
      <c r="AH171" s="1">
        <f>ABS(RPG_dataset[[#This Row],[SPD]])</f>
        <v>141</v>
      </c>
      <c r="AI171" s="1">
        <f>ABS(RPG_dataset[[#This Row],[HP]])</f>
        <v>1299</v>
      </c>
      <c r="AJ171" s="1">
        <f>ABS(RPG_dataset[[#This Row],[MP]])</f>
        <v>1932</v>
      </c>
      <c r="AK171" s="1">
        <f>ABS(RPG_dataset[[#This Row],[Total Stat]])</f>
        <v>301</v>
      </c>
      <c r="AL171" s="1">
        <f>ABS(RPG_dataset[[#This Row],[Kills]])</f>
        <v>1861</v>
      </c>
      <c r="AM171" s="12">
        <f>ABS(RPG_dataset[[#This Row],[Win Rate (%)]])</f>
        <v>86</v>
      </c>
      <c r="AN171" s="4">
        <f>ABS(RPG_dataset[[#This Row],[Gold Earned]])</f>
        <v>377955</v>
      </c>
      <c r="AO171" s="5" t="str">
        <f t="shared" si="2"/>
        <v>OK</v>
      </c>
      <c r="AP171" s="5">
        <f>RANK(clean[[#This Row],[Clean Gold]],clean[Clean Gold], 0)</f>
        <v>315</v>
      </c>
      <c r="AQ171" s="1">
        <v>253</v>
      </c>
      <c r="AR171" s="1" t="str" cm="1">
        <f t="array" ref="AR171">_xlfn.IFS(clean[[#This Row],[Clean Level]]&gt;=76, "Legend", clean[[#This Row],[Clean Level]]&gt;=51, "Elite", clean[[#This Row],[Clean Level]]&gt;=26, "Veteran", TRUE, "Rookie")</f>
        <v>Rookie</v>
      </c>
      <c r="AS171" s="1" t="str">
        <f>IF(RPG_dataset[[#This Row],[Status]]="Active", "TRUE", "FALSE")</f>
        <v>FALSE</v>
      </c>
      <c r="AT171" s="1" t="str" cm="1">
        <f t="array" ref="AT171">_xlfn.IFS(clean[[#This Row],[Clean Win Rate]]&gt;70, "Excellent", clean[[#This Row],[Clean Win Rate]]&gt;=40, "Average", TRUE, "Poor")</f>
        <v>Excellent</v>
      </c>
      <c r="AU171" s="1" t="str">
        <f>IF(AND(clean[[#This Row],[Clean Level]]&gt;80, clean[[#This Row],[Clean Total Stat]]&gt;350, clean[[#This Row],[Clean Gold]]&gt;500000), "Overpowered", "Normal")</f>
        <v>Normal</v>
      </c>
      <c r="AV171" s="1" t="str" cm="1">
        <f t="array" ref="AV17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71" s="1" t="str" cm="1">
        <f t="array" ref="AW17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71" s="1"/>
    </row>
    <row r="172" spans="1:50" x14ac:dyDescent="0.3">
      <c r="A172" s="2" t="s">
        <v>695</v>
      </c>
      <c r="B172" s="2" t="s">
        <v>696</v>
      </c>
      <c r="C172" s="2" t="s">
        <v>223</v>
      </c>
      <c r="D172" s="2" t="s">
        <v>349</v>
      </c>
      <c r="E172" s="2" t="s">
        <v>169</v>
      </c>
      <c r="F172" s="2" t="s">
        <v>52</v>
      </c>
      <c r="G172" s="2">
        <v>12</v>
      </c>
      <c r="H172" s="2" t="s">
        <v>157</v>
      </c>
      <c r="I172" s="2" t="s">
        <v>74</v>
      </c>
      <c r="J172" s="2" t="s">
        <v>64</v>
      </c>
      <c r="K172" s="2" t="s">
        <v>34</v>
      </c>
      <c r="L172" s="6" t="s">
        <v>697</v>
      </c>
      <c r="M172" s="2">
        <v>114</v>
      </c>
      <c r="N172" s="2">
        <v>14</v>
      </c>
      <c r="O172" s="2">
        <v>53</v>
      </c>
      <c r="P172" s="2">
        <v>3163</v>
      </c>
      <c r="Q172" s="2">
        <v>830</v>
      </c>
      <c r="R172" s="2">
        <v>181</v>
      </c>
      <c r="S172" s="2">
        <v>1050</v>
      </c>
      <c r="T172" s="2">
        <v>826</v>
      </c>
      <c r="U172" s="2">
        <v>254</v>
      </c>
      <c r="V172" s="2">
        <v>56</v>
      </c>
      <c r="W172" s="2">
        <v>722</v>
      </c>
      <c r="X172" s="9">
        <v>441909</v>
      </c>
      <c r="Y172" s="2" t="s">
        <v>36</v>
      </c>
      <c r="AA172" s="1" t="str">
        <f>TRIM(RPG_dataset[[#This Row],[Username]])</f>
        <v>lyra_134</v>
      </c>
      <c r="AB172" s="1" t="str">
        <f>TRIM(RPG_dataset[[#This Row],[First Name]])</f>
        <v>Lyra</v>
      </c>
      <c r="AC172" s="1" t="str">
        <f>PROPER(TRIM(RPG_dataset[[#This Row],[Race]]))</f>
        <v>Halfling</v>
      </c>
      <c r="AD172" s="1" t="str">
        <f>PROPER(TRIM(RPG_dataset[[#This Row],[Class]]))</f>
        <v>Bard</v>
      </c>
      <c r="AE172" s="1">
        <f>ABS(RPG_dataset[[#This Row],[Level]])</f>
        <v>12</v>
      </c>
      <c r="AF172" s="1">
        <f>ABS(RPG_dataset[[#This Row],[ATK]])</f>
        <v>114</v>
      </c>
      <c r="AG172" s="1">
        <f>ABS(RPG_dataset[[#This Row],[DEF]])</f>
        <v>14</v>
      </c>
      <c r="AH172" s="1">
        <f>ABS(RPG_dataset[[#This Row],[SPD]])</f>
        <v>53</v>
      </c>
      <c r="AI172" s="1">
        <f>ABS(RPG_dataset[[#This Row],[HP]])</f>
        <v>3163</v>
      </c>
      <c r="AJ172" s="1">
        <f>ABS(RPG_dataset[[#This Row],[MP]])</f>
        <v>830</v>
      </c>
      <c r="AK172" s="1">
        <f>ABS(RPG_dataset[[#This Row],[Total Stat]])</f>
        <v>181</v>
      </c>
      <c r="AL172" s="1">
        <f>ABS(RPG_dataset[[#This Row],[Kills]])</f>
        <v>1050</v>
      </c>
      <c r="AM172" s="12">
        <f>ABS(RPG_dataset[[#This Row],[Win Rate (%)]])</f>
        <v>56</v>
      </c>
      <c r="AN172" s="4">
        <f>ABS(RPG_dataset[[#This Row],[Gold Earned]])</f>
        <v>441909</v>
      </c>
      <c r="AO172" s="5" t="str">
        <f t="shared" si="2"/>
        <v>OK</v>
      </c>
      <c r="AP172" s="5">
        <f>RANK(clean[[#This Row],[Clean Gold]],clean[Clean Gold], 0)</f>
        <v>285</v>
      </c>
      <c r="AQ172" s="1">
        <v>214</v>
      </c>
      <c r="AR172" s="1" t="str" cm="1">
        <f t="array" ref="AR172">_xlfn.IFS(clean[[#This Row],[Clean Level]]&gt;=76, "Legend", clean[[#This Row],[Clean Level]]&gt;=51, "Elite", clean[[#This Row],[Clean Level]]&gt;=26, "Veteran", TRUE, "Rookie")</f>
        <v>Rookie</v>
      </c>
      <c r="AS172" s="1" t="str">
        <f>IF(RPG_dataset[[#This Row],[Status]]="Active", "TRUE", "FALSE")</f>
        <v>FALSE</v>
      </c>
      <c r="AT172" s="1" t="str" cm="1">
        <f t="array" ref="AT172">_xlfn.IFS(clean[[#This Row],[Clean Win Rate]]&gt;70, "Excellent", clean[[#This Row],[Clean Win Rate]]&gt;=40, "Average", TRUE, "Poor")</f>
        <v>Average</v>
      </c>
      <c r="AU172" s="1" t="str">
        <f>IF(AND(clean[[#This Row],[Clean Level]]&gt;80, clean[[#This Row],[Clean Total Stat]]&gt;350, clean[[#This Row],[Clean Gold]]&gt;500000), "Overpowered", "Normal")</f>
        <v>Normal</v>
      </c>
      <c r="AV172" s="1" t="str" cm="1">
        <f t="array" ref="AV17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72" s="1" t="str" cm="1">
        <f t="array" ref="AW17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72" s="1"/>
    </row>
    <row r="173" spans="1:50" x14ac:dyDescent="0.3">
      <c r="A173" s="2" t="s">
        <v>698</v>
      </c>
      <c r="B173" s="2" t="s">
        <v>699</v>
      </c>
      <c r="C173" s="2" t="s">
        <v>367</v>
      </c>
      <c r="D173" s="2" t="s">
        <v>131</v>
      </c>
      <c r="E173" s="2" t="s">
        <v>105</v>
      </c>
      <c r="F173" s="2" t="s">
        <v>98</v>
      </c>
      <c r="G173" s="2">
        <v>32</v>
      </c>
      <c r="H173" s="2" t="s">
        <v>157</v>
      </c>
      <c r="I173" s="2" t="s">
        <v>63</v>
      </c>
      <c r="J173" s="2" t="s">
        <v>88</v>
      </c>
      <c r="K173" s="2" t="s">
        <v>44</v>
      </c>
      <c r="L173" s="6" t="s">
        <v>700</v>
      </c>
      <c r="M173" s="2">
        <v>72</v>
      </c>
      <c r="N173" s="2">
        <v>79</v>
      </c>
      <c r="O173" s="2">
        <v>99</v>
      </c>
      <c r="P173" s="2">
        <v>2767</v>
      </c>
      <c r="Q173" s="2">
        <v>306</v>
      </c>
      <c r="R173" s="2">
        <v>250</v>
      </c>
      <c r="S173" s="2">
        <v>4169</v>
      </c>
      <c r="T173" s="2">
        <v>3</v>
      </c>
      <c r="U173" s="2">
        <v>71</v>
      </c>
      <c r="V173" s="2">
        <v>100</v>
      </c>
      <c r="W173" s="2">
        <v>769</v>
      </c>
      <c r="X173" s="9">
        <v>856300</v>
      </c>
      <c r="Y173" s="2" t="s">
        <v>36</v>
      </c>
      <c r="AA173" s="1" t="str">
        <f>TRIM(RPG_dataset[[#This Row],[Username]])</f>
        <v>sable_910</v>
      </c>
      <c r="AB173" s="1" t="str">
        <f>TRIM(RPG_dataset[[#This Row],[First Name]])</f>
        <v>Sable</v>
      </c>
      <c r="AC173" s="1" t="str">
        <f>PROPER(TRIM(RPG_dataset[[#This Row],[Race]]))</f>
        <v>Orc</v>
      </c>
      <c r="AD173" s="1" t="str">
        <f>PROPER(TRIM(RPG_dataset[[#This Row],[Class]]))</f>
        <v>Mage</v>
      </c>
      <c r="AE173" s="1">
        <f>ABS(RPG_dataset[[#This Row],[Level]])</f>
        <v>32</v>
      </c>
      <c r="AF173" s="1">
        <f>ABS(RPG_dataset[[#This Row],[ATK]])</f>
        <v>72</v>
      </c>
      <c r="AG173" s="1">
        <f>ABS(RPG_dataset[[#This Row],[DEF]])</f>
        <v>79</v>
      </c>
      <c r="AH173" s="1">
        <f>ABS(RPG_dataset[[#This Row],[SPD]])</f>
        <v>99</v>
      </c>
      <c r="AI173" s="1">
        <f>ABS(RPG_dataset[[#This Row],[HP]])</f>
        <v>2767</v>
      </c>
      <c r="AJ173" s="1">
        <f>ABS(RPG_dataset[[#This Row],[MP]])</f>
        <v>306</v>
      </c>
      <c r="AK173" s="1">
        <f>ABS(RPG_dataset[[#This Row],[Total Stat]])</f>
        <v>250</v>
      </c>
      <c r="AL173" s="1">
        <f>ABS(RPG_dataset[[#This Row],[Kills]])</f>
        <v>4169</v>
      </c>
      <c r="AM173" s="12">
        <f>ABS(RPG_dataset[[#This Row],[Win Rate (%)]])</f>
        <v>100</v>
      </c>
      <c r="AN173" s="4">
        <f>ABS(RPG_dataset[[#This Row],[Gold Earned]])</f>
        <v>856300</v>
      </c>
      <c r="AO173" s="5" t="str">
        <f t="shared" si="2"/>
        <v>OK</v>
      </c>
      <c r="AP173" s="5">
        <f>RANK(clean[[#This Row],[Clean Gold]],clean[Clean Gold], 0)</f>
        <v>75</v>
      </c>
      <c r="AQ173" s="1">
        <v>96</v>
      </c>
      <c r="AR173" s="1" t="str" cm="1">
        <f t="array" ref="AR173">_xlfn.IFS(clean[[#This Row],[Clean Level]]&gt;=76, "Legend", clean[[#This Row],[Clean Level]]&gt;=51, "Elite", clean[[#This Row],[Clean Level]]&gt;=26, "Veteran", TRUE, "Rookie")</f>
        <v>Veteran</v>
      </c>
      <c r="AS173" s="1" t="str">
        <f>IF(RPG_dataset[[#This Row],[Status]]="Active", "TRUE", "FALSE")</f>
        <v>TRUE</v>
      </c>
      <c r="AT173" s="1" t="str" cm="1">
        <f t="array" ref="AT173">_xlfn.IFS(clean[[#This Row],[Clean Win Rate]]&gt;70, "Excellent", clean[[#This Row],[Clean Win Rate]]&gt;=40, "Average", TRUE, "Poor")</f>
        <v>Excellent</v>
      </c>
      <c r="AU173" s="1" t="str">
        <f>IF(AND(clean[[#This Row],[Clean Level]]&gt;80, clean[[#This Row],[Clean Total Stat]]&gt;350, clean[[#This Row],[Clean Gold]]&gt;500000), "Overpowered", "Normal")</f>
        <v>Normal</v>
      </c>
      <c r="AV173" s="1" t="str" cm="1">
        <f t="array" ref="AV17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73" s="1" t="str" cm="1">
        <f t="array" ref="AW17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73" s="1"/>
    </row>
    <row r="174" spans="1:50" x14ac:dyDescent="0.3">
      <c r="A174" s="2" t="s">
        <v>701</v>
      </c>
      <c r="B174" s="2" t="s">
        <v>702</v>
      </c>
      <c r="C174" s="2" t="s">
        <v>703</v>
      </c>
      <c r="D174" s="2" t="s">
        <v>618</v>
      </c>
      <c r="E174" s="2" t="s">
        <v>29</v>
      </c>
      <c r="F174" s="2" t="s">
        <v>52</v>
      </c>
      <c r="G174" s="2">
        <v>15</v>
      </c>
      <c r="H174" s="2" t="s">
        <v>73</v>
      </c>
      <c r="I174" s="2" t="s">
        <v>87</v>
      </c>
      <c r="J174" s="2" t="s">
        <v>120</v>
      </c>
      <c r="K174" s="2" t="s">
        <v>44</v>
      </c>
      <c r="L174" s="6" t="s">
        <v>268</v>
      </c>
      <c r="M174" s="2">
        <v>62</v>
      </c>
      <c r="N174" s="2">
        <v>35</v>
      </c>
      <c r="O174" s="2">
        <v>29</v>
      </c>
      <c r="P174" s="2">
        <v>1855</v>
      </c>
      <c r="Q174" s="2">
        <v>2867</v>
      </c>
      <c r="R174" s="2">
        <v>126</v>
      </c>
      <c r="S174" s="2">
        <v>3838</v>
      </c>
      <c r="T174" s="2">
        <v>601</v>
      </c>
      <c r="U174" s="2">
        <v>252</v>
      </c>
      <c r="V174" s="2">
        <v>86</v>
      </c>
      <c r="W174" s="2">
        <v>1981</v>
      </c>
      <c r="X174" s="9">
        <v>-997277</v>
      </c>
      <c r="Y174" s="2" t="s">
        <v>36</v>
      </c>
      <c r="AA174" s="1" t="str">
        <f>TRIM(RPG_dataset[[#This Row],[Username]])</f>
        <v>tilda_469</v>
      </c>
      <c r="AB174" s="1" t="str">
        <f>TRIM(RPG_dataset[[#This Row],[First Name]])</f>
        <v>Tilda</v>
      </c>
      <c r="AC174" s="1" t="str">
        <f>PROPER(TRIM(RPG_dataset[[#This Row],[Race]]))</f>
        <v>Dwarf</v>
      </c>
      <c r="AD174" s="1" t="str">
        <f>PROPER(TRIM(RPG_dataset[[#This Row],[Class]]))</f>
        <v>Bard</v>
      </c>
      <c r="AE174" s="1">
        <f>ABS(RPG_dataset[[#This Row],[Level]])</f>
        <v>15</v>
      </c>
      <c r="AF174" s="1">
        <f>ABS(RPG_dataset[[#This Row],[ATK]])</f>
        <v>62</v>
      </c>
      <c r="AG174" s="1">
        <f>ABS(RPG_dataset[[#This Row],[DEF]])</f>
        <v>35</v>
      </c>
      <c r="AH174" s="1">
        <f>ABS(RPG_dataset[[#This Row],[SPD]])</f>
        <v>29</v>
      </c>
      <c r="AI174" s="1">
        <f>ABS(RPG_dataset[[#This Row],[HP]])</f>
        <v>1855</v>
      </c>
      <c r="AJ174" s="1">
        <f>ABS(RPG_dataset[[#This Row],[MP]])</f>
        <v>2867</v>
      </c>
      <c r="AK174" s="1">
        <f>ABS(RPG_dataset[[#This Row],[Total Stat]])</f>
        <v>126</v>
      </c>
      <c r="AL174" s="1">
        <f>ABS(RPG_dataset[[#This Row],[Kills]])</f>
        <v>3838</v>
      </c>
      <c r="AM174" s="12">
        <f>ABS(RPG_dataset[[#This Row],[Win Rate (%)]])</f>
        <v>86</v>
      </c>
      <c r="AN174" s="4">
        <f>ABS(RPG_dataset[[#This Row],[Gold Earned]])</f>
        <v>997277</v>
      </c>
      <c r="AO174" s="5" t="str">
        <f t="shared" si="2"/>
        <v>OK</v>
      </c>
      <c r="AP174" s="5">
        <f>RANK(clean[[#This Row],[Clean Gold]],clean[Clean Gold], 0)</f>
        <v>2</v>
      </c>
      <c r="AQ174" s="1">
        <v>152</v>
      </c>
      <c r="AR174" s="1" t="str" cm="1">
        <f t="array" ref="AR174">_xlfn.IFS(clean[[#This Row],[Clean Level]]&gt;=76, "Legend", clean[[#This Row],[Clean Level]]&gt;=51, "Elite", clean[[#This Row],[Clean Level]]&gt;=26, "Veteran", TRUE, "Rookie")</f>
        <v>Rookie</v>
      </c>
      <c r="AS174" s="1" t="str">
        <f>IF(RPG_dataset[[#This Row],[Status]]="Active", "TRUE", "FALSE")</f>
        <v>TRUE</v>
      </c>
      <c r="AT174" s="1" t="str" cm="1">
        <f t="array" ref="AT174">_xlfn.IFS(clean[[#This Row],[Clean Win Rate]]&gt;70, "Excellent", clean[[#This Row],[Clean Win Rate]]&gt;=40, "Average", TRUE, "Poor")</f>
        <v>Excellent</v>
      </c>
      <c r="AU174" s="1" t="str">
        <f>IF(AND(clean[[#This Row],[Clean Level]]&gt;80, clean[[#This Row],[Clean Total Stat]]&gt;350, clean[[#This Row],[Clean Gold]]&gt;500000), "Overpowered", "Normal")</f>
        <v>Normal</v>
      </c>
      <c r="AV174" s="1" t="str" cm="1">
        <f t="array" ref="AV17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74" s="1" t="str" cm="1">
        <f t="array" ref="AW17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74" s="1"/>
    </row>
    <row r="175" spans="1:50" x14ac:dyDescent="0.3">
      <c r="A175" s="2" t="s">
        <v>704</v>
      </c>
      <c r="B175" s="2" t="s">
        <v>705</v>
      </c>
      <c r="C175" s="2" t="s">
        <v>288</v>
      </c>
      <c r="D175" s="2" t="s">
        <v>401</v>
      </c>
      <c r="E175" s="2" t="s">
        <v>51</v>
      </c>
      <c r="F175" s="2" t="s">
        <v>124</v>
      </c>
      <c r="G175" s="2">
        <v>71</v>
      </c>
      <c r="H175" s="2" t="s">
        <v>80</v>
      </c>
      <c r="I175" s="2" t="s">
        <v>32</v>
      </c>
      <c r="J175" s="2" t="s">
        <v>120</v>
      </c>
      <c r="K175" s="2" t="s">
        <v>44</v>
      </c>
      <c r="L175" s="6" t="s">
        <v>706</v>
      </c>
      <c r="M175" s="2">
        <v>11</v>
      </c>
      <c r="N175" s="2">
        <v>32</v>
      </c>
      <c r="O175" s="2">
        <v>137</v>
      </c>
      <c r="P175" s="2">
        <v>571</v>
      </c>
      <c r="Q175" s="2">
        <v>157</v>
      </c>
      <c r="R175" s="2">
        <v>180</v>
      </c>
      <c r="S175" s="2">
        <v>4514</v>
      </c>
      <c r="T175" s="2">
        <v>573</v>
      </c>
      <c r="U175" s="2">
        <v>174</v>
      </c>
      <c r="V175" s="2">
        <v>89</v>
      </c>
      <c r="W175" s="2">
        <v>6896</v>
      </c>
      <c r="X175" s="9">
        <v>867020</v>
      </c>
      <c r="Y175" s="2" t="s">
        <v>46</v>
      </c>
      <c r="AA175" s="1" t="str">
        <f>TRIM(RPG_dataset[[#This Row],[Username]])</f>
        <v>OPAL_569</v>
      </c>
      <c r="AB175" s="1" t="str">
        <f>TRIM(RPG_dataset[[#This Row],[First Name]])</f>
        <v>Opal</v>
      </c>
      <c r="AC175" s="1" t="str">
        <f>PROPER(TRIM(RPG_dataset[[#This Row],[Race]]))</f>
        <v>Tiefling</v>
      </c>
      <c r="AD175" s="1" t="str">
        <f>PROPER(TRIM(RPG_dataset[[#This Row],[Class]]))</f>
        <v>Necromancer</v>
      </c>
      <c r="AE175" s="1">
        <f>ABS(RPG_dataset[[#This Row],[Level]])</f>
        <v>71</v>
      </c>
      <c r="AF175" s="1">
        <f>ABS(RPG_dataset[[#This Row],[ATK]])</f>
        <v>11</v>
      </c>
      <c r="AG175" s="1">
        <f>ABS(RPG_dataset[[#This Row],[DEF]])</f>
        <v>32</v>
      </c>
      <c r="AH175" s="1">
        <f>ABS(RPG_dataset[[#This Row],[SPD]])</f>
        <v>137</v>
      </c>
      <c r="AI175" s="1">
        <f>ABS(RPG_dataset[[#This Row],[HP]])</f>
        <v>571</v>
      </c>
      <c r="AJ175" s="1">
        <f>ABS(RPG_dataset[[#This Row],[MP]])</f>
        <v>157</v>
      </c>
      <c r="AK175" s="1">
        <f>ABS(RPG_dataset[[#This Row],[Total Stat]])</f>
        <v>180</v>
      </c>
      <c r="AL175" s="1">
        <f>ABS(RPG_dataset[[#This Row],[Kills]])</f>
        <v>4514</v>
      </c>
      <c r="AM175" s="12">
        <f>ABS(RPG_dataset[[#This Row],[Win Rate (%)]])</f>
        <v>89</v>
      </c>
      <c r="AN175" s="4">
        <f>ABS(RPG_dataset[[#This Row],[Gold Earned]])</f>
        <v>867020</v>
      </c>
      <c r="AO175" s="5" t="str">
        <f t="shared" si="2"/>
        <v>OK</v>
      </c>
      <c r="AP175" s="5">
        <f>RANK(clean[[#This Row],[Clean Gold]],clean[Clean Gold], 0)</f>
        <v>62</v>
      </c>
      <c r="AQ175" s="1">
        <v>194</v>
      </c>
      <c r="AR175" s="1" t="str" cm="1">
        <f t="array" ref="AR175">_xlfn.IFS(clean[[#This Row],[Clean Level]]&gt;=76, "Legend", clean[[#This Row],[Clean Level]]&gt;=51, "Elite", clean[[#This Row],[Clean Level]]&gt;=26, "Veteran", TRUE, "Rookie")</f>
        <v>Elite</v>
      </c>
      <c r="AS175" s="1" t="str">
        <f>IF(RPG_dataset[[#This Row],[Status]]="Active", "TRUE", "FALSE")</f>
        <v>TRUE</v>
      </c>
      <c r="AT175" s="1" t="str" cm="1">
        <f t="array" ref="AT175">_xlfn.IFS(clean[[#This Row],[Clean Win Rate]]&gt;70, "Excellent", clean[[#This Row],[Clean Win Rate]]&gt;=40, "Average", TRUE, "Poor")</f>
        <v>Excellent</v>
      </c>
      <c r="AU175" s="1" t="str">
        <f>IF(AND(clean[[#This Row],[Clean Level]]&gt;80, clean[[#This Row],[Clean Total Stat]]&gt;350, clean[[#This Row],[Clean Gold]]&gt;500000), "Overpowered", "Normal")</f>
        <v>Normal</v>
      </c>
      <c r="AV175" s="1" t="str" cm="1">
        <f t="array" ref="AV17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75" s="1" t="str" cm="1">
        <f t="array" ref="AW17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75" s="1"/>
    </row>
    <row r="176" spans="1:50" x14ac:dyDescent="0.3">
      <c r="A176" s="2" t="s">
        <v>707</v>
      </c>
      <c r="B176" s="2" t="s">
        <v>708</v>
      </c>
      <c r="C176" s="2" t="s">
        <v>604</v>
      </c>
      <c r="D176" s="2" t="s">
        <v>250</v>
      </c>
      <c r="E176" s="2" t="s">
        <v>71</v>
      </c>
      <c r="F176" s="2" t="s">
        <v>75</v>
      </c>
      <c r="G176" s="2">
        <v>86</v>
      </c>
      <c r="H176" s="2" t="s">
        <v>157</v>
      </c>
      <c r="I176" s="2" t="s">
        <v>63</v>
      </c>
      <c r="J176" s="2" t="s">
        <v>120</v>
      </c>
      <c r="K176" s="2" t="s">
        <v>34</v>
      </c>
      <c r="L176" s="6" t="s">
        <v>460</v>
      </c>
      <c r="M176" s="2">
        <v>105</v>
      </c>
      <c r="N176" s="2">
        <v>96</v>
      </c>
      <c r="O176" s="2">
        <v>107</v>
      </c>
      <c r="P176" s="2">
        <v>914</v>
      </c>
      <c r="Q176" s="2">
        <v>2409</v>
      </c>
      <c r="R176" s="2">
        <v>308</v>
      </c>
      <c r="S176" s="2">
        <v>678</v>
      </c>
      <c r="T176" s="2">
        <v>4</v>
      </c>
      <c r="U176" s="2">
        <v>191</v>
      </c>
      <c r="V176" s="2">
        <v>99</v>
      </c>
      <c r="W176" s="2"/>
      <c r="X176" s="2"/>
      <c r="Y176" s="2" t="s">
        <v>46</v>
      </c>
      <c r="AA176" s="1" t="str">
        <f>TRIM(RPG_dataset[[#This Row],[Username]])</f>
        <v>roran_858</v>
      </c>
      <c r="AB176" s="1" t="str">
        <f>TRIM(RPG_dataset[[#This Row],[First Name]])</f>
        <v>Roran</v>
      </c>
      <c r="AC176" s="1" t="str">
        <f>PROPER(TRIM(RPG_dataset[[#This Row],[Race]]))</f>
        <v>Dragonborn</v>
      </c>
      <c r="AD176" s="1" t="str">
        <f>PROPER(TRIM(RPG_dataset[[#This Row],[Class]]))</f>
        <v/>
      </c>
      <c r="AE176" s="1">
        <f>ABS(RPG_dataset[[#This Row],[Level]])</f>
        <v>86</v>
      </c>
      <c r="AF176" s="1">
        <f>ABS(RPG_dataset[[#This Row],[ATK]])</f>
        <v>105</v>
      </c>
      <c r="AG176" s="1">
        <f>ABS(RPG_dataset[[#This Row],[DEF]])</f>
        <v>96</v>
      </c>
      <c r="AH176" s="1">
        <f>ABS(RPG_dataset[[#This Row],[SPD]])</f>
        <v>107</v>
      </c>
      <c r="AI176" s="1">
        <f>ABS(RPG_dataset[[#This Row],[HP]])</f>
        <v>914</v>
      </c>
      <c r="AJ176" s="1">
        <f>ABS(RPG_dataset[[#This Row],[MP]])</f>
        <v>2409</v>
      </c>
      <c r="AK176" s="1">
        <f>ABS(RPG_dataset[[#This Row],[Total Stat]])</f>
        <v>308</v>
      </c>
      <c r="AL176" s="1">
        <f>ABS(RPG_dataset[[#This Row],[Kills]])</f>
        <v>678</v>
      </c>
      <c r="AM176" s="12">
        <f>ABS(RPG_dataset[[#This Row],[Win Rate (%)]])</f>
        <v>99</v>
      </c>
      <c r="AN176" s="4">
        <f>ABS(RPG_dataset[[#This Row],[Gold Earned]])</f>
        <v>0</v>
      </c>
      <c r="AO176" s="5" t="str">
        <f t="shared" si="2"/>
        <v>OK</v>
      </c>
      <c r="AP176" s="5">
        <f>RANK(clean[[#This Row],[Clean Gold]],clean[Clean Gold], 0)</f>
        <v>486</v>
      </c>
      <c r="AQ176" s="1">
        <v>292</v>
      </c>
      <c r="AR176" s="1" t="str" cm="1">
        <f t="array" ref="AR176">_xlfn.IFS(clean[[#This Row],[Clean Level]]&gt;=76, "Legend", clean[[#This Row],[Clean Level]]&gt;=51, "Elite", clean[[#This Row],[Clean Level]]&gt;=26, "Veteran", TRUE, "Rookie")</f>
        <v>Legend</v>
      </c>
      <c r="AS176" s="1" t="str">
        <f>IF(RPG_dataset[[#This Row],[Status]]="Active", "TRUE", "FALSE")</f>
        <v>FALSE</v>
      </c>
      <c r="AT176" s="1" t="str" cm="1">
        <f t="array" ref="AT176">_xlfn.IFS(clean[[#This Row],[Clean Win Rate]]&gt;70, "Excellent", clean[[#This Row],[Clean Win Rate]]&gt;=40, "Average", TRUE, "Poor")</f>
        <v>Excellent</v>
      </c>
      <c r="AU176" s="1" t="str">
        <f>IF(AND(clean[[#This Row],[Clean Level]]&gt;80, clean[[#This Row],[Clean Total Stat]]&gt;350, clean[[#This Row],[Clean Gold]]&gt;500000), "Overpowered", "Normal")</f>
        <v>Normal</v>
      </c>
      <c r="AV176" s="1" t="str" cm="1">
        <f t="array" ref="AV17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76" s="1" t="str" cm="1">
        <f t="array" ref="AW17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76" s="1"/>
    </row>
    <row r="177" spans="1:50" x14ac:dyDescent="0.3">
      <c r="A177" s="2" t="s">
        <v>709</v>
      </c>
      <c r="B177" s="2" t="s">
        <v>710</v>
      </c>
      <c r="C177" s="2" t="s">
        <v>253</v>
      </c>
      <c r="D177" s="2" t="s">
        <v>119</v>
      </c>
      <c r="E177" s="2" t="s">
        <v>169</v>
      </c>
      <c r="F177" s="2" t="s">
        <v>124</v>
      </c>
      <c r="G177" s="2">
        <v>65</v>
      </c>
      <c r="H177" s="2" t="s">
        <v>73</v>
      </c>
      <c r="I177" s="2" t="s">
        <v>63</v>
      </c>
      <c r="J177" s="2" t="s">
        <v>81</v>
      </c>
      <c r="K177" s="2" t="s">
        <v>75</v>
      </c>
      <c r="L177" s="6" t="s">
        <v>711</v>
      </c>
      <c r="M177" s="2">
        <v>31</v>
      </c>
      <c r="N177" s="2">
        <v>126</v>
      </c>
      <c r="O177" s="2">
        <v>127</v>
      </c>
      <c r="P177" s="2">
        <v>4460</v>
      </c>
      <c r="Q177" s="2">
        <v>2810</v>
      </c>
      <c r="R177" s="2">
        <v>284</v>
      </c>
      <c r="S177" s="2">
        <v>70</v>
      </c>
      <c r="T177" s="2">
        <v>962</v>
      </c>
      <c r="U177" s="2">
        <v>266</v>
      </c>
      <c r="V177" s="2">
        <v>-7</v>
      </c>
      <c r="W177" s="2">
        <v>1194</v>
      </c>
      <c r="X177" s="2"/>
      <c r="Y177" s="2" t="s">
        <v>36</v>
      </c>
      <c r="AA177" s="1" t="str">
        <f>TRIM(RPG_dataset[[#This Row],[Username]])</f>
        <v>freya_480</v>
      </c>
      <c r="AB177" s="1" t="str">
        <f>TRIM(RPG_dataset[[#This Row],[First Name]])</f>
        <v>Freya</v>
      </c>
      <c r="AC177" s="1" t="str">
        <f>PROPER(TRIM(RPG_dataset[[#This Row],[Race]]))</f>
        <v>Halfling</v>
      </c>
      <c r="AD177" s="1" t="str">
        <f>PROPER(TRIM(RPG_dataset[[#This Row],[Class]]))</f>
        <v>Necromancer</v>
      </c>
      <c r="AE177" s="1">
        <f>ABS(RPG_dataset[[#This Row],[Level]])</f>
        <v>65</v>
      </c>
      <c r="AF177" s="1">
        <f>ABS(RPG_dataset[[#This Row],[ATK]])</f>
        <v>31</v>
      </c>
      <c r="AG177" s="1">
        <f>ABS(RPG_dataset[[#This Row],[DEF]])</f>
        <v>126</v>
      </c>
      <c r="AH177" s="1">
        <f>ABS(RPG_dataset[[#This Row],[SPD]])</f>
        <v>127</v>
      </c>
      <c r="AI177" s="1">
        <f>ABS(RPG_dataset[[#This Row],[HP]])</f>
        <v>4460</v>
      </c>
      <c r="AJ177" s="1">
        <f>ABS(RPG_dataset[[#This Row],[MP]])</f>
        <v>2810</v>
      </c>
      <c r="AK177" s="1">
        <f>ABS(RPG_dataset[[#This Row],[Total Stat]])</f>
        <v>284</v>
      </c>
      <c r="AL177" s="1">
        <f>ABS(RPG_dataset[[#This Row],[Kills]])</f>
        <v>70</v>
      </c>
      <c r="AM177" s="12">
        <f>ABS(RPG_dataset[[#This Row],[Win Rate (%)]])</f>
        <v>7</v>
      </c>
      <c r="AN177" s="4">
        <f>ABS(RPG_dataset[[#This Row],[Gold Earned]])</f>
        <v>0</v>
      </c>
      <c r="AO177" s="5" t="str">
        <f t="shared" si="2"/>
        <v>OK</v>
      </c>
      <c r="AP177" s="5">
        <f>RANK(clean[[#This Row],[Clean Gold]],clean[Clean Gold], 0)</f>
        <v>486</v>
      </c>
      <c r="AQ177" s="1">
        <v>290</v>
      </c>
      <c r="AR177" s="1" t="str" cm="1">
        <f t="array" ref="AR177">_xlfn.IFS(clean[[#This Row],[Clean Level]]&gt;=76, "Legend", clean[[#This Row],[Clean Level]]&gt;=51, "Elite", clean[[#This Row],[Clean Level]]&gt;=26, "Veteran", TRUE, "Rookie")</f>
        <v>Elite</v>
      </c>
      <c r="AS177" s="1" t="str">
        <f>IF(RPG_dataset[[#This Row],[Status]]="Active", "TRUE", "FALSE")</f>
        <v>FALSE</v>
      </c>
      <c r="AT177" s="1" t="str" cm="1">
        <f t="array" ref="AT177">_xlfn.IFS(clean[[#This Row],[Clean Win Rate]]&gt;70, "Excellent", clean[[#This Row],[Clean Win Rate]]&gt;=40, "Average", TRUE, "Poor")</f>
        <v>Poor</v>
      </c>
      <c r="AU177" s="1" t="str">
        <f>IF(AND(clean[[#This Row],[Clean Level]]&gt;80, clean[[#This Row],[Clean Total Stat]]&gt;350, clean[[#This Row],[Clean Gold]]&gt;500000), "Overpowered", "Normal")</f>
        <v>Normal</v>
      </c>
      <c r="AV177" s="1" t="str" cm="1">
        <f t="array" ref="AV17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77" s="1" t="str" cm="1">
        <f t="array" ref="AW17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77" s="1"/>
    </row>
    <row r="178" spans="1:50" x14ac:dyDescent="0.3">
      <c r="A178" s="2" t="s">
        <v>712</v>
      </c>
      <c r="B178" s="2" t="s">
        <v>713</v>
      </c>
      <c r="C178" s="2" t="s">
        <v>219</v>
      </c>
      <c r="D178" s="2" t="s">
        <v>254</v>
      </c>
      <c r="E178" s="2" t="s">
        <v>228</v>
      </c>
      <c r="F178" s="2" t="s">
        <v>30</v>
      </c>
      <c r="G178" s="2">
        <v>7</v>
      </c>
      <c r="H178" s="2" t="s">
        <v>157</v>
      </c>
      <c r="I178" s="2" t="s">
        <v>140</v>
      </c>
      <c r="J178" s="2" t="s">
        <v>92</v>
      </c>
      <c r="K178" s="2" t="s">
        <v>146</v>
      </c>
      <c r="L178" s="6" t="s">
        <v>714</v>
      </c>
      <c r="M178" s="2">
        <v>137</v>
      </c>
      <c r="N178" s="2">
        <v>102</v>
      </c>
      <c r="O178" s="2">
        <v>36</v>
      </c>
      <c r="P178" s="2">
        <v>1335</v>
      </c>
      <c r="Q178" s="2">
        <v>2354</v>
      </c>
      <c r="R178" s="2">
        <v>275</v>
      </c>
      <c r="S178" s="2">
        <v>-1815</v>
      </c>
      <c r="T178" s="2">
        <v>556</v>
      </c>
      <c r="U178" s="2">
        <v>114</v>
      </c>
      <c r="V178" s="2">
        <v>77</v>
      </c>
      <c r="W178" s="2">
        <v>8858</v>
      </c>
      <c r="X178" s="9">
        <v>25940</v>
      </c>
      <c r="Y178" s="2" t="s">
        <v>36</v>
      </c>
      <c r="AA178" s="1" t="str">
        <f>TRIM(RPG_dataset[[#This Row],[Username]])</f>
        <v>torin_100</v>
      </c>
      <c r="AB178" s="1" t="str">
        <f>TRIM(RPG_dataset[[#This Row],[First Name]])</f>
        <v>Torin</v>
      </c>
      <c r="AC178" s="1" t="str">
        <f>PROPER(TRIM(RPG_dataset[[#This Row],[Race]]))</f>
        <v>Elf</v>
      </c>
      <c r="AD178" s="1" t="str">
        <f>PROPER(TRIM(RPG_dataset[[#This Row],[Class]]))</f>
        <v>Rogue</v>
      </c>
      <c r="AE178" s="1">
        <f>ABS(RPG_dataset[[#This Row],[Level]])</f>
        <v>7</v>
      </c>
      <c r="AF178" s="1">
        <f>ABS(RPG_dataset[[#This Row],[ATK]])</f>
        <v>137</v>
      </c>
      <c r="AG178" s="1">
        <f>ABS(RPG_dataset[[#This Row],[DEF]])</f>
        <v>102</v>
      </c>
      <c r="AH178" s="1">
        <f>ABS(RPG_dataset[[#This Row],[SPD]])</f>
        <v>36</v>
      </c>
      <c r="AI178" s="1">
        <f>ABS(RPG_dataset[[#This Row],[HP]])</f>
        <v>1335</v>
      </c>
      <c r="AJ178" s="1">
        <f>ABS(RPG_dataset[[#This Row],[MP]])</f>
        <v>2354</v>
      </c>
      <c r="AK178" s="1">
        <f>ABS(RPG_dataset[[#This Row],[Total Stat]])</f>
        <v>275</v>
      </c>
      <c r="AL178" s="1">
        <f>ABS(RPG_dataset[[#This Row],[Kills]])</f>
        <v>1815</v>
      </c>
      <c r="AM178" s="12">
        <f>ABS(RPG_dataset[[#This Row],[Win Rate (%)]])</f>
        <v>77</v>
      </c>
      <c r="AN178" s="4">
        <f>ABS(RPG_dataset[[#This Row],[Gold Earned]])</f>
        <v>25940</v>
      </c>
      <c r="AO178" s="5" t="str">
        <f t="shared" si="2"/>
        <v>OK</v>
      </c>
      <c r="AP178" s="5">
        <f>RANK(clean[[#This Row],[Clean Gold]],clean[Clean Gold], 0)</f>
        <v>470</v>
      </c>
      <c r="AQ178" s="1">
        <v>284</v>
      </c>
      <c r="AR178" s="1" t="str" cm="1">
        <f t="array" ref="AR178">_xlfn.IFS(clean[[#This Row],[Clean Level]]&gt;=76, "Legend", clean[[#This Row],[Clean Level]]&gt;=51, "Elite", clean[[#This Row],[Clean Level]]&gt;=26, "Veteran", TRUE, "Rookie")</f>
        <v>Rookie</v>
      </c>
      <c r="AS178" s="1" t="str">
        <f>IF(RPG_dataset[[#This Row],[Status]]="Active", "TRUE", "FALSE")</f>
        <v>TRUE</v>
      </c>
      <c r="AT178" s="1" t="str" cm="1">
        <f t="array" ref="AT178">_xlfn.IFS(clean[[#This Row],[Clean Win Rate]]&gt;70, "Excellent", clean[[#This Row],[Clean Win Rate]]&gt;=40, "Average", TRUE, "Poor")</f>
        <v>Excellent</v>
      </c>
      <c r="AU178" s="1" t="str">
        <f>IF(AND(clean[[#This Row],[Clean Level]]&gt;80, clean[[#This Row],[Clean Total Stat]]&gt;350, clean[[#This Row],[Clean Gold]]&gt;500000), "Overpowered", "Normal")</f>
        <v>Normal</v>
      </c>
      <c r="AV178" s="1" t="str" cm="1">
        <f t="array" ref="AV17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78" s="1" t="str" cm="1">
        <f t="array" ref="AW17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178" s="1"/>
    </row>
    <row r="179" spans="1:50" x14ac:dyDescent="0.3">
      <c r="A179" s="2" t="s">
        <v>715</v>
      </c>
      <c r="B179" s="2" t="s">
        <v>716</v>
      </c>
      <c r="C179" s="2" t="s">
        <v>253</v>
      </c>
      <c r="D179" s="2" t="s">
        <v>75</v>
      </c>
      <c r="E179" s="2" t="s">
        <v>71</v>
      </c>
      <c r="F179" s="2" t="s">
        <v>52</v>
      </c>
      <c r="G179" s="2"/>
      <c r="H179" s="2" t="s">
        <v>80</v>
      </c>
      <c r="I179" s="2" t="s">
        <v>54</v>
      </c>
      <c r="J179" s="2" t="s">
        <v>88</v>
      </c>
      <c r="K179" s="2" t="s">
        <v>34</v>
      </c>
      <c r="L179" s="6" t="s">
        <v>717</v>
      </c>
      <c r="M179" s="2">
        <v>122</v>
      </c>
      <c r="N179" s="2">
        <v>94</v>
      </c>
      <c r="O179" s="2">
        <v>78</v>
      </c>
      <c r="P179" s="2">
        <v>2838</v>
      </c>
      <c r="Q179" s="2">
        <v>2665</v>
      </c>
      <c r="R179" s="2">
        <v>294</v>
      </c>
      <c r="S179" s="2">
        <v>1881</v>
      </c>
      <c r="T179" s="2">
        <v>437</v>
      </c>
      <c r="U179" s="2">
        <v>-226</v>
      </c>
      <c r="V179" s="2">
        <v>81</v>
      </c>
      <c r="W179" s="2">
        <v>9064</v>
      </c>
      <c r="X179" s="9">
        <v>822270</v>
      </c>
      <c r="Y179" s="2" t="s">
        <v>36</v>
      </c>
      <c r="AA179" s="1" t="str">
        <f>TRIM(RPG_dataset[[#This Row],[Username]])</f>
        <v>freya_597</v>
      </c>
      <c r="AB179" s="1" t="str">
        <f>TRIM(RPG_dataset[[#This Row],[First Name]])</f>
        <v>Freya</v>
      </c>
      <c r="AC179" s="1" t="str">
        <f>PROPER(TRIM(RPG_dataset[[#This Row],[Race]]))</f>
        <v>Dragonborn</v>
      </c>
      <c r="AD179" s="1" t="str">
        <f>PROPER(TRIM(RPG_dataset[[#This Row],[Class]]))</f>
        <v>Bard</v>
      </c>
      <c r="AE179" s="1">
        <f>ABS(RPG_dataset[[#This Row],[Level]])</f>
        <v>0</v>
      </c>
      <c r="AF179" s="1">
        <f>ABS(RPG_dataset[[#This Row],[ATK]])</f>
        <v>122</v>
      </c>
      <c r="AG179" s="1">
        <f>ABS(RPG_dataset[[#This Row],[DEF]])</f>
        <v>94</v>
      </c>
      <c r="AH179" s="1">
        <f>ABS(RPG_dataset[[#This Row],[SPD]])</f>
        <v>78</v>
      </c>
      <c r="AI179" s="1">
        <f>ABS(RPG_dataset[[#This Row],[HP]])</f>
        <v>2838</v>
      </c>
      <c r="AJ179" s="1">
        <f>ABS(RPG_dataset[[#This Row],[MP]])</f>
        <v>2665</v>
      </c>
      <c r="AK179" s="1">
        <f>ABS(RPG_dataset[[#This Row],[Total Stat]])</f>
        <v>294</v>
      </c>
      <c r="AL179" s="1">
        <f>ABS(RPG_dataset[[#This Row],[Kills]])</f>
        <v>1881</v>
      </c>
      <c r="AM179" s="12">
        <f>ABS(RPG_dataset[[#This Row],[Win Rate (%)]])</f>
        <v>81</v>
      </c>
      <c r="AN179" s="4">
        <f>ABS(RPG_dataset[[#This Row],[Gold Earned]])</f>
        <v>822270</v>
      </c>
      <c r="AO179" s="5" t="str">
        <f t="shared" si="2"/>
        <v>OK</v>
      </c>
      <c r="AP179" s="5">
        <f>RANK(clean[[#This Row],[Clean Gold]],clean[Clean Gold], 0)</f>
        <v>92</v>
      </c>
      <c r="AQ179" s="1">
        <v>212</v>
      </c>
      <c r="AR179" s="1" t="str" cm="1">
        <f t="array" ref="AR179">_xlfn.IFS(clean[[#This Row],[Clean Level]]&gt;=76, "Legend", clean[[#This Row],[Clean Level]]&gt;=51, "Elite", clean[[#This Row],[Clean Level]]&gt;=26, "Veteran", TRUE, "Rookie")</f>
        <v>Rookie</v>
      </c>
      <c r="AS179" s="1" t="str">
        <f>IF(RPG_dataset[[#This Row],[Status]]="Active", "TRUE", "FALSE")</f>
        <v>FALSE</v>
      </c>
      <c r="AT179" s="1" t="str" cm="1">
        <f t="array" ref="AT179">_xlfn.IFS(clean[[#This Row],[Clean Win Rate]]&gt;70, "Excellent", clean[[#This Row],[Clean Win Rate]]&gt;=40, "Average", TRUE, "Poor")</f>
        <v>Excellent</v>
      </c>
      <c r="AU179" s="1" t="str">
        <f>IF(AND(clean[[#This Row],[Clean Level]]&gt;80, clean[[#This Row],[Clean Total Stat]]&gt;350, clean[[#This Row],[Clean Gold]]&gt;500000), "Overpowered", "Normal")</f>
        <v>Normal</v>
      </c>
      <c r="AV179" s="1" t="str" cm="1">
        <f t="array" ref="AV17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79" s="1" t="str" cm="1">
        <f t="array" ref="AW17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179" s="1"/>
    </row>
    <row r="180" spans="1:50" x14ac:dyDescent="0.3">
      <c r="A180" s="2" t="s">
        <v>718</v>
      </c>
      <c r="B180" s="2" t="s">
        <v>719</v>
      </c>
      <c r="C180" s="2" t="s">
        <v>720</v>
      </c>
      <c r="D180" s="2" t="s">
        <v>40</v>
      </c>
      <c r="E180" s="2" t="s">
        <v>228</v>
      </c>
      <c r="F180" s="2" t="s">
        <v>61</v>
      </c>
      <c r="G180" s="2">
        <v>93</v>
      </c>
      <c r="H180" s="2" t="s">
        <v>43</v>
      </c>
      <c r="I180" s="2" t="s">
        <v>74</v>
      </c>
      <c r="J180" s="2" t="s">
        <v>111</v>
      </c>
      <c r="K180" s="2" t="s">
        <v>44</v>
      </c>
      <c r="L180" s="6" t="s">
        <v>721</v>
      </c>
      <c r="M180" s="2">
        <v>149</v>
      </c>
      <c r="N180" s="2">
        <v>99</v>
      </c>
      <c r="O180" s="2">
        <v>103</v>
      </c>
      <c r="P180" s="2">
        <v>2859</v>
      </c>
      <c r="Q180" s="2">
        <v>813</v>
      </c>
      <c r="R180" s="2">
        <v>351</v>
      </c>
      <c r="S180" s="2">
        <v>2664</v>
      </c>
      <c r="T180" s="2">
        <v>186</v>
      </c>
      <c r="U180" s="2">
        <v>256</v>
      </c>
      <c r="V180" s="2">
        <v>93</v>
      </c>
      <c r="W180" s="2">
        <v>7558</v>
      </c>
      <c r="X180" s="9">
        <v>798306</v>
      </c>
      <c r="Y180" s="2" t="s">
        <v>46</v>
      </c>
      <c r="AA180" s="1" t="str">
        <f>TRIM(RPG_dataset[[#This Row],[Username]])</f>
        <v>jade_611</v>
      </c>
      <c r="AB180" s="1" t="str">
        <f>TRIM(RPG_dataset[[#This Row],[First Name]])</f>
        <v>Jade</v>
      </c>
      <c r="AC180" s="1" t="str">
        <f>PROPER(TRIM(RPG_dataset[[#This Row],[Race]]))</f>
        <v>Elf</v>
      </c>
      <c r="AD180" s="1" t="str">
        <f>PROPER(TRIM(RPG_dataset[[#This Row],[Class]]))</f>
        <v>Ranger</v>
      </c>
      <c r="AE180" s="1">
        <f>ABS(RPG_dataset[[#This Row],[Level]])</f>
        <v>93</v>
      </c>
      <c r="AF180" s="1">
        <f>ABS(RPG_dataset[[#This Row],[ATK]])</f>
        <v>149</v>
      </c>
      <c r="AG180" s="1">
        <f>ABS(RPG_dataset[[#This Row],[DEF]])</f>
        <v>99</v>
      </c>
      <c r="AH180" s="1">
        <f>ABS(RPG_dataset[[#This Row],[SPD]])</f>
        <v>103</v>
      </c>
      <c r="AI180" s="1">
        <f>ABS(RPG_dataset[[#This Row],[HP]])</f>
        <v>2859</v>
      </c>
      <c r="AJ180" s="1">
        <f>ABS(RPG_dataset[[#This Row],[MP]])</f>
        <v>813</v>
      </c>
      <c r="AK180" s="1">
        <f>ABS(RPG_dataset[[#This Row],[Total Stat]])</f>
        <v>351</v>
      </c>
      <c r="AL180" s="1">
        <f>ABS(RPG_dataset[[#This Row],[Kills]])</f>
        <v>2664</v>
      </c>
      <c r="AM180" s="12">
        <f>ABS(RPG_dataset[[#This Row],[Win Rate (%)]])</f>
        <v>93</v>
      </c>
      <c r="AN180" s="4">
        <f>ABS(RPG_dataset[[#This Row],[Gold Earned]])</f>
        <v>798306</v>
      </c>
      <c r="AO180" s="5" t="str">
        <f t="shared" si="2"/>
        <v>OK</v>
      </c>
      <c r="AP180" s="5">
        <f>RANK(clean[[#This Row],[Clean Gold]],clean[Clean Gold], 0)</f>
        <v>106</v>
      </c>
      <c r="AQ180" s="1">
        <v>282</v>
      </c>
      <c r="AR180" s="1" t="str" cm="1">
        <f t="array" ref="AR180">_xlfn.IFS(clean[[#This Row],[Clean Level]]&gt;=76, "Legend", clean[[#This Row],[Clean Level]]&gt;=51, "Elite", clean[[#This Row],[Clean Level]]&gt;=26, "Veteran", TRUE, "Rookie")</f>
        <v>Legend</v>
      </c>
      <c r="AS180" s="1" t="str">
        <f>IF(RPG_dataset[[#This Row],[Status]]="Active", "TRUE", "FALSE")</f>
        <v>TRUE</v>
      </c>
      <c r="AT180" s="1" t="str" cm="1">
        <f t="array" ref="AT180">_xlfn.IFS(clean[[#This Row],[Clean Win Rate]]&gt;70, "Excellent", clean[[#This Row],[Clean Win Rate]]&gt;=40, "Average", TRUE, "Poor")</f>
        <v>Excellent</v>
      </c>
      <c r="AU180" s="1" t="str">
        <f>IF(AND(clean[[#This Row],[Clean Level]]&gt;80, clean[[#This Row],[Clean Total Stat]]&gt;350, clean[[#This Row],[Clean Gold]]&gt;500000), "Overpowered", "Normal")</f>
        <v>Overpowered</v>
      </c>
      <c r="AV180" s="1" t="str" cm="1">
        <f t="array" ref="AV18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80" s="1" t="str" cm="1">
        <f t="array" ref="AW18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80" s="1"/>
    </row>
    <row r="181" spans="1:50" x14ac:dyDescent="0.3">
      <c r="A181" s="2" t="s">
        <v>722</v>
      </c>
      <c r="B181" s="2" t="s">
        <v>723</v>
      </c>
      <c r="C181" s="2" t="s">
        <v>724</v>
      </c>
      <c r="D181" s="2" t="s">
        <v>70</v>
      </c>
      <c r="E181" s="2" t="s">
        <v>211</v>
      </c>
      <c r="F181" s="2" t="s">
        <v>682</v>
      </c>
      <c r="G181" s="2">
        <v>92</v>
      </c>
      <c r="H181" s="2" t="s">
        <v>31</v>
      </c>
      <c r="I181" s="2" t="s">
        <v>63</v>
      </c>
      <c r="J181" s="2" t="s">
        <v>163</v>
      </c>
      <c r="K181" s="2" t="s">
        <v>44</v>
      </c>
      <c r="L181" s="6" t="s">
        <v>725</v>
      </c>
      <c r="M181" s="2">
        <v>134</v>
      </c>
      <c r="N181" s="2">
        <v>53</v>
      </c>
      <c r="O181" s="2">
        <v>41</v>
      </c>
      <c r="P181" s="2">
        <v>1015</v>
      </c>
      <c r="Q181" s="2">
        <v>1953</v>
      </c>
      <c r="R181" s="2">
        <v>228</v>
      </c>
      <c r="S181" s="2">
        <v>814</v>
      </c>
      <c r="T181" s="2">
        <v>5</v>
      </c>
      <c r="U181" s="2">
        <v>165</v>
      </c>
      <c r="V181" s="2"/>
      <c r="W181" s="2">
        <v>1128</v>
      </c>
      <c r="X181" s="9">
        <v>362300</v>
      </c>
      <c r="Y181" s="2" t="s">
        <v>46</v>
      </c>
      <c r="AA181" s="1" t="str">
        <f>TRIM(RPG_dataset[[#This Row],[Username]])</f>
        <v>borin_670</v>
      </c>
      <c r="AB181" s="1" t="str">
        <f>TRIM(RPG_dataset[[#This Row],[First Name]])</f>
        <v>Borin</v>
      </c>
      <c r="AC181" s="1" t="str">
        <f>PROPER(TRIM(RPG_dataset[[#This Row],[Race]]))</f>
        <v>Human</v>
      </c>
      <c r="AD181" s="1" t="str">
        <f>PROPER(TRIM(RPG_dataset[[#This Row],[Class]]))</f>
        <v>Monk</v>
      </c>
      <c r="AE181" s="1">
        <f>ABS(RPG_dataset[[#This Row],[Level]])</f>
        <v>92</v>
      </c>
      <c r="AF181" s="1">
        <f>ABS(RPG_dataset[[#This Row],[ATK]])</f>
        <v>134</v>
      </c>
      <c r="AG181" s="1">
        <f>ABS(RPG_dataset[[#This Row],[DEF]])</f>
        <v>53</v>
      </c>
      <c r="AH181" s="1">
        <f>ABS(RPG_dataset[[#This Row],[SPD]])</f>
        <v>41</v>
      </c>
      <c r="AI181" s="1">
        <f>ABS(RPG_dataset[[#This Row],[HP]])</f>
        <v>1015</v>
      </c>
      <c r="AJ181" s="1">
        <f>ABS(RPG_dataset[[#This Row],[MP]])</f>
        <v>1953</v>
      </c>
      <c r="AK181" s="1">
        <f>ABS(RPG_dataset[[#This Row],[Total Stat]])</f>
        <v>228</v>
      </c>
      <c r="AL181" s="1">
        <f>ABS(RPG_dataset[[#This Row],[Kills]])</f>
        <v>814</v>
      </c>
      <c r="AM181" s="12">
        <f>ABS(RPG_dataset[[#This Row],[Win Rate (%)]])</f>
        <v>0</v>
      </c>
      <c r="AN181" s="4">
        <f>ABS(RPG_dataset[[#This Row],[Gold Earned]])</f>
        <v>362300</v>
      </c>
      <c r="AO181" s="5" t="str">
        <f t="shared" si="2"/>
        <v>OK</v>
      </c>
      <c r="AP181" s="5">
        <f>RANK(clean[[#This Row],[Clean Gold]],clean[Clean Gold], 0)</f>
        <v>325</v>
      </c>
      <c r="AQ181" s="1">
        <v>231</v>
      </c>
      <c r="AR181" s="1" t="str" cm="1">
        <f t="array" ref="AR181">_xlfn.IFS(clean[[#This Row],[Clean Level]]&gt;=76, "Legend", clean[[#This Row],[Clean Level]]&gt;=51, "Elite", clean[[#This Row],[Clean Level]]&gt;=26, "Veteran", TRUE, "Rookie")</f>
        <v>Legend</v>
      </c>
      <c r="AS181" s="1" t="str">
        <f>IF(RPG_dataset[[#This Row],[Status]]="Active", "TRUE", "FALSE")</f>
        <v>TRUE</v>
      </c>
      <c r="AT181" s="1" t="str" cm="1">
        <f t="array" ref="AT181">_xlfn.IFS(clean[[#This Row],[Clean Win Rate]]&gt;70, "Excellent", clean[[#This Row],[Clean Win Rate]]&gt;=40, "Average", TRUE, "Poor")</f>
        <v>Poor</v>
      </c>
      <c r="AU181" s="1" t="str">
        <f>IF(AND(clean[[#This Row],[Clean Level]]&gt;80, clean[[#This Row],[Clean Total Stat]]&gt;350, clean[[#This Row],[Clean Gold]]&gt;500000), "Overpowered", "Normal")</f>
        <v>Normal</v>
      </c>
      <c r="AV181" s="1" t="str" cm="1">
        <f t="array" ref="AV18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81" s="1" t="str" cm="1">
        <f t="array" ref="AW18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81" s="1"/>
    </row>
    <row r="182" spans="1:50" x14ac:dyDescent="0.3">
      <c r="A182" s="2" t="s">
        <v>726</v>
      </c>
      <c r="B182" s="2" t="s">
        <v>727</v>
      </c>
      <c r="C182" s="2" t="s">
        <v>154</v>
      </c>
      <c r="D182" s="2" t="s">
        <v>162</v>
      </c>
      <c r="E182" s="2" t="s">
        <v>29</v>
      </c>
      <c r="F182" s="2" t="s">
        <v>194</v>
      </c>
      <c r="G182" s="2">
        <v>68</v>
      </c>
      <c r="H182" s="2" t="s">
        <v>43</v>
      </c>
      <c r="I182" s="2" t="s">
        <v>63</v>
      </c>
      <c r="J182" s="2" t="s">
        <v>163</v>
      </c>
      <c r="K182" s="2" t="s">
        <v>106</v>
      </c>
      <c r="L182" s="6" t="s">
        <v>728</v>
      </c>
      <c r="M182" s="2">
        <v>111</v>
      </c>
      <c r="N182" s="2">
        <v>100</v>
      </c>
      <c r="O182" s="2">
        <v>28</v>
      </c>
      <c r="P182" s="2">
        <v>2605</v>
      </c>
      <c r="Q182" s="2">
        <v>2752</v>
      </c>
      <c r="R182" s="2">
        <v>239</v>
      </c>
      <c r="S182" s="2">
        <v>1354</v>
      </c>
      <c r="T182" s="2">
        <v>946</v>
      </c>
      <c r="U182" s="2">
        <v>152</v>
      </c>
      <c r="V182" s="2">
        <v>59</v>
      </c>
      <c r="W182" s="2">
        <v>1457</v>
      </c>
      <c r="X182" s="9">
        <v>821355</v>
      </c>
      <c r="Y182" s="2" t="s">
        <v>36</v>
      </c>
      <c r="AA182" s="1" t="str">
        <f>TRIM(RPG_dataset[[#This Row],[Username]])</f>
        <v>nolan_887</v>
      </c>
      <c r="AB182" s="1" t="str">
        <f>TRIM(RPG_dataset[[#This Row],[First Name]])</f>
        <v>Nolan</v>
      </c>
      <c r="AC182" s="1" t="str">
        <f>PROPER(TRIM(RPG_dataset[[#This Row],[Race]]))</f>
        <v>Dwarf</v>
      </c>
      <c r="AD182" s="1" t="str">
        <f>PROPER(TRIM(RPG_dataset[[#This Row],[Class]]))</f>
        <v>Paladin</v>
      </c>
      <c r="AE182" s="1">
        <f>ABS(RPG_dataset[[#This Row],[Level]])</f>
        <v>68</v>
      </c>
      <c r="AF182" s="1">
        <f>ABS(RPG_dataset[[#This Row],[ATK]])</f>
        <v>111</v>
      </c>
      <c r="AG182" s="1">
        <f>ABS(RPG_dataset[[#This Row],[DEF]])</f>
        <v>100</v>
      </c>
      <c r="AH182" s="1">
        <f>ABS(RPG_dataset[[#This Row],[SPD]])</f>
        <v>28</v>
      </c>
      <c r="AI182" s="1">
        <f>ABS(RPG_dataset[[#This Row],[HP]])</f>
        <v>2605</v>
      </c>
      <c r="AJ182" s="1">
        <f>ABS(RPG_dataset[[#This Row],[MP]])</f>
        <v>2752</v>
      </c>
      <c r="AK182" s="1">
        <f>ABS(RPG_dataset[[#This Row],[Total Stat]])</f>
        <v>239</v>
      </c>
      <c r="AL182" s="1">
        <f>ABS(RPG_dataset[[#This Row],[Kills]])</f>
        <v>1354</v>
      </c>
      <c r="AM182" s="12">
        <f>ABS(RPG_dataset[[#This Row],[Win Rate (%)]])</f>
        <v>59</v>
      </c>
      <c r="AN182" s="4">
        <f>ABS(RPG_dataset[[#This Row],[Gold Earned]])</f>
        <v>821355</v>
      </c>
      <c r="AO182" s="5" t="str">
        <f t="shared" si="2"/>
        <v>OK</v>
      </c>
      <c r="AP182" s="5">
        <f>RANK(clean[[#This Row],[Clean Gold]],clean[Clean Gold], 0)</f>
        <v>93</v>
      </c>
      <c r="AQ182" s="1">
        <v>248</v>
      </c>
      <c r="AR182" s="1" t="str" cm="1">
        <f t="array" ref="AR182">_xlfn.IFS(clean[[#This Row],[Clean Level]]&gt;=76, "Legend", clean[[#This Row],[Clean Level]]&gt;=51, "Elite", clean[[#This Row],[Clean Level]]&gt;=26, "Veteran", TRUE, "Rookie")</f>
        <v>Elite</v>
      </c>
      <c r="AS182" s="1" t="str">
        <f>IF(RPG_dataset[[#This Row],[Status]]="Active", "TRUE", "FALSE")</f>
        <v>FALSE</v>
      </c>
      <c r="AT182" s="1" t="str" cm="1">
        <f t="array" ref="AT182">_xlfn.IFS(clean[[#This Row],[Clean Win Rate]]&gt;70, "Excellent", clean[[#This Row],[Clean Win Rate]]&gt;=40, "Average", TRUE, "Poor")</f>
        <v>Average</v>
      </c>
      <c r="AU182" s="1" t="str">
        <f>IF(AND(clean[[#This Row],[Clean Level]]&gt;80, clean[[#This Row],[Clean Total Stat]]&gt;350, clean[[#This Row],[Clean Gold]]&gt;500000), "Overpowered", "Normal")</f>
        <v>Normal</v>
      </c>
      <c r="AV182" s="1" t="str" cm="1">
        <f t="array" ref="AV18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82" s="1" t="str" cm="1">
        <f t="array" ref="AW18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82" s="1"/>
    </row>
    <row r="183" spans="1:50" x14ac:dyDescent="0.3">
      <c r="A183" s="2" t="s">
        <v>729</v>
      </c>
      <c r="B183" s="2" t="s">
        <v>730</v>
      </c>
      <c r="C183" s="2" t="s">
        <v>103</v>
      </c>
      <c r="D183" s="2" t="s">
        <v>272</v>
      </c>
      <c r="E183" s="2" t="s">
        <v>29</v>
      </c>
      <c r="F183" s="2" t="s">
        <v>72</v>
      </c>
      <c r="G183" s="2">
        <v>100</v>
      </c>
      <c r="H183" s="2" t="s">
        <v>43</v>
      </c>
      <c r="I183" s="2" t="s">
        <v>63</v>
      </c>
      <c r="J183" s="2" t="s">
        <v>120</v>
      </c>
      <c r="K183" s="2" t="s">
        <v>44</v>
      </c>
      <c r="L183" s="6" t="s">
        <v>731</v>
      </c>
      <c r="M183" s="2">
        <v>70</v>
      </c>
      <c r="N183" s="2">
        <v>110</v>
      </c>
      <c r="O183" s="2">
        <v>20</v>
      </c>
      <c r="P183" s="2"/>
      <c r="Q183" s="2">
        <v>878</v>
      </c>
      <c r="R183" s="2">
        <v>200</v>
      </c>
      <c r="S183" s="2">
        <v>446</v>
      </c>
      <c r="T183" s="2">
        <v>21</v>
      </c>
      <c r="U183" s="2">
        <v>277</v>
      </c>
      <c r="V183" s="2">
        <v>96</v>
      </c>
      <c r="W183" s="2">
        <v>8025</v>
      </c>
      <c r="X183" s="9">
        <v>935313</v>
      </c>
      <c r="Y183" s="2" t="s">
        <v>46</v>
      </c>
      <c r="AA183" s="1" t="str">
        <f>TRIM(RPG_dataset[[#This Row],[Username]])</f>
        <v>aria_221</v>
      </c>
      <c r="AB183" s="1" t="str">
        <f>TRIM(RPG_dataset[[#This Row],[First Name]])</f>
        <v>Aria</v>
      </c>
      <c r="AC183" s="1" t="str">
        <f>PROPER(TRIM(RPG_dataset[[#This Row],[Race]]))</f>
        <v>Dwarf</v>
      </c>
      <c r="AD183" s="1" t="str">
        <f>PROPER(TRIM(RPG_dataset[[#This Row],[Class]]))</f>
        <v>Warrior</v>
      </c>
      <c r="AE183" s="1">
        <f>ABS(RPG_dataset[[#This Row],[Level]])</f>
        <v>100</v>
      </c>
      <c r="AF183" s="1">
        <f>ABS(RPG_dataset[[#This Row],[ATK]])</f>
        <v>70</v>
      </c>
      <c r="AG183" s="1">
        <f>ABS(RPG_dataset[[#This Row],[DEF]])</f>
        <v>110</v>
      </c>
      <c r="AH183" s="1">
        <f>ABS(RPG_dataset[[#This Row],[SPD]])</f>
        <v>20</v>
      </c>
      <c r="AI183" s="1">
        <f>ABS(RPG_dataset[[#This Row],[HP]])</f>
        <v>0</v>
      </c>
      <c r="AJ183" s="1">
        <f>ABS(RPG_dataset[[#This Row],[MP]])</f>
        <v>878</v>
      </c>
      <c r="AK183" s="1">
        <f>ABS(RPG_dataset[[#This Row],[Total Stat]])</f>
        <v>200</v>
      </c>
      <c r="AL183" s="1">
        <f>ABS(RPG_dataset[[#This Row],[Kills]])</f>
        <v>446</v>
      </c>
      <c r="AM183" s="12">
        <f>ABS(RPG_dataset[[#This Row],[Win Rate (%)]])</f>
        <v>96</v>
      </c>
      <c r="AN183" s="4">
        <f>ABS(RPG_dataset[[#This Row],[Gold Earned]])</f>
        <v>935313</v>
      </c>
      <c r="AO183" s="5" t="str">
        <f t="shared" si="2"/>
        <v>OK</v>
      </c>
      <c r="AP183" s="5">
        <f>RANK(clean[[#This Row],[Clean Gold]],clean[Clean Gold], 0)</f>
        <v>31</v>
      </c>
      <c r="AQ183" s="1">
        <v>242</v>
      </c>
      <c r="AR183" s="1" t="str" cm="1">
        <f t="array" ref="AR183">_xlfn.IFS(clean[[#This Row],[Clean Level]]&gt;=76, "Legend", clean[[#This Row],[Clean Level]]&gt;=51, "Elite", clean[[#This Row],[Clean Level]]&gt;=26, "Veteran", TRUE, "Rookie")</f>
        <v>Legend</v>
      </c>
      <c r="AS183" s="1" t="str">
        <f>IF(RPG_dataset[[#This Row],[Status]]="Active", "TRUE", "FALSE")</f>
        <v>TRUE</v>
      </c>
      <c r="AT183" s="1" t="str" cm="1">
        <f t="array" ref="AT183">_xlfn.IFS(clean[[#This Row],[Clean Win Rate]]&gt;70, "Excellent", clean[[#This Row],[Clean Win Rate]]&gt;=40, "Average", TRUE, "Poor")</f>
        <v>Excellent</v>
      </c>
      <c r="AU183" s="1" t="str">
        <f>IF(AND(clean[[#This Row],[Clean Level]]&gt;80, clean[[#This Row],[Clean Total Stat]]&gt;350, clean[[#This Row],[Clean Gold]]&gt;500000), "Overpowered", "Normal")</f>
        <v>Normal</v>
      </c>
      <c r="AV183" s="1" t="str" cm="1">
        <f t="array" ref="AV18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83" s="1" t="str" cm="1">
        <f t="array" ref="AW18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83" s="1"/>
    </row>
    <row r="184" spans="1:50" x14ac:dyDescent="0.3">
      <c r="A184" s="2" t="s">
        <v>732</v>
      </c>
      <c r="B184" s="2" t="s">
        <v>733</v>
      </c>
      <c r="C184" s="2" t="s">
        <v>103</v>
      </c>
      <c r="D184" s="2" t="s">
        <v>401</v>
      </c>
      <c r="E184" s="2" t="s">
        <v>228</v>
      </c>
      <c r="F184" s="2" t="s">
        <v>52</v>
      </c>
      <c r="G184" s="2"/>
      <c r="H184" s="2" t="s">
        <v>43</v>
      </c>
      <c r="I184" s="2" t="s">
        <v>63</v>
      </c>
      <c r="J184" s="2" t="s">
        <v>88</v>
      </c>
      <c r="K184" s="2" t="s">
        <v>34</v>
      </c>
      <c r="L184" s="6" t="s">
        <v>734</v>
      </c>
      <c r="M184" s="2">
        <v>143</v>
      </c>
      <c r="N184" s="2">
        <v>140</v>
      </c>
      <c r="O184" s="2">
        <v>16</v>
      </c>
      <c r="P184" s="2">
        <v>3304</v>
      </c>
      <c r="Q184" s="2">
        <v>2527</v>
      </c>
      <c r="R184" s="2">
        <v>299</v>
      </c>
      <c r="S184" s="2">
        <v>822</v>
      </c>
      <c r="T184" s="2">
        <v>688</v>
      </c>
      <c r="U184" s="2">
        <v>63</v>
      </c>
      <c r="V184" s="2">
        <v>54</v>
      </c>
      <c r="W184" s="2">
        <v>2453</v>
      </c>
      <c r="X184" s="9">
        <v>669875</v>
      </c>
      <c r="Y184" s="2" t="s">
        <v>36</v>
      </c>
      <c r="AA184" s="1" t="str">
        <f>TRIM(RPG_dataset[[#This Row],[Username]])</f>
        <v>aria_567</v>
      </c>
      <c r="AB184" s="1" t="str">
        <f>TRIM(RPG_dataset[[#This Row],[First Name]])</f>
        <v>Aria</v>
      </c>
      <c r="AC184" s="1" t="str">
        <f>PROPER(TRIM(RPG_dataset[[#This Row],[Race]]))</f>
        <v>Elf</v>
      </c>
      <c r="AD184" s="1" t="str">
        <f>PROPER(TRIM(RPG_dataset[[#This Row],[Class]]))</f>
        <v>Bard</v>
      </c>
      <c r="AE184" s="1">
        <f>ABS(RPG_dataset[[#This Row],[Level]])</f>
        <v>0</v>
      </c>
      <c r="AF184" s="1">
        <f>ABS(RPG_dataset[[#This Row],[ATK]])</f>
        <v>143</v>
      </c>
      <c r="AG184" s="1">
        <f>ABS(RPG_dataset[[#This Row],[DEF]])</f>
        <v>140</v>
      </c>
      <c r="AH184" s="1">
        <f>ABS(RPG_dataset[[#This Row],[SPD]])</f>
        <v>16</v>
      </c>
      <c r="AI184" s="1">
        <f>ABS(RPG_dataset[[#This Row],[HP]])</f>
        <v>3304</v>
      </c>
      <c r="AJ184" s="1">
        <f>ABS(RPG_dataset[[#This Row],[MP]])</f>
        <v>2527</v>
      </c>
      <c r="AK184" s="1">
        <f>ABS(RPG_dataset[[#This Row],[Total Stat]])</f>
        <v>299</v>
      </c>
      <c r="AL184" s="1">
        <f>ABS(RPG_dataset[[#This Row],[Kills]])</f>
        <v>822</v>
      </c>
      <c r="AM184" s="12">
        <f>ABS(RPG_dataset[[#This Row],[Win Rate (%)]])</f>
        <v>54</v>
      </c>
      <c r="AN184" s="4">
        <f>ABS(RPG_dataset[[#This Row],[Gold Earned]])</f>
        <v>669875</v>
      </c>
      <c r="AO184" s="5" t="str">
        <f t="shared" si="2"/>
        <v>Fix This</v>
      </c>
      <c r="AP184" s="5">
        <f>RANK(clean[[#This Row],[Clean Gold]],clean[Clean Gold], 0)</f>
        <v>163</v>
      </c>
      <c r="AQ184" s="1"/>
      <c r="AR184" s="1" t="str" cm="1">
        <f t="array" ref="AR184">_xlfn.IFS(clean[[#This Row],[Clean Level]]&gt;=76, "Legend", clean[[#This Row],[Clean Level]]&gt;=51, "Elite", clean[[#This Row],[Clean Level]]&gt;=26, "Veteran", TRUE, "Rookie")</f>
        <v>Rookie</v>
      </c>
      <c r="AS184" s="1" t="str">
        <f>IF(RPG_dataset[[#This Row],[Status]]="Active", "TRUE", "FALSE")</f>
        <v>FALSE</v>
      </c>
      <c r="AT184" s="1" t="str" cm="1">
        <f t="array" ref="AT184">_xlfn.IFS(clean[[#This Row],[Clean Win Rate]]&gt;70, "Excellent", clean[[#This Row],[Clean Win Rate]]&gt;=40, "Average", TRUE, "Poor")</f>
        <v>Average</v>
      </c>
      <c r="AU184" s="1" t="str">
        <f>IF(AND(clean[[#This Row],[Clean Level]]&gt;80, clean[[#This Row],[Clean Total Stat]]&gt;350, clean[[#This Row],[Clean Gold]]&gt;500000), "Overpowered", "Normal")</f>
        <v>Normal</v>
      </c>
      <c r="AV184" s="1" t="str" cm="1">
        <f t="array" ref="AV18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84" s="1" t="str" cm="1">
        <f t="array" ref="AW18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184" s="1"/>
    </row>
    <row r="185" spans="1:50" x14ac:dyDescent="0.3">
      <c r="A185" s="2" t="s">
        <v>735</v>
      </c>
      <c r="B185" s="2" t="s">
        <v>736</v>
      </c>
      <c r="C185" s="2" t="s">
        <v>219</v>
      </c>
      <c r="D185" s="2" t="s">
        <v>168</v>
      </c>
      <c r="E185" s="2" t="s">
        <v>169</v>
      </c>
      <c r="F185" s="2" t="s">
        <v>42</v>
      </c>
      <c r="G185" s="2">
        <v>65</v>
      </c>
      <c r="H185" s="2" t="s">
        <v>43</v>
      </c>
      <c r="I185" s="2" t="s">
        <v>140</v>
      </c>
      <c r="J185" s="2" t="s">
        <v>81</v>
      </c>
      <c r="K185" s="2" t="s">
        <v>99</v>
      </c>
      <c r="L185" s="6" t="s">
        <v>737</v>
      </c>
      <c r="M185" s="2">
        <v>144</v>
      </c>
      <c r="N185" s="2"/>
      <c r="O185" s="2">
        <v>133</v>
      </c>
      <c r="P185" s="2">
        <v>764</v>
      </c>
      <c r="Q185" s="2">
        <v>1372</v>
      </c>
      <c r="R185" s="2">
        <v>323</v>
      </c>
      <c r="S185" s="2">
        <v>3348</v>
      </c>
      <c r="T185" s="2">
        <v>379</v>
      </c>
      <c r="U185" s="2">
        <v>78</v>
      </c>
      <c r="V185" s="2">
        <v>90</v>
      </c>
      <c r="W185" s="2">
        <v>3594</v>
      </c>
      <c r="X185" s="9">
        <v>684137</v>
      </c>
      <c r="Y185" s="2" t="s">
        <v>46</v>
      </c>
      <c r="AA185" s="1" t="str">
        <f>TRIM(RPG_dataset[[#This Row],[Username]])</f>
        <v>torin_929</v>
      </c>
      <c r="AB185" s="1" t="str">
        <f>TRIM(RPG_dataset[[#This Row],[First Name]])</f>
        <v>Torin</v>
      </c>
      <c r="AC185" s="1" t="str">
        <f>PROPER(TRIM(RPG_dataset[[#This Row],[Race]]))</f>
        <v>Halfling</v>
      </c>
      <c r="AD185" s="1" t="str">
        <f>PROPER(TRIM(RPG_dataset[[#This Row],[Class]]))</f>
        <v>Monk</v>
      </c>
      <c r="AE185" s="1">
        <f>ABS(RPG_dataset[[#This Row],[Level]])</f>
        <v>65</v>
      </c>
      <c r="AF185" s="1">
        <f>ABS(RPG_dataset[[#This Row],[ATK]])</f>
        <v>144</v>
      </c>
      <c r="AG185" s="1">
        <f>ABS(RPG_dataset[[#This Row],[DEF]])</f>
        <v>0</v>
      </c>
      <c r="AH185" s="1">
        <f>ABS(RPG_dataset[[#This Row],[SPD]])</f>
        <v>133</v>
      </c>
      <c r="AI185" s="1">
        <f>ABS(RPG_dataset[[#This Row],[HP]])</f>
        <v>764</v>
      </c>
      <c r="AJ185" s="1">
        <f>ABS(RPG_dataset[[#This Row],[MP]])</f>
        <v>1372</v>
      </c>
      <c r="AK185" s="1">
        <f>ABS(RPG_dataset[[#This Row],[Total Stat]])</f>
        <v>323</v>
      </c>
      <c r="AL185" s="1">
        <f>ABS(RPG_dataset[[#This Row],[Kills]])</f>
        <v>3348</v>
      </c>
      <c r="AM185" s="12">
        <f>ABS(RPG_dataset[[#This Row],[Win Rate (%)]])</f>
        <v>90</v>
      </c>
      <c r="AN185" s="4">
        <f>ABS(RPG_dataset[[#This Row],[Gold Earned]])</f>
        <v>684137</v>
      </c>
      <c r="AO185" s="5" t="str">
        <f t="shared" si="2"/>
        <v>OK</v>
      </c>
      <c r="AP185" s="5">
        <f>RANK(clean[[#This Row],[Clean Gold]],clean[Clean Gold], 0)</f>
        <v>158</v>
      </c>
      <c r="AQ185" s="1">
        <v>310</v>
      </c>
      <c r="AR185" s="1" t="str" cm="1">
        <f t="array" ref="AR185">_xlfn.IFS(clean[[#This Row],[Clean Level]]&gt;=76, "Legend", clean[[#This Row],[Clean Level]]&gt;=51, "Elite", clean[[#This Row],[Clean Level]]&gt;=26, "Veteran", TRUE, "Rookie")</f>
        <v>Elite</v>
      </c>
      <c r="AS185" s="1" t="str">
        <f>IF(RPG_dataset[[#This Row],[Status]]="Active", "TRUE", "FALSE")</f>
        <v>FALSE</v>
      </c>
      <c r="AT185" s="1" t="str" cm="1">
        <f t="array" ref="AT185">_xlfn.IFS(clean[[#This Row],[Clean Win Rate]]&gt;70, "Excellent", clean[[#This Row],[Clean Win Rate]]&gt;=40, "Average", TRUE, "Poor")</f>
        <v>Excellent</v>
      </c>
      <c r="AU185" s="1" t="str">
        <f>IF(AND(clean[[#This Row],[Clean Level]]&gt;80, clean[[#This Row],[Clean Total Stat]]&gt;350, clean[[#This Row],[Clean Gold]]&gt;500000), "Overpowered", "Normal")</f>
        <v>Normal</v>
      </c>
      <c r="AV185" s="1" t="str" cm="1">
        <f t="array" ref="AV18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85" s="1" t="str" cm="1">
        <f t="array" ref="AW18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185" s="1"/>
    </row>
    <row r="186" spans="1:50" x14ac:dyDescent="0.3">
      <c r="A186" s="2" t="s">
        <v>738</v>
      </c>
      <c r="B186" s="2" t="s">
        <v>739</v>
      </c>
      <c r="C186" s="2" t="s">
        <v>118</v>
      </c>
      <c r="D186" s="2" t="s">
        <v>234</v>
      </c>
      <c r="E186" s="2" t="s">
        <v>105</v>
      </c>
      <c r="F186" s="2" t="s">
        <v>740</v>
      </c>
      <c r="G186" s="2">
        <v>73</v>
      </c>
      <c r="H186" s="2" t="s">
        <v>125</v>
      </c>
      <c r="I186" s="2" t="s">
        <v>87</v>
      </c>
      <c r="J186" s="2" t="s">
        <v>111</v>
      </c>
      <c r="K186" s="2" t="s">
        <v>44</v>
      </c>
      <c r="L186" s="6" t="s">
        <v>741</v>
      </c>
      <c r="M186" s="2">
        <v>59</v>
      </c>
      <c r="N186" s="2">
        <v>24</v>
      </c>
      <c r="O186" s="2">
        <v>66</v>
      </c>
      <c r="P186" s="2">
        <v>2655</v>
      </c>
      <c r="Q186" s="2">
        <v>1060</v>
      </c>
      <c r="R186" s="2">
        <v>149</v>
      </c>
      <c r="S186" s="2">
        <v>-3242</v>
      </c>
      <c r="T186" s="2">
        <v>236</v>
      </c>
      <c r="U186" s="2">
        <v>42</v>
      </c>
      <c r="V186" s="2">
        <v>93</v>
      </c>
      <c r="W186" s="2">
        <v>1021</v>
      </c>
      <c r="X186" s="9">
        <v>195714</v>
      </c>
      <c r="Y186" s="2" t="s">
        <v>36</v>
      </c>
      <c r="AA186" s="1" t="str">
        <f>TRIM(RPG_dataset[[#This Row],[Username]])</f>
        <v>ivan_590</v>
      </c>
      <c r="AB186" s="1" t="str">
        <f>TRIM(RPG_dataset[[#This Row],[First Name]])</f>
        <v>Ivan</v>
      </c>
      <c r="AC186" s="1" t="str">
        <f>PROPER(TRIM(RPG_dataset[[#This Row],[Race]]))</f>
        <v>Orc</v>
      </c>
      <c r="AD186" s="1" t="str">
        <f>PROPER(TRIM(RPG_dataset[[#This Row],[Class]]))</f>
        <v>Warrior</v>
      </c>
      <c r="AE186" s="1">
        <f>ABS(RPG_dataset[[#This Row],[Level]])</f>
        <v>73</v>
      </c>
      <c r="AF186" s="1">
        <f>ABS(RPG_dataset[[#This Row],[ATK]])</f>
        <v>59</v>
      </c>
      <c r="AG186" s="1">
        <f>ABS(RPG_dataset[[#This Row],[DEF]])</f>
        <v>24</v>
      </c>
      <c r="AH186" s="1">
        <f>ABS(RPG_dataset[[#This Row],[SPD]])</f>
        <v>66</v>
      </c>
      <c r="AI186" s="1">
        <f>ABS(RPG_dataset[[#This Row],[HP]])</f>
        <v>2655</v>
      </c>
      <c r="AJ186" s="1">
        <f>ABS(RPG_dataset[[#This Row],[MP]])</f>
        <v>1060</v>
      </c>
      <c r="AK186" s="1">
        <f>ABS(RPG_dataset[[#This Row],[Total Stat]])</f>
        <v>149</v>
      </c>
      <c r="AL186" s="1">
        <f>ABS(RPG_dataset[[#This Row],[Kills]])</f>
        <v>3242</v>
      </c>
      <c r="AM186" s="12">
        <f>ABS(RPG_dataset[[#This Row],[Win Rate (%)]])</f>
        <v>93</v>
      </c>
      <c r="AN186" s="4">
        <f>ABS(RPG_dataset[[#This Row],[Gold Earned]])</f>
        <v>195714</v>
      </c>
      <c r="AO186" s="5" t="str">
        <f t="shared" si="2"/>
        <v>OK</v>
      </c>
      <c r="AP186" s="5">
        <f>RANK(clean[[#This Row],[Clean Gold]],clean[Clean Gold], 0)</f>
        <v>404</v>
      </c>
      <c r="AQ186" s="1">
        <v>274</v>
      </c>
      <c r="AR186" s="1" t="str" cm="1">
        <f t="array" ref="AR186">_xlfn.IFS(clean[[#This Row],[Clean Level]]&gt;=76, "Legend", clean[[#This Row],[Clean Level]]&gt;=51, "Elite", clean[[#This Row],[Clean Level]]&gt;=26, "Veteran", TRUE, "Rookie")</f>
        <v>Elite</v>
      </c>
      <c r="AS186" s="1" t="str">
        <f>IF(RPG_dataset[[#This Row],[Status]]="Active", "TRUE", "FALSE")</f>
        <v>TRUE</v>
      </c>
      <c r="AT186" s="1" t="str" cm="1">
        <f t="array" ref="AT186">_xlfn.IFS(clean[[#This Row],[Clean Win Rate]]&gt;70, "Excellent", clean[[#This Row],[Clean Win Rate]]&gt;=40, "Average", TRUE, "Poor")</f>
        <v>Excellent</v>
      </c>
      <c r="AU186" s="1" t="str">
        <f>IF(AND(clean[[#This Row],[Clean Level]]&gt;80, clean[[#This Row],[Clean Total Stat]]&gt;350, clean[[#This Row],[Clean Gold]]&gt;500000), "Overpowered", "Normal")</f>
        <v>Normal</v>
      </c>
      <c r="AV186" s="1" t="str" cm="1">
        <f t="array" ref="AV186">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186" s="1" t="str" cm="1">
        <f t="array" ref="AW18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86" s="1"/>
    </row>
    <row r="187" spans="1:50" x14ac:dyDescent="0.3">
      <c r="A187" s="2" t="s">
        <v>742</v>
      </c>
      <c r="B187" s="2" t="s">
        <v>743</v>
      </c>
      <c r="C187" s="2" t="s">
        <v>39</v>
      </c>
      <c r="D187" s="2" t="s">
        <v>59</v>
      </c>
      <c r="E187" s="2" t="s">
        <v>60</v>
      </c>
      <c r="F187" s="2" t="s">
        <v>194</v>
      </c>
      <c r="G187" s="2"/>
      <c r="H187" s="2" t="s">
        <v>80</v>
      </c>
      <c r="I187" s="2" t="s">
        <v>87</v>
      </c>
      <c r="J187" s="2" t="s">
        <v>81</v>
      </c>
      <c r="K187" s="2" t="s">
        <v>106</v>
      </c>
      <c r="L187" s="6" t="s">
        <v>744</v>
      </c>
      <c r="M187" s="2">
        <v>113</v>
      </c>
      <c r="N187" s="2">
        <v>37</v>
      </c>
      <c r="O187" s="2">
        <v>26</v>
      </c>
      <c r="P187" s="2">
        <v>418</v>
      </c>
      <c r="Q187" s="2">
        <v>646</v>
      </c>
      <c r="R187" s="2">
        <v>176</v>
      </c>
      <c r="S187" s="2">
        <v>3948</v>
      </c>
      <c r="T187" s="2">
        <v>214</v>
      </c>
      <c r="U187" s="2">
        <v>131</v>
      </c>
      <c r="V187" s="2">
        <v>95</v>
      </c>
      <c r="W187" s="2">
        <v>580</v>
      </c>
      <c r="X187" s="9">
        <v>888917</v>
      </c>
      <c r="Y187" s="2" t="s">
        <v>46</v>
      </c>
      <c r="AA187" s="1" t="str">
        <f>TRIM(RPG_dataset[[#This Row],[Username]])</f>
        <v>yara_208</v>
      </c>
      <c r="AB187" s="1" t="str">
        <f>TRIM(RPG_dataset[[#This Row],[First Name]])</f>
        <v>Yara</v>
      </c>
      <c r="AC187" s="1" t="str">
        <f>PROPER(TRIM(RPG_dataset[[#This Row],[Race]]))</f>
        <v>Human</v>
      </c>
      <c r="AD187" s="1" t="str">
        <f>PROPER(TRIM(RPG_dataset[[#This Row],[Class]]))</f>
        <v>Paladin</v>
      </c>
      <c r="AE187" s="1">
        <f>ABS(RPG_dataset[[#This Row],[Level]])</f>
        <v>0</v>
      </c>
      <c r="AF187" s="1">
        <f>ABS(RPG_dataset[[#This Row],[ATK]])</f>
        <v>113</v>
      </c>
      <c r="AG187" s="1">
        <f>ABS(RPG_dataset[[#This Row],[DEF]])</f>
        <v>37</v>
      </c>
      <c r="AH187" s="1">
        <f>ABS(RPG_dataset[[#This Row],[SPD]])</f>
        <v>26</v>
      </c>
      <c r="AI187" s="1">
        <f>ABS(RPG_dataset[[#This Row],[HP]])</f>
        <v>418</v>
      </c>
      <c r="AJ187" s="1">
        <f>ABS(RPG_dataset[[#This Row],[MP]])</f>
        <v>646</v>
      </c>
      <c r="AK187" s="1">
        <f>ABS(RPG_dataset[[#This Row],[Total Stat]])</f>
        <v>176</v>
      </c>
      <c r="AL187" s="1">
        <f>ABS(RPG_dataset[[#This Row],[Kills]])</f>
        <v>3948</v>
      </c>
      <c r="AM187" s="12">
        <f>ABS(RPG_dataset[[#This Row],[Win Rate (%)]])</f>
        <v>95</v>
      </c>
      <c r="AN187" s="4">
        <f>ABS(RPG_dataset[[#This Row],[Gold Earned]])</f>
        <v>888917</v>
      </c>
      <c r="AO187" s="5" t="str">
        <f t="shared" si="2"/>
        <v>OK</v>
      </c>
      <c r="AP187" s="5">
        <f>RANK(clean[[#This Row],[Clean Gold]],clean[Clean Gold], 0)</f>
        <v>58</v>
      </c>
      <c r="AQ187" s="1">
        <v>251</v>
      </c>
      <c r="AR187" s="1" t="str" cm="1">
        <f t="array" ref="AR187">_xlfn.IFS(clean[[#This Row],[Clean Level]]&gt;=76, "Legend", clean[[#This Row],[Clean Level]]&gt;=51, "Elite", clean[[#This Row],[Clean Level]]&gt;=26, "Veteran", TRUE, "Rookie")</f>
        <v>Rookie</v>
      </c>
      <c r="AS187" s="1" t="str">
        <f>IF(RPG_dataset[[#This Row],[Status]]="Active", "TRUE", "FALSE")</f>
        <v>FALSE</v>
      </c>
      <c r="AT187" s="1" t="str" cm="1">
        <f t="array" ref="AT187">_xlfn.IFS(clean[[#This Row],[Clean Win Rate]]&gt;70, "Excellent", clean[[#This Row],[Clean Win Rate]]&gt;=40, "Average", TRUE, "Poor")</f>
        <v>Excellent</v>
      </c>
      <c r="AU187" s="1" t="str">
        <f>IF(AND(clean[[#This Row],[Clean Level]]&gt;80, clean[[#This Row],[Clean Total Stat]]&gt;350, clean[[#This Row],[Clean Gold]]&gt;500000), "Overpowered", "Normal")</f>
        <v>Normal</v>
      </c>
      <c r="AV187" s="1" t="str" cm="1">
        <f t="array" ref="AV18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87" s="1" t="str" cm="1">
        <f t="array" ref="AW18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87" s="1"/>
    </row>
    <row r="188" spans="1:50" x14ac:dyDescent="0.3">
      <c r="A188" s="2" t="s">
        <v>745</v>
      </c>
      <c r="B188" s="2" t="s">
        <v>746</v>
      </c>
      <c r="C188" s="2" t="s">
        <v>586</v>
      </c>
      <c r="D188" s="2" t="s">
        <v>40</v>
      </c>
      <c r="E188" s="2" t="s">
        <v>169</v>
      </c>
      <c r="F188" s="2" t="s">
        <v>61</v>
      </c>
      <c r="G188" s="2">
        <v>11</v>
      </c>
      <c r="H188" s="2" t="s">
        <v>31</v>
      </c>
      <c r="I188" s="2" t="s">
        <v>87</v>
      </c>
      <c r="J188" s="2" t="s">
        <v>81</v>
      </c>
      <c r="K188" s="2" t="s">
        <v>34</v>
      </c>
      <c r="L188" s="6" t="s">
        <v>747</v>
      </c>
      <c r="M188" s="2">
        <v>138</v>
      </c>
      <c r="N188" s="2">
        <v>71</v>
      </c>
      <c r="O188" s="2">
        <v>20</v>
      </c>
      <c r="P188" s="2">
        <v>2863</v>
      </c>
      <c r="Q188" s="2">
        <v>2990</v>
      </c>
      <c r="R188" s="2"/>
      <c r="S188" s="2">
        <v>2923</v>
      </c>
      <c r="T188" s="2">
        <v>518</v>
      </c>
      <c r="U188" s="2">
        <v>49</v>
      </c>
      <c r="V188" s="2">
        <v>85</v>
      </c>
      <c r="W188" s="2">
        <v>3720</v>
      </c>
      <c r="X188" s="9">
        <v>561062</v>
      </c>
      <c r="Y188" s="2" t="s">
        <v>46</v>
      </c>
      <c r="AA188" s="1" t="str">
        <f>TRIM(RPG_dataset[[#This Row],[Username]])</f>
        <v>selene_982</v>
      </c>
      <c r="AB188" s="1" t="str">
        <f>TRIM(RPG_dataset[[#This Row],[First Name]])</f>
        <v>Selene</v>
      </c>
      <c r="AC188" s="1" t="str">
        <f>PROPER(TRIM(RPG_dataset[[#This Row],[Race]]))</f>
        <v>Halfling</v>
      </c>
      <c r="AD188" s="1" t="str">
        <f>PROPER(TRIM(RPG_dataset[[#This Row],[Class]]))</f>
        <v>Ranger</v>
      </c>
      <c r="AE188" s="1">
        <f>ABS(RPG_dataset[[#This Row],[Level]])</f>
        <v>11</v>
      </c>
      <c r="AF188" s="1">
        <f>ABS(RPG_dataset[[#This Row],[ATK]])</f>
        <v>138</v>
      </c>
      <c r="AG188" s="1">
        <f>ABS(RPG_dataset[[#This Row],[DEF]])</f>
        <v>71</v>
      </c>
      <c r="AH188" s="1">
        <f>ABS(RPG_dataset[[#This Row],[SPD]])</f>
        <v>20</v>
      </c>
      <c r="AI188" s="1">
        <f>ABS(RPG_dataset[[#This Row],[HP]])</f>
        <v>2863</v>
      </c>
      <c r="AJ188" s="1">
        <f>ABS(RPG_dataset[[#This Row],[MP]])</f>
        <v>2990</v>
      </c>
      <c r="AK188" s="1">
        <f>ABS(RPG_dataset[[#This Row],[Total Stat]])</f>
        <v>0</v>
      </c>
      <c r="AL188" s="1">
        <f>ABS(RPG_dataset[[#This Row],[Kills]])</f>
        <v>2923</v>
      </c>
      <c r="AM188" s="12">
        <f>ABS(RPG_dataset[[#This Row],[Win Rate (%)]])</f>
        <v>85</v>
      </c>
      <c r="AN188" s="4">
        <f>ABS(RPG_dataset[[#This Row],[Gold Earned]])</f>
        <v>561062</v>
      </c>
      <c r="AO188" s="5" t="str">
        <f t="shared" si="2"/>
        <v>OK</v>
      </c>
      <c r="AP188" s="5">
        <f>RANK(clean[[#This Row],[Clean Gold]],clean[Clean Gold], 0)</f>
        <v>219</v>
      </c>
      <c r="AQ188" s="1">
        <v>120</v>
      </c>
      <c r="AR188" s="1" t="str" cm="1">
        <f t="array" ref="AR188">_xlfn.IFS(clean[[#This Row],[Clean Level]]&gt;=76, "Legend", clean[[#This Row],[Clean Level]]&gt;=51, "Elite", clean[[#This Row],[Clean Level]]&gt;=26, "Veteran", TRUE, "Rookie")</f>
        <v>Rookie</v>
      </c>
      <c r="AS188" s="1" t="str">
        <f>IF(RPG_dataset[[#This Row],[Status]]="Active", "TRUE", "FALSE")</f>
        <v>FALSE</v>
      </c>
      <c r="AT188" s="1" t="str" cm="1">
        <f t="array" ref="AT188">_xlfn.IFS(clean[[#This Row],[Clean Win Rate]]&gt;70, "Excellent", clean[[#This Row],[Clean Win Rate]]&gt;=40, "Average", TRUE, "Poor")</f>
        <v>Excellent</v>
      </c>
      <c r="AU188" s="1" t="str">
        <f>IF(AND(clean[[#This Row],[Clean Level]]&gt;80, clean[[#This Row],[Clean Total Stat]]&gt;350, clean[[#This Row],[Clean Gold]]&gt;500000), "Overpowered", "Normal")</f>
        <v>Normal</v>
      </c>
      <c r="AV188" s="1" t="str" cm="1">
        <f t="array" ref="AV18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88" s="1" t="str" cm="1">
        <f t="array" ref="AW18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88" s="1"/>
    </row>
    <row r="189" spans="1:50" x14ac:dyDescent="0.3">
      <c r="A189" s="2" t="s">
        <v>748</v>
      </c>
      <c r="B189" s="2" t="s">
        <v>749</v>
      </c>
      <c r="C189" s="2" t="s">
        <v>543</v>
      </c>
      <c r="D189" s="2" t="s">
        <v>40</v>
      </c>
      <c r="E189" s="2" t="s">
        <v>169</v>
      </c>
      <c r="F189" s="2" t="s">
        <v>52</v>
      </c>
      <c r="G189" s="2">
        <v>70</v>
      </c>
      <c r="H189" s="2" t="s">
        <v>80</v>
      </c>
      <c r="I189" s="2" t="s">
        <v>74</v>
      </c>
      <c r="J189" s="2" t="s">
        <v>111</v>
      </c>
      <c r="K189" s="2" t="s">
        <v>44</v>
      </c>
      <c r="L189" s="6" t="s">
        <v>750</v>
      </c>
      <c r="M189" s="2">
        <v>117</v>
      </c>
      <c r="N189" s="2">
        <v>93</v>
      </c>
      <c r="O189" s="2">
        <v>59</v>
      </c>
      <c r="P189" s="2">
        <v>1162</v>
      </c>
      <c r="Q189" s="2"/>
      <c r="R189" s="2">
        <v>269</v>
      </c>
      <c r="S189" s="2">
        <v>188</v>
      </c>
      <c r="T189" s="2">
        <v>341</v>
      </c>
      <c r="U189" s="2">
        <v>165</v>
      </c>
      <c r="V189" s="2">
        <v>36</v>
      </c>
      <c r="W189" s="2">
        <v>4805</v>
      </c>
      <c r="X189" s="9">
        <v>671764</v>
      </c>
      <c r="Y189" s="2" t="s">
        <v>46</v>
      </c>
      <c r="AA189" s="1" t="str">
        <f>TRIM(RPG_dataset[[#This Row],[Username]])</f>
        <v>mora_546</v>
      </c>
      <c r="AB189" s="1" t="str">
        <f>TRIM(RPG_dataset[[#This Row],[First Name]])</f>
        <v>Mora</v>
      </c>
      <c r="AC189" s="1" t="str">
        <f>PROPER(TRIM(RPG_dataset[[#This Row],[Race]]))</f>
        <v>Halfling</v>
      </c>
      <c r="AD189" s="1" t="str">
        <f>PROPER(TRIM(RPG_dataset[[#This Row],[Class]]))</f>
        <v>Bard</v>
      </c>
      <c r="AE189" s="1">
        <f>ABS(RPG_dataset[[#This Row],[Level]])</f>
        <v>70</v>
      </c>
      <c r="AF189" s="1">
        <f>ABS(RPG_dataset[[#This Row],[ATK]])</f>
        <v>117</v>
      </c>
      <c r="AG189" s="1">
        <f>ABS(RPG_dataset[[#This Row],[DEF]])</f>
        <v>93</v>
      </c>
      <c r="AH189" s="1">
        <f>ABS(RPG_dataset[[#This Row],[SPD]])</f>
        <v>59</v>
      </c>
      <c r="AI189" s="1">
        <f>ABS(RPG_dataset[[#This Row],[HP]])</f>
        <v>1162</v>
      </c>
      <c r="AJ189" s="1">
        <f>ABS(RPG_dataset[[#This Row],[MP]])</f>
        <v>0</v>
      </c>
      <c r="AK189" s="1">
        <f>ABS(RPG_dataset[[#This Row],[Total Stat]])</f>
        <v>269</v>
      </c>
      <c r="AL189" s="1">
        <f>ABS(RPG_dataset[[#This Row],[Kills]])</f>
        <v>188</v>
      </c>
      <c r="AM189" s="12">
        <f>ABS(RPG_dataset[[#This Row],[Win Rate (%)]])</f>
        <v>36</v>
      </c>
      <c r="AN189" s="4">
        <f>ABS(RPG_dataset[[#This Row],[Gold Earned]])</f>
        <v>671764</v>
      </c>
      <c r="AO189" s="5" t="str">
        <f t="shared" si="2"/>
        <v>OK</v>
      </c>
      <c r="AP189" s="5">
        <f>RANK(clean[[#This Row],[Clean Gold]],clean[Clean Gold], 0)</f>
        <v>162</v>
      </c>
      <c r="AQ189" s="1">
        <v>236</v>
      </c>
      <c r="AR189" s="1" t="str" cm="1">
        <f t="array" ref="AR189">_xlfn.IFS(clean[[#This Row],[Clean Level]]&gt;=76, "Legend", clean[[#This Row],[Clean Level]]&gt;=51, "Elite", clean[[#This Row],[Clean Level]]&gt;=26, "Veteran", TRUE, "Rookie")</f>
        <v>Elite</v>
      </c>
      <c r="AS189" s="1" t="str">
        <f>IF(RPG_dataset[[#This Row],[Status]]="Active", "TRUE", "FALSE")</f>
        <v>TRUE</v>
      </c>
      <c r="AT189" s="1" t="str" cm="1">
        <f t="array" ref="AT189">_xlfn.IFS(clean[[#This Row],[Clean Win Rate]]&gt;70, "Excellent", clean[[#This Row],[Clean Win Rate]]&gt;=40, "Average", TRUE, "Poor")</f>
        <v>Poor</v>
      </c>
      <c r="AU189" s="1" t="str">
        <f>IF(AND(clean[[#This Row],[Clean Level]]&gt;80, clean[[#This Row],[Clean Total Stat]]&gt;350, clean[[#This Row],[Clean Gold]]&gt;500000), "Overpowered", "Normal")</f>
        <v>Normal</v>
      </c>
      <c r="AV189" s="1" t="str" cm="1">
        <f t="array" ref="AV18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89" s="1" t="str" cm="1">
        <f t="array" ref="AW18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89" s="1"/>
    </row>
    <row r="190" spans="1:50" x14ac:dyDescent="0.3">
      <c r="A190" s="2" t="s">
        <v>751</v>
      </c>
      <c r="B190" s="2" t="s">
        <v>752</v>
      </c>
      <c r="C190" s="2" t="s">
        <v>517</v>
      </c>
      <c r="D190" s="2" t="s">
        <v>119</v>
      </c>
      <c r="E190" s="2" t="s">
        <v>71</v>
      </c>
      <c r="F190" s="2" t="s">
        <v>42</v>
      </c>
      <c r="G190" s="2">
        <v>40</v>
      </c>
      <c r="H190" s="2" t="s">
        <v>43</v>
      </c>
      <c r="I190" s="2" t="s">
        <v>140</v>
      </c>
      <c r="J190" s="2" t="s">
        <v>120</v>
      </c>
      <c r="K190" s="2" t="s">
        <v>99</v>
      </c>
      <c r="L190" s="6" t="s">
        <v>753</v>
      </c>
      <c r="M190" s="2">
        <v>129</v>
      </c>
      <c r="N190" s="2">
        <v>68</v>
      </c>
      <c r="O190" s="2">
        <v>119</v>
      </c>
      <c r="P190" s="2">
        <v>2247</v>
      </c>
      <c r="Q190" s="2">
        <v>1632</v>
      </c>
      <c r="R190" s="2">
        <v>316</v>
      </c>
      <c r="S190" s="2">
        <v>3030</v>
      </c>
      <c r="T190" s="2">
        <v>230</v>
      </c>
      <c r="U190" s="2">
        <v>11</v>
      </c>
      <c r="V190" s="2">
        <v>93</v>
      </c>
      <c r="W190" s="2">
        <v>3570</v>
      </c>
      <c r="X190" s="9">
        <v>509697</v>
      </c>
      <c r="Y190" s="2" t="s">
        <v>36</v>
      </c>
      <c r="AA190" s="1" t="str">
        <f>TRIM(RPG_dataset[[#This Row],[Username]])</f>
        <v>myra_842</v>
      </c>
      <c r="AB190" s="1" t="str">
        <f>TRIM(RPG_dataset[[#This Row],[First Name]])</f>
        <v>Myra</v>
      </c>
      <c r="AC190" s="1" t="str">
        <f>PROPER(TRIM(RPG_dataset[[#This Row],[Race]]))</f>
        <v>Dragonborn</v>
      </c>
      <c r="AD190" s="1" t="str">
        <f>PROPER(TRIM(RPG_dataset[[#This Row],[Class]]))</f>
        <v>Monk</v>
      </c>
      <c r="AE190" s="1">
        <f>ABS(RPG_dataset[[#This Row],[Level]])</f>
        <v>40</v>
      </c>
      <c r="AF190" s="1">
        <f>ABS(RPG_dataset[[#This Row],[ATK]])</f>
        <v>129</v>
      </c>
      <c r="AG190" s="1">
        <f>ABS(RPG_dataset[[#This Row],[DEF]])</f>
        <v>68</v>
      </c>
      <c r="AH190" s="1">
        <f>ABS(RPG_dataset[[#This Row],[SPD]])</f>
        <v>119</v>
      </c>
      <c r="AI190" s="1">
        <f>ABS(RPG_dataset[[#This Row],[HP]])</f>
        <v>2247</v>
      </c>
      <c r="AJ190" s="1">
        <f>ABS(RPG_dataset[[#This Row],[MP]])</f>
        <v>1632</v>
      </c>
      <c r="AK190" s="1">
        <f>ABS(RPG_dataset[[#This Row],[Total Stat]])</f>
        <v>316</v>
      </c>
      <c r="AL190" s="1">
        <f>ABS(RPG_dataset[[#This Row],[Kills]])</f>
        <v>3030</v>
      </c>
      <c r="AM190" s="12">
        <f>ABS(RPG_dataset[[#This Row],[Win Rate (%)]])</f>
        <v>93</v>
      </c>
      <c r="AN190" s="4">
        <f>ABS(RPG_dataset[[#This Row],[Gold Earned]])</f>
        <v>509697</v>
      </c>
      <c r="AO190" s="5" t="str">
        <f t="shared" si="2"/>
        <v>OK</v>
      </c>
      <c r="AP190" s="5">
        <f>RANK(clean[[#This Row],[Clean Gold]],clean[Clean Gold], 0)</f>
        <v>245</v>
      </c>
      <c r="AQ190" s="1">
        <v>293</v>
      </c>
      <c r="AR190" s="1" t="str" cm="1">
        <f t="array" ref="AR190">_xlfn.IFS(clean[[#This Row],[Clean Level]]&gt;=76, "Legend", clean[[#This Row],[Clean Level]]&gt;=51, "Elite", clean[[#This Row],[Clean Level]]&gt;=26, "Veteran", TRUE, "Rookie")</f>
        <v>Veteran</v>
      </c>
      <c r="AS190" s="1" t="str">
        <f>IF(RPG_dataset[[#This Row],[Status]]="Active", "TRUE", "FALSE")</f>
        <v>FALSE</v>
      </c>
      <c r="AT190" s="1" t="str" cm="1">
        <f t="array" ref="AT190">_xlfn.IFS(clean[[#This Row],[Clean Win Rate]]&gt;70, "Excellent", clean[[#This Row],[Clean Win Rate]]&gt;=40, "Average", TRUE, "Poor")</f>
        <v>Excellent</v>
      </c>
      <c r="AU190" s="1" t="str">
        <f>IF(AND(clean[[#This Row],[Clean Level]]&gt;80, clean[[#This Row],[Clean Total Stat]]&gt;350, clean[[#This Row],[Clean Gold]]&gt;500000), "Overpowered", "Normal")</f>
        <v>Normal</v>
      </c>
      <c r="AV190" s="1" t="str" cm="1">
        <f t="array" ref="AV19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90" s="1" t="str" cm="1">
        <f t="array" ref="AW19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190" s="1"/>
    </row>
    <row r="191" spans="1:50" x14ac:dyDescent="0.3">
      <c r="A191" s="2" t="s">
        <v>754</v>
      </c>
      <c r="B191" s="2" t="s">
        <v>755</v>
      </c>
      <c r="C191" s="2" t="s">
        <v>238</v>
      </c>
      <c r="D191" s="2" t="s">
        <v>104</v>
      </c>
      <c r="E191" s="2" t="s">
        <v>71</v>
      </c>
      <c r="F191" s="2" t="s">
        <v>98</v>
      </c>
      <c r="G191" s="2">
        <v>54</v>
      </c>
      <c r="H191" s="2" t="s">
        <v>125</v>
      </c>
      <c r="I191" s="2" t="s">
        <v>63</v>
      </c>
      <c r="J191" s="2" t="s">
        <v>92</v>
      </c>
      <c r="K191" s="2" t="s">
        <v>99</v>
      </c>
      <c r="L191" s="6" t="s">
        <v>756</v>
      </c>
      <c r="M191" s="2">
        <v>70</v>
      </c>
      <c r="N191" s="2">
        <v>138</v>
      </c>
      <c r="O191" s="2">
        <v>14</v>
      </c>
      <c r="P191" s="2">
        <v>953</v>
      </c>
      <c r="Q191" s="2">
        <v>1239</v>
      </c>
      <c r="R191" s="2">
        <v>222</v>
      </c>
      <c r="S191" s="2">
        <v>4535</v>
      </c>
      <c r="T191" s="2">
        <v>431</v>
      </c>
      <c r="U191" s="2">
        <v>37</v>
      </c>
      <c r="V191" s="2">
        <v>91</v>
      </c>
      <c r="W191" s="2">
        <v>4280</v>
      </c>
      <c r="X191" s="9">
        <v>999412</v>
      </c>
      <c r="Y191" s="2" t="s">
        <v>46</v>
      </c>
      <c r="AA191" s="1" t="str">
        <f>TRIM(RPG_dataset[[#This Row],[Username]])</f>
        <v>cael_986</v>
      </c>
      <c r="AB191" s="1" t="str">
        <f>TRIM(RPG_dataset[[#This Row],[First Name]])</f>
        <v>Cael</v>
      </c>
      <c r="AC191" s="1" t="str">
        <f>PROPER(TRIM(RPG_dataset[[#This Row],[Race]]))</f>
        <v>Dragonborn</v>
      </c>
      <c r="AD191" s="1" t="str">
        <f>PROPER(TRIM(RPG_dataset[[#This Row],[Class]]))</f>
        <v>Mage</v>
      </c>
      <c r="AE191" s="1">
        <f>ABS(RPG_dataset[[#This Row],[Level]])</f>
        <v>54</v>
      </c>
      <c r="AF191" s="1">
        <f>ABS(RPG_dataset[[#This Row],[ATK]])</f>
        <v>70</v>
      </c>
      <c r="AG191" s="1">
        <f>ABS(RPG_dataset[[#This Row],[DEF]])</f>
        <v>138</v>
      </c>
      <c r="AH191" s="1">
        <f>ABS(RPG_dataset[[#This Row],[SPD]])</f>
        <v>14</v>
      </c>
      <c r="AI191" s="1">
        <f>ABS(RPG_dataset[[#This Row],[HP]])</f>
        <v>953</v>
      </c>
      <c r="AJ191" s="1">
        <f>ABS(RPG_dataset[[#This Row],[MP]])</f>
        <v>1239</v>
      </c>
      <c r="AK191" s="1">
        <f>ABS(RPG_dataset[[#This Row],[Total Stat]])</f>
        <v>222</v>
      </c>
      <c r="AL191" s="1">
        <f>ABS(RPG_dataset[[#This Row],[Kills]])</f>
        <v>4535</v>
      </c>
      <c r="AM191" s="12">
        <f>ABS(RPG_dataset[[#This Row],[Win Rate (%)]])</f>
        <v>91</v>
      </c>
      <c r="AN191" s="4">
        <f>ABS(RPG_dataset[[#This Row],[Gold Earned]])</f>
        <v>999412</v>
      </c>
      <c r="AO191" s="5" t="str">
        <f t="shared" si="2"/>
        <v>OK</v>
      </c>
      <c r="AP191" s="5">
        <f>RANK(clean[[#This Row],[Clean Gold]],clean[Clean Gold], 0)</f>
        <v>1</v>
      </c>
      <c r="AQ191" s="1">
        <v>244</v>
      </c>
      <c r="AR191" s="1" t="str" cm="1">
        <f t="array" ref="AR191">_xlfn.IFS(clean[[#This Row],[Clean Level]]&gt;=76, "Legend", clean[[#This Row],[Clean Level]]&gt;=51, "Elite", clean[[#This Row],[Clean Level]]&gt;=26, "Veteran", TRUE, "Rookie")</f>
        <v>Elite</v>
      </c>
      <c r="AS191" s="1" t="str">
        <f>IF(RPG_dataset[[#This Row],[Status]]="Active", "TRUE", "FALSE")</f>
        <v>FALSE</v>
      </c>
      <c r="AT191" s="1" t="str" cm="1">
        <f t="array" ref="AT191">_xlfn.IFS(clean[[#This Row],[Clean Win Rate]]&gt;70, "Excellent", clean[[#This Row],[Clean Win Rate]]&gt;=40, "Average", TRUE, "Poor")</f>
        <v>Excellent</v>
      </c>
      <c r="AU191" s="1" t="str">
        <f>IF(AND(clean[[#This Row],[Clean Level]]&gt;80, clean[[#This Row],[Clean Total Stat]]&gt;350, clean[[#This Row],[Clean Gold]]&gt;500000), "Overpowered", "Normal")</f>
        <v>Normal</v>
      </c>
      <c r="AV191" s="1" t="str" cm="1">
        <f t="array" ref="AV19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91" s="1" t="str" cm="1">
        <f t="array" ref="AW19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91" s="1"/>
    </row>
    <row r="192" spans="1:50" x14ac:dyDescent="0.3">
      <c r="A192" s="2" t="s">
        <v>757</v>
      </c>
      <c r="B192" s="2" t="s">
        <v>758</v>
      </c>
      <c r="C192" s="2" t="s">
        <v>75</v>
      </c>
      <c r="D192" s="2" t="s">
        <v>234</v>
      </c>
      <c r="E192" s="2" t="s">
        <v>228</v>
      </c>
      <c r="F192" s="2" t="s">
        <v>42</v>
      </c>
      <c r="G192" s="2">
        <v>45</v>
      </c>
      <c r="H192" s="2" t="s">
        <v>157</v>
      </c>
      <c r="I192" s="2" t="s">
        <v>74</v>
      </c>
      <c r="J192" s="2" t="s">
        <v>88</v>
      </c>
      <c r="K192" s="2" t="s">
        <v>99</v>
      </c>
      <c r="L192" s="6" t="s">
        <v>759</v>
      </c>
      <c r="M192" s="2">
        <v>99</v>
      </c>
      <c r="N192" s="2">
        <v>-126</v>
      </c>
      <c r="O192" s="2">
        <v>89</v>
      </c>
      <c r="P192" s="2">
        <v>4961</v>
      </c>
      <c r="Q192" s="2">
        <v>2868</v>
      </c>
      <c r="R192" s="2">
        <v>314</v>
      </c>
      <c r="S192" s="2">
        <v>522</v>
      </c>
      <c r="T192" s="2">
        <v>967</v>
      </c>
      <c r="U192" s="2">
        <v>253</v>
      </c>
      <c r="V192" s="2">
        <v>35</v>
      </c>
      <c r="W192" s="2">
        <v>1181</v>
      </c>
      <c r="X192" s="9">
        <v>290604</v>
      </c>
      <c r="Y192" s="2" t="s">
        <v>46</v>
      </c>
      <c r="AA192" s="1" t="str">
        <f>TRIM(RPG_dataset[[#This Row],[Username]])</f>
        <v>vex_540</v>
      </c>
      <c r="AB192" s="1" t="str">
        <f>TRIM(RPG_dataset[[#This Row],[First Name]])</f>
        <v/>
      </c>
      <c r="AC192" s="1" t="str">
        <f>PROPER(TRIM(RPG_dataset[[#This Row],[Race]]))</f>
        <v>Elf</v>
      </c>
      <c r="AD192" s="1" t="str">
        <f>PROPER(TRIM(RPG_dataset[[#This Row],[Class]]))</f>
        <v>Monk</v>
      </c>
      <c r="AE192" s="1">
        <f>ABS(RPG_dataset[[#This Row],[Level]])</f>
        <v>45</v>
      </c>
      <c r="AF192" s="1">
        <f>ABS(RPG_dataset[[#This Row],[ATK]])</f>
        <v>99</v>
      </c>
      <c r="AG192" s="1">
        <f>ABS(RPG_dataset[[#This Row],[DEF]])</f>
        <v>126</v>
      </c>
      <c r="AH192" s="1">
        <f>ABS(RPG_dataset[[#This Row],[SPD]])</f>
        <v>89</v>
      </c>
      <c r="AI192" s="1">
        <f>ABS(RPG_dataset[[#This Row],[HP]])</f>
        <v>4961</v>
      </c>
      <c r="AJ192" s="1">
        <f>ABS(RPG_dataset[[#This Row],[MP]])</f>
        <v>2868</v>
      </c>
      <c r="AK192" s="1">
        <f>ABS(RPG_dataset[[#This Row],[Total Stat]])</f>
        <v>314</v>
      </c>
      <c r="AL192" s="1">
        <f>ABS(RPG_dataset[[#This Row],[Kills]])</f>
        <v>522</v>
      </c>
      <c r="AM192" s="12">
        <f>ABS(RPG_dataset[[#This Row],[Win Rate (%)]])</f>
        <v>35</v>
      </c>
      <c r="AN192" s="4">
        <f>ABS(RPG_dataset[[#This Row],[Gold Earned]])</f>
        <v>290604</v>
      </c>
      <c r="AO192" s="5" t="str">
        <f t="shared" si="2"/>
        <v>OK</v>
      </c>
      <c r="AP192" s="5">
        <f>RANK(clean[[#This Row],[Clean Gold]],clean[Clean Gold], 0)</f>
        <v>357</v>
      </c>
      <c r="AQ192" s="1">
        <v>175</v>
      </c>
      <c r="AR192" s="1" t="str" cm="1">
        <f t="array" ref="AR192">_xlfn.IFS(clean[[#This Row],[Clean Level]]&gt;=76, "Legend", clean[[#This Row],[Clean Level]]&gt;=51, "Elite", clean[[#This Row],[Clean Level]]&gt;=26, "Veteran", TRUE, "Rookie")</f>
        <v>Veteran</v>
      </c>
      <c r="AS192" s="1" t="str">
        <f>IF(RPG_dataset[[#This Row],[Status]]="Active", "TRUE", "FALSE")</f>
        <v>FALSE</v>
      </c>
      <c r="AT192" s="1" t="str" cm="1">
        <f t="array" ref="AT192">_xlfn.IFS(clean[[#This Row],[Clean Win Rate]]&gt;70, "Excellent", clean[[#This Row],[Clean Win Rate]]&gt;=40, "Average", TRUE, "Poor")</f>
        <v>Poor</v>
      </c>
      <c r="AU192" s="1" t="str">
        <f>IF(AND(clean[[#This Row],[Clean Level]]&gt;80, clean[[#This Row],[Clean Total Stat]]&gt;350, clean[[#This Row],[Clean Gold]]&gt;500000), "Overpowered", "Normal")</f>
        <v>Normal</v>
      </c>
      <c r="AV192" s="1" t="str" cm="1">
        <f t="array" ref="AV192">_xlfn.IFS(
(AND(OR(clean[[#This Row],[Tier]]="Elite", clean[[#This Row],[Tier]]="Legend"), clean[[#This Row],[Performance]]="Excellent", RPG_dataset[[#This Row],[Is Premium]]="Yes")), "High", OR(OR(clean[[#This Row],[Tier]]="Elite", clean[[#This Row],[Tier]]="Legend"), clean[[#This Row],[Performance]]="Excellent", RPG_dataset[[#This Row],[Is Premium]]="Yes"), "Medium", TRUE, "Low")</f>
        <v>Low</v>
      </c>
      <c r="AW192" s="1" t="str" cm="1">
        <f t="array" ref="AW19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92" s="1"/>
    </row>
    <row r="193" spans="1:50" x14ac:dyDescent="0.3">
      <c r="A193" s="2" t="s">
        <v>760</v>
      </c>
      <c r="B193" s="2" t="s">
        <v>761</v>
      </c>
      <c r="C193" s="2" t="s">
        <v>154</v>
      </c>
      <c r="D193" s="2" t="s">
        <v>277</v>
      </c>
      <c r="E193" s="2" t="s">
        <v>105</v>
      </c>
      <c r="F193" s="2" t="s">
        <v>194</v>
      </c>
      <c r="G193" s="2">
        <v>69</v>
      </c>
      <c r="H193" s="2" t="s">
        <v>157</v>
      </c>
      <c r="I193" s="2" t="s">
        <v>140</v>
      </c>
      <c r="J193" s="2" t="s">
        <v>81</v>
      </c>
      <c r="K193" s="2" t="s">
        <v>44</v>
      </c>
      <c r="L193" s="6" t="s">
        <v>762</v>
      </c>
      <c r="M193" s="2">
        <v>23</v>
      </c>
      <c r="N193" s="2">
        <v>47</v>
      </c>
      <c r="O193" s="2">
        <v>62</v>
      </c>
      <c r="P193" s="2">
        <v>3965</v>
      </c>
      <c r="Q193" s="2">
        <v>-2405</v>
      </c>
      <c r="R193" s="2">
        <v>132</v>
      </c>
      <c r="S193" s="2">
        <v>656</v>
      </c>
      <c r="T193" s="2">
        <v>639</v>
      </c>
      <c r="U193" s="2">
        <v>100</v>
      </c>
      <c r="V193" s="2">
        <v>51</v>
      </c>
      <c r="W193" s="2">
        <v>7524</v>
      </c>
      <c r="X193" s="9">
        <v>851518</v>
      </c>
      <c r="Y193" s="2" t="s">
        <v>46</v>
      </c>
      <c r="AA193" s="1" t="str">
        <f>TRIM(RPG_dataset[[#This Row],[Username]])</f>
        <v>nolan_680</v>
      </c>
      <c r="AB193" s="1" t="str">
        <f>TRIM(RPG_dataset[[#This Row],[First Name]])</f>
        <v>Nolan</v>
      </c>
      <c r="AC193" s="1" t="str">
        <f>PROPER(TRIM(RPG_dataset[[#This Row],[Race]]))</f>
        <v>Orc</v>
      </c>
      <c r="AD193" s="1" t="str">
        <f>PROPER(TRIM(RPG_dataset[[#This Row],[Class]]))</f>
        <v>Paladin</v>
      </c>
      <c r="AE193" s="1">
        <f>ABS(RPG_dataset[[#This Row],[Level]])</f>
        <v>69</v>
      </c>
      <c r="AF193" s="1">
        <f>ABS(RPG_dataset[[#This Row],[ATK]])</f>
        <v>23</v>
      </c>
      <c r="AG193" s="1">
        <f>ABS(RPG_dataset[[#This Row],[DEF]])</f>
        <v>47</v>
      </c>
      <c r="AH193" s="1">
        <f>ABS(RPG_dataset[[#This Row],[SPD]])</f>
        <v>62</v>
      </c>
      <c r="AI193" s="1">
        <f>ABS(RPG_dataset[[#This Row],[HP]])</f>
        <v>3965</v>
      </c>
      <c r="AJ193" s="1">
        <f>ABS(RPG_dataset[[#This Row],[MP]])</f>
        <v>2405</v>
      </c>
      <c r="AK193" s="1">
        <f>ABS(RPG_dataset[[#This Row],[Total Stat]])</f>
        <v>132</v>
      </c>
      <c r="AL193" s="1">
        <f>ABS(RPG_dataset[[#This Row],[Kills]])</f>
        <v>656</v>
      </c>
      <c r="AM193" s="12">
        <f>ABS(RPG_dataset[[#This Row],[Win Rate (%)]])</f>
        <v>51</v>
      </c>
      <c r="AN193" s="4">
        <f>ABS(RPG_dataset[[#This Row],[Gold Earned]])</f>
        <v>851518</v>
      </c>
      <c r="AO193" s="5" t="str">
        <f t="shared" si="2"/>
        <v>OK</v>
      </c>
      <c r="AP193" s="5">
        <f>RANK(clean[[#This Row],[Clean Gold]],clean[Clean Gold], 0)</f>
        <v>77</v>
      </c>
      <c r="AQ193" s="1">
        <v>123</v>
      </c>
      <c r="AR193" s="1" t="str" cm="1">
        <f t="array" ref="AR193">_xlfn.IFS(clean[[#This Row],[Clean Level]]&gt;=76, "Legend", clean[[#This Row],[Clean Level]]&gt;=51, "Elite", clean[[#This Row],[Clean Level]]&gt;=26, "Veteran", TRUE, "Rookie")</f>
        <v>Elite</v>
      </c>
      <c r="AS193" s="1" t="str">
        <f>IF(RPG_dataset[[#This Row],[Status]]="Active", "TRUE", "FALSE")</f>
        <v>TRUE</v>
      </c>
      <c r="AT193" s="1" t="str" cm="1">
        <f t="array" ref="AT193">_xlfn.IFS(clean[[#This Row],[Clean Win Rate]]&gt;70, "Excellent", clean[[#This Row],[Clean Win Rate]]&gt;=40, "Average", TRUE, "Poor")</f>
        <v>Average</v>
      </c>
      <c r="AU193" s="1" t="str">
        <f>IF(AND(clean[[#This Row],[Clean Level]]&gt;80, clean[[#This Row],[Clean Total Stat]]&gt;350, clean[[#This Row],[Clean Gold]]&gt;500000), "Overpowered", "Normal")</f>
        <v>Normal</v>
      </c>
      <c r="AV193" s="1" t="str" cm="1">
        <f t="array" ref="AV19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93" s="1" t="str" cm="1">
        <f t="array" ref="AW19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193" s="1"/>
    </row>
    <row r="194" spans="1:50" x14ac:dyDescent="0.3">
      <c r="A194" s="2" t="s">
        <v>763</v>
      </c>
      <c r="B194" s="2" t="s">
        <v>764</v>
      </c>
      <c r="C194" s="2" t="s">
        <v>219</v>
      </c>
      <c r="D194" s="2" t="s">
        <v>50</v>
      </c>
      <c r="E194" s="2" t="s">
        <v>71</v>
      </c>
      <c r="F194" s="2" t="s">
        <v>72</v>
      </c>
      <c r="G194" s="2">
        <v>5</v>
      </c>
      <c r="H194" s="2" t="s">
        <v>73</v>
      </c>
      <c r="I194" s="2" t="s">
        <v>32</v>
      </c>
      <c r="J194" s="2" t="s">
        <v>81</v>
      </c>
      <c r="K194" s="2" t="s">
        <v>44</v>
      </c>
      <c r="L194" s="6" t="s">
        <v>765</v>
      </c>
      <c r="M194" s="2">
        <v>65</v>
      </c>
      <c r="N194" s="2">
        <v>10</v>
      </c>
      <c r="O194" s="2">
        <v>43</v>
      </c>
      <c r="P194" s="2">
        <v>3952</v>
      </c>
      <c r="Q194" s="2">
        <v>764</v>
      </c>
      <c r="R194" s="2">
        <v>118</v>
      </c>
      <c r="S194" s="2">
        <v>1951</v>
      </c>
      <c r="T194" s="2">
        <v>677</v>
      </c>
      <c r="U194" s="2">
        <v>49</v>
      </c>
      <c r="V194" s="2">
        <v>74</v>
      </c>
      <c r="W194" s="2">
        <v>5384</v>
      </c>
      <c r="X194" s="9">
        <v>676303</v>
      </c>
      <c r="Y194" s="2" t="s">
        <v>36</v>
      </c>
      <c r="AA194" s="1" t="str">
        <f>TRIM(RPG_dataset[[#This Row],[Username]])</f>
        <v>torin_411</v>
      </c>
      <c r="AB194" s="1" t="str">
        <f>TRIM(RPG_dataset[[#This Row],[First Name]])</f>
        <v>Torin</v>
      </c>
      <c r="AC194" s="1" t="str">
        <f>PROPER(TRIM(RPG_dataset[[#This Row],[Race]]))</f>
        <v>Dragonborn</v>
      </c>
      <c r="AD194" s="1" t="str">
        <f>PROPER(TRIM(RPG_dataset[[#This Row],[Class]]))</f>
        <v>Warrior</v>
      </c>
      <c r="AE194" s="1">
        <f>ABS(RPG_dataset[[#This Row],[Level]])</f>
        <v>5</v>
      </c>
      <c r="AF194" s="1">
        <f>ABS(RPG_dataset[[#This Row],[ATK]])</f>
        <v>65</v>
      </c>
      <c r="AG194" s="1">
        <f>ABS(RPG_dataset[[#This Row],[DEF]])</f>
        <v>10</v>
      </c>
      <c r="AH194" s="1">
        <f>ABS(RPG_dataset[[#This Row],[SPD]])</f>
        <v>43</v>
      </c>
      <c r="AI194" s="1">
        <f>ABS(RPG_dataset[[#This Row],[HP]])</f>
        <v>3952</v>
      </c>
      <c r="AJ194" s="1">
        <f>ABS(RPG_dataset[[#This Row],[MP]])</f>
        <v>764</v>
      </c>
      <c r="AK194" s="1">
        <f>ABS(RPG_dataset[[#This Row],[Total Stat]])</f>
        <v>118</v>
      </c>
      <c r="AL194" s="1">
        <f>ABS(RPG_dataset[[#This Row],[Kills]])</f>
        <v>1951</v>
      </c>
      <c r="AM194" s="12">
        <f>ABS(RPG_dataset[[#This Row],[Win Rate (%)]])</f>
        <v>74</v>
      </c>
      <c r="AN194" s="4">
        <f>ABS(RPG_dataset[[#This Row],[Gold Earned]])</f>
        <v>676303</v>
      </c>
      <c r="AO194" s="5" t="str">
        <f t="shared" ref="AO194:AO257" si="3">IF(MID(L194, 5, 1)="-", "OK", "Fix This")</f>
        <v>OK</v>
      </c>
      <c r="AP194" s="5">
        <f>RANK(clean[[#This Row],[Clean Gold]],clean[Clean Gold], 0)</f>
        <v>161</v>
      </c>
      <c r="AQ194" s="1">
        <v>203</v>
      </c>
      <c r="AR194" s="1" t="str" cm="1">
        <f t="array" ref="AR194">_xlfn.IFS(clean[[#This Row],[Clean Level]]&gt;=76, "Legend", clean[[#This Row],[Clean Level]]&gt;=51, "Elite", clean[[#This Row],[Clean Level]]&gt;=26, "Veteran", TRUE, "Rookie")</f>
        <v>Rookie</v>
      </c>
      <c r="AS194" s="1" t="str">
        <f>IF(RPG_dataset[[#This Row],[Status]]="Active", "TRUE", "FALSE")</f>
        <v>TRUE</v>
      </c>
      <c r="AT194" s="1" t="str" cm="1">
        <f t="array" ref="AT194">_xlfn.IFS(clean[[#This Row],[Clean Win Rate]]&gt;70, "Excellent", clean[[#This Row],[Clean Win Rate]]&gt;=40, "Average", TRUE, "Poor")</f>
        <v>Excellent</v>
      </c>
      <c r="AU194" s="1" t="str">
        <f>IF(AND(clean[[#This Row],[Clean Level]]&gt;80, clean[[#This Row],[Clean Total Stat]]&gt;350, clean[[#This Row],[Clean Gold]]&gt;500000), "Overpowered", "Normal")</f>
        <v>Normal</v>
      </c>
      <c r="AV194" s="1" t="str" cm="1">
        <f t="array" ref="AV19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94" s="1" t="str" cm="1">
        <f t="array" ref="AW19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94" s="1"/>
    </row>
    <row r="195" spans="1:50" x14ac:dyDescent="0.3">
      <c r="A195" s="2" t="s">
        <v>766</v>
      </c>
      <c r="B195" s="2" t="s">
        <v>767</v>
      </c>
      <c r="C195" s="2" t="s">
        <v>296</v>
      </c>
      <c r="D195" s="2" t="s">
        <v>277</v>
      </c>
      <c r="E195" s="2" t="s">
        <v>228</v>
      </c>
      <c r="F195" s="2" t="s">
        <v>61</v>
      </c>
      <c r="G195" s="2">
        <v>6</v>
      </c>
      <c r="H195" s="2" t="s">
        <v>263</v>
      </c>
      <c r="I195" s="2" t="s">
        <v>54</v>
      </c>
      <c r="J195" s="2" t="s">
        <v>64</v>
      </c>
      <c r="K195" s="2" t="s">
        <v>44</v>
      </c>
      <c r="L195" s="6" t="s">
        <v>768</v>
      </c>
      <c r="M195" s="2">
        <v>141</v>
      </c>
      <c r="N195" s="2">
        <v>105</v>
      </c>
      <c r="O195" s="2">
        <v>28</v>
      </c>
      <c r="P195" s="2">
        <v>2121</v>
      </c>
      <c r="Q195" s="2">
        <v>1376</v>
      </c>
      <c r="R195" s="2">
        <v>274</v>
      </c>
      <c r="S195" s="2">
        <v>4145</v>
      </c>
      <c r="T195" s="2">
        <v>557</v>
      </c>
      <c r="U195" s="2">
        <v>55</v>
      </c>
      <c r="V195" s="2">
        <v>88</v>
      </c>
      <c r="W195" s="2">
        <v>2561</v>
      </c>
      <c r="X195" s="9">
        <v>454794</v>
      </c>
      <c r="Y195" s="2" t="s">
        <v>36</v>
      </c>
      <c r="AA195" s="1" t="str">
        <f>TRIM(RPG_dataset[[#This Row],[Username]])</f>
        <v>gareth_876</v>
      </c>
      <c r="AB195" s="1" t="str">
        <f>TRIM(RPG_dataset[[#This Row],[First Name]])</f>
        <v>Gareth</v>
      </c>
      <c r="AC195" s="1" t="str">
        <f>PROPER(TRIM(RPG_dataset[[#This Row],[Race]]))</f>
        <v>Elf</v>
      </c>
      <c r="AD195" s="1" t="str">
        <f>PROPER(TRIM(RPG_dataset[[#This Row],[Class]]))</f>
        <v>Ranger</v>
      </c>
      <c r="AE195" s="1">
        <f>ABS(RPG_dataset[[#This Row],[Level]])</f>
        <v>6</v>
      </c>
      <c r="AF195" s="1">
        <f>ABS(RPG_dataset[[#This Row],[ATK]])</f>
        <v>141</v>
      </c>
      <c r="AG195" s="1">
        <f>ABS(RPG_dataset[[#This Row],[DEF]])</f>
        <v>105</v>
      </c>
      <c r="AH195" s="1">
        <f>ABS(RPG_dataset[[#This Row],[SPD]])</f>
        <v>28</v>
      </c>
      <c r="AI195" s="1">
        <f>ABS(RPG_dataset[[#This Row],[HP]])</f>
        <v>2121</v>
      </c>
      <c r="AJ195" s="1">
        <f>ABS(RPG_dataset[[#This Row],[MP]])</f>
        <v>1376</v>
      </c>
      <c r="AK195" s="1">
        <f>ABS(RPG_dataset[[#This Row],[Total Stat]])</f>
        <v>274</v>
      </c>
      <c r="AL195" s="1">
        <f>ABS(RPG_dataset[[#This Row],[Kills]])</f>
        <v>4145</v>
      </c>
      <c r="AM195" s="12">
        <f>ABS(RPG_dataset[[#This Row],[Win Rate (%)]])</f>
        <v>88</v>
      </c>
      <c r="AN195" s="4">
        <f>ABS(RPG_dataset[[#This Row],[Gold Earned]])</f>
        <v>454794</v>
      </c>
      <c r="AO195" s="5" t="str">
        <f t="shared" si="3"/>
        <v>OK</v>
      </c>
      <c r="AP195" s="5">
        <f>RANK(clean[[#This Row],[Clean Gold]],clean[Clean Gold], 0)</f>
        <v>276</v>
      </c>
      <c r="AQ195" s="1">
        <v>316</v>
      </c>
      <c r="AR195" s="1" t="str" cm="1">
        <f t="array" ref="AR195">_xlfn.IFS(clean[[#This Row],[Clean Level]]&gt;=76, "Legend", clean[[#This Row],[Clean Level]]&gt;=51, "Elite", clean[[#This Row],[Clean Level]]&gt;=26, "Veteran", TRUE, "Rookie")</f>
        <v>Rookie</v>
      </c>
      <c r="AS195" s="1" t="str">
        <f>IF(RPG_dataset[[#This Row],[Status]]="Active", "TRUE", "FALSE")</f>
        <v>TRUE</v>
      </c>
      <c r="AT195" s="1" t="str" cm="1">
        <f t="array" ref="AT195">_xlfn.IFS(clean[[#This Row],[Clean Win Rate]]&gt;70, "Excellent", clean[[#This Row],[Clean Win Rate]]&gt;=40, "Average", TRUE, "Poor")</f>
        <v>Excellent</v>
      </c>
      <c r="AU195" s="1" t="str">
        <f>IF(AND(clean[[#This Row],[Clean Level]]&gt;80, clean[[#This Row],[Clean Total Stat]]&gt;350, clean[[#This Row],[Clean Gold]]&gt;500000), "Overpowered", "Normal")</f>
        <v>Normal</v>
      </c>
      <c r="AV195" s="1" t="str" cm="1">
        <f t="array" ref="AV19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95" s="1" t="str" cm="1">
        <f t="array" ref="AW19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195" s="1"/>
    </row>
    <row r="196" spans="1:50" x14ac:dyDescent="0.3">
      <c r="A196" s="2" t="s">
        <v>769</v>
      </c>
      <c r="B196" s="2" t="s">
        <v>770</v>
      </c>
      <c r="C196" s="2" t="s">
        <v>227</v>
      </c>
      <c r="D196" s="2" t="s">
        <v>304</v>
      </c>
      <c r="E196" s="2" t="s">
        <v>60</v>
      </c>
      <c r="F196" s="2" t="s">
        <v>42</v>
      </c>
      <c r="G196" s="2">
        <v>35</v>
      </c>
      <c r="H196" s="2" t="s">
        <v>31</v>
      </c>
      <c r="I196" s="2" t="s">
        <v>126</v>
      </c>
      <c r="J196" s="2" t="s">
        <v>120</v>
      </c>
      <c r="K196" s="2" t="s">
        <v>99</v>
      </c>
      <c r="L196" s="6" t="s">
        <v>771</v>
      </c>
      <c r="M196" s="2">
        <v>116</v>
      </c>
      <c r="N196" s="2">
        <v>33</v>
      </c>
      <c r="O196" s="2">
        <v>143</v>
      </c>
      <c r="P196" s="2"/>
      <c r="Q196" s="2">
        <v>2513</v>
      </c>
      <c r="R196" s="2">
        <v>292</v>
      </c>
      <c r="S196" s="2">
        <v>469</v>
      </c>
      <c r="T196" s="2">
        <v>457</v>
      </c>
      <c r="U196" s="2">
        <v>115</v>
      </c>
      <c r="V196" s="2">
        <v>51</v>
      </c>
      <c r="W196" s="2">
        <v>6114</v>
      </c>
      <c r="X196" s="9">
        <v>98417</v>
      </c>
      <c r="Y196" s="2" t="s">
        <v>46</v>
      </c>
      <c r="AA196" s="1" t="str">
        <f>TRIM(RPG_dataset[[#This Row],[Username]])</f>
        <v>nyx_758</v>
      </c>
      <c r="AB196" s="1" t="str">
        <f>TRIM(RPG_dataset[[#This Row],[First Name]])</f>
        <v>Nyx</v>
      </c>
      <c r="AC196" s="1" t="str">
        <f>PROPER(TRIM(RPG_dataset[[#This Row],[Race]]))</f>
        <v>Human</v>
      </c>
      <c r="AD196" s="1" t="str">
        <f>PROPER(TRIM(RPG_dataset[[#This Row],[Class]]))</f>
        <v>Monk</v>
      </c>
      <c r="AE196" s="1">
        <f>ABS(RPG_dataset[[#This Row],[Level]])</f>
        <v>35</v>
      </c>
      <c r="AF196" s="1">
        <f>ABS(RPG_dataset[[#This Row],[ATK]])</f>
        <v>116</v>
      </c>
      <c r="AG196" s="1">
        <f>ABS(RPG_dataset[[#This Row],[DEF]])</f>
        <v>33</v>
      </c>
      <c r="AH196" s="1">
        <f>ABS(RPG_dataset[[#This Row],[SPD]])</f>
        <v>143</v>
      </c>
      <c r="AI196" s="1">
        <f>ABS(RPG_dataset[[#This Row],[HP]])</f>
        <v>0</v>
      </c>
      <c r="AJ196" s="1">
        <f>ABS(RPG_dataset[[#This Row],[MP]])</f>
        <v>2513</v>
      </c>
      <c r="AK196" s="1">
        <f>ABS(RPG_dataset[[#This Row],[Total Stat]])</f>
        <v>292</v>
      </c>
      <c r="AL196" s="1">
        <f>ABS(RPG_dataset[[#This Row],[Kills]])</f>
        <v>469</v>
      </c>
      <c r="AM196" s="12">
        <f>ABS(RPG_dataset[[#This Row],[Win Rate (%)]])</f>
        <v>51</v>
      </c>
      <c r="AN196" s="4">
        <f>ABS(RPG_dataset[[#This Row],[Gold Earned]])</f>
        <v>98417</v>
      </c>
      <c r="AO196" s="5" t="str">
        <f t="shared" si="3"/>
        <v>OK</v>
      </c>
      <c r="AP196" s="5">
        <f>RANK(clean[[#This Row],[Clean Gold]],clean[Clean Gold], 0)</f>
        <v>440</v>
      </c>
      <c r="AQ196" s="1">
        <v>190</v>
      </c>
      <c r="AR196" s="1" t="str" cm="1">
        <f t="array" ref="AR196">_xlfn.IFS(clean[[#This Row],[Clean Level]]&gt;=76, "Legend", clean[[#This Row],[Clean Level]]&gt;=51, "Elite", clean[[#This Row],[Clean Level]]&gt;=26, "Veteran", TRUE, "Rookie")</f>
        <v>Veteran</v>
      </c>
      <c r="AS196" s="1" t="str">
        <f>IF(RPG_dataset[[#This Row],[Status]]="Active", "TRUE", "FALSE")</f>
        <v>FALSE</v>
      </c>
      <c r="AT196" s="1" t="str" cm="1">
        <f t="array" ref="AT196">_xlfn.IFS(clean[[#This Row],[Clean Win Rate]]&gt;70, "Excellent", clean[[#This Row],[Clean Win Rate]]&gt;=40, "Average", TRUE, "Poor")</f>
        <v>Average</v>
      </c>
      <c r="AU196" s="1" t="str">
        <f>IF(AND(clean[[#This Row],[Clean Level]]&gt;80, clean[[#This Row],[Clean Total Stat]]&gt;350, clean[[#This Row],[Clean Gold]]&gt;500000), "Overpowered", "Normal")</f>
        <v>Normal</v>
      </c>
      <c r="AV196" s="1" t="str" cm="1">
        <f t="array" ref="AV196">_xlfn.IFS(
(AND(OR(clean[[#This Row],[Tier]]="Elite", clean[[#This Row],[Tier]]="Legend"), clean[[#This Row],[Performance]]="Excellent", RPG_dataset[[#This Row],[Is Premium]]="Yes")), "High", OR(OR(clean[[#This Row],[Tier]]="Elite", clean[[#This Row],[Tier]]="Legend"), clean[[#This Row],[Performance]]="Excellent", RPG_dataset[[#This Row],[Is Premium]]="Yes"), "Medium", TRUE, "Low")</f>
        <v>Low</v>
      </c>
      <c r="AW196" s="1" t="str" cm="1">
        <f t="array" ref="AW19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196" s="1"/>
    </row>
    <row r="197" spans="1:50" x14ac:dyDescent="0.3">
      <c r="A197" s="2" t="s">
        <v>772</v>
      </c>
      <c r="B197" s="2" t="s">
        <v>773</v>
      </c>
      <c r="C197" s="2" t="s">
        <v>79</v>
      </c>
      <c r="D197" s="2" t="s">
        <v>254</v>
      </c>
      <c r="E197" s="2" t="s">
        <v>228</v>
      </c>
      <c r="F197" s="2" t="s">
        <v>61</v>
      </c>
      <c r="G197" s="2">
        <v>-7</v>
      </c>
      <c r="H197" s="2" t="s">
        <v>80</v>
      </c>
      <c r="I197" s="2" t="s">
        <v>54</v>
      </c>
      <c r="J197" s="2" t="s">
        <v>120</v>
      </c>
      <c r="K197" s="2" t="s">
        <v>44</v>
      </c>
      <c r="L197" s="6" t="s">
        <v>774</v>
      </c>
      <c r="M197" s="2">
        <v>58</v>
      </c>
      <c r="N197" s="2">
        <v>100</v>
      </c>
      <c r="O197" s="2">
        <v>54</v>
      </c>
      <c r="P197" s="2">
        <v>2548</v>
      </c>
      <c r="Q197" s="2">
        <v>2633</v>
      </c>
      <c r="R197" s="2">
        <v>212</v>
      </c>
      <c r="S197" s="2">
        <v>3920</v>
      </c>
      <c r="T197" s="2">
        <v>5</v>
      </c>
      <c r="U197" s="2">
        <v>98</v>
      </c>
      <c r="V197" s="2">
        <v>100</v>
      </c>
      <c r="W197" s="2">
        <v>9627</v>
      </c>
      <c r="X197" s="9">
        <v>710725</v>
      </c>
      <c r="Y197" s="2" t="s">
        <v>46</v>
      </c>
      <c r="AA197" s="1" t="str">
        <f>TRIM(RPG_dataset[[#This Row],[Username]])</f>
        <v>mira_786</v>
      </c>
      <c r="AB197" s="1" t="str">
        <f>TRIM(RPG_dataset[[#This Row],[First Name]])</f>
        <v>Mira</v>
      </c>
      <c r="AC197" s="1" t="str">
        <f>PROPER(TRIM(RPG_dataset[[#This Row],[Race]]))</f>
        <v>Elf</v>
      </c>
      <c r="AD197" s="1" t="str">
        <f>PROPER(TRIM(RPG_dataset[[#This Row],[Class]]))</f>
        <v>Ranger</v>
      </c>
      <c r="AE197" s="1">
        <f>ABS(RPG_dataset[[#This Row],[Level]])</f>
        <v>7</v>
      </c>
      <c r="AF197" s="1">
        <f>ABS(RPG_dataset[[#This Row],[ATK]])</f>
        <v>58</v>
      </c>
      <c r="AG197" s="1">
        <f>ABS(RPG_dataset[[#This Row],[DEF]])</f>
        <v>100</v>
      </c>
      <c r="AH197" s="1">
        <f>ABS(RPG_dataset[[#This Row],[SPD]])</f>
        <v>54</v>
      </c>
      <c r="AI197" s="1">
        <f>ABS(RPG_dataset[[#This Row],[HP]])</f>
        <v>2548</v>
      </c>
      <c r="AJ197" s="1">
        <f>ABS(RPG_dataset[[#This Row],[MP]])</f>
        <v>2633</v>
      </c>
      <c r="AK197" s="1">
        <f>ABS(RPG_dataset[[#This Row],[Total Stat]])</f>
        <v>212</v>
      </c>
      <c r="AL197" s="1">
        <f>ABS(RPG_dataset[[#This Row],[Kills]])</f>
        <v>3920</v>
      </c>
      <c r="AM197" s="12">
        <f>ABS(RPG_dataset[[#This Row],[Win Rate (%)]])</f>
        <v>100</v>
      </c>
      <c r="AN197" s="4">
        <f>ABS(RPG_dataset[[#This Row],[Gold Earned]])</f>
        <v>710725</v>
      </c>
      <c r="AO197" s="5" t="str">
        <f t="shared" si="3"/>
        <v>OK</v>
      </c>
      <c r="AP197" s="5">
        <f>RANK(clean[[#This Row],[Clean Gold]],clean[Clean Gold], 0)</f>
        <v>141</v>
      </c>
      <c r="AQ197" s="1">
        <v>213</v>
      </c>
      <c r="AR197" s="1" t="str" cm="1">
        <f t="array" ref="AR197">_xlfn.IFS(clean[[#This Row],[Clean Level]]&gt;=76, "Legend", clean[[#This Row],[Clean Level]]&gt;=51, "Elite", clean[[#This Row],[Clean Level]]&gt;=26, "Veteran", TRUE, "Rookie")</f>
        <v>Rookie</v>
      </c>
      <c r="AS197" s="1" t="str">
        <f>IF(RPG_dataset[[#This Row],[Status]]="Active", "TRUE", "FALSE")</f>
        <v>TRUE</v>
      </c>
      <c r="AT197" s="1" t="str" cm="1">
        <f t="array" ref="AT197">_xlfn.IFS(clean[[#This Row],[Clean Win Rate]]&gt;70, "Excellent", clean[[#This Row],[Clean Win Rate]]&gt;=40, "Average", TRUE, "Poor")</f>
        <v>Excellent</v>
      </c>
      <c r="AU197" s="1" t="str">
        <f>IF(AND(clean[[#This Row],[Clean Level]]&gt;80, clean[[#This Row],[Clean Total Stat]]&gt;350, clean[[#This Row],[Clean Gold]]&gt;500000), "Overpowered", "Normal")</f>
        <v>Normal</v>
      </c>
      <c r="AV197" s="1" t="str" cm="1">
        <f t="array" ref="AV19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97" s="1" t="str" cm="1">
        <f t="array" ref="AW19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197" s="1"/>
    </row>
    <row r="198" spans="1:50" x14ac:dyDescent="0.3">
      <c r="A198" s="2" t="s">
        <v>775</v>
      </c>
      <c r="B198" s="2" t="s">
        <v>776</v>
      </c>
      <c r="C198" s="2" t="s">
        <v>110</v>
      </c>
      <c r="D198" s="2" t="s">
        <v>144</v>
      </c>
      <c r="E198" s="2" t="s">
        <v>169</v>
      </c>
      <c r="F198" s="2" t="s">
        <v>72</v>
      </c>
      <c r="G198" s="2">
        <v>71</v>
      </c>
      <c r="H198" s="2" t="s">
        <v>432</v>
      </c>
      <c r="I198" s="2" t="s">
        <v>87</v>
      </c>
      <c r="J198" s="2" t="s">
        <v>111</v>
      </c>
      <c r="K198" s="2" t="s">
        <v>44</v>
      </c>
      <c r="L198" s="6" t="s">
        <v>777</v>
      </c>
      <c r="M198" s="2"/>
      <c r="N198" s="2">
        <v>130</v>
      </c>
      <c r="O198" s="2">
        <v>103</v>
      </c>
      <c r="P198" s="2">
        <v>2311</v>
      </c>
      <c r="Q198" s="2">
        <v>1736</v>
      </c>
      <c r="R198" s="2">
        <v>332</v>
      </c>
      <c r="S198" s="2">
        <v>3419</v>
      </c>
      <c r="T198" s="2">
        <v>189</v>
      </c>
      <c r="U198" s="2">
        <v>279</v>
      </c>
      <c r="V198" s="2">
        <v>95</v>
      </c>
      <c r="W198" s="2">
        <v>4401</v>
      </c>
      <c r="X198" s="9">
        <v>840809</v>
      </c>
      <c r="Y198" s="2" t="s">
        <v>46</v>
      </c>
      <c r="AA198" s="1" t="str">
        <f>TRIM(RPG_dataset[[#This Row],[Username]])</f>
        <v>tara_379</v>
      </c>
      <c r="AB198" s="1" t="str">
        <f>TRIM(RPG_dataset[[#This Row],[First Name]])</f>
        <v>Tara</v>
      </c>
      <c r="AC198" s="1" t="str">
        <f>PROPER(TRIM(RPG_dataset[[#This Row],[Race]]))</f>
        <v>Halfling</v>
      </c>
      <c r="AD198" s="1" t="str">
        <f>PROPER(TRIM(RPG_dataset[[#This Row],[Class]]))</f>
        <v>Warrior</v>
      </c>
      <c r="AE198" s="1">
        <f>ABS(RPG_dataset[[#This Row],[Level]])</f>
        <v>71</v>
      </c>
      <c r="AF198" s="1">
        <f>ABS(RPG_dataset[[#This Row],[ATK]])</f>
        <v>0</v>
      </c>
      <c r="AG198" s="1">
        <f>ABS(RPG_dataset[[#This Row],[DEF]])</f>
        <v>130</v>
      </c>
      <c r="AH198" s="1">
        <f>ABS(RPG_dataset[[#This Row],[SPD]])</f>
        <v>103</v>
      </c>
      <c r="AI198" s="1">
        <f>ABS(RPG_dataset[[#This Row],[HP]])</f>
        <v>2311</v>
      </c>
      <c r="AJ198" s="1">
        <f>ABS(RPG_dataset[[#This Row],[MP]])</f>
        <v>1736</v>
      </c>
      <c r="AK198" s="1">
        <f>ABS(RPG_dataset[[#This Row],[Total Stat]])</f>
        <v>332</v>
      </c>
      <c r="AL198" s="1">
        <f>ABS(RPG_dataset[[#This Row],[Kills]])</f>
        <v>3419</v>
      </c>
      <c r="AM198" s="12">
        <f>ABS(RPG_dataset[[#This Row],[Win Rate (%)]])</f>
        <v>95</v>
      </c>
      <c r="AN198" s="4">
        <f>ABS(RPG_dataset[[#This Row],[Gold Earned]])</f>
        <v>840809</v>
      </c>
      <c r="AO198" s="5" t="str">
        <f t="shared" si="3"/>
        <v>OK</v>
      </c>
      <c r="AP198" s="5">
        <f>RANK(clean[[#This Row],[Clean Gold]],clean[Clean Gold], 0)</f>
        <v>84</v>
      </c>
      <c r="AQ198" s="1">
        <v>156</v>
      </c>
      <c r="AR198" s="1" t="str" cm="1">
        <f t="array" ref="AR198">_xlfn.IFS(clean[[#This Row],[Clean Level]]&gt;=76, "Legend", clean[[#This Row],[Clean Level]]&gt;=51, "Elite", clean[[#This Row],[Clean Level]]&gt;=26, "Veteran", TRUE, "Rookie")</f>
        <v>Elite</v>
      </c>
      <c r="AS198" s="1" t="str">
        <f>IF(RPG_dataset[[#This Row],[Status]]="Active", "TRUE", "FALSE")</f>
        <v>TRUE</v>
      </c>
      <c r="AT198" s="1" t="str" cm="1">
        <f t="array" ref="AT198">_xlfn.IFS(clean[[#This Row],[Clean Win Rate]]&gt;70, "Excellent", clean[[#This Row],[Clean Win Rate]]&gt;=40, "Average", TRUE, "Poor")</f>
        <v>Excellent</v>
      </c>
      <c r="AU198" s="1" t="str">
        <f>IF(AND(clean[[#This Row],[Clean Level]]&gt;80, clean[[#This Row],[Clean Total Stat]]&gt;350, clean[[#This Row],[Clean Gold]]&gt;500000), "Overpowered", "Normal")</f>
        <v>Normal</v>
      </c>
      <c r="AV198" s="1" t="str" cm="1">
        <f t="array" ref="AV19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98" s="1" t="str" cm="1">
        <f t="array" ref="AW19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Squad Inti</v>
      </c>
      <c r="AX198" s="1"/>
    </row>
    <row r="199" spans="1:50" x14ac:dyDescent="0.3">
      <c r="A199" s="2" t="s">
        <v>778</v>
      </c>
      <c r="B199" s="2" t="s">
        <v>779</v>
      </c>
      <c r="C199" s="2" t="s">
        <v>360</v>
      </c>
      <c r="D199" s="2" t="s">
        <v>272</v>
      </c>
      <c r="E199" s="2" t="s">
        <v>228</v>
      </c>
      <c r="F199" s="2" t="s">
        <v>194</v>
      </c>
      <c r="G199" s="2">
        <v>67</v>
      </c>
      <c r="H199" s="2" t="s">
        <v>157</v>
      </c>
      <c r="I199" s="2" t="s">
        <v>126</v>
      </c>
      <c r="J199" s="2" t="s">
        <v>81</v>
      </c>
      <c r="K199" s="2" t="s">
        <v>44</v>
      </c>
      <c r="L199" s="6" t="s">
        <v>780</v>
      </c>
      <c r="M199" s="2">
        <v>61</v>
      </c>
      <c r="N199" s="2"/>
      <c r="O199" s="2">
        <v>82</v>
      </c>
      <c r="P199" s="2">
        <v>3819</v>
      </c>
      <c r="Q199" s="2">
        <v>2370</v>
      </c>
      <c r="R199" s="2">
        <v>239</v>
      </c>
      <c r="S199" s="2">
        <v>1532</v>
      </c>
      <c r="T199" s="2">
        <v>946</v>
      </c>
      <c r="U199" s="2">
        <v>37</v>
      </c>
      <c r="V199" s="2">
        <v>62</v>
      </c>
      <c r="W199" s="2">
        <v>3625</v>
      </c>
      <c r="X199" s="9">
        <v>932115</v>
      </c>
      <c r="Y199" s="2" t="s">
        <v>46</v>
      </c>
      <c r="AA199" s="1" t="str">
        <f>TRIM(RPG_dataset[[#This Row],[Username]])</f>
        <v>oryn_307</v>
      </c>
      <c r="AB199" s="1" t="str">
        <f>TRIM(RPG_dataset[[#This Row],[First Name]])</f>
        <v>Oryn</v>
      </c>
      <c r="AC199" s="1" t="str">
        <f>PROPER(TRIM(RPG_dataset[[#This Row],[Race]]))</f>
        <v>Elf</v>
      </c>
      <c r="AD199" s="1" t="str">
        <f>PROPER(TRIM(RPG_dataset[[#This Row],[Class]]))</f>
        <v>Paladin</v>
      </c>
      <c r="AE199" s="1">
        <f>ABS(RPG_dataset[[#This Row],[Level]])</f>
        <v>67</v>
      </c>
      <c r="AF199" s="1">
        <f>ABS(RPG_dataset[[#This Row],[ATK]])</f>
        <v>61</v>
      </c>
      <c r="AG199" s="1">
        <f>ABS(RPG_dataset[[#This Row],[DEF]])</f>
        <v>0</v>
      </c>
      <c r="AH199" s="1">
        <f>ABS(RPG_dataset[[#This Row],[SPD]])</f>
        <v>82</v>
      </c>
      <c r="AI199" s="1">
        <f>ABS(RPG_dataset[[#This Row],[HP]])</f>
        <v>3819</v>
      </c>
      <c r="AJ199" s="1">
        <f>ABS(RPG_dataset[[#This Row],[MP]])</f>
        <v>2370</v>
      </c>
      <c r="AK199" s="1">
        <f>ABS(RPG_dataset[[#This Row],[Total Stat]])</f>
        <v>239</v>
      </c>
      <c r="AL199" s="1">
        <f>ABS(RPG_dataset[[#This Row],[Kills]])</f>
        <v>1532</v>
      </c>
      <c r="AM199" s="12">
        <f>ABS(RPG_dataset[[#This Row],[Win Rate (%)]])</f>
        <v>62</v>
      </c>
      <c r="AN199" s="4">
        <f>ABS(RPG_dataset[[#This Row],[Gold Earned]])</f>
        <v>932115</v>
      </c>
      <c r="AO199" s="5" t="str">
        <f t="shared" si="3"/>
        <v>OK</v>
      </c>
      <c r="AP199" s="5">
        <f>RANK(clean[[#This Row],[Clean Gold]],clean[Clean Gold], 0)</f>
        <v>33</v>
      </c>
      <c r="AQ199" s="1">
        <v>383</v>
      </c>
      <c r="AR199" s="1" t="str" cm="1">
        <f t="array" ref="AR199">_xlfn.IFS(clean[[#This Row],[Clean Level]]&gt;=76, "Legend", clean[[#This Row],[Clean Level]]&gt;=51, "Elite", clean[[#This Row],[Clean Level]]&gt;=26, "Veteran", TRUE, "Rookie")</f>
        <v>Elite</v>
      </c>
      <c r="AS199" s="1" t="str">
        <f>IF(RPG_dataset[[#This Row],[Status]]="Active", "TRUE", "FALSE")</f>
        <v>TRUE</v>
      </c>
      <c r="AT199" s="1" t="str" cm="1">
        <f t="array" ref="AT199">_xlfn.IFS(clean[[#This Row],[Clean Win Rate]]&gt;70, "Excellent", clean[[#This Row],[Clean Win Rate]]&gt;=40, "Average", TRUE, "Poor")</f>
        <v>Average</v>
      </c>
      <c r="AU199" s="1" t="str">
        <f>IF(AND(clean[[#This Row],[Clean Level]]&gt;80, clean[[#This Row],[Clean Total Stat]]&gt;350, clean[[#This Row],[Clean Gold]]&gt;500000), "Overpowered", "Normal")</f>
        <v>Normal</v>
      </c>
      <c r="AV199" s="1" t="str" cm="1">
        <f t="array" ref="AV19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199" s="1" t="str" cm="1">
        <f t="array" ref="AW19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199" s="1"/>
    </row>
    <row r="200" spans="1:50" x14ac:dyDescent="0.3">
      <c r="A200" s="2" t="s">
        <v>781</v>
      </c>
      <c r="B200" s="2" t="s">
        <v>782</v>
      </c>
      <c r="C200" s="2" t="s">
        <v>58</v>
      </c>
      <c r="D200" s="2" t="s">
        <v>155</v>
      </c>
      <c r="E200" s="2" t="s">
        <v>41</v>
      </c>
      <c r="F200" s="2" t="s">
        <v>124</v>
      </c>
      <c r="G200" s="2">
        <v>91</v>
      </c>
      <c r="H200" s="2" t="s">
        <v>31</v>
      </c>
      <c r="I200" s="2" t="s">
        <v>87</v>
      </c>
      <c r="J200" s="2" t="s">
        <v>81</v>
      </c>
      <c r="K200" s="2" t="s">
        <v>44</v>
      </c>
      <c r="L200" s="6" t="s">
        <v>783</v>
      </c>
      <c r="M200" s="2">
        <v>61</v>
      </c>
      <c r="N200" s="2">
        <v>12</v>
      </c>
      <c r="O200" s="2">
        <v>111</v>
      </c>
      <c r="P200" s="2">
        <v>403</v>
      </c>
      <c r="Q200" s="2">
        <v>96</v>
      </c>
      <c r="R200" s="2">
        <v>184</v>
      </c>
      <c r="S200" s="2">
        <v>3221</v>
      </c>
      <c r="T200" s="2">
        <v>243</v>
      </c>
      <c r="U200" s="2">
        <v>30</v>
      </c>
      <c r="V200" s="2">
        <v>93</v>
      </c>
      <c r="W200" s="2">
        <v>9920</v>
      </c>
      <c r="X200" s="9">
        <v>8886</v>
      </c>
      <c r="Y200" s="2" t="s">
        <v>36</v>
      </c>
      <c r="AA200" s="1" t="str">
        <f>TRIM(RPG_dataset[[#This Row],[Username]])</f>
        <v>kael_844</v>
      </c>
      <c r="AB200" s="1" t="str">
        <f>TRIM(RPG_dataset[[#This Row],[First Name]])</f>
        <v>Kael</v>
      </c>
      <c r="AC200" s="1" t="str">
        <f>PROPER(TRIM(RPG_dataset[[#This Row],[Race]]))</f>
        <v>Gnome</v>
      </c>
      <c r="AD200" s="1" t="str">
        <f>PROPER(TRIM(RPG_dataset[[#This Row],[Class]]))</f>
        <v>Necromancer</v>
      </c>
      <c r="AE200" s="1">
        <f>ABS(RPG_dataset[[#This Row],[Level]])</f>
        <v>91</v>
      </c>
      <c r="AF200" s="1">
        <f>ABS(RPG_dataset[[#This Row],[ATK]])</f>
        <v>61</v>
      </c>
      <c r="AG200" s="1">
        <f>ABS(RPG_dataset[[#This Row],[DEF]])</f>
        <v>12</v>
      </c>
      <c r="AH200" s="1">
        <f>ABS(RPG_dataset[[#This Row],[SPD]])</f>
        <v>111</v>
      </c>
      <c r="AI200" s="1">
        <f>ABS(RPG_dataset[[#This Row],[HP]])</f>
        <v>403</v>
      </c>
      <c r="AJ200" s="1">
        <f>ABS(RPG_dataset[[#This Row],[MP]])</f>
        <v>96</v>
      </c>
      <c r="AK200" s="1">
        <f>ABS(RPG_dataset[[#This Row],[Total Stat]])</f>
        <v>184</v>
      </c>
      <c r="AL200" s="1">
        <f>ABS(RPG_dataset[[#This Row],[Kills]])</f>
        <v>3221</v>
      </c>
      <c r="AM200" s="12">
        <f>ABS(RPG_dataset[[#This Row],[Win Rate (%)]])</f>
        <v>93</v>
      </c>
      <c r="AN200" s="4">
        <f>ABS(RPG_dataset[[#This Row],[Gold Earned]])</f>
        <v>8886</v>
      </c>
      <c r="AO200" s="5" t="str">
        <f t="shared" si="3"/>
        <v>OK</v>
      </c>
      <c r="AP200" s="5">
        <f>RANK(clean[[#This Row],[Clean Gold]],clean[Clean Gold], 0)</f>
        <v>482</v>
      </c>
      <c r="AQ200" s="1">
        <v>89</v>
      </c>
      <c r="AR200" s="1" t="str" cm="1">
        <f t="array" ref="AR200">_xlfn.IFS(clean[[#This Row],[Clean Level]]&gt;=76, "Legend", clean[[#This Row],[Clean Level]]&gt;=51, "Elite", clean[[#This Row],[Clean Level]]&gt;=26, "Veteran", TRUE, "Rookie")</f>
        <v>Legend</v>
      </c>
      <c r="AS200" s="1" t="str">
        <f>IF(RPG_dataset[[#This Row],[Status]]="Active", "TRUE", "FALSE")</f>
        <v>TRUE</v>
      </c>
      <c r="AT200" s="1" t="str" cm="1">
        <f t="array" ref="AT200">_xlfn.IFS(clean[[#This Row],[Clean Win Rate]]&gt;70, "Excellent", clean[[#This Row],[Clean Win Rate]]&gt;=40, "Average", TRUE, "Poor")</f>
        <v>Excellent</v>
      </c>
      <c r="AU200" s="1" t="str">
        <f>IF(AND(clean[[#This Row],[Clean Level]]&gt;80, clean[[#This Row],[Clean Total Stat]]&gt;350, clean[[#This Row],[Clean Gold]]&gt;500000), "Overpowered", "Normal")</f>
        <v>Normal</v>
      </c>
      <c r="AV200" s="1" t="str" cm="1">
        <f t="array" ref="AV200">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200" s="1" t="str" cm="1">
        <f t="array" ref="AW20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00" s="1"/>
    </row>
    <row r="201" spans="1:50" x14ac:dyDescent="0.3">
      <c r="A201" s="2" t="s">
        <v>784</v>
      </c>
      <c r="B201" s="2" t="s">
        <v>785</v>
      </c>
      <c r="C201" s="2" t="s">
        <v>271</v>
      </c>
      <c r="D201" s="2" t="s">
        <v>28</v>
      </c>
      <c r="E201" s="2" t="s">
        <v>41</v>
      </c>
      <c r="F201" s="2" t="s">
        <v>61</v>
      </c>
      <c r="G201" s="2">
        <v>99</v>
      </c>
      <c r="H201" s="2" t="s">
        <v>43</v>
      </c>
      <c r="I201" s="2" t="s">
        <v>63</v>
      </c>
      <c r="J201" s="2" t="s">
        <v>120</v>
      </c>
      <c r="K201" s="2" t="s">
        <v>44</v>
      </c>
      <c r="L201" s="6" t="s">
        <v>786</v>
      </c>
      <c r="M201" s="2">
        <v>102</v>
      </c>
      <c r="N201" s="2">
        <v>69</v>
      </c>
      <c r="O201" s="2">
        <v>135</v>
      </c>
      <c r="P201" s="2">
        <v>2215</v>
      </c>
      <c r="Q201" s="2">
        <v>2438</v>
      </c>
      <c r="R201" s="2">
        <v>306</v>
      </c>
      <c r="S201" s="2">
        <v>730</v>
      </c>
      <c r="T201" s="2">
        <v>715</v>
      </c>
      <c r="U201" s="2">
        <v>206</v>
      </c>
      <c r="V201" s="2">
        <v>51</v>
      </c>
      <c r="W201" s="2">
        <v>2424</v>
      </c>
      <c r="X201" s="9">
        <v>223694</v>
      </c>
      <c r="Y201" s="2" t="s">
        <v>46</v>
      </c>
      <c r="AA201" s="1" t="str">
        <f>TRIM(RPG_dataset[[#This Row],[Username]])</f>
        <v>vesper_664</v>
      </c>
      <c r="AB201" s="1" t="str">
        <f>TRIM(RPG_dataset[[#This Row],[First Name]])</f>
        <v>Vesper</v>
      </c>
      <c r="AC201" s="1" t="str">
        <f>PROPER(TRIM(RPG_dataset[[#This Row],[Race]]))</f>
        <v>Gnome</v>
      </c>
      <c r="AD201" s="1" t="str">
        <f>PROPER(TRIM(RPG_dataset[[#This Row],[Class]]))</f>
        <v>Ranger</v>
      </c>
      <c r="AE201" s="1">
        <f>ABS(RPG_dataset[[#This Row],[Level]])</f>
        <v>99</v>
      </c>
      <c r="AF201" s="1">
        <f>ABS(RPG_dataset[[#This Row],[ATK]])</f>
        <v>102</v>
      </c>
      <c r="AG201" s="1">
        <f>ABS(RPG_dataset[[#This Row],[DEF]])</f>
        <v>69</v>
      </c>
      <c r="AH201" s="1">
        <f>ABS(RPG_dataset[[#This Row],[SPD]])</f>
        <v>135</v>
      </c>
      <c r="AI201" s="1">
        <f>ABS(RPG_dataset[[#This Row],[HP]])</f>
        <v>2215</v>
      </c>
      <c r="AJ201" s="1">
        <f>ABS(RPG_dataset[[#This Row],[MP]])</f>
        <v>2438</v>
      </c>
      <c r="AK201" s="1">
        <f>ABS(RPG_dataset[[#This Row],[Total Stat]])</f>
        <v>306</v>
      </c>
      <c r="AL201" s="1">
        <f>ABS(RPG_dataset[[#This Row],[Kills]])</f>
        <v>730</v>
      </c>
      <c r="AM201" s="12">
        <f>ABS(RPG_dataset[[#This Row],[Win Rate (%)]])</f>
        <v>51</v>
      </c>
      <c r="AN201" s="4">
        <f>ABS(RPG_dataset[[#This Row],[Gold Earned]])</f>
        <v>223694</v>
      </c>
      <c r="AO201" s="5" t="str">
        <f t="shared" si="3"/>
        <v>OK</v>
      </c>
      <c r="AP201" s="5">
        <f>RANK(clean[[#This Row],[Clean Gold]],clean[Clean Gold], 0)</f>
        <v>389</v>
      </c>
      <c r="AQ201" s="1">
        <v>130</v>
      </c>
      <c r="AR201" s="1" t="str" cm="1">
        <f t="array" ref="AR201">_xlfn.IFS(clean[[#This Row],[Clean Level]]&gt;=76, "Legend", clean[[#This Row],[Clean Level]]&gt;=51, "Elite", clean[[#This Row],[Clean Level]]&gt;=26, "Veteran", TRUE, "Rookie")</f>
        <v>Legend</v>
      </c>
      <c r="AS201" s="1" t="str">
        <f>IF(RPG_dataset[[#This Row],[Status]]="Active", "TRUE", "FALSE")</f>
        <v>TRUE</v>
      </c>
      <c r="AT201" s="1" t="str" cm="1">
        <f t="array" ref="AT201">_xlfn.IFS(clean[[#This Row],[Clean Win Rate]]&gt;70, "Excellent", clean[[#This Row],[Clean Win Rate]]&gt;=40, "Average", TRUE, "Poor")</f>
        <v>Average</v>
      </c>
      <c r="AU201" s="1" t="str">
        <f>IF(AND(clean[[#This Row],[Clean Level]]&gt;80, clean[[#This Row],[Clean Total Stat]]&gt;350, clean[[#This Row],[Clean Gold]]&gt;500000), "Overpowered", "Normal")</f>
        <v>Normal</v>
      </c>
      <c r="AV201" s="1" t="str" cm="1">
        <f t="array" ref="AV20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01" s="1" t="str" cm="1">
        <f t="array" ref="AW20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01" s="1"/>
    </row>
    <row r="202" spans="1:50" x14ac:dyDescent="0.3">
      <c r="A202" s="2" t="s">
        <v>787</v>
      </c>
      <c r="B202" s="2" t="s">
        <v>788</v>
      </c>
      <c r="C202" s="2" t="s">
        <v>161</v>
      </c>
      <c r="D202" s="2" t="s">
        <v>70</v>
      </c>
      <c r="E202" s="2" t="s">
        <v>789</v>
      </c>
      <c r="F202" s="2" t="s">
        <v>194</v>
      </c>
      <c r="G202" s="2">
        <v>26</v>
      </c>
      <c r="H202" s="2" t="s">
        <v>43</v>
      </c>
      <c r="I202" s="2" t="s">
        <v>63</v>
      </c>
      <c r="J202" s="2" t="s">
        <v>64</v>
      </c>
      <c r="K202" s="2" t="s">
        <v>34</v>
      </c>
      <c r="L202" s="6" t="s">
        <v>790</v>
      </c>
      <c r="M202" s="2">
        <v>70</v>
      </c>
      <c r="N202" s="2">
        <v>144</v>
      </c>
      <c r="O202" s="2">
        <v>59</v>
      </c>
      <c r="P202" s="2">
        <v>3728</v>
      </c>
      <c r="Q202" s="2">
        <v>912</v>
      </c>
      <c r="R202" s="2">
        <v>273</v>
      </c>
      <c r="S202" s="2">
        <v>1852</v>
      </c>
      <c r="T202" s="2">
        <v>530</v>
      </c>
      <c r="U202" s="2">
        <v>248</v>
      </c>
      <c r="V202" s="2">
        <v>78</v>
      </c>
      <c r="W202" s="2">
        <v>1547</v>
      </c>
      <c r="X202" s="9">
        <v>207279</v>
      </c>
      <c r="Y202" s="2" t="s">
        <v>46</v>
      </c>
      <c r="AA202" s="1" t="str">
        <f>TRIM(RPG_dataset[[#This Row],[Username]])</f>
        <v>cedric_160</v>
      </c>
      <c r="AB202" s="1" t="str">
        <f>TRIM(RPG_dataset[[#This Row],[First Name]])</f>
        <v>Cedric</v>
      </c>
      <c r="AC202" s="1" t="str">
        <f>PROPER(TRIM(RPG_dataset[[#This Row],[Race]]))</f>
        <v>Gnome</v>
      </c>
      <c r="AD202" s="1" t="str">
        <f>PROPER(TRIM(RPG_dataset[[#This Row],[Class]]))</f>
        <v>Paladin</v>
      </c>
      <c r="AE202" s="1">
        <f>ABS(RPG_dataset[[#This Row],[Level]])</f>
        <v>26</v>
      </c>
      <c r="AF202" s="1">
        <f>ABS(RPG_dataset[[#This Row],[ATK]])</f>
        <v>70</v>
      </c>
      <c r="AG202" s="1">
        <f>ABS(RPG_dataset[[#This Row],[DEF]])</f>
        <v>144</v>
      </c>
      <c r="AH202" s="1">
        <f>ABS(RPG_dataset[[#This Row],[SPD]])</f>
        <v>59</v>
      </c>
      <c r="AI202" s="1">
        <f>ABS(RPG_dataset[[#This Row],[HP]])</f>
        <v>3728</v>
      </c>
      <c r="AJ202" s="1">
        <f>ABS(RPG_dataset[[#This Row],[MP]])</f>
        <v>912</v>
      </c>
      <c r="AK202" s="1">
        <f>ABS(RPG_dataset[[#This Row],[Total Stat]])</f>
        <v>273</v>
      </c>
      <c r="AL202" s="1">
        <f>ABS(RPG_dataset[[#This Row],[Kills]])</f>
        <v>1852</v>
      </c>
      <c r="AM202" s="12">
        <f>ABS(RPG_dataset[[#This Row],[Win Rate (%)]])</f>
        <v>78</v>
      </c>
      <c r="AN202" s="4">
        <f>ABS(RPG_dataset[[#This Row],[Gold Earned]])</f>
        <v>207279</v>
      </c>
      <c r="AO202" s="5" t="str">
        <f t="shared" si="3"/>
        <v>OK</v>
      </c>
      <c r="AP202" s="5">
        <f>RANK(clean[[#This Row],[Clean Gold]],clean[Clean Gold], 0)</f>
        <v>397</v>
      </c>
      <c r="AQ202" s="1">
        <v>261</v>
      </c>
      <c r="AR202" s="1" t="str" cm="1">
        <f t="array" ref="AR202">_xlfn.IFS(clean[[#This Row],[Clean Level]]&gt;=76, "Legend", clean[[#This Row],[Clean Level]]&gt;=51, "Elite", clean[[#This Row],[Clean Level]]&gt;=26, "Veteran", TRUE, "Rookie")</f>
        <v>Veteran</v>
      </c>
      <c r="AS202" s="1" t="str">
        <f>IF(RPG_dataset[[#This Row],[Status]]="Active", "TRUE", "FALSE")</f>
        <v>FALSE</v>
      </c>
      <c r="AT202" s="1" t="str" cm="1">
        <f t="array" ref="AT202">_xlfn.IFS(clean[[#This Row],[Clean Win Rate]]&gt;70, "Excellent", clean[[#This Row],[Clean Win Rate]]&gt;=40, "Average", TRUE, "Poor")</f>
        <v>Excellent</v>
      </c>
      <c r="AU202" s="1" t="str">
        <f>IF(AND(clean[[#This Row],[Clean Level]]&gt;80, clean[[#This Row],[Clean Total Stat]]&gt;350, clean[[#This Row],[Clean Gold]]&gt;500000), "Overpowered", "Normal")</f>
        <v>Normal</v>
      </c>
      <c r="AV202" s="1" t="str" cm="1">
        <f t="array" ref="AV20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02" s="1" t="str" cm="1">
        <f t="array" ref="AW20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202" s="1"/>
    </row>
    <row r="203" spans="1:50" x14ac:dyDescent="0.3">
      <c r="A203" s="2" t="s">
        <v>791</v>
      </c>
      <c r="B203" s="2" t="s">
        <v>792</v>
      </c>
      <c r="C203" s="2" t="s">
        <v>219</v>
      </c>
      <c r="D203" s="2" t="s">
        <v>139</v>
      </c>
      <c r="E203" s="2" t="s">
        <v>41</v>
      </c>
      <c r="F203" s="2" t="s">
        <v>98</v>
      </c>
      <c r="G203" s="2">
        <v>69</v>
      </c>
      <c r="H203" s="2" t="s">
        <v>157</v>
      </c>
      <c r="I203" s="2" t="s">
        <v>63</v>
      </c>
      <c r="J203" s="2" t="s">
        <v>81</v>
      </c>
      <c r="K203" s="2" t="s">
        <v>106</v>
      </c>
      <c r="L203" s="6" t="s">
        <v>793</v>
      </c>
      <c r="M203" s="2">
        <v>77</v>
      </c>
      <c r="N203" s="2">
        <v>145</v>
      </c>
      <c r="O203" s="2">
        <v>119</v>
      </c>
      <c r="P203" s="2">
        <v>259</v>
      </c>
      <c r="Q203" s="2">
        <v>2273</v>
      </c>
      <c r="R203" s="2">
        <v>-341</v>
      </c>
      <c r="S203" s="2">
        <v>3196</v>
      </c>
      <c r="T203" s="2">
        <v>810</v>
      </c>
      <c r="U203" s="2">
        <v>241</v>
      </c>
      <c r="V203" s="2">
        <v>80</v>
      </c>
      <c r="W203" s="2">
        <v>3930</v>
      </c>
      <c r="X203" s="9">
        <v>392971</v>
      </c>
      <c r="Y203" s="2" t="s">
        <v>46</v>
      </c>
      <c r="AA203" s="1" t="str">
        <f>TRIM(RPG_dataset[[#This Row],[Username]])</f>
        <v>torin_439</v>
      </c>
      <c r="AB203" s="1" t="str">
        <f>TRIM(RPG_dataset[[#This Row],[First Name]])</f>
        <v>Torin</v>
      </c>
      <c r="AC203" s="1" t="str">
        <f>PROPER(TRIM(RPG_dataset[[#This Row],[Race]]))</f>
        <v>Gnome</v>
      </c>
      <c r="AD203" s="1" t="str">
        <f>PROPER(TRIM(RPG_dataset[[#This Row],[Class]]))</f>
        <v>Mage</v>
      </c>
      <c r="AE203" s="1">
        <f>ABS(RPG_dataset[[#This Row],[Level]])</f>
        <v>69</v>
      </c>
      <c r="AF203" s="1">
        <f>ABS(RPG_dataset[[#This Row],[ATK]])</f>
        <v>77</v>
      </c>
      <c r="AG203" s="1">
        <f>ABS(RPG_dataset[[#This Row],[DEF]])</f>
        <v>145</v>
      </c>
      <c r="AH203" s="1">
        <f>ABS(RPG_dataset[[#This Row],[SPD]])</f>
        <v>119</v>
      </c>
      <c r="AI203" s="1">
        <f>ABS(RPG_dataset[[#This Row],[HP]])</f>
        <v>259</v>
      </c>
      <c r="AJ203" s="1">
        <f>ABS(RPG_dataset[[#This Row],[MP]])</f>
        <v>2273</v>
      </c>
      <c r="AK203" s="1">
        <f>ABS(RPG_dataset[[#This Row],[Total Stat]])</f>
        <v>341</v>
      </c>
      <c r="AL203" s="1">
        <f>ABS(RPG_dataset[[#This Row],[Kills]])</f>
        <v>3196</v>
      </c>
      <c r="AM203" s="12">
        <f>ABS(RPG_dataset[[#This Row],[Win Rate (%)]])</f>
        <v>80</v>
      </c>
      <c r="AN203" s="4">
        <f>ABS(RPG_dataset[[#This Row],[Gold Earned]])</f>
        <v>392971</v>
      </c>
      <c r="AO203" s="5" t="str">
        <f t="shared" si="3"/>
        <v>OK</v>
      </c>
      <c r="AP203" s="5">
        <f>RANK(clean[[#This Row],[Clean Gold]],clean[Clean Gold], 0)</f>
        <v>306</v>
      </c>
      <c r="AQ203" s="1">
        <v>162</v>
      </c>
      <c r="AR203" s="1" t="str" cm="1">
        <f t="array" ref="AR203">_xlfn.IFS(clean[[#This Row],[Clean Level]]&gt;=76, "Legend", clean[[#This Row],[Clean Level]]&gt;=51, "Elite", clean[[#This Row],[Clean Level]]&gt;=26, "Veteran", TRUE, "Rookie")</f>
        <v>Elite</v>
      </c>
      <c r="AS203" s="1" t="str">
        <f>IF(RPG_dataset[[#This Row],[Status]]="Active", "TRUE", "FALSE")</f>
        <v>FALSE</v>
      </c>
      <c r="AT203" s="1" t="str" cm="1">
        <f t="array" ref="AT203">_xlfn.IFS(clean[[#This Row],[Clean Win Rate]]&gt;70, "Excellent", clean[[#This Row],[Clean Win Rate]]&gt;=40, "Average", TRUE, "Poor")</f>
        <v>Excellent</v>
      </c>
      <c r="AU203" s="1" t="str">
        <f>IF(AND(clean[[#This Row],[Clean Level]]&gt;80, clean[[#This Row],[Clean Total Stat]]&gt;350, clean[[#This Row],[Clean Gold]]&gt;500000), "Overpowered", "Normal")</f>
        <v>Normal</v>
      </c>
      <c r="AV203" s="1" t="str" cm="1">
        <f t="array" ref="AV20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03" s="1" t="str" cm="1">
        <f t="array" ref="AW20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03" s="1"/>
    </row>
    <row r="204" spans="1:50" x14ac:dyDescent="0.3">
      <c r="A204" s="2" t="s">
        <v>794</v>
      </c>
      <c r="B204" s="2" t="s">
        <v>795</v>
      </c>
      <c r="C204" s="2" t="s">
        <v>680</v>
      </c>
      <c r="D204" s="2" t="s">
        <v>401</v>
      </c>
      <c r="E204" s="2" t="s">
        <v>51</v>
      </c>
      <c r="F204" s="2" t="s">
        <v>30</v>
      </c>
      <c r="G204" s="2">
        <v>45</v>
      </c>
      <c r="H204" s="2" t="s">
        <v>31</v>
      </c>
      <c r="I204" s="2" t="s">
        <v>54</v>
      </c>
      <c r="J204" s="2" t="s">
        <v>120</v>
      </c>
      <c r="K204" s="2" t="s">
        <v>44</v>
      </c>
      <c r="L204" s="6" t="s">
        <v>796</v>
      </c>
      <c r="M204" s="2">
        <v>125</v>
      </c>
      <c r="N204" s="2">
        <v>63</v>
      </c>
      <c r="O204" s="2">
        <v>67</v>
      </c>
      <c r="P204" s="2">
        <v>3511</v>
      </c>
      <c r="Q204" s="2">
        <v>865</v>
      </c>
      <c r="R204" s="2">
        <v>255</v>
      </c>
      <c r="S204" s="2">
        <v>163</v>
      </c>
      <c r="T204" s="2">
        <v>859</v>
      </c>
      <c r="U204" s="2">
        <v>-24</v>
      </c>
      <c r="V204" s="2">
        <v>16</v>
      </c>
      <c r="W204" s="2"/>
      <c r="X204" s="9">
        <v>340695</v>
      </c>
      <c r="Y204" s="2" t="s">
        <v>36</v>
      </c>
      <c r="AA204" s="1" t="str">
        <f>TRIM(RPG_dataset[[#This Row],[Username]])</f>
        <v>brix_250</v>
      </c>
      <c r="AB204" s="1" t="str">
        <f>TRIM(RPG_dataset[[#This Row],[First Name]])</f>
        <v>Brix</v>
      </c>
      <c r="AC204" s="1" t="str">
        <f>PROPER(TRIM(RPG_dataset[[#This Row],[Race]]))</f>
        <v>Tiefling</v>
      </c>
      <c r="AD204" s="1" t="str">
        <f>PROPER(TRIM(RPG_dataset[[#This Row],[Class]]))</f>
        <v>Rogue</v>
      </c>
      <c r="AE204" s="1">
        <f>ABS(RPG_dataset[[#This Row],[Level]])</f>
        <v>45</v>
      </c>
      <c r="AF204" s="1">
        <f>ABS(RPG_dataset[[#This Row],[ATK]])</f>
        <v>125</v>
      </c>
      <c r="AG204" s="1">
        <f>ABS(RPG_dataset[[#This Row],[DEF]])</f>
        <v>63</v>
      </c>
      <c r="AH204" s="1">
        <f>ABS(RPG_dataset[[#This Row],[SPD]])</f>
        <v>67</v>
      </c>
      <c r="AI204" s="1">
        <f>ABS(RPG_dataset[[#This Row],[HP]])</f>
        <v>3511</v>
      </c>
      <c r="AJ204" s="1">
        <f>ABS(RPG_dataset[[#This Row],[MP]])</f>
        <v>865</v>
      </c>
      <c r="AK204" s="1">
        <f>ABS(RPG_dataset[[#This Row],[Total Stat]])</f>
        <v>255</v>
      </c>
      <c r="AL204" s="1">
        <f>ABS(RPG_dataset[[#This Row],[Kills]])</f>
        <v>163</v>
      </c>
      <c r="AM204" s="12">
        <f>ABS(RPG_dataset[[#This Row],[Win Rate (%)]])</f>
        <v>16</v>
      </c>
      <c r="AN204" s="4">
        <f>ABS(RPG_dataset[[#This Row],[Gold Earned]])</f>
        <v>340695</v>
      </c>
      <c r="AO204" s="5" t="str">
        <f t="shared" si="3"/>
        <v>OK</v>
      </c>
      <c r="AP204" s="5">
        <f>RANK(clean[[#This Row],[Clean Gold]],clean[Clean Gold], 0)</f>
        <v>337</v>
      </c>
      <c r="AQ204" s="1">
        <v>284</v>
      </c>
      <c r="AR204" s="1" t="str" cm="1">
        <f t="array" ref="AR204">_xlfn.IFS(clean[[#This Row],[Clean Level]]&gt;=76, "Legend", clean[[#This Row],[Clean Level]]&gt;=51, "Elite", clean[[#This Row],[Clean Level]]&gt;=26, "Veteran", TRUE, "Rookie")</f>
        <v>Veteran</v>
      </c>
      <c r="AS204" s="1" t="str">
        <f>IF(RPG_dataset[[#This Row],[Status]]="Active", "TRUE", "FALSE")</f>
        <v>TRUE</v>
      </c>
      <c r="AT204" s="1" t="str" cm="1">
        <f t="array" ref="AT204">_xlfn.IFS(clean[[#This Row],[Clean Win Rate]]&gt;70, "Excellent", clean[[#This Row],[Clean Win Rate]]&gt;=40, "Average", TRUE, "Poor")</f>
        <v>Poor</v>
      </c>
      <c r="AU204" s="1" t="str">
        <f>IF(AND(clean[[#This Row],[Clean Level]]&gt;80, clean[[#This Row],[Clean Total Stat]]&gt;350, clean[[#This Row],[Clean Gold]]&gt;500000), "Overpowered", "Normal")</f>
        <v>Normal</v>
      </c>
      <c r="AV204" s="1" t="str" cm="1">
        <f t="array" ref="AV20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04" s="1" t="str" cm="1">
        <f t="array" ref="AW20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204" s="1"/>
    </row>
    <row r="205" spans="1:50" x14ac:dyDescent="0.3">
      <c r="A205" s="2" t="s">
        <v>797</v>
      </c>
      <c r="B205" s="2" t="s">
        <v>798</v>
      </c>
      <c r="C205" s="2" t="s">
        <v>543</v>
      </c>
      <c r="D205" s="2" t="s">
        <v>272</v>
      </c>
      <c r="E205" s="2" t="s">
        <v>41</v>
      </c>
      <c r="F205" s="2" t="s">
        <v>194</v>
      </c>
      <c r="G205" s="2">
        <v>96</v>
      </c>
      <c r="H205" s="2" t="s">
        <v>43</v>
      </c>
      <c r="I205" s="2" t="s">
        <v>140</v>
      </c>
      <c r="J205" s="2" t="s">
        <v>120</v>
      </c>
      <c r="K205" s="2" t="s">
        <v>44</v>
      </c>
      <c r="L205" s="6" t="s">
        <v>799</v>
      </c>
      <c r="M205" s="2">
        <v>82</v>
      </c>
      <c r="N205" s="2">
        <v>10</v>
      </c>
      <c r="O205" s="2">
        <v>126</v>
      </c>
      <c r="P205" s="2">
        <v>1023</v>
      </c>
      <c r="Q205" s="2">
        <v>2946</v>
      </c>
      <c r="R205" s="2">
        <v>218</v>
      </c>
      <c r="S205" s="2">
        <v>2701</v>
      </c>
      <c r="T205" s="2">
        <v>992</v>
      </c>
      <c r="U205" s="2">
        <v>219</v>
      </c>
      <c r="V205" s="2">
        <v>73</v>
      </c>
      <c r="W205" s="2">
        <v>738</v>
      </c>
      <c r="X205" s="9">
        <v>844130</v>
      </c>
      <c r="Y205" s="2" t="s">
        <v>46</v>
      </c>
      <c r="AA205" s="1" t="str">
        <f>TRIM(RPG_dataset[[#This Row],[Username]])</f>
        <v>mora_997</v>
      </c>
      <c r="AB205" s="1" t="str">
        <f>TRIM(RPG_dataset[[#This Row],[First Name]])</f>
        <v>Mora</v>
      </c>
      <c r="AC205" s="1" t="str">
        <f>PROPER(TRIM(RPG_dataset[[#This Row],[Race]]))</f>
        <v>Gnome</v>
      </c>
      <c r="AD205" s="1" t="str">
        <f>PROPER(TRIM(RPG_dataset[[#This Row],[Class]]))</f>
        <v>Paladin</v>
      </c>
      <c r="AE205" s="1">
        <f>ABS(RPG_dataset[[#This Row],[Level]])</f>
        <v>96</v>
      </c>
      <c r="AF205" s="1">
        <f>ABS(RPG_dataset[[#This Row],[ATK]])</f>
        <v>82</v>
      </c>
      <c r="AG205" s="1">
        <f>ABS(RPG_dataset[[#This Row],[DEF]])</f>
        <v>10</v>
      </c>
      <c r="AH205" s="1">
        <f>ABS(RPG_dataset[[#This Row],[SPD]])</f>
        <v>126</v>
      </c>
      <c r="AI205" s="1">
        <f>ABS(RPG_dataset[[#This Row],[HP]])</f>
        <v>1023</v>
      </c>
      <c r="AJ205" s="1">
        <f>ABS(RPG_dataset[[#This Row],[MP]])</f>
        <v>2946</v>
      </c>
      <c r="AK205" s="1">
        <f>ABS(RPG_dataset[[#This Row],[Total Stat]])</f>
        <v>218</v>
      </c>
      <c r="AL205" s="1">
        <f>ABS(RPG_dataset[[#This Row],[Kills]])</f>
        <v>2701</v>
      </c>
      <c r="AM205" s="12">
        <f>ABS(RPG_dataset[[#This Row],[Win Rate (%)]])</f>
        <v>73</v>
      </c>
      <c r="AN205" s="4">
        <f>ABS(RPG_dataset[[#This Row],[Gold Earned]])</f>
        <v>844130</v>
      </c>
      <c r="AO205" s="5" t="str">
        <f t="shared" si="3"/>
        <v>OK</v>
      </c>
      <c r="AP205" s="5">
        <f>RANK(clean[[#This Row],[Clean Gold]],clean[Clean Gold], 0)</f>
        <v>80</v>
      </c>
      <c r="AQ205" s="1">
        <v>191</v>
      </c>
      <c r="AR205" s="1" t="str" cm="1">
        <f t="array" ref="AR205">_xlfn.IFS(clean[[#This Row],[Clean Level]]&gt;=76, "Legend", clean[[#This Row],[Clean Level]]&gt;=51, "Elite", clean[[#This Row],[Clean Level]]&gt;=26, "Veteran", TRUE, "Rookie")</f>
        <v>Legend</v>
      </c>
      <c r="AS205" s="1" t="str">
        <f>IF(RPG_dataset[[#This Row],[Status]]="Active", "TRUE", "FALSE")</f>
        <v>TRUE</v>
      </c>
      <c r="AT205" s="1" t="str" cm="1">
        <f t="array" ref="AT205">_xlfn.IFS(clean[[#This Row],[Clean Win Rate]]&gt;70, "Excellent", clean[[#This Row],[Clean Win Rate]]&gt;=40, "Average", TRUE, "Poor")</f>
        <v>Excellent</v>
      </c>
      <c r="AU205" s="1" t="str">
        <f>IF(AND(clean[[#This Row],[Clean Level]]&gt;80, clean[[#This Row],[Clean Total Stat]]&gt;350, clean[[#This Row],[Clean Gold]]&gt;500000), "Overpowered", "Normal")</f>
        <v>Normal</v>
      </c>
      <c r="AV205" s="1" t="str" cm="1">
        <f t="array" ref="AV20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05" s="1" t="str" cm="1">
        <f t="array" ref="AW20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205" s="1"/>
    </row>
    <row r="206" spans="1:50" x14ac:dyDescent="0.3">
      <c r="A206" s="2" t="s">
        <v>800</v>
      </c>
      <c r="B206" s="2" t="s">
        <v>801</v>
      </c>
      <c r="C206" s="2" t="s">
        <v>253</v>
      </c>
      <c r="D206" s="2" t="s">
        <v>139</v>
      </c>
      <c r="E206" s="2" t="s">
        <v>169</v>
      </c>
      <c r="F206" s="2" t="s">
        <v>61</v>
      </c>
      <c r="G206" s="2">
        <v>67</v>
      </c>
      <c r="H206" s="2" t="s">
        <v>62</v>
      </c>
      <c r="I206" s="2" t="s">
        <v>32</v>
      </c>
      <c r="J206" s="2" t="s">
        <v>33</v>
      </c>
      <c r="K206" s="2" t="s">
        <v>44</v>
      </c>
      <c r="L206" s="6" t="s">
        <v>802</v>
      </c>
      <c r="M206" s="2">
        <v>146</v>
      </c>
      <c r="N206" s="2">
        <v>53</v>
      </c>
      <c r="O206" s="2">
        <v>36</v>
      </c>
      <c r="P206" s="2">
        <v>3550</v>
      </c>
      <c r="Q206" s="2">
        <v>2702</v>
      </c>
      <c r="R206" s="2"/>
      <c r="S206" s="2">
        <v>301</v>
      </c>
      <c r="T206" s="2">
        <v>312</v>
      </c>
      <c r="U206" s="2">
        <v>166</v>
      </c>
      <c r="V206" s="2">
        <v>49</v>
      </c>
      <c r="W206" s="2">
        <v>7697</v>
      </c>
      <c r="X206" s="9">
        <v>741624</v>
      </c>
      <c r="Y206" s="2" t="s">
        <v>46</v>
      </c>
      <c r="AA206" s="1" t="str">
        <f>TRIM(RPG_dataset[[#This Row],[Username]])</f>
        <v>freya_630</v>
      </c>
      <c r="AB206" s="1" t="str">
        <f>TRIM(RPG_dataset[[#This Row],[First Name]])</f>
        <v>Freya</v>
      </c>
      <c r="AC206" s="1" t="str">
        <f>PROPER(TRIM(RPG_dataset[[#This Row],[Race]]))</f>
        <v>Halfling</v>
      </c>
      <c r="AD206" s="1" t="str">
        <f>PROPER(TRIM(RPG_dataset[[#This Row],[Class]]))</f>
        <v>Ranger</v>
      </c>
      <c r="AE206" s="1">
        <f>ABS(RPG_dataset[[#This Row],[Level]])</f>
        <v>67</v>
      </c>
      <c r="AF206" s="1">
        <f>ABS(RPG_dataset[[#This Row],[ATK]])</f>
        <v>146</v>
      </c>
      <c r="AG206" s="1">
        <f>ABS(RPG_dataset[[#This Row],[DEF]])</f>
        <v>53</v>
      </c>
      <c r="AH206" s="1">
        <f>ABS(RPG_dataset[[#This Row],[SPD]])</f>
        <v>36</v>
      </c>
      <c r="AI206" s="1">
        <f>ABS(RPG_dataset[[#This Row],[HP]])</f>
        <v>3550</v>
      </c>
      <c r="AJ206" s="1">
        <f>ABS(RPG_dataset[[#This Row],[MP]])</f>
        <v>2702</v>
      </c>
      <c r="AK206" s="1">
        <f>ABS(RPG_dataset[[#This Row],[Total Stat]])</f>
        <v>0</v>
      </c>
      <c r="AL206" s="1">
        <f>ABS(RPG_dataset[[#This Row],[Kills]])</f>
        <v>301</v>
      </c>
      <c r="AM206" s="12">
        <f>ABS(RPG_dataset[[#This Row],[Win Rate (%)]])</f>
        <v>49</v>
      </c>
      <c r="AN206" s="4">
        <f>ABS(RPG_dataset[[#This Row],[Gold Earned]])</f>
        <v>741624</v>
      </c>
      <c r="AO206" s="5" t="str">
        <f t="shared" si="3"/>
        <v>Fix This</v>
      </c>
      <c r="AP206" s="5">
        <f>RANK(clean[[#This Row],[Clean Gold]],clean[Clean Gold], 0)</f>
        <v>133</v>
      </c>
      <c r="AQ206" s="1">
        <v>160</v>
      </c>
      <c r="AR206" s="1" t="str" cm="1">
        <f t="array" ref="AR206">_xlfn.IFS(clean[[#This Row],[Clean Level]]&gt;=76, "Legend", clean[[#This Row],[Clean Level]]&gt;=51, "Elite", clean[[#This Row],[Clean Level]]&gt;=26, "Veteran", TRUE, "Rookie")</f>
        <v>Elite</v>
      </c>
      <c r="AS206" s="1" t="str">
        <f>IF(RPG_dataset[[#This Row],[Status]]="Active", "TRUE", "FALSE")</f>
        <v>TRUE</v>
      </c>
      <c r="AT206" s="1" t="str" cm="1">
        <f t="array" ref="AT206">_xlfn.IFS(clean[[#This Row],[Clean Win Rate]]&gt;70, "Excellent", clean[[#This Row],[Clean Win Rate]]&gt;=40, "Average", TRUE, "Poor")</f>
        <v>Average</v>
      </c>
      <c r="AU206" s="1" t="str">
        <f>IF(AND(clean[[#This Row],[Clean Level]]&gt;80, clean[[#This Row],[Clean Total Stat]]&gt;350, clean[[#This Row],[Clean Gold]]&gt;500000), "Overpowered", "Normal")</f>
        <v>Normal</v>
      </c>
      <c r="AV206" s="1" t="str" cm="1">
        <f t="array" ref="AV20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06" s="1" t="str" cm="1">
        <f t="array" ref="AW20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06" s="1"/>
    </row>
    <row r="207" spans="1:50" x14ac:dyDescent="0.3">
      <c r="A207" s="2" t="s">
        <v>803</v>
      </c>
      <c r="B207" s="2" t="s">
        <v>804</v>
      </c>
      <c r="C207" s="2" t="s">
        <v>238</v>
      </c>
      <c r="D207" s="2" t="s">
        <v>332</v>
      </c>
      <c r="E207" s="2" t="s">
        <v>228</v>
      </c>
      <c r="F207" s="2" t="s">
        <v>124</v>
      </c>
      <c r="G207" s="2">
        <v>39</v>
      </c>
      <c r="H207" s="2" t="s">
        <v>80</v>
      </c>
      <c r="I207" s="2" t="s">
        <v>126</v>
      </c>
      <c r="J207" s="2" t="s">
        <v>88</v>
      </c>
      <c r="K207" s="2" t="s">
        <v>34</v>
      </c>
      <c r="L207" s="6" t="s">
        <v>805</v>
      </c>
      <c r="M207" s="2">
        <v>96</v>
      </c>
      <c r="N207" s="2">
        <v>51</v>
      </c>
      <c r="O207" s="2"/>
      <c r="P207" s="2">
        <v>4116</v>
      </c>
      <c r="Q207" s="2">
        <v>883</v>
      </c>
      <c r="R207" s="2">
        <v>244</v>
      </c>
      <c r="S207" s="2">
        <v>3297</v>
      </c>
      <c r="T207" s="2">
        <v>923</v>
      </c>
      <c r="U207" s="2">
        <v>130</v>
      </c>
      <c r="V207" s="2">
        <v>78</v>
      </c>
      <c r="W207" s="2">
        <v>8993</v>
      </c>
      <c r="X207" s="9">
        <v>496705</v>
      </c>
      <c r="Y207" s="2" t="s">
        <v>46</v>
      </c>
      <c r="AA207" s="1" t="str">
        <f>TRIM(RPG_dataset[[#This Row],[Username]])</f>
        <v>cael_377</v>
      </c>
      <c r="AB207" s="1" t="str">
        <f>TRIM(RPG_dataset[[#This Row],[First Name]])</f>
        <v>Cael</v>
      </c>
      <c r="AC207" s="1" t="str">
        <f>PROPER(TRIM(RPG_dataset[[#This Row],[Race]]))</f>
        <v>Elf</v>
      </c>
      <c r="AD207" s="1" t="str">
        <f>PROPER(TRIM(RPG_dataset[[#This Row],[Class]]))</f>
        <v>Necromancer</v>
      </c>
      <c r="AE207" s="1">
        <f>ABS(RPG_dataset[[#This Row],[Level]])</f>
        <v>39</v>
      </c>
      <c r="AF207" s="1">
        <f>ABS(RPG_dataset[[#This Row],[ATK]])</f>
        <v>96</v>
      </c>
      <c r="AG207" s="1">
        <f>ABS(RPG_dataset[[#This Row],[DEF]])</f>
        <v>51</v>
      </c>
      <c r="AH207" s="1">
        <f>ABS(RPG_dataset[[#This Row],[SPD]])</f>
        <v>0</v>
      </c>
      <c r="AI207" s="1">
        <f>ABS(RPG_dataset[[#This Row],[HP]])</f>
        <v>4116</v>
      </c>
      <c r="AJ207" s="1">
        <f>ABS(RPG_dataset[[#This Row],[MP]])</f>
        <v>883</v>
      </c>
      <c r="AK207" s="1">
        <f>ABS(RPG_dataset[[#This Row],[Total Stat]])</f>
        <v>244</v>
      </c>
      <c r="AL207" s="1">
        <f>ABS(RPG_dataset[[#This Row],[Kills]])</f>
        <v>3297</v>
      </c>
      <c r="AM207" s="12">
        <f>ABS(RPG_dataset[[#This Row],[Win Rate (%)]])</f>
        <v>78</v>
      </c>
      <c r="AN207" s="4">
        <f>ABS(RPG_dataset[[#This Row],[Gold Earned]])</f>
        <v>496705</v>
      </c>
      <c r="AO207" s="5" t="str">
        <f t="shared" si="3"/>
        <v>OK</v>
      </c>
      <c r="AP207" s="5">
        <f>RANK(clean[[#This Row],[Clean Gold]],clean[Clean Gold], 0)</f>
        <v>254</v>
      </c>
      <c r="AQ207" s="1">
        <v>167</v>
      </c>
      <c r="AR207" s="1" t="str" cm="1">
        <f t="array" ref="AR207">_xlfn.IFS(clean[[#This Row],[Clean Level]]&gt;=76, "Legend", clean[[#This Row],[Clean Level]]&gt;=51, "Elite", clean[[#This Row],[Clean Level]]&gt;=26, "Veteran", TRUE, "Rookie")</f>
        <v>Veteran</v>
      </c>
      <c r="AS207" s="1" t="str">
        <f>IF(RPG_dataset[[#This Row],[Status]]="Active", "TRUE", "FALSE")</f>
        <v>FALSE</v>
      </c>
      <c r="AT207" s="1" t="str" cm="1">
        <f t="array" ref="AT207">_xlfn.IFS(clean[[#This Row],[Clean Win Rate]]&gt;70, "Excellent", clean[[#This Row],[Clean Win Rate]]&gt;=40, "Average", TRUE, "Poor")</f>
        <v>Excellent</v>
      </c>
      <c r="AU207" s="1" t="str">
        <f>IF(AND(clean[[#This Row],[Clean Level]]&gt;80, clean[[#This Row],[Clean Total Stat]]&gt;350, clean[[#This Row],[Clean Gold]]&gt;500000), "Overpowered", "Normal")</f>
        <v>Normal</v>
      </c>
      <c r="AV207" s="1" t="str" cm="1">
        <f t="array" ref="AV20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07" s="1" t="str" cm="1">
        <f t="array" ref="AW20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07" s="1"/>
    </row>
    <row r="208" spans="1:50" x14ac:dyDescent="0.3">
      <c r="A208" s="2" t="s">
        <v>806</v>
      </c>
      <c r="B208" s="2" t="s">
        <v>807</v>
      </c>
      <c r="C208" s="2" t="s">
        <v>808</v>
      </c>
      <c r="D208" s="2" t="s">
        <v>150</v>
      </c>
      <c r="E208" s="2" t="s">
        <v>105</v>
      </c>
      <c r="F208" s="2" t="s">
        <v>98</v>
      </c>
      <c r="G208" s="2">
        <v>67</v>
      </c>
      <c r="H208" s="2" t="s">
        <v>73</v>
      </c>
      <c r="I208" s="2" t="s">
        <v>74</v>
      </c>
      <c r="J208" s="2" t="s">
        <v>111</v>
      </c>
      <c r="K208" s="2" t="s">
        <v>99</v>
      </c>
      <c r="L208" s="6" t="s">
        <v>809</v>
      </c>
      <c r="M208" s="2">
        <v>129</v>
      </c>
      <c r="N208" s="2">
        <v>133</v>
      </c>
      <c r="O208" s="2">
        <v>80</v>
      </c>
      <c r="P208" s="2">
        <v>2117</v>
      </c>
      <c r="Q208" s="2">
        <v>1854</v>
      </c>
      <c r="R208" s="2">
        <v>342</v>
      </c>
      <c r="S208" s="2">
        <v>296</v>
      </c>
      <c r="T208" s="2">
        <v>766</v>
      </c>
      <c r="U208" s="2">
        <v>295</v>
      </c>
      <c r="V208" s="2">
        <v>28</v>
      </c>
      <c r="W208" s="2">
        <v>6034</v>
      </c>
      <c r="X208" s="9">
        <v>-710384</v>
      </c>
      <c r="Y208" s="2" t="s">
        <v>36</v>
      </c>
      <c r="AA208" s="1" t="str">
        <f>TRIM(RPG_dataset[[#This Row],[Username]])</f>
        <v>nolan_970</v>
      </c>
      <c r="AB208" s="1" t="str">
        <f>TRIM(RPG_dataset[[#This Row],[First Name]])</f>
        <v>Nolan</v>
      </c>
      <c r="AC208" s="1" t="str">
        <f>PROPER(TRIM(RPG_dataset[[#This Row],[Race]]))</f>
        <v>Orc</v>
      </c>
      <c r="AD208" s="1" t="str">
        <f>PROPER(TRIM(RPG_dataset[[#This Row],[Class]]))</f>
        <v>Mage</v>
      </c>
      <c r="AE208" s="1">
        <f>ABS(RPG_dataset[[#This Row],[Level]])</f>
        <v>67</v>
      </c>
      <c r="AF208" s="1">
        <f>ABS(RPG_dataset[[#This Row],[ATK]])</f>
        <v>129</v>
      </c>
      <c r="AG208" s="1">
        <f>ABS(RPG_dataset[[#This Row],[DEF]])</f>
        <v>133</v>
      </c>
      <c r="AH208" s="1">
        <f>ABS(RPG_dataset[[#This Row],[SPD]])</f>
        <v>80</v>
      </c>
      <c r="AI208" s="1">
        <f>ABS(RPG_dataset[[#This Row],[HP]])</f>
        <v>2117</v>
      </c>
      <c r="AJ208" s="1">
        <f>ABS(RPG_dataset[[#This Row],[MP]])</f>
        <v>1854</v>
      </c>
      <c r="AK208" s="1">
        <f>ABS(RPG_dataset[[#This Row],[Total Stat]])</f>
        <v>342</v>
      </c>
      <c r="AL208" s="1">
        <f>ABS(RPG_dataset[[#This Row],[Kills]])</f>
        <v>296</v>
      </c>
      <c r="AM208" s="12">
        <f>ABS(RPG_dataset[[#This Row],[Win Rate (%)]])</f>
        <v>28</v>
      </c>
      <c r="AN208" s="4">
        <f>ABS(RPG_dataset[[#This Row],[Gold Earned]])</f>
        <v>710384</v>
      </c>
      <c r="AO208" s="5" t="str">
        <f t="shared" si="3"/>
        <v>OK</v>
      </c>
      <c r="AP208" s="5">
        <f>RANK(clean[[#This Row],[Clean Gold]],clean[Clean Gold], 0)</f>
        <v>142</v>
      </c>
      <c r="AQ208" s="1">
        <v>179</v>
      </c>
      <c r="AR208" s="1" t="str" cm="1">
        <f t="array" ref="AR208">_xlfn.IFS(clean[[#This Row],[Clean Level]]&gt;=76, "Legend", clean[[#This Row],[Clean Level]]&gt;=51, "Elite", clean[[#This Row],[Clean Level]]&gt;=26, "Veteran", TRUE, "Rookie")</f>
        <v>Elite</v>
      </c>
      <c r="AS208" s="1" t="str">
        <f>IF(RPG_dataset[[#This Row],[Status]]="Active", "TRUE", "FALSE")</f>
        <v>FALSE</v>
      </c>
      <c r="AT208" s="1" t="str" cm="1">
        <f t="array" ref="AT208">_xlfn.IFS(clean[[#This Row],[Clean Win Rate]]&gt;70, "Excellent", clean[[#This Row],[Clean Win Rate]]&gt;=40, "Average", TRUE, "Poor")</f>
        <v>Poor</v>
      </c>
      <c r="AU208" s="1" t="str">
        <f>IF(AND(clean[[#This Row],[Clean Level]]&gt;80, clean[[#This Row],[Clean Total Stat]]&gt;350, clean[[#This Row],[Clean Gold]]&gt;500000), "Overpowered", "Normal")</f>
        <v>Normal</v>
      </c>
      <c r="AV208" s="1" t="str" cm="1">
        <f t="array" ref="AV20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08" s="1" t="str" cm="1">
        <f t="array" ref="AW20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208" s="1"/>
    </row>
    <row r="209" spans="1:50" x14ac:dyDescent="0.3">
      <c r="A209" s="2" t="s">
        <v>810</v>
      </c>
      <c r="B209" s="2" t="s">
        <v>811</v>
      </c>
      <c r="C209" s="2" t="s">
        <v>27</v>
      </c>
      <c r="D209" s="2" t="s">
        <v>162</v>
      </c>
      <c r="E209" s="2" t="s">
        <v>29</v>
      </c>
      <c r="F209" s="2" t="s">
        <v>52</v>
      </c>
      <c r="G209" s="2">
        <v>43</v>
      </c>
      <c r="H209" s="2" t="s">
        <v>62</v>
      </c>
      <c r="I209" s="2" t="s">
        <v>126</v>
      </c>
      <c r="J209" s="2" t="s">
        <v>92</v>
      </c>
      <c r="K209" s="2" t="s">
        <v>34</v>
      </c>
      <c r="L209" s="6" t="s">
        <v>812</v>
      </c>
      <c r="M209" s="2">
        <v>102</v>
      </c>
      <c r="N209" s="2">
        <v>133</v>
      </c>
      <c r="O209" s="2">
        <v>106</v>
      </c>
      <c r="P209" s="2">
        <v>3115</v>
      </c>
      <c r="Q209" s="2">
        <v>494</v>
      </c>
      <c r="R209" s="2">
        <v>341</v>
      </c>
      <c r="S209" s="2">
        <v>4554</v>
      </c>
      <c r="T209" s="2">
        <v>962</v>
      </c>
      <c r="U209" s="2">
        <v>244</v>
      </c>
      <c r="V209" s="2">
        <v>83</v>
      </c>
      <c r="W209" s="2"/>
      <c r="X209" s="9">
        <v>924324</v>
      </c>
      <c r="Y209" s="2" t="s">
        <v>36</v>
      </c>
      <c r="AA209" s="1" t="str">
        <f>TRIM(RPG_dataset[[#This Row],[Username]])</f>
        <v>aiden_629</v>
      </c>
      <c r="AB209" s="1" t="str">
        <f>TRIM(RPG_dataset[[#This Row],[First Name]])</f>
        <v>Aiden</v>
      </c>
      <c r="AC209" s="1" t="str">
        <f>PROPER(TRIM(RPG_dataset[[#This Row],[Race]]))</f>
        <v>Dwarf</v>
      </c>
      <c r="AD209" s="1" t="str">
        <f>PROPER(TRIM(RPG_dataset[[#This Row],[Class]]))</f>
        <v>Bard</v>
      </c>
      <c r="AE209" s="1">
        <f>ABS(RPG_dataset[[#This Row],[Level]])</f>
        <v>43</v>
      </c>
      <c r="AF209" s="1">
        <f>ABS(RPG_dataset[[#This Row],[ATK]])</f>
        <v>102</v>
      </c>
      <c r="AG209" s="1">
        <f>ABS(RPG_dataset[[#This Row],[DEF]])</f>
        <v>133</v>
      </c>
      <c r="AH209" s="1">
        <f>ABS(RPG_dataset[[#This Row],[SPD]])</f>
        <v>106</v>
      </c>
      <c r="AI209" s="1">
        <f>ABS(RPG_dataset[[#This Row],[HP]])</f>
        <v>3115</v>
      </c>
      <c r="AJ209" s="1">
        <f>ABS(RPG_dataset[[#This Row],[MP]])</f>
        <v>494</v>
      </c>
      <c r="AK209" s="1">
        <f>ABS(RPG_dataset[[#This Row],[Total Stat]])</f>
        <v>341</v>
      </c>
      <c r="AL209" s="1">
        <f>ABS(RPG_dataset[[#This Row],[Kills]])</f>
        <v>4554</v>
      </c>
      <c r="AM209" s="12">
        <f>ABS(RPG_dataset[[#This Row],[Win Rate (%)]])</f>
        <v>83</v>
      </c>
      <c r="AN209" s="4">
        <f>ABS(RPG_dataset[[#This Row],[Gold Earned]])</f>
        <v>924324</v>
      </c>
      <c r="AO209" s="5" t="str">
        <f t="shared" si="3"/>
        <v>OK</v>
      </c>
      <c r="AP209" s="5">
        <f>RANK(clean[[#This Row],[Clean Gold]],clean[Clean Gold], 0)</f>
        <v>37</v>
      </c>
      <c r="AQ209" s="1">
        <v>290</v>
      </c>
      <c r="AR209" s="1" t="str" cm="1">
        <f t="array" ref="AR209">_xlfn.IFS(clean[[#This Row],[Clean Level]]&gt;=76, "Legend", clean[[#This Row],[Clean Level]]&gt;=51, "Elite", clean[[#This Row],[Clean Level]]&gt;=26, "Veteran", TRUE, "Rookie")</f>
        <v>Veteran</v>
      </c>
      <c r="AS209" s="1" t="str">
        <f>IF(RPG_dataset[[#This Row],[Status]]="Active", "TRUE", "FALSE")</f>
        <v>FALSE</v>
      </c>
      <c r="AT209" s="1" t="str" cm="1">
        <f t="array" ref="AT209">_xlfn.IFS(clean[[#This Row],[Clean Win Rate]]&gt;70, "Excellent", clean[[#This Row],[Clean Win Rate]]&gt;=40, "Average", TRUE, "Poor")</f>
        <v>Excellent</v>
      </c>
      <c r="AU209" s="1" t="str">
        <f>IF(AND(clean[[#This Row],[Clean Level]]&gt;80, clean[[#This Row],[Clean Total Stat]]&gt;350, clean[[#This Row],[Clean Gold]]&gt;500000), "Overpowered", "Normal")</f>
        <v>Normal</v>
      </c>
      <c r="AV209" s="1" t="str" cm="1">
        <f t="array" ref="AV20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09" s="1" t="str" cm="1">
        <f t="array" ref="AW20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09" s="1"/>
    </row>
    <row r="210" spans="1:50" x14ac:dyDescent="0.3">
      <c r="A210" s="2" t="s">
        <v>813</v>
      </c>
      <c r="B210" s="2" t="s">
        <v>814</v>
      </c>
      <c r="C210" s="2" t="s">
        <v>130</v>
      </c>
      <c r="D210" s="2" t="s">
        <v>250</v>
      </c>
      <c r="E210" s="2" t="s">
        <v>51</v>
      </c>
      <c r="F210" s="2" t="s">
        <v>536</v>
      </c>
      <c r="G210" s="2">
        <v>97</v>
      </c>
      <c r="H210" s="2" t="s">
        <v>80</v>
      </c>
      <c r="I210" s="2" t="s">
        <v>87</v>
      </c>
      <c r="J210" s="2" t="s">
        <v>92</v>
      </c>
      <c r="K210" s="2" t="s">
        <v>106</v>
      </c>
      <c r="L210" s="6" t="s">
        <v>815</v>
      </c>
      <c r="M210" s="2">
        <v>106</v>
      </c>
      <c r="N210" s="2">
        <v>27</v>
      </c>
      <c r="O210" s="2">
        <v>133</v>
      </c>
      <c r="P210" s="2">
        <v>1868</v>
      </c>
      <c r="Q210" s="2">
        <v>2743</v>
      </c>
      <c r="R210" s="2">
        <v>266</v>
      </c>
      <c r="S210" s="2">
        <v>193</v>
      </c>
      <c r="T210" s="2">
        <v>712</v>
      </c>
      <c r="U210" s="2">
        <v>192</v>
      </c>
      <c r="V210" s="2">
        <v>21</v>
      </c>
      <c r="W210" s="2">
        <v>3938</v>
      </c>
      <c r="X210" s="9">
        <v>196618</v>
      </c>
      <c r="Y210" s="2" t="s">
        <v>46</v>
      </c>
      <c r="AA210" s="1" t="str">
        <f>TRIM(RPG_dataset[[#This Row],[Username]])</f>
        <v>ewan_299</v>
      </c>
      <c r="AB210" s="1" t="str">
        <f>TRIM(RPG_dataset[[#This Row],[First Name]])</f>
        <v>Ewan</v>
      </c>
      <c r="AC210" s="1" t="str">
        <f>PROPER(TRIM(RPG_dataset[[#This Row],[Race]]))</f>
        <v>Tiefling</v>
      </c>
      <c r="AD210" s="1" t="str">
        <f>PROPER(TRIM(RPG_dataset[[#This Row],[Class]]))</f>
        <v>Ranger</v>
      </c>
      <c r="AE210" s="1">
        <f>ABS(RPG_dataset[[#This Row],[Level]])</f>
        <v>97</v>
      </c>
      <c r="AF210" s="1">
        <f>ABS(RPG_dataset[[#This Row],[ATK]])</f>
        <v>106</v>
      </c>
      <c r="AG210" s="1">
        <f>ABS(RPG_dataset[[#This Row],[DEF]])</f>
        <v>27</v>
      </c>
      <c r="AH210" s="1">
        <f>ABS(RPG_dataset[[#This Row],[SPD]])</f>
        <v>133</v>
      </c>
      <c r="AI210" s="1">
        <f>ABS(RPG_dataset[[#This Row],[HP]])</f>
        <v>1868</v>
      </c>
      <c r="AJ210" s="1">
        <f>ABS(RPG_dataset[[#This Row],[MP]])</f>
        <v>2743</v>
      </c>
      <c r="AK210" s="1">
        <f>ABS(RPG_dataset[[#This Row],[Total Stat]])</f>
        <v>266</v>
      </c>
      <c r="AL210" s="1">
        <f>ABS(RPG_dataset[[#This Row],[Kills]])</f>
        <v>193</v>
      </c>
      <c r="AM210" s="12">
        <f>ABS(RPG_dataset[[#This Row],[Win Rate (%)]])</f>
        <v>21</v>
      </c>
      <c r="AN210" s="4">
        <f>ABS(RPG_dataset[[#This Row],[Gold Earned]])</f>
        <v>196618</v>
      </c>
      <c r="AO210" s="5" t="str">
        <f t="shared" si="3"/>
        <v>Fix This</v>
      </c>
      <c r="AP210" s="5">
        <f>RANK(clean[[#This Row],[Clean Gold]],clean[Clean Gold], 0)</f>
        <v>403</v>
      </c>
      <c r="AQ210" s="1">
        <v>261</v>
      </c>
      <c r="AR210" s="1" t="str" cm="1">
        <f t="array" ref="AR210">_xlfn.IFS(clean[[#This Row],[Clean Level]]&gt;=76, "Legend", clean[[#This Row],[Clean Level]]&gt;=51, "Elite", clean[[#This Row],[Clean Level]]&gt;=26, "Veteran", TRUE, "Rookie")</f>
        <v>Legend</v>
      </c>
      <c r="AS210" s="1" t="str">
        <f>IF(RPG_dataset[[#This Row],[Status]]="Active", "TRUE", "FALSE")</f>
        <v>FALSE</v>
      </c>
      <c r="AT210" s="1" t="str" cm="1">
        <f t="array" ref="AT210">_xlfn.IFS(clean[[#This Row],[Clean Win Rate]]&gt;70, "Excellent", clean[[#This Row],[Clean Win Rate]]&gt;=40, "Average", TRUE, "Poor")</f>
        <v>Poor</v>
      </c>
      <c r="AU210" s="1" t="str">
        <f>IF(AND(clean[[#This Row],[Clean Level]]&gt;80, clean[[#This Row],[Clean Total Stat]]&gt;350, clean[[#This Row],[Clean Gold]]&gt;500000), "Overpowered", "Normal")</f>
        <v>Normal</v>
      </c>
      <c r="AV210" s="1" t="str" cm="1">
        <f t="array" ref="AV21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10" s="1" t="str" cm="1">
        <f t="array" ref="AW21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10" s="1"/>
    </row>
    <row r="211" spans="1:50" x14ac:dyDescent="0.3">
      <c r="A211" s="2" t="s">
        <v>816</v>
      </c>
      <c r="B211" s="2" t="s">
        <v>817</v>
      </c>
      <c r="C211" s="2" t="s">
        <v>233</v>
      </c>
      <c r="D211" s="2" t="s">
        <v>210</v>
      </c>
      <c r="E211" s="2" t="s">
        <v>41</v>
      </c>
      <c r="F211" s="2" t="s">
        <v>61</v>
      </c>
      <c r="G211" s="2">
        <v>93</v>
      </c>
      <c r="H211" s="2" t="s">
        <v>43</v>
      </c>
      <c r="I211" s="2" t="s">
        <v>74</v>
      </c>
      <c r="J211" s="2" t="s">
        <v>163</v>
      </c>
      <c r="K211" s="2" t="s">
        <v>106</v>
      </c>
      <c r="L211" s="6" t="s">
        <v>818</v>
      </c>
      <c r="M211" s="2">
        <v>138</v>
      </c>
      <c r="N211" s="2">
        <v>90</v>
      </c>
      <c r="O211" s="2">
        <v>45</v>
      </c>
      <c r="P211" s="2">
        <v>3220</v>
      </c>
      <c r="Q211" s="2">
        <v>2633</v>
      </c>
      <c r="R211" s="2">
        <v>273</v>
      </c>
      <c r="S211" s="2">
        <v>1324</v>
      </c>
      <c r="T211" s="2">
        <v>672</v>
      </c>
      <c r="U211" s="2">
        <v>141</v>
      </c>
      <c r="V211" s="2">
        <v>66</v>
      </c>
      <c r="W211" s="2">
        <v>5952</v>
      </c>
      <c r="X211" s="9">
        <v>105285</v>
      </c>
      <c r="Y211" s="2" t="s">
        <v>46</v>
      </c>
      <c r="AA211" s="1" t="str">
        <f>TRIM(RPG_dataset[[#This Row],[Username]])</f>
        <v>finn_375</v>
      </c>
      <c r="AB211" s="1" t="str">
        <f>TRIM(RPG_dataset[[#This Row],[First Name]])</f>
        <v>Finn</v>
      </c>
      <c r="AC211" s="1" t="str">
        <f>PROPER(TRIM(RPG_dataset[[#This Row],[Race]]))</f>
        <v>Gnome</v>
      </c>
      <c r="AD211" s="1" t="str">
        <f>PROPER(TRIM(RPG_dataset[[#This Row],[Class]]))</f>
        <v>Ranger</v>
      </c>
      <c r="AE211" s="1">
        <f>ABS(RPG_dataset[[#This Row],[Level]])</f>
        <v>93</v>
      </c>
      <c r="AF211" s="1">
        <f>ABS(RPG_dataset[[#This Row],[ATK]])</f>
        <v>138</v>
      </c>
      <c r="AG211" s="1">
        <f>ABS(RPG_dataset[[#This Row],[DEF]])</f>
        <v>90</v>
      </c>
      <c r="AH211" s="1">
        <f>ABS(RPG_dataset[[#This Row],[SPD]])</f>
        <v>45</v>
      </c>
      <c r="AI211" s="1">
        <f>ABS(RPG_dataset[[#This Row],[HP]])</f>
        <v>3220</v>
      </c>
      <c r="AJ211" s="1">
        <f>ABS(RPG_dataset[[#This Row],[MP]])</f>
        <v>2633</v>
      </c>
      <c r="AK211" s="1">
        <f>ABS(RPG_dataset[[#This Row],[Total Stat]])</f>
        <v>273</v>
      </c>
      <c r="AL211" s="1">
        <f>ABS(RPG_dataset[[#This Row],[Kills]])</f>
        <v>1324</v>
      </c>
      <c r="AM211" s="12">
        <f>ABS(RPG_dataset[[#This Row],[Win Rate (%)]])</f>
        <v>66</v>
      </c>
      <c r="AN211" s="4">
        <f>ABS(RPG_dataset[[#This Row],[Gold Earned]])</f>
        <v>105285</v>
      </c>
      <c r="AO211" s="5" t="str">
        <f t="shared" si="3"/>
        <v>OK</v>
      </c>
      <c r="AP211" s="5">
        <f>RANK(clean[[#This Row],[Clean Gold]],clean[Clean Gold], 0)</f>
        <v>438</v>
      </c>
      <c r="AQ211" s="1">
        <v>341</v>
      </c>
      <c r="AR211" s="1" t="str" cm="1">
        <f t="array" ref="AR211">_xlfn.IFS(clean[[#This Row],[Clean Level]]&gt;=76, "Legend", clean[[#This Row],[Clean Level]]&gt;=51, "Elite", clean[[#This Row],[Clean Level]]&gt;=26, "Veteran", TRUE, "Rookie")</f>
        <v>Legend</v>
      </c>
      <c r="AS211" s="1" t="str">
        <f>IF(RPG_dataset[[#This Row],[Status]]="Active", "TRUE", "FALSE")</f>
        <v>FALSE</v>
      </c>
      <c r="AT211" s="1" t="str" cm="1">
        <f t="array" ref="AT211">_xlfn.IFS(clean[[#This Row],[Clean Win Rate]]&gt;70, "Excellent", clean[[#This Row],[Clean Win Rate]]&gt;=40, "Average", TRUE, "Poor")</f>
        <v>Average</v>
      </c>
      <c r="AU211" s="1" t="str">
        <f>IF(AND(clean[[#This Row],[Clean Level]]&gt;80, clean[[#This Row],[Clean Total Stat]]&gt;350, clean[[#This Row],[Clean Gold]]&gt;500000), "Overpowered", "Normal")</f>
        <v>Normal</v>
      </c>
      <c r="AV211" s="1" t="str" cm="1">
        <f t="array" ref="AV21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11" s="1" t="str" cm="1">
        <f t="array" ref="AW21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211" s="1"/>
    </row>
    <row r="212" spans="1:50" x14ac:dyDescent="0.3">
      <c r="A212" s="2" t="s">
        <v>819</v>
      </c>
      <c r="B212" s="2" t="s">
        <v>820</v>
      </c>
      <c r="C212" s="2" t="s">
        <v>103</v>
      </c>
      <c r="D212" s="2" t="s">
        <v>162</v>
      </c>
      <c r="E212" s="2" t="s">
        <v>169</v>
      </c>
      <c r="F212" s="2" t="s">
        <v>52</v>
      </c>
      <c r="G212" s="2">
        <v>56</v>
      </c>
      <c r="H212" s="2" t="s">
        <v>125</v>
      </c>
      <c r="I212" s="2" t="s">
        <v>140</v>
      </c>
      <c r="J212" s="2" t="s">
        <v>111</v>
      </c>
      <c r="K212" s="2" t="s">
        <v>99</v>
      </c>
      <c r="L212" s="6" t="s">
        <v>821</v>
      </c>
      <c r="M212" s="2">
        <v>133</v>
      </c>
      <c r="N212" s="2">
        <v>128</v>
      </c>
      <c r="O212" s="2">
        <v>65</v>
      </c>
      <c r="P212" s="2">
        <v>4915</v>
      </c>
      <c r="Q212" s="2">
        <v>2937</v>
      </c>
      <c r="R212" s="2">
        <v>326</v>
      </c>
      <c r="S212" s="2">
        <v>4853</v>
      </c>
      <c r="T212" s="2">
        <v>605</v>
      </c>
      <c r="U212" s="2"/>
      <c r="V212" s="2">
        <v>89</v>
      </c>
      <c r="W212" s="2">
        <v>1786</v>
      </c>
      <c r="X212" s="9">
        <v>413004</v>
      </c>
      <c r="Y212" s="2" t="s">
        <v>36</v>
      </c>
      <c r="AA212" s="1" t="str">
        <f>TRIM(RPG_dataset[[#This Row],[Username]])</f>
        <v>aria_976</v>
      </c>
      <c r="AB212" s="1" t="str">
        <f>TRIM(RPG_dataset[[#This Row],[First Name]])</f>
        <v>Aria</v>
      </c>
      <c r="AC212" s="1" t="str">
        <f>PROPER(TRIM(RPG_dataset[[#This Row],[Race]]))</f>
        <v>Halfling</v>
      </c>
      <c r="AD212" s="1" t="str">
        <f>PROPER(TRIM(RPG_dataset[[#This Row],[Class]]))</f>
        <v>Bard</v>
      </c>
      <c r="AE212" s="1">
        <f>ABS(RPG_dataset[[#This Row],[Level]])</f>
        <v>56</v>
      </c>
      <c r="AF212" s="1">
        <f>ABS(RPG_dataset[[#This Row],[ATK]])</f>
        <v>133</v>
      </c>
      <c r="AG212" s="1">
        <f>ABS(RPG_dataset[[#This Row],[DEF]])</f>
        <v>128</v>
      </c>
      <c r="AH212" s="1">
        <f>ABS(RPG_dataset[[#This Row],[SPD]])</f>
        <v>65</v>
      </c>
      <c r="AI212" s="1">
        <f>ABS(RPG_dataset[[#This Row],[HP]])</f>
        <v>4915</v>
      </c>
      <c r="AJ212" s="1">
        <f>ABS(RPG_dataset[[#This Row],[MP]])</f>
        <v>2937</v>
      </c>
      <c r="AK212" s="1">
        <f>ABS(RPG_dataset[[#This Row],[Total Stat]])</f>
        <v>326</v>
      </c>
      <c r="AL212" s="1">
        <f>ABS(RPG_dataset[[#This Row],[Kills]])</f>
        <v>4853</v>
      </c>
      <c r="AM212" s="12">
        <f>ABS(RPG_dataset[[#This Row],[Win Rate (%)]])</f>
        <v>89</v>
      </c>
      <c r="AN212" s="4">
        <f>ABS(RPG_dataset[[#This Row],[Gold Earned]])</f>
        <v>413004</v>
      </c>
      <c r="AO212" s="5" t="str">
        <f t="shared" si="3"/>
        <v>OK</v>
      </c>
      <c r="AP212" s="5">
        <f>RANK(clean[[#This Row],[Clean Gold]],clean[Clean Gold], 0)</f>
        <v>300</v>
      </c>
      <c r="AQ212" s="1">
        <v>333</v>
      </c>
      <c r="AR212" s="1" t="str" cm="1">
        <f t="array" ref="AR212">_xlfn.IFS(clean[[#This Row],[Clean Level]]&gt;=76, "Legend", clean[[#This Row],[Clean Level]]&gt;=51, "Elite", clean[[#This Row],[Clean Level]]&gt;=26, "Veteran", TRUE, "Rookie")</f>
        <v>Elite</v>
      </c>
      <c r="AS212" s="1" t="str">
        <f>IF(RPG_dataset[[#This Row],[Status]]="Active", "TRUE", "FALSE")</f>
        <v>FALSE</v>
      </c>
      <c r="AT212" s="1" t="str" cm="1">
        <f t="array" ref="AT212">_xlfn.IFS(clean[[#This Row],[Clean Win Rate]]&gt;70, "Excellent", clean[[#This Row],[Clean Win Rate]]&gt;=40, "Average", TRUE, "Poor")</f>
        <v>Excellent</v>
      </c>
      <c r="AU212" s="1" t="str">
        <f>IF(AND(clean[[#This Row],[Clean Level]]&gt;80, clean[[#This Row],[Clean Total Stat]]&gt;350, clean[[#This Row],[Clean Gold]]&gt;500000), "Overpowered", "Normal")</f>
        <v>Normal</v>
      </c>
      <c r="AV212" s="1" t="str" cm="1">
        <f t="array" ref="AV212">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212" s="1" t="str" cm="1">
        <f t="array" ref="AW21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212" s="1"/>
    </row>
    <row r="213" spans="1:50" x14ac:dyDescent="0.3">
      <c r="A213" s="2" t="s">
        <v>822</v>
      </c>
      <c r="B213" s="2" t="s">
        <v>823</v>
      </c>
      <c r="C213" s="2" t="s">
        <v>138</v>
      </c>
      <c r="D213" s="2" t="s">
        <v>168</v>
      </c>
      <c r="E213" s="2" t="s">
        <v>41</v>
      </c>
      <c r="F213" s="2" t="s">
        <v>124</v>
      </c>
      <c r="G213" s="2">
        <v>29</v>
      </c>
      <c r="H213" s="2" t="s">
        <v>43</v>
      </c>
      <c r="I213" s="2" t="s">
        <v>63</v>
      </c>
      <c r="J213" s="2" t="s">
        <v>120</v>
      </c>
      <c r="K213" s="2" t="s">
        <v>75</v>
      </c>
      <c r="L213" s="6" t="s">
        <v>824</v>
      </c>
      <c r="M213" s="2">
        <v>78</v>
      </c>
      <c r="N213" s="2">
        <v>10</v>
      </c>
      <c r="O213" s="2">
        <v>126</v>
      </c>
      <c r="P213" s="2">
        <v>2736</v>
      </c>
      <c r="Q213" s="2">
        <v>474</v>
      </c>
      <c r="R213" s="2">
        <v>214</v>
      </c>
      <c r="S213" s="2"/>
      <c r="T213" s="2">
        <v>620</v>
      </c>
      <c r="U213" s="2">
        <v>105</v>
      </c>
      <c r="V213" s="2">
        <v>85</v>
      </c>
      <c r="W213" s="2">
        <v>2143</v>
      </c>
      <c r="X213" s="9">
        <v>441563</v>
      </c>
      <c r="Y213" s="2" t="s">
        <v>46</v>
      </c>
      <c r="AA213" s="1" t="str">
        <f>TRIM(RPG_dataset[[#This Row],[Username]])</f>
        <v>grim_480</v>
      </c>
      <c r="AB213" s="1" t="str">
        <f>TRIM(RPG_dataset[[#This Row],[First Name]])</f>
        <v>Grim</v>
      </c>
      <c r="AC213" s="1" t="str">
        <f>PROPER(TRIM(RPG_dataset[[#This Row],[Race]]))</f>
        <v>Gnome</v>
      </c>
      <c r="AD213" s="1" t="str">
        <f>PROPER(TRIM(RPG_dataset[[#This Row],[Class]]))</f>
        <v>Necromancer</v>
      </c>
      <c r="AE213" s="1">
        <f>ABS(RPG_dataset[[#This Row],[Level]])</f>
        <v>29</v>
      </c>
      <c r="AF213" s="1">
        <f>ABS(RPG_dataset[[#This Row],[ATK]])</f>
        <v>78</v>
      </c>
      <c r="AG213" s="1">
        <f>ABS(RPG_dataset[[#This Row],[DEF]])</f>
        <v>10</v>
      </c>
      <c r="AH213" s="1">
        <f>ABS(RPG_dataset[[#This Row],[SPD]])</f>
        <v>126</v>
      </c>
      <c r="AI213" s="1">
        <f>ABS(RPG_dataset[[#This Row],[HP]])</f>
        <v>2736</v>
      </c>
      <c r="AJ213" s="1">
        <f>ABS(RPG_dataset[[#This Row],[MP]])</f>
        <v>474</v>
      </c>
      <c r="AK213" s="1">
        <f>ABS(RPG_dataset[[#This Row],[Total Stat]])</f>
        <v>214</v>
      </c>
      <c r="AL213" s="1">
        <f>ABS(RPG_dataset[[#This Row],[Kills]])</f>
        <v>0</v>
      </c>
      <c r="AM213" s="12">
        <f>ABS(RPG_dataset[[#This Row],[Win Rate (%)]])</f>
        <v>85</v>
      </c>
      <c r="AN213" s="4">
        <f>ABS(RPG_dataset[[#This Row],[Gold Earned]])</f>
        <v>441563</v>
      </c>
      <c r="AO213" s="5" t="str">
        <f t="shared" si="3"/>
        <v>OK</v>
      </c>
      <c r="AP213" s="5">
        <f>RANK(clean[[#This Row],[Clean Gold]],clean[Clean Gold], 0)</f>
        <v>286</v>
      </c>
      <c r="AQ213" s="1">
        <v>84</v>
      </c>
      <c r="AR213" s="1" t="str" cm="1">
        <f t="array" ref="AR213">_xlfn.IFS(clean[[#This Row],[Clean Level]]&gt;=76, "Legend", clean[[#This Row],[Clean Level]]&gt;=51, "Elite", clean[[#This Row],[Clean Level]]&gt;=26, "Veteran", TRUE, "Rookie")</f>
        <v>Veteran</v>
      </c>
      <c r="AS213" s="1" t="str">
        <f>IF(RPG_dataset[[#This Row],[Status]]="Active", "TRUE", "FALSE")</f>
        <v>FALSE</v>
      </c>
      <c r="AT213" s="1" t="str" cm="1">
        <f t="array" ref="AT213">_xlfn.IFS(clean[[#This Row],[Clean Win Rate]]&gt;70, "Excellent", clean[[#This Row],[Clean Win Rate]]&gt;=40, "Average", TRUE, "Poor")</f>
        <v>Excellent</v>
      </c>
      <c r="AU213" s="1" t="str">
        <f>IF(AND(clean[[#This Row],[Clean Level]]&gt;80, clean[[#This Row],[Clean Total Stat]]&gt;350, clean[[#This Row],[Clean Gold]]&gt;500000), "Overpowered", "Normal")</f>
        <v>Normal</v>
      </c>
      <c r="AV213" s="1" t="str" cm="1">
        <f t="array" ref="AV21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13" s="1" t="str" cm="1">
        <f t="array" ref="AW21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13" s="1"/>
    </row>
    <row r="214" spans="1:50" x14ac:dyDescent="0.3">
      <c r="A214" s="2" t="s">
        <v>825</v>
      </c>
      <c r="B214" s="2" t="s">
        <v>826</v>
      </c>
      <c r="C214" s="2" t="s">
        <v>827</v>
      </c>
      <c r="D214" s="2" t="s">
        <v>139</v>
      </c>
      <c r="E214" s="2" t="s">
        <v>105</v>
      </c>
      <c r="F214" s="2" t="s">
        <v>30</v>
      </c>
      <c r="G214" s="2">
        <v>50</v>
      </c>
      <c r="H214" s="2" t="s">
        <v>125</v>
      </c>
      <c r="I214" s="2" t="s">
        <v>32</v>
      </c>
      <c r="J214" s="2" t="s">
        <v>120</v>
      </c>
      <c r="K214" s="2" t="s">
        <v>44</v>
      </c>
      <c r="L214" s="6" t="s">
        <v>828</v>
      </c>
      <c r="M214" s="2">
        <v>143</v>
      </c>
      <c r="N214" s="2">
        <v>-99</v>
      </c>
      <c r="O214" s="2">
        <v>130</v>
      </c>
      <c r="P214" s="2">
        <v>4629</v>
      </c>
      <c r="Q214" s="2">
        <v>128</v>
      </c>
      <c r="R214" s="2">
        <v>372</v>
      </c>
      <c r="S214" s="2">
        <v>3886</v>
      </c>
      <c r="T214" s="2">
        <v>391</v>
      </c>
      <c r="U214" s="2">
        <v>294</v>
      </c>
      <c r="V214" s="2">
        <v>-91</v>
      </c>
      <c r="W214" s="2">
        <v>6086</v>
      </c>
      <c r="X214" s="9">
        <v>979651</v>
      </c>
      <c r="Y214" s="2" t="s">
        <v>46</v>
      </c>
      <c r="AA214" s="1" t="str">
        <f>TRIM(RPG_dataset[[#This Row],[Username]])</f>
        <v>lira_969</v>
      </c>
      <c r="AB214" s="1" t="str">
        <f>TRIM(RPG_dataset[[#This Row],[First Name]])</f>
        <v>LIRA</v>
      </c>
      <c r="AC214" s="1" t="str">
        <f>PROPER(TRIM(RPG_dataset[[#This Row],[Race]]))</f>
        <v>Orc</v>
      </c>
      <c r="AD214" s="1" t="str">
        <f>PROPER(TRIM(RPG_dataset[[#This Row],[Class]]))</f>
        <v>Rogue</v>
      </c>
      <c r="AE214" s="1">
        <f>ABS(RPG_dataset[[#This Row],[Level]])</f>
        <v>50</v>
      </c>
      <c r="AF214" s="1">
        <f>ABS(RPG_dataset[[#This Row],[ATK]])</f>
        <v>143</v>
      </c>
      <c r="AG214" s="1">
        <f>ABS(RPG_dataset[[#This Row],[DEF]])</f>
        <v>99</v>
      </c>
      <c r="AH214" s="1">
        <f>ABS(RPG_dataset[[#This Row],[SPD]])</f>
        <v>130</v>
      </c>
      <c r="AI214" s="1">
        <f>ABS(RPG_dataset[[#This Row],[HP]])</f>
        <v>4629</v>
      </c>
      <c r="AJ214" s="1">
        <f>ABS(RPG_dataset[[#This Row],[MP]])</f>
        <v>128</v>
      </c>
      <c r="AK214" s="1">
        <f>ABS(RPG_dataset[[#This Row],[Total Stat]])</f>
        <v>372</v>
      </c>
      <c r="AL214" s="1">
        <f>ABS(RPG_dataset[[#This Row],[Kills]])</f>
        <v>3886</v>
      </c>
      <c r="AM214" s="12">
        <f>ABS(RPG_dataset[[#This Row],[Win Rate (%)]])</f>
        <v>91</v>
      </c>
      <c r="AN214" s="4">
        <f>ABS(RPG_dataset[[#This Row],[Gold Earned]])</f>
        <v>979651</v>
      </c>
      <c r="AO214" s="5" t="str">
        <f t="shared" si="3"/>
        <v>OK</v>
      </c>
      <c r="AP214" s="5">
        <f>RANK(clean[[#This Row],[Clean Gold]],clean[Clean Gold], 0)</f>
        <v>11</v>
      </c>
      <c r="AQ214" s="1">
        <v>128</v>
      </c>
      <c r="AR214" s="1" t="str" cm="1">
        <f t="array" ref="AR214">_xlfn.IFS(clean[[#This Row],[Clean Level]]&gt;=76, "Legend", clean[[#This Row],[Clean Level]]&gt;=51, "Elite", clean[[#This Row],[Clean Level]]&gt;=26, "Veteran", TRUE, "Rookie")</f>
        <v>Veteran</v>
      </c>
      <c r="AS214" s="1" t="str">
        <f>IF(RPG_dataset[[#This Row],[Status]]="Active", "TRUE", "FALSE")</f>
        <v>TRUE</v>
      </c>
      <c r="AT214" s="1" t="str" cm="1">
        <f t="array" ref="AT214">_xlfn.IFS(clean[[#This Row],[Clean Win Rate]]&gt;70, "Excellent", clean[[#This Row],[Clean Win Rate]]&gt;=40, "Average", TRUE, "Poor")</f>
        <v>Excellent</v>
      </c>
      <c r="AU214" s="1" t="str">
        <f>IF(AND(clean[[#This Row],[Clean Level]]&gt;80, clean[[#This Row],[Clean Total Stat]]&gt;350, clean[[#This Row],[Clean Gold]]&gt;500000), "Overpowered", "Normal")</f>
        <v>Normal</v>
      </c>
      <c r="AV214" s="1" t="str" cm="1">
        <f t="array" ref="AV21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14" s="1" t="str" cm="1">
        <f t="array" ref="AW21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14" s="1"/>
    </row>
    <row r="215" spans="1:50" x14ac:dyDescent="0.3">
      <c r="A215" s="2" t="s">
        <v>829</v>
      </c>
      <c r="B215" s="2" t="s">
        <v>830</v>
      </c>
      <c r="C215" s="2" t="s">
        <v>693</v>
      </c>
      <c r="D215" s="2" t="s">
        <v>28</v>
      </c>
      <c r="E215" s="2" t="s">
        <v>60</v>
      </c>
      <c r="F215" s="2" t="s">
        <v>52</v>
      </c>
      <c r="G215" s="2">
        <v>24</v>
      </c>
      <c r="H215" s="2" t="s">
        <v>53</v>
      </c>
      <c r="I215" s="2" t="s">
        <v>140</v>
      </c>
      <c r="J215" s="2" t="s">
        <v>81</v>
      </c>
      <c r="K215" s="2" t="s">
        <v>34</v>
      </c>
      <c r="L215" s="6" t="s">
        <v>45</v>
      </c>
      <c r="M215" s="2">
        <v>100</v>
      </c>
      <c r="N215" s="2">
        <v>44</v>
      </c>
      <c r="O215" s="2">
        <v>125</v>
      </c>
      <c r="P215" s="2">
        <v>3528</v>
      </c>
      <c r="Q215" s="2">
        <v>2572</v>
      </c>
      <c r="R215" s="2">
        <v>269</v>
      </c>
      <c r="S215" s="2">
        <v>4211</v>
      </c>
      <c r="T215" s="2">
        <v>280</v>
      </c>
      <c r="U215" s="2">
        <v>56</v>
      </c>
      <c r="V215" s="2">
        <v>94</v>
      </c>
      <c r="W215" s="2">
        <v>2049</v>
      </c>
      <c r="X215" s="9">
        <v>822422</v>
      </c>
      <c r="Y215" s="2" t="s">
        <v>46</v>
      </c>
      <c r="AA215" s="1" t="str">
        <f>TRIM(RPG_dataset[[#This Row],[Username]])</f>
        <v>elara_469</v>
      </c>
      <c r="AB215" s="1" t="str">
        <f>TRIM(RPG_dataset[[#This Row],[First Name]])</f>
        <v>Elara</v>
      </c>
      <c r="AC215" s="1" t="str">
        <f>PROPER(TRIM(RPG_dataset[[#This Row],[Race]]))</f>
        <v>Human</v>
      </c>
      <c r="AD215" s="1" t="str">
        <f>PROPER(TRIM(RPG_dataset[[#This Row],[Class]]))</f>
        <v>Bard</v>
      </c>
      <c r="AE215" s="1">
        <f>ABS(RPG_dataset[[#This Row],[Level]])</f>
        <v>24</v>
      </c>
      <c r="AF215" s="1">
        <f>ABS(RPG_dataset[[#This Row],[ATK]])</f>
        <v>100</v>
      </c>
      <c r="AG215" s="1">
        <f>ABS(RPG_dataset[[#This Row],[DEF]])</f>
        <v>44</v>
      </c>
      <c r="AH215" s="1">
        <f>ABS(RPG_dataset[[#This Row],[SPD]])</f>
        <v>125</v>
      </c>
      <c r="AI215" s="1">
        <f>ABS(RPG_dataset[[#This Row],[HP]])</f>
        <v>3528</v>
      </c>
      <c r="AJ215" s="1">
        <f>ABS(RPG_dataset[[#This Row],[MP]])</f>
        <v>2572</v>
      </c>
      <c r="AK215" s="1">
        <f>ABS(RPG_dataset[[#This Row],[Total Stat]])</f>
        <v>269</v>
      </c>
      <c r="AL215" s="1">
        <f>ABS(RPG_dataset[[#This Row],[Kills]])</f>
        <v>4211</v>
      </c>
      <c r="AM215" s="12">
        <f>ABS(RPG_dataset[[#This Row],[Win Rate (%)]])</f>
        <v>94</v>
      </c>
      <c r="AN215" s="4">
        <f>ABS(RPG_dataset[[#This Row],[Gold Earned]])</f>
        <v>822422</v>
      </c>
      <c r="AO215" s="5" t="str">
        <f t="shared" si="3"/>
        <v>OK</v>
      </c>
      <c r="AP215" s="5">
        <f>RANK(clean[[#This Row],[Clean Gold]],clean[Clean Gold], 0)</f>
        <v>91</v>
      </c>
      <c r="AQ215" s="1">
        <v>318</v>
      </c>
      <c r="AR215" s="1" t="str" cm="1">
        <f t="array" ref="AR215">_xlfn.IFS(clean[[#This Row],[Clean Level]]&gt;=76, "Legend", clean[[#This Row],[Clean Level]]&gt;=51, "Elite", clean[[#This Row],[Clean Level]]&gt;=26, "Veteran", TRUE, "Rookie")</f>
        <v>Rookie</v>
      </c>
      <c r="AS215" s="1" t="str">
        <f>IF(RPG_dataset[[#This Row],[Status]]="Active", "TRUE", "FALSE")</f>
        <v>FALSE</v>
      </c>
      <c r="AT215" s="1" t="str" cm="1">
        <f t="array" ref="AT215">_xlfn.IFS(clean[[#This Row],[Clean Win Rate]]&gt;70, "Excellent", clean[[#This Row],[Clean Win Rate]]&gt;=40, "Average", TRUE, "Poor")</f>
        <v>Excellent</v>
      </c>
      <c r="AU215" s="1" t="str">
        <f>IF(AND(clean[[#This Row],[Clean Level]]&gt;80, clean[[#This Row],[Clean Total Stat]]&gt;350, clean[[#This Row],[Clean Gold]]&gt;500000), "Overpowered", "Normal")</f>
        <v>Normal</v>
      </c>
      <c r="AV215" s="1" t="str" cm="1">
        <f t="array" ref="AV21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15" s="1" t="str" cm="1">
        <f t="array" ref="AW21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215" s="1"/>
    </row>
    <row r="216" spans="1:50" x14ac:dyDescent="0.3">
      <c r="A216" s="2" t="s">
        <v>831</v>
      </c>
      <c r="B216" s="2" t="s">
        <v>832</v>
      </c>
      <c r="C216" s="2" t="s">
        <v>227</v>
      </c>
      <c r="D216" s="2" t="s">
        <v>155</v>
      </c>
      <c r="E216" s="2" t="s">
        <v>29</v>
      </c>
      <c r="F216" s="2" t="s">
        <v>30</v>
      </c>
      <c r="G216" s="2">
        <v>20</v>
      </c>
      <c r="H216" s="2" t="s">
        <v>125</v>
      </c>
      <c r="I216" s="2" t="s">
        <v>54</v>
      </c>
      <c r="J216" s="2" t="s">
        <v>64</v>
      </c>
      <c r="K216" s="2" t="s">
        <v>44</v>
      </c>
      <c r="L216" s="6" t="s">
        <v>833</v>
      </c>
      <c r="M216" s="2">
        <v>132</v>
      </c>
      <c r="N216" s="2">
        <v>105</v>
      </c>
      <c r="O216" s="2">
        <v>32</v>
      </c>
      <c r="P216" s="2">
        <v>1623</v>
      </c>
      <c r="Q216" s="2">
        <v>1352</v>
      </c>
      <c r="R216" s="2">
        <v>269</v>
      </c>
      <c r="S216" s="2">
        <v>2952</v>
      </c>
      <c r="T216" s="2">
        <v>933</v>
      </c>
      <c r="U216" s="2">
        <v>219</v>
      </c>
      <c r="V216" s="2">
        <v>76</v>
      </c>
      <c r="W216" s="2">
        <v>75</v>
      </c>
      <c r="X216" s="9">
        <v>24232</v>
      </c>
      <c r="Y216" s="2" t="s">
        <v>36</v>
      </c>
      <c r="AA216" s="1" t="str">
        <f>TRIM(RPG_dataset[[#This Row],[Username]])</f>
        <v>nyx_763</v>
      </c>
      <c r="AB216" s="1" t="str">
        <f>TRIM(RPG_dataset[[#This Row],[First Name]])</f>
        <v>Nyx</v>
      </c>
      <c r="AC216" s="1" t="str">
        <f>PROPER(TRIM(RPG_dataset[[#This Row],[Race]]))</f>
        <v>Dwarf</v>
      </c>
      <c r="AD216" s="1" t="str">
        <f>PROPER(TRIM(RPG_dataset[[#This Row],[Class]]))</f>
        <v>Rogue</v>
      </c>
      <c r="AE216" s="1">
        <f>ABS(RPG_dataset[[#This Row],[Level]])</f>
        <v>20</v>
      </c>
      <c r="AF216" s="1">
        <f>ABS(RPG_dataset[[#This Row],[ATK]])</f>
        <v>132</v>
      </c>
      <c r="AG216" s="1">
        <f>ABS(RPG_dataset[[#This Row],[DEF]])</f>
        <v>105</v>
      </c>
      <c r="AH216" s="1">
        <f>ABS(RPG_dataset[[#This Row],[SPD]])</f>
        <v>32</v>
      </c>
      <c r="AI216" s="1">
        <f>ABS(RPG_dataset[[#This Row],[HP]])</f>
        <v>1623</v>
      </c>
      <c r="AJ216" s="1">
        <f>ABS(RPG_dataset[[#This Row],[MP]])</f>
        <v>1352</v>
      </c>
      <c r="AK216" s="1">
        <f>ABS(RPG_dataset[[#This Row],[Total Stat]])</f>
        <v>269</v>
      </c>
      <c r="AL216" s="1">
        <f>ABS(RPG_dataset[[#This Row],[Kills]])</f>
        <v>2952</v>
      </c>
      <c r="AM216" s="12">
        <f>ABS(RPG_dataset[[#This Row],[Win Rate (%)]])</f>
        <v>76</v>
      </c>
      <c r="AN216" s="4">
        <f>ABS(RPG_dataset[[#This Row],[Gold Earned]])</f>
        <v>24232</v>
      </c>
      <c r="AO216" s="5" t="str">
        <f t="shared" si="3"/>
        <v>OK</v>
      </c>
      <c r="AP216" s="5">
        <f>RANK(clean[[#This Row],[Clean Gold]],clean[Clean Gold], 0)</f>
        <v>471</v>
      </c>
      <c r="AQ216" s="1">
        <v>167</v>
      </c>
      <c r="AR216" s="1" t="str" cm="1">
        <f t="array" ref="AR216">_xlfn.IFS(clean[[#This Row],[Clean Level]]&gt;=76, "Legend", clean[[#This Row],[Clean Level]]&gt;=51, "Elite", clean[[#This Row],[Clean Level]]&gt;=26, "Veteran", TRUE, "Rookie")</f>
        <v>Rookie</v>
      </c>
      <c r="AS216" s="1" t="str">
        <f>IF(RPG_dataset[[#This Row],[Status]]="Active", "TRUE", "FALSE")</f>
        <v>TRUE</v>
      </c>
      <c r="AT216" s="1" t="str" cm="1">
        <f t="array" ref="AT216">_xlfn.IFS(clean[[#This Row],[Clean Win Rate]]&gt;70, "Excellent", clean[[#This Row],[Clean Win Rate]]&gt;=40, "Average", TRUE, "Poor")</f>
        <v>Excellent</v>
      </c>
      <c r="AU216" s="1" t="str">
        <f>IF(AND(clean[[#This Row],[Clean Level]]&gt;80, clean[[#This Row],[Clean Total Stat]]&gt;350, clean[[#This Row],[Clean Gold]]&gt;500000), "Overpowered", "Normal")</f>
        <v>Normal</v>
      </c>
      <c r="AV216" s="1" t="str" cm="1">
        <f t="array" ref="AV21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16" s="1" t="str" cm="1">
        <f t="array" ref="AW21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216" s="1"/>
    </row>
    <row r="217" spans="1:50" x14ac:dyDescent="0.3">
      <c r="A217" s="2" t="s">
        <v>834</v>
      </c>
      <c r="B217" s="2" t="s">
        <v>835</v>
      </c>
      <c r="C217" s="2" t="s">
        <v>154</v>
      </c>
      <c r="D217" s="2" t="s">
        <v>272</v>
      </c>
      <c r="E217" s="2" t="s">
        <v>29</v>
      </c>
      <c r="F217" s="2" t="s">
        <v>194</v>
      </c>
      <c r="G217" s="2">
        <v>99</v>
      </c>
      <c r="H217" s="2" t="s">
        <v>125</v>
      </c>
      <c r="I217" s="2" t="s">
        <v>32</v>
      </c>
      <c r="J217" s="2" t="s">
        <v>33</v>
      </c>
      <c r="K217" s="2" t="s">
        <v>106</v>
      </c>
      <c r="L217" s="6" t="s">
        <v>457</v>
      </c>
      <c r="M217" s="2">
        <v>-42</v>
      </c>
      <c r="N217" s="2">
        <v>121</v>
      </c>
      <c r="O217" s="2">
        <v>81</v>
      </c>
      <c r="P217" s="2">
        <v>1682</v>
      </c>
      <c r="Q217" s="2">
        <v>1789</v>
      </c>
      <c r="R217" s="2">
        <v>244</v>
      </c>
      <c r="S217" s="2">
        <v>2960</v>
      </c>
      <c r="T217" s="2">
        <v>789</v>
      </c>
      <c r="U217" s="2">
        <v>84</v>
      </c>
      <c r="V217" s="2">
        <v>79</v>
      </c>
      <c r="W217" s="2">
        <v>3364</v>
      </c>
      <c r="X217" s="9">
        <v>443523</v>
      </c>
      <c r="Y217" s="2" t="s">
        <v>36</v>
      </c>
      <c r="AA217" s="1" t="str">
        <f>TRIM(RPG_dataset[[#This Row],[Username]])</f>
        <v>nolan_884</v>
      </c>
      <c r="AB217" s="1" t="str">
        <f>TRIM(RPG_dataset[[#This Row],[First Name]])</f>
        <v>Nolan</v>
      </c>
      <c r="AC217" s="1" t="str">
        <f>PROPER(TRIM(RPG_dataset[[#This Row],[Race]]))</f>
        <v>Dwarf</v>
      </c>
      <c r="AD217" s="1" t="str">
        <f>PROPER(TRIM(RPG_dataset[[#This Row],[Class]]))</f>
        <v>Paladin</v>
      </c>
      <c r="AE217" s="1">
        <f>ABS(RPG_dataset[[#This Row],[Level]])</f>
        <v>99</v>
      </c>
      <c r="AF217" s="1">
        <f>ABS(RPG_dataset[[#This Row],[ATK]])</f>
        <v>42</v>
      </c>
      <c r="AG217" s="1">
        <f>ABS(RPG_dataset[[#This Row],[DEF]])</f>
        <v>121</v>
      </c>
      <c r="AH217" s="1">
        <f>ABS(RPG_dataset[[#This Row],[SPD]])</f>
        <v>81</v>
      </c>
      <c r="AI217" s="1">
        <f>ABS(RPG_dataset[[#This Row],[HP]])</f>
        <v>1682</v>
      </c>
      <c r="AJ217" s="1">
        <f>ABS(RPG_dataset[[#This Row],[MP]])</f>
        <v>1789</v>
      </c>
      <c r="AK217" s="1">
        <f>ABS(RPG_dataset[[#This Row],[Total Stat]])</f>
        <v>244</v>
      </c>
      <c r="AL217" s="1">
        <f>ABS(RPG_dataset[[#This Row],[Kills]])</f>
        <v>2960</v>
      </c>
      <c r="AM217" s="12">
        <f>ABS(RPG_dataset[[#This Row],[Win Rate (%)]])</f>
        <v>79</v>
      </c>
      <c r="AN217" s="4">
        <f>ABS(RPG_dataset[[#This Row],[Gold Earned]])</f>
        <v>443523</v>
      </c>
      <c r="AO217" s="5" t="str">
        <f t="shared" si="3"/>
        <v>OK</v>
      </c>
      <c r="AP217" s="5">
        <f>RANK(clean[[#This Row],[Clean Gold]],clean[Clean Gold], 0)</f>
        <v>284</v>
      </c>
      <c r="AQ217" s="1">
        <v>233</v>
      </c>
      <c r="AR217" s="1" t="str" cm="1">
        <f t="array" ref="AR217">_xlfn.IFS(clean[[#This Row],[Clean Level]]&gt;=76, "Legend", clean[[#This Row],[Clean Level]]&gt;=51, "Elite", clean[[#This Row],[Clean Level]]&gt;=26, "Veteran", TRUE, "Rookie")</f>
        <v>Legend</v>
      </c>
      <c r="AS217" s="1" t="str">
        <f>IF(RPG_dataset[[#This Row],[Status]]="Active", "TRUE", "FALSE")</f>
        <v>FALSE</v>
      </c>
      <c r="AT217" s="1" t="str" cm="1">
        <f t="array" ref="AT217">_xlfn.IFS(clean[[#This Row],[Clean Win Rate]]&gt;70, "Excellent", clean[[#This Row],[Clean Win Rate]]&gt;=40, "Average", TRUE, "Poor")</f>
        <v>Excellent</v>
      </c>
      <c r="AU217" s="1" t="str">
        <f>IF(AND(clean[[#This Row],[Clean Level]]&gt;80, clean[[#This Row],[Clean Total Stat]]&gt;350, clean[[#This Row],[Clean Gold]]&gt;500000), "Overpowered", "Normal")</f>
        <v>Normal</v>
      </c>
      <c r="AV217" s="1" t="str" cm="1">
        <f t="array" ref="AV217">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217" s="1" t="str" cm="1">
        <f t="array" ref="AW21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17" s="1"/>
    </row>
    <row r="218" spans="1:50" x14ac:dyDescent="0.3">
      <c r="A218" s="2" t="s">
        <v>836</v>
      </c>
      <c r="B218" s="2" t="s">
        <v>837</v>
      </c>
      <c r="C218" s="2" t="s">
        <v>123</v>
      </c>
      <c r="D218" s="2" t="s">
        <v>168</v>
      </c>
      <c r="E218" s="2" t="s">
        <v>71</v>
      </c>
      <c r="F218" s="2" t="s">
        <v>52</v>
      </c>
      <c r="G218" s="2">
        <v>52</v>
      </c>
      <c r="H218" s="2" t="s">
        <v>80</v>
      </c>
      <c r="I218" s="2" t="s">
        <v>63</v>
      </c>
      <c r="J218" s="2" t="s">
        <v>33</v>
      </c>
      <c r="K218" s="2" t="s">
        <v>106</v>
      </c>
      <c r="L218" s="6" t="s">
        <v>224</v>
      </c>
      <c r="M218" s="2">
        <v>112</v>
      </c>
      <c r="N218" s="2">
        <v>17</v>
      </c>
      <c r="O218" s="2">
        <v>94</v>
      </c>
      <c r="P218" s="2">
        <v>1152</v>
      </c>
      <c r="Q218" s="2">
        <v>1915</v>
      </c>
      <c r="R218" s="2">
        <v>223</v>
      </c>
      <c r="S218" s="2">
        <v>1841</v>
      </c>
      <c r="T218" s="2">
        <v>872</v>
      </c>
      <c r="U218" s="2">
        <v>51</v>
      </c>
      <c r="V218" s="2">
        <v>68</v>
      </c>
      <c r="W218" s="2">
        <v>4090</v>
      </c>
      <c r="X218" s="9">
        <v>970824</v>
      </c>
      <c r="Y218" s="2" t="s">
        <v>46</v>
      </c>
      <c r="AA218" s="1" t="str">
        <f>TRIM(RPG_dataset[[#This Row],[Username]])</f>
        <v>faye_786</v>
      </c>
      <c r="AB218" s="1" t="str">
        <f>TRIM(RPG_dataset[[#This Row],[First Name]])</f>
        <v>Faye</v>
      </c>
      <c r="AC218" s="1" t="str">
        <f>PROPER(TRIM(RPG_dataset[[#This Row],[Race]]))</f>
        <v>Dragonborn</v>
      </c>
      <c r="AD218" s="1" t="str">
        <f>PROPER(TRIM(RPG_dataset[[#This Row],[Class]]))</f>
        <v>Bard</v>
      </c>
      <c r="AE218" s="1">
        <f>ABS(RPG_dataset[[#This Row],[Level]])</f>
        <v>52</v>
      </c>
      <c r="AF218" s="1">
        <f>ABS(RPG_dataset[[#This Row],[ATK]])</f>
        <v>112</v>
      </c>
      <c r="AG218" s="1">
        <f>ABS(RPG_dataset[[#This Row],[DEF]])</f>
        <v>17</v>
      </c>
      <c r="AH218" s="1">
        <f>ABS(RPG_dataset[[#This Row],[SPD]])</f>
        <v>94</v>
      </c>
      <c r="AI218" s="1">
        <f>ABS(RPG_dataset[[#This Row],[HP]])</f>
        <v>1152</v>
      </c>
      <c r="AJ218" s="1">
        <f>ABS(RPG_dataset[[#This Row],[MP]])</f>
        <v>1915</v>
      </c>
      <c r="AK218" s="1">
        <f>ABS(RPG_dataset[[#This Row],[Total Stat]])</f>
        <v>223</v>
      </c>
      <c r="AL218" s="1">
        <f>ABS(RPG_dataset[[#This Row],[Kills]])</f>
        <v>1841</v>
      </c>
      <c r="AM218" s="12">
        <f>ABS(RPG_dataset[[#This Row],[Win Rate (%)]])</f>
        <v>68</v>
      </c>
      <c r="AN218" s="4">
        <f>ABS(RPG_dataset[[#This Row],[Gold Earned]])</f>
        <v>970824</v>
      </c>
      <c r="AO218" s="5" t="str">
        <f t="shared" si="3"/>
        <v>OK</v>
      </c>
      <c r="AP218" s="5">
        <f>RANK(clean[[#This Row],[Clean Gold]],clean[Clean Gold], 0)</f>
        <v>15</v>
      </c>
      <c r="AQ218" s="1">
        <v>290</v>
      </c>
      <c r="AR218" s="1" t="str" cm="1">
        <f t="array" ref="AR218">_xlfn.IFS(clean[[#This Row],[Clean Level]]&gt;=76, "Legend", clean[[#This Row],[Clean Level]]&gt;=51, "Elite", clean[[#This Row],[Clean Level]]&gt;=26, "Veteran", TRUE, "Rookie")</f>
        <v>Elite</v>
      </c>
      <c r="AS218" s="1" t="str">
        <f>IF(RPG_dataset[[#This Row],[Status]]="Active", "TRUE", "FALSE")</f>
        <v>FALSE</v>
      </c>
      <c r="AT218" s="1" t="str" cm="1">
        <f t="array" ref="AT218">_xlfn.IFS(clean[[#This Row],[Clean Win Rate]]&gt;70, "Excellent", clean[[#This Row],[Clean Win Rate]]&gt;=40, "Average", TRUE, "Poor")</f>
        <v>Average</v>
      </c>
      <c r="AU218" s="1" t="str">
        <f>IF(AND(clean[[#This Row],[Clean Level]]&gt;80, clean[[#This Row],[Clean Total Stat]]&gt;350, clean[[#This Row],[Clean Gold]]&gt;500000), "Overpowered", "Normal")</f>
        <v>Normal</v>
      </c>
      <c r="AV218" s="1" t="str" cm="1">
        <f t="array" ref="AV21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18" s="1" t="str" cm="1">
        <f t="array" ref="AW21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18" s="1"/>
    </row>
    <row r="219" spans="1:50" x14ac:dyDescent="0.3">
      <c r="A219" s="2" t="s">
        <v>838</v>
      </c>
      <c r="B219" s="2" t="s">
        <v>839</v>
      </c>
      <c r="C219" s="2" t="s">
        <v>219</v>
      </c>
      <c r="D219" s="2" t="s">
        <v>401</v>
      </c>
      <c r="E219" s="2" t="s">
        <v>105</v>
      </c>
      <c r="F219" s="2" t="s">
        <v>194</v>
      </c>
      <c r="G219" s="2">
        <v>81</v>
      </c>
      <c r="H219" s="2" t="s">
        <v>43</v>
      </c>
      <c r="I219" s="2" t="s">
        <v>63</v>
      </c>
      <c r="J219" s="2" t="s">
        <v>92</v>
      </c>
      <c r="K219" s="2" t="s">
        <v>44</v>
      </c>
      <c r="L219" s="6" t="s">
        <v>840</v>
      </c>
      <c r="M219" s="2">
        <v>72</v>
      </c>
      <c r="N219" s="2">
        <v>73</v>
      </c>
      <c r="O219" s="2">
        <v>25</v>
      </c>
      <c r="P219" s="2">
        <v>3953</v>
      </c>
      <c r="Q219" s="2">
        <v>491</v>
      </c>
      <c r="R219" s="2">
        <v>170</v>
      </c>
      <c r="S219" s="2">
        <v>4641</v>
      </c>
      <c r="T219" s="2">
        <v>484</v>
      </c>
      <c r="U219" s="2">
        <v>20</v>
      </c>
      <c r="V219" s="2">
        <v>91</v>
      </c>
      <c r="W219" s="2">
        <v>803</v>
      </c>
      <c r="X219" s="9">
        <v>14765</v>
      </c>
      <c r="Y219" s="2" t="s">
        <v>36</v>
      </c>
      <c r="AA219" s="1" t="str">
        <f>TRIM(RPG_dataset[[#This Row],[Username]])</f>
        <v>torin_164</v>
      </c>
      <c r="AB219" s="1" t="str">
        <f>TRIM(RPG_dataset[[#This Row],[First Name]])</f>
        <v>Torin</v>
      </c>
      <c r="AC219" s="1" t="str">
        <f>PROPER(TRIM(RPG_dataset[[#This Row],[Race]]))</f>
        <v>Orc</v>
      </c>
      <c r="AD219" s="1" t="str">
        <f>PROPER(TRIM(RPG_dataset[[#This Row],[Class]]))</f>
        <v>Paladin</v>
      </c>
      <c r="AE219" s="1">
        <f>ABS(RPG_dataset[[#This Row],[Level]])</f>
        <v>81</v>
      </c>
      <c r="AF219" s="1">
        <f>ABS(RPG_dataset[[#This Row],[ATK]])</f>
        <v>72</v>
      </c>
      <c r="AG219" s="1">
        <f>ABS(RPG_dataset[[#This Row],[DEF]])</f>
        <v>73</v>
      </c>
      <c r="AH219" s="1">
        <f>ABS(RPG_dataset[[#This Row],[SPD]])</f>
        <v>25</v>
      </c>
      <c r="AI219" s="1">
        <f>ABS(RPG_dataset[[#This Row],[HP]])</f>
        <v>3953</v>
      </c>
      <c r="AJ219" s="1">
        <f>ABS(RPG_dataset[[#This Row],[MP]])</f>
        <v>491</v>
      </c>
      <c r="AK219" s="1">
        <f>ABS(RPG_dataset[[#This Row],[Total Stat]])</f>
        <v>170</v>
      </c>
      <c r="AL219" s="1">
        <f>ABS(RPG_dataset[[#This Row],[Kills]])</f>
        <v>4641</v>
      </c>
      <c r="AM219" s="12">
        <f>ABS(RPG_dataset[[#This Row],[Win Rate (%)]])</f>
        <v>91</v>
      </c>
      <c r="AN219" s="4">
        <f>ABS(RPG_dataset[[#This Row],[Gold Earned]])</f>
        <v>14765</v>
      </c>
      <c r="AO219" s="5" t="str">
        <f t="shared" si="3"/>
        <v>Fix This</v>
      </c>
      <c r="AP219" s="5">
        <f>RANK(clean[[#This Row],[Clean Gold]],clean[Clean Gold], 0)</f>
        <v>476</v>
      </c>
      <c r="AQ219" s="1">
        <v>114</v>
      </c>
      <c r="AR219" s="1" t="str" cm="1">
        <f t="array" ref="AR219">_xlfn.IFS(clean[[#This Row],[Clean Level]]&gt;=76, "Legend", clean[[#This Row],[Clean Level]]&gt;=51, "Elite", clean[[#This Row],[Clean Level]]&gt;=26, "Veteran", TRUE, "Rookie")</f>
        <v>Legend</v>
      </c>
      <c r="AS219" s="1" t="str">
        <f>IF(RPG_dataset[[#This Row],[Status]]="Active", "TRUE", "FALSE")</f>
        <v>TRUE</v>
      </c>
      <c r="AT219" s="1" t="str" cm="1">
        <f t="array" ref="AT219">_xlfn.IFS(clean[[#This Row],[Clean Win Rate]]&gt;70, "Excellent", clean[[#This Row],[Clean Win Rate]]&gt;=40, "Average", TRUE, "Poor")</f>
        <v>Excellent</v>
      </c>
      <c r="AU219" s="1" t="str">
        <f>IF(AND(clean[[#This Row],[Clean Level]]&gt;80, clean[[#This Row],[Clean Total Stat]]&gt;350, clean[[#This Row],[Clean Gold]]&gt;500000), "Overpowered", "Normal")</f>
        <v>Normal</v>
      </c>
      <c r="AV219" s="1" t="str" cm="1">
        <f t="array" ref="AV219">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219" s="1" t="str" cm="1">
        <f t="array" ref="AW21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19" s="1"/>
    </row>
    <row r="220" spans="1:50" x14ac:dyDescent="0.3">
      <c r="A220" s="2" t="s">
        <v>841</v>
      </c>
      <c r="B220" s="2" t="s">
        <v>75</v>
      </c>
      <c r="C220" s="2" t="s">
        <v>154</v>
      </c>
      <c r="D220" s="2" t="s">
        <v>234</v>
      </c>
      <c r="E220" s="2" t="s">
        <v>105</v>
      </c>
      <c r="F220" s="2" t="s">
        <v>98</v>
      </c>
      <c r="G220" s="2">
        <v>78</v>
      </c>
      <c r="H220" s="2" t="s">
        <v>157</v>
      </c>
      <c r="I220" s="2" t="s">
        <v>87</v>
      </c>
      <c r="J220" s="2" t="s">
        <v>81</v>
      </c>
      <c r="K220" s="2" t="s">
        <v>44</v>
      </c>
      <c r="L220" s="6" t="s">
        <v>842</v>
      </c>
      <c r="M220" s="2">
        <v>136</v>
      </c>
      <c r="N220" s="2">
        <v>32</v>
      </c>
      <c r="O220" s="2">
        <v>82</v>
      </c>
      <c r="P220" s="2">
        <v>1415</v>
      </c>
      <c r="Q220" s="2">
        <v>2184</v>
      </c>
      <c r="R220" s="2">
        <v>250</v>
      </c>
      <c r="S220" s="2">
        <v>361</v>
      </c>
      <c r="T220" s="2">
        <v>96</v>
      </c>
      <c r="U220" s="2">
        <v>-1</v>
      </c>
      <c r="V220" s="2">
        <v>79</v>
      </c>
      <c r="W220" s="2">
        <v>5518</v>
      </c>
      <c r="X220" s="9">
        <v>423010</v>
      </c>
      <c r="Y220" s="2" t="s">
        <v>36</v>
      </c>
      <c r="AA220" s="1" t="str">
        <f>TRIM(RPG_dataset[[#This Row],[Username]])</f>
        <v/>
      </c>
      <c r="AB220" s="1" t="str">
        <f>TRIM(RPG_dataset[[#This Row],[First Name]])</f>
        <v>Nolan</v>
      </c>
      <c r="AC220" s="1" t="str">
        <f>PROPER(TRIM(RPG_dataset[[#This Row],[Race]]))</f>
        <v>Orc</v>
      </c>
      <c r="AD220" s="1" t="str">
        <f>PROPER(TRIM(RPG_dataset[[#This Row],[Class]]))</f>
        <v>Mage</v>
      </c>
      <c r="AE220" s="1">
        <f>ABS(RPG_dataset[[#This Row],[Level]])</f>
        <v>78</v>
      </c>
      <c r="AF220" s="1">
        <f>ABS(RPG_dataset[[#This Row],[ATK]])</f>
        <v>136</v>
      </c>
      <c r="AG220" s="1">
        <f>ABS(RPG_dataset[[#This Row],[DEF]])</f>
        <v>32</v>
      </c>
      <c r="AH220" s="1">
        <f>ABS(RPG_dataset[[#This Row],[SPD]])</f>
        <v>82</v>
      </c>
      <c r="AI220" s="1">
        <f>ABS(RPG_dataset[[#This Row],[HP]])</f>
        <v>1415</v>
      </c>
      <c r="AJ220" s="1">
        <f>ABS(RPG_dataset[[#This Row],[MP]])</f>
        <v>2184</v>
      </c>
      <c r="AK220" s="1">
        <f>ABS(RPG_dataset[[#This Row],[Total Stat]])</f>
        <v>250</v>
      </c>
      <c r="AL220" s="1">
        <f>ABS(RPG_dataset[[#This Row],[Kills]])</f>
        <v>361</v>
      </c>
      <c r="AM220" s="12">
        <f>ABS(RPG_dataset[[#This Row],[Win Rate (%)]])</f>
        <v>79</v>
      </c>
      <c r="AN220" s="4">
        <f>ABS(RPG_dataset[[#This Row],[Gold Earned]])</f>
        <v>423010</v>
      </c>
      <c r="AO220" s="5" t="str">
        <f t="shared" si="3"/>
        <v>OK</v>
      </c>
      <c r="AP220" s="5">
        <f>RANK(clean[[#This Row],[Clean Gold]],clean[Clean Gold], 0)</f>
        <v>296</v>
      </c>
      <c r="AQ220" s="1">
        <v>239</v>
      </c>
      <c r="AR220" s="1" t="str" cm="1">
        <f t="array" ref="AR220">_xlfn.IFS(clean[[#This Row],[Clean Level]]&gt;=76, "Legend", clean[[#This Row],[Clean Level]]&gt;=51, "Elite", clean[[#This Row],[Clean Level]]&gt;=26, "Veteran", TRUE, "Rookie")</f>
        <v>Legend</v>
      </c>
      <c r="AS220" s="1" t="str">
        <f>IF(RPG_dataset[[#This Row],[Status]]="Active", "TRUE", "FALSE")</f>
        <v>TRUE</v>
      </c>
      <c r="AT220" s="1" t="str" cm="1">
        <f t="array" ref="AT220">_xlfn.IFS(clean[[#This Row],[Clean Win Rate]]&gt;70, "Excellent", clean[[#This Row],[Clean Win Rate]]&gt;=40, "Average", TRUE, "Poor")</f>
        <v>Excellent</v>
      </c>
      <c r="AU220" s="1" t="str">
        <f>IF(AND(clean[[#This Row],[Clean Level]]&gt;80, clean[[#This Row],[Clean Total Stat]]&gt;350, clean[[#This Row],[Clean Gold]]&gt;500000), "Overpowered", "Normal")</f>
        <v>Normal</v>
      </c>
      <c r="AV220" s="1" t="str" cm="1">
        <f t="array" ref="AV220">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220" s="1" t="str" cm="1">
        <f t="array" ref="AW22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220" s="1"/>
    </row>
    <row r="221" spans="1:50" x14ac:dyDescent="0.3">
      <c r="A221" s="2" t="s">
        <v>843</v>
      </c>
      <c r="B221" s="2" t="s">
        <v>844</v>
      </c>
      <c r="C221" s="2" t="s">
        <v>367</v>
      </c>
      <c r="D221" s="2" t="s">
        <v>40</v>
      </c>
      <c r="E221" s="2" t="s">
        <v>60</v>
      </c>
      <c r="F221" s="2" t="s">
        <v>98</v>
      </c>
      <c r="G221" s="2">
        <v>52</v>
      </c>
      <c r="H221" s="2" t="s">
        <v>31</v>
      </c>
      <c r="I221" s="2" t="s">
        <v>126</v>
      </c>
      <c r="J221" s="2" t="s">
        <v>120</v>
      </c>
      <c r="K221" s="2" t="s">
        <v>34</v>
      </c>
      <c r="L221" s="6" t="s">
        <v>845</v>
      </c>
      <c r="M221" s="2">
        <v>13</v>
      </c>
      <c r="N221" s="2">
        <v>73</v>
      </c>
      <c r="O221" s="2"/>
      <c r="P221" s="2">
        <v>1301</v>
      </c>
      <c r="Q221" s="2">
        <v>2704</v>
      </c>
      <c r="R221" s="2">
        <v>111</v>
      </c>
      <c r="S221" s="2">
        <v>1650</v>
      </c>
      <c r="T221" s="2">
        <v>1000</v>
      </c>
      <c r="U221" s="2">
        <v>268</v>
      </c>
      <c r="V221" s="2">
        <v>62</v>
      </c>
      <c r="W221" s="2">
        <v>2995</v>
      </c>
      <c r="X221" s="9">
        <v>944971</v>
      </c>
      <c r="Y221" s="2" t="s">
        <v>46</v>
      </c>
      <c r="AA221" s="1" t="str">
        <f>TRIM(RPG_dataset[[#This Row],[Username]])</f>
        <v>sable_340</v>
      </c>
      <c r="AB221" s="1" t="str">
        <f>TRIM(RPG_dataset[[#This Row],[First Name]])</f>
        <v>Sable</v>
      </c>
      <c r="AC221" s="1" t="str">
        <f>PROPER(TRIM(RPG_dataset[[#This Row],[Race]]))</f>
        <v>Human</v>
      </c>
      <c r="AD221" s="1" t="str">
        <f>PROPER(TRIM(RPG_dataset[[#This Row],[Class]]))</f>
        <v>Mage</v>
      </c>
      <c r="AE221" s="1">
        <f>ABS(RPG_dataset[[#This Row],[Level]])</f>
        <v>52</v>
      </c>
      <c r="AF221" s="1">
        <f>ABS(RPG_dataset[[#This Row],[ATK]])</f>
        <v>13</v>
      </c>
      <c r="AG221" s="1">
        <f>ABS(RPG_dataset[[#This Row],[DEF]])</f>
        <v>73</v>
      </c>
      <c r="AH221" s="1">
        <f>ABS(RPG_dataset[[#This Row],[SPD]])</f>
        <v>0</v>
      </c>
      <c r="AI221" s="1">
        <f>ABS(RPG_dataset[[#This Row],[HP]])</f>
        <v>1301</v>
      </c>
      <c r="AJ221" s="1">
        <f>ABS(RPG_dataset[[#This Row],[MP]])</f>
        <v>2704</v>
      </c>
      <c r="AK221" s="1">
        <f>ABS(RPG_dataset[[#This Row],[Total Stat]])</f>
        <v>111</v>
      </c>
      <c r="AL221" s="1">
        <f>ABS(RPG_dataset[[#This Row],[Kills]])</f>
        <v>1650</v>
      </c>
      <c r="AM221" s="12">
        <f>ABS(RPG_dataset[[#This Row],[Win Rate (%)]])</f>
        <v>62</v>
      </c>
      <c r="AN221" s="4">
        <f>ABS(RPG_dataset[[#This Row],[Gold Earned]])</f>
        <v>944971</v>
      </c>
      <c r="AO221" s="5" t="str">
        <f t="shared" si="3"/>
        <v>OK</v>
      </c>
      <c r="AP221" s="5">
        <f>RANK(clean[[#This Row],[Clean Gold]],clean[Clean Gold], 0)</f>
        <v>24</v>
      </c>
      <c r="AQ221" s="1">
        <v>197</v>
      </c>
      <c r="AR221" s="1" t="str" cm="1">
        <f t="array" ref="AR221">_xlfn.IFS(clean[[#This Row],[Clean Level]]&gt;=76, "Legend", clean[[#This Row],[Clean Level]]&gt;=51, "Elite", clean[[#This Row],[Clean Level]]&gt;=26, "Veteran", TRUE, "Rookie")</f>
        <v>Elite</v>
      </c>
      <c r="AS221" s="1" t="str">
        <f>IF(RPG_dataset[[#This Row],[Status]]="Active", "TRUE", "FALSE")</f>
        <v>FALSE</v>
      </c>
      <c r="AT221" s="1" t="str" cm="1">
        <f t="array" ref="AT221">_xlfn.IFS(clean[[#This Row],[Clean Win Rate]]&gt;70, "Excellent", clean[[#This Row],[Clean Win Rate]]&gt;=40, "Average", TRUE, "Poor")</f>
        <v>Average</v>
      </c>
      <c r="AU221" s="1" t="str">
        <f>IF(AND(clean[[#This Row],[Clean Level]]&gt;80, clean[[#This Row],[Clean Total Stat]]&gt;350, clean[[#This Row],[Clean Gold]]&gt;500000), "Overpowered", "Normal")</f>
        <v>Normal</v>
      </c>
      <c r="AV221" s="1" t="str" cm="1">
        <f t="array" ref="AV22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21" s="1" t="str" cm="1">
        <f t="array" ref="AW22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21" s="1"/>
    </row>
    <row r="222" spans="1:50" x14ac:dyDescent="0.3">
      <c r="A222" s="2" t="s">
        <v>846</v>
      </c>
      <c r="B222" s="2" t="s">
        <v>847</v>
      </c>
      <c r="C222" s="2" t="s">
        <v>219</v>
      </c>
      <c r="D222" s="2" t="s">
        <v>254</v>
      </c>
      <c r="E222" s="2" t="s">
        <v>71</v>
      </c>
      <c r="F222" s="2" t="s">
        <v>124</v>
      </c>
      <c r="G222" s="2">
        <v>87</v>
      </c>
      <c r="H222" s="2" t="s">
        <v>239</v>
      </c>
      <c r="I222" s="2" t="s">
        <v>140</v>
      </c>
      <c r="J222" s="2" t="s">
        <v>111</v>
      </c>
      <c r="K222" s="2" t="s">
        <v>44</v>
      </c>
      <c r="L222" s="6" t="s">
        <v>848</v>
      </c>
      <c r="M222" s="2">
        <v>118</v>
      </c>
      <c r="N222" s="2">
        <v>33</v>
      </c>
      <c r="O222" s="2">
        <v>48</v>
      </c>
      <c r="P222" s="2">
        <v>910</v>
      </c>
      <c r="Q222" s="2">
        <v>893</v>
      </c>
      <c r="R222" s="2">
        <v>199</v>
      </c>
      <c r="S222" s="2">
        <v>1575</v>
      </c>
      <c r="T222" s="2">
        <v>236</v>
      </c>
      <c r="U222" s="2">
        <v>4</v>
      </c>
      <c r="V222" s="2">
        <v>87</v>
      </c>
      <c r="W222" s="2">
        <v>6990</v>
      </c>
      <c r="X222" s="9">
        <v>932509</v>
      </c>
      <c r="Y222" s="2" t="s">
        <v>46</v>
      </c>
      <c r="AA222" s="1" t="str">
        <f>TRIM(RPG_dataset[[#This Row],[Username]])</f>
        <v>torin_574</v>
      </c>
      <c r="AB222" s="1" t="str">
        <f>TRIM(RPG_dataset[[#This Row],[First Name]])</f>
        <v>Torin</v>
      </c>
      <c r="AC222" s="1" t="str">
        <f>PROPER(TRIM(RPG_dataset[[#This Row],[Race]]))</f>
        <v>Dragonborn</v>
      </c>
      <c r="AD222" s="1" t="str">
        <f>PROPER(TRIM(RPG_dataset[[#This Row],[Class]]))</f>
        <v>Necromancer</v>
      </c>
      <c r="AE222" s="1">
        <f>ABS(RPG_dataset[[#This Row],[Level]])</f>
        <v>87</v>
      </c>
      <c r="AF222" s="1">
        <f>ABS(RPG_dataset[[#This Row],[ATK]])</f>
        <v>118</v>
      </c>
      <c r="AG222" s="1">
        <f>ABS(RPG_dataset[[#This Row],[DEF]])</f>
        <v>33</v>
      </c>
      <c r="AH222" s="1">
        <f>ABS(RPG_dataset[[#This Row],[SPD]])</f>
        <v>48</v>
      </c>
      <c r="AI222" s="1">
        <f>ABS(RPG_dataset[[#This Row],[HP]])</f>
        <v>910</v>
      </c>
      <c r="AJ222" s="1">
        <f>ABS(RPG_dataset[[#This Row],[MP]])</f>
        <v>893</v>
      </c>
      <c r="AK222" s="1">
        <f>ABS(RPG_dataset[[#This Row],[Total Stat]])</f>
        <v>199</v>
      </c>
      <c r="AL222" s="1">
        <f>ABS(RPG_dataset[[#This Row],[Kills]])</f>
        <v>1575</v>
      </c>
      <c r="AM222" s="12">
        <f>ABS(RPG_dataset[[#This Row],[Win Rate (%)]])</f>
        <v>87</v>
      </c>
      <c r="AN222" s="4">
        <f>ABS(RPG_dataset[[#This Row],[Gold Earned]])</f>
        <v>932509</v>
      </c>
      <c r="AO222" s="5" t="str">
        <f t="shared" si="3"/>
        <v>OK</v>
      </c>
      <c r="AP222" s="5">
        <f>RANK(clean[[#This Row],[Clean Gold]],clean[Clean Gold], 0)</f>
        <v>32</v>
      </c>
      <c r="AQ222" s="1">
        <v>-163</v>
      </c>
      <c r="AR222" s="1" t="str" cm="1">
        <f t="array" ref="AR222">_xlfn.IFS(clean[[#This Row],[Clean Level]]&gt;=76, "Legend", clean[[#This Row],[Clean Level]]&gt;=51, "Elite", clean[[#This Row],[Clean Level]]&gt;=26, "Veteran", TRUE, "Rookie")</f>
        <v>Legend</v>
      </c>
      <c r="AS222" s="1" t="str">
        <f>IF(RPG_dataset[[#This Row],[Status]]="Active", "TRUE", "FALSE")</f>
        <v>TRUE</v>
      </c>
      <c r="AT222" s="1" t="str" cm="1">
        <f t="array" ref="AT222">_xlfn.IFS(clean[[#This Row],[Clean Win Rate]]&gt;70, "Excellent", clean[[#This Row],[Clean Win Rate]]&gt;=40, "Average", TRUE, "Poor")</f>
        <v>Excellent</v>
      </c>
      <c r="AU222" s="1" t="str">
        <f>IF(AND(clean[[#This Row],[Clean Level]]&gt;80, clean[[#This Row],[Clean Total Stat]]&gt;350, clean[[#This Row],[Clean Gold]]&gt;500000), "Overpowered", "Normal")</f>
        <v>Normal</v>
      </c>
      <c r="AV222" s="1" t="str" cm="1">
        <f t="array" ref="AV22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22" s="1" t="str" cm="1">
        <f t="array" ref="AW22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222" s="1"/>
    </row>
    <row r="223" spans="1:50" x14ac:dyDescent="0.3">
      <c r="A223" s="2" t="s">
        <v>849</v>
      </c>
      <c r="B223" s="2" t="s">
        <v>850</v>
      </c>
      <c r="C223" s="2" t="s">
        <v>130</v>
      </c>
      <c r="D223" s="2" t="s">
        <v>304</v>
      </c>
      <c r="E223" s="2" t="s">
        <v>71</v>
      </c>
      <c r="F223" s="2" t="s">
        <v>52</v>
      </c>
      <c r="G223" s="2">
        <v>85</v>
      </c>
      <c r="H223" s="2" t="s">
        <v>80</v>
      </c>
      <c r="I223" s="2" t="s">
        <v>126</v>
      </c>
      <c r="J223" s="2" t="s">
        <v>88</v>
      </c>
      <c r="K223" s="2" t="s">
        <v>99</v>
      </c>
      <c r="L223" s="6" t="s">
        <v>851</v>
      </c>
      <c r="M223" s="2">
        <v>13</v>
      </c>
      <c r="N223" s="2"/>
      <c r="O223" s="2">
        <v>67</v>
      </c>
      <c r="P223" s="2"/>
      <c r="Q223" s="2">
        <v>675</v>
      </c>
      <c r="R223" s="2">
        <v>138</v>
      </c>
      <c r="S223" s="2">
        <v>2176</v>
      </c>
      <c r="T223" s="2">
        <v>19</v>
      </c>
      <c r="U223" s="2">
        <v>73</v>
      </c>
      <c r="V223" s="2">
        <v>99</v>
      </c>
      <c r="W223" s="2">
        <v>412</v>
      </c>
      <c r="X223" s="9">
        <v>13152</v>
      </c>
      <c r="Y223" s="2" t="s">
        <v>46</v>
      </c>
      <c r="AA223" s="1" t="str">
        <f>TRIM(RPG_dataset[[#This Row],[Username]])</f>
        <v>ewan_933</v>
      </c>
      <c r="AB223" s="1" t="str">
        <f>TRIM(RPG_dataset[[#This Row],[First Name]])</f>
        <v>Ewan</v>
      </c>
      <c r="AC223" s="1" t="str">
        <f>PROPER(TRIM(RPG_dataset[[#This Row],[Race]]))</f>
        <v>Dragonborn</v>
      </c>
      <c r="AD223" s="1" t="str">
        <f>PROPER(TRIM(RPG_dataset[[#This Row],[Class]]))</f>
        <v>Bard</v>
      </c>
      <c r="AE223" s="1">
        <f>ABS(RPG_dataset[[#This Row],[Level]])</f>
        <v>85</v>
      </c>
      <c r="AF223" s="1">
        <f>ABS(RPG_dataset[[#This Row],[ATK]])</f>
        <v>13</v>
      </c>
      <c r="AG223" s="1">
        <f>ABS(RPG_dataset[[#This Row],[DEF]])</f>
        <v>0</v>
      </c>
      <c r="AH223" s="1">
        <f>ABS(RPG_dataset[[#This Row],[SPD]])</f>
        <v>67</v>
      </c>
      <c r="AI223" s="1">
        <f>ABS(RPG_dataset[[#This Row],[HP]])</f>
        <v>0</v>
      </c>
      <c r="AJ223" s="1">
        <f>ABS(RPG_dataset[[#This Row],[MP]])</f>
        <v>675</v>
      </c>
      <c r="AK223" s="1">
        <f>ABS(RPG_dataset[[#This Row],[Total Stat]])</f>
        <v>138</v>
      </c>
      <c r="AL223" s="1">
        <f>ABS(RPG_dataset[[#This Row],[Kills]])</f>
        <v>2176</v>
      </c>
      <c r="AM223" s="12">
        <f>ABS(RPG_dataset[[#This Row],[Win Rate (%)]])</f>
        <v>99</v>
      </c>
      <c r="AN223" s="4">
        <f>ABS(RPG_dataset[[#This Row],[Gold Earned]])</f>
        <v>13152</v>
      </c>
      <c r="AO223" s="5" t="str">
        <f t="shared" si="3"/>
        <v>OK</v>
      </c>
      <c r="AP223" s="5">
        <f>RANK(clean[[#This Row],[Clean Gold]],clean[Clean Gold], 0)</f>
        <v>479</v>
      </c>
      <c r="AQ223" s="1">
        <v>90</v>
      </c>
      <c r="AR223" s="1" t="str" cm="1">
        <f t="array" ref="AR223">_xlfn.IFS(clean[[#This Row],[Clean Level]]&gt;=76, "Legend", clean[[#This Row],[Clean Level]]&gt;=51, "Elite", clean[[#This Row],[Clean Level]]&gt;=26, "Veteran", TRUE, "Rookie")</f>
        <v>Legend</v>
      </c>
      <c r="AS223" s="1" t="str">
        <f>IF(RPG_dataset[[#This Row],[Status]]="Active", "TRUE", "FALSE")</f>
        <v>FALSE</v>
      </c>
      <c r="AT223" s="1" t="str" cm="1">
        <f t="array" ref="AT223">_xlfn.IFS(clean[[#This Row],[Clean Win Rate]]&gt;70, "Excellent", clean[[#This Row],[Clean Win Rate]]&gt;=40, "Average", TRUE, "Poor")</f>
        <v>Excellent</v>
      </c>
      <c r="AU223" s="1" t="str">
        <f>IF(AND(clean[[#This Row],[Clean Level]]&gt;80, clean[[#This Row],[Clean Total Stat]]&gt;350, clean[[#This Row],[Clean Gold]]&gt;500000), "Overpowered", "Normal")</f>
        <v>Normal</v>
      </c>
      <c r="AV223" s="1" t="str" cm="1">
        <f t="array" ref="AV22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23" s="1" t="str" cm="1">
        <f t="array" ref="AW22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23" s="1"/>
    </row>
    <row r="224" spans="1:50" x14ac:dyDescent="0.3">
      <c r="A224" s="2" t="s">
        <v>852</v>
      </c>
      <c r="B224" s="2" t="s">
        <v>853</v>
      </c>
      <c r="C224" s="2" t="s">
        <v>219</v>
      </c>
      <c r="D224" s="2" t="s">
        <v>210</v>
      </c>
      <c r="E224" s="2" t="s">
        <v>60</v>
      </c>
      <c r="F224" s="2" t="s">
        <v>194</v>
      </c>
      <c r="G224" s="2"/>
      <c r="H224" s="2" t="s">
        <v>80</v>
      </c>
      <c r="I224" s="2" t="s">
        <v>32</v>
      </c>
      <c r="J224" s="2" t="s">
        <v>111</v>
      </c>
      <c r="K224" s="2" t="s">
        <v>44</v>
      </c>
      <c r="L224" s="6" t="s">
        <v>854</v>
      </c>
      <c r="M224" s="2">
        <v>69</v>
      </c>
      <c r="N224" s="2">
        <v>53</v>
      </c>
      <c r="O224" s="2">
        <v>31</v>
      </c>
      <c r="P224" s="2">
        <v>4544</v>
      </c>
      <c r="Q224" s="2">
        <v>1772</v>
      </c>
      <c r="R224" s="2">
        <v>153</v>
      </c>
      <c r="S224" s="2">
        <v>2890</v>
      </c>
      <c r="T224" s="2">
        <v>750</v>
      </c>
      <c r="U224" s="2">
        <v>185</v>
      </c>
      <c r="V224" s="2">
        <v>79</v>
      </c>
      <c r="W224" s="2">
        <v>5645</v>
      </c>
      <c r="X224" s="9">
        <v>889419</v>
      </c>
      <c r="Y224" s="2" t="s">
        <v>46</v>
      </c>
      <c r="AA224" s="1" t="str">
        <f>TRIM(RPG_dataset[[#This Row],[Username]])</f>
        <v>torin_444</v>
      </c>
      <c r="AB224" s="1" t="str">
        <f>TRIM(RPG_dataset[[#This Row],[First Name]])</f>
        <v>Torin</v>
      </c>
      <c r="AC224" s="1" t="str">
        <f>PROPER(TRIM(RPG_dataset[[#This Row],[Race]]))</f>
        <v>Human</v>
      </c>
      <c r="AD224" s="1" t="str">
        <f>PROPER(TRIM(RPG_dataset[[#This Row],[Class]]))</f>
        <v>Paladin</v>
      </c>
      <c r="AE224" s="1">
        <f>ABS(RPG_dataset[[#This Row],[Level]])</f>
        <v>0</v>
      </c>
      <c r="AF224" s="1">
        <f>ABS(RPG_dataset[[#This Row],[ATK]])</f>
        <v>69</v>
      </c>
      <c r="AG224" s="1">
        <f>ABS(RPG_dataset[[#This Row],[DEF]])</f>
        <v>53</v>
      </c>
      <c r="AH224" s="1">
        <f>ABS(RPG_dataset[[#This Row],[SPD]])</f>
        <v>31</v>
      </c>
      <c r="AI224" s="1">
        <f>ABS(RPG_dataset[[#This Row],[HP]])</f>
        <v>4544</v>
      </c>
      <c r="AJ224" s="1">
        <f>ABS(RPG_dataset[[#This Row],[MP]])</f>
        <v>1772</v>
      </c>
      <c r="AK224" s="1">
        <f>ABS(RPG_dataset[[#This Row],[Total Stat]])</f>
        <v>153</v>
      </c>
      <c r="AL224" s="1">
        <f>ABS(RPG_dataset[[#This Row],[Kills]])</f>
        <v>2890</v>
      </c>
      <c r="AM224" s="12">
        <f>ABS(RPG_dataset[[#This Row],[Win Rate (%)]])</f>
        <v>79</v>
      </c>
      <c r="AN224" s="4">
        <f>ABS(RPG_dataset[[#This Row],[Gold Earned]])</f>
        <v>889419</v>
      </c>
      <c r="AO224" s="5" t="str">
        <f t="shared" si="3"/>
        <v>OK</v>
      </c>
      <c r="AP224" s="5">
        <f>RANK(clean[[#This Row],[Clean Gold]],clean[Clean Gold], 0)</f>
        <v>57</v>
      </c>
      <c r="AQ224" s="1">
        <v>314</v>
      </c>
      <c r="AR224" s="1" t="str" cm="1">
        <f t="array" ref="AR224">_xlfn.IFS(clean[[#This Row],[Clean Level]]&gt;=76, "Legend", clean[[#This Row],[Clean Level]]&gt;=51, "Elite", clean[[#This Row],[Clean Level]]&gt;=26, "Veteran", TRUE, "Rookie")</f>
        <v>Rookie</v>
      </c>
      <c r="AS224" s="1" t="str">
        <f>IF(RPG_dataset[[#This Row],[Status]]="Active", "TRUE", "FALSE")</f>
        <v>TRUE</v>
      </c>
      <c r="AT224" s="1" t="str" cm="1">
        <f t="array" ref="AT224">_xlfn.IFS(clean[[#This Row],[Clean Win Rate]]&gt;70, "Excellent", clean[[#This Row],[Clean Win Rate]]&gt;=40, "Average", TRUE, "Poor")</f>
        <v>Excellent</v>
      </c>
      <c r="AU224" s="1" t="str">
        <f>IF(AND(clean[[#This Row],[Clean Level]]&gt;80, clean[[#This Row],[Clean Total Stat]]&gt;350, clean[[#This Row],[Clean Gold]]&gt;500000), "Overpowered", "Normal")</f>
        <v>Normal</v>
      </c>
      <c r="AV224" s="1" t="str" cm="1">
        <f t="array" ref="AV22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24" s="1" t="str" cm="1">
        <f t="array" ref="AW22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24" s="1"/>
    </row>
    <row r="225" spans="1:50" x14ac:dyDescent="0.3">
      <c r="A225" s="2" t="s">
        <v>855</v>
      </c>
      <c r="B225" s="2" t="s">
        <v>856</v>
      </c>
      <c r="C225" s="2" t="s">
        <v>178</v>
      </c>
      <c r="D225" s="2" t="s">
        <v>857</v>
      </c>
      <c r="E225" s="2" t="s">
        <v>51</v>
      </c>
      <c r="F225" s="2" t="s">
        <v>98</v>
      </c>
      <c r="G225" s="2">
        <v>3</v>
      </c>
      <c r="H225" s="2" t="s">
        <v>157</v>
      </c>
      <c r="I225" s="2" t="s">
        <v>32</v>
      </c>
      <c r="J225" s="2" t="s">
        <v>81</v>
      </c>
      <c r="K225" s="2" t="s">
        <v>44</v>
      </c>
      <c r="L225" s="6" t="s">
        <v>519</v>
      </c>
      <c r="M225" s="2">
        <v>31</v>
      </c>
      <c r="N225" s="2">
        <v>19</v>
      </c>
      <c r="O225" s="2">
        <v>67</v>
      </c>
      <c r="P225" s="2">
        <v>2919</v>
      </c>
      <c r="Q225" s="2">
        <v>1189</v>
      </c>
      <c r="R225" s="2">
        <v>117</v>
      </c>
      <c r="S225" s="2">
        <v>3879</v>
      </c>
      <c r="T225" s="2">
        <v>499</v>
      </c>
      <c r="U225" s="2">
        <v>194</v>
      </c>
      <c r="V225" s="2">
        <v>89</v>
      </c>
      <c r="W225" s="2">
        <v>7266</v>
      </c>
      <c r="X225" s="9">
        <v>775298</v>
      </c>
      <c r="Y225" s="2" t="s">
        <v>36</v>
      </c>
      <c r="AA225" s="1" t="str">
        <f>TRIM(RPG_dataset[[#This Row],[Username]])</f>
        <v>crix_374</v>
      </c>
      <c r="AB225" s="1" t="str">
        <f>TRIM(RPG_dataset[[#This Row],[First Name]])</f>
        <v>Crix</v>
      </c>
      <c r="AC225" s="1" t="str">
        <f>PROPER(TRIM(RPG_dataset[[#This Row],[Race]]))</f>
        <v>Tiefling</v>
      </c>
      <c r="AD225" s="1" t="str">
        <f>PROPER(TRIM(RPG_dataset[[#This Row],[Class]]))</f>
        <v>Mage</v>
      </c>
      <c r="AE225" s="1">
        <f>ABS(RPG_dataset[[#This Row],[Level]])</f>
        <v>3</v>
      </c>
      <c r="AF225" s="1">
        <f>ABS(RPG_dataset[[#This Row],[ATK]])</f>
        <v>31</v>
      </c>
      <c r="AG225" s="1">
        <f>ABS(RPG_dataset[[#This Row],[DEF]])</f>
        <v>19</v>
      </c>
      <c r="AH225" s="1">
        <f>ABS(RPG_dataset[[#This Row],[SPD]])</f>
        <v>67</v>
      </c>
      <c r="AI225" s="1">
        <f>ABS(RPG_dataset[[#This Row],[HP]])</f>
        <v>2919</v>
      </c>
      <c r="AJ225" s="1">
        <f>ABS(RPG_dataset[[#This Row],[MP]])</f>
        <v>1189</v>
      </c>
      <c r="AK225" s="1">
        <f>ABS(RPG_dataset[[#This Row],[Total Stat]])</f>
        <v>117</v>
      </c>
      <c r="AL225" s="1">
        <f>ABS(RPG_dataset[[#This Row],[Kills]])</f>
        <v>3879</v>
      </c>
      <c r="AM225" s="12">
        <f>ABS(RPG_dataset[[#This Row],[Win Rate (%)]])</f>
        <v>89</v>
      </c>
      <c r="AN225" s="4">
        <f>ABS(RPG_dataset[[#This Row],[Gold Earned]])</f>
        <v>775298</v>
      </c>
      <c r="AO225" s="5" t="str">
        <f t="shared" si="3"/>
        <v>OK</v>
      </c>
      <c r="AP225" s="5">
        <f>RANK(clean[[#This Row],[Clean Gold]],clean[Clean Gold], 0)</f>
        <v>120</v>
      </c>
      <c r="AQ225" s="1">
        <v>261</v>
      </c>
      <c r="AR225" s="1" t="str" cm="1">
        <f t="array" ref="AR225">_xlfn.IFS(clean[[#This Row],[Clean Level]]&gt;=76, "Legend", clean[[#This Row],[Clean Level]]&gt;=51, "Elite", clean[[#This Row],[Clean Level]]&gt;=26, "Veteran", TRUE, "Rookie")</f>
        <v>Rookie</v>
      </c>
      <c r="AS225" s="1" t="str">
        <f>IF(RPG_dataset[[#This Row],[Status]]="Active", "TRUE", "FALSE")</f>
        <v>TRUE</v>
      </c>
      <c r="AT225" s="1" t="str" cm="1">
        <f t="array" ref="AT225">_xlfn.IFS(clean[[#This Row],[Clean Win Rate]]&gt;70, "Excellent", clean[[#This Row],[Clean Win Rate]]&gt;=40, "Average", TRUE, "Poor")</f>
        <v>Excellent</v>
      </c>
      <c r="AU225" s="1" t="str">
        <f>IF(AND(clean[[#This Row],[Clean Level]]&gt;80, clean[[#This Row],[Clean Total Stat]]&gt;350, clean[[#This Row],[Clean Gold]]&gt;500000), "Overpowered", "Normal")</f>
        <v>Normal</v>
      </c>
      <c r="AV225" s="1" t="str" cm="1">
        <f t="array" ref="AV22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25" s="1" t="str" cm="1">
        <f t="array" ref="AW22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25" s="1"/>
    </row>
    <row r="226" spans="1:50" x14ac:dyDescent="0.3">
      <c r="A226" s="2" t="s">
        <v>858</v>
      </c>
      <c r="B226" s="2" t="s">
        <v>859</v>
      </c>
      <c r="C226" s="2" t="s">
        <v>130</v>
      </c>
      <c r="D226" s="2" t="s">
        <v>401</v>
      </c>
      <c r="E226" s="2" t="s">
        <v>41</v>
      </c>
      <c r="F226" s="2" t="s">
        <v>194</v>
      </c>
      <c r="G226" s="2">
        <v>36</v>
      </c>
      <c r="H226" s="2" t="s">
        <v>73</v>
      </c>
      <c r="I226" s="2" t="s">
        <v>54</v>
      </c>
      <c r="J226" s="2" t="s">
        <v>64</v>
      </c>
      <c r="K226" s="2" t="s">
        <v>106</v>
      </c>
      <c r="L226" s="6" t="s">
        <v>860</v>
      </c>
      <c r="M226" s="2">
        <v>106</v>
      </c>
      <c r="N226" s="2">
        <v>118</v>
      </c>
      <c r="O226" s="2">
        <v>58</v>
      </c>
      <c r="P226" s="2"/>
      <c r="Q226" s="2">
        <v>83</v>
      </c>
      <c r="R226" s="2">
        <v>282</v>
      </c>
      <c r="S226" s="2">
        <v>1761</v>
      </c>
      <c r="T226" s="2">
        <v>451</v>
      </c>
      <c r="U226" s="2">
        <v>77</v>
      </c>
      <c r="V226" s="2">
        <v>80</v>
      </c>
      <c r="W226" s="2">
        <v>3389</v>
      </c>
      <c r="X226" s="9">
        <v>628131</v>
      </c>
      <c r="Y226" s="2" t="s">
        <v>36</v>
      </c>
      <c r="AA226" s="1" t="str">
        <f>TRIM(RPG_dataset[[#This Row],[Username]])</f>
        <v>ewan_622</v>
      </c>
      <c r="AB226" s="1" t="str">
        <f>TRIM(RPG_dataset[[#This Row],[First Name]])</f>
        <v>Ewan</v>
      </c>
      <c r="AC226" s="1" t="str">
        <f>PROPER(TRIM(RPG_dataset[[#This Row],[Race]]))</f>
        <v>Gnome</v>
      </c>
      <c r="AD226" s="1" t="str">
        <f>PROPER(TRIM(RPG_dataset[[#This Row],[Class]]))</f>
        <v>Paladin</v>
      </c>
      <c r="AE226" s="1">
        <f>ABS(RPG_dataset[[#This Row],[Level]])</f>
        <v>36</v>
      </c>
      <c r="AF226" s="1">
        <f>ABS(RPG_dataset[[#This Row],[ATK]])</f>
        <v>106</v>
      </c>
      <c r="AG226" s="1">
        <f>ABS(RPG_dataset[[#This Row],[DEF]])</f>
        <v>118</v>
      </c>
      <c r="AH226" s="1">
        <f>ABS(RPG_dataset[[#This Row],[SPD]])</f>
        <v>58</v>
      </c>
      <c r="AI226" s="1">
        <f>ABS(RPG_dataset[[#This Row],[HP]])</f>
        <v>0</v>
      </c>
      <c r="AJ226" s="1">
        <f>ABS(RPG_dataset[[#This Row],[MP]])</f>
        <v>83</v>
      </c>
      <c r="AK226" s="1">
        <f>ABS(RPG_dataset[[#This Row],[Total Stat]])</f>
        <v>282</v>
      </c>
      <c r="AL226" s="1">
        <f>ABS(RPG_dataset[[#This Row],[Kills]])</f>
        <v>1761</v>
      </c>
      <c r="AM226" s="12">
        <f>ABS(RPG_dataset[[#This Row],[Win Rate (%)]])</f>
        <v>80</v>
      </c>
      <c r="AN226" s="4">
        <f>ABS(RPG_dataset[[#This Row],[Gold Earned]])</f>
        <v>628131</v>
      </c>
      <c r="AO226" s="5" t="str">
        <f t="shared" si="3"/>
        <v>OK</v>
      </c>
      <c r="AP226" s="5">
        <f>RANK(clean[[#This Row],[Clean Gold]],clean[Clean Gold], 0)</f>
        <v>187</v>
      </c>
      <c r="AQ226" s="1">
        <v>284</v>
      </c>
      <c r="AR226" s="1" t="str" cm="1">
        <f t="array" ref="AR226">_xlfn.IFS(clean[[#This Row],[Clean Level]]&gt;=76, "Legend", clean[[#This Row],[Clean Level]]&gt;=51, "Elite", clean[[#This Row],[Clean Level]]&gt;=26, "Veteran", TRUE, "Rookie")</f>
        <v>Veteran</v>
      </c>
      <c r="AS226" s="1" t="str">
        <f>IF(RPG_dataset[[#This Row],[Status]]="Active", "TRUE", "FALSE")</f>
        <v>FALSE</v>
      </c>
      <c r="AT226" s="1" t="str" cm="1">
        <f t="array" ref="AT226">_xlfn.IFS(clean[[#This Row],[Clean Win Rate]]&gt;70, "Excellent", clean[[#This Row],[Clean Win Rate]]&gt;=40, "Average", TRUE, "Poor")</f>
        <v>Excellent</v>
      </c>
      <c r="AU226" s="1" t="str">
        <f>IF(AND(clean[[#This Row],[Clean Level]]&gt;80, clean[[#This Row],[Clean Total Stat]]&gt;350, clean[[#This Row],[Clean Gold]]&gt;500000), "Overpowered", "Normal")</f>
        <v>Normal</v>
      </c>
      <c r="AV226" s="1" t="str" cm="1">
        <f t="array" ref="AV22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26" s="1" t="str" cm="1">
        <f t="array" ref="AW22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226" s="1"/>
    </row>
    <row r="227" spans="1:50" x14ac:dyDescent="0.3">
      <c r="A227" s="2" t="s">
        <v>861</v>
      </c>
      <c r="B227" s="2" t="s">
        <v>862</v>
      </c>
      <c r="C227" s="2" t="s">
        <v>75</v>
      </c>
      <c r="D227" s="2" t="s">
        <v>50</v>
      </c>
      <c r="E227" s="2" t="s">
        <v>105</v>
      </c>
      <c r="F227" s="2" t="s">
        <v>194</v>
      </c>
      <c r="G227" s="2">
        <v>19</v>
      </c>
      <c r="H227" s="2" t="s">
        <v>125</v>
      </c>
      <c r="I227" s="2" t="s">
        <v>54</v>
      </c>
      <c r="J227" s="2" t="s">
        <v>92</v>
      </c>
      <c r="K227" s="2" t="s">
        <v>44</v>
      </c>
      <c r="L227" s="6" t="s">
        <v>447</v>
      </c>
      <c r="M227" s="2">
        <v>127</v>
      </c>
      <c r="N227" s="2">
        <v>48</v>
      </c>
      <c r="O227" s="2">
        <v>31</v>
      </c>
      <c r="P227" s="2">
        <v>579</v>
      </c>
      <c r="Q227" s="2">
        <v>1819</v>
      </c>
      <c r="R227" s="2">
        <v>206</v>
      </c>
      <c r="S227" s="2">
        <v>2384</v>
      </c>
      <c r="T227" s="2">
        <v>832</v>
      </c>
      <c r="U227" s="2">
        <v>156</v>
      </c>
      <c r="V227" s="2">
        <v>74</v>
      </c>
      <c r="W227" s="2">
        <v>8543</v>
      </c>
      <c r="X227" s="9">
        <v>908971</v>
      </c>
      <c r="Y227" s="2" t="s">
        <v>36</v>
      </c>
      <c r="AA227" s="1" t="str">
        <f>TRIM(RPG_dataset[[#This Row],[Username]])</f>
        <v>quinn_294</v>
      </c>
      <c r="AB227" s="1" t="str">
        <f>TRIM(RPG_dataset[[#This Row],[First Name]])</f>
        <v/>
      </c>
      <c r="AC227" s="1" t="str">
        <f>PROPER(TRIM(RPG_dataset[[#This Row],[Race]]))</f>
        <v>Orc</v>
      </c>
      <c r="AD227" s="1" t="str">
        <f>PROPER(TRIM(RPG_dataset[[#This Row],[Class]]))</f>
        <v>Paladin</v>
      </c>
      <c r="AE227" s="1">
        <f>ABS(RPG_dataset[[#This Row],[Level]])</f>
        <v>19</v>
      </c>
      <c r="AF227" s="1">
        <f>ABS(RPG_dataset[[#This Row],[ATK]])</f>
        <v>127</v>
      </c>
      <c r="AG227" s="1">
        <f>ABS(RPG_dataset[[#This Row],[DEF]])</f>
        <v>48</v>
      </c>
      <c r="AH227" s="1">
        <f>ABS(RPG_dataset[[#This Row],[SPD]])</f>
        <v>31</v>
      </c>
      <c r="AI227" s="1">
        <f>ABS(RPG_dataset[[#This Row],[HP]])</f>
        <v>579</v>
      </c>
      <c r="AJ227" s="1">
        <f>ABS(RPG_dataset[[#This Row],[MP]])</f>
        <v>1819</v>
      </c>
      <c r="AK227" s="1">
        <f>ABS(RPG_dataset[[#This Row],[Total Stat]])</f>
        <v>206</v>
      </c>
      <c r="AL227" s="1">
        <f>ABS(RPG_dataset[[#This Row],[Kills]])</f>
        <v>2384</v>
      </c>
      <c r="AM227" s="12">
        <f>ABS(RPG_dataset[[#This Row],[Win Rate (%)]])</f>
        <v>74</v>
      </c>
      <c r="AN227" s="4">
        <f>ABS(RPG_dataset[[#This Row],[Gold Earned]])</f>
        <v>908971</v>
      </c>
      <c r="AO227" s="5" t="str">
        <f t="shared" si="3"/>
        <v>OK</v>
      </c>
      <c r="AP227" s="5">
        <f>RANK(clean[[#This Row],[Clean Gold]],clean[Clean Gold], 0)</f>
        <v>48</v>
      </c>
      <c r="AQ227" s="1">
        <v>284</v>
      </c>
      <c r="AR227" s="1" t="str" cm="1">
        <f t="array" ref="AR227">_xlfn.IFS(clean[[#This Row],[Clean Level]]&gt;=76, "Legend", clean[[#This Row],[Clean Level]]&gt;=51, "Elite", clean[[#This Row],[Clean Level]]&gt;=26, "Veteran", TRUE, "Rookie")</f>
        <v>Rookie</v>
      </c>
      <c r="AS227" s="1" t="str">
        <f>IF(RPG_dataset[[#This Row],[Status]]="Active", "TRUE", "FALSE")</f>
        <v>TRUE</v>
      </c>
      <c r="AT227" s="1" t="str" cm="1">
        <f t="array" ref="AT227">_xlfn.IFS(clean[[#This Row],[Clean Win Rate]]&gt;70, "Excellent", clean[[#This Row],[Clean Win Rate]]&gt;=40, "Average", TRUE, "Poor")</f>
        <v>Excellent</v>
      </c>
      <c r="AU227" s="1" t="str">
        <f>IF(AND(clean[[#This Row],[Clean Level]]&gt;80, clean[[#This Row],[Clean Total Stat]]&gt;350, clean[[#This Row],[Clean Gold]]&gt;500000), "Overpowered", "Normal")</f>
        <v>Normal</v>
      </c>
      <c r="AV227" s="1" t="str" cm="1">
        <f t="array" ref="AV22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27" s="1" t="str" cm="1">
        <f t="array" ref="AW22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227" s="1"/>
    </row>
    <row r="228" spans="1:50" x14ac:dyDescent="0.3">
      <c r="A228" s="2" t="s">
        <v>863</v>
      </c>
      <c r="B228" s="2" t="s">
        <v>864</v>
      </c>
      <c r="C228" s="2" t="s">
        <v>103</v>
      </c>
      <c r="D228" s="2" t="s">
        <v>324</v>
      </c>
      <c r="E228" s="2" t="s">
        <v>29</v>
      </c>
      <c r="F228" s="2" t="s">
        <v>61</v>
      </c>
      <c r="G228" s="2"/>
      <c r="H228" s="2" t="s">
        <v>31</v>
      </c>
      <c r="I228" s="2" t="s">
        <v>54</v>
      </c>
      <c r="J228" s="2" t="s">
        <v>88</v>
      </c>
      <c r="K228" s="2" t="s">
        <v>99</v>
      </c>
      <c r="L228" s="6" t="s">
        <v>865</v>
      </c>
      <c r="M228" s="2">
        <v>80</v>
      </c>
      <c r="N228" s="2">
        <v>95</v>
      </c>
      <c r="O228" s="2">
        <v>37</v>
      </c>
      <c r="P228" s="2">
        <v>3732</v>
      </c>
      <c r="Q228" s="2">
        <v>1595</v>
      </c>
      <c r="R228" s="2">
        <v>212</v>
      </c>
      <c r="S228" s="2">
        <v>3812</v>
      </c>
      <c r="T228" s="2">
        <v>332</v>
      </c>
      <c r="U228" s="2">
        <v>119</v>
      </c>
      <c r="V228" s="2">
        <v>92</v>
      </c>
      <c r="W228" s="2">
        <v>9143</v>
      </c>
      <c r="X228" s="9">
        <v>390035</v>
      </c>
      <c r="Y228" s="2" t="s">
        <v>36</v>
      </c>
      <c r="AA228" s="1" t="str">
        <f>TRIM(RPG_dataset[[#This Row],[Username]])</f>
        <v>aria_690</v>
      </c>
      <c r="AB228" s="1" t="str">
        <f>TRIM(RPG_dataset[[#This Row],[First Name]])</f>
        <v>Aria</v>
      </c>
      <c r="AC228" s="1" t="str">
        <f>PROPER(TRIM(RPG_dataset[[#This Row],[Race]]))</f>
        <v>Dwarf</v>
      </c>
      <c r="AD228" s="1" t="str">
        <f>PROPER(TRIM(RPG_dataset[[#This Row],[Class]]))</f>
        <v>Ranger</v>
      </c>
      <c r="AE228" s="1">
        <f>ABS(RPG_dataset[[#This Row],[Level]])</f>
        <v>0</v>
      </c>
      <c r="AF228" s="1">
        <f>ABS(RPG_dataset[[#This Row],[ATK]])</f>
        <v>80</v>
      </c>
      <c r="AG228" s="1">
        <f>ABS(RPG_dataset[[#This Row],[DEF]])</f>
        <v>95</v>
      </c>
      <c r="AH228" s="1">
        <f>ABS(RPG_dataset[[#This Row],[SPD]])</f>
        <v>37</v>
      </c>
      <c r="AI228" s="1">
        <f>ABS(RPG_dataset[[#This Row],[HP]])</f>
        <v>3732</v>
      </c>
      <c r="AJ228" s="1">
        <f>ABS(RPG_dataset[[#This Row],[MP]])</f>
        <v>1595</v>
      </c>
      <c r="AK228" s="1">
        <f>ABS(RPG_dataset[[#This Row],[Total Stat]])</f>
        <v>212</v>
      </c>
      <c r="AL228" s="1">
        <f>ABS(RPG_dataset[[#This Row],[Kills]])</f>
        <v>3812</v>
      </c>
      <c r="AM228" s="12">
        <f>ABS(RPG_dataset[[#This Row],[Win Rate (%)]])</f>
        <v>92</v>
      </c>
      <c r="AN228" s="4">
        <f>ABS(RPG_dataset[[#This Row],[Gold Earned]])</f>
        <v>390035</v>
      </c>
      <c r="AO228" s="5" t="str">
        <f t="shared" si="3"/>
        <v>OK</v>
      </c>
      <c r="AP228" s="5">
        <f>RANK(clean[[#This Row],[Clean Gold]],clean[Clean Gold], 0)</f>
        <v>310</v>
      </c>
      <c r="AQ228" s="1">
        <v>201</v>
      </c>
      <c r="AR228" s="1" t="str" cm="1">
        <f t="array" ref="AR228">_xlfn.IFS(clean[[#This Row],[Clean Level]]&gt;=76, "Legend", clean[[#This Row],[Clean Level]]&gt;=51, "Elite", clean[[#This Row],[Clean Level]]&gt;=26, "Veteran", TRUE, "Rookie")</f>
        <v>Rookie</v>
      </c>
      <c r="AS228" s="1" t="str">
        <f>IF(RPG_dataset[[#This Row],[Status]]="Active", "TRUE", "FALSE")</f>
        <v>FALSE</v>
      </c>
      <c r="AT228" s="1" t="str" cm="1">
        <f t="array" ref="AT228">_xlfn.IFS(clean[[#This Row],[Clean Win Rate]]&gt;70, "Excellent", clean[[#This Row],[Clean Win Rate]]&gt;=40, "Average", TRUE, "Poor")</f>
        <v>Excellent</v>
      </c>
      <c r="AU228" s="1" t="str">
        <f>IF(AND(clean[[#This Row],[Clean Level]]&gt;80, clean[[#This Row],[Clean Total Stat]]&gt;350, clean[[#This Row],[Clean Gold]]&gt;500000), "Overpowered", "Normal")</f>
        <v>Normal</v>
      </c>
      <c r="AV228" s="1" t="str" cm="1">
        <f t="array" ref="AV22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28" s="1" t="str" cm="1">
        <f t="array" ref="AW22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228" s="1"/>
    </row>
    <row r="229" spans="1:50" x14ac:dyDescent="0.3">
      <c r="A229" s="2" t="s">
        <v>866</v>
      </c>
      <c r="B229" s="2" t="s">
        <v>867</v>
      </c>
      <c r="C229" s="2" t="s">
        <v>507</v>
      </c>
      <c r="D229" s="2" t="s">
        <v>104</v>
      </c>
      <c r="E229" s="2" t="s">
        <v>105</v>
      </c>
      <c r="F229" s="2" t="s">
        <v>72</v>
      </c>
      <c r="G229" s="2">
        <v>25</v>
      </c>
      <c r="H229" s="2" t="s">
        <v>62</v>
      </c>
      <c r="I229" s="2" t="s">
        <v>63</v>
      </c>
      <c r="J229" s="2" t="s">
        <v>120</v>
      </c>
      <c r="K229" s="2" t="s">
        <v>44</v>
      </c>
      <c r="L229" s="6" t="s">
        <v>868</v>
      </c>
      <c r="M229" s="2">
        <v>29</v>
      </c>
      <c r="N229" s="2">
        <v>90</v>
      </c>
      <c r="O229" s="2">
        <v>23</v>
      </c>
      <c r="P229" s="2">
        <v>2761</v>
      </c>
      <c r="Q229" s="2">
        <v>1327</v>
      </c>
      <c r="R229" s="2">
        <v>-142</v>
      </c>
      <c r="S229" s="2">
        <v>1932</v>
      </c>
      <c r="T229" s="2">
        <v>949</v>
      </c>
      <c r="U229" s="2">
        <v>159</v>
      </c>
      <c r="V229" s="2">
        <v>67</v>
      </c>
      <c r="W229" s="2">
        <v>97</v>
      </c>
      <c r="X229" s="9">
        <v>853003</v>
      </c>
      <c r="Y229" s="2" t="s">
        <v>36</v>
      </c>
      <c r="AA229" s="1" t="str">
        <f>TRIM(RPG_dataset[[#This Row],[Username]])</f>
        <v>vex_681</v>
      </c>
      <c r="AB229" s="1" t="str">
        <f>TRIM(RPG_dataset[[#This Row],[First Name]])</f>
        <v>Vex</v>
      </c>
      <c r="AC229" s="1" t="str">
        <f>PROPER(TRIM(RPG_dataset[[#This Row],[Race]]))</f>
        <v>Orc</v>
      </c>
      <c r="AD229" s="1" t="str">
        <f>PROPER(TRIM(RPG_dataset[[#This Row],[Class]]))</f>
        <v>Warrior</v>
      </c>
      <c r="AE229" s="1">
        <f>ABS(RPG_dataset[[#This Row],[Level]])</f>
        <v>25</v>
      </c>
      <c r="AF229" s="1">
        <f>ABS(RPG_dataset[[#This Row],[ATK]])</f>
        <v>29</v>
      </c>
      <c r="AG229" s="1">
        <f>ABS(RPG_dataset[[#This Row],[DEF]])</f>
        <v>90</v>
      </c>
      <c r="AH229" s="1">
        <f>ABS(RPG_dataset[[#This Row],[SPD]])</f>
        <v>23</v>
      </c>
      <c r="AI229" s="1">
        <f>ABS(RPG_dataset[[#This Row],[HP]])</f>
        <v>2761</v>
      </c>
      <c r="AJ229" s="1">
        <f>ABS(RPG_dataset[[#This Row],[MP]])</f>
        <v>1327</v>
      </c>
      <c r="AK229" s="1">
        <f>ABS(RPG_dataset[[#This Row],[Total Stat]])</f>
        <v>142</v>
      </c>
      <c r="AL229" s="1">
        <f>ABS(RPG_dataset[[#This Row],[Kills]])</f>
        <v>1932</v>
      </c>
      <c r="AM229" s="12">
        <f>ABS(RPG_dataset[[#This Row],[Win Rate (%)]])</f>
        <v>67</v>
      </c>
      <c r="AN229" s="4">
        <f>ABS(RPG_dataset[[#This Row],[Gold Earned]])</f>
        <v>853003</v>
      </c>
      <c r="AO229" s="5" t="str">
        <f t="shared" si="3"/>
        <v>OK</v>
      </c>
      <c r="AP229" s="5">
        <f>RANK(clean[[#This Row],[Clean Gold]],clean[Clean Gold], 0)</f>
        <v>76</v>
      </c>
      <c r="AQ229" s="1">
        <v>278</v>
      </c>
      <c r="AR229" s="1" t="str" cm="1">
        <f t="array" ref="AR229">_xlfn.IFS(clean[[#This Row],[Clean Level]]&gt;=76, "Legend", clean[[#This Row],[Clean Level]]&gt;=51, "Elite", clean[[#This Row],[Clean Level]]&gt;=26, "Veteran", TRUE, "Rookie")</f>
        <v>Rookie</v>
      </c>
      <c r="AS229" s="1" t="str">
        <f>IF(RPG_dataset[[#This Row],[Status]]="Active", "TRUE", "FALSE")</f>
        <v>TRUE</v>
      </c>
      <c r="AT229" s="1" t="str" cm="1">
        <f t="array" ref="AT229">_xlfn.IFS(clean[[#This Row],[Clean Win Rate]]&gt;70, "Excellent", clean[[#This Row],[Clean Win Rate]]&gt;=40, "Average", TRUE, "Poor")</f>
        <v>Average</v>
      </c>
      <c r="AU229" s="1" t="str">
        <f>IF(AND(clean[[#This Row],[Clean Level]]&gt;80, clean[[#This Row],[Clean Total Stat]]&gt;350, clean[[#This Row],[Clean Gold]]&gt;500000), "Overpowered", "Normal")</f>
        <v>Normal</v>
      </c>
      <c r="AV229" s="1" t="str" cm="1">
        <f t="array" ref="AV22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29" s="1" t="str" cm="1">
        <f t="array" ref="AW22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29" s="1"/>
    </row>
    <row r="230" spans="1:50" x14ac:dyDescent="0.3">
      <c r="A230" s="2" t="s">
        <v>869</v>
      </c>
      <c r="B230" s="2" t="s">
        <v>870</v>
      </c>
      <c r="C230" s="2" t="s">
        <v>27</v>
      </c>
      <c r="D230" s="2" t="s">
        <v>272</v>
      </c>
      <c r="E230" s="2" t="s">
        <v>71</v>
      </c>
      <c r="F230" s="2" t="s">
        <v>124</v>
      </c>
      <c r="G230" s="2">
        <v>18</v>
      </c>
      <c r="H230" s="2" t="s">
        <v>125</v>
      </c>
      <c r="I230" s="2" t="s">
        <v>126</v>
      </c>
      <c r="J230" s="2" t="s">
        <v>81</v>
      </c>
      <c r="K230" s="2" t="s">
        <v>44</v>
      </c>
      <c r="L230" s="6" t="s">
        <v>871</v>
      </c>
      <c r="M230" s="2">
        <v>18</v>
      </c>
      <c r="N230" s="2">
        <v>121</v>
      </c>
      <c r="O230" s="2">
        <v>91</v>
      </c>
      <c r="P230" s="2">
        <v>1668</v>
      </c>
      <c r="Q230" s="2">
        <v>2156</v>
      </c>
      <c r="R230" s="2">
        <v>230</v>
      </c>
      <c r="S230" s="2">
        <v>4119</v>
      </c>
      <c r="T230" s="2">
        <v>74</v>
      </c>
      <c r="U230" s="2">
        <v>258</v>
      </c>
      <c r="V230" s="2">
        <v>98</v>
      </c>
      <c r="W230" s="2">
        <v>3676</v>
      </c>
      <c r="X230" s="9">
        <v>389624</v>
      </c>
      <c r="Y230" s="2" t="s">
        <v>46</v>
      </c>
      <c r="AA230" s="1" t="str">
        <f>TRIM(RPG_dataset[[#This Row],[Username]])</f>
        <v>aiden_874</v>
      </c>
      <c r="AB230" s="1" t="str">
        <f>TRIM(RPG_dataset[[#This Row],[First Name]])</f>
        <v>Aiden</v>
      </c>
      <c r="AC230" s="1" t="str">
        <f>PROPER(TRIM(RPG_dataset[[#This Row],[Race]]))</f>
        <v>Dragonborn</v>
      </c>
      <c r="AD230" s="1" t="str">
        <f>PROPER(TRIM(RPG_dataset[[#This Row],[Class]]))</f>
        <v>Necromancer</v>
      </c>
      <c r="AE230" s="1">
        <f>ABS(RPG_dataset[[#This Row],[Level]])</f>
        <v>18</v>
      </c>
      <c r="AF230" s="1">
        <f>ABS(RPG_dataset[[#This Row],[ATK]])</f>
        <v>18</v>
      </c>
      <c r="AG230" s="1">
        <f>ABS(RPG_dataset[[#This Row],[DEF]])</f>
        <v>121</v>
      </c>
      <c r="AH230" s="1">
        <f>ABS(RPG_dataset[[#This Row],[SPD]])</f>
        <v>91</v>
      </c>
      <c r="AI230" s="1">
        <f>ABS(RPG_dataset[[#This Row],[HP]])</f>
        <v>1668</v>
      </c>
      <c r="AJ230" s="1">
        <f>ABS(RPG_dataset[[#This Row],[MP]])</f>
        <v>2156</v>
      </c>
      <c r="AK230" s="1">
        <f>ABS(RPG_dataset[[#This Row],[Total Stat]])</f>
        <v>230</v>
      </c>
      <c r="AL230" s="1">
        <f>ABS(RPG_dataset[[#This Row],[Kills]])</f>
        <v>4119</v>
      </c>
      <c r="AM230" s="12">
        <f>ABS(RPG_dataset[[#This Row],[Win Rate (%)]])</f>
        <v>98</v>
      </c>
      <c r="AN230" s="4">
        <f>ABS(RPG_dataset[[#This Row],[Gold Earned]])</f>
        <v>389624</v>
      </c>
      <c r="AO230" s="5" t="str">
        <f t="shared" si="3"/>
        <v>OK</v>
      </c>
      <c r="AP230" s="5">
        <f>RANK(clean[[#This Row],[Clean Gold]],clean[Clean Gold], 0)</f>
        <v>311</v>
      </c>
      <c r="AQ230" s="1">
        <v>327</v>
      </c>
      <c r="AR230" s="1" t="str" cm="1">
        <f t="array" ref="AR230">_xlfn.IFS(clean[[#This Row],[Clean Level]]&gt;=76, "Legend", clean[[#This Row],[Clean Level]]&gt;=51, "Elite", clean[[#This Row],[Clean Level]]&gt;=26, "Veteran", TRUE, "Rookie")</f>
        <v>Rookie</v>
      </c>
      <c r="AS230" s="1" t="str">
        <f>IF(RPG_dataset[[#This Row],[Status]]="Active", "TRUE", "FALSE")</f>
        <v>TRUE</v>
      </c>
      <c r="AT230" s="1" t="str" cm="1">
        <f t="array" ref="AT230">_xlfn.IFS(clean[[#This Row],[Clean Win Rate]]&gt;70, "Excellent", clean[[#This Row],[Clean Win Rate]]&gt;=40, "Average", TRUE, "Poor")</f>
        <v>Excellent</v>
      </c>
      <c r="AU230" s="1" t="str">
        <f>IF(AND(clean[[#This Row],[Clean Level]]&gt;80, clean[[#This Row],[Clean Total Stat]]&gt;350, clean[[#This Row],[Clean Gold]]&gt;500000), "Overpowered", "Normal")</f>
        <v>Normal</v>
      </c>
      <c r="AV230" s="1" t="str" cm="1">
        <f t="array" ref="AV23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30" s="1" t="str" cm="1">
        <f t="array" ref="AW23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30" s="1"/>
    </row>
    <row r="231" spans="1:50" x14ac:dyDescent="0.3">
      <c r="A231" s="2" t="s">
        <v>872</v>
      </c>
      <c r="B231" s="2" t="s">
        <v>873</v>
      </c>
      <c r="C231" s="2" t="s">
        <v>227</v>
      </c>
      <c r="D231" s="2" t="s">
        <v>144</v>
      </c>
      <c r="E231" s="2" t="s">
        <v>71</v>
      </c>
      <c r="F231" s="2" t="s">
        <v>30</v>
      </c>
      <c r="G231" s="2">
        <v>69</v>
      </c>
      <c r="H231" s="2" t="s">
        <v>125</v>
      </c>
      <c r="I231" s="2" t="s">
        <v>63</v>
      </c>
      <c r="J231" s="2" t="s">
        <v>88</v>
      </c>
      <c r="K231" s="2" t="s">
        <v>34</v>
      </c>
      <c r="L231" s="6" t="s">
        <v>874</v>
      </c>
      <c r="M231" s="2">
        <v>67</v>
      </c>
      <c r="N231" s="2">
        <v>73</v>
      </c>
      <c r="O231" s="2">
        <v>40</v>
      </c>
      <c r="P231" s="2">
        <v>2390</v>
      </c>
      <c r="Q231" s="2">
        <v>1350</v>
      </c>
      <c r="R231" s="2">
        <v>180</v>
      </c>
      <c r="S231" s="2">
        <v>2285</v>
      </c>
      <c r="T231" s="2">
        <v>902</v>
      </c>
      <c r="U231" s="2">
        <v>198</v>
      </c>
      <c r="V231" s="2">
        <v>72</v>
      </c>
      <c r="W231" s="2">
        <v>9151</v>
      </c>
      <c r="X231" s="9">
        <v>615475</v>
      </c>
      <c r="Y231" s="2" t="s">
        <v>36</v>
      </c>
      <c r="AA231" s="1" t="str">
        <f>TRIM(RPG_dataset[[#This Row],[Username]])</f>
        <v>nyx_235</v>
      </c>
      <c r="AB231" s="1" t="str">
        <f>TRIM(RPG_dataset[[#This Row],[First Name]])</f>
        <v>Nyx</v>
      </c>
      <c r="AC231" s="1" t="str">
        <f>PROPER(TRIM(RPG_dataset[[#This Row],[Race]]))</f>
        <v>Dragonborn</v>
      </c>
      <c r="AD231" s="1" t="str">
        <f>PROPER(TRIM(RPG_dataset[[#This Row],[Class]]))</f>
        <v>Rogue</v>
      </c>
      <c r="AE231" s="1">
        <f>ABS(RPG_dataset[[#This Row],[Level]])</f>
        <v>69</v>
      </c>
      <c r="AF231" s="1">
        <f>ABS(RPG_dataset[[#This Row],[ATK]])</f>
        <v>67</v>
      </c>
      <c r="AG231" s="1">
        <f>ABS(RPG_dataset[[#This Row],[DEF]])</f>
        <v>73</v>
      </c>
      <c r="AH231" s="1">
        <f>ABS(RPG_dataset[[#This Row],[SPD]])</f>
        <v>40</v>
      </c>
      <c r="AI231" s="1">
        <f>ABS(RPG_dataset[[#This Row],[HP]])</f>
        <v>2390</v>
      </c>
      <c r="AJ231" s="1">
        <f>ABS(RPG_dataset[[#This Row],[MP]])</f>
        <v>1350</v>
      </c>
      <c r="AK231" s="1">
        <f>ABS(RPG_dataset[[#This Row],[Total Stat]])</f>
        <v>180</v>
      </c>
      <c r="AL231" s="1">
        <f>ABS(RPG_dataset[[#This Row],[Kills]])</f>
        <v>2285</v>
      </c>
      <c r="AM231" s="12">
        <f>ABS(RPG_dataset[[#This Row],[Win Rate (%)]])</f>
        <v>72</v>
      </c>
      <c r="AN231" s="4">
        <f>ABS(RPG_dataset[[#This Row],[Gold Earned]])</f>
        <v>615475</v>
      </c>
      <c r="AO231" s="5" t="str">
        <f t="shared" si="3"/>
        <v>OK</v>
      </c>
      <c r="AP231" s="5">
        <f>RANK(clean[[#This Row],[Clean Gold]],clean[Clean Gold], 0)</f>
        <v>193</v>
      </c>
      <c r="AQ231" s="1"/>
      <c r="AR231" s="1" t="str" cm="1">
        <f t="array" ref="AR231">_xlfn.IFS(clean[[#This Row],[Clean Level]]&gt;=76, "Legend", clean[[#This Row],[Clean Level]]&gt;=51, "Elite", clean[[#This Row],[Clean Level]]&gt;=26, "Veteran", TRUE, "Rookie")</f>
        <v>Elite</v>
      </c>
      <c r="AS231" s="1" t="str">
        <f>IF(RPG_dataset[[#This Row],[Status]]="Active", "TRUE", "FALSE")</f>
        <v>FALSE</v>
      </c>
      <c r="AT231" s="1" t="str" cm="1">
        <f t="array" ref="AT231">_xlfn.IFS(clean[[#This Row],[Clean Win Rate]]&gt;70, "Excellent", clean[[#This Row],[Clean Win Rate]]&gt;=40, "Average", TRUE, "Poor")</f>
        <v>Excellent</v>
      </c>
      <c r="AU231" s="1" t="str">
        <f>IF(AND(clean[[#This Row],[Clean Level]]&gt;80, clean[[#This Row],[Clean Total Stat]]&gt;350, clean[[#This Row],[Clean Gold]]&gt;500000), "Overpowered", "Normal")</f>
        <v>Normal</v>
      </c>
      <c r="AV231" s="1" t="str" cm="1">
        <f t="array" ref="AV231">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231" s="1" t="str" cm="1">
        <f t="array" ref="AW23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31" s="1"/>
    </row>
    <row r="232" spans="1:50" x14ac:dyDescent="0.3">
      <c r="A232" s="2" t="s">
        <v>875</v>
      </c>
      <c r="B232" s="2" t="s">
        <v>876</v>
      </c>
      <c r="C232" s="2" t="s">
        <v>130</v>
      </c>
      <c r="D232" s="2" t="s">
        <v>150</v>
      </c>
      <c r="E232" s="2" t="s">
        <v>51</v>
      </c>
      <c r="F232" s="2" t="s">
        <v>98</v>
      </c>
      <c r="G232" s="2">
        <v>77</v>
      </c>
      <c r="H232" s="2" t="s">
        <v>75</v>
      </c>
      <c r="I232" s="2" t="s">
        <v>126</v>
      </c>
      <c r="J232" s="2" t="s">
        <v>92</v>
      </c>
      <c r="K232" s="2" t="s">
        <v>99</v>
      </c>
      <c r="L232" s="6" t="s">
        <v>877</v>
      </c>
      <c r="M232" s="2">
        <v>10</v>
      </c>
      <c r="N232" s="2">
        <v>63</v>
      </c>
      <c r="O232" s="2">
        <v>34</v>
      </c>
      <c r="P232" s="2">
        <v>2571</v>
      </c>
      <c r="Q232" s="2">
        <v>1298</v>
      </c>
      <c r="R232" s="2">
        <v>107</v>
      </c>
      <c r="S232" s="2">
        <v>918</v>
      </c>
      <c r="T232" s="2">
        <v>299</v>
      </c>
      <c r="U232" s="2">
        <v>269</v>
      </c>
      <c r="V232" s="2">
        <v>75</v>
      </c>
      <c r="W232" s="2">
        <v>4669</v>
      </c>
      <c r="X232" s="9">
        <v>166363</v>
      </c>
      <c r="Y232" s="2" t="s">
        <v>46</v>
      </c>
      <c r="AA232" s="1" t="str">
        <f>TRIM(RPG_dataset[[#This Row],[Username]])</f>
        <v>ewan_272</v>
      </c>
      <c r="AB232" s="1" t="str">
        <f>TRIM(RPG_dataset[[#This Row],[First Name]])</f>
        <v>Ewan</v>
      </c>
      <c r="AC232" s="1" t="str">
        <f>PROPER(TRIM(RPG_dataset[[#This Row],[Race]]))</f>
        <v>Tiefling</v>
      </c>
      <c r="AD232" s="1" t="str">
        <f>PROPER(TRIM(RPG_dataset[[#This Row],[Class]]))</f>
        <v>Mage</v>
      </c>
      <c r="AE232" s="1">
        <f>ABS(RPG_dataset[[#This Row],[Level]])</f>
        <v>77</v>
      </c>
      <c r="AF232" s="1">
        <f>ABS(RPG_dataset[[#This Row],[ATK]])</f>
        <v>10</v>
      </c>
      <c r="AG232" s="1">
        <f>ABS(RPG_dataset[[#This Row],[DEF]])</f>
        <v>63</v>
      </c>
      <c r="AH232" s="1">
        <f>ABS(RPG_dataset[[#This Row],[SPD]])</f>
        <v>34</v>
      </c>
      <c r="AI232" s="1">
        <f>ABS(RPG_dataset[[#This Row],[HP]])</f>
        <v>2571</v>
      </c>
      <c r="AJ232" s="1">
        <f>ABS(RPG_dataset[[#This Row],[MP]])</f>
        <v>1298</v>
      </c>
      <c r="AK232" s="1">
        <f>ABS(RPG_dataset[[#This Row],[Total Stat]])</f>
        <v>107</v>
      </c>
      <c r="AL232" s="1">
        <f>ABS(RPG_dataset[[#This Row],[Kills]])</f>
        <v>918</v>
      </c>
      <c r="AM232" s="12">
        <f>ABS(RPG_dataset[[#This Row],[Win Rate (%)]])</f>
        <v>75</v>
      </c>
      <c r="AN232" s="4">
        <f>ABS(RPG_dataset[[#This Row],[Gold Earned]])</f>
        <v>166363</v>
      </c>
      <c r="AO232" s="5" t="str">
        <f t="shared" si="3"/>
        <v>OK</v>
      </c>
      <c r="AP232" s="5">
        <f>RANK(clean[[#This Row],[Clean Gold]],clean[Clean Gold], 0)</f>
        <v>417</v>
      </c>
      <c r="AQ232" s="1">
        <v>195</v>
      </c>
      <c r="AR232" s="1" t="str" cm="1">
        <f t="array" ref="AR232">_xlfn.IFS(clean[[#This Row],[Clean Level]]&gt;=76, "Legend", clean[[#This Row],[Clean Level]]&gt;=51, "Elite", clean[[#This Row],[Clean Level]]&gt;=26, "Veteran", TRUE, "Rookie")</f>
        <v>Legend</v>
      </c>
      <c r="AS232" s="1" t="str">
        <f>IF(RPG_dataset[[#This Row],[Status]]="Active", "TRUE", "FALSE")</f>
        <v>FALSE</v>
      </c>
      <c r="AT232" s="1" t="str" cm="1">
        <f t="array" ref="AT232">_xlfn.IFS(clean[[#This Row],[Clean Win Rate]]&gt;70, "Excellent", clean[[#This Row],[Clean Win Rate]]&gt;=40, "Average", TRUE, "Poor")</f>
        <v>Excellent</v>
      </c>
      <c r="AU232" s="1" t="str">
        <f>IF(AND(clean[[#This Row],[Clean Level]]&gt;80, clean[[#This Row],[Clean Total Stat]]&gt;350, clean[[#This Row],[Clean Gold]]&gt;500000), "Overpowered", "Normal")</f>
        <v>Normal</v>
      </c>
      <c r="AV232" s="1" t="str" cm="1">
        <f t="array" ref="AV23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32" s="1" t="str" cm="1">
        <f t="array" ref="AW23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32" s="1"/>
    </row>
    <row r="233" spans="1:50" x14ac:dyDescent="0.3">
      <c r="A233" s="2" t="s">
        <v>878</v>
      </c>
      <c r="B233" s="2" t="s">
        <v>879</v>
      </c>
      <c r="C233" s="2" t="s">
        <v>118</v>
      </c>
      <c r="D233" s="2" t="s">
        <v>144</v>
      </c>
      <c r="E233" s="2" t="s">
        <v>228</v>
      </c>
      <c r="F233" s="2" t="s">
        <v>30</v>
      </c>
      <c r="G233" s="2">
        <v>90</v>
      </c>
      <c r="H233" s="2" t="s">
        <v>73</v>
      </c>
      <c r="I233" s="2" t="s">
        <v>54</v>
      </c>
      <c r="J233" s="2" t="s">
        <v>64</v>
      </c>
      <c r="K233" s="2" t="s">
        <v>34</v>
      </c>
      <c r="L233" s="6" t="s">
        <v>880</v>
      </c>
      <c r="M233" s="2">
        <v>65</v>
      </c>
      <c r="N233" s="2">
        <v>147</v>
      </c>
      <c r="O233" s="2">
        <v>29</v>
      </c>
      <c r="P233" s="2">
        <v>4427</v>
      </c>
      <c r="Q233" s="2">
        <v>251</v>
      </c>
      <c r="R233" s="2">
        <v>241</v>
      </c>
      <c r="S233" s="2">
        <v>4519</v>
      </c>
      <c r="T233" s="2">
        <v>604</v>
      </c>
      <c r="U233" s="2">
        <v>288</v>
      </c>
      <c r="V233" s="2">
        <v>88</v>
      </c>
      <c r="W233" s="2">
        <v>846</v>
      </c>
      <c r="X233" s="9">
        <v>-658982</v>
      </c>
      <c r="Y233" s="2" t="s">
        <v>36</v>
      </c>
      <c r="AA233" s="1" t="str">
        <f>TRIM(RPG_dataset[[#This Row],[Username]])</f>
        <v>ivan_188</v>
      </c>
      <c r="AB233" s="1" t="str">
        <f>TRIM(RPG_dataset[[#This Row],[First Name]])</f>
        <v>Ivan</v>
      </c>
      <c r="AC233" s="1" t="str">
        <f>PROPER(TRIM(RPG_dataset[[#This Row],[Race]]))</f>
        <v>Elf</v>
      </c>
      <c r="AD233" s="1" t="str">
        <f>PROPER(TRIM(RPG_dataset[[#This Row],[Class]]))</f>
        <v>Rogue</v>
      </c>
      <c r="AE233" s="1">
        <f>ABS(RPG_dataset[[#This Row],[Level]])</f>
        <v>90</v>
      </c>
      <c r="AF233" s="1">
        <f>ABS(RPG_dataset[[#This Row],[ATK]])</f>
        <v>65</v>
      </c>
      <c r="AG233" s="1">
        <f>ABS(RPG_dataset[[#This Row],[DEF]])</f>
        <v>147</v>
      </c>
      <c r="AH233" s="1">
        <f>ABS(RPG_dataset[[#This Row],[SPD]])</f>
        <v>29</v>
      </c>
      <c r="AI233" s="1">
        <f>ABS(RPG_dataset[[#This Row],[HP]])</f>
        <v>4427</v>
      </c>
      <c r="AJ233" s="1">
        <f>ABS(RPG_dataset[[#This Row],[MP]])</f>
        <v>251</v>
      </c>
      <c r="AK233" s="1">
        <f>ABS(RPG_dataset[[#This Row],[Total Stat]])</f>
        <v>241</v>
      </c>
      <c r="AL233" s="1">
        <f>ABS(RPG_dataset[[#This Row],[Kills]])</f>
        <v>4519</v>
      </c>
      <c r="AM233" s="12">
        <f>ABS(RPG_dataset[[#This Row],[Win Rate (%)]])</f>
        <v>88</v>
      </c>
      <c r="AN233" s="4">
        <f>ABS(RPG_dataset[[#This Row],[Gold Earned]])</f>
        <v>658982</v>
      </c>
      <c r="AO233" s="5" t="str">
        <f t="shared" si="3"/>
        <v>OK</v>
      </c>
      <c r="AP233" s="5">
        <f>RANK(clean[[#This Row],[Clean Gold]],clean[Clean Gold], 0)</f>
        <v>169</v>
      </c>
      <c r="AQ233" s="1">
        <v>114</v>
      </c>
      <c r="AR233" s="1" t="str" cm="1">
        <f t="array" ref="AR233">_xlfn.IFS(clean[[#This Row],[Clean Level]]&gt;=76, "Legend", clean[[#This Row],[Clean Level]]&gt;=51, "Elite", clean[[#This Row],[Clean Level]]&gt;=26, "Veteran", TRUE, "Rookie")</f>
        <v>Legend</v>
      </c>
      <c r="AS233" s="1" t="str">
        <f>IF(RPG_dataset[[#This Row],[Status]]="Active", "TRUE", "FALSE")</f>
        <v>FALSE</v>
      </c>
      <c r="AT233" s="1" t="str" cm="1">
        <f t="array" ref="AT233">_xlfn.IFS(clean[[#This Row],[Clean Win Rate]]&gt;70, "Excellent", clean[[#This Row],[Clean Win Rate]]&gt;=40, "Average", TRUE, "Poor")</f>
        <v>Excellent</v>
      </c>
      <c r="AU233" s="1" t="str">
        <f>IF(AND(clean[[#This Row],[Clean Level]]&gt;80, clean[[#This Row],[Clean Total Stat]]&gt;350, clean[[#This Row],[Clean Gold]]&gt;500000), "Overpowered", "Normal")</f>
        <v>Normal</v>
      </c>
      <c r="AV233" s="1" t="str" cm="1">
        <f t="array" ref="AV233">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233" s="1" t="str" cm="1">
        <f t="array" ref="AW23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233" s="1"/>
    </row>
    <row r="234" spans="1:50" x14ac:dyDescent="0.3">
      <c r="A234" s="2" t="s">
        <v>881</v>
      </c>
      <c r="B234" s="2" t="s">
        <v>882</v>
      </c>
      <c r="C234" s="2" t="s">
        <v>27</v>
      </c>
      <c r="D234" s="2" t="s">
        <v>883</v>
      </c>
      <c r="E234" s="2" t="s">
        <v>60</v>
      </c>
      <c r="F234" s="2" t="s">
        <v>30</v>
      </c>
      <c r="G234" s="2">
        <v>62</v>
      </c>
      <c r="H234" s="2" t="s">
        <v>80</v>
      </c>
      <c r="I234" s="2" t="s">
        <v>63</v>
      </c>
      <c r="J234" s="2" t="s">
        <v>92</v>
      </c>
      <c r="K234" s="2" t="s">
        <v>44</v>
      </c>
      <c r="L234" s="6" t="s">
        <v>884</v>
      </c>
      <c r="M234" s="2">
        <v>27</v>
      </c>
      <c r="N234" s="2">
        <v>103</v>
      </c>
      <c r="O234" s="2">
        <v>27</v>
      </c>
      <c r="P234" s="2"/>
      <c r="Q234" s="2">
        <v>1767</v>
      </c>
      <c r="R234" s="2">
        <v>157</v>
      </c>
      <c r="S234" s="2">
        <v>4398</v>
      </c>
      <c r="T234" s="2">
        <v>556</v>
      </c>
      <c r="U234" s="2">
        <v>225</v>
      </c>
      <c r="V234" s="2">
        <v>89</v>
      </c>
      <c r="W234" s="2">
        <v>4771</v>
      </c>
      <c r="X234" s="9">
        <v>458162</v>
      </c>
      <c r="Y234" s="2" t="s">
        <v>36</v>
      </c>
      <c r="AA234" s="1" t="str">
        <f>TRIM(RPG_dataset[[#This Row],[Username]])</f>
        <v>aiden_245</v>
      </c>
      <c r="AB234" s="1" t="str">
        <f>TRIM(RPG_dataset[[#This Row],[First Name]])</f>
        <v>Aiden</v>
      </c>
      <c r="AC234" s="1" t="str">
        <f>PROPER(TRIM(RPG_dataset[[#This Row],[Race]]))</f>
        <v>Human</v>
      </c>
      <c r="AD234" s="1" t="str">
        <f>PROPER(TRIM(RPG_dataset[[#This Row],[Class]]))</f>
        <v>Rogue</v>
      </c>
      <c r="AE234" s="1">
        <f>ABS(RPG_dataset[[#This Row],[Level]])</f>
        <v>62</v>
      </c>
      <c r="AF234" s="1">
        <f>ABS(RPG_dataset[[#This Row],[ATK]])</f>
        <v>27</v>
      </c>
      <c r="AG234" s="1">
        <f>ABS(RPG_dataset[[#This Row],[DEF]])</f>
        <v>103</v>
      </c>
      <c r="AH234" s="1">
        <f>ABS(RPG_dataset[[#This Row],[SPD]])</f>
        <v>27</v>
      </c>
      <c r="AI234" s="1">
        <f>ABS(RPG_dataset[[#This Row],[HP]])</f>
        <v>0</v>
      </c>
      <c r="AJ234" s="1">
        <f>ABS(RPG_dataset[[#This Row],[MP]])</f>
        <v>1767</v>
      </c>
      <c r="AK234" s="1">
        <f>ABS(RPG_dataset[[#This Row],[Total Stat]])</f>
        <v>157</v>
      </c>
      <c r="AL234" s="1">
        <f>ABS(RPG_dataset[[#This Row],[Kills]])</f>
        <v>4398</v>
      </c>
      <c r="AM234" s="12">
        <f>ABS(RPG_dataset[[#This Row],[Win Rate (%)]])</f>
        <v>89</v>
      </c>
      <c r="AN234" s="4">
        <f>ABS(RPG_dataset[[#This Row],[Gold Earned]])</f>
        <v>458162</v>
      </c>
      <c r="AO234" s="5" t="str">
        <f t="shared" si="3"/>
        <v>OK</v>
      </c>
      <c r="AP234" s="5">
        <f>RANK(clean[[#This Row],[Clean Gold]],clean[Clean Gold], 0)</f>
        <v>272</v>
      </c>
      <c r="AQ234" s="1">
        <v>230</v>
      </c>
      <c r="AR234" s="1" t="str" cm="1">
        <f t="array" ref="AR234">_xlfn.IFS(clean[[#This Row],[Clean Level]]&gt;=76, "Legend", clean[[#This Row],[Clean Level]]&gt;=51, "Elite", clean[[#This Row],[Clean Level]]&gt;=26, "Veteran", TRUE, "Rookie")</f>
        <v>Elite</v>
      </c>
      <c r="AS234" s="1" t="str">
        <f>IF(RPG_dataset[[#This Row],[Status]]="Active", "TRUE", "FALSE")</f>
        <v>TRUE</v>
      </c>
      <c r="AT234" s="1" t="str" cm="1">
        <f t="array" ref="AT234">_xlfn.IFS(clean[[#This Row],[Clean Win Rate]]&gt;70, "Excellent", clean[[#This Row],[Clean Win Rate]]&gt;=40, "Average", TRUE, "Poor")</f>
        <v>Excellent</v>
      </c>
      <c r="AU234" s="1" t="str">
        <f>IF(AND(clean[[#This Row],[Clean Level]]&gt;80, clean[[#This Row],[Clean Total Stat]]&gt;350, clean[[#This Row],[Clean Gold]]&gt;500000), "Overpowered", "Normal")</f>
        <v>Normal</v>
      </c>
      <c r="AV234" s="1" t="str" cm="1">
        <f t="array" ref="AV234">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234" s="1" t="str" cm="1">
        <f t="array" ref="AW23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34" s="1"/>
    </row>
    <row r="235" spans="1:50" x14ac:dyDescent="0.3">
      <c r="A235" s="2" t="s">
        <v>885</v>
      </c>
      <c r="B235" s="2" t="s">
        <v>886</v>
      </c>
      <c r="C235" s="2" t="s">
        <v>360</v>
      </c>
      <c r="D235" s="2" t="s">
        <v>254</v>
      </c>
      <c r="E235" s="2" t="s">
        <v>29</v>
      </c>
      <c r="F235" s="2" t="s">
        <v>194</v>
      </c>
      <c r="G235" s="2">
        <v>3</v>
      </c>
      <c r="H235" s="2" t="s">
        <v>62</v>
      </c>
      <c r="I235" s="2" t="s">
        <v>87</v>
      </c>
      <c r="J235" s="2" t="s">
        <v>64</v>
      </c>
      <c r="K235" s="2" t="s">
        <v>99</v>
      </c>
      <c r="L235" s="6" t="s">
        <v>887</v>
      </c>
      <c r="M235" s="2">
        <v>44</v>
      </c>
      <c r="N235" s="2">
        <v>54</v>
      </c>
      <c r="O235" s="2">
        <v>36</v>
      </c>
      <c r="P235" s="2">
        <v>4293</v>
      </c>
      <c r="Q235" s="2">
        <v>-540</v>
      </c>
      <c r="R235" s="2">
        <v>134</v>
      </c>
      <c r="S235" s="2">
        <v>1858</v>
      </c>
      <c r="T235" s="2">
        <v>668</v>
      </c>
      <c r="U235" s="2">
        <v>119</v>
      </c>
      <c r="V235" s="2">
        <v>74</v>
      </c>
      <c r="W235" s="2">
        <v>2588</v>
      </c>
      <c r="X235" s="9">
        <v>391910</v>
      </c>
      <c r="Y235" s="2" t="s">
        <v>46</v>
      </c>
      <c r="AA235" s="1" t="str">
        <f>TRIM(RPG_dataset[[#This Row],[Username]])</f>
        <v>oryn_273</v>
      </c>
      <c r="AB235" s="1" t="str">
        <f>TRIM(RPG_dataset[[#This Row],[First Name]])</f>
        <v>Oryn</v>
      </c>
      <c r="AC235" s="1" t="str">
        <f>PROPER(TRIM(RPG_dataset[[#This Row],[Race]]))</f>
        <v>Dwarf</v>
      </c>
      <c r="AD235" s="1" t="str">
        <f>PROPER(TRIM(RPG_dataset[[#This Row],[Class]]))</f>
        <v>Paladin</v>
      </c>
      <c r="AE235" s="1">
        <f>ABS(RPG_dataset[[#This Row],[Level]])</f>
        <v>3</v>
      </c>
      <c r="AF235" s="1">
        <f>ABS(RPG_dataset[[#This Row],[ATK]])</f>
        <v>44</v>
      </c>
      <c r="AG235" s="1">
        <f>ABS(RPG_dataset[[#This Row],[DEF]])</f>
        <v>54</v>
      </c>
      <c r="AH235" s="1">
        <f>ABS(RPG_dataset[[#This Row],[SPD]])</f>
        <v>36</v>
      </c>
      <c r="AI235" s="1">
        <f>ABS(RPG_dataset[[#This Row],[HP]])</f>
        <v>4293</v>
      </c>
      <c r="AJ235" s="1">
        <f>ABS(RPG_dataset[[#This Row],[MP]])</f>
        <v>540</v>
      </c>
      <c r="AK235" s="1">
        <f>ABS(RPG_dataset[[#This Row],[Total Stat]])</f>
        <v>134</v>
      </c>
      <c r="AL235" s="1">
        <f>ABS(RPG_dataset[[#This Row],[Kills]])</f>
        <v>1858</v>
      </c>
      <c r="AM235" s="12">
        <f>ABS(RPG_dataset[[#This Row],[Win Rate (%)]])</f>
        <v>74</v>
      </c>
      <c r="AN235" s="4">
        <f>ABS(RPG_dataset[[#This Row],[Gold Earned]])</f>
        <v>391910</v>
      </c>
      <c r="AO235" s="5" t="str">
        <f t="shared" si="3"/>
        <v>OK</v>
      </c>
      <c r="AP235" s="5">
        <f>RANK(clean[[#This Row],[Clean Gold]],clean[Clean Gold], 0)</f>
        <v>307</v>
      </c>
      <c r="AQ235" s="1">
        <v>163</v>
      </c>
      <c r="AR235" s="1" t="str" cm="1">
        <f t="array" ref="AR235">_xlfn.IFS(clean[[#This Row],[Clean Level]]&gt;=76, "Legend", clean[[#This Row],[Clean Level]]&gt;=51, "Elite", clean[[#This Row],[Clean Level]]&gt;=26, "Veteran", TRUE, "Rookie")</f>
        <v>Rookie</v>
      </c>
      <c r="AS235" s="1" t="str">
        <f>IF(RPG_dataset[[#This Row],[Status]]="Active", "TRUE", "FALSE")</f>
        <v>FALSE</v>
      </c>
      <c r="AT235" s="1" t="str" cm="1">
        <f t="array" ref="AT235">_xlfn.IFS(clean[[#This Row],[Clean Win Rate]]&gt;70, "Excellent", clean[[#This Row],[Clean Win Rate]]&gt;=40, "Average", TRUE, "Poor")</f>
        <v>Excellent</v>
      </c>
      <c r="AU235" s="1" t="str">
        <f>IF(AND(clean[[#This Row],[Clean Level]]&gt;80, clean[[#This Row],[Clean Total Stat]]&gt;350, clean[[#This Row],[Clean Gold]]&gt;500000), "Overpowered", "Normal")</f>
        <v>Normal</v>
      </c>
      <c r="AV235" s="1" t="str" cm="1">
        <f t="array" ref="AV23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35" s="1" t="str" cm="1">
        <f t="array" ref="AW23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35" s="1"/>
    </row>
    <row r="236" spans="1:50" x14ac:dyDescent="0.3">
      <c r="A236" s="2" t="s">
        <v>888</v>
      </c>
      <c r="B236" s="2" t="s">
        <v>889</v>
      </c>
      <c r="C236" s="2" t="s">
        <v>203</v>
      </c>
      <c r="D236" s="2" t="s">
        <v>250</v>
      </c>
      <c r="E236" s="2" t="s">
        <v>51</v>
      </c>
      <c r="F236" s="2" t="s">
        <v>52</v>
      </c>
      <c r="G236" s="2">
        <v>5</v>
      </c>
      <c r="H236" s="2" t="s">
        <v>75</v>
      </c>
      <c r="I236" s="2" t="s">
        <v>126</v>
      </c>
      <c r="J236" s="2" t="s">
        <v>163</v>
      </c>
      <c r="K236" s="2" t="s">
        <v>34</v>
      </c>
      <c r="L236" s="6" t="s">
        <v>890</v>
      </c>
      <c r="M236" s="2">
        <v>89</v>
      </c>
      <c r="N236" s="2">
        <v>99</v>
      </c>
      <c r="O236" s="2">
        <v>150</v>
      </c>
      <c r="P236" s="2">
        <v>1473</v>
      </c>
      <c r="Q236" s="2">
        <v>2753</v>
      </c>
      <c r="R236" s="2">
        <v>338</v>
      </c>
      <c r="S236" s="2">
        <v>1341</v>
      </c>
      <c r="T236" s="2">
        <v>440</v>
      </c>
      <c r="U236" s="2">
        <v>280</v>
      </c>
      <c r="V236" s="2">
        <v>75</v>
      </c>
      <c r="W236" s="2"/>
      <c r="X236" s="9">
        <v>-481027</v>
      </c>
      <c r="Y236" s="2" t="s">
        <v>46</v>
      </c>
      <c r="AA236" s="1" t="str">
        <f>TRIM(RPG_dataset[[#This Row],[Username]])</f>
        <v>leon_250</v>
      </c>
      <c r="AB236" s="1" t="str">
        <f>TRIM(RPG_dataset[[#This Row],[First Name]])</f>
        <v>Leon</v>
      </c>
      <c r="AC236" s="1" t="str">
        <f>PROPER(TRIM(RPG_dataset[[#This Row],[Race]]))</f>
        <v>Tiefling</v>
      </c>
      <c r="AD236" s="1" t="str">
        <f>PROPER(TRIM(RPG_dataset[[#This Row],[Class]]))</f>
        <v>Bard</v>
      </c>
      <c r="AE236" s="1">
        <f>ABS(RPG_dataset[[#This Row],[Level]])</f>
        <v>5</v>
      </c>
      <c r="AF236" s="1">
        <f>ABS(RPG_dataset[[#This Row],[ATK]])</f>
        <v>89</v>
      </c>
      <c r="AG236" s="1">
        <f>ABS(RPG_dataset[[#This Row],[DEF]])</f>
        <v>99</v>
      </c>
      <c r="AH236" s="1">
        <f>ABS(RPG_dataset[[#This Row],[SPD]])</f>
        <v>150</v>
      </c>
      <c r="AI236" s="1">
        <f>ABS(RPG_dataset[[#This Row],[HP]])</f>
        <v>1473</v>
      </c>
      <c r="AJ236" s="1">
        <f>ABS(RPG_dataset[[#This Row],[MP]])</f>
        <v>2753</v>
      </c>
      <c r="AK236" s="1">
        <f>ABS(RPG_dataset[[#This Row],[Total Stat]])</f>
        <v>338</v>
      </c>
      <c r="AL236" s="1">
        <f>ABS(RPG_dataset[[#This Row],[Kills]])</f>
        <v>1341</v>
      </c>
      <c r="AM236" s="12">
        <f>ABS(RPG_dataset[[#This Row],[Win Rate (%)]])</f>
        <v>75</v>
      </c>
      <c r="AN236" s="4">
        <f>ABS(RPG_dataset[[#This Row],[Gold Earned]])</f>
        <v>481027</v>
      </c>
      <c r="AO236" s="5" t="str">
        <f t="shared" si="3"/>
        <v>OK</v>
      </c>
      <c r="AP236" s="5">
        <f>RANK(clean[[#This Row],[Clean Gold]],clean[Clean Gold], 0)</f>
        <v>265</v>
      </c>
      <c r="AQ236" s="1"/>
      <c r="AR236" s="1" t="str" cm="1">
        <f t="array" ref="AR236">_xlfn.IFS(clean[[#This Row],[Clean Level]]&gt;=76, "Legend", clean[[#This Row],[Clean Level]]&gt;=51, "Elite", clean[[#This Row],[Clean Level]]&gt;=26, "Veteran", TRUE, "Rookie")</f>
        <v>Rookie</v>
      </c>
      <c r="AS236" s="1" t="str">
        <f>IF(RPG_dataset[[#This Row],[Status]]="Active", "TRUE", "FALSE")</f>
        <v>FALSE</v>
      </c>
      <c r="AT236" s="1" t="str" cm="1">
        <f t="array" ref="AT236">_xlfn.IFS(clean[[#This Row],[Clean Win Rate]]&gt;70, "Excellent", clean[[#This Row],[Clean Win Rate]]&gt;=40, "Average", TRUE, "Poor")</f>
        <v>Excellent</v>
      </c>
      <c r="AU236" s="1" t="str">
        <f>IF(AND(clean[[#This Row],[Clean Level]]&gt;80, clean[[#This Row],[Clean Total Stat]]&gt;350, clean[[#This Row],[Clean Gold]]&gt;500000), "Overpowered", "Normal")</f>
        <v>Normal</v>
      </c>
      <c r="AV236" s="1" t="str" cm="1">
        <f t="array" ref="AV23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36" s="1" t="str" cm="1">
        <f t="array" ref="AW23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36" s="1"/>
    </row>
    <row r="237" spans="1:50" x14ac:dyDescent="0.3">
      <c r="A237" s="2" t="s">
        <v>891</v>
      </c>
      <c r="B237" s="2" t="s">
        <v>892</v>
      </c>
      <c r="C237" s="2" t="s">
        <v>167</v>
      </c>
      <c r="D237" s="2" t="s">
        <v>401</v>
      </c>
      <c r="E237" s="2" t="s">
        <v>105</v>
      </c>
      <c r="F237" s="2" t="s">
        <v>42</v>
      </c>
      <c r="G237" s="2">
        <v>40</v>
      </c>
      <c r="H237" s="2" t="s">
        <v>62</v>
      </c>
      <c r="I237" s="2" t="s">
        <v>32</v>
      </c>
      <c r="J237" s="2" t="s">
        <v>33</v>
      </c>
      <c r="K237" s="2" t="s">
        <v>44</v>
      </c>
      <c r="L237" s="6" t="s">
        <v>893</v>
      </c>
      <c r="M237" s="2">
        <v>33</v>
      </c>
      <c r="N237" s="2">
        <v>137</v>
      </c>
      <c r="O237" s="2">
        <v>20</v>
      </c>
      <c r="P237" s="2">
        <v>3412</v>
      </c>
      <c r="Q237" s="2">
        <v>1146</v>
      </c>
      <c r="R237" s="2">
        <v>190</v>
      </c>
      <c r="S237" s="2">
        <v>686</v>
      </c>
      <c r="T237" s="2">
        <v>945</v>
      </c>
      <c r="U237" s="2">
        <v>118</v>
      </c>
      <c r="V237" s="2">
        <v>42</v>
      </c>
      <c r="W237" s="2"/>
      <c r="X237" s="9">
        <v>308899</v>
      </c>
      <c r="Y237" s="2" t="s">
        <v>36</v>
      </c>
      <c r="AA237" s="1" t="str">
        <f>TRIM(RPG_dataset[[#This Row],[Username]])</f>
        <v>tilda_491</v>
      </c>
      <c r="AB237" s="1" t="str">
        <f>TRIM(RPG_dataset[[#This Row],[First Name]])</f>
        <v>Tilda</v>
      </c>
      <c r="AC237" s="1" t="str">
        <f>PROPER(TRIM(RPG_dataset[[#This Row],[Race]]))</f>
        <v>Orc</v>
      </c>
      <c r="AD237" s="1" t="str">
        <f>PROPER(TRIM(RPG_dataset[[#This Row],[Class]]))</f>
        <v>Monk</v>
      </c>
      <c r="AE237" s="1">
        <f>ABS(RPG_dataset[[#This Row],[Level]])</f>
        <v>40</v>
      </c>
      <c r="AF237" s="1">
        <f>ABS(RPG_dataset[[#This Row],[ATK]])</f>
        <v>33</v>
      </c>
      <c r="AG237" s="1">
        <f>ABS(RPG_dataset[[#This Row],[DEF]])</f>
        <v>137</v>
      </c>
      <c r="AH237" s="1">
        <f>ABS(RPG_dataset[[#This Row],[SPD]])</f>
        <v>20</v>
      </c>
      <c r="AI237" s="1">
        <f>ABS(RPG_dataset[[#This Row],[HP]])</f>
        <v>3412</v>
      </c>
      <c r="AJ237" s="1">
        <f>ABS(RPG_dataset[[#This Row],[MP]])</f>
        <v>1146</v>
      </c>
      <c r="AK237" s="1">
        <f>ABS(RPG_dataset[[#This Row],[Total Stat]])</f>
        <v>190</v>
      </c>
      <c r="AL237" s="1">
        <f>ABS(RPG_dataset[[#This Row],[Kills]])</f>
        <v>686</v>
      </c>
      <c r="AM237" s="12">
        <f>ABS(RPG_dataset[[#This Row],[Win Rate (%)]])</f>
        <v>42</v>
      </c>
      <c r="AN237" s="4">
        <f>ABS(RPG_dataset[[#This Row],[Gold Earned]])</f>
        <v>308899</v>
      </c>
      <c r="AO237" s="5" t="str">
        <f t="shared" si="3"/>
        <v>OK</v>
      </c>
      <c r="AP237" s="5">
        <f>RANK(clean[[#This Row],[Clean Gold]],clean[Clean Gold], 0)</f>
        <v>349</v>
      </c>
      <c r="AQ237" s="1">
        <v>193</v>
      </c>
      <c r="AR237" s="1" t="str" cm="1">
        <f t="array" ref="AR237">_xlfn.IFS(clean[[#This Row],[Clean Level]]&gt;=76, "Legend", clean[[#This Row],[Clean Level]]&gt;=51, "Elite", clean[[#This Row],[Clean Level]]&gt;=26, "Veteran", TRUE, "Rookie")</f>
        <v>Veteran</v>
      </c>
      <c r="AS237" s="1" t="str">
        <f>IF(RPG_dataset[[#This Row],[Status]]="Active", "TRUE", "FALSE")</f>
        <v>TRUE</v>
      </c>
      <c r="AT237" s="1" t="str" cm="1">
        <f t="array" ref="AT237">_xlfn.IFS(clean[[#This Row],[Clean Win Rate]]&gt;70, "Excellent", clean[[#This Row],[Clean Win Rate]]&gt;=40, "Average", TRUE, "Poor")</f>
        <v>Average</v>
      </c>
      <c r="AU237" s="1" t="str">
        <f>IF(AND(clean[[#This Row],[Clean Level]]&gt;80, clean[[#This Row],[Clean Total Stat]]&gt;350, clean[[#This Row],[Clean Gold]]&gt;500000), "Overpowered", "Normal")</f>
        <v>Normal</v>
      </c>
      <c r="AV237" s="1" t="str" cm="1">
        <f t="array" ref="AV23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37" s="1" t="str" cm="1">
        <f t="array" ref="AW23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237" s="1"/>
    </row>
    <row r="238" spans="1:50" x14ac:dyDescent="0.3">
      <c r="A238" s="2" t="s">
        <v>894</v>
      </c>
      <c r="B238" s="2" t="s">
        <v>895</v>
      </c>
      <c r="C238" s="2" t="s">
        <v>720</v>
      </c>
      <c r="D238" s="2" t="s">
        <v>40</v>
      </c>
      <c r="E238" s="2" t="s">
        <v>60</v>
      </c>
      <c r="F238" s="2" t="s">
        <v>98</v>
      </c>
      <c r="G238" s="2">
        <v>53</v>
      </c>
      <c r="H238" s="2" t="s">
        <v>53</v>
      </c>
      <c r="I238" s="2" t="s">
        <v>87</v>
      </c>
      <c r="J238" s="2" t="s">
        <v>92</v>
      </c>
      <c r="K238" s="2" t="s">
        <v>106</v>
      </c>
      <c r="L238" s="6" t="s">
        <v>240</v>
      </c>
      <c r="M238" s="2">
        <v>104</v>
      </c>
      <c r="N238" s="2">
        <v>130</v>
      </c>
      <c r="O238" s="2">
        <v>90</v>
      </c>
      <c r="P238" s="2">
        <v>2748</v>
      </c>
      <c r="Q238" s="2">
        <v>56</v>
      </c>
      <c r="R238" s="2">
        <v>324</v>
      </c>
      <c r="S238" s="2">
        <v>968</v>
      </c>
      <c r="T238" s="2">
        <v>846</v>
      </c>
      <c r="U238" s="2"/>
      <c r="V238" s="2">
        <v>53</v>
      </c>
      <c r="W238" s="2">
        <v>9867</v>
      </c>
      <c r="X238" s="9">
        <v>564191</v>
      </c>
      <c r="Y238" s="2" t="s">
        <v>46</v>
      </c>
      <c r="AA238" s="1" t="str">
        <f>TRIM(RPG_dataset[[#This Row],[Username]])</f>
        <v>jade_948</v>
      </c>
      <c r="AB238" s="1" t="str">
        <f>TRIM(RPG_dataset[[#This Row],[First Name]])</f>
        <v>Jade</v>
      </c>
      <c r="AC238" s="1" t="str">
        <f>PROPER(TRIM(RPG_dataset[[#This Row],[Race]]))</f>
        <v>Human</v>
      </c>
      <c r="AD238" s="1" t="str">
        <f>PROPER(TRIM(RPG_dataset[[#This Row],[Class]]))</f>
        <v>Mage</v>
      </c>
      <c r="AE238" s="1">
        <f>ABS(RPG_dataset[[#This Row],[Level]])</f>
        <v>53</v>
      </c>
      <c r="AF238" s="1">
        <f>ABS(RPG_dataset[[#This Row],[ATK]])</f>
        <v>104</v>
      </c>
      <c r="AG238" s="1">
        <f>ABS(RPG_dataset[[#This Row],[DEF]])</f>
        <v>130</v>
      </c>
      <c r="AH238" s="1">
        <f>ABS(RPG_dataset[[#This Row],[SPD]])</f>
        <v>90</v>
      </c>
      <c r="AI238" s="1">
        <f>ABS(RPG_dataset[[#This Row],[HP]])</f>
        <v>2748</v>
      </c>
      <c r="AJ238" s="1">
        <f>ABS(RPG_dataset[[#This Row],[MP]])</f>
        <v>56</v>
      </c>
      <c r="AK238" s="1">
        <f>ABS(RPG_dataset[[#This Row],[Total Stat]])</f>
        <v>324</v>
      </c>
      <c r="AL238" s="1">
        <f>ABS(RPG_dataset[[#This Row],[Kills]])</f>
        <v>968</v>
      </c>
      <c r="AM238" s="12">
        <f>ABS(RPG_dataset[[#This Row],[Win Rate (%)]])</f>
        <v>53</v>
      </c>
      <c r="AN238" s="4">
        <f>ABS(RPG_dataset[[#This Row],[Gold Earned]])</f>
        <v>564191</v>
      </c>
      <c r="AO238" s="5" t="str">
        <f t="shared" si="3"/>
        <v>OK</v>
      </c>
      <c r="AP238" s="5">
        <f>RANK(clean[[#This Row],[Clean Gold]],clean[Clean Gold], 0)</f>
        <v>217</v>
      </c>
      <c r="AQ238" s="1">
        <v>199</v>
      </c>
      <c r="AR238" s="1" t="str" cm="1">
        <f t="array" ref="AR238">_xlfn.IFS(clean[[#This Row],[Clean Level]]&gt;=76, "Legend", clean[[#This Row],[Clean Level]]&gt;=51, "Elite", clean[[#This Row],[Clean Level]]&gt;=26, "Veteran", TRUE, "Rookie")</f>
        <v>Elite</v>
      </c>
      <c r="AS238" s="1" t="str">
        <f>IF(RPG_dataset[[#This Row],[Status]]="Active", "TRUE", "FALSE")</f>
        <v>FALSE</v>
      </c>
      <c r="AT238" s="1" t="str" cm="1">
        <f t="array" ref="AT238">_xlfn.IFS(clean[[#This Row],[Clean Win Rate]]&gt;70, "Excellent", clean[[#This Row],[Clean Win Rate]]&gt;=40, "Average", TRUE, "Poor")</f>
        <v>Average</v>
      </c>
      <c r="AU238" s="1" t="str">
        <f>IF(AND(clean[[#This Row],[Clean Level]]&gt;80, clean[[#This Row],[Clean Total Stat]]&gt;350, clean[[#This Row],[Clean Gold]]&gt;500000), "Overpowered", "Normal")</f>
        <v>Normal</v>
      </c>
      <c r="AV238" s="1" t="str" cm="1">
        <f t="array" ref="AV23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38" s="1" t="str" cm="1">
        <f t="array" ref="AW23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38" s="1"/>
    </row>
    <row r="239" spans="1:50" x14ac:dyDescent="0.3">
      <c r="A239" s="2" t="s">
        <v>896</v>
      </c>
      <c r="B239" s="2" t="s">
        <v>897</v>
      </c>
      <c r="C239" s="2" t="s">
        <v>314</v>
      </c>
      <c r="D239" s="2" t="s">
        <v>119</v>
      </c>
      <c r="E239" s="2" t="s">
        <v>105</v>
      </c>
      <c r="F239" s="2" t="s">
        <v>194</v>
      </c>
      <c r="G239" s="2">
        <v>65</v>
      </c>
      <c r="H239" s="2" t="s">
        <v>125</v>
      </c>
      <c r="I239" s="2" t="s">
        <v>63</v>
      </c>
      <c r="J239" s="2" t="s">
        <v>64</v>
      </c>
      <c r="K239" s="2" t="s">
        <v>44</v>
      </c>
      <c r="L239" s="6" t="s">
        <v>315</v>
      </c>
      <c r="M239" s="2"/>
      <c r="N239" s="2">
        <v>113</v>
      </c>
      <c r="O239" s="2">
        <v>120</v>
      </c>
      <c r="P239" s="2">
        <v>507</v>
      </c>
      <c r="Q239" s="2">
        <v>1803</v>
      </c>
      <c r="R239" s="2">
        <v>275</v>
      </c>
      <c r="S239" s="2">
        <v>2782</v>
      </c>
      <c r="T239" s="2">
        <v>555</v>
      </c>
      <c r="U239" s="2">
        <v>69</v>
      </c>
      <c r="V239" s="2">
        <v>83</v>
      </c>
      <c r="W239" s="2">
        <v>1273</v>
      </c>
      <c r="X239" s="9">
        <v>358582</v>
      </c>
      <c r="Y239" s="2" t="s">
        <v>46</v>
      </c>
      <c r="AA239" s="1" t="str">
        <f>TRIM(RPG_dataset[[#This Row],[Username]])</f>
        <v>zara_240</v>
      </c>
      <c r="AB239" s="1" t="str">
        <f>TRIM(RPG_dataset[[#This Row],[First Name]])</f>
        <v>Zara</v>
      </c>
      <c r="AC239" s="1" t="str">
        <f>PROPER(TRIM(RPG_dataset[[#This Row],[Race]]))</f>
        <v>Orc</v>
      </c>
      <c r="AD239" s="1" t="str">
        <f>PROPER(TRIM(RPG_dataset[[#This Row],[Class]]))</f>
        <v>Paladin</v>
      </c>
      <c r="AE239" s="1">
        <f>ABS(RPG_dataset[[#This Row],[Level]])</f>
        <v>65</v>
      </c>
      <c r="AF239" s="1">
        <f>ABS(RPG_dataset[[#This Row],[ATK]])</f>
        <v>0</v>
      </c>
      <c r="AG239" s="1">
        <f>ABS(RPG_dataset[[#This Row],[DEF]])</f>
        <v>113</v>
      </c>
      <c r="AH239" s="1">
        <f>ABS(RPG_dataset[[#This Row],[SPD]])</f>
        <v>120</v>
      </c>
      <c r="AI239" s="1">
        <f>ABS(RPG_dataset[[#This Row],[HP]])</f>
        <v>507</v>
      </c>
      <c r="AJ239" s="1">
        <f>ABS(RPG_dataset[[#This Row],[MP]])</f>
        <v>1803</v>
      </c>
      <c r="AK239" s="1">
        <f>ABS(RPG_dataset[[#This Row],[Total Stat]])</f>
        <v>275</v>
      </c>
      <c r="AL239" s="1">
        <f>ABS(RPG_dataset[[#This Row],[Kills]])</f>
        <v>2782</v>
      </c>
      <c r="AM239" s="12">
        <f>ABS(RPG_dataset[[#This Row],[Win Rate (%)]])</f>
        <v>83</v>
      </c>
      <c r="AN239" s="4">
        <f>ABS(RPG_dataset[[#This Row],[Gold Earned]])</f>
        <v>358582</v>
      </c>
      <c r="AO239" s="5" t="str">
        <f t="shared" si="3"/>
        <v>OK</v>
      </c>
      <c r="AP239" s="5">
        <f>RANK(clean[[#This Row],[Clean Gold]],clean[Clean Gold], 0)</f>
        <v>326</v>
      </c>
      <c r="AQ239" s="1">
        <v>269</v>
      </c>
      <c r="AR239" s="1" t="str" cm="1">
        <f t="array" ref="AR239">_xlfn.IFS(clean[[#This Row],[Clean Level]]&gt;=76, "Legend", clean[[#This Row],[Clean Level]]&gt;=51, "Elite", clean[[#This Row],[Clean Level]]&gt;=26, "Veteran", TRUE, "Rookie")</f>
        <v>Elite</v>
      </c>
      <c r="AS239" s="1" t="str">
        <f>IF(RPG_dataset[[#This Row],[Status]]="Active", "TRUE", "FALSE")</f>
        <v>TRUE</v>
      </c>
      <c r="AT239" s="1" t="str" cm="1">
        <f t="array" ref="AT239">_xlfn.IFS(clean[[#This Row],[Clean Win Rate]]&gt;70, "Excellent", clean[[#This Row],[Clean Win Rate]]&gt;=40, "Average", TRUE, "Poor")</f>
        <v>Excellent</v>
      </c>
      <c r="AU239" s="1" t="str">
        <f>IF(AND(clean[[#This Row],[Clean Level]]&gt;80, clean[[#This Row],[Clean Total Stat]]&gt;350, clean[[#This Row],[Clean Gold]]&gt;500000), "Overpowered", "Normal")</f>
        <v>Normal</v>
      </c>
      <c r="AV239" s="1" t="str" cm="1">
        <f t="array" ref="AV23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39" s="1" t="str" cm="1">
        <f t="array" ref="AW23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39" s="1"/>
    </row>
    <row r="240" spans="1:50" x14ac:dyDescent="0.3">
      <c r="A240" s="2" t="s">
        <v>898</v>
      </c>
      <c r="B240" s="2" t="s">
        <v>899</v>
      </c>
      <c r="C240" s="2" t="s">
        <v>720</v>
      </c>
      <c r="D240" s="2" t="s">
        <v>234</v>
      </c>
      <c r="E240" s="2" t="s">
        <v>41</v>
      </c>
      <c r="F240" s="2" t="s">
        <v>532</v>
      </c>
      <c r="G240" s="2">
        <v>98</v>
      </c>
      <c r="H240" s="2" t="s">
        <v>125</v>
      </c>
      <c r="I240" s="2" t="s">
        <v>32</v>
      </c>
      <c r="J240" s="2" t="s">
        <v>111</v>
      </c>
      <c r="K240" s="2" t="s">
        <v>44</v>
      </c>
      <c r="L240" s="6" t="s">
        <v>900</v>
      </c>
      <c r="M240" s="2">
        <v>52</v>
      </c>
      <c r="N240" s="2">
        <v>62</v>
      </c>
      <c r="O240" s="2">
        <v>93</v>
      </c>
      <c r="P240" s="2">
        <v>3874</v>
      </c>
      <c r="Q240" s="2">
        <v>1430</v>
      </c>
      <c r="R240" s="2"/>
      <c r="S240" s="2">
        <v>1266</v>
      </c>
      <c r="T240" s="2">
        <v>462</v>
      </c>
      <c r="U240" s="2">
        <v>160</v>
      </c>
      <c r="V240" s="2">
        <v>73</v>
      </c>
      <c r="W240" s="2">
        <v>1795</v>
      </c>
      <c r="X240" s="9">
        <v>553891</v>
      </c>
      <c r="Y240" s="2" t="s">
        <v>46</v>
      </c>
      <c r="AA240" s="1" t="str">
        <f>TRIM(RPG_dataset[[#This Row],[Username]])</f>
        <v>jade_123</v>
      </c>
      <c r="AB240" s="1" t="str">
        <f>TRIM(RPG_dataset[[#This Row],[First Name]])</f>
        <v>Jade</v>
      </c>
      <c r="AC240" s="1" t="str">
        <f>PROPER(TRIM(RPG_dataset[[#This Row],[Race]]))</f>
        <v>Gnome</v>
      </c>
      <c r="AD240" s="1" t="str">
        <f>PROPER(TRIM(RPG_dataset[[#This Row],[Class]]))</f>
        <v>Necromancer</v>
      </c>
      <c r="AE240" s="1">
        <f>ABS(RPG_dataset[[#This Row],[Level]])</f>
        <v>98</v>
      </c>
      <c r="AF240" s="1">
        <f>ABS(RPG_dataset[[#This Row],[ATK]])</f>
        <v>52</v>
      </c>
      <c r="AG240" s="1">
        <f>ABS(RPG_dataset[[#This Row],[DEF]])</f>
        <v>62</v>
      </c>
      <c r="AH240" s="1">
        <f>ABS(RPG_dataset[[#This Row],[SPD]])</f>
        <v>93</v>
      </c>
      <c r="AI240" s="1">
        <f>ABS(RPG_dataset[[#This Row],[HP]])</f>
        <v>3874</v>
      </c>
      <c r="AJ240" s="1">
        <f>ABS(RPG_dataset[[#This Row],[MP]])</f>
        <v>1430</v>
      </c>
      <c r="AK240" s="1">
        <f>ABS(RPG_dataset[[#This Row],[Total Stat]])</f>
        <v>0</v>
      </c>
      <c r="AL240" s="1">
        <f>ABS(RPG_dataset[[#This Row],[Kills]])</f>
        <v>1266</v>
      </c>
      <c r="AM240" s="12">
        <f>ABS(RPG_dataset[[#This Row],[Win Rate (%)]])</f>
        <v>73</v>
      </c>
      <c r="AN240" s="4">
        <f>ABS(RPG_dataset[[#This Row],[Gold Earned]])</f>
        <v>553891</v>
      </c>
      <c r="AO240" s="5" t="str">
        <f t="shared" si="3"/>
        <v>OK</v>
      </c>
      <c r="AP240" s="5">
        <f>RANK(clean[[#This Row],[Clean Gold]],clean[Clean Gold], 0)</f>
        <v>222</v>
      </c>
      <c r="AQ240" s="1">
        <v>177</v>
      </c>
      <c r="AR240" s="1" t="str" cm="1">
        <f t="array" ref="AR240">_xlfn.IFS(clean[[#This Row],[Clean Level]]&gt;=76, "Legend", clean[[#This Row],[Clean Level]]&gt;=51, "Elite", clean[[#This Row],[Clean Level]]&gt;=26, "Veteran", TRUE, "Rookie")</f>
        <v>Legend</v>
      </c>
      <c r="AS240" s="1" t="str">
        <f>IF(RPG_dataset[[#This Row],[Status]]="Active", "TRUE", "FALSE")</f>
        <v>TRUE</v>
      </c>
      <c r="AT240" s="1" t="str" cm="1">
        <f t="array" ref="AT240">_xlfn.IFS(clean[[#This Row],[Clean Win Rate]]&gt;70, "Excellent", clean[[#This Row],[Clean Win Rate]]&gt;=40, "Average", TRUE, "Poor")</f>
        <v>Excellent</v>
      </c>
      <c r="AU240" s="1" t="str">
        <f>IF(AND(clean[[#This Row],[Clean Level]]&gt;80, clean[[#This Row],[Clean Total Stat]]&gt;350, clean[[#This Row],[Clean Gold]]&gt;500000), "Overpowered", "Normal")</f>
        <v>Normal</v>
      </c>
      <c r="AV240" s="1" t="str" cm="1">
        <f t="array" ref="AV24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40" s="1" t="str" cm="1">
        <f t="array" ref="AW24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40" s="1"/>
    </row>
    <row r="241" spans="1:50" x14ac:dyDescent="0.3">
      <c r="A241" s="2" t="s">
        <v>901</v>
      </c>
      <c r="B241" s="2" t="s">
        <v>902</v>
      </c>
      <c r="C241" s="2" t="s">
        <v>680</v>
      </c>
      <c r="D241" s="2" t="s">
        <v>618</v>
      </c>
      <c r="E241" s="2" t="s">
        <v>228</v>
      </c>
      <c r="F241" s="2" t="s">
        <v>30</v>
      </c>
      <c r="G241" s="2">
        <v>79</v>
      </c>
      <c r="H241" s="2" t="s">
        <v>62</v>
      </c>
      <c r="I241" s="2" t="s">
        <v>74</v>
      </c>
      <c r="J241" s="2" t="s">
        <v>33</v>
      </c>
      <c r="K241" s="2" t="s">
        <v>44</v>
      </c>
      <c r="L241" s="6" t="s">
        <v>903</v>
      </c>
      <c r="M241" s="2">
        <v>103</v>
      </c>
      <c r="N241" s="2">
        <v>57</v>
      </c>
      <c r="O241" s="2">
        <v>34</v>
      </c>
      <c r="P241" s="2">
        <v>3711</v>
      </c>
      <c r="Q241" s="2">
        <v>2141</v>
      </c>
      <c r="R241" s="2">
        <v>194</v>
      </c>
      <c r="S241" s="2">
        <v>1712</v>
      </c>
      <c r="T241" s="2">
        <v>487</v>
      </c>
      <c r="U241" s="2">
        <v>270</v>
      </c>
      <c r="V241" s="2">
        <v>78</v>
      </c>
      <c r="W241" s="2">
        <v>356</v>
      </c>
      <c r="X241" s="9">
        <v>395769</v>
      </c>
      <c r="Y241" s="2" t="s">
        <v>46</v>
      </c>
      <c r="AA241" s="1" t="str">
        <f>TRIM(RPG_dataset[[#This Row],[Username]])</f>
        <v>brix_381</v>
      </c>
      <c r="AB241" s="1" t="str">
        <f>TRIM(RPG_dataset[[#This Row],[First Name]])</f>
        <v>Brix</v>
      </c>
      <c r="AC241" s="1" t="str">
        <f>PROPER(TRIM(RPG_dataset[[#This Row],[Race]]))</f>
        <v>Elf</v>
      </c>
      <c r="AD241" s="1" t="str">
        <f>PROPER(TRIM(RPG_dataset[[#This Row],[Class]]))</f>
        <v>Rogue</v>
      </c>
      <c r="AE241" s="1">
        <f>ABS(RPG_dataset[[#This Row],[Level]])</f>
        <v>79</v>
      </c>
      <c r="AF241" s="1">
        <f>ABS(RPG_dataset[[#This Row],[ATK]])</f>
        <v>103</v>
      </c>
      <c r="AG241" s="1">
        <f>ABS(RPG_dataset[[#This Row],[DEF]])</f>
        <v>57</v>
      </c>
      <c r="AH241" s="1">
        <f>ABS(RPG_dataset[[#This Row],[SPD]])</f>
        <v>34</v>
      </c>
      <c r="AI241" s="1">
        <f>ABS(RPG_dataset[[#This Row],[HP]])</f>
        <v>3711</v>
      </c>
      <c r="AJ241" s="1">
        <f>ABS(RPG_dataset[[#This Row],[MP]])</f>
        <v>2141</v>
      </c>
      <c r="AK241" s="1">
        <f>ABS(RPG_dataset[[#This Row],[Total Stat]])</f>
        <v>194</v>
      </c>
      <c r="AL241" s="1">
        <f>ABS(RPG_dataset[[#This Row],[Kills]])</f>
        <v>1712</v>
      </c>
      <c r="AM241" s="12">
        <f>ABS(RPG_dataset[[#This Row],[Win Rate (%)]])</f>
        <v>78</v>
      </c>
      <c r="AN241" s="4">
        <f>ABS(RPG_dataset[[#This Row],[Gold Earned]])</f>
        <v>395769</v>
      </c>
      <c r="AO241" s="5" t="str">
        <f t="shared" si="3"/>
        <v>OK</v>
      </c>
      <c r="AP241" s="5">
        <f>RANK(clean[[#This Row],[Clean Gold]],clean[Clean Gold], 0)</f>
        <v>305</v>
      </c>
      <c r="AQ241" s="1">
        <v>127</v>
      </c>
      <c r="AR241" s="1" t="str" cm="1">
        <f t="array" ref="AR241">_xlfn.IFS(clean[[#This Row],[Clean Level]]&gt;=76, "Legend", clean[[#This Row],[Clean Level]]&gt;=51, "Elite", clean[[#This Row],[Clean Level]]&gt;=26, "Veteran", TRUE, "Rookie")</f>
        <v>Legend</v>
      </c>
      <c r="AS241" s="1" t="str">
        <f>IF(RPG_dataset[[#This Row],[Status]]="Active", "TRUE", "FALSE")</f>
        <v>TRUE</v>
      </c>
      <c r="AT241" s="1" t="str" cm="1">
        <f t="array" ref="AT241">_xlfn.IFS(clean[[#This Row],[Clean Win Rate]]&gt;70, "Excellent", clean[[#This Row],[Clean Win Rate]]&gt;=40, "Average", TRUE, "Poor")</f>
        <v>Excellent</v>
      </c>
      <c r="AU241" s="1" t="str">
        <f>IF(AND(clean[[#This Row],[Clean Level]]&gt;80, clean[[#This Row],[Clean Total Stat]]&gt;350, clean[[#This Row],[Clean Gold]]&gt;500000), "Overpowered", "Normal")</f>
        <v>Normal</v>
      </c>
      <c r="AV241" s="1" t="str" cm="1">
        <f t="array" ref="AV24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41" s="1" t="str" cm="1">
        <f t="array" ref="AW24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41" s="1"/>
    </row>
    <row r="242" spans="1:50" x14ac:dyDescent="0.3">
      <c r="A242" s="2" t="s">
        <v>904</v>
      </c>
      <c r="B242" s="2" t="s">
        <v>905</v>
      </c>
      <c r="C242" s="2" t="s">
        <v>123</v>
      </c>
      <c r="D242" s="2" t="s">
        <v>155</v>
      </c>
      <c r="E242" s="2" t="s">
        <v>228</v>
      </c>
      <c r="F242" s="2" t="s">
        <v>124</v>
      </c>
      <c r="G242" s="2"/>
      <c r="H242" s="2" t="s">
        <v>43</v>
      </c>
      <c r="I242" s="2" t="s">
        <v>63</v>
      </c>
      <c r="J242" s="2" t="s">
        <v>33</v>
      </c>
      <c r="K242" s="2" t="s">
        <v>34</v>
      </c>
      <c r="L242" s="6" t="s">
        <v>906</v>
      </c>
      <c r="M242" s="2">
        <v>112</v>
      </c>
      <c r="N242" s="2"/>
      <c r="O242" s="2">
        <v>20</v>
      </c>
      <c r="P242" s="2">
        <v>104</v>
      </c>
      <c r="Q242" s="2">
        <v>-1853</v>
      </c>
      <c r="R242" s="2">
        <v>205</v>
      </c>
      <c r="S242" s="2">
        <v>4739</v>
      </c>
      <c r="T242" s="2">
        <v>607</v>
      </c>
      <c r="U242" s="2">
        <v>136</v>
      </c>
      <c r="V242" s="2">
        <v>89</v>
      </c>
      <c r="W242" s="2">
        <v>3454</v>
      </c>
      <c r="X242" s="9">
        <v>534067</v>
      </c>
      <c r="Y242" s="2" t="s">
        <v>36</v>
      </c>
      <c r="AA242" s="1" t="str">
        <f>TRIM(RPG_dataset[[#This Row],[Username]])</f>
        <v>faye_640</v>
      </c>
      <c r="AB242" s="1" t="str">
        <f>TRIM(RPG_dataset[[#This Row],[First Name]])</f>
        <v>Faye</v>
      </c>
      <c r="AC242" s="1" t="str">
        <f>PROPER(TRIM(RPG_dataset[[#This Row],[Race]]))</f>
        <v>Elf</v>
      </c>
      <c r="AD242" s="1" t="str">
        <f>PROPER(TRIM(RPG_dataset[[#This Row],[Class]]))</f>
        <v>Necromancer</v>
      </c>
      <c r="AE242" s="1">
        <f>ABS(RPG_dataset[[#This Row],[Level]])</f>
        <v>0</v>
      </c>
      <c r="AF242" s="1">
        <f>ABS(RPG_dataset[[#This Row],[ATK]])</f>
        <v>112</v>
      </c>
      <c r="AG242" s="1">
        <f>ABS(RPG_dataset[[#This Row],[DEF]])</f>
        <v>0</v>
      </c>
      <c r="AH242" s="1">
        <f>ABS(RPG_dataset[[#This Row],[SPD]])</f>
        <v>20</v>
      </c>
      <c r="AI242" s="1">
        <f>ABS(RPG_dataset[[#This Row],[HP]])</f>
        <v>104</v>
      </c>
      <c r="AJ242" s="1">
        <f>ABS(RPG_dataset[[#This Row],[MP]])</f>
        <v>1853</v>
      </c>
      <c r="AK242" s="1">
        <f>ABS(RPG_dataset[[#This Row],[Total Stat]])</f>
        <v>205</v>
      </c>
      <c r="AL242" s="1">
        <f>ABS(RPG_dataset[[#This Row],[Kills]])</f>
        <v>4739</v>
      </c>
      <c r="AM242" s="12">
        <f>ABS(RPG_dataset[[#This Row],[Win Rate (%)]])</f>
        <v>89</v>
      </c>
      <c r="AN242" s="4">
        <f>ABS(RPG_dataset[[#This Row],[Gold Earned]])</f>
        <v>534067</v>
      </c>
      <c r="AO242" s="5" t="str">
        <f t="shared" si="3"/>
        <v>OK</v>
      </c>
      <c r="AP242" s="5">
        <f>RANK(clean[[#This Row],[Clean Gold]],clean[Clean Gold], 0)</f>
        <v>234</v>
      </c>
      <c r="AQ242" s="1">
        <v>157</v>
      </c>
      <c r="AR242" s="1" t="str" cm="1">
        <f t="array" ref="AR242">_xlfn.IFS(clean[[#This Row],[Clean Level]]&gt;=76, "Legend", clean[[#This Row],[Clean Level]]&gt;=51, "Elite", clean[[#This Row],[Clean Level]]&gt;=26, "Veteran", TRUE, "Rookie")</f>
        <v>Rookie</v>
      </c>
      <c r="AS242" s="1" t="str">
        <f>IF(RPG_dataset[[#This Row],[Status]]="Active", "TRUE", "FALSE")</f>
        <v>FALSE</v>
      </c>
      <c r="AT242" s="1" t="str" cm="1">
        <f t="array" ref="AT242">_xlfn.IFS(clean[[#This Row],[Clean Win Rate]]&gt;70, "Excellent", clean[[#This Row],[Clean Win Rate]]&gt;=40, "Average", TRUE, "Poor")</f>
        <v>Excellent</v>
      </c>
      <c r="AU242" s="1" t="str">
        <f>IF(AND(clean[[#This Row],[Clean Level]]&gt;80, clean[[#This Row],[Clean Total Stat]]&gt;350, clean[[#This Row],[Clean Gold]]&gt;500000), "Overpowered", "Normal")</f>
        <v>Normal</v>
      </c>
      <c r="AV242" s="1" t="str" cm="1">
        <f t="array" ref="AV24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42" s="1" t="str" cm="1">
        <f t="array" ref="AW24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42" s="1"/>
    </row>
    <row r="243" spans="1:50" x14ac:dyDescent="0.3">
      <c r="A243" s="2" t="s">
        <v>907</v>
      </c>
      <c r="B243" s="2" t="s">
        <v>908</v>
      </c>
      <c r="C243" s="2" t="s">
        <v>138</v>
      </c>
      <c r="D243" s="2" t="s">
        <v>40</v>
      </c>
      <c r="E243" s="2" t="s">
        <v>60</v>
      </c>
      <c r="F243" s="2" t="s">
        <v>98</v>
      </c>
      <c r="G243" s="2">
        <v>71</v>
      </c>
      <c r="H243" s="2" t="s">
        <v>31</v>
      </c>
      <c r="I243" s="2" t="s">
        <v>63</v>
      </c>
      <c r="J243" s="2" t="s">
        <v>88</v>
      </c>
      <c r="K243" s="2" t="s">
        <v>44</v>
      </c>
      <c r="L243" s="6" t="s">
        <v>909</v>
      </c>
      <c r="M243" s="2">
        <v>115</v>
      </c>
      <c r="N243" s="2">
        <v>16</v>
      </c>
      <c r="O243" s="2">
        <v>81</v>
      </c>
      <c r="P243" s="2">
        <v>919</v>
      </c>
      <c r="Q243" s="2">
        <v>1231</v>
      </c>
      <c r="R243" s="2"/>
      <c r="S243" s="2">
        <v>430</v>
      </c>
      <c r="T243" s="2">
        <v>234</v>
      </c>
      <c r="U243" s="2">
        <v>265</v>
      </c>
      <c r="V243" s="2">
        <v>65</v>
      </c>
      <c r="W243" s="2">
        <v>2992</v>
      </c>
      <c r="X243" s="9">
        <v>199651</v>
      </c>
      <c r="Y243" s="2" t="s">
        <v>46</v>
      </c>
      <c r="AA243" s="1" t="str">
        <f>TRIM(RPG_dataset[[#This Row],[Username]])</f>
        <v>grim_929</v>
      </c>
      <c r="AB243" s="1" t="str">
        <f>TRIM(RPG_dataset[[#This Row],[First Name]])</f>
        <v>Grim</v>
      </c>
      <c r="AC243" s="1" t="str">
        <f>PROPER(TRIM(RPG_dataset[[#This Row],[Race]]))</f>
        <v>Human</v>
      </c>
      <c r="AD243" s="1" t="str">
        <f>PROPER(TRIM(RPG_dataset[[#This Row],[Class]]))</f>
        <v>Mage</v>
      </c>
      <c r="AE243" s="1">
        <f>ABS(RPG_dataset[[#This Row],[Level]])</f>
        <v>71</v>
      </c>
      <c r="AF243" s="1">
        <f>ABS(RPG_dataset[[#This Row],[ATK]])</f>
        <v>115</v>
      </c>
      <c r="AG243" s="1">
        <f>ABS(RPG_dataset[[#This Row],[DEF]])</f>
        <v>16</v>
      </c>
      <c r="AH243" s="1">
        <f>ABS(RPG_dataset[[#This Row],[SPD]])</f>
        <v>81</v>
      </c>
      <c r="AI243" s="1">
        <f>ABS(RPG_dataset[[#This Row],[HP]])</f>
        <v>919</v>
      </c>
      <c r="AJ243" s="1">
        <f>ABS(RPG_dataset[[#This Row],[MP]])</f>
        <v>1231</v>
      </c>
      <c r="AK243" s="1">
        <f>ABS(RPG_dataset[[#This Row],[Total Stat]])</f>
        <v>0</v>
      </c>
      <c r="AL243" s="1">
        <f>ABS(RPG_dataset[[#This Row],[Kills]])</f>
        <v>430</v>
      </c>
      <c r="AM243" s="12">
        <f>ABS(RPG_dataset[[#This Row],[Win Rate (%)]])</f>
        <v>65</v>
      </c>
      <c r="AN243" s="4">
        <f>ABS(RPG_dataset[[#This Row],[Gold Earned]])</f>
        <v>199651</v>
      </c>
      <c r="AO243" s="5" t="str">
        <f t="shared" si="3"/>
        <v>OK</v>
      </c>
      <c r="AP243" s="5">
        <f>RANK(clean[[#This Row],[Clean Gold]],clean[Clean Gold], 0)</f>
        <v>401</v>
      </c>
      <c r="AQ243" s="1">
        <v>189</v>
      </c>
      <c r="AR243" s="1" t="str" cm="1">
        <f t="array" ref="AR243">_xlfn.IFS(clean[[#This Row],[Clean Level]]&gt;=76, "Legend", clean[[#This Row],[Clean Level]]&gt;=51, "Elite", clean[[#This Row],[Clean Level]]&gt;=26, "Veteran", TRUE, "Rookie")</f>
        <v>Elite</v>
      </c>
      <c r="AS243" s="1" t="str">
        <f>IF(RPG_dataset[[#This Row],[Status]]="Active", "TRUE", "FALSE")</f>
        <v>TRUE</v>
      </c>
      <c r="AT243" s="1" t="str" cm="1">
        <f t="array" ref="AT243">_xlfn.IFS(clean[[#This Row],[Clean Win Rate]]&gt;70, "Excellent", clean[[#This Row],[Clean Win Rate]]&gt;=40, "Average", TRUE, "Poor")</f>
        <v>Average</v>
      </c>
      <c r="AU243" s="1" t="str">
        <f>IF(AND(clean[[#This Row],[Clean Level]]&gt;80, clean[[#This Row],[Clean Total Stat]]&gt;350, clean[[#This Row],[Clean Gold]]&gt;500000), "Overpowered", "Normal")</f>
        <v>Normal</v>
      </c>
      <c r="AV243" s="1" t="str" cm="1">
        <f t="array" ref="AV24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43" s="1" t="str" cm="1">
        <f t="array" ref="AW24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243" s="1"/>
    </row>
    <row r="244" spans="1:50" x14ac:dyDescent="0.3">
      <c r="A244" s="2" t="s">
        <v>910</v>
      </c>
      <c r="B244" s="2" t="s">
        <v>911</v>
      </c>
      <c r="C244" s="2" t="s">
        <v>154</v>
      </c>
      <c r="D244" s="2" t="s">
        <v>300</v>
      </c>
      <c r="E244" s="2" t="s">
        <v>169</v>
      </c>
      <c r="F244" s="2" t="s">
        <v>30</v>
      </c>
      <c r="G244" s="2">
        <v>44</v>
      </c>
      <c r="H244" s="2" t="s">
        <v>53</v>
      </c>
      <c r="I244" s="2" t="s">
        <v>126</v>
      </c>
      <c r="J244" s="2" t="s">
        <v>33</v>
      </c>
      <c r="K244" s="2" t="s">
        <v>44</v>
      </c>
      <c r="L244" s="6" t="s">
        <v>912</v>
      </c>
      <c r="M244" s="2">
        <v>42</v>
      </c>
      <c r="N244" s="2">
        <v>97</v>
      </c>
      <c r="O244" s="2">
        <v>41</v>
      </c>
      <c r="P244" s="2">
        <v>1346</v>
      </c>
      <c r="Q244" s="2">
        <v>188</v>
      </c>
      <c r="R244" s="2">
        <v>180</v>
      </c>
      <c r="S244" s="2">
        <v>478</v>
      </c>
      <c r="T244" s="2">
        <v>321</v>
      </c>
      <c r="U244" s="2">
        <v>285</v>
      </c>
      <c r="V244" s="2">
        <v>60</v>
      </c>
      <c r="W244" s="2">
        <v>5772</v>
      </c>
      <c r="X244" s="9">
        <v>866667</v>
      </c>
      <c r="Y244" s="2" t="s">
        <v>36</v>
      </c>
      <c r="AA244" s="1" t="str">
        <f>TRIM(RPG_dataset[[#This Row],[Username]])</f>
        <v>nolan_879</v>
      </c>
      <c r="AB244" s="1" t="str">
        <f>TRIM(RPG_dataset[[#This Row],[First Name]])</f>
        <v>Nolan</v>
      </c>
      <c r="AC244" s="1" t="str">
        <f>PROPER(TRIM(RPG_dataset[[#This Row],[Race]]))</f>
        <v>Halfling</v>
      </c>
      <c r="AD244" s="1" t="str">
        <f>PROPER(TRIM(RPG_dataset[[#This Row],[Class]]))</f>
        <v>Rogue</v>
      </c>
      <c r="AE244" s="1">
        <f>ABS(RPG_dataset[[#This Row],[Level]])</f>
        <v>44</v>
      </c>
      <c r="AF244" s="1">
        <f>ABS(RPG_dataset[[#This Row],[ATK]])</f>
        <v>42</v>
      </c>
      <c r="AG244" s="1">
        <f>ABS(RPG_dataset[[#This Row],[DEF]])</f>
        <v>97</v>
      </c>
      <c r="AH244" s="1">
        <f>ABS(RPG_dataset[[#This Row],[SPD]])</f>
        <v>41</v>
      </c>
      <c r="AI244" s="1">
        <f>ABS(RPG_dataset[[#This Row],[HP]])</f>
        <v>1346</v>
      </c>
      <c r="AJ244" s="1">
        <f>ABS(RPG_dataset[[#This Row],[MP]])</f>
        <v>188</v>
      </c>
      <c r="AK244" s="1">
        <f>ABS(RPG_dataset[[#This Row],[Total Stat]])</f>
        <v>180</v>
      </c>
      <c r="AL244" s="1">
        <f>ABS(RPG_dataset[[#This Row],[Kills]])</f>
        <v>478</v>
      </c>
      <c r="AM244" s="12">
        <f>ABS(RPG_dataset[[#This Row],[Win Rate (%)]])</f>
        <v>60</v>
      </c>
      <c r="AN244" s="4">
        <f>ABS(RPG_dataset[[#This Row],[Gold Earned]])</f>
        <v>866667</v>
      </c>
      <c r="AO244" s="5" t="str">
        <f t="shared" si="3"/>
        <v>OK</v>
      </c>
      <c r="AP244" s="5">
        <f>RANK(clean[[#This Row],[Clean Gold]],clean[Clean Gold], 0)</f>
        <v>63</v>
      </c>
      <c r="AQ244" s="1">
        <v>208</v>
      </c>
      <c r="AR244" s="1" t="str" cm="1">
        <f t="array" ref="AR244">_xlfn.IFS(clean[[#This Row],[Clean Level]]&gt;=76, "Legend", clean[[#This Row],[Clean Level]]&gt;=51, "Elite", clean[[#This Row],[Clean Level]]&gt;=26, "Veteran", TRUE, "Rookie")</f>
        <v>Veteran</v>
      </c>
      <c r="AS244" s="1" t="str">
        <f>IF(RPG_dataset[[#This Row],[Status]]="Active", "TRUE", "FALSE")</f>
        <v>TRUE</v>
      </c>
      <c r="AT244" s="1" t="str" cm="1">
        <f t="array" ref="AT244">_xlfn.IFS(clean[[#This Row],[Clean Win Rate]]&gt;70, "Excellent", clean[[#This Row],[Clean Win Rate]]&gt;=40, "Average", TRUE, "Poor")</f>
        <v>Average</v>
      </c>
      <c r="AU244" s="1" t="str">
        <f>IF(AND(clean[[#This Row],[Clean Level]]&gt;80, clean[[#This Row],[Clean Total Stat]]&gt;350, clean[[#This Row],[Clean Gold]]&gt;500000), "Overpowered", "Normal")</f>
        <v>Normal</v>
      </c>
      <c r="AV244" s="1" t="str" cm="1">
        <f t="array" ref="AV24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44" s="1" t="str" cm="1">
        <f t="array" ref="AW24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44" s="1"/>
    </row>
    <row r="245" spans="1:50" x14ac:dyDescent="0.3">
      <c r="A245" s="2" t="s">
        <v>913</v>
      </c>
      <c r="B245" s="2" t="s">
        <v>914</v>
      </c>
      <c r="C245" s="2" t="s">
        <v>391</v>
      </c>
      <c r="D245" s="2" t="s">
        <v>119</v>
      </c>
      <c r="E245" s="2" t="s">
        <v>228</v>
      </c>
      <c r="F245" s="2" t="s">
        <v>52</v>
      </c>
      <c r="G245" s="2">
        <v>91</v>
      </c>
      <c r="H245" s="2" t="s">
        <v>157</v>
      </c>
      <c r="I245" s="2" t="s">
        <v>63</v>
      </c>
      <c r="J245" s="2" t="s">
        <v>163</v>
      </c>
      <c r="K245" s="2" t="s">
        <v>106</v>
      </c>
      <c r="L245" s="6" t="s">
        <v>915</v>
      </c>
      <c r="M245" s="2"/>
      <c r="N245" s="2">
        <v>110</v>
      </c>
      <c r="O245" s="2">
        <v>138</v>
      </c>
      <c r="P245" s="2">
        <v>430</v>
      </c>
      <c r="Q245" s="2">
        <v>549</v>
      </c>
      <c r="R245" s="2">
        <v>307</v>
      </c>
      <c r="S245" s="2">
        <v>4411</v>
      </c>
      <c r="T245" s="2">
        <v>426</v>
      </c>
      <c r="U245" s="2">
        <v>52</v>
      </c>
      <c r="V245" s="2">
        <v>91</v>
      </c>
      <c r="W245" s="2">
        <v>1922</v>
      </c>
      <c r="X245" s="9">
        <v>920045</v>
      </c>
      <c r="Y245" s="2" t="s">
        <v>46</v>
      </c>
      <c r="AA245" s="1" t="str">
        <f>TRIM(RPG_dataset[[#This Row],[Username]])</f>
        <v>aldric_224</v>
      </c>
      <c r="AB245" s="1" t="str">
        <f>TRIM(RPG_dataset[[#This Row],[First Name]])</f>
        <v>Aldric</v>
      </c>
      <c r="AC245" s="1" t="str">
        <f>PROPER(TRIM(RPG_dataset[[#This Row],[Race]]))</f>
        <v>Elf</v>
      </c>
      <c r="AD245" s="1" t="str">
        <f>PROPER(TRIM(RPG_dataset[[#This Row],[Class]]))</f>
        <v>Bard</v>
      </c>
      <c r="AE245" s="1">
        <f>ABS(RPG_dataset[[#This Row],[Level]])</f>
        <v>91</v>
      </c>
      <c r="AF245" s="1">
        <f>ABS(RPG_dataset[[#This Row],[ATK]])</f>
        <v>0</v>
      </c>
      <c r="AG245" s="1">
        <f>ABS(RPG_dataset[[#This Row],[DEF]])</f>
        <v>110</v>
      </c>
      <c r="AH245" s="1">
        <f>ABS(RPG_dataset[[#This Row],[SPD]])</f>
        <v>138</v>
      </c>
      <c r="AI245" s="1">
        <f>ABS(RPG_dataset[[#This Row],[HP]])</f>
        <v>430</v>
      </c>
      <c r="AJ245" s="1">
        <f>ABS(RPG_dataset[[#This Row],[MP]])</f>
        <v>549</v>
      </c>
      <c r="AK245" s="1">
        <f>ABS(RPG_dataset[[#This Row],[Total Stat]])</f>
        <v>307</v>
      </c>
      <c r="AL245" s="1">
        <f>ABS(RPG_dataset[[#This Row],[Kills]])</f>
        <v>4411</v>
      </c>
      <c r="AM245" s="12">
        <f>ABS(RPG_dataset[[#This Row],[Win Rate (%)]])</f>
        <v>91</v>
      </c>
      <c r="AN245" s="4">
        <f>ABS(RPG_dataset[[#This Row],[Gold Earned]])</f>
        <v>920045</v>
      </c>
      <c r="AO245" s="5" t="str">
        <f t="shared" si="3"/>
        <v>OK</v>
      </c>
      <c r="AP245" s="5">
        <f>RANK(clean[[#This Row],[Clean Gold]],clean[Clean Gold], 0)</f>
        <v>41</v>
      </c>
      <c r="AQ245" s="1">
        <v>298</v>
      </c>
      <c r="AR245" s="1" t="str" cm="1">
        <f t="array" ref="AR245">_xlfn.IFS(clean[[#This Row],[Clean Level]]&gt;=76, "Legend", clean[[#This Row],[Clean Level]]&gt;=51, "Elite", clean[[#This Row],[Clean Level]]&gt;=26, "Veteran", TRUE, "Rookie")</f>
        <v>Legend</v>
      </c>
      <c r="AS245" s="1" t="str">
        <f>IF(RPG_dataset[[#This Row],[Status]]="Active", "TRUE", "FALSE")</f>
        <v>FALSE</v>
      </c>
      <c r="AT245" s="1" t="str" cm="1">
        <f t="array" ref="AT245">_xlfn.IFS(clean[[#This Row],[Clean Win Rate]]&gt;70, "Excellent", clean[[#This Row],[Clean Win Rate]]&gt;=40, "Average", TRUE, "Poor")</f>
        <v>Excellent</v>
      </c>
      <c r="AU245" s="1" t="str">
        <f>IF(AND(clean[[#This Row],[Clean Level]]&gt;80, clean[[#This Row],[Clean Total Stat]]&gt;350, clean[[#This Row],[Clean Gold]]&gt;500000), "Overpowered", "Normal")</f>
        <v>Normal</v>
      </c>
      <c r="AV245" s="1" t="str" cm="1">
        <f t="array" ref="AV24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45" s="1" t="str" cm="1">
        <f t="array" ref="AW24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45" s="1"/>
    </row>
    <row r="246" spans="1:50" x14ac:dyDescent="0.3">
      <c r="A246" s="2" t="s">
        <v>916</v>
      </c>
      <c r="B246" s="2" t="s">
        <v>917</v>
      </c>
      <c r="C246" s="2" t="s">
        <v>79</v>
      </c>
      <c r="D246" s="2" t="s">
        <v>401</v>
      </c>
      <c r="E246" s="2" t="s">
        <v>169</v>
      </c>
      <c r="F246" s="2" t="s">
        <v>72</v>
      </c>
      <c r="G246" s="2">
        <v>73</v>
      </c>
      <c r="H246" s="2" t="s">
        <v>43</v>
      </c>
      <c r="I246" s="2" t="s">
        <v>63</v>
      </c>
      <c r="J246" s="2" t="s">
        <v>64</v>
      </c>
      <c r="K246" s="2" t="s">
        <v>75</v>
      </c>
      <c r="L246" s="6" t="s">
        <v>918</v>
      </c>
      <c r="M246" s="2">
        <v>127</v>
      </c>
      <c r="N246" s="2">
        <v>18</v>
      </c>
      <c r="O246" s="2">
        <v>130</v>
      </c>
      <c r="P246" s="2">
        <v>2474</v>
      </c>
      <c r="Q246" s="2"/>
      <c r="R246" s="2">
        <v>275</v>
      </c>
      <c r="S246" s="2">
        <v>163</v>
      </c>
      <c r="T246" s="2">
        <v>715</v>
      </c>
      <c r="U246" s="2">
        <v>7</v>
      </c>
      <c r="V246" s="2">
        <v>19</v>
      </c>
      <c r="W246" s="2">
        <v>2728</v>
      </c>
      <c r="X246" s="9">
        <v>727780</v>
      </c>
      <c r="Y246" s="2" t="s">
        <v>46</v>
      </c>
      <c r="AA246" s="1" t="str">
        <f>TRIM(RPG_dataset[[#This Row],[Username]])</f>
        <v>mira_830</v>
      </c>
      <c r="AB246" s="1" t="str">
        <f>TRIM(RPG_dataset[[#This Row],[First Name]])</f>
        <v>Mira</v>
      </c>
      <c r="AC246" s="1" t="str">
        <f>PROPER(TRIM(RPG_dataset[[#This Row],[Race]]))</f>
        <v>Halfling</v>
      </c>
      <c r="AD246" s="1" t="str">
        <f>PROPER(TRIM(RPG_dataset[[#This Row],[Class]]))</f>
        <v>Warrior</v>
      </c>
      <c r="AE246" s="1">
        <f>ABS(RPG_dataset[[#This Row],[Level]])</f>
        <v>73</v>
      </c>
      <c r="AF246" s="1">
        <f>ABS(RPG_dataset[[#This Row],[ATK]])</f>
        <v>127</v>
      </c>
      <c r="AG246" s="1">
        <f>ABS(RPG_dataset[[#This Row],[DEF]])</f>
        <v>18</v>
      </c>
      <c r="AH246" s="1">
        <f>ABS(RPG_dataset[[#This Row],[SPD]])</f>
        <v>130</v>
      </c>
      <c r="AI246" s="1">
        <f>ABS(RPG_dataset[[#This Row],[HP]])</f>
        <v>2474</v>
      </c>
      <c r="AJ246" s="1">
        <f>ABS(RPG_dataset[[#This Row],[MP]])</f>
        <v>0</v>
      </c>
      <c r="AK246" s="1">
        <f>ABS(RPG_dataset[[#This Row],[Total Stat]])</f>
        <v>275</v>
      </c>
      <c r="AL246" s="1">
        <f>ABS(RPG_dataset[[#This Row],[Kills]])</f>
        <v>163</v>
      </c>
      <c r="AM246" s="12">
        <f>ABS(RPG_dataset[[#This Row],[Win Rate (%)]])</f>
        <v>19</v>
      </c>
      <c r="AN246" s="4">
        <f>ABS(RPG_dataset[[#This Row],[Gold Earned]])</f>
        <v>727780</v>
      </c>
      <c r="AO246" s="5" t="str">
        <f t="shared" si="3"/>
        <v>OK</v>
      </c>
      <c r="AP246" s="5">
        <f>RANK(clean[[#This Row],[Clean Gold]],clean[Clean Gold], 0)</f>
        <v>138</v>
      </c>
      <c r="AQ246" s="1">
        <v>258</v>
      </c>
      <c r="AR246" s="1" t="str" cm="1">
        <f t="array" ref="AR246">_xlfn.IFS(clean[[#This Row],[Clean Level]]&gt;=76, "Legend", clean[[#This Row],[Clean Level]]&gt;=51, "Elite", clean[[#This Row],[Clean Level]]&gt;=26, "Veteran", TRUE, "Rookie")</f>
        <v>Elite</v>
      </c>
      <c r="AS246" s="1" t="str">
        <f>IF(RPG_dataset[[#This Row],[Status]]="Active", "TRUE", "FALSE")</f>
        <v>FALSE</v>
      </c>
      <c r="AT246" s="1" t="str" cm="1">
        <f t="array" ref="AT246">_xlfn.IFS(clean[[#This Row],[Clean Win Rate]]&gt;70, "Excellent", clean[[#This Row],[Clean Win Rate]]&gt;=40, "Average", TRUE, "Poor")</f>
        <v>Poor</v>
      </c>
      <c r="AU246" s="1" t="str">
        <f>IF(AND(clean[[#This Row],[Clean Level]]&gt;80, clean[[#This Row],[Clean Total Stat]]&gt;350, clean[[#This Row],[Clean Gold]]&gt;500000), "Overpowered", "Normal")</f>
        <v>Normal</v>
      </c>
      <c r="AV246" s="1" t="str" cm="1">
        <f t="array" ref="AV24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46" s="1" t="str" cm="1">
        <f t="array" ref="AW24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46" s="1"/>
    </row>
    <row r="247" spans="1:50" x14ac:dyDescent="0.3">
      <c r="A247" s="2" t="s">
        <v>919</v>
      </c>
      <c r="B247" s="2" t="s">
        <v>920</v>
      </c>
      <c r="C247" s="2" t="s">
        <v>97</v>
      </c>
      <c r="D247" s="2" t="s">
        <v>401</v>
      </c>
      <c r="E247" s="2" t="s">
        <v>105</v>
      </c>
      <c r="F247" s="2" t="s">
        <v>98</v>
      </c>
      <c r="G247" s="2">
        <v>73</v>
      </c>
      <c r="H247" s="2" t="s">
        <v>125</v>
      </c>
      <c r="I247" s="2" t="s">
        <v>54</v>
      </c>
      <c r="J247" s="2" t="s">
        <v>120</v>
      </c>
      <c r="K247" s="2" t="s">
        <v>146</v>
      </c>
      <c r="L247" s="6" t="s">
        <v>921</v>
      </c>
      <c r="M247" s="2">
        <v>106</v>
      </c>
      <c r="N247" s="2">
        <v>59</v>
      </c>
      <c r="O247" s="2">
        <v>39</v>
      </c>
      <c r="P247" s="2">
        <v>2993</v>
      </c>
      <c r="Q247" s="2">
        <v>55</v>
      </c>
      <c r="R247" s="2">
        <v>204</v>
      </c>
      <c r="S247" s="2">
        <v>1860</v>
      </c>
      <c r="T247" s="2">
        <v>77</v>
      </c>
      <c r="U247" s="2">
        <v>1</v>
      </c>
      <c r="V247" s="2">
        <v>96</v>
      </c>
      <c r="W247" s="2">
        <v>6212</v>
      </c>
      <c r="X247" s="9">
        <v>545938</v>
      </c>
      <c r="Y247" s="2" t="s">
        <v>46</v>
      </c>
      <c r="AA247" s="1" t="str">
        <f>TRIM(RPG_dataset[[#This Row],[Username]])</f>
        <v>hana_632</v>
      </c>
      <c r="AB247" s="1" t="str">
        <f>TRIM(RPG_dataset[[#This Row],[First Name]])</f>
        <v>Hana</v>
      </c>
      <c r="AC247" s="1" t="str">
        <f>PROPER(TRIM(RPG_dataset[[#This Row],[Race]]))</f>
        <v>Orc</v>
      </c>
      <c r="AD247" s="1" t="str">
        <f>PROPER(TRIM(RPG_dataset[[#This Row],[Class]]))</f>
        <v>Mage</v>
      </c>
      <c r="AE247" s="1">
        <f>ABS(RPG_dataset[[#This Row],[Level]])</f>
        <v>73</v>
      </c>
      <c r="AF247" s="1">
        <f>ABS(RPG_dataset[[#This Row],[ATK]])</f>
        <v>106</v>
      </c>
      <c r="AG247" s="1">
        <f>ABS(RPG_dataset[[#This Row],[DEF]])</f>
        <v>59</v>
      </c>
      <c r="AH247" s="1">
        <f>ABS(RPG_dataset[[#This Row],[SPD]])</f>
        <v>39</v>
      </c>
      <c r="AI247" s="1">
        <f>ABS(RPG_dataset[[#This Row],[HP]])</f>
        <v>2993</v>
      </c>
      <c r="AJ247" s="1">
        <f>ABS(RPG_dataset[[#This Row],[MP]])</f>
        <v>55</v>
      </c>
      <c r="AK247" s="1">
        <f>ABS(RPG_dataset[[#This Row],[Total Stat]])</f>
        <v>204</v>
      </c>
      <c r="AL247" s="1">
        <f>ABS(RPG_dataset[[#This Row],[Kills]])</f>
        <v>1860</v>
      </c>
      <c r="AM247" s="12">
        <f>ABS(RPG_dataset[[#This Row],[Win Rate (%)]])</f>
        <v>96</v>
      </c>
      <c r="AN247" s="4">
        <f>ABS(RPG_dataset[[#This Row],[Gold Earned]])</f>
        <v>545938</v>
      </c>
      <c r="AO247" s="5" t="str">
        <f t="shared" si="3"/>
        <v>Fix This</v>
      </c>
      <c r="AP247" s="5">
        <f>RANK(clean[[#This Row],[Clean Gold]],clean[Clean Gold], 0)</f>
        <v>230</v>
      </c>
      <c r="AQ247" s="1">
        <v>-201</v>
      </c>
      <c r="AR247" s="1" t="str" cm="1">
        <f t="array" ref="AR247">_xlfn.IFS(clean[[#This Row],[Clean Level]]&gt;=76, "Legend", clean[[#This Row],[Clean Level]]&gt;=51, "Elite", clean[[#This Row],[Clean Level]]&gt;=26, "Veteran", TRUE, "Rookie")</f>
        <v>Elite</v>
      </c>
      <c r="AS247" s="1" t="str">
        <f>IF(RPG_dataset[[#This Row],[Status]]="Active", "TRUE", "FALSE")</f>
        <v>TRUE</v>
      </c>
      <c r="AT247" s="1" t="str" cm="1">
        <f t="array" ref="AT247">_xlfn.IFS(clean[[#This Row],[Clean Win Rate]]&gt;70, "Excellent", clean[[#This Row],[Clean Win Rate]]&gt;=40, "Average", TRUE, "Poor")</f>
        <v>Excellent</v>
      </c>
      <c r="AU247" s="1" t="str">
        <f>IF(AND(clean[[#This Row],[Clean Level]]&gt;80, clean[[#This Row],[Clean Total Stat]]&gt;350, clean[[#This Row],[Clean Gold]]&gt;500000), "Overpowered", "Normal")</f>
        <v>Normal</v>
      </c>
      <c r="AV247" s="1" t="str" cm="1">
        <f t="array" ref="AV24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47" s="1" t="str" cm="1">
        <f t="array" ref="AW24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247" s="1"/>
    </row>
    <row r="248" spans="1:50" x14ac:dyDescent="0.3">
      <c r="A248" s="2" t="s">
        <v>922</v>
      </c>
      <c r="B248" s="2" t="s">
        <v>923</v>
      </c>
      <c r="C248" s="2" t="s">
        <v>586</v>
      </c>
      <c r="D248" s="2" t="s">
        <v>40</v>
      </c>
      <c r="E248" s="2" t="s">
        <v>228</v>
      </c>
      <c r="F248" s="2" t="s">
        <v>30</v>
      </c>
      <c r="G248" s="2">
        <v>36</v>
      </c>
      <c r="H248" s="2" t="s">
        <v>62</v>
      </c>
      <c r="I248" s="2" t="s">
        <v>140</v>
      </c>
      <c r="J248" s="2" t="s">
        <v>92</v>
      </c>
      <c r="K248" s="2" t="s">
        <v>106</v>
      </c>
      <c r="L248" s="6" t="s">
        <v>924</v>
      </c>
      <c r="M248" s="2">
        <v>92</v>
      </c>
      <c r="N248" s="2">
        <v>99</v>
      </c>
      <c r="O248" s="2">
        <v>142</v>
      </c>
      <c r="P248" s="2">
        <v>3033</v>
      </c>
      <c r="Q248" s="2">
        <v>767</v>
      </c>
      <c r="R248" s="2">
        <v>333</v>
      </c>
      <c r="S248" s="2">
        <v>2921</v>
      </c>
      <c r="T248" s="2">
        <v>893</v>
      </c>
      <c r="U248" s="2">
        <v>32</v>
      </c>
      <c r="V248" s="2">
        <v>77</v>
      </c>
      <c r="W248" s="2">
        <v>1113</v>
      </c>
      <c r="X248" s="9">
        <v>317742</v>
      </c>
      <c r="Y248" s="2" t="s">
        <v>36</v>
      </c>
      <c r="AA248" s="1" t="str">
        <f>TRIM(RPG_dataset[[#This Row],[Username]])</f>
        <v>selene_602</v>
      </c>
      <c r="AB248" s="1" t="str">
        <f>TRIM(RPG_dataset[[#This Row],[First Name]])</f>
        <v>Selene</v>
      </c>
      <c r="AC248" s="1" t="str">
        <f>PROPER(TRIM(RPG_dataset[[#This Row],[Race]]))</f>
        <v>Elf</v>
      </c>
      <c r="AD248" s="1" t="str">
        <f>PROPER(TRIM(RPG_dataset[[#This Row],[Class]]))</f>
        <v>Rogue</v>
      </c>
      <c r="AE248" s="1">
        <f>ABS(RPG_dataset[[#This Row],[Level]])</f>
        <v>36</v>
      </c>
      <c r="AF248" s="1">
        <f>ABS(RPG_dataset[[#This Row],[ATK]])</f>
        <v>92</v>
      </c>
      <c r="AG248" s="1">
        <f>ABS(RPG_dataset[[#This Row],[DEF]])</f>
        <v>99</v>
      </c>
      <c r="AH248" s="1">
        <f>ABS(RPG_dataset[[#This Row],[SPD]])</f>
        <v>142</v>
      </c>
      <c r="AI248" s="1">
        <f>ABS(RPG_dataset[[#This Row],[HP]])</f>
        <v>3033</v>
      </c>
      <c r="AJ248" s="1">
        <f>ABS(RPG_dataset[[#This Row],[MP]])</f>
        <v>767</v>
      </c>
      <c r="AK248" s="1">
        <f>ABS(RPG_dataset[[#This Row],[Total Stat]])</f>
        <v>333</v>
      </c>
      <c r="AL248" s="1">
        <f>ABS(RPG_dataset[[#This Row],[Kills]])</f>
        <v>2921</v>
      </c>
      <c r="AM248" s="12">
        <f>ABS(RPG_dataset[[#This Row],[Win Rate (%)]])</f>
        <v>77</v>
      </c>
      <c r="AN248" s="4">
        <f>ABS(RPG_dataset[[#This Row],[Gold Earned]])</f>
        <v>317742</v>
      </c>
      <c r="AO248" s="5" t="str">
        <f t="shared" si="3"/>
        <v>OK</v>
      </c>
      <c r="AP248" s="5">
        <f>RANK(clean[[#This Row],[Clean Gold]],clean[Clean Gold], 0)</f>
        <v>347</v>
      </c>
      <c r="AQ248" s="1">
        <v>300</v>
      </c>
      <c r="AR248" s="1" t="str" cm="1">
        <f t="array" ref="AR248">_xlfn.IFS(clean[[#This Row],[Clean Level]]&gt;=76, "Legend", clean[[#This Row],[Clean Level]]&gt;=51, "Elite", clean[[#This Row],[Clean Level]]&gt;=26, "Veteran", TRUE, "Rookie")</f>
        <v>Veteran</v>
      </c>
      <c r="AS248" s="1" t="str">
        <f>IF(RPG_dataset[[#This Row],[Status]]="Active", "TRUE", "FALSE")</f>
        <v>FALSE</v>
      </c>
      <c r="AT248" s="1" t="str" cm="1">
        <f t="array" ref="AT248">_xlfn.IFS(clean[[#This Row],[Clean Win Rate]]&gt;70, "Excellent", clean[[#This Row],[Clean Win Rate]]&gt;=40, "Average", TRUE, "Poor")</f>
        <v>Excellent</v>
      </c>
      <c r="AU248" s="1" t="str">
        <f>IF(AND(clean[[#This Row],[Clean Level]]&gt;80, clean[[#This Row],[Clean Total Stat]]&gt;350, clean[[#This Row],[Clean Gold]]&gt;500000), "Overpowered", "Normal")</f>
        <v>Normal</v>
      </c>
      <c r="AV248" s="1" t="str" cm="1">
        <f t="array" ref="AV24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48" s="1" t="str" cm="1">
        <f t="array" ref="AW24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248" s="1"/>
    </row>
    <row r="249" spans="1:50" x14ac:dyDescent="0.3">
      <c r="A249" s="2" t="s">
        <v>925</v>
      </c>
      <c r="B249" s="2" t="s">
        <v>926</v>
      </c>
      <c r="C249" s="2" t="s">
        <v>253</v>
      </c>
      <c r="D249" s="2" t="s">
        <v>139</v>
      </c>
      <c r="E249" s="2" t="s">
        <v>105</v>
      </c>
      <c r="F249" s="2" t="s">
        <v>72</v>
      </c>
      <c r="G249" s="2">
        <v>29</v>
      </c>
      <c r="H249" s="2" t="s">
        <v>43</v>
      </c>
      <c r="I249" s="2" t="s">
        <v>140</v>
      </c>
      <c r="J249" s="2" t="s">
        <v>33</v>
      </c>
      <c r="K249" s="2" t="s">
        <v>44</v>
      </c>
      <c r="L249" s="6" t="s">
        <v>845</v>
      </c>
      <c r="M249" s="2">
        <v>90</v>
      </c>
      <c r="N249" s="2">
        <v>16</v>
      </c>
      <c r="O249" s="2">
        <v>85</v>
      </c>
      <c r="P249" s="2">
        <v>-1860</v>
      </c>
      <c r="Q249" s="2">
        <v>1686</v>
      </c>
      <c r="R249" s="2">
        <v>191</v>
      </c>
      <c r="S249" s="2">
        <v>4922</v>
      </c>
      <c r="T249" s="2">
        <v>656</v>
      </c>
      <c r="U249" s="2"/>
      <c r="V249" s="2">
        <v>88</v>
      </c>
      <c r="W249" s="2">
        <v>5628</v>
      </c>
      <c r="X249" s="9">
        <v>638655</v>
      </c>
      <c r="Y249" s="2" t="s">
        <v>46</v>
      </c>
      <c r="AA249" s="1" t="str">
        <f>TRIM(RPG_dataset[[#This Row],[Username]])</f>
        <v>FREYA_322</v>
      </c>
      <c r="AB249" s="1" t="str">
        <f>TRIM(RPG_dataset[[#This Row],[First Name]])</f>
        <v>Freya</v>
      </c>
      <c r="AC249" s="1" t="str">
        <f>PROPER(TRIM(RPG_dataset[[#This Row],[Race]]))</f>
        <v>Orc</v>
      </c>
      <c r="AD249" s="1" t="str">
        <f>PROPER(TRIM(RPG_dataset[[#This Row],[Class]]))</f>
        <v>Warrior</v>
      </c>
      <c r="AE249" s="1">
        <f>ABS(RPG_dataset[[#This Row],[Level]])</f>
        <v>29</v>
      </c>
      <c r="AF249" s="1">
        <f>ABS(RPG_dataset[[#This Row],[ATK]])</f>
        <v>90</v>
      </c>
      <c r="AG249" s="1">
        <f>ABS(RPG_dataset[[#This Row],[DEF]])</f>
        <v>16</v>
      </c>
      <c r="AH249" s="1">
        <f>ABS(RPG_dataset[[#This Row],[SPD]])</f>
        <v>85</v>
      </c>
      <c r="AI249" s="1">
        <f>ABS(RPG_dataset[[#This Row],[HP]])</f>
        <v>1860</v>
      </c>
      <c r="AJ249" s="1">
        <f>ABS(RPG_dataset[[#This Row],[MP]])</f>
        <v>1686</v>
      </c>
      <c r="AK249" s="1">
        <f>ABS(RPG_dataset[[#This Row],[Total Stat]])</f>
        <v>191</v>
      </c>
      <c r="AL249" s="1">
        <f>ABS(RPG_dataset[[#This Row],[Kills]])</f>
        <v>4922</v>
      </c>
      <c r="AM249" s="12">
        <f>ABS(RPG_dataset[[#This Row],[Win Rate (%)]])</f>
        <v>88</v>
      </c>
      <c r="AN249" s="4">
        <f>ABS(RPG_dataset[[#This Row],[Gold Earned]])</f>
        <v>638655</v>
      </c>
      <c r="AO249" s="5" t="str">
        <f t="shared" si="3"/>
        <v>OK</v>
      </c>
      <c r="AP249" s="5">
        <f>RANK(clean[[#This Row],[Clean Gold]],clean[Clean Gold], 0)</f>
        <v>180</v>
      </c>
      <c r="AQ249" s="1">
        <v>207</v>
      </c>
      <c r="AR249" s="1" t="str" cm="1">
        <f t="array" ref="AR249">_xlfn.IFS(clean[[#This Row],[Clean Level]]&gt;=76, "Legend", clean[[#This Row],[Clean Level]]&gt;=51, "Elite", clean[[#This Row],[Clean Level]]&gt;=26, "Veteran", TRUE, "Rookie")</f>
        <v>Veteran</v>
      </c>
      <c r="AS249" s="1" t="str">
        <f>IF(RPG_dataset[[#This Row],[Status]]="Active", "TRUE", "FALSE")</f>
        <v>TRUE</v>
      </c>
      <c r="AT249" s="1" t="str" cm="1">
        <f t="array" ref="AT249">_xlfn.IFS(clean[[#This Row],[Clean Win Rate]]&gt;70, "Excellent", clean[[#This Row],[Clean Win Rate]]&gt;=40, "Average", TRUE, "Poor")</f>
        <v>Excellent</v>
      </c>
      <c r="AU249" s="1" t="str">
        <f>IF(AND(clean[[#This Row],[Clean Level]]&gt;80, clean[[#This Row],[Clean Total Stat]]&gt;350, clean[[#This Row],[Clean Gold]]&gt;500000), "Overpowered", "Normal")</f>
        <v>Normal</v>
      </c>
      <c r="AV249" s="1" t="str" cm="1">
        <f t="array" ref="AV24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49" s="1" t="str" cm="1">
        <f t="array" ref="AW24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249" s="1"/>
    </row>
    <row r="250" spans="1:50" x14ac:dyDescent="0.3">
      <c r="A250" s="2" t="s">
        <v>927</v>
      </c>
      <c r="B250" s="2" t="s">
        <v>928</v>
      </c>
      <c r="C250" s="2" t="s">
        <v>79</v>
      </c>
      <c r="D250" s="2" t="s">
        <v>254</v>
      </c>
      <c r="E250" s="2" t="s">
        <v>228</v>
      </c>
      <c r="F250" s="2" t="s">
        <v>52</v>
      </c>
      <c r="G250" s="2">
        <v>8</v>
      </c>
      <c r="H250" s="2" t="s">
        <v>125</v>
      </c>
      <c r="I250" s="2" t="s">
        <v>63</v>
      </c>
      <c r="J250" s="2" t="s">
        <v>92</v>
      </c>
      <c r="K250" s="2" t="s">
        <v>99</v>
      </c>
      <c r="L250" s="6" t="s">
        <v>929</v>
      </c>
      <c r="M250" s="2">
        <v>52</v>
      </c>
      <c r="N250" s="2">
        <v>65</v>
      </c>
      <c r="O250" s="2">
        <v>51</v>
      </c>
      <c r="P250" s="2">
        <v>4938</v>
      </c>
      <c r="Q250" s="2">
        <v>1058</v>
      </c>
      <c r="R250" s="2">
        <v>168</v>
      </c>
      <c r="S250" s="2">
        <v>3751</v>
      </c>
      <c r="T250" s="2">
        <v>123</v>
      </c>
      <c r="U250" s="2">
        <v>279</v>
      </c>
      <c r="V250" s="2">
        <v>97</v>
      </c>
      <c r="W250" s="2">
        <v>5305</v>
      </c>
      <c r="X250" s="9">
        <v>-829403</v>
      </c>
      <c r="Y250" s="2" t="s">
        <v>46</v>
      </c>
      <c r="AA250" s="1" t="str">
        <f>TRIM(RPG_dataset[[#This Row],[Username]])</f>
        <v>mira_929</v>
      </c>
      <c r="AB250" s="1" t="str">
        <f>TRIM(RPG_dataset[[#This Row],[First Name]])</f>
        <v>Mira</v>
      </c>
      <c r="AC250" s="1" t="str">
        <f>PROPER(TRIM(RPG_dataset[[#This Row],[Race]]))</f>
        <v>Elf</v>
      </c>
      <c r="AD250" s="1" t="str">
        <f>PROPER(TRIM(RPG_dataset[[#This Row],[Class]]))</f>
        <v>Bard</v>
      </c>
      <c r="AE250" s="1">
        <f>ABS(RPG_dataset[[#This Row],[Level]])</f>
        <v>8</v>
      </c>
      <c r="AF250" s="1">
        <f>ABS(RPG_dataset[[#This Row],[ATK]])</f>
        <v>52</v>
      </c>
      <c r="AG250" s="1">
        <f>ABS(RPG_dataset[[#This Row],[DEF]])</f>
        <v>65</v>
      </c>
      <c r="AH250" s="1">
        <f>ABS(RPG_dataset[[#This Row],[SPD]])</f>
        <v>51</v>
      </c>
      <c r="AI250" s="1">
        <f>ABS(RPG_dataset[[#This Row],[HP]])</f>
        <v>4938</v>
      </c>
      <c r="AJ250" s="1">
        <f>ABS(RPG_dataset[[#This Row],[MP]])</f>
        <v>1058</v>
      </c>
      <c r="AK250" s="1">
        <f>ABS(RPG_dataset[[#This Row],[Total Stat]])</f>
        <v>168</v>
      </c>
      <c r="AL250" s="1">
        <f>ABS(RPG_dataset[[#This Row],[Kills]])</f>
        <v>3751</v>
      </c>
      <c r="AM250" s="12">
        <f>ABS(RPG_dataset[[#This Row],[Win Rate (%)]])</f>
        <v>97</v>
      </c>
      <c r="AN250" s="4">
        <f>ABS(RPG_dataset[[#This Row],[Gold Earned]])</f>
        <v>829403</v>
      </c>
      <c r="AO250" s="5" t="str">
        <f t="shared" si="3"/>
        <v>OK</v>
      </c>
      <c r="AP250" s="5">
        <f>RANK(clean[[#This Row],[Clean Gold]],clean[Clean Gold], 0)</f>
        <v>88</v>
      </c>
      <c r="AQ250" s="1">
        <v>173</v>
      </c>
      <c r="AR250" s="1" t="str" cm="1">
        <f t="array" ref="AR250">_xlfn.IFS(clean[[#This Row],[Clean Level]]&gt;=76, "Legend", clean[[#This Row],[Clean Level]]&gt;=51, "Elite", clean[[#This Row],[Clean Level]]&gt;=26, "Veteran", TRUE, "Rookie")</f>
        <v>Rookie</v>
      </c>
      <c r="AS250" s="1" t="str">
        <f>IF(RPG_dataset[[#This Row],[Status]]="Active", "TRUE", "FALSE")</f>
        <v>FALSE</v>
      </c>
      <c r="AT250" s="1" t="str" cm="1">
        <f t="array" ref="AT250">_xlfn.IFS(clean[[#This Row],[Clean Win Rate]]&gt;70, "Excellent", clean[[#This Row],[Clean Win Rate]]&gt;=40, "Average", TRUE, "Poor")</f>
        <v>Excellent</v>
      </c>
      <c r="AU250" s="1" t="str">
        <f>IF(AND(clean[[#This Row],[Clean Level]]&gt;80, clean[[#This Row],[Clean Total Stat]]&gt;350, clean[[#This Row],[Clean Gold]]&gt;500000), "Overpowered", "Normal")</f>
        <v>Normal</v>
      </c>
      <c r="AV250" s="1" t="str" cm="1">
        <f t="array" ref="AV25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50" s="1" t="str" cm="1">
        <f t="array" ref="AW25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50" s="1"/>
    </row>
    <row r="251" spans="1:50" x14ac:dyDescent="0.3">
      <c r="A251" s="2" t="s">
        <v>930</v>
      </c>
      <c r="B251" s="2" t="s">
        <v>931</v>
      </c>
      <c r="C251" s="2" t="s">
        <v>97</v>
      </c>
      <c r="D251" s="2" t="s">
        <v>168</v>
      </c>
      <c r="E251" s="2" t="s">
        <v>105</v>
      </c>
      <c r="F251" s="2" t="s">
        <v>42</v>
      </c>
      <c r="G251" s="2">
        <v>43</v>
      </c>
      <c r="H251" s="2" t="s">
        <v>43</v>
      </c>
      <c r="I251" s="2" t="s">
        <v>140</v>
      </c>
      <c r="J251" s="2" t="s">
        <v>64</v>
      </c>
      <c r="K251" s="2" t="s">
        <v>34</v>
      </c>
      <c r="L251" s="6" t="s">
        <v>932</v>
      </c>
      <c r="M251" s="2">
        <v>69</v>
      </c>
      <c r="N251" s="2">
        <v>117</v>
      </c>
      <c r="O251" s="2">
        <v>147</v>
      </c>
      <c r="P251" s="2">
        <v>2283</v>
      </c>
      <c r="Q251" s="2">
        <v>2381</v>
      </c>
      <c r="R251" s="2">
        <v>333</v>
      </c>
      <c r="S251" s="2">
        <v>4255</v>
      </c>
      <c r="T251" s="2">
        <v>600</v>
      </c>
      <c r="U251" s="2">
        <v>218</v>
      </c>
      <c r="V251" s="2">
        <v>88</v>
      </c>
      <c r="W251" s="2">
        <v>3959</v>
      </c>
      <c r="X251" s="9">
        <v>549104</v>
      </c>
      <c r="Y251" s="2" t="s">
        <v>46</v>
      </c>
      <c r="AA251" s="1" t="str">
        <f>TRIM(RPG_dataset[[#This Row],[Username]])</f>
        <v>hana_932</v>
      </c>
      <c r="AB251" s="1" t="str">
        <f>TRIM(RPG_dataset[[#This Row],[First Name]])</f>
        <v>Hana</v>
      </c>
      <c r="AC251" s="1" t="str">
        <f>PROPER(TRIM(RPG_dataset[[#This Row],[Race]]))</f>
        <v>Orc</v>
      </c>
      <c r="AD251" s="1" t="str">
        <f>PROPER(TRIM(RPG_dataset[[#This Row],[Class]]))</f>
        <v>Monk</v>
      </c>
      <c r="AE251" s="1">
        <f>ABS(RPG_dataset[[#This Row],[Level]])</f>
        <v>43</v>
      </c>
      <c r="AF251" s="1">
        <f>ABS(RPG_dataset[[#This Row],[ATK]])</f>
        <v>69</v>
      </c>
      <c r="AG251" s="1">
        <f>ABS(RPG_dataset[[#This Row],[DEF]])</f>
        <v>117</v>
      </c>
      <c r="AH251" s="1">
        <f>ABS(RPG_dataset[[#This Row],[SPD]])</f>
        <v>147</v>
      </c>
      <c r="AI251" s="1">
        <f>ABS(RPG_dataset[[#This Row],[HP]])</f>
        <v>2283</v>
      </c>
      <c r="AJ251" s="1">
        <f>ABS(RPG_dataset[[#This Row],[MP]])</f>
        <v>2381</v>
      </c>
      <c r="AK251" s="1">
        <f>ABS(RPG_dataset[[#This Row],[Total Stat]])</f>
        <v>333</v>
      </c>
      <c r="AL251" s="1">
        <f>ABS(RPG_dataset[[#This Row],[Kills]])</f>
        <v>4255</v>
      </c>
      <c r="AM251" s="12">
        <f>ABS(RPG_dataset[[#This Row],[Win Rate (%)]])</f>
        <v>88</v>
      </c>
      <c r="AN251" s="4">
        <f>ABS(RPG_dataset[[#This Row],[Gold Earned]])</f>
        <v>549104</v>
      </c>
      <c r="AO251" s="5" t="str">
        <f t="shared" si="3"/>
        <v>OK</v>
      </c>
      <c r="AP251" s="5">
        <f>RANK(clean[[#This Row],[Clean Gold]],clean[Clean Gold], 0)</f>
        <v>227</v>
      </c>
      <c r="AQ251" s="1">
        <v>228</v>
      </c>
      <c r="AR251" s="1" t="str" cm="1">
        <f t="array" ref="AR251">_xlfn.IFS(clean[[#This Row],[Clean Level]]&gt;=76, "Legend", clean[[#This Row],[Clean Level]]&gt;=51, "Elite", clean[[#This Row],[Clean Level]]&gt;=26, "Veteran", TRUE, "Rookie")</f>
        <v>Veteran</v>
      </c>
      <c r="AS251" s="1" t="str">
        <f>IF(RPG_dataset[[#This Row],[Status]]="Active", "TRUE", "FALSE")</f>
        <v>FALSE</v>
      </c>
      <c r="AT251" s="1" t="str" cm="1">
        <f t="array" ref="AT251">_xlfn.IFS(clean[[#This Row],[Clean Win Rate]]&gt;70, "Excellent", clean[[#This Row],[Clean Win Rate]]&gt;=40, "Average", TRUE, "Poor")</f>
        <v>Excellent</v>
      </c>
      <c r="AU251" s="1" t="str">
        <f>IF(AND(clean[[#This Row],[Clean Level]]&gt;80, clean[[#This Row],[Clean Total Stat]]&gt;350, clean[[#This Row],[Clean Gold]]&gt;500000), "Overpowered", "Normal")</f>
        <v>Normal</v>
      </c>
      <c r="AV251" s="1" t="str" cm="1">
        <f t="array" ref="AV25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51" s="1" t="str" cm="1">
        <f t="array" ref="AW25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251" s="1"/>
    </row>
    <row r="252" spans="1:50" x14ac:dyDescent="0.3">
      <c r="A252" s="2" t="s">
        <v>933</v>
      </c>
      <c r="B252" s="2" t="s">
        <v>934</v>
      </c>
      <c r="C252" s="2" t="s">
        <v>123</v>
      </c>
      <c r="D252" s="2" t="s">
        <v>104</v>
      </c>
      <c r="E252" s="2" t="s">
        <v>105</v>
      </c>
      <c r="F252" s="2" t="s">
        <v>98</v>
      </c>
      <c r="G252" s="2">
        <v>52</v>
      </c>
      <c r="H252" s="2" t="s">
        <v>157</v>
      </c>
      <c r="I252" s="2" t="s">
        <v>32</v>
      </c>
      <c r="J252" s="2" t="s">
        <v>64</v>
      </c>
      <c r="K252" s="2" t="s">
        <v>99</v>
      </c>
      <c r="L252" s="6" t="s">
        <v>935</v>
      </c>
      <c r="M252" s="2">
        <v>137</v>
      </c>
      <c r="N252" s="2">
        <v>61</v>
      </c>
      <c r="O252" s="2">
        <v>91</v>
      </c>
      <c r="P252" s="2">
        <v>567</v>
      </c>
      <c r="Q252" s="2">
        <v>2837</v>
      </c>
      <c r="R252" s="2"/>
      <c r="S252" s="2">
        <v>2233</v>
      </c>
      <c r="T252" s="2">
        <v>856</v>
      </c>
      <c r="U252" s="2">
        <v>262</v>
      </c>
      <c r="V252" s="2">
        <v>72</v>
      </c>
      <c r="W252" s="2">
        <v>638</v>
      </c>
      <c r="X252" s="9">
        <v>750024</v>
      </c>
      <c r="Y252" s="2" t="s">
        <v>46</v>
      </c>
      <c r="AA252" s="1" t="str">
        <f>TRIM(RPG_dataset[[#This Row],[Username]])</f>
        <v>faye_238</v>
      </c>
      <c r="AB252" s="1" t="str">
        <f>TRIM(RPG_dataset[[#This Row],[First Name]])</f>
        <v>Faye</v>
      </c>
      <c r="AC252" s="1" t="str">
        <f>PROPER(TRIM(RPG_dataset[[#This Row],[Race]]))</f>
        <v>Orc</v>
      </c>
      <c r="AD252" s="1" t="str">
        <f>PROPER(TRIM(RPG_dataset[[#This Row],[Class]]))</f>
        <v>Mage</v>
      </c>
      <c r="AE252" s="1">
        <f>ABS(RPG_dataset[[#This Row],[Level]])</f>
        <v>52</v>
      </c>
      <c r="AF252" s="1">
        <f>ABS(RPG_dataset[[#This Row],[ATK]])</f>
        <v>137</v>
      </c>
      <c r="AG252" s="1">
        <f>ABS(RPG_dataset[[#This Row],[DEF]])</f>
        <v>61</v>
      </c>
      <c r="AH252" s="1">
        <f>ABS(RPG_dataset[[#This Row],[SPD]])</f>
        <v>91</v>
      </c>
      <c r="AI252" s="1">
        <f>ABS(RPG_dataset[[#This Row],[HP]])</f>
        <v>567</v>
      </c>
      <c r="AJ252" s="1">
        <f>ABS(RPG_dataset[[#This Row],[MP]])</f>
        <v>2837</v>
      </c>
      <c r="AK252" s="1">
        <f>ABS(RPG_dataset[[#This Row],[Total Stat]])</f>
        <v>0</v>
      </c>
      <c r="AL252" s="1">
        <f>ABS(RPG_dataset[[#This Row],[Kills]])</f>
        <v>2233</v>
      </c>
      <c r="AM252" s="12">
        <f>ABS(RPG_dataset[[#This Row],[Win Rate (%)]])</f>
        <v>72</v>
      </c>
      <c r="AN252" s="4">
        <f>ABS(RPG_dataset[[#This Row],[Gold Earned]])</f>
        <v>750024</v>
      </c>
      <c r="AO252" s="5" t="str">
        <f t="shared" si="3"/>
        <v>OK</v>
      </c>
      <c r="AP252" s="5">
        <f>RANK(clean[[#This Row],[Clean Gold]],clean[Clean Gold], 0)</f>
        <v>130</v>
      </c>
      <c r="AQ252" s="1">
        <v>251</v>
      </c>
      <c r="AR252" s="1" t="str" cm="1">
        <f t="array" ref="AR252">_xlfn.IFS(clean[[#This Row],[Clean Level]]&gt;=76, "Legend", clean[[#This Row],[Clean Level]]&gt;=51, "Elite", clean[[#This Row],[Clean Level]]&gt;=26, "Veteran", TRUE, "Rookie")</f>
        <v>Elite</v>
      </c>
      <c r="AS252" s="1" t="str">
        <f>IF(RPG_dataset[[#This Row],[Status]]="Active", "TRUE", "FALSE")</f>
        <v>FALSE</v>
      </c>
      <c r="AT252" s="1" t="str" cm="1">
        <f t="array" ref="AT252">_xlfn.IFS(clean[[#This Row],[Clean Win Rate]]&gt;70, "Excellent", clean[[#This Row],[Clean Win Rate]]&gt;=40, "Average", TRUE, "Poor")</f>
        <v>Excellent</v>
      </c>
      <c r="AU252" s="1" t="str">
        <f>IF(AND(clean[[#This Row],[Clean Level]]&gt;80, clean[[#This Row],[Clean Total Stat]]&gt;350, clean[[#This Row],[Clean Gold]]&gt;500000), "Overpowered", "Normal")</f>
        <v>Normal</v>
      </c>
      <c r="AV252" s="1" t="str" cm="1">
        <f t="array" ref="AV25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52" s="1" t="str" cm="1">
        <f t="array" ref="AW25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52" s="1"/>
    </row>
    <row r="253" spans="1:50" x14ac:dyDescent="0.3">
      <c r="A253" s="2" t="s">
        <v>936</v>
      </c>
      <c r="B253" s="2" t="s">
        <v>937</v>
      </c>
      <c r="C253" s="2" t="s">
        <v>110</v>
      </c>
      <c r="D253" s="2" t="s">
        <v>254</v>
      </c>
      <c r="E253" s="2" t="s">
        <v>228</v>
      </c>
      <c r="F253" s="2" t="s">
        <v>98</v>
      </c>
      <c r="G253" s="2">
        <v>94</v>
      </c>
      <c r="H253" s="2" t="s">
        <v>31</v>
      </c>
      <c r="I253" s="2" t="s">
        <v>54</v>
      </c>
      <c r="J253" s="2" t="s">
        <v>64</v>
      </c>
      <c r="K253" s="2" t="s">
        <v>44</v>
      </c>
      <c r="L253" s="6" t="s">
        <v>938</v>
      </c>
      <c r="M253" s="2">
        <v>67</v>
      </c>
      <c r="N253" s="2">
        <v>124</v>
      </c>
      <c r="O253" s="2">
        <v>101</v>
      </c>
      <c r="P253" s="2">
        <v>4677</v>
      </c>
      <c r="Q253" s="2">
        <v>1302</v>
      </c>
      <c r="R253" s="2">
        <v>292</v>
      </c>
      <c r="S253" s="2">
        <v>2601</v>
      </c>
      <c r="T253" s="2">
        <v>696</v>
      </c>
      <c r="U253" s="2">
        <v>261</v>
      </c>
      <c r="V253" s="2">
        <v>79</v>
      </c>
      <c r="W253" s="2">
        <v>8138</v>
      </c>
      <c r="X253" s="9">
        <v>167049</v>
      </c>
      <c r="Y253" s="2" t="s">
        <v>46</v>
      </c>
      <c r="AA253" s="1" t="str">
        <f>TRIM(RPG_dataset[[#This Row],[Username]])</f>
        <v>tara_342</v>
      </c>
      <c r="AB253" s="1" t="str">
        <f>TRIM(RPG_dataset[[#This Row],[First Name]])</f>
        <v>Tara</v>
      </c>
      <c r="AC253" s="1" t="str">
        <f>PROPER(TRIM(RPG_dataset[[#This Row],[Race]]))</f>
        <v>Elf</v>
      </c>
      <c r="AD253" s="1" t="str">
        <f>PROPER(TRIM(RPG_dataset[[#This Row],[Class]]))</f>
        <v>Mage</v>
      </c>
      <c r="AE253" s="1">
        <f>ABS(RPG_dataset[[#This Row],[Level]])</f>
        <v>94</v>
      </c>
      <c r="AF253" s="1">
        <f>ABS(RPG_dataset[[#This Row],[ATK]])</f>
        <v>67</v>
      </c>
      <c r="AG253" s="1">
        <f>ABS(RPG_dataset[[#This Row],[DEF]])</f>
        <v>124</v>
      </c>
      <c r="AH253" s="1">
        <f>ABS(RPG_dataset[[#This Row],[SPD]])</f>
        <v>101</v>
      </c>
      <c r="AI253" s="1">
        <f>ABS(RPG_dataset[[#This Row],[HP]])</f>
        <v>4677</v>
      </c>
      <c r="AJ253" s="1">
        <f>ABS(RPG_dataset[[#This Row],[MP]])</f>
        <v>1302</v>
      </c>
      <c r="AK253" s="1">
        <f>ABS(RPG_dataset[[#This Row],[Total Stat]])</f>
        <v>292</v>
      </c>
      <c r="AL253" s="1">
        <f>ABS(RPG_dataset[[#This Row],[Kills]])</f>
        <v>2601</v>
      </c>
      <c r="AM253" s="12">
        <f>ABS(RPG_dataset[[#This Row],[Win Rate (%)]])</f>
        <v>79</v>
      </c>
      <c r="AN253" s="4">
        <f>ABS(RPG_dataset[[#This Row],[Gold Earned]])</f>
        <v>167049</v>
      </c>
      <c r="AO253" s="5" t="str">
        <f t="shared" si="3"/>
        <v>OK</v>
      </c>
      <c r="AP253" s="5">
        <f>RANK(clean[[#This Row],[Clean Gold]],clean[Clean Gold], 0)</f>
        <v>416</v>
      </c>
      <c r="AQ253" s="1">
        <v>410</v>
      </c>
      <c r="AR253" s="1" t="str" cm="1">
        <f t="array" ref="AR253">_xlfn.IFS(clean[[#This Row],[Clean Level]]&gt;=76, "Legend", clean[[#This Row],[Clean Level]]&gt;=51, "Elite", clean[[#This Row],[Clean Level]]&gt;=26, "Veteran", TRUE, "Rookie")</f>
        <v>Legend</v>
      </c>
      <c r="AS253" s="1" t="str">
        <f>IF(RPG_dataset[[#This Row],[Status]]="Active", "TRUE", "FALSE")</f>
        <v>TRUE</v>
      </c>
      <c r="AT253" s="1" t="str" cm="1">
        <f t="array" ref="AT253">_xlfn.IFS(clean[[#This Row],[Clean Win Rate]]&gt;70, "Excellent", clean[[#This Row],[Clean Win Rate]]&gt;=40, "Average", TRUE, "Poor")</f>
        <v>Excellent</v>
      </c>
      <c r="AU253" s="1" t="str">
        <f>IF(AND(clean[[#This Row],[Clean Level]]&gt;80, clean[[#This Row],[Clean Total Stat]]&gt;350, clean[[#This Row],[Clean Gold]]&gt;500000), "Overpowered", "Normal")</f>
        <v>Normal</v>
      </c>
      <c r="AV253" s="1" t="str" cm="1">
        <f t="array" ref="AV25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53" s="1" t="str" cm="1">
        <f t="array" ref="AW25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53" s="1"/>
    </row>
    <row r="254" spans="1:50" x14ac:dyDescent="0.3">
      <c r="A254" s="2" t="s">
        <v>939</v>
      </c>
      <c r="B254" s="2" t="s">
        <v>940</v>
      </c>
      <c r="C254" s="2" t="s">
        <v>110</v>
      </c>
      <c r="D254" s="2" t="s">
        <v>401</v>
      </c>
      <c r="E254" s="2" t="s">
        <v>169</v>
      </c>
      <c r="F254" s="2" t="s">
        <v>124</v>
      </c>
      <c r="G254" s="2">
        <v>86</v>
      </c>
      <c r="H254" s="2" t="s">
        <v>43</v>
      </c>
      <c r="I254" s="2" t="s">
        <v>140</v>
      </c>
      <c r="J254" s="2" t="s">
        <v>111</v>
      </c>
      <c r="K254" s="2" t="s">
        <v>34</v>
      </c>
      <c r="L254" s="6" t="s">
        <v>941</v>
      </c>
      <c r="M254" s="2">
        <v>44</v>
      </c>
      <c r="N254" s="2">
        <v>74</v>
      </c>
      <c r="O254" s="2">
        <v>14</v>
      </c>
      <c r="P254" s="2">
        <v>4938</v>
      </c>
      <c r="Q254" s="2">
        <v>2221</v>
      </c>
      <c r="R254" s="2">
        <v>132</v>
      </c>
      <c r="S254" s="2">
        <v>113</v>
      </c>
      <c r="T254" s="2">
        <v>58</v>
      </c>
      <c r="U254" s="2">
        <v>73</v>
      </c>
      <c r="V254" s="2">
        <v>66</v>
      </c>
      <c r="W254" s="2">
        <v>1252</v>
      </c>
      <c r="X254" s="9">
        <v>14041</v>
      </c>
      <c r="Y254" s="2" t="s">
        <v>36</v>
      </c>
      <c r="AA254" s="1" t="str">
        <f>TRIM(RPG_dataset[[#This Row],[Username]])</f>
        <v>tara_818</v>
      </c>
      <c r="AB254" s="1" t="str">
        <f>TRIM(RPG_dataset[[#This Row],[First Name]])</f>
        <v>Tara</v>
      </c>
      <c r="AC254" s="1" t="str">
        <f>PROPER(TRIM(RPG_dataset[[#This Row],[Race]]))</f>
        <v>Halfling</v>
      </c>
      <c r="AD254" s="1" t="str">
        <f>PROPER(TRIM(RPG_dataset[[#This Row],[Class]]))</f>
        <v>Necromancer</v>
      </c>
      <c r="AE254" s="1">
        <f>ABS(RPG_dataset[[#This Row],[Level]])</f>
        <v>86</v>
      </c>
      <c r="AF254" s="1">
        <f>ABS(RPG_dataset[[#This Row],[ATK]])</f>
        <v>44</v>
      </c>
      <c r="AG254" s="1">
        <f>ABS(RPG_dataset[[#This Row],[DEF]])</f>
        <v>74</v>
      </c>
      <c r="AH254" s="1">
        <f>ABS(RPG_dataset[[#This Row],[SPD]])</f>
        <v>14</v>
      </c>
      <c r="AI254" s="1">
        <f>ABS(RPG_dataset[[#This Row],[HP]])</f>
        <v>4938</v>
      </c>
      <c r="AJ254" s="1">
        <f>ABS(RPG_dataset[[#This Row],[MP]])</f>
        <v>2221</v>
      </c>
      <c r="AK254" s="1">
        <f>ABS(RPG_dataset[[#This Row],[Total Stat]])</f>
        <v>132</v>
      </c>
      <c r="AL254" s="1">
        <f>ABS(RPG_dataset[[#This Row],[Kills]])</f>
        <v>113</v>
      </c>
      <c r="AM254" s="12">
        <f>ABS(RPG_dataset[[#This Row],[Win Rate (%)]])</f>
        <v>66</v>
      </c>
      <c r="AN254" s="4">
        <f>ABS(RPG_dataset[[#This Row],[Gold Earned]])</f>
        <v>14041</v>
      </c>
      <c r="AO254" s="5" t="str">
        <f t="shared" si="3"/>
        <v>OK</v>
      </c>
      <c r="AP254" s="5">
        <f>RANK(clean[[#This Row],[Clean Gold]],clean[Clean Gold], 0)</f>
        <v>477</v>
      </c>
      <c r="AQ254" s="1">
        <v>404</v>
      </c>
      <c r="AR254" s="1" t="str" cm="1">
        <f t="array" ref="AR254">_xlfn.IFS(clean[[#This Row],[Clean Level]]&gt;=76, "Legend", clean[[#This Row],[Clean Level]]&gt;=51, "Elite", clean[[#This Row],[Clean Level]]&gt;=26, "Veteran", TRUE, "Rookie")</f>
        <v>Legend</v>
      </c>
      <c r="AS254" s="1" t="str">
        <f>IF(RPG_dataset[[#This Row],[Status]]="Active", "TRUE", "FALSE")</f>
        <v>FALSE</v>
      </c>
      <c r="AT254" s="1" t="str" cm="1">
        <f t="array" ref="AT254">_xlfn.IFS(clean[[#This Row],[Clean Win Rate]]&gt;70, "Excellent", clean[[#This Row],[Clean Win Rate]]&gt;=40, "Average", TRUE, "Poor")</f>
        <v>Average</v>
      </c>
      <c r="AU254" s="1" t="str">
        <f>IF(AND(clean[[#This Row],[Clean Level]]&gt;80, clean[[#This Row],[Clean Total Stat]]&gt;350, clean[[#This Row],[Clean Gold]]&gt;500000), "Overpowered", "Normal")</f>
        <v>Normal</v>
      </c>
      <c r="AV254" s="1" t="str" cm="1">
        <f t="array" ref="AV25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54" s="1" t="str" cm="1">
        <f t="array" ref="AW25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254" s="1"/>
    </row>
    <row r="255" spans="1:50" x14ac:dyDescent="0.3">
      <c r="A255" s="2" t="s">
        <v>942</v>
      </c>
      <c r="B255" s="2" t="s">
        <v>943</v>
      </c>
      <c r="C255" s="2" t="s">
        <v>693</v>
      </c>
      <c r="D255" s="2" t="s">
        <v>944</v>
      </c>
      <c r="E255" s="2" t="s">
        <v>169</v>
      </c>
      <c r="F255" s="2" t="s">
        <v>98</v>
      </c>
      <c r="G255" s="2">
        <v>60</v>
      </c>
      <c r="H255" s="2" t="s">
        <v>43</v>
      </c>
      <c r="I255" s="2" t="s">
        <v>63</v>
      </c>
      <c r="J255" s="2" t="s">
        <v>88</v>
      </c>
      <c r="K255" s="2" t="s">
        <v>99</v>
      </c>
      <c r="L255" s="6" t="s">
        <v>945</v>
      </c>
      <c r="M255" s="2">
        <v>110</v>
      </c>
      <c r="N255" s="2">
        <v>62</v>
      </c>
      <c r="O255" s="2">
        <v>114</v>
      </c>
      <c r="P255" s="2">
        <v>4651</v>
      </c>
      <c r="Q255" s="2">
        <v>1200</v>
      </c>
      <c r="R255" s="2">
        <v>286</v>
      </c>
      <c r="S255" s="2">
        <v>3257</v>
      </c>
      <c r="T255" s="2">
        <v>836</v>
      </c>
      <c r="U255" s="2">
        <v>240</v>
      </c>
      <c r="V255" s="2">
        <v>80</v>
      </c>
      <c r="W255" s="2">
        <v>1152</v>
      </c>
      <c r="X255" s="9">
        <v>471998</v>
      </c>
      <c r="Y255" s="2" t="s">
        <v>36</v>
      </c>
      <c r="AA255" s="1" t="str">
        <f>TRIM(RPG_dataset[[#This Row],[Username]])</f>
        <v>elara_524</v>
      </c>
      <c r="AB255" s="1" t="str">
        <f>TRIM(RPG_dataset[[#This Row],[First Name]])</f>
        <v>Elara</v>
      </c>
      <c r="AC255" s="1" t="str">
        <f>PROPER(TRIM(RPG_dataset[[#This Row],[Race]]))</f>
        <v>Halfling</v>
      </c>
      <c r="AD255" s="1" t="str">
        <f>PROPER(TRIM(RPG_dataset[[#This Row],[Class]]))</f>
        <v>Mage</v>
      </c>
      <c r="AE255" s="1">
        <f>ABS(RPG_dataset[[#This Row],[Level]])</f>
        <v>60</v>
      </c>
      <c r="AF255" s="1">
        <f>ABS(RPG_dataset[[#This Row],[ATK]])</f>
        <v>110</v>
      </c>
      <c r="AG255" s="1">
        <f>ABS(RPG_dataset[[#This Row],[DEF]])</f>
        <v>62</v>
      </c>
      <c r="AH255" s="1">
        <f>ABS(RPG_dataset[[#This Row],[SPD]])</f>
        <v>114</v>
      </c>
      <c r="AI255" s="1">
        <f>ABS(RPG_dataset[[#This Row],[HP]])</f>
        <v>4651</v>
      </c>
      <c r="AJ255" s="1">
        <f>ABS(RPG_dataset[[#This Row],[MP]])</f>
        <v>1200</v>
      </c>
      <c r="AK255" s="1">
        <f>ABS(RPG_dataset[[#This Row],[Total Stat]])</f>
        <v>286</v>
      </c>
      <c r="AL255" s="1">
        <f>ABS(RPG_dataset[[#This Row],[Kills]])</f>
        <v>3257</v>
      </c>
      <c r="AM255" s="12">
        <f>ABS(RPG_dataset[[#This Row],[Win Rate (%)]])</f>
        <v>80</v>
      </c>
      <c r="AN255" s="4">
        <f>ABS(RPG_dataset[[#This Row],[Gold Earned]])</f>
        <v>471998</v>
      </c>
      <c r="AO255" s="5" t="str">
        <f t="shared" si="3"/>
        <v>OK</v>
      </c>
      <c r="AP255" s="5">
        <f>RANK(clean[[#This Row],[Clean Gold]],clean[Clean Gold], 0)</f>
        <v>269</v>
      </c>
      <c r="AQ255" s="1">
        <v>223</v>
      </c>
      <c r="AR255" s="1" t="str" cm="1">
        <f t="array" ref="AR255">_xlfn.IFS(clean[[#This Row],[Clean Level]]&gt;=76, "Legend", clean[[#This Row],[Clean Level]]&gt;=51, "Elite", clean[[#This Row],[Clean Level]]&gt;=26, "Veteran", TRUE, "Rookie")</f>
        <v>Elite</v>
      </c>
      <c r="AS255" s="1" t="str">
        <f>IF(RPG_dataset[[#This Row],[Status]]="Active", "TRUE", "FALSE")</f>
        <v>FALSE</v>
      </c>
      <c r="AT255" s="1" t="str" cm="1">
        <f t="array" ref="AT255">_xlfn.IFS(clean[[#This Row],[Clean Win Rate]]&gt;70, "Excellent", clean[[#This Row],[Clean Win Rate]]&gt;=40, "Average", TRUE, "Poor")</f>
        <v>Excellent</v>
      </c>
      <c r="AU255" s="1" t="str">
        <f>IF(AND(clean[[#This Row],[Clean Level]]&gt;80, clean[[#This Row],[Clean Total Stat]]&gt;350, clean[[#This Row],[Clean Gold]]&gt;500000), "Overpowered", "Normal")</f>
        <v>Normal</v>
      </c>
      <c r="AV255" s="1" t="str" cm="1">
        <f t="array" ref="AV255">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255" s="1" t="str" cm="1">
        <f t="array" ref="AW25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55" s="1"/>
    </row>
    <row r="256" spans="1:50" x14ac:dyDescent="0.3">
      <c r="A256" s="2" t="s">
        <v>946</v>
      </c>
      <c r="B256" s="2" t="s">
        <v>947</v>
      </c>
      <c r="C256" s="2" t="s">
        <v>173</v>
      </c>
      <c r="D256" s="2" t="s">
        <v>119</v>
      </c>
      <c r="E256" s="2" t="s">
        <v>29</v>
      </c>
      <c r="F256" s="2" t="s">
        <v>194</v>
      </c>
      <c r="G256" s="2">
        <v>100</v>
      </c>
      <c r="H256" s="2" t="s">
        <v>31</v>
      </c>
      <c r="I256" s="2" t="s">
        <v>54</v>
      </c>
      <c r="J256" s="2" t="s">
        <v>120</v>
      </c>
      <c r="K256" s="2" t="s">
        <v>99</v>
      </c>
      <c r="L256" s="6" t="s">
        <v>948</v>
      </c>
      <c r="M256" s="2">
        <v>92</v>
      </c>
      <c r="N256" s="2">
        <v>57</v>
      </c>
      <c r="O256" s="2">
        <v>-82</v>
      </c>
      <c r="P256" s="2">
        <v>2714</v>
      </c>
      <c r="Q256" s="2">
        <v>861</v>
      </c>
      <c r="R256" s="2">
        <v>231</v>
      </c>
      <c r="S256" s="2">
        <v>2339</v>
      </c>
      <c r="T256" s="2">
        <v>983</v>
      </c>
      <c r="U256" s="2">
        <v>96</v>
      </c>
      <c r="V256" s="2">
        <v>70</v>
      </c>
      <c r="W256" s="2">
        <v>8345</v>
      </c>
      <c r="X256" s="9">
        <v>983925</v>
      </c>
      <c r="Y256" s="2" t="s">
        <v>46</v>
      </c>
      <c r="AA256" s="1" t="str">
        <f>TRIM(RPG_dataset[[#This Row],[Username]])</f>
        <v>rosa_509</v>
      </c>
      <c r="AB256" s="1" t="str">
        <f>TRIM(RPG_dataset[[#This Row],[First Name]])</f>
        <v>Rosa</v>
      </c>
      <c r="AC256" s="1" t="str">
        <f>PROPER(TRIM(RPG_dataset[[#This Row],[Race]]))</f>
        <v>Dwarf</v>
      </c>
      <c r="AD256" s="1" t="str">
        <f>PROPER(TRIM(RPG_dataset[[#This Row],[Class]]))</f>
        <v>Paladin</v>
      </c>
      <c r="AE256" s="1">
        <f>ABS(RPG_dataset[[#This Row],[Level]])</f>
        <v>100</v>
      </c>
      <c r="AF256" s="1">
        <f>ABS(RPG_dataset[[#This Row],[ATK]])</f>
        <v>92</v>
      </c>
      <c r="AG256" s="1">
        <f>ABS(RPG_dataset[[#This Row],[DEF]])</f>
        <v>57</v>
      </c>
      <c r="AH256" s="1">
        <f>ABS(RPG_dataset[[#This Row],[SPD]])</f>
        <v>82</v>
      </c>
      <c r="AI256" s="1">
        <f>ABS(RPG_dataset[[#This Row],[HP]])</f>
        <v>2714</v>
      </c>
      <c r="AJ256" s="1">
        <f>ABS(RPG_dataset[[#This Row],[MP]])</f>
        <v>861</v>
      </c>
      <c r="AK256" s="1">
        <f>ABS(RPG_dataset[[#This Row],[Total Stat]])</f>
        <v>231</v>
      </c>
      <c r="AL256" s="1">
        <f>ABS(RPG_dataset[[#This Row],[Kills]])</f>
        <v>2339</v>
      </c>
      <c r="AM256" s="12">
        <f>ABS(RPG_dataset[[#This Row],[Win Rate (%)]])</f>
        <v>70</v>
      </c>
      <c r="AN256" s="4">
        <f>ABS(RPG_dataset[[#This Row],[Gold Earned]])</f>
        <v>983925</v>
      </c>
      <c r="AO256" s="5" t="str">
        <f t="shared" si="3"/>
        <v>OK</v>
      </c>
      <c r="AP256" s="5">
        <f>RANK(clean[[#This Row],[Clean Gold]],clean[Clean Gold], 0)</f>
        <v>9</v>
      </c>
      <c r="AQ256" s="1">
        <v>111</v>
      </c>
      <c r="AR256" s="1" t="str" cm="1">
        <f t="array" ref="AR256">_xlfn.IFS(clean[[#This Row],[Clean Level]]&gt;=76, "Legend", clean[[#This Row],[Clean Level]]&gt;=51, "Elite", clean[[#This Row],[Clean Level]]&gt;=26, "Veteran", TRUE, "Rookie")</f>
        <v>Legend</v>
      </c>
      <c r="AS256" s="1" t="str">
        <f>IF(RPG_dataset[[#This Row],[Status]]="Active", "TRUE", "FALSE")</f>
        <v>FALSE</v>
      </c>
      <c r="AT256" s="1" t="str" cm="1">
        <f t="array" ref="AT256">_xlfn.IFS(clean[[#This Row],[Clean Win Rate]]&gt;70, "Excellent", clean[[#This Row],[Clean Win Rate]]&gt;=40, "Average", TRUE, "Poor")</f>
        <v>Average</v>
      </c>
      <c r="AU256" s="1" t="str">
        <f>IF(AND(clean[[#This Row],[Clean Level]]&gt;80, clean[[#This Row],[Clean Total Stat]]&gt;350, clean[[#This Row],[Clean Gold]]&gt;500000), "Overpowered", "Normal")</f>
        <v>Normal</v>
      </c>
      <c r="AV256" s="1" t="str" cm="1">
        <f t="array" ref="AV25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56" s="1" t="str" cm="1">
        <f t="array" ref="AW25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256" s="1"/>
    </row>
    <row r="257" spans="1:50" x14ac:dyDescent="0.3">
      <c r="A257" s="2" t="s">
        <v>949</v>
      </c>
      <c r="B257" s="2" t="s">
        <v>950</v>
      </c>
      <c r="C257" s="2" t="s">
        <v>27</v>
      </c>
      <c r="D257" s="2" t="s">
        <v>119</v>
      </c>
      <c r="E257" s="2" t="s">
        <v>105</v>
      </c>
      <c r="F257" s="2" t="s">
        <v>98</v>
      </c>
      <c r="G257" s="2">
        <v>98</v>
      </c>
      <c r="H257" s="2" t="s">
        <v>80</v>
      </c>
      <c r="I257" s="2" t="s">
        <v>32</v>
      </c>
      <c r="J257" s="2" t="s">
        <v>111</v>
      </c>
      <c r="K257" s="2" t="s">
        <v>34</v>
      </c>
      <c r="L257" s="6" t="s">
        <v>951</v>
      </c>
      <c r="M257" s="2">
        <v>37</v>
      </c>
      <c r="N257" s="2">
        <v>-123</v>
      </c>
      <c r="O257" s="2">
        <v>123</v>
      </c>
      <c r="P257" s="2">
        <v>3813</v>
      </c>
      <c r="Q257" s="2">
        <v>1352</v>
      </c>
      <c r="R257" s="2">
        <v>283</v>
      </c>
      <c r="S257" s="2">
        <v>3911</v>
      </c>
      <c r="T257" s="2">
        <v>357</v>
      </c>
      <c r="U257" s="2">
        <v>161</v>
      </c>
      <c r="V257" s="2">
        <v>92</v>
      </c>
      <c r="W257" s="2">
        <v>5165</v>
      </c>
      <c r="X257" s="9">
        <v>825559</v>
      </c>
      <c r="Y257" s="2" t="s">
        <v>46</v>
      </c>
      <c r="AA257" s="1" t="str">
        <f>TRIM(RPG_dataset[[#This Row],[Username]])</f>
        <v>aiden_468</v>
      </c>
      <c r="AB257" s="1" t="str">
        <f>TRIM(RPG_dataset[[#This Row],[First Name]])</f>
        <v>Aiden</v>
      </c>
      <c r="AC257" s="1" t="str">
        <f>PROPER(TRIM(RPG_dataset[[#This Row],[Race]]))</f>
        <v>Orc</v>
      </c>
      <c r="AD257" s="1" t="str">
        <f>PROPER(TRIM(RPG_dataset[[#This Row],[Class]]))</f>
        <v>Mage</v>
      </c>
      <c r="AE257" s="1">
        <f>ABS(RPG_dataset[[#This Row],[Level]])</f>
        <v>98</v>
      </c>
      <c r="AF257" s="1">
        <f>ABS(RPG_dataset[[#This Row],[ATK]])</f>
        <v>37</v>
      </c>
      <c r="AG257" s="1">
        <f>ABS(RPG_dataset[[#This Row],[DEF]])</f>
        <v>123</v>
      </c>
      <c r="AH257" s="1">
        <f>ABS(RPG_dataset[[#This Row],[SPD]])</f>
        <v>123</v>
      </c>
      <c r="AI257" s="1">
        <f>ABS(RPG_dataset[[#This Row],[HP]])</f>
        <v>3813</v>
      </c>
      <c r="AJ257" s="1">
        <f>ABS(RPG_dataset[[#This Row],[MP]])</f>
        <v>1352</v>
      </c>
      <c r="AK257" s="1">
        <f>ABS(RPG_dataset[[#This Row],[Total Stat]])</f>
        <v>283</v>
      </c>
      <c r="AL257" s="1">
        <f>ABS(RPG_dataset[[#This Row],[Kills]])</f>
        <v>3911</v>
      </c>
      <c r="AM257" s="12">
        <f>ABS(RPG_dataset[[#This Row],[Win Rate (%)]])</f>
        <v>92</v>
      </c>
      <c r="AN257" s="4">
        <f>ABS(RPG_dataset[[#This Row],[Gold Earned]])</f>
        <v>825559</v>
      </c>
      <c r="AO257" s="5" t="str">
        <f t="shared" si="3"/>
        <v>OK</v>
      </c>
      <c r="AP257" s="5">
        <f>RANK(clean[[#This Row],[Clean Gold]],clean[Clean Gold], 0)</f>
        <v>90</v>
      </c>
      <c r="AQ257" s="1"/>
      <c r="AR257" s="1" t="str" cm="1">
        <f t="array" ref="AR257">_xlfn.IFS(clean[[#This Row],[Clean Level]]&gt;=76, "Legend", clean[[#This Row],[Clean Level]]&gt;=51, "Elite", clean[[#This Row],[Clean Level]]&gt;=26, "Veteran", TRUE, "Rookie")</f>
        <v>Legend</v>
      </c>
      <c r="AS257" s="1" t="str">
        <f>IF(RPG_dataset[[#This Row],[Status]]="Active", "TRUE", "FALSE")</f>
        <v>FALSE</v>
      </c>
      <c r="AT257" s="1" t="str" cm="1">
        <f t="array" ref="AT257">_xlfn.IFS(clean[[#This Row],[Clean Win Rate]]&gt;70, "Excellent", clean[[#This Row],[Clean Win Rate]]&gt;=40, "Average", TRUE, "Poor")</f>
        <v>Excellent</v>
      </c>
      <c r="AU257" s="1" t="str">
        <f>IF(AND(clean[[#This Row],[Clean Level]]&gt;80, clean[[#This Row],[Clean Total Stat]]&gt;350, clean[[#This Row],[Clean Gold]]&gt;500000), "Overpowered", "Normal")</f>
        <v>Normal</v>
      </c>
      <c r="AV257" s="1" t="str" cm="1">
        <f t="array" ref="AV25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57" s="1" t="str" cm="1">
        <f t="array" ref="AW25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57" s="1"/>
    </row>
    <row r="258" spans="1:50" x14ac:dyDescent="0.3">
      <c r="A258" s="2" t="s">
        <v>952</v>
      </c>
      <c r="B258" s="2" t="s">
        <v>953</v>
      </c>
      <c r="C258" s="2" t="s">
        <v>39</v>
      </c>
      <c r="D258" s="2" t="s">
        <v>70</v>
      </c>
      <c r="E258" s="2" t="s">
        <v>228</v>
      </c>
      <c r="F258" s="2" t="s">
        <v>98</v>
      </c>
      <c r="G258" s="2">
        <v>39</v>
      </c>
      <c r="H258" s="2" t="s">
        <v>31</v>
      </c>
      <c r="I258" s="2" t="s">
        <v>54</v>
      </c>
      <c r="J258" s="2" t="s">
        <v>88</v>
      </c>
      <c r="K258" s="2" t="s">
        <v>34</v>
      </c>
      <c r="L258" s="6" t="s">
        <v>76</v>
      </c>
      <c r="M258" s="2">
        <v>116</v>
      </c>
      <c r="N258" s="2">
        <v>17</v>
      </c>
      <c r="O258" s="2">
        <v>42</v>
      </c>
      <c r="P258" s="2">
        <v>2896</v>
      </c>
      <c r="Q258" s="2">
        <v>931</v>
      </c>
      <c r="R258" s="2">
        <v>175</v>
      </c>
      <c r="S258" s="2">
        <v>4473</v>
      </c>
      <c r="T258" s="2">
        <v>230</v>
      </c>
      <c r="U258" s="2">
        <v>241</v>
      </c>
      <c r="V258" s="2">
        <v>95</v>
      </c>
      <c r="W258" s="2">
        <v>9676</v>
      </c>
      <c r="X258" s="9">
        <v>665155</v>
      </c>
      <c r="Y258" s="2" t="s">
        <v>46</v>
      </c>
      <c r="AA258" s="1" t="str">
        <f>TRIM(RPG_dataset[[#This Row],[Username]])</f>
        <v>yara_300</v>
      </c>
      <c r="AB258" s="1" t="str">
        <f>TRIM(RPG_dataset[[#This Row],[First Name]])</f>
        <v>Yara</v>
      </c>
      <c r="AC258" s="1" t="str">
        <f>PROPER(TRIM(RPG_dataset[[#This Row],[Race]]))</f>
        <v>Elf</v>
      </c>
      <c r="AD258" s="1" t="str">
        <f>PROPER(TRIM(RPG_dataset[[#This Row],[Class]]))</f>
        <v>Mage</v>
      </c>
      <c r="AE258" s="1">
        <f>ABS(RPG_dataset[[#This Row],[Level]])</f>
        <v>39</v>
      </c>
      <c r="AF258" s="1">
        <f>ABS(RPG_dataset[[#This Row],[ATK]])</f>
        <v>116</v>
      </c>
      <c r="AG258" s="1">
        <f>ABS(RPG_dataset[[#This Row],[DEF]])</f>
        <v>17</v>
      </c>
      <c r="AH258" s="1">
        <f>ABS(RPG_dataset[[#This Row],[SPD]])</f>
        <v>42</v>
      </c>
      <c r="AI258" s="1">
        <f>ABS(RPG_dataset[[#This Row],[HP]])</f>
        <v>2896</v>
      </c>
      <c r="AJ258" s="1">
        <f>ABS(RPG_dataset[[#This Row],[MP]])</f>
        <v>931</v>
      </c>
      <c r="AK258" s="1">
        <f>ABS(RPG_dataset[[#This Row],[Total Stat]])</f>
        <v>175</v>
      </c>
      <c r="AL258" s="1">
        <f>ABS(RPG_dataset[[#This Row],[Kills]])</f>
        <v>4473</v>
      </c>
      <c r="AM258" s="12">
        <f>ABS(RPG_dataset[[#This Row],[Win Rate (%)]])</f>
        <v>95</v>
      </c>
      <c r="AN258" s="4">
        <f>ABS(RPG_dataset[[#This Row],[Gold Earned]])</f>
        <v>665155</v>
      </c>
      <c r="AO258" s="5" t="str">
        <f t="shared" ref="AO258:AO321" si="4">IF(MID(L258, 5, 1)="-", "OK", "Fix This")</f>
        <v>OK</v>
      </c>
      <c r="AP258" s="5">
        <f>RANK(clean[[#This Row],[Clean Gold]],clean[Clean Gold], 0)</f>
        <v>167</v>
      </c>
      <c r="AQ258" s="1">
        <v>401</v>
      </c>
      <c r="AR258" s="1" t="str" cm="1">
        <f t="array" ref="AR258">_xlfn.IFS(clean[[#This Row],[Clean Level]]&gt;=76, "Legend", clean[[#This Row],[Clean Level]]&gt;=51, "Elite", clean[[#This Row],[Clean Level]]&gt;=26, "Veteran", TRUE, "Rookie")</f>
        <v>Veteran</v>
      </c>
      <c r="AS258" s="1" t="str">
        <f>IF(RPG_dataset[[#This Row],[Status]]="Active", "TRUE", "FALSE")</f>
        <v>FALSE</v>
      </c>
      <c r="AT258" s="1" t="str" cm="1">
        <f t="array" ref="AT258">_xlfn.IFS(clean[[#This Row],[Clean Win Rate]]&gt;70, "Excellent", clean[[#This Row],[Clean Win Rate]]&gt;=40, "Average", TRUE, "Poor")</f>
        <v>Excellent</v>
      </c>
      <c r="AU258" s="1" t="str">
        <f>IF(AND(clean[[#This Row],[Clean Level]]&gt;80, clean[[#This Row],[Clean Total Stat]]&gt;350, clean[[#This Row],[Clean Gold]]&gt;500000), "Overpowered", "Normal")</f>
        <v>Normal</v>
      </c>
      <c r="AV258" s="1" t="str" cm="1">
        <f t="array" ref="AV25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58" s="1" t="str" cm="1">
        <f t="array" ref="AW25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258" s="1"/>
    </row>
    <row r="259" spans="1:50" x14ac:dyDescent="0.3">
      <c r="A259" s="2" t="s">
        <v>954</v>
      </c>
      <c r="B259" s="2" t="s">
        <v>75</v>
      </c>
      <c r="C259" s="2" t="s">
        <v>203</v>
      </c>
      <c r="D259" s="2" t="s">
        <v>59</v>
      </c>
      <c r="E259" s="2" t="s">
        <v>41</v>
      </c>
      <c r="F259" s="2" t="s">
        <v>194</v>
      </c>
      <c r="G259" s="2">
        <v>99</v>
      </c>
      <c r="H259" s="2" t="s">
        <v>73</v>
      </c>
      <c r="I259" s="2" t="s">
        <v>32</v>
      </c>
      <c r="J259" s="2" t="s">
        <v>33</v>
      </c>
      <c r="K259" s="2" t="s">
        <v>44</v>
      </c>
      <c r="L259" s="6" t="s">
        <v>955</v>
      </c>
      <c r="M259" s="2">
        <v>88</v>
      </c>
      <c r="N259" s="2">
        <v>17</v>
      </c>
      <c r="O259" s="2">
        <v>131</v>
      </c>
      <c r="P259" s="2">
        <v>3145</v>
      </c>
      <c r="Q259" s="2">
        <v>636</v>
      </c>
      <c r="R259" s="2">
        <v>236</v>
      </c>
      <c r="S259" s="2">
        <v>3323</v>
      </c>
      <c r="T259" s="2">
        <v>119</v>
      </c>
      <c r="U259" s="2">
        <v>290</v>
      </c>
      <c r="V259" s="2">
        <v>97</v>
      </c>
      <c r="W259" s="2">
        <v>507</v>
      </c>
      <c r="X259" s="9">
        <v>265150</v>
      </c>
      <c r="Y259" s="2" t="s">
        <v>36</v>
      </c>
      <c r="AA259" s="1" t="str">
        <f>TRIM(RPG_dataset[[#This Row],[Username]])</f>
        <v/>
      </c>
      <c r="AB259" s="1" t="str">
        <f>TRIM(RPG_dataset[[#This Row],[First Name]])</f>
        <v>Leon</v>
      </c>
      <c r="AC259" s="1" t="str">
        <f>PROPER(TRIM(RPG_dataset[[#This Row],[Race]]))</f>
        <v>Gnome</v>
      </c>
      <c r="AD259" s="1" t="str">
        <f>PROPER(TRIM(RPG_dataset[[#This Row],[Class]]))</f>
        <v>Paladin</v>
      </c>
      <c r="AE259" s="1">
        <f>ABS(RPG_dataset[[#This Row],[Level]])</f>
        <v>99</v>
      </c>
      <c r="AF259" s="1">
        <f>ABS(RPG_dataset[[#This Row],[ATK]])</f>
        <v>88</v>
      </c>
      <c r="AG259" s="1">
        <f>ABS(RPG_dataset[[#This Row],[DEF]])</f>
        <v>17</v>
      </c>
      <c r="AH259" s="1">
        <f>ABS(RPG_dataset[[#This Row],[SPD]])</f>
        <v>131</v>
      </c>
      <c r="AI259" s="1">
        <f>ABS(RPG_dataset[[#This Row],[HP]])</f>
        <v>3145</v>
      </c>
      <c r="AJ259" s="1">
        <f>ABS(RPG_dataset[[#This Row],[MP]])</f>
        <v>636</v>
      </c>
      <c r="AK259" s="1">
        <f>ABS(RPG_dataset[[#This Row],[Total Stat]])</f>
        <v>236</v>
      </c>
      <c r="AL259" s="1">
        <f>ABS(RPG_dataset[[#This Row],[Kills]])</f>
        <v>3323</v>
      </c>
      <c r="AM259" s="12">
        <f>ABS(RPG_dataset[[#This Row],[Win Rate (%)]])</f>
        <v>97</v>
      </c>
      <c r="AN259" s="4">
        <f>ABS(RPG_dataset[[#This Row],[Gold Earned]])</f>
        <v>265150</v>
      </c>
      <c r="AO259" s="5" t="str">
        <f t="shared" si="4"/>
        <v>OK</v>
      </c>
      <c r="AP259" s="5">
        <f>RANK(clean[[#This Row],[Clean Gold]],clean[Clean Gold], 0)</f>
        <v>369</v>
      </c>
      <c r="AQ259" s="1">
        <v>342</v>
      </c>
      <c r="AR259" s="1" t="str" cm="1">
        <f t="array" ref="AR259">_xlfn.IFS(clean[[#This Row],[Clean Level]]&gt;=76, "Legend", clean[[#This Row],[Clean Level]]&gt;=51, "Elite", clean[[#This Row],[Clean Level]]&gt;=26, "Veteran", TRUE, "Rookie")</f>
        <v>Legend</v>
      </c>
      <c r="AS259" s="1" t="str">
        <f>IF(RPG_dataset[[#This Row],[Status]]="Active", "TRUE", "FALSE")</f>
        <v>TRUE</v>
      </c>
      <c r="AT259" s="1" t="str" cm="1">
        <f t="array" ref="AT259">_xlfn.IFS(clean[[#This Row],[Clean Win Rate]]&gt;70, "Excellent", clean[[#This Row],[Clean Win Rate]]&gt;=40, "Average", TRUE, "Poor")</f>
        <v>Excellent</v>
      </c>
      <c r="AU259" s="1" t="str">
        <f>IF(AND(clean[[#This Row],[Clean Level]]&gt;80, clean[[#This Row],[Clean Total Stat]]&gt;350, clean[[#This Row],[Clean Gold]]&gt;500000), "Overpowered", "Normal")</f>
        <v>Normal</v>
      </c>
      <c r="AV259" s="1" t="str" cm="1">
        <f t="array" ref="AV259">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259" s="1" t="str" cm="1">
        <f t="array" ref="AW25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59" s="1"/>
    </row>
    <row r="260" spans="1:50" x14ac:dyDescent="0.3">
      <c r="A260" s="2" t="s">
        <v>956</v>
      </c>
      <c r="B260" s="2" t="s">
        <v>957</v>
      </c>
      <c r="C260" s="2" t="s">
        <v>253</v>
      </c>
      <c r="D260" s="2" t="s">
        <v>150</v>
      </c>
      <c r="E260" s="2" t="s">
        <v>60</v>
      </c>
      <c r="F260" s="2" t="s">
        <v>124</v>
      </c>
      <c r="G260" s="2">
        <v>25</v>
      </c>
      <c r="H260" s="2" t="s">
        <v>157</v>
      </c>
      <c r="I260" s="2" t="s">
        <v>140</v>
      </c>
      <c r="J260" s="2" t="s">
        <v>120</v>
      </c>
      <c r="K260" s="2" t="s">
        <v>44</v>
      </c>
      <c r="L260" s="6" t="s">
        <v>958</v>
      </c>
      <c r="M260" s="2"/>
      <c r="N260" s="2">
        <v>15</v>
      </c>
      <c r="O260" s="2">
        <v>22</v>
      </c>
      <c r="P260" s="2">
        <v>1872</v>
      </c>
      <c r="Q260" s="2"/>
      <c r="R260" s="2">
        <v>138</v>
      </c>
      <c r="S260" s="2">
        <v>2166</v>
      </c>
      <c r="T260" s="2">
        <v>688</v>
      </c>
      <c r="U260" s="2">
        <v>115</v>
      </c>
      <c r="V260" s="2">
        <v>76</v>
      </c>
      <c r="W260" s="2">
        <v>431</v>
      </c>
      <c r="X260" s="9">
        <v>640313</v>
      </c>
      <c r="Y260" s="2" t="s">
        <v>36</v>
      </c>
      <c r="AA260" s="1" t="str">
        <f>TRIM(RPG_dataset[[#This Row],[Username]])</f>
        <v>freya_489</v>
      </c>
      <c r="AB260" s="1" t="str">
        <f>TRIM(RPG_dataset[[#This Row],[First Name]])</f>
        <v>Freya</v>
      </c>
      <c r="AC260" s="1" t="str">
        <f>PROPER(TRIM(RPG_dataset[[#This Row],[Race]]))</f>
        <v>Human</v>
      </c>
      <c r="AD260" s="1" t="str">
        <f>PROPER(TRIM(RPG_dataset[[#This Row],[Class]]))</f>
        <v>Necromancer</v>
      </c>
      <c r="AE260" s="1">
        <f>ABS(RPG_dataset[[#This Row],[Level]])</f>
        <v>25</v>
      </c>
      <c r="AF260" s="1">
        <f>ABS(RPG_dataset[[#This Row],[ATK]])</f>
        <v>0</v>
      </c>
      <c r="AG260" s="1">
        <f>ABS(RPG_dataset[[#This Row],[DEF]])</f>
        <v>15</v>
      </c>
      <c r="AH260" s="1">
        <f>ABS(RPG_dataset[[#This Row],[SPD]])</f>
        <v>22</v>
      </c>
      <c r="AI260" s="1">
        <f>ABS(RPG_dataset[[#This Row],[HP]])</f>
        <v>1872</v>
      </c>
      <c r="AJ260" s="1">
        <f>ABS(RPG_dataset[[#This Row],[MP]])</f>
        <v>0</v>
      </c>
      <c r="AK260" s="1">
        <f>ABS(RPG_dataset[[#This Row],[Total Stat]])</f>
        <v>138</v>
      </c>
      <c r="AL260" s="1">
        <f>ABS(RPG_dataset[[#This Row],[Kills]])</f>
        <v>2166</v>
      </c>
      <c r="AM260" s="12">
        <f>ABS(RPG_dataset[[#This Row],[Win Rate (%)]])</f>
        <v>76</v>
      </c>
      <c r="AN260" s="4">
        <f>ABS(RPG_dataset[[#This Row],[Gold Earned]])</f>
        <v>640313</v>
      </c>
      <c r="AO260" s="5" t="str">
        <f t="shared" si="4"/>
        <v>OK</v>
      </c>
      <c r="AP260" s="5">
        <f>RANK(clean[[#This Row],[Clean Gold]],clean[Clean Gold], 0)</f>
        <v>179</v>
      </c>
      <c r="AQ260" s="1">
        <v>244</v>
      </c>
      <c r="AR260" s="1" t="str" cm="1">
        <f t="array" ref="AR260">_xlfn.IFS(clean[[#This Row],[Clean Level]]&gt;=76, "Legend", clean[[#This Row],[Clean Level]]&gt;=51, "Elite", clean[[#This Row],[Clean Level]]&gt;=26, "Veteran", TRUE, "Rookie")</f>
        <v>Rookie</v>
      </c>
      <c r="AS260" s="1" t="str">
        <f>IF(RPG_dataset[[#This Row],[Status]]="Active", "TRUE", "FALSE")</f>
        <v>TRUE</v>
      </c>
      <c r="AT260" s="1" t="str" cm="1">
        <f t="array" ref="AT260">_xlfn.IFS(clean[[#This Row],[Clean Win Rate]]&gt;70, "Excellent", clean[[#This Row],[Clean Win Rate]]&gt;=40, "Average", TRUE, "Poor")</f>
        <v>Excellent</v>
      </c>
      <c r="AU260" s="1" t="str">
        <f>IF(AND(clean[[#This Row],[Clean Level]]&gt;80, clean[[#This Row],[Clean Total Stat]]&gt;350, clean[[#This Row],[Clean Gold]]&gt;500000), "Overpowered", "Normal")</f>
        <v>Normal</v>
      </c>
      <c r="AV260" s="1" t="str" cm="1">
        <f t="array" ref="AV26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60" s="1" t="str" cm="1">
        <f t="array" ref="AW26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260" s="1"/>
    </row>
    <row r="261" spans="1:50" x14ac:dyDescent="0.3">
      <c r="A261" s="2" t="s">
        <v>959</v>
      </c>
      <c r="B261" s="2" t="s">
        <v>960</v>
      </c>
      <c r="C261" s="2" t="s">
        <v>543</v>
      </c>
      <c r="D261" s="2" t="s">
        <v>618</v>
      </c>
      <c r="E261" s="2" t="s">
        <v>60</v>
      </c>
      <c r="F261" s="2" t="s">
        <v>124</v>
      </c>
      <c r="G261" s="2">
        <v>28</v>
      </c>
      <c r="H261" s="2" t="s">
        <v>62</v>
      </c>
      <c r="I261" s="2" t="s">
        <v>63</v>
      </c>
      <c r="J261" s="2" t="s">
        <v>33</v>
      </c>
      <c r="K261" s="2" t="s">
        <v>44</v>
      </c>
      <c r="L261" s="6" t="s">
        <v>961</v>
      </c>
      <c r="M261" s="2">
        <v>30</v>
      </c>
      <c r="N261" s="2">
        <v>-134</v>
      </c>
      <c r="O261" s="2">
        <v>122</v>
      </c>
      <c r="P261" s="2">
        <v>3205</v>
      </c>
      <c r="Q261" s="2">
        <v>259</v>
      </c>
      <c r="R261" s="2">
        <v>286</v>
      </c>
      <c r="S261" s="2">
        <v>1907</v>
      </c>
      <c r="T261" s="2">
        <v>763</v>
      </c>
      <c r="U261" s="2">
        <v>175</v>
      </c>
      <c r="V261" s="2">
        <v>71</v>
      </c>
      <c r="W261" s="2">
        <v>8333</v>
      </c>
      <c r="X261" s="9">
        <v>363316</v>
      </c>
      <c r="Y261" s="2" t="s">
        <v>46</v>
      </c>
      <c r="AA261" s="1" t="str">
        <f>TRIM(RPG_dataset[[#This Row],[Username]])</f>
        <v>mora_652</v>
      </c>
      <c r="AB261" s="1" t="str">
        <f>TRIM(RPG_dataset[[#This Row],[First Name]])</f>
        <v>Mora</v>
      </c>
      <c r="AC261" s="1" t="str">
        <f>PROPER(TRIM(RPG_dataset[[#This Row],[Race]]))</f>
        <v>Human</v>
      </c>
      <c r="AD261" s="1" t="str">
        <f>PROPER(TRIM(RPG_dataset[[#This Row],[Class]]))</f>
        <v>Necromancer</v>
      </c>
      <c r="AE261" s="1">
        <f>ABS(RPG_dataset[[#This Row],[Level]])</f>
        <v>28</v>
      </c>
      <c r="AF261" s="1">
        <f>ABS(RPG_dataset[[#This Row],[ATK]])</f>
        <v>30</v>
      </c>
      <c r="AG261" s="1">
        <f>ABS(RPG_dataset[[#This Row],[DEF]])</f>
        <v>134</v>
      </c>
      <c r="AH261" s="1">
        <f>ABS(RPG_dataset[[#This Row],[SPD]])</f>
        <v>122</v>
      </c>
      <c r="AI261" s="1">
        <f>ABS(RPG_dataset[[#This Row],[HP]])</f>
        <v>3205</v>
      </c>
      <c r="AJ261" s="1">
        <f>ABS(RPG_dataset[[#This Row],[MP]])</f>
        <v>259</v>
      </c>
      <c r="AK261" s="1">
        <f>ABS(RPG_dataset[[#This Row],[Total Stat]])</f>
        <v>286</v>
      </c>
      <c r="AL261" s="1">
        <f>ABS(RPG_dataset[[#This Row],[Kills]])</f>
        <v>1907</v>
      </c>
      <c r="AM261" s="12">
        <f>ABS(RPG_dataset[[#This Row],[Win Rate (%)]])</f>
        <v>71</v>
      </c>
      <c r="AN261" s="4">
        <f>ABS(RPG_dataset[[#This Row],[Gold Earned]])</f>
        <v>363316</v>
      </c>
      <c r="AO261" s="5" t="str">
        <f t="shared" si="4"/>
        <v>OK</v>
      </c>
      <c r="AP261" s="5">
        <f>RANK(clean[[#This Row],[Clean Gold]],clean[Clean Gold], 0)</f>
        <v>322</v>
      </c>
      <c r="AQ261" s="1">
        <v>344</v>
      </c>
      <c r="AR261" s="1" t="str" cm="1">
        <f t="array" ref="AR261">_xlfn.IFS(clean[[#This Row],[Clean Level]]&gt;=76, "Legend", clean[[#This Row],[Clean Level]]&gt;=51, "Elite", clean[[#This Row],[Clean Level]]&gt;=26, "Veteran", TRUE, "Rookie")</f>
        <v>Veteran</v>
      </c>
      <c r="AS261" s="1" t="str">
        <f>IF(RPG_dataset[[#This Row],[Status]]="Active", "TRUE", "FALSE")</f>
        <v>TRUE</v>
      </c>
      <c r="AT261" s="1" t="str" cm="1">
        <f t="array" ref="AT261">_xlfn.IFS(clean[[#This Row],[Clean Win Rate]]&gt;70, "Excellent", clean[[#This Row],[Clean Win Rate]]&gt;=40, "Average", TRUE, "Poor")</f>
        <v>Excellent</v>
      </c>
      <c r="AU261" s="1" t="str">
        <f>IF(AND(clean[[#This Row],[Clean Level]]&gt;80, clean[[#This Row],[Clean Total Stat]]&gt;350, clean[[#This Row],[Clean Gold]]&gt;500000), "Overpowered", "Normal")</f>
        <v>Normal</v>
      </c>
      <c r="AV261" s="1" t="str" cm="1">
        <f t="array" ref="AV26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61" s="1" t="str" cm="1">
        <f t="array" ref="AW26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61" s="1"/>
    </row>
    <row r="262" spans="1:50" x14ac:dyDescent="0.3">
      <c r="A262" s="2" t="s">
        <v>962</v>
      </c>
      <c r="B262" s="2" t="s">
        <v>963</v>
      </c>
      <c r="C262" s="2" t="s">
        <v>138</v>
      </c>
      <c r="D262" s="2" t="s">
        <v>210</v>
      </c>
      <c r="E262" s="2" t="s">
        <v>60</v>
      </c>
      <c r="F262" s="2" t="s">
        <v>52</v>
      </c>
      <c r="G262" s="2">
        <v>97</v>
      </c>
      <c r="H262" s="2" t="s">
        <v>157</v>
      </c>
      <c r="I262" s="2" t="s">
        <v>32</v>
      </c>
      <c r="J262" s="2" t="s">
        <v>88</v>
      </c>
      <c r="K262" s="2" t="s">
        <v>44</v>
      </c>
      <c r="L262" s="6" t="s">
        <v>964</v>
      </c>
      <c r="M262" s="2"/>
      <c r="N262" s="2">
        <v>16</v>
      </c>
      <c r="O262" s="2">
        <v>96</v>
      </c>
      <c r="P262" s="2">
        <v>3659</v>
      </c>
      <c r="Q262" s="2">
        <v>2962</v>
      </c>
      <c r="R262" s="2">
        <v>162</v>
      </c>
      <c r="S262" s="2">
        <v>4959</v>
      </c>
      <c r="T262" s="2">
        <v>725</v>
      </c>
      <c r="U262" s="2">
        <v>17</v>
      </c>
      <c r="V262" s="2">
        <v>87</v>
      </c>
      <c r="W262" s="2">
        <v>448</v>
      </c>
      <c r="X262" s="9">
        <v>791695</v>
      </c>
      <c r="Y262" s="2" t="s">
        <v>36</v>
      </c>
      <c r="AA262" s="1" t="str">
        <f>TRIM(RPG_dataset[[#This Row],[Username]])</f>
        <v>grim_687</v>
      </c>
      <c r="AB262" s="1" t="str">
        <f>TRIM(RPG_dataset[[#This Row],[First Name]])</f>
        <v>Grim</v>
      </c>
      <c r="AC262" s="1" t="str">
        <f>PROPER(TRIM(RPG_dataset[[#This Row],[Race]]))</f>
        <v>Human</v>
      </c>
      <c r="AD262" s="1" t="str">
        <f>PROPER(TRIM(RPG_dataset[[#This Row],[Class]]))</f>
        <v>Bard</v>
      </c>
      <c r="AE262" s="1">
        <f>ABS(RPG_dataset[[#This Row],[Level]])</f>
        <v>97</v>
      </c>
      <c r="AF262" s="1">
        <f>ABS(RPG_dataset[[#This Row],[ATK]])</f>
        <v>0</v>
      </c>
      <c r="AG262" s="1">
        <f>ABS(RPG_dataset[[#This Row],[DEF]])</f>
        <v>16</v>
      </c>
      <c r="AH262" s="1">
        <f>ABS(RPG_dataset[[#This Row],[SPD]])</f>
        <v>96</v>
      </c>
      <c r="AI262" s="1">
        <f>ABS(RPG_dataset[[#This Row],[HP]])</f>
        <v>3659</v>
      </c>
      <c r="AJ262" s="1">
        <f>ABS(RPG_dataset[[#This Row],[MP]])</f>
        <v>2962</v>
      </c>
      <c r="AK262" s="1">
        <f>ABS(RPG_dataset[[#This Row],[Total Stat]])</f>
        <v>162</v>
      </c>
      <c r="AL262" s="1">
        <f>ABS(RPG_dataset[[#This Row],[Kills]])</f>
        <v>4959</v>
      </c>
      <c r="AM262" s="12">
        <f>ABS(RPG_dataset[[#This Row],[Win Rate (%)]])</f>
        <v>87</v>
      </c>
      <c r="AN262" s="4">
        <f>ABS(RPG_dataset[[#This Row],[Gold Earned]])</f>
        <v>791695</v>
      </c>
      <c r="AO262" s="5" t="str">
        <f t="shared" si="4"/>
        <v>OK</v>
      </c>
      <c r="AP262" s="5">
        <f>RANK(clean[[#This Row],[Clean Gold]],clean[Clean Gold], 0)</f>
        <v>111</v>
      </c>
      <c r="AQ262" s="1">
        <v>238</v>
      </c>
      <c r="AR262" s="1" t="str" cm="1">
        <f t="array" ref="AR262">_xlfn.IFS(clean[[#This Row],[Clean Level]]&gt;=76, "Legend", clean[[#This Row],[Clean Level]]&gt;=51, "Elite", clean[[#This Row],[Clean Level]]&gt;=26, "Veteran", TRUE, "Rookie")</f>
        <v>Legend</v>
      </c>
      <c r="AS262" s="1" t="str">
        <f>IF(RPG_dataset[[#This Row],[Status]]="Active", "TRUE", "FALSE")</f>
        <v>TRUE</v>
      </c>
      <c r="AT262" s="1" t="str" cm="1">
        <f t="array" ref="AT262">_xlfn.IFS(clean[[#This Row],[Clean Win Rate]]&gt;70, "Excellent", clean[[#This Row],[Clean Win Rate]]&gt;=40, "Average", TRUE, "Poor")</f>
        <v>Excellent</v>
      </c>
      <c r="AU262" s="1" t="str">
        <f>IF(AND(clean[[#This Row],[Clean Level]]&gt;80, clean[[#This Row],[Clean Total Stat]]&gt;350, clean[[#This Row],[Clean Gold]]&gt;500000), "Overpowered", "Normal")</f>
        <v>Normal</v>
      </c>
      <c r="AV262" s="1" t="str" cm="1">
        <f t="array" ref="AV262">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262" s="1" t="str" cm="1">
        <f t="array" ref="AW26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62" s="1"/>
    </row>
    <row r="263" spans="1:50" x14ac:dyDescent="0.3">
      <c r="A263" s="2" t="s">
        <v>965</v>
      </c>
      <c r="B263" s="2" t="s">
        <v>595</v>
      </c>
      <c r="C263" s="2" t="s">
        <v>103</v>
      </c>
      <c r="D263" s="2" t="s">
        <v>304</v>
      </c>
      <c r="E263" s="2" t="s">
        <v>41</v>
      </c>
      <c r="F263" s="2" t="s">
        <v>30</v>
      </c>
      <c r="G263" s="2">
        <v>97</v>
      </c>
      <c r="H263" s="2" t="s">
        <v>53</v>
      </c>
      <c r="I263" s="2" t="s">
        <v>126</v>
      </c>
      <c r="J263" s="2" t="s">
        <v>163</v>
      </c>
      <c r="K263" s="2" t="s">
        <v>99</v>
      </c>
      <c r="L263" s="6" t="s">
        <v>966</v>
      </c>
      <c r="M263" s="2">
        <v>122</v>
      </c>
      <c r="N263" s="2">
        <v>41</v>
      </c>
      <c r="O263" s="2">
        <v>136</v>
      </c>
      <c r="P263" s="2">
        <v>4227</v>
      </c>
      <c r="Q263" s="2">
        <v>2030</v>
      </c>
      <c r="R263" s="2">
        <v>299</v>
      </c>
      <c r="S263" s="2">
        <v>3086</v>
      </c>
      <c r="T263" s="2">
        <v>4</v>
      </c>
      <c r="U263" s="2">
        <v>105</v>
      </c>
      <c r="V263" s="2">
        <v>100</v>
      </c>
      <c r="W263" s="2">
        <v>8081</v>
      </c>
      <c r="X263" s="9">
        <v>669537</v>
      </c>
      <c r="Y263" s="2" t="s">
        <v>36</v>
      </c>
      <c r="AA263" s="1" t="str">
        <f>TRIM(RPG_dataset[[#This Row],[Username]])</f>
        <v>aria_135</v>
      </c>
      <c r="AB263" s="1" t="str">
        <f>TRIM(RPG_dataset[[#This Row],[First Name]])</f>
        <v>Aria</v>
      </c>
      <c r="AC263" s="1" t="str">
        <f>PROPER(TRIM(RPG_dataset[[#This Row],[Race]]))</f>
        <v>Gnome</v>
      </c>
      <c r="AD263" s="1" t="str">
        <f>PROPER(TRIM(RPG_dataset[[#This Row],[Class]]))</f>
        <v>Rogue</v>
      </c>
      <c r="AE263" s="1">
        <f>ABS(RPG_dataset[[#This Row],[Level]])</f>
        <v>97</v>
      </c>
      <c r="AF263" s="1">
        <f>ABS(RPG_dataset[[#This Row],[ATK]])</f>
        <v>122</v>
      </c>
      <c r="AG263" s="1">
        <f>ABS(RPG_dataset[[#This Row],[DEF]])</f>
        <v>41</v>
      </c>
      <c r="AH263" s="1">
        <f>ABS(RPG_dataset[[#This Row],[SPD]])</f>
        <v>136</v>
      </c>
      <c r="AI263" s="1">
        <f>ABS(RPG_dataset[[#This Row],[HP]])</f>
        <v>4227</v>
      </c>
      <c r="AJ263" s="1">
        <f>ABS(RPG_dataset[[#This Row],[MP]])</f>
        <v>2030</v>
      </c>
      <c r="AK263" s="1">
        <f>ABS(RPG_dataset[[#This Row],[Total Stat]])</f>
        <v>299</v>
      </c>
      <c r="AL263" s="1">
        <f>ABS(RPG_dataset[[#This Row],[Kills]])</f>
        <v>3086</v>
      </c>
      <c r="AM263" s="12">
        <f>ABS(RPG_dataset[[#This Row],[Win Rate (%)]])</f>
        <v>100</v>
      </c>
      <c r="AN263" s="4">
        <f>ABS(RPG_dataset[[#This Row],[Gold Earned]])</f>
        <v>669537</v>
      </c>
      <c r="AO263" s="5" t="str">
        <f t="shared" si="4"/>
        <v>OK</v>
      </c>
      <c r="AP263" s="5">
        <f>RANK(clean[[#This Row],[Clean Gold]],clean[Clean Gold], 0)</f>
        <v>164</v>
      </c>
      <c r="AQ263" s="1">
        <v>295</v>
      </c>
      <c r="AR263" s="1" t="str" cm="1">
        <f t="array" ref="AR263">_xlfn.IFS(clean[[#This Row],[Clean Level]]&gt;=76, "Legend", clean[[#This Row],[Clean Level]]&gt;=51, "Elite", clean[[#This Row],[Clean Level]]&gt;=26, "Veteran", TRUE, "Rookie")</f>
        <v>Legend</v>
      </c>
      <c r="AS263" s="1" t="str">
        <f>IF(RPG_dataset[[#This Row],[Status]]="Active", "TRUE", "FALSE")</f>
        <v>FALSE</v>
      </c>
      <c r="AT263" s="1" t="str" cm="1">
        <f t="array" ref="AT263">_xlfn.IFS(clean[[#This Row],[Clean Win Rate]]&gt;70, "Excellent", clean[[#This Row],[Clean Win Rate]]&gt;=40, "Average", TRUE, "Poor")</f>
        <v>Excellent</v>
      </c>
      <c r="AU263" s="1" t="str">
        <f>IF(AND(clean[[#This Row],[Clean Level]]&gt;80, clean[[#This Row],[Clean Total Stat]]&gt;350, clean[[#This Row],[Clean Gold]]&gt;500000), "Overpowered", "Normal")</f>
        <v>Normal</v>
      </c>
      <c r="AV263" s="1" t="str" cm="1">
        <f t="array" ref="AV263">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263" s="1" t="str" cm="1">
        <f t="array" ref="AW26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63" s="1"/>
    </row>
    <row r="264" spans="1:50" x14ac:dyDescent="0.3">
      <c r="A264" s="2" t="s">
        <v>967</v>
      </c>
      <c r="B264" s="2" t="s">
        <v>968</v>
      </c>
      <c r="C264" s="2" t="s">
        <v>154</v>
      </c>
      <c r="D264" s="2" t="s">
        <v>304</v>
      </c>
      <c r="E264" s="2" t="s">
        <v>228</v>
      </c>
      <c r="F264" s="2" t="s">
        <v>61</v>
      </c>
      <c r="G264" s="2">
        <v>5</v>
      </c>
      <c r="H264" s="2" t="s">
        <v>157</v>
      </c>
      <c r="I264" s="2" t="s">
        <v>140</v>
      </c>
      <c r="J264" s="2" t="s">
        <v>120</v>
      </c>
      <c r="K264" s="2" t="s">
        <v>99</v>
      </c>
      <c r="L264" s="6" t="s">
        <v>969</v>
      </c>
      <c r="M264" s="2">
        <v>64</v>
      </c>
      <c r="N264" s="2">
        <v>42</v>
      </c>
      <c r="O264" s="2">
        <v>33</v>
      </c>
      <c r="P264" s="2">
        <v>1300</v>
      </c>
      <c r="Q264" s="2">
        <v>756</v>
      </c>
      <c r="R264" s="2">
        <v>139</v>
      </c>
      <c r="S264" s="2">
        <v>1014</v>
      </c>
      <c r="T264" s="2">
        <v>685</v>
      </c>
      <c r="U264" s="2">
        <v>55</v>
      </c>
      <c r="V264" s="2">
        <v>60</v>
      </c>
      <c r="W264" s="2">
        <v>6958</v>
      </c>
      <c r="X264" s="9">
        <v>133954</v>
      </c>
      <c r="Y264" s="2" t="s">
        <v>46</v>
      </c>
      <c r="AA264" s="1" t="str">
        <f>TRIM(RPG_dataset[[#This Row],[Username]])</f>
        <v>nolan_651</v>
      </c>
      <c r="AB264" s="1" t="str">
        <f>TRIM(RPG_dataset[[#This Row],[First Name]])</f>
        <v>Nolan</v>
      </c>
      <c r="AC264" s="1" t="str">
        <f>PROPER(TRIM(RPG_dataset[[#This Row],[Race]]))</f>
        <v>Elf</v>
      </c>
      <c r="AD264" s="1" t="str">
        <f>PROPER(TRIM(RPG_dataset[[#This Row],[Class]]))</f>
        <v>Ranger</v>
      </c>
      <c r="AE264" s="1">
        <f>ABS(RPG_dataset[[#This Row],[Level]])</f>
        <v>5</v>
      </c>
      <c r="AF264" s="1">
        <f>ABS(RPG_dataset[[#This Row],[ATK]])</f>
        <v>64</v>
      </c>
      <c r="AG264" s="1">
        <f>ABS(RPG_dataset[[#This Row],[DEF]])</f>
        <v>42</v>
      </c>
      <c r="AH264" s="1">
        <f>ABS(RPG_dataset[[#This Row],[SPD]])</f>
        <v>33</v>
      </c>
      <c r="AI264" s="1">
        <f>ABS(RPG_dataset[[#This Row],[HP]])</f>
        <v>1300</v>
      </c>
      <c r="AJ264" s="1">
        <f>ABS(RPG_dataset[[#This Row],[MP]])</f>
        <v>756</v>
      </c>
      <c r="AK264" s="1">
        <f>ABS(RPG_dataset[[#This Row],[Total Stat]])</f>
        <v>139</v>
      </c>
      <c r="AL264" s="1">
        <f>ABS(RPG_dataset[[#This Row],[Kills]])</f>
        <v>1014</v>
      </c>
      <c r="AM264" s="12">
        <f>ABS(RPG_dataset[[#This Row],[Win Rate (%)]])</f>
        <v>60</v>
      </c>
      <c r="AN264" s="4">
        <f>ABS(RPG_dataset[[#This Row],[Gold Earned]])</f>
        <v>133954</v>
      </c>
      <c r="AO264" s="5" t="str">
        <f t="shared" si="4"/>
        <v>Fix This</v>
      </c>
      <c r="AP264" s="5">
        <f>RANK(clean[[#This Row],[Clean Gold]],clean[Clean Gold], 0)</f>
        <v>426</v>
      </c>
      <c r="AQ264" s="1">
        <v>324</v>
      </c>
      <c r="AR264" s="1" t="str" cm="1">
        <f t="array" ref="AR264">_xlfn.IFS(clean[[#This Row],[Clean Level]]&gt;=76, "Legend", clean[[#This Row],[Clean Level]]&gt;=51, "Elite", clean[[#This Row],[Clean Level]]&gt;=26, "Veteran", TRUE, "Rookie")</f>
        <v>Rookie</v>
      </c>
      <c r="AS264" s="1" t="str">
        <f>IF(RPG_dataset[[#This Row],[Status]]="Active", "TRUE", "FALSE")</f>
        <v>FALSE</v>
      </c>
      <c r="AT264" s="1" t="str" cm="1">
        <f t="array" ref="AT264">_xlfn.IFS(clean[[#This Row],[Clean Win Rate]]&gt;70, "Excellent", clean[[#This Row],[Clean Win Rate]]&gt;=40, "Average", TRUE, "Poor")</f>
        <v>Average</v>
      </c>
      <c r="AU264" s="1" t="str">
        <f>IF(AND(clean[[#This Row],[Clean Level]]&gt;80, clean[[#This Row],[Clean Total Stat]]&gt;350, clean[[#This Row],[Clean Gold]]&gt;500000), "Overpowered", "Normal")</f>
        <v>Normal</v>
      </c>
      <c r="AV264" s="1" t="str" cm="1">
        <f t="array" ref="AV264">_xlfn.IFS(
(AND(OR(clean[[#This Row],[Tier]]="Elite", clean[[#This Row],[Tier]]="Legend"), clean[[#This Row],[Performance]]="Excellent", RPG_dataset[[#This Row],[Is Premium]]="Yes")), "High", OR(OR(clean[[#This Row],[Tier]]="Elite", clean[[#This Row],[Tier]]="Legend"), clean[[#This Row],[Performance]]="Excellent", RPG_dataset[[#This Row],[Is Premium]]="Yes"), "Medium", TRUE, "Low")</f>
        <v>Low</v>
      </c>
      <c r="AW264" s="1" t="str" cm="1">
        <f t="array" ref="AW26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264" s="1"/>
    </row>
    <row r="265" spans="1:50" x14ac:dyDescent="0.3">
      <c r="A265" s="2" t="s">
        <v>970</v>
      </c>
      <c r="B265" s="2" t="s">
        <v>971</v>
      </c>
      <c r="C265" s="2" t="s">
        <v>203</v>
      </c>
      <c r="D265" s="2" t="s">
        <v>401</v>
      </c>
      <c r="E265" s="2" t="s">
        <v>71</v>
      </c>
      <c r="F265" s="2" t="s">
        <v>30</v>
      </c>
      <c r="G265" s="2">
        <v>91</v>
      </c>
      <c r="H265" s="2" t="s">
        <v>157</v>
      </c>
      <c r="I265" s="2" t="s">
        <v>63</v>
      </c>
      <c r="J265" s="2" t="s">
        <v>92</v>
      </c>
      <c r="K265" s="2" t="s">
        <v>99</v>
      </c>
      <c r="L265" s="6" t="s">
        <v>972</v>
      </c>
      <c r="M265" s="2">
        <v>127</v>
      </c>
      <c r="N265" s="2">
        <v>43</v>
      </c>
      <c r="O265" s="2">
        <v>47</v>
      </c>
      <c r="P265" s="2">
        <v>1121</v>
      </c>
      <c r="Q265" s="2">
        <v>667</v>
      </c>
      <c r="R265" s="2">
        <v>217</v>
      </c>
      <c r="S265" s="2">
        <v>3800</v>
      </c>
      <c r="T265" s="2">
        <v>544</v>
      </c>
      <c r="U265" s="2">
        <v>113</v>
      </c>
      <c r="V265" s="2">
        <v>87</v>
      </c>
      <c r="W265" s="2">
        <v>4794</v>
      </c>
      <c r="X265" s="9">
        <v>398427</v>
      </c>
      <c r="Y265" s="2" t="s">
        <v>46</v>
      </c>
      <c r="AA265" s="1" t="str">
        <f>TRIM(RPG_dataset[[#This Row],[Username]])</f>
        <v>leon_260</v>
      </c>
      <c r="AB265" s="1" t="str">
        <f>TRIM(RPG_dataset[[#This Row],[First Name]])</f>
        <v>Leon</v>
      </c>
      <c r="AC265" s="1" t="str">
        <f>PROPER(TRIM(RPG_dataset[[#This Row],[Race]]))</f>
        <v>Dragonborn</v>
      </c>
      <c r="AD265" s="1" t="str">
        <f>PROPER(TRIM(RPG_dataset[[#This Row],[Class]]))</f>
        <v>Rogue</v>
      </c>
      <c r="AE265" s="1">
        <f>ABS(RPG_dataset[[#This Row],[Level]])</f>
        <v>91</v>
      </c>
      <c r="AF265" s="1">
        <f>ABS(RPG_dataset[[#This Row],[ATK]])</f>
        <v>127</v>
      </c>
      <c r="AG265" s="1">
        <f>ABS(RPG_dataset[[#This Row],[DEF]])</f>
        <v>43</v>
      </c>
      <c r="AH265" s="1">
        <f>ABS(RPG_dataset[[#This Row],[SPD]])</f>
        <v>47</v>
      </c>
      <c r="AI265" s="1">
        <f>ABS(RPG_dataset[[#This Row],[HP]])</f>
        <v>1121</v>
      </c>
      <c r="AJ265" s="1">
        <f>ABS(RPG_dataset[[#This Row],[MP]])</f>
        <v>667</v>
      </c>
      <c r="AK265" s="1">
        <f>ABS(RPG_dataset[[#This Row],[Total Stat]])</f>
        <v>217</v>
      </c>
      <c r="AL265" s="1">
        <f>ABS(RPG_dataset[[#This Row],[Kills]])</f>
        <v>3800</v>
      </c>
      <c r="AM265" s="12">
        <f>ABS(RPG_dataset[[#This Row],[Win Rate (%)]])</f>
        <v>87</v>
      </c>
      <c r="AN265" s="4">
        <f>ABS(RPG_dataset[[#This Row],[Gold Earned]])</f>
        <v>398427</v>
      </c>
      <c r="AO265" s="5" t="str">
        <f t="shared" si="4"/>
        <v>OK</v>
      </c>
      <c r="AP265" s="5">
        <f>RANK(clean[[#This Row],[Clean Gold]],clean[Clean Gold], 0)</f>
        <v>303</v>
      </c>
      <c r="AQ265" s="1">
        <v>214</v>
      </c>
      <c r="AR265" s="1" t="str" cm="1">
        <f t="array" ref="AR265">_xlfn.IFS(clean[[#This Row],[Clean Level]]&gt;=76, "Legend", clean[[#This Row],[Clean Level]]&gt;=51, "Elite", clean[[#This Row],[Clean Level]]&gt;=26, "Veteran", TRUE, "Rookie")</f>
        <v>Legend</v>
      </c>
      <c r="AS265" s="1" t="str">
        <f>IF(RPG_dataset[[#This Row],[Status]]="Active", "TRUE", "FALSE")</f>
        <v>FALSE</v>
      </c>
      <c r="AT265" s="1" t="str" cm="1">
        <f t="array" ref="AT265">_xlfn.IFS(clean[[#This Row],[Clean Win Rate]]&gt;70, "Excellent", clean[[#This Row],[Clean Win Rate]]&gt;=40, "Average", TRUE, "Poor")</f>
        <v>Excellent</v>
      </c>
      <c r="AU265" s="1" t="str">
        <f>IF(AND(clean[[#This Row],[Clean Level]]&gt;80, clean[[#This Row],[Clean Total Stat]]&gt;350, clean[[#This Row],[Clean Gold]]&gt;500000), "Overpowered", "Normal")</f>
        <v>Normal</v>
      </c>
      <c r="AV265" s="1" t="str" cm="1">
        <f t="array" ref="AV26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65" s="1" t="str" cm="1">
        <f t="array" ref="AW26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65" s="1"/>
    </row>
    <row r="266" spans="1:50" x14ac:dyDescent="0.3">
      <c r="A266" s="2" t="s">
        <v>973</v>
      </c>
      <c r="B266" s="2" t="s">
        <v>974</v>
      </c>
      <c r="C266" s="2" t="s">
        <v>27</v>
      </c>
      <c r="D266" s="2" t="s">
        <v>349</v>
      </c>
      <c r="E266" s="2" t="s">
        <v>60</v>
      </c>
      <c r="F266" s="2" t="s">
        <v>61</v>
      </c>
      <c r="G266" s="2">
        <v>9</v>
      </c>
      <c r="H266" s="2" t="s">
        <v>157</v>
      </c>
      <c r="I266" s="2" t="s">
        <v>54</v>
      </c>
      <c r="J266" s="2" t="s">
        <v>33</v>
      </c>
      <c r="K266" s="2" t="s">
        <v>34</v>
      </c>
      <c r="L266" s="6" t="s">
        <v>975</v>
      </c>
      <c r="M266" s="2">
        <v>34</v>
      </c>
      <c r="N266" s="2">
        <v>45</v>
      </c>
      <c r="O266" s="2">
        <v>124</v>
      </c>
      <c r="P266" s="2">
        <v>2030</v>
      </c>
      <c r="Q266" s="2">
        <v>2894</v>
      </c>
      <c r="R266" s="2">
        <v>203</v>
      </c>
      <c r="S266" s="2">
        <v>3999</v>
      </c>
      <c r="T266" s="2">
        <v>652</v>
      </c>
      <c r="U266" s="2">
        <v>4</v>
      </c>
      <c r="V266" s="2">
        <v>86</v>
      </c>
      <c r="W266" s="2">
        <v>1392</v>
      </c>
      <c r="X266" s="9">
        <v>229024</v>
      </c>
      <c r="Y266" s="2" t="s">
        <v>36</v>
      </c>
      <c r="AA266" s="1" t="str">
        <f>TRIM(RPG_dataset[[#This Row],[Username]])</f>
        <v>aiden_520</v>
      </c>
      <c r="AB266" s="1" t="str">
        <f>TRIM(RPG_dataset[[#This Row],[First Name]])</f>
        <v>Aiden</v>
      </c>
      <c r="AC266" s="1" t="str">
        <f>PROPER(TRIM(RPG_dataset[[#This Row],[Race]]))</f>
        <v>Human</v>
      </c>
      <c r="AD266" s="1" t="str">
        <f>PROPER(TRIM(RPG_dataset[[#This Row],[Class]]))</f>
        <v>Ranger</v>
      </c>
      <c r="AE266" s="1">
        <f>ABS(RPG_dataset[[#This Row],[Level]])</f>
        <v>9</v>
      </c>
      <c r="AF266" s="1">
        <f>ABS(RPG_dataset[[#This Row],[ATK]])</f>
        <v>34</v>
      </c>
      <c r="AG266" s="1">
        <f>ABS(RPG_dataset[[#This Row],[DEF]])</f>
        <v>45</v>
      </c>
      <c r="AH266" s="1">
        <f>ABS(RPG_dataset[[#This Row],[SPD]])</f>
        <v>124</v>
      </c>
      <c r="AI266" s="1">
        <f>ABS(RPG_dataset[[#This Row],[HP]])</f>
        <v>2030</v>
      </c>
      <c r="AJ266" s="1">
        <f>ABS(RPG_dataset[[#This Row],[MP]])</f>
        <v>2894</v>
      </c>
      <c r="AK266" s="1">
        <f>ABS(RPG_dataset[[#This Row],[Total Stat]])</f>
        <v>203</v>
      </c>
      <c r="AL266" s="1">
        <f>ABS(RPG_dataset[[#This Row],[Kills]])</f>
        <v>3999</v>
      </c>
      <c r="AM266" s="12">
        <f>ABS(RPG_dataset[[#This Row],[Win Rate (%)]])</f>
        <v>86</v>
      </c>
      <c r="AN266" s="4">
        <f>ABS(RPG_dataset[[#This Row],[Gold Earned]])</f>
        <v>229024</v>
      </c>
      <c r="AO266" s="5" t="str">
        <f t="shared" si="4"/>
        <v>OK</v>
      </c>
      <c r="AP266" s="5">
        <f>RANK(clean[[#This Row],[Clean Gold]],clean[Clean Gold], 0)</f>
        <v>384</v>
      </c>
      <c r="AQ266" s="1">
        <v>159</v>
      </c>
      <c r="AR266" s="1" t="str" cm="1">
        <f t="array" ref="AR266">_xlfn.IFS(clean[[#This Row],[Clean Level]]&gt;=76, "Legend", clean[[#This Row],[Clean Level]]&gt;=51, "Elite", clean[[#This Row],[Clean Level]]&gt;=26, "Veteran", TRUE, "Rookie")</f>
        <v>Rookie</v>
      </c>
      <c r="AS266" s="1" t="str">
        <f>IF(RPG_dataset[[#This Row],[Status]]="Active", "TRUE", "FALSE")</f>
        <v>FALSE</v>
      </c>
      <c r="AT266" s="1" t="str" cm="1">
        <f t="array" ref="AT266">_xlfn.IFS(clean[[#This Row],[Clean Win Rate]]&gt;70, "Excellent", clean[[#This Row],[Clean Win Rate]]&gt;=40, "Average", TRUE, "Poor")</f>
        <v>Excellent</v>
      </c>
      <c r="AU266" s="1" t="str">
        <f>IF(AND(clean[[#This Row],[Clean Level]]&gt;80, clean[[#This Row],[Clean Total Stat]]&gt;350, clean[[#This Row],[Clean Gold]]&gt;500000), "Overpowered", "Normal")</f>
        <v>Normal</v>
      </c>
      <c r="AV266" s="1" t="str" cm="1">
        <f t="array" ref="AV26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66" s="1" t="str" cm="1">
        <f t="array" ref="AW26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66" s="1"/>
    </row>
    <row r="267" spans="1:50" x14ac:dyDescent="0.3">
      <c r="A267" s="2" t="s">
        <v>976</v>
      </c>
      <c r="B267" s="2" t="s">
        <v>75</v>
      </c>
      <c r="C267" s="2" t="s">
        <v>543</v>
      </c>
      <c r="D267" s="2" t="s">
        <v>277</v>
      </c>
      <c r="E267" s="2" t="s">
        <v>60</v>
      </c>
      <c r="F267" s="2" t="s">
        <v>72</v>
      </c>
      <c r="G267" s="2">
        <v>93</v>
      </c>
      <c r="H267" s="2" t="s">
        <v>62</v>
      </c>
      <c r="I267" s="2" t="s">
        <v>32</v>
      </c>
      <c r="J267" s="2" t="s">
        <v>111</v>
      </c>
      <c r="K267" s="2" t="s">
        <v>44</v>
      </c>
      <c r="L267" s="6" t="s">
        <v>977</v>
      </c>
      <c r="M267" s="2">
        <v>21</v>
      </c>
      <c r="N267" s="2">
        <v>104</v>
      </c>
      <c r="O267" s="2">
        <v>87</v>
      </c>
      <c r="P267" s="2">
        <v>2995</v>
      </c>
      <c r="Q267" s="2">
        <v>2129</v>
      </c>
      <c r="R267" s="2">
        <v>212</v>
      </c>
      <c r="S267" s="2">
        <v>2006</v>
      </c>
      <c r="T267" s="2">
        <v>851</v>
      </c>
      <c r="U267" s="2">
        <v>242</v>
      </c>
      <c r="V267" s="2">
        <v>70</v>
      </c>
      <c r="W267" s="2">
        <v>1736</v>
      </c>
      <c r="X267" s="9">
        <v>-793350</v>
      </c>
      <c r="Y267" s="2" t="s">
        <v>36</v>
      </c>
      <c r="AA267" s="1" t="str">
        <f>TRIM(RPG_dataset[[#This Row],[Username]])</f>
        <v/>
      </c>
      <c r="AB267" s="1" t="str">
        <f>TRIM(RPG_dataset[[#This Row],[First Name]])</f>
        <v>Mora</v>
      </c>
      <c r="AC267" s="1" t="str">
        <f>PROPER(TRIM(RPG_dataset[[#This Row],[Race]]))</f>
        <v>Human</v>
      </c>
      <c r="AD267" s="1" t="str">
        <f>PROPER(TRIM(RPG_dataset[[#This Row],[Class]]))</f>
        <v>Warrior</v>
      </c>
      <c r="AE267" s="1">
        <f>ABS(RPG_dataset[[#This Row],[Level]])</f>
        <v>93</v>
      </c>
      <c r="AF267" s="1">
        <f>ABS(RPG_dataset[[#This Row],[ATK]])</f>
        <v>21</v>
      </c>
      <c r="AG267" s="1">
        <f>ABS(RPG_dataset[[#This Row],[DEF]])</f>
        <v>104</v>
      </c>
      <c r="AH267" s="1">
        <f>ABS(RPG_dataset[[#This Row],[SPD]])</f>
        <v>87</v>
      </c>
      <c r="AI267" s="1">
        <f>ABS(RPG_dataset[[#This Row],[HP]])</f>
        <v>2995</v>
      </c>
      <c r="AJ267" s="1">
        <f>ABS(RPG_dataset[[#This Row],[MP]])</f>
        <v>2129</v>
      </c>
      <c r="AK267" s="1">
        <f>ABS(RPG_dataset[[#This Row],[Total Stat]])</f>
        <v>212</v>
      </c>
      <c r="AL267" s="1">
        <f>ABS(RPG_dataset[[#This Row],[Kills]])</f>
        <v>2006</v>
      </c>
      <c r="AM267" s="12">
        <f>ABS(RPG_dataset[[#This Row],[Win Rate (%)]])</f>
        <v>70</v>
      </c>
      <c r="AN267" s="4">
        <f>ABS(RPG_dataset[[#This Row],[Gold Earned]])</f>
        <v>793350</v>
      </c>
      <c r="AO267" s="5" t="str">
        <f t="shared" si="4"/>
        <v>OK</v>
      </c>
      <c r="AP267" s="5">
        <f>RANK(clean[[#This Row],[Clean Gold]],clean[Clean Gold], 0)</f>
        <v>110</v>
      </c>
      <c r="AQ267" s="1">
        <v>175</v>
      </c>
      <c r="AR267" s="1" t="str" cm="1">
        <f t="array" ref="AR267">_xlfn.IFS(clean[[#This Row],[Clean Level]]&gt;=76, "Legend", clean[[#This Row],[Clean Level]]&gt;=51, "Elite", clean[[#This Row],[Clean Level]]&gt;=26, "Veteran", TRUE, "Rookie")</f>
        <v>Legend</v>
      </c>
      <c r="AS267" s="1" t="str">
        <f>IF(RPG_dataset[[#This Row],[Status]]="Active", "TRUE", "FALSE")</f>
        <v>TRUE</v>
      </c>
      <c r="AT267" s="1" t="str" cm="1">
        <f t="array" ref="AT267">_xlfn.IFS(clean[[#This Row],[Clean Win Rate]]&gt;70, "Excellent", clean[[#This Row],[Clean Win Rate]]&gt;=40, "Average", TRUE, "Poor")</f>
        <v>Average</v>
      </c>
      <c r="AU267" s="1" t="str">
        <f>IF(AND(clean[[#This Row],[Clean Level]]&gt;80, clean[[#This Row],[Clean Total Stat]]&gt;350, clean[[#This Row],[Clean Gold]]&gt;500000), "Overpowered", "Normal")</f>
        <v>Normal</v>
      </c>
      <c r="AV267" s="1" t="str" cm="1">
        <f t="array" ref="AV26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67" s="1" t="str" cm="1">
        <f t="array" ref="AW26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67" s="1"/>
    </row>
    <row r="268" spans="1:50" x14ac:dyDescent="0.3">
      <c r="A268" s="2" t="s">
        <v>978</v>
      </c>
      <c r="B268" s="2" t="s">
        <v>979</v>
      </c>
      <c r="C268" s="2" t="s">
        <v>39</v>
      </c>
      <c r="D268" s="2" t="s">
        <v>70</v>
      </c>
      <c r="E268" s="2" t="s">
        <v>71</v>
      </c>
      <c r="F268" s="2" t="s">
        <v>499</v>
      </c>
      <c r="G268" s="2">
        <v>61</v>
      </c>
      <c r="H268" s="2" t="s">
        <v>157</v>
      </c>
      <c r="I268" s="2" t="s">
        <v>63</v>
      </c>
      <c r="J268" s="2" t="s">
        <v>33</v>
      </c>
      <c r="K268" s="2" t="s">
        <v>44</v>
      </c>
      <c r="L268" s="6" t="s">
        <v>980</v>
      </c>
      <c r="M268" s="2">
        <v>45</v>
      </c>
      <c r="N268" s="2">
        <v>52</v>
      </c>
      <c r="O268" s="2">
        <v>19</v>
      </c>
      <c r="P268" s="2">
        <v>3934</v>
      </c>
      <c r="Q268" s="2">
        <v>1361</v>
      </c>
      <c r="R268" s="2">
        <v>116</v>
      </c>
      <c r="S268" s="2">
        <v>1833</v>
      </c>
      <c r="T268" s="2">
        <v>203</v>
      </c>
      <c r="U268" s="2">
        <v>197</v>
      </c>
      <c r="V268" s="2">
        <v>90</v>
      </c>
      <c r="W268" s="2">
        <v>-6882</v>
      </c>
      <c r="X268" s="9">
        <v>507088</v>
      </c>
      <c r="Y268" s="2" t="s">
        <v>36</v>
      </c>
      <c r="AA268" s="1" t="str">
        <f>TRIM(RPG_dataset[[#This Row],[Username]])</f>
        <v>yara_225</v>
      </c>
      <c r="AB268" s="1" t="str">
        <f>TRIM(RPG_dataset[[#This Row],[First Name]])</f>
        <v>Yara</v>
      </c>
      <c r="AC268" s="1" t="str">
        <f>PROPER(TRIM(RPG_dataset[[#This Row],[Race]]))</f>
        <v>Dragonborn</v>
      </c>
      <c r="AD268" s="1" t="str">
        <f>PROPER(TRIM(RPG_dataset[[#This Row],[Class]]))</f>
        <v>Monk</v>
      </c>
      <c r="AE268" s="1">
        <f>ABS(RPG_dataset[[#This Row],[Level]])</f>
        <v>61</v>
      </c>
      <c r="AF268" s="1">
        <f>ABS(RPG_dataset[[#This Row],[ATK]])</f>
        <v>45</v>
      </c>
      <c r="AG268" s="1">
        <f>ABS(RPG_dataset[[#This Row],[DEF]])</f>
        <v>52</v>
      </c>
      <c r="AH268" s="1">
        <f>ABS(RPG_dataset[[#This Row],[SPD]])</f>
        <v>19</v>
      </c>
      <c r="AI268" s="1">
        <f>ABS(RPG_dataset[[#This Row],[HP]])</f>
        <v>3934</v>
      </c>
      <c r="AJ268" s="1">
        <f>ABS(RPG_dataset[[#This Row],[MP]])</f>
        <v>1361</v>
      </c>
      <c r="AK268" s="1">
        <f>ABS(RPG_dataset[[#This Row],[Total Stat]])</f>
        <v>116</v>
      </c>
      <c r="AL268" s="1">
        <f>ABS(RPG_dataset[[#This Row],[Kills]])</f>
        <v>1833</v>
      </c>
      <c r="AM268" s="12">
        <f>ABS(RPG_dataset[[#This Row],[Win Rate (%)]])</f>
        <v>90</v>
      </c>
      <c r="AN268" s="4">
        <f>ABS(RPG_dataset[[#This Row],[Gold Earned]])</f>
        <v>507088</v>
      </c>
      <c r="AO268" s="5" t="str">
        <f t="shared" si="4"/>
        <v>OK</v>
      </c>
      <c r="AP268" s="5">
        <f>RANK(clean[[#This Row],[Clean Gold]],clean[Clean Gold], 0)</f>
        <v>247</v>
      </c>
      <c r="AQ268" s="1">
        <v>257</v>
      </c>
      <c r="AR268" s="1" t="str" cm="1">
        <f t="array" ref="AR268">_xlfn.IFS(clean[[#This Row],[Clean Level]]&gt;=76, "Legend", clean[[#This Row],[Clean Level]]&gt;=51, "Elite", clean[[#This Row],[Clean Level]]&gt;=26, "Veteran", TRUE, "Rookie")</f>
        <v>Elite</v>
      </c>
      <c r="AS268" s="1" t="str">
        <f>IF(RPG_dataset[[#This Row],[Status]]="Active", "TRUE", "FALSE")</f>
        <v>TRUE</v>
      </c>
      <c r="AT268" s="1" t="str" cm="1">
        <f t="array" ref="AT268">_xlfn.IFS(clean[[#This Row],[Clean Win Rate]]&gt;70, "Excellent", clean[[#This Row],[Clean Win Rate]]&gt;=40, "Average", TRUE, "Poor")</f>
        <v>Excellent</v>
      </c>
      <c r="AU268" s="1" t="str">
        <f>IF(AND(clean[[#This Row],[Clean Level]]&gt;80, clean[[#This Row],[Clean Total Stat]]&gt;350, clean[[#This Row],[Clean Gold]]&gt;500000), "Overpowered", "Normal")</f>
        <v>Normal</v>
      </c>
      <c r="AV268" s="1" t="str" cm="1">
        <f t="array" ref="AV268">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268" s="1" t="str" cm="1">
        <f t="array" ref="AW26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68" s="1"/>
    </row>
    <row r="269" spans="1:50" x14ac:dyDescent="0.3">
      <c r="A269" s="2" t="s">
        <v>981</v>
      </c>
      <c r="B269" s="2" t="s">
        <v>982</v>
      </c>
      <c r="C269" s="2" t="s">
        <v>233</v>
      </c>
      <c r="D269" s="2" t="s">
        <v>139</v>
      </c>
      <c r="E269" s="2" t="s">
        <v>75</v>
      </c>
      <c r="F269" s="2" t="s">
        <v>52</v>
      </c>
      <c r="G269" s="2">
        <v>78</v>
      </c>
      <c r="H269" s="2" t="s">
        <v>43</v>
      </c>
      <c r="I269" s="2" t="s">
        <v>74</v>
      </c>
      <c r="J269" s="2" t="s">
        <v>120</v>
      </c>
      <c r="K269" s="2" t="s">
        <v>106</v>
      </c>
      <c r="L269" s="6" t="s">
        <v>983</v>
      </c>
      <c r="M269" s="2">
        <v>45</v>
      </c>
      <c r="N269" s="2">
        <v>127</v>
      </c>
      <c r="O269" s="2">
        <v>57</v>
      </c>
      <c r="P269" s="2">
        <v>2040</v>
      </c>
      <c r="Q269" s="2">
        <v>1198</v>
      </c>
      <c r="R269" s="2">
        <v>229</v>
      </c>
      <c r="S269" s="2">
        <v>951</v>
      </c>
      <c r="T269" s="2">
        <v>391</v>
      </c>
      <c r="U269" s="2">
        <v>139</v>
      </c>
      <c r="V269" s="2">
        <v>71</v>
      </c>
      <c r="W269" s="2">
        <v>8009</v>
      </c>
      <c r="X269" s="9">
        <v>169744</v>
      </c>
      <c r="Y269" s="2" t="s">
        <v>46</v>
      </c>
      <c r="AA269" s="1" t="str">
        <f>TRIM(RPG_dataset[[#This Row],[Username]])</f>
        <v>finn_809</v>
      </c>
      <c r="AB269" s="1" t="str">
        <f>TRIM(RPG_dataset[[#This Row],[First Name]])</f>
        <v>Finn</v>
      </c>
      <c r="AC269" s="1" t="str">
        <f>PROPER(TRIM(RPG_dataset[[#This Row],[Race]]))</f>
        <v/>
      </c>
      <c r="AD269" s="1" t="str">
        <f>PROPER(TRIM(RPG_dataset[[#This Row],[Class]]))</f>
        <v>Bard</v>
      </c>
      <c r="AE269" s="1">
        <f>ABS(RPG_dataset[[#This Row],[Level]])</f>
        <v>78</v>
      </c>
      <c r="AF269" s="1">
        <f>ABS(RPG_dataset[[#This Row],[ATK]])</f>
        <v>45</v>
      </c>
      <c r="AG269" s="1">
        <f>ABS(RPG_dataset[[#This Row],[DEF]])</f>
        <v>127</v>
      </c>
      <c r="AH269" s="1">
        <f>ABS(RPG_dataset[[#This Row],[SPD]])</f>
        <v>57</v>
      </c>
      <c r="AI269" s="1">
        <f>ABS(RPG_dataset[[#This Row],[HP]])</f>
        <v>2040</v>
      </c>
      <c r="AJ269" s="1">
        <f>ABS(RPG_dataset[[#This Row],[MP]])</f>
        <v>1198</v>
      </c>
      <c r="AK269" s="1">
        <f>ABS(RPG_dataset[[#This Row],[Total Stat]])</f>
        <v>229</v>
      </c>
      <c r="AL269" s="1">
        <f>ABS(RPG_dataset[[#This Row],[Kills]])</f>
        <v>951</v>
      </c>
      <c r="AM269" s="12">
        <f>ABS(RPG_dataset[[#This Row],[Win Rate (%)]])</f>
        <v>71</v>
      </c>
      <c r="AN269" s="4">
        <f>ABS(RPG_dataset[[#This Row],[Gold Earned]])</f>
        <v>169744</v>
      </c>
      <c r="AO269" s="5" t="str">
        <f t="shared" si="4"/>
        <v>OK</v>
      </c>
      <c r="AP269" s="5">
        <f>RANK(clean[[#This Row],[Clean Gold]],clean[Clean Gold], 0)</f>
        <v>415</v>
      </c>
      <c r="AQ269" s="1">
        <v>222</v>
      </c>
      <c r="AR269" s="1" t="str" cm="1">
        <f t="array" ref="AR269">_xlfn.IFS(clean[[#This Row],[Clean Level]]&gt;=76, "Legend", clean[[#This Row],[Clean Level]]&gt;=51, "Elite", clean[[#This Row],[Clean Level]]&gt;=26, "Veteran", TRUE, "Rookie")</f>
        <v>Legend</v>
      </c>
      <c r="AS269" s="1" t="str">
        <f>IF(RPG_dataset[[#This Row],[Status]]="Active", "TRUE", "FALSE")</f>
        <v>FALSE</v>
      </c>
      <c r="AT269" s="1" t="str" cm="1">
        <f t="array" ref="AT269">_xlfn.IFS(clean[[#This Row],[Clean Win Rate]]&gt;70, "Excellent", clean[[#This Row],[Clean Win Rate]]&gt;=40, "Average", TRUE, "Poor")</f>
        <v>Excellent</v>
      </c>
      <c r="AU269" s="1" t="str">
        <f>IF(AND(clean[[#This Row],[Clean Level]]&gt;80, clean[[#This Row],[Clean Total Stat]]&gt;350, clean[[#This Row],[Clean Gold]]&gt;500000), "Overpowered", "Normal")</f>
        <v>Normal</v>
      </c>
      <c r="AV269" s="1" t="str" cm="1">
        <f t="array" ref="AV26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69" s="1" t="str" cm="1">
        <f t="array" ref="AW26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69" s="1"/>
    </row>
    <row r="270" spans="1:50" x14ac:dyDescent="0.3">
      <c r="A270" s="2" t="s">
        <v>984</v>
      </c>
      <c r="B270" s="2" t="s">
        <v>985</v>
      </c>
      <c r="C270" s="2" t="s">
        <v>253</v>
      </c>
      <c r="D270" s="2" t="s">
        <v>174</v>
      </c>
      <c r="E270" s="2" t="s">
        <v>71</v>
      </c>
      <c r="F270" s="2" t="s">
        <v>124</v>
      </c>
      <c r="G270" s="2">
        <v>32</v>
      </c>
      <c r="H270" s="2" t="s">
        <v>80</v>
      </c>
      <c r="I270" s="2" t="s">
        <v>32</v>
      </c>
      <c r="J270" s="2" t="s">
        <v>88</v>
      </c>
      <c r="K270" s="2" t="s">
        <v>75</v>
      </c>
      <c r="L270" s="6" t="s">
        <v>986</v>
      </c>
      <c r="M270" s="2">
        <v>120</v>
      </c>
      <c r="N270" s="2">
        <v>94</v>
      </c>
      <c r="O270" s="2">
        <v>39</v>
      </c>
      <c r="P270" s="2">
        <v>888</v>
      </c>
      <c r="Q270" s="2">
        <v>2780</v>
      </c>
      <c r="R270" s="2">
        <v>253</v>
      </c>
      <c r="S270" s="2">
        <v>633</v>
      </c>
      <c r="T270" s="2">
        <v>63</v>
      </c>
      <c r="U270" s="2">
        <v>255</v>
      </c>
      <c r="V270" s="2">
        <v>91</v>
      </c>
      <c r="W270" s="2">
        <v>9058</v>
      </c>
      <c r="X270" s="9">
        <v>419076</v>
      </c>
      <c r="Y270" s="2" t="s">
        <v>36</v>
      </c>
      <c r="AA270" s="1" t="str">
        <f>TRIM(RPG_dataset[[#This Row],[Username]])</f>
        <v>FREYA_323</v>
      </c>
      <c r="AB270" s="1" t="str">
        <f>TRIM(RPG_dataset[[#This Row],[First Name]])</f>
        <v>Freya</v>
      </c>
      <c r="AC270" s="1" t="str">
        <f>PROPER(TRIM(RPG_dataset[[#This Row],[Race]]))</f>
        <v>Dragonborn</v>
      </c>
      <c r="AD270" s="1" t="str">
        <f>PROPER(TRIM(RPG_dataset[[#This Row],[Class]]))</f>
        <v>Necromancer</v>
      </c>
      <c r="AE270" s="1">
        <f>ABS(RPG_dataset[[#This Row],[Level]])</f>
        <v>32</v>
      </c>
      <c r="AF270" s="1">
        <f>ABS(RPG_dataset[[#This Row],[ATK]])</f>
        <v>120</v>
      </c>
      <c r="AG270" s="1">
        <f>ABS(RPG_dataset[[#This Row],[DEF]])</f>
        <v>94</v>
      </c>
      <c r="AH270" s="1">
        <f>ABS(RPG_dataset[[#This Row],[SPD]])</f>
        <v>39</v>
      </c>
      <c r="AI270" s="1">
        <f>ABS(RPG_dataset[[#This Row],[HP]])</f>
        <v>888</v>
      </c>
      <c r="AJ270" s="1">
        <f>ABS(RPG_dataset[[#This Row],[MP]])</f>
        <v>2780</v>
      </c>
      <c r="AK270" s="1">
        <f>ABS(RPG_dataset[[#This Row],[Total Stat]])</f>
        <v>253</v>
      </c>
      <c r="AL270" s="1">
        <f>ABS(RPG_dataset[[#This Row],[Kills]])</f>
        <v>633</v>
      </c>
      <c r="AM270" s="12">
        <f>ABS(RPG_dataset[[#This Row],[Win Rate (%)]])</f>
        <v>91</v>
      </c>
      <c r="AN270" s="4">
        <f>ABS(RPG_dataset[[#This Row],[Gold Earned]])</f>
        <v>419076</v>
      </c>
      <c r="AO270" s="5" t="str">
        <f t="shared" si="4"/>
        <v>OK</v>
      </c>
      <c r="AP270" s="5">
        <f>RANK(clean[[#This Row],[Clean Gold]],clean[Clean Gold], 0)</f>
        <v>298</v>
      </c>
      <c r="AQ270" s="1">
        <v>158</v>
      </c>
      <c r="AR270" s="1" t="str" cm="1">
        <f t="array" ref="AR270">_xlfn.IFS(clean[[#This Row],[Clean Level]]&gt;=76, "Legend", clean[[#This Row],[Clean Level]]&gt;=51, "Elite", clean[[#This Row],[Clean Level]]&gt;=26, "Veteran", TRUE, "Rookie")</f>
        <v>Veteran</v>
      </c>
      <c r="AS270" s="1" t="str">
        <f>IF(RPG_dataset[[#This Row],[Status]]="Active", "TRUE", "FALSE")</f>
        <v>FALSE</v>
      </c>
      <c r="AT270" s="1" t="str" cm="1">
        <f t="array" ref="AT270">_xlfn.IFS(clean[[#This Row],[Clean Win Rate]]&gt;70, "Excellent", clean[[#This Row],[Clean Win Rate]]&gt;=40, "Average", TRUE, "Poor")</f>
        <v>Excellent</v>
      </c>
      <c r="AU270" s="1" t="str">
        <f>IF(AND(clean[[#This Row],[Clean Level]]&gt;80, clean[[#This Row],[Clean Total Stat]]&gt;350, clean[[#This Row],[Clean Gold]]&gt;500000), "Overpowered", "Normal")</f>
        <v>Normal</v>
      </c>
      <c r="AV270" s="1" t="str" cm="1">
        <f t="array" ref="AV27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70" s="1" t="str" cm="1">
        <f t="array" ref="AW27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70" s="1"/>
    </row>
    <row r="271" spans="1:50" x14ac:dyDescent="0.3">
      <c r="A271" s="2" t="s">
        <v>987</v>
      </c>
      <c r="B271" s="2" t="s">
        <v>988</v>
      </c>
      <c r="C271" s="2" t="s">
        <v>203</v>
      </c>
      <c r="D271" s="2" t="s">
        <v>234</v>
      </c>
      <c r="E271" s="2" t="s">
        <v>561</v>
      </c>
      <c r="F271" s="2" t="s">
        <v>30</v>
      </c>
      <c r="G271" s="2">
        <v>66</v>
      </c>
      <c r="H271" s="2" t="s">
        <v>80</v>
      </c>
      <c r="I271" s="2" t="s">
        <v>54</v>
      </c>
      <c r="J271" s="2" t="s">
        <v>92</v>
      </c>
      <c r="K271" s="2" t="s">
        <v>44</v>
      </c>
      <c r="L271" s="6" t="s">
        <v>989</v>
      </c>
      <c r="M271" s="2">
        <v>141</v>
      </c>
      <c r="N271" s="2">
        <v>111</v>
      </c>
      <c r="O271" s="2">
        <v>82</v>
      </c>
      <c r="P271" s="2">
        <v>2929</v>
      </c>
      <c r="Q271" s="2">
        <v>656</v>
      </c>
      <c r="R271" s="2">
        <v>334</v>
      </c>
      <c r="S271" s="2">
        <v>2751</v>
      </c>
      <c r="T271" s="2">
        <v>678</v>
      </c>
      <c r="U271" s="2">
        <v>277</v>
      </c>
      <c r="V271" s="2">
        <v>80</v>
      </c>
      <c r="W271" s="2">
        <v>2366</v>
      </c>
      <c r="X271" s="9">
        <v>23695</v>
      </c>
      <c r="Y271" s="2" t="s">
        <v>36</v>
      </c>
      <c r="AA271" s="1" t="str">
        <f>TRIM(RPG_dataset[[#This Row],[Username]])</f>
        <v>leon_740</v>
      </c>
      <c r="AB271" s="1" t="str">
        <f>TRIM(RPG_dataset[[#This Row],[First Name]])</f>
        <v>Leon</v>
      </c>
      <c r="AC271" s="1" t="str">
        <f>PROPER(TRIM(RPG_dataset[[#This Row],[Race]]))</f>
        <v>Dwarf</v>
      </c>
      <c r="AD271" s="1" t="str">
        <f>PROPER(TRIM(RPG_dataset[[#This Row],[Class]]))</f>
        <v>Rogue</v>
      </c>
      <c r="AE271" s="1">
        <f>ABS(RPG_dataset[[#This Row],[Level]])</f>
        <v>66</v>
      </c>
      <c r="AF271" s="1">
        <f>ABS(RPG_dataset[[#This Row],[ATK]])</f>
        <v>141</v>
      </c>
      <c r="AG271" s="1">
        <f>ABS(RPG_dataset[[#This Row],[DEF]])</f>
        <v>111</v>
      </c>
      <c r="AH271" s="1">
        <f>ABS(RPG_dataset[[#This Row],[SPD]])</f>
        <v>82</v>
      </c>
      <c r="AI271" s="1">
        <f>ABS(RPG_dataset[[#This Row],[HP]])</f>
        <v>2929</v>
      </c>
      <c r="AJ271" s="1">
        <f>ABS(RPG_dataset[[#This Row],[MP]])</f>
        <v>656</v>
      </c>
      <c r="AK271" s="1">
        <f>ABS(RPG_dataset[[#This Row],[Total Stat]])</f>
        <v>334</v>
      </c>
      <c r="AL271" s="1">
        <f>ABS(RPG_dataset[[#This Row],[Kills]])</f>
        <v>2751</v>
      </c>
      <c r="AM271" s="12">
        <f>ABS(RPG_dataset[[#This Row],[Win Rate (%)]])</f>
        <v>80</v>
      </c>
      <c r="AN271" s="4">
        <f>ABS(RPG_dataset[[#This Row],[Gold Earned]])</f>
        <v>23695</v>
      </c>
      <c r="AO271" s="5" t="str">
        <f t="shared" si="4"/>
        <v>OK</v>
      </c>
      <c r="AP271" s="5">
        <f>RANK(clean[[#This Row],[Clean Gold]],clean[Clean Gold], 0)</f>
        <v>472</v>
      </c>
      <c r="AQ271" s="1">
        <v>368</v>
      </c>
      <c r="AR271" s="1" t="str" cm="1">
        <f t="array" ref="AR271">_xlfn.IFS(clean[[#This Row],[Clean Level]]&gt;=76, "Legend", clean[[#This Row],[Clean Level]]&gt;=51, "Elite", clean[[#This Row],[Clean Level]]&gt;=26, "Veteran", TRUE, "Rookie")</f>
        <v>Elite</v>
      </c>
      <c r="AS271" s="1" t="str">
        <f>IF(RPG_dataset[[#This Row],[Status]]="Active", "TRUE", "FALSE")</f>
        <v>TRUE</v>
      </c>
      <c r="AT271" s="1" t="str" cm="1">
        <f t="array" ref="AT271">_xlfn.IFS(clean[[#This Row],[Clean Win Rate]]&gt;70, "Excellent", clean[[#This Row],[Clean Win Rate]]&gt;=40, "Average", TRUE, "Poor")</f>
        <v>Excellent</v>
      </c>
      <c r="AU271" s="1" t="str">
        <f>IF(AND(clean[[#This Row],[Clean Level]]&gt;80, clean[[#This Row],[Clean Total Stat]]&gt;350, clean[[#This Row],[Clean Gold]]&gt;500000), "Overpowered", "Normal")</f>
        <v>Normal</v>
      </c>
      <c r="AV271" s="1" t="str" cm="1">
        <f t="array" ref="AV271">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271" s="1" t="str" cm="1">
        <f t="array" ref="AW27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271" s="1"/>
    </row>
    <row r="272" spans="1:50" x14ac:dyDescent="0.3">
      <c r="A272" s="2" t="s">
        <v>990</v>
      </c>
      <c r="B272" s="2" t="s">
        <v>991</v>
      </c>
      <c r="C272" s="2" t="s">
        <v>693</v>
      </c>
      <c r="D272" s="2" t="s">
        <v>304</v>
      </c>
      <c r="E272" s="2" t="s">
        <v>41</v>
      </c>
      <c r="F272" s="2" t="s">
        <v>61</v>
      </c>
      <c r="G272" s="2">
        <v>46</v>
      </c>
      <c r="H272" s="2" t="s">
        <v>73</v>
      </c>
      <c r="I272" s="2" t="s">
        <v>32</v>
      </c>
      <c r="J272" s="2" t="s">
        <v>81</v>
      </c>
      <c r="K272" s="2" t="s">
        <v>44</v>
      </c>
      <c r="L272" s="6" t="s">
        <v>992</v>
      </c>
      <c r="M272" s="2">
        <v>140</v>
      </c>
      <c r="N272" s="2">
        <v>100</v>
      </c>
      <c r="O272" s="2">
        <v>38</v>
      </c>
      <c r="P272" s="2">
        <v>1994</v>
      </c>
      <c r="Q272" s="2">
        <v>1472</v>
      </c>
      <c r="R272" s="2">
        <v>278</v>
      </c>
      <c r="S272" s="2">
        <v>4262</v>
      </c>
      <c r="T272" s="2">
        <v>175</v>
      </c>
      <c r="U272" s="2">
        <v>12</v>
      </c>
      <c r="V272" s="2">
        <v>96</v>
      </c>
      <c r="W272" s="2">
        <v>2290</v>
      </c>
      <c r="X272" s="9">
        <v>472838</v>
      </c>
      <c r="Y272" s="2" t="s">
        <v>36</v>
      </c>
      <c r="AA272" s="1" t="str">
        <f>TRIM(RPG_dataset[[#This Row],[Username]])</f>
        <v>ELARA_387</v>
      </c>
      <c r="AB272" s="1" t="str">
        <f>TRIM(RPG_dataset[[#This Row],[First Name]])</f>
        <v>Elara</v>
      </c>
      <c r="AC272" s="1" t="str">
        <f>PROPER(TRIM(RPG_dataset[[#This Row],[Race]]))</f>
        <v>Gnome</v>
      </c>
      <c r="AD272" s="1" t="str">
        <f>PROPER(TRIM(RPG_dataset[[#This Row],[Class]]))</f>
        <v>Ranger</v>
      </c>
      <c r="AE272" s="1">
        <f>ABS(RPG_dataset[[#This Row],[Level]])</f>
        <v>46</v>
      </c>
      <c r="AF272" s="1">
        <f>ABS(RPG_dataset[[#This Row],[ATK]])</f>
        <v>140</v>
      </c>
      <c r="AG272" s="1">
        <f>ABS(RPG_dataset[[#This Row],[DEF]])</f>
        <v>100</v>
      </c>
      <c r="AH272" s="1">
        <f>ABS(RPG_dataset[[#This Row],[SPD]])</f>
        <v>38</v>
      </c>
      <c r="AI272" s="1">
        <f>ABS(RPG_dataset[[#This Row],[HP]])</f>
        <v>1994</v>
      </c>
      <c r="AJ272" s="1">
        <f>ABS(RPG_dataset[[#This Row],[MP]])</f>
        <v>1472</v>
      </c>
      <c r="AK272" s="1">
        <f>ABS(RPG_dataset[[#This Row],[Total Stat]])</f>
        <v>278</v>
      </c>
      <c r="AL272" s="1">
        <f>ABS(RPG_dataset[[#This Row],[Kills]])</f>
        <v>4262</v>
      </c>
      <c r="AM272" s="12">
        <f>ABS(RPG_dataset[[#This Row],[Win Rate (%)]])</f>
        <v>96</v>
      </c>
      <c r="AN272" s="4">
        <f>ABS(RPG_dataset[[#This Row],[Gold Earned]])</f>
        <v>472838</v>
      </c>
      <c r="AO272" s="5" t="str">
        <f t="shared" si="4"/>
        <v>OK</v>
      </c>
      <c r="AP272" s="5">
        <f>RANK(clean[[#This Row],[Clean Gold]],clean[Clean Gold], 0)</f>
        <v>268</v>
      </c>
      <c r="AQ272" s="1">
        <v>268</v>
      </c>
      <c r="AR272" s="1" t="str" cm="1">
        <f t="array" ref="AR272">_xlfn.IFS(clean[[#This Row],[Clean Level]]&gt;=76, "Legend", clean[[#This Row],[Clean Level]]&gt;=51, "Elite", clean[[#This Row],[Clean Level]]&gt;=26, "Veteran", TRUE, "Rookie")</f>
        <v>Veteran</v>
      </c>
      <c r="AS272" s="1" t="str">
        <f>IF(RPG_dataset[[#This Row],[Status]]="Active", "TRUE", "FALSE")</f>
        <v>TRUE</v>
      </c>
      <c r="AT272" s="1" t="str" cm="1">
        <f t="array" ref="AT272">_xlfn.IFS(clean[[#This Row],[Clean Win Rate]]&gt;70, "Excellent", clean[[#This Row],[Clean Win Rate]]&gt;=40, "Average", TRUE, "Poor")</f>
        <v>Excellent</v>
      </c>
      <c r="AU272" s="1" t="str">
        <f>IF(AND(clean[[#This Row],[Clean Level]]&gt;80, clean[[#This Row],[Clean Total Stat]]&gt;350, clean[[#This Row],[Clean Gold]]&gt;500000), "Overpowered", "Normal")</f>
        <v>Normal</v>
      </c>
      <c r="AV272" s="1" t="str" cm="1">
        <f t="array" ref="AV27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72" s="1" t="str" cm="1">
        <f t="array" ref="AW27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72" s="1"/>
    </row>
    <row r="273" spans="1:50" x14ac:dyDescent="0.3">
      <c r="A273" s="2" t="s">
        <v>993</v>
      </c>
      <c r="B273" s="2" t="s">
        <v>994</v>
      </c>
      <c r="C273" s="2" t="s">
        <v>219</v>
      </c>
      <c r="D273" s="2" t="s">
        <v>131</v>
      </c>
      <c r="E273" s="2" t="s">
        <v>551</v>
      </c>
      <c r="F273" s="2" t="s">
        <v>995</v>
      </c>
      <c r="G273" s="2">
        <v>6</v>
      </c>
      <c r="H273" s="2" t="s">
        <v>62</v>
      </c>
      <c r="I273" s="2" t="s">
        <v>63</v>
      </c>
      <c r="J273" s="2" t="s">
        <v>120</v>
      </c>
      <c r="K273" s="2" t="s">
        <v>44</v>
      </c>
      <c r="L273" s="6" t="s">
        <v>996</v>
      </c>
      <c r="M273" s="2">
        <v>81</v>
      </c>
      <c r="N273" s="2">
        <v>44</v>
      </c>
      <c r="O273" s="2">
        <v>74</v>
      </c>
      <c r="P273" s="2">
        <v>3953</v>
      </c>
      <c r="Q273" s="2">
        <v>724</v>
      </c>
      <c r="R273" s="2">
        <v>199</v>
      </c>
      <c r="S273" s="2">
        <v>616</v>
      </c>
      <c r="T273" s="2">
        <v>242</v>
      </c>
      <c r="U273" s="2">
        <v>155</v>
      </c>
      <c r="V273" s="2">
        <v>72</v>
      </c>
      <c r="W273" s="2">
        <v>100</v>
      </c>
      <c r="X273" s="9">
        <v>489166</v>
      </c>
      <c r="Y273" s="2" t="s">
        <v>36</v>
      </c>
      <c r="AA273" s="1" t="str">
        <f>TRIM(RPG_dataset[[#This Row],[Username]])</f>
        <v>torin_664</v>
      </c>
      <c r="AB273" s="1" t="str">
        <f>TRIM(RPG_dataset[[#This Row],[First Name]])</f>
        <v>Torin</v>
      </c>
      <c r="AC273" s="1" t="str">
        <f>PROPER(TRIM(RPG_dataset[[#This Row],[Race]]))</f>
        <v>Halfling</v>
      </c>
      <c r="AD273" s="1" t="str">
        <f>PROPER(TRIM(RPG_dataset[[#This Row],[Class]]))</f>
        <v>Bard</v>
      </c>
      <c r="AE273" s="1">
        <f>ABS(RPG_dataset[[#This Row],[Level]])</f>
        <v>6</v>
      </c>
      <c r="AF273" s="1">
        <f>ABS(RPG_dataset[[#This Row],[ATK]])</f>
        <v>81</v>
      </c>
      <c r="AG273" s="1">
        <f>ABS(RPG_dataset[[#This Row],[DEF]])</f>
        <v>44</v>
      </c>
      <c r="AH273" s="1">
        <f>ABS(RPG_dataset[[#This Row],[SPD]])</f>
        <v>74</v>
      </c>
      <c r="AI273" s="1">
        <f>ABS(RPG_dataset[[#This Row],[HP]])</f>
        <v>3953</v>
      </c>
      <c r="AJ273" s="1">
        <f>ABS(RPG_dataset[[#This Row],[MP]])</f>
        <v>724</v>
      </c>
      <c r="AK273" s="1">
        <f>ABS(RPG_dataset[[#This Row],[Total Stat]])</f>
        <v>199</v>
      </c>
      <c r="AL273" s="1">
        <f>ABS(RPG_dataset[[#This Row],[Kills]])</f>
        <v>616</v>
      </c>
      <c r="AM273" s="12">
        <f>ABS(RPG_dataset[[#This Row],[Win Rate (%)]])</f>
        <v>72</v>
      </c>
      <c r="AN273" s="4">
        <f>ABS(RPG_dataset[[#This Row],[Gold Earned]])</f>
        <v>489166</v>
      </c>
      <c r="AO273" s="5" t="str">
        <f t="shared" si="4"/>
        <v>Fix This</v>
      </c>
      <c r="AP273" s="5">
        <f>RANK(clean[[#This Row],[Clean Gold]],clean[Clean Gold], 0)</f>
        <v>259</v>
      </c>
      <c r="AQ273" s="1">
        <v>236</v>
      </c>
      <c r="AR273" s="1" t="str" cm="1">
        <f t="array" ref="AR273">_xlfn.IFS(clean[[#This Row],[Clean Level]]&gt;=76, "Legend", clean[[#This Row],[Clean Level]]&gt;=51, "Elite", clean[[#This Row],[Clean Level]]&gt;=26, "Veteran", TRUE, "Rookie")</f>
        <v>Rookie</v>
      </c>
      <c r="AS273" s="1" t="str">
        <f>IF(RPG_dataset[[#This Row],[Status]]="Active", "TRUE", "FALSE")</f>
        <v>TRUE</v>
      </c>
      <c r="AT273" s="1" t="str" cm="1">
        <f t="array" ref="AT273">_xlfn.IFS(clean[[#This Row],[Clean Win Rate]]&gt;70, "Excellent", clean[[#This Row],[Clean Win Rate]]&gt;=40, "Average", TRUE, "Poor")</f>
        <v>Excellent</v>
      </c>
      <c r="AU273" s="1" t="str">
        <f>IF(AND(clean[[#This Row],[Clean Level]]&gt;80, clean[[#This Row],[Clean Total Stat]]&gt;350, clean[[#This Row],[Clean Gold]]&gt;500000), "Overpowered", "Normal")</f>
        <v>Normal</v>
      </c>
      <c r="AV273" s="1" t="str" cm="1">
        <f t="array" ref="AV27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73" s="1" t="str" cm="1">
        <f t="array" ref="AW27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73" s="1"/>
    </row>
    <row r="274" spans="1:50" x14ac:dyDescent="0.3">
      <c r="A274" s="2" t="s">
        <v>997</v>
      </c>
      <c r="B274" s="2" t="s">
        <v>998</v>
      </c>
      <c r="C274" s="2" t="s">
        <v>103</v>
      </c>
      <c r="D274" s="2" t="s">
        <v>150</v>
      </c>
      <c r="E274" s="2" t="s">
        <v>71</v>
      </c>
      <c r="F274" s="2" t="s">
        <v>52</v>
      </c>
      <c r="G274" s="2">
        <v>18</v>
      </c>
      <c r="H274" s="2" t="s">
        <v>80</v>
      </c>
      <c r="I274" s="2" t="s">
        <v>63</v>
      </c>
      <c r="J274" s="2" t="s">
        <v>64</v>
      </c>
      <c r="K274" s="2" t="s">
        <v>44</v>
      </c>
      <c r="L274" s="6" t="s">
        <v>999</v>
      </c>
      <c r="M274" s="2">
        <v>75</v>
      </c>
      <c r="N274" s="2">
        <v>99</v>
      </c>
      <c r="O274" s="2">
        <v>90</v>
      </c>
      <c r="P274" s="2">
        <v>3765</v>
      </c>
      <c r="Q274" s="2">
        <v>223</v>
      </c>
      <c r="R274" s="2">
        <v>264</v>
      </c>
      <c r="S274" s="2">
        <v>1304</v>
      </c>
      <c r="T274" s="2">
        <v>147</v>
      </c>
      <c r="U274" s="2">
        <v>43</v>
      </c>
      <c r="V274" s="2">
        <v>90</v>
      </c>
      <c r="W274" s="2">
        <v>72</v>
      </c>
      <c r="X274" s="9">
        <v>488931</v>
      </c>
      <c r="Y274" s="2" t="s">
        <v>46</v>
      </c>
      <c r="AA274" s="1" t="str">
        <f>TRIM(RPG_dataset[[#This Row],[Username]])</f>
        <v>aria_373</v>
      </c>
      <c r="AB274" s="1" t="str">
        <f>TRIM(RPG_dataset[[#This Row],[First Name]])</f>
        <v>Aria</v>
      </c>
      <c r="AC274" s="1" t="str">
        <f>PROPER(TRIM(RPG_dataset[[#This Row],[Race]]))</f>
        <v>Dragonborn</v>
      </c>
      <c r="AD274" s="1" t="str">
        <f>PROPER(TRIM(RPG_dataset[[#This Row],[Class]]))</f>
        <v>Bard</v>
      </c>
      <c r="AE274" s="1">
        <f>ABS(RPG_dataset[[#This Row],[Level]])</f>
        <v>18</v>
      </c>
      <c r="AF274" s="1">
        <f>ABS(RPG_dataset[[#This Row],[ATK]])</f>
        <v>75</v>
      </c>
      <c r="AG274" s="1">
        <f>ABS(RPG_dataset[[#This Row],[DEF]])</f>
        <v>99</v>
      </c>
      <c r="AH274" s="1">
        <f>ABS(RPG_dataset[[#This Row],[SPD]])</f>
        <v>90</v>
      </c>
      <c r="AI274" s="1">
        <f>ABS(RPG_dataset[[#This Row],[HP]])</f>
        <v>3765</v>
      </c>
      <c r="AJ274" s="1">
        <f>ABS(RPG_dataset[[#This Row],[MP]])</f>
        <v>223</v>
      </c>
      <c r="AK274" s="1">
        <f>ABS(RPG_dataset[[#This Row],[Total Stat]])</f>
        <v>264</v>
      </c>
      <c r="AL274" s="1">
        <f>ABS(RPG_dataset[[#This Row],[Kills]])</f>
        <v>1304</v>
      </c>
      <c r="AM274" s="12">
        <f>ABS(RPG_dataset[[#This Row],[Win Rate (%)]])</f>
        <v>90</v>
      </c>
      <c r="AN274" s="4">
        <f>ABS(RPG_dataset[[#This Row],[Gold Earned]])</f>
        <v>488931</v>
      </c>
      <c r="AO274" s="5" t="str">
        <f t="shared" si="4"/>
        <v>OK</v>
      </c>
      <c r="AP274" s="5">
        <f>RANK(clean[[#This Row],[Clean Gold]],clean[Clean Gold], 0)</f>
        <v>260</v>
      </c>
      <c r="AQ274" s="1">
        <v>212</v>
      </c>
      <c r="AR274" s="1" t="str" cm="1">
        <f t="array" ref="AR274">_xlfn.IFS(clean[[#This Row],[Clean Level]]&gt;=76, "Legend", clean[[#This Row],[Clean Level]]&gt;=51, "Elite", clean[[#This Row],[Clean Level]]&gt;=26, "Veteran", TRUE, "Rookie")</f>
        <v>Rookie</v>
      </c>
      <c r="AS274" s="1" t="str">
        <f>IF(RPG_dataset[[#This Row],[Status]]="Active", "TRUE", "FALSE")</f>
        <v>TRUE</v>
      </c>
      <c r="AT274" s="1" t="str" cm="1">
        <f t="array" ref="AT274">_xlfn.IFS(clean[[#This Row],[Clean Win Rate]]&gt;70, "Excellent", clean[[#This Row],[Clean Win Rate]]&gt;=40, "Average", TRUE, "Poor")</f>
        <v>Excellent</v>
      </c>
      <c r="AU274" s="1" t="str">
        <f>IF(AND(clean[[#This Row],[Clean Level]]&gt;80, clean[[#This Row],[Clean Total Stat]]&gt;350, clean[[#This Row],[Clean Gold]]&gt;500000), "Overpowered", "Normal")</f>
        <v>Normal</v>
      </c>
      <c r="AV274" s="1" t="str" cm="1">
        <f t="array" ref="AV27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74" s="1" t="str" cm="1">
        <f t="array" ref="AW27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74" s="1"/>
    </row>
    <row r="275" spans="1:50" x14ac:dyDescent="0.3">
      <c r="A275" s="2" t="s">
        <v>1000</v>
      </c>
      <c r="B275" s="2" t="s">
        <v>1001</v>
      </c>
      <c r="C275" s="2" t="s">
        <v>720</v>
      </c>
      <c r="D275" s="2" t="s">
        <v>119</v>
      </c>
      <c r="E275" s="2" t="s">
        <v>60</v>
      </c>
      <c r="F275" s="2" t="s">
        <v>194</v>
      </c>
      <c r="G275" s="2">
        <v>73</v>
      </c>
      <c r="H275" s="2" t="s">
        <v>239</v>
      </c>
      <c r="I275" s="2" t="s">
        <v>126</v>
      </c>
      <c r="J275" s="2" t="s">
        <v>120</v>
      </c>
      <c r="K275" s="2" t="s">
        <v>34</v>
      </c>
      <c r="L275" s="6" t="s">
        <v>818</v>
      </c>
      <c r="M275" s="2">
        <v>109</v>
      </c>
      <c r="N275" s="2">
        <v>50</v>
      </c>
      <c r="O275" s="2">
        <v>127</v>
      </c>
      <c r="P275" s="2">
        <v>2240</v>
      </c>
      <c r="Q275" s="2">
        <v>200</v>
      </c>
      <c r="R275" s="2"/>
      <c r="S275" s="2">
        <v>357</v>
      </c>
      <c r="T275" s="2">
        <v>197</v>
      </c>
      <c r="U275" s="2">
        <v>155</v>
      </c>
      <c r="V275" s="2"/>
      <c r="W275" s="2">
        <v>6078</v>
      </c>
      <c r="X275" s="9">
        <v>10036</v>
      </c>
      <c r="Y275" s="2" t="s">
        <v>46</v>
      </c>
      <c r="AA275" s="1" t="str">
        <f>TRIM(RPG_dataset[[#This Row],[Username]])</f>
        <v>jade_383</v>
      </c>
      <c r="AB275" s="1" t="str">
        <f>TRIM(RPG_dataset[[#This Row],[First Name]])</f>
        <v>Jade</v>
      </c>
      <c r="AC275" s="1" t="str">
        <f>PROPER(TRIM(RPG_dataset[[#This Row],[Race]]))</f>
        <v>Human</v>
      </c>
      <c r="AD275" s="1" t="str">
        <f>PROPER(TRIM(RPG_dataset[[#This Row],[Class]]))</f>
        <v>Paladin</v>
      </c>
      <c r="AE275" s="1">
        <f>ABS(RPG_dataset[[#This Row],[Level]])</f>
        <v>73</v>
      </c>
      <c r="AF275" s="1">
        <f>ABS(RPG_dataset[[#This Row],[ATK]])</f>
        <v>109</v>
      </c>
      <c r="AG275" s="1">
        <f>ABS(RPG_dataset[[#This Row],[DEF]])</f>
        <v>50</v>
      </c>
      <c r="AH275" s="1">
        <f>ABS(RPG_dataset[[#This Row],[SPD]])</f>
        <v>127</v>
      </c>
      <c r="AI275" s="1">
        <f>ABS(RPG_dataset[[#This Row],[HP]])</f>
        <v>2240</v>
      </c>
      <c r="AJ275" s="1">
        <f>ABS(RPG_dataset[[#This Row],[MP]])</f>
        <v>200</v>
      </c>
      <c r="AK275" s="1">
        <f>ABS(RPG_dataset[[#This Row],[Total Stat]])</f>
        <v>0</v>
      </c>
      <c r="AL275" s="1">
        <f>ABS(RPG_dataset[[#This Row],[Kills]])</f>
        <v>357</v>
      </c>
      <c r="AM275" s="12">
        <f>ABS(RPG_dataset[[#This Row],[Win Rate (%)]])</f>
        <v>0</v>
      </c>
      <c r="AN275" s="4">
        <f>ABS(RPG_dataset[[#This Row],[Gold Earned]])</f>
        <v>10036</v>
      </c>
      <c r="AO275" s="5" t="str">
        <f t="shared" si="4"/>
        <v>OK</v>
      </c>
      <c r="AP275" s="5">
        <f>RANK(clean[[#This Row],[Clean Gold]],clean[Clean Gold], 0)</f>
        <v>480</v>
      </c>
      <c r="AQ275" s="1">
        <v>326</v>
      </c>
      <c r="AR275" s="1" t="str" cm="1">
        <f t="array" ref="AR275">_xlfn.IFS(clean[[#This Row],[Clean Level]]&gt;=76, "Legend", clean[[#This Row],[Clean Level]]&gt;=51, "Elite", clean[[#This Row],[Clean Level]]&gt;=26, "Veteran", TRUE, "Rookie")</f>
        <v>Elite</v>
      </c>
      <c r="AS275" s="1" t="str">
        <f>IF(RPG_dataset[[#This Row],[Status]]="Active", "TRUE", "FALSE")</f>
        <v>FALSE</v>
      </c>
      <c r="AT275" s="1" t="str" cm="1">
        <f t="array" ref="AT275">_xlfn.IFS(clean[[#This Row],[Clean Win Rate]]&gt;70, "Excellent", clean[[#This Row],[Clean Win Rate]]&gt;=40, "Average", TRUE, "Poor")</f>
        <v>Poor</v>
      </c>
      <c r="AU275" s="1" t="str">
        <f>IF(AND(clean[[#This Row],[Clean Level]]&gt;80, clean[[#This Row],[Clean Total Stat]]&gt;350, clean[[#This Row],[Clean Gold]]&gt;500000), "Overpowered", "Normal")</f>
        <v>Normal</v>
      </c>
      <c r="AV275" s="1" t="str" cm="1">
        <f t="array" ref="AV27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75" s="1" t="str" cm="1">
        <f t="array" ref="AW27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75" s="1"/>
    </row>
    <row r="276" spans="1:50" x14ac:dyDescent="0.3">
      <c r="A276" s="2" t="s">
        <v>1002</v>
      </c>
      <c r="B276" s="2" t="s">
        <v>1003</v>
      </c>
      <c r="C276" s="2" t="s">
        <v>391</v>
      </c>
      <c r="D276" s="2" t="s">
        <v>250</v>
      </c>
      <c r="E276" s="2" t="s">
        <v>608</v>
      </c>
      <c r="F276" s="2" t="s">
        <v>98</v>
      </c>
      <c r="G276" s="2">
        <v>27</v>
      </c>
      <c r="H276" s="2" t="s">
        <v>62</v>
      </c>
      <c r="I276" s="2" t="s">
        <v>74</v>
      </c>
      <c r="J276" s="2" t="s">
        <v>64</v>
      </c>
      <c r="K276" s="2" t="s">
        <v>34</v>
      </c>
      <c r="L276" s="6" t="s">
        <v>1004</v>
      </c>
      <c r="M276" s="2">
        <v>132</v>
      </c>
      <c r="N276" s="2">
        <v>27</v>
      </c>
      <c r="O276" s="2">
        <v>13</v>
      </c>
      <c r="P276" s="2">
        <v>1837</v>
      </c>
      <c r="Q276" s="2">
        <v>508</v>
      </c>
      <c r="R276" s="2">
        <v>172</v>
      </c>
      <c r="S276" s="2">
        <v>125</v>
      </c>
      <c r="T276" s="2">
        <v>357</v>
      </c>
      <c r="U276" s="2">
        <v>30</v>
      </c>
      <c r="V276" s="2">
        <v>26</v>
      </c>
      <c r="W276" s="2">
        <v>6236</v>
      </c>
      <c r="X276" s="9">
        <v>687305</v>
      </c>
      <c r="Y276" s="2" t="s">
        <v>36</v>
      </c>
      <c r="AA276" s="1" t="str">
        <f>TRIM(RPG_dataset[[#This Row],[Username]])</f>
        <v>aldric_161</v>
      </c>
      <c r="AB276" s="1" t="str">
        <f>TRIM(RPG_dataset[[#This Row],[First Name]])</f>
        <v>Aldric</v>
      </c>
      <c r="AC276" s="1" t="str">
        <f>PROPER(TRIM(RPG_dataset[[#This Row],[Race]]))</f>
        <v>Dragonborn</v>
      </c>
      <c r="AD276" s="1" t="str">
        <f>PROPER(TRIM(RPG_dataset[[#This Row],[Class]]))</f>
        <v>Mage</v>
      </c>
      <c r="AE276" s="1">
        <f>ABS(RPG_dataset[[#This Row],[Level]])</f>
        <v>27</v>
      </c>
      <c r="AF276" s="1">
        <f>ABS(RPG_dataset[[#This Row],[ATK]])</f>
        <v>132</v>
      </c>
      <c r="AG276" s="1">
        <f>ABS(RPG_dataset[[#This Row],[DEF]])</f>
        <v>27</v>
      </c>
      <c r="AH276" s="1">
        <f>ABS(RPG_dataset[[#This Row],[SPD]])</f>
        <v>13</v>
      </c>
      <c r="AI276" s="1">
        <f>ABS(RPG_dataset[[#This Row],[HP]])</f>
        <v>1837</v>
      </c>
      <c r="AJ276" s="1">
        <f>ABS(RPG_dataset[[#This Row],[MP]])</f>
        <v>508</v>
      </c>
      <c r="AK276" s="1">
        <f>ABS(RPG_dataset[[#This Row],[Total Stat]])</f>
        <v>172</v>
      </c>
      <c r="AL276" s="1">
        <f>ABS(RPG_dataset[[#This Row],[Kills]])</f>
        <v>125</v>
      </c>
      <c r="AM276" s="12">
        <f>ABS(RPG_dataset[[#This Row],[Win Rate (%)]])</f>
        <v>26</v>
      </c>
      <c r="AN276" s="4">
        <f>ABS(RPG_dataset[[#This Row],[Gold Earned]])</f>
        <v>687305</v>
      </c>
      <c r="AO276" s="5" t="str">
        <f t="shared" si="4"/>
        <v>OK</v>
      </c>
      <c r="AP276" s="5">
        <f>RANK(clean[[#This Row],[Clean Gold]],clean[Clean Gold], 0)</f>
        <v>157</v>
      </c>
      <c r="AQ276" s="1">
        <v>180</v>
      </c>
      <c r="AR276" s="1" t="str" cm="1">
        <f t="array" ref="AR276">_xlfn.IFS(clean[[#This Row],[Clean Level]]&gt;=76, "Legend", clean[[#This Row],[Clean Level]]&gt;=51, "Elite", clean[[#This Row],[Clean Level]]&gt;=26, "Veteran", TRUE, "Rookie")</f>
        <v>Veteran</v>
      </c>
      <c r="AS276" s="1" t="str">
        <f>IF(RPG_dataset[[#This Row],[Status]]="Active", "TRUE", "FALSE")</f>
        <v>FALSE</v>
      </c>
      <c r="AT276" s="1" t="str" cm="1">
        <f t="array" ref="AT276">_xlfn.IFS(clean[[#This Row],[Clean Win Rate]]&gt;70, "Excellent", clean[[#This Row],[Clean Win Rate]]&gt;=40, "Average", TRUE, "Poor")</f>
        <v>Poor</v>
      </c>
      <c r="AU276" s="1" t="str">
        <f>IF(AND(clean[[#This Row],[Clean Level]]&gt;80, clean[[#This Row],[Clean Total Stat]]&gt;350, clean[[#This Row],[Clean Gold]]&gt;500000), "Overpowered", "Normal")</f>
        <v>Normal</v>
      </c>
      <c r="AV276" s="1" t="str" cm="1">
        <f t="array" ref="AV27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76" s="1" t="str" cm="1">
        <f t="array" ref="AW27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76" s="1"/>
    </row>
    <row r="277" spans="1:50" x14ac:dyDescent="0.3">
      <c r="A277" s="2" t="s">
        <v>1005</v>
      </c>
      <c r="B277" s="2" t="s">
        <v>1006</v>
      </c>
      <c r="C277" s="2" t="s">
        <v>360</v>
      </c>
      <c r="D277" s="2" t="s">
        <v>401</v>
      </c>
      <c r="E277" s="2" t="s">
        <v>60</v>
      </c>
      <c r="F277" s="2" t="s">
        <v>194</v>
      </c>
      <c r="G277" s="2">
        <v>63</v>
      </c>
      <c r="H277" s="2" t="s">
        <v>125</v>
      </c>
      <c r="I277" s="2" t="s">
        <v>126</v>
      </c>
      <c r="J277" s="2" t="s">
        <v>92</v>
      </c>
      <c r="K277" s="2" t="s">
        <v>44</v>
      </c>
      <c r="L277" s="6" t="s">
        <v>1007</v>
      </c>
      <c r="M277" s="2">
        <v>107</v>
      </c>
      <c r="N277" s="2">
        <v>-78</v>
      </c>
      <c r="O277" s="2">
        <v>102</v>
      </c>
      <c r="P277" s="2">
        <v>3460</v>
      </c>
      <c r="Q277" s="2">
        <v>1443</v>
      </c>
      <c r="R277" s="2">
        <v>287</v>
      </c>
      <c r="S277" s="2">
        <v>2819</v>
      </c>
      <c r="T277" s="2">
        <v>2</v>
      </c>
      <c r="U277" s="2">
        <v>115</v>
      </c>
      <c r="V277" s="2">
        <v>100</v>
      </c>
      <c r="W277" s="2">
        <v>814</v>
      </c>
      <c r="X277" s="9">
        <v>484521</v>
      </c>
      <c r="Y277" s="2" t="s">
        <v>36</v>
      </c>
      <c r="AA277" s="1" t="str">
        <f>TRIM(RPG_dataset[[#This Row],[Username]])</f>
        <v>oryn_212</v>
      </c>
      <c r="AB277" s="1" t="str">
        <f>TRIM(RPG_dataset[[#This Row],[First Name]])</f>
        <v>Oryn</v>
      </c>
      <c r="AC277" s="1" t="str">
        <f>PROPER(TRIM(RPG_dataset[[#This Row],[Race]]))</f>
        <v>Human</v>
      </c>
      <c r="AD277" s="1" t="str">
        <f>PROPER(TRIM(RPG_dataset[[#This Row],[Class]]))</f>
        <v>Paladin</v>
      </c>
      <c r="AE277" s="1">
        <f>ABS(RPG_dataset[[#This Row],[Level]])</f>
        <v>63</v>
      </c>
      <c r="AF277" s="1">
        <f>ABS(RPG_dataset[[#This Row],[ATK]])</f>
        <v>107</v>
      </c>
      <c r="AG277" s="1">
        <f>ABS(RPG_dataset[[#This Row],[DEF]])</f>
        <v>78</v>
      </c>
      <c r="AH277" s="1">
        <f>ABS(RPG_dataset[[#This Row],[SPD]])</f>
        <v>102</v>
      </c>
      <c r="AI277" s="1">
        <f>ABS(RPG_dataset[[#This Row],[HP]])</f>
        <v>3460</v>
      </c>
      <c r="AJ277" s="1">
        <f>ABS(RPG_dataset[[#This Row],[MP]])</f>
        <v>1443</v>
      </c>
      <c r="AK277" s="1">
        <f>ABS(RPG_dataset[[#This Row],[Total Stat]])</f>
        <v>287</v>
      </c>
      <c r="AL277" s="1">
        <f>ABS(RPG_dataset[[#This Row],[Kills]])</f>
        <v>2819</v>
      </c>
      <c r="AM277" s="12">
        <f>ABS(RPG_dataset[[#This Row],[Win Rate (%)]])</f>
        <v>100</v>
      </c>
      <c r="AN277" s="4">
        <f>ABS(RPG_dataset[[#This Row],[Gold Earned]])</f>
        <v>484521</v>
      </c>
      <c r="AO277" s="5" t="str">
        <f t="shared" si="4"/>
        <v>Fix This</v>
      </c>
      <c r="AP277" s="5">
        <f>RANK(clean[[#This Row],[Clean Gold]],clean[Clean Gold], 0)</f>
        <v>263</v>
      </c>
      <c r="AQ277" s="1">
        <v>173</v>
      </c>
      <c r="AR277" s="1" t="str" cm="1">
        <f t="array" ref="AR277">_xlfn.IFS(clean[[#This Row],[Clean Level]]&gt;=76, "Legend", clean[[#This Row],[Clean Level]]&gt;=51, "Elite", clean[[#This Row],[Clean Level]]&gt;=26, "Veteran", TRUE, "Rookie")</f>
        <v>Elite</v>
      </c>
      <c r="AS277" s="1" t="str">
        <f>IF(RPG_dataset[[#This Row],[Status]]="Active", "TRUE", "FALSE")</f>
        <v>TRUE</v>
      </c>
      <c r="AT277" s="1" t="str" cm="1">
        <f t="array" ref="AT277">_xlfn.IFS(clean[[#This Row],[Clean Win Rate]]&gt;70, "Excellent", clean[[#This Row],[Clean Win Rate]]&gt;=40, "Average", TRUE, "Poor")</f>
        <v>Excellent</v>
      </c>
      <c r="AU277" s="1" t="str">
        <f>IF(AND(clean[[#This Row],[Clean Level]]&gt;80, clean[[#This Row],[Clean Total Stat]]&gt;350, clean[[#This Row],[Clean Gold]]&gt;500000), "Overpowered", "Normal")</f>
        <v>Normal</v>
      </c>
      <c r="AV277" s="1" t="str" cm="1">
        <f t="array" ref="AV277">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277" s="1" t="str" cm="1">
        <f t="array" ref="AW27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77" s="1"/>
    </row>
    <row r="278" spans="1:50" x14ac:dyDescent="0.3">
      <c r="A278" s="2" t="s">
        <v>1008</v>
      </c>
      <c r="B278" s="2" t="s">
        <v>1009</v>
      </c>
      <c r="C278" s="2" t="s">
        <v>339</v>
      </c>
      <c r="D278" s="2" t="s">
        <v>272</v>
      </c>
      <c r="E278" s="2" t="s">
        <v>60</v>
      </c>
      <c r="F278" s="2" t="s">
        <v>52</v>
      </c>
      <c r="G278" s="2">
        <v>47</v>
      </c>
      <c r="H278" s="2" t="s">
        <v>43</v>
      </c>
      <c r="I278" s="2" t="s">
        <v>140</v>
      </c>
      <c r="J278" s="2" t="s">
        <v>81</v>
      </c>
      <c r="K278" s="2" t="s">
        <v>34</v>
      </c>
      <c r="L278" s="6" t="s">
        <v>1010</v>
      </c>
      <c r="M278" s="2">
        <v>80</v>
      </c>
      <c r="N278" s="2">
        <v>20</v>
      </c>
      <c r="O278" s="2">
        <v>14</v>
      </c>
      <c r="P278" s="2">
        <v>4110</v>
      </c>
      <c r="Q278" s="2">
        <v>2391</v>
      </c>
      <c r="R278" s="2">
        <v>114</v>
      </c>
      <c r="S278" s="2">
        <v>2799</v>
      </c>
      <c r="T278" s="2">
        <v>625</v>
      </c>
      <c r="U278" s="2">
        <v>139</v>
      </c>
      <c r="V278" s="2">
        <v>82</v>
      </c>
      <c r="W278" s="2">
        <v>3655</v>
      </c>
      <c r="X278" s="9">
        <v>581073</v>
      </c>
      <c r="Y278" s="2" t="s">
        <v>46</v>
      </c>
      <c r="AA278" s="1" t="str">
        <f>TRIM(RPG_dataset[[#This Row],[Username]])</f>
        <v>drak_454</v>
      </c>
      <c r="AB278" s="1" t="str">
        <f>TRIM(RPG_dataset[[#This Row],[First Name]])</f>
        <v>Drak</v>
      </c>
      <c r="AC278" s="1" t="str">
        <f>PROPER(TRIM(RPG_dataset[[#This Row],[Race]]))</f>
        <v>Human</v>
      </c>
      <c r="AD278" s="1" t="str">
        <f>PROPER(TRIM(RPG_dataset[[#This Row],[Class]]))</f>
        <v>Bard</v>
      </c>
      <c r="AE278" s="1">
        <f>ABS(RPG_dataset[[#This Row],[Level]])</f>
        <v>47</v>
      </c>
      <c r="AF278" s="1">
        <f>ABS(RPG_dataset[[#This Row],[ATK]])</f>
        <v>80</v>
      </c>
      <c r="AG278" s="1">
        <f>ABS(RPG_dataset[[#This Row],[DEF]])</f>
        <v>20</v>
      </c>
      <c r="AH278" s="1">
        <f>ABS(RPG_dataset[[#This Row],[SPD]])</f>
        <v>14</v>
      </c>
      <c r="AI278" s="1">
        <f>ABS(RPG_dataset[[#This Row],[HP]])</f>
        <v>4110</v>
      </c>
      <c r="AJ278" s="1">
        <f>ABS(RPG_dataset[[#This Row],[MP]])</f>
        <v>2391</v>
      </c>
      <c r="AK278" s="1">
        <f>ABS(RPG_dataset[[#This Row],[Total Stat]])</f>
        <v>114</v>
      </c>
      <c r="AL278" s="1">
        <f>ABS(RPG_dataset[[#This Row],[Kills]])</f>
        <v>2799</v>
      </c>
      <c r="AM278" s="12">
        <f>ABS(RPG_dataset[[#This Row],[Win Rate (%)]])</f>
        <v>82</v>
      </c>
      <c r="AN278" s="4">
        <f>ABS(RPG_dataset[[#This Row],[Gold Earned]])</f>
        <v>581073</v>
      </c>
      <c r="AO278" s="5" t="str">
        <f t="shared" si="4"/>
        <v>OK</v>
      </c>
      <c r="AP278" s="5">
        <f>RANK(clean[[#This Row],[Clean Gold]],clean[Clean Gold], 0)</f>
        <v>211</v>
      </c>
      <c r="AQ278" s="1">
        <v>170</v>
      </c>
      <c r="AR278" s="1" t="str" cm="1">
        <f t="array" ref="AR278">_xlfn.IFS(clean[[#This Row],[Clean Level]]&gt;=76, "Legend", clean[[#This Row],[Clean Level]]&gt;=51, "Elite", clean[[#This Row],[Clean Level]]&gt;=26, "Veteran", TRUE, "Rookie")</f>
        <v>Veteran</v>
      </c>
      <c r="AS278" s="1" t="str">
        <f>IF(RPG_dataset[[#This Row],[Status]]="Active", "TRUE", "FALSE")</f>
        <v>FALSE</v>
      </c>
      <c r="AT278" s="1" t="str" cm="1">
        <f t="array" ref="AT278">_xlfn.IFS(clean[[#This Row],[Clean Win Rate]]&gt;70, "Excellent", clean[[#This Row],[Clean Win Rate]]&gt;=40, "Average", TRUE, "Poor")</f>
        <v>Excellent</v>
      </c>
      <c r="AU278" s="1" t="str">
        <f>IF(AND(clean[[#This Row],[Clean Level]]&gt;80, clean[[#This Row],[Clean Total Stat]]&gt;350, clean[[#This Row],[Clean Gold]]&gt;500000), "Overpowered", "Normal")</f>
        <v>Normal</v>
      </c>
      <c r="AV278" s="1" t="str" cm="1">
        <f t="array" ref="AV27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78" s="1" t="str" cm="1">
        <f t="array" ref="AW27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278" s="1"/>
    </row>
    <row r="279" spans="1:50" x14ac:dyDescent="0.3">
      <c r="A279" s="2" t="s">
        <v>1011</v>
      </c>
      <c r="B279" s="2" t="s">
        <v>1012</v>
      </c>
      <c r="C279" s="2" t="s">
        <v>371</v>
      </c>
      <c r="D279" s="2" t="s">
        <v>119</v>
      </c>
      <c r="E279" s="2" t="s">
        <v>169</v>
      </c>
      <c r="F279" s="2" t="s">
        <v>42</v>
      </c>
      <c r="G279" s="2">
        <v>96</v>
      </c>
      <c r="H279" s="2" t="s">
        <v>31</v>
      </c>
      <c r="I279" s="2" t="s">
        <v>74</v>
      </c>
      <c r="J279" s="2" t="s">
        <v>163</v>
      </c>
      <c r="K279" s="2" t="s">
        <v>34</v>
      </c>
      <c r="L279" s="6" t="s">
        <v>1013</v>
      </c>
      <c r="M279" s="2">
        <v>31</v>
      </c>
      <c r="N279" s="2">
        <v>119</v>
      </c>
      <c r="O279" s="2">
        <v>70</v>
      </c>
      <c r="P279" s="2">
        <v>459</v>
      </c>
      <c r="Q279" s="2">
        <v>794</v>
      </c>
      <c r="R279" s="2">
        <v>220</v>
      </c>
      <c r="S279" s="2">
        <v>275</v>
      </c>
      <c r="T279" s="2">
        <v>467</v>
      </c>
      <c r="U279" s="2">
        <v>213</v>
      </c>
      <c r="V279" s="2">
        <v>37</v>
      </c>
      <c r="W279" s="2">
        <v>3225</v>
      </c>
      <c r="X279" s="9">
        <v>697160</v>
      </c>
      <c r="Y279" s="2" t="s">
        <v>46</v>
      </c>
      <c r="AA279" s="1" t="str">
        <f>TRIM(RPG_dataset[[#This Row],[Username]])</f>
        <v>kira_261</v>
      </c>
      <c r="AB279" s="1" t="str">
        <f>TRIM(RPG_dataset[[#This Row],[First Name]])</f>
        <v>Kira</v>
      </c>
      <c r="AC279" s="1" t="str">
        <f>PROPER(TRIM(RPG_dataset[[#This Row],[Race]]))</f>
        <v>Halfling</v>
      </c>
      <c r="AD279" s="1" t="str">
        <f>PROPER(TRIM(RPG_dataset[[#This Row],[Class]]))</f>
        <v>Monk</v>
      </c>
      <c r="AE279" s="1">
        <f>ABS(RPG_dataset[[#This Row],[Level]])</f>
        <v>96</v>
      </c>
      <c r="AF279" s="1">
        <f>ABS(RPG_dataset[[#This Row],[ATK]])</f>
        <v>31</v>
      </c>
      <c r="AG279" s="1">
        <f>ABS(RPG_dataset[[#This Row],[DEF]])</f>
        <v>119</v>
      </c>
      <c r="AH279" s="1">
        <f>ABS(RPG_dataset[[#This Row],[SPD]])</f>
        <v>70</v>
      </c>
      <c r="AI279" s="1">
        <f>ABS(RPG_dataset[[#This Row],[HP]])</f>
        <v>459</v>
      </c>
      <c r="AJ279" s="1">
        <f>ABS(RPG_dataset[[#This Row],[MP]])</f>
        <v>794</v>
      </c>
      <c r="AK279" s="1">
        <f>ABS(RPG_dataset[[#This Row],[Total Stat]])</f>
        <v>220</v>
      </c>
      <c r="AL279" s="1">
        <f>ABS(RPG_dataset[[#This Row],[Kills]])</f>
        <v>275</v>
      </c>
      <c r="AM279" s="12">
        <f>ABS(RPG_dataset[[#This Row],[Win Rate (%)]])</f>
        <v>37</v>
      </c>
      <c r="AN279" s="4">
        <f>ABS(RPG_dataset[[#This Row],[Gold Earned]])</f>
        <v>697160</v>
      </c>
      <c r="AO279" s="5" t="str">
        <f t="shared" si="4"/>
        <v>OK</v>
      </c>
      <c r="AP279" s="5">
        <f>RANK(clean[[#This Row],[Clean Gold]],clean[Clean Gold], 0)</f>
        <v>152</v>
      </c>
      <c r="AQ279" s="1">
        <v>332</v>
      </c>
      <c r="AR279" s="1" t="str" cm="1">
        <f t="array" ref="AR279">_xlfn.IFS(clean[[#This Row],[Clean Level]]&gt;=76, "Legend", clean[[#This Row],[Clean Level]]&gt;=51, "Elite", clean[[#This Row],[Clean Level]]&gt;=26, "Veteran", TRUE, "Rookie")</f>
        <v>Legend</v>
      </c>
      <c r="AS279" s="1" t="str">
        <f>IF(RPG_dataset[[#This Row],[Status]]="Active", "TRUE", "FALSE")</f>
        <v>FALSE</v>
      </c>
      <c r="AT279" s="1" t="str" cm="1">
        <f t="array" ref="AT279">_xlfn.IFS(clean[[#This Row],[Clean Win Rate]]&gt;70, "Excellent", clean[[#This Row],[Clean Win Rate]]&gt;=40, "Average", TRUE, "Poor")</f>
        <v>Poor</v>
      </c>
      <c r="AU279" s="1" t="str">
        <f>IF(AND(clean[[#This Row],[Clean Level]]&gt;80, clean[[#This Row],[Clean Total Stat]]&gt;350, clean[[#This Row],[Clean Gold]]&gt;500000), "Overpowered", "Normal")</f>
        <v>Normal</v>
      </c>
      <c r="AV279" s="1" t="str" cm="1">
        <f t="array" ref="AV27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79" s="1" t="str" cm="1">
        <f t="array" ref="AW27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79" s="1"/>
    </row>
    <row r="280" spans="1:50" x14ac:dyDescent="0.3">
      <c r="A280" s="2" t="s">
        <v>1014</v>
      </c>
      <c r="B280" s="2" t="s">
        <v>1015</v>
      </c>
      <c r="C280" s="2" t="s">
        <v>339</v>
      </c>
      <c r="D280" s="2" t="s">
        <v>50</v>
      </c>
      <c r="E280" s="2" t="s">
        <v>105</v>
      </c>
      <c r="F280" s="2" t="s">
        <v>194</v>
      </c>
      <c r="G280" s="2">
        <v>10</v>
      </c>
      <c r="H280" s="2" t="s">
        <v>80</v>
      </c>
      <c r="I280" s="2" t="s">
        <v>126</v>
      </c>
      <c r="J280" s="2" t="s">
        <v>163</v>
      </c>
      <c r="K280" s="2" t="s">
        <v>34</v>
      </c>
      <c r="L280" s="6" t="s">
        <v>694</v>
      </c>
      <c r="M280" s="2">
        <v>134</v>
      </c>
      <c r="N280" s="2">
        <v>11</v>
      </c>
      <c r="O280" s="2">
        <v>31</v>
      </c>
      <c r="P280" s="2">
        <v>4844</v>
      </c>
      <c r="Q280" s="2">
        <v>1673</v>
      </c>
      <c r="R280" s="2">
        <v>176</v>
      </c>
      <c r="S280" s="2">
        <v>4688</v>
      </c>
      <c r="T280" s="2">
        <v>500</v>
      </c>
      <c r="U280" s="2"/>
      <c r="V280" s="2">
        <v>90</v>
      </c>
      <c r="W280" s="2">
        <v>4693</v>
      </c>
      <c r="X280" s="9">
        <v>94453</v>
      </c>
      <c r="Y280" s="2" t="s">
        <v>46</v>
      </c>
      <c r="AA280" s="1" t="str">
        <f>TRIM(RPG_dataset[[#This Row],[Username]])</f>
        <v>drak_618</v>
      </c>
      <c r="AB280" s="1" t="str">
        <f>TRIM(RPG_dataset[[#This Row],[First Name]])</f>
        <v>Drak</v>
      </c>
      <c r="AC280" s="1" t="str">
        <f>PROPER(TRIM(RPG_dataset[[#This Row],[Race]]))</f>
        <v>Orc</v>
      </c>
      <c r="AD280" s="1" t="str">
        <f>PROPER(TRIM(RPG_dataset[[#This Row],[Class]]))</f>
        <v>Paladin</v>
      </c>
      <c r="AE280" s="1">
        <f>ABS(RPG_dataset[[#This Row],[Level]])</f>
        <v>10</v>
      </c>
      <c r="AF280" s="1">
        <f>ABS(RPG_dataset[[#This Row],[ATK]])</f>
        <v>134</v>
      </c>
      <c r="AG280" s="1">
        <f>ABS(RPG_dataset[[#This Row],[DEF]])</f>
        <v>11</v>
      </c>
      <c r="AH280" s="1">
        <f>ABS(RPG_dataset[[#This Row],[SPD]])</f>
        <v>31</v>
      </c>
      <c r="AI280" s="1">
        <f>ABS(RPG_dataset[[#This Row],[HP]])</f>
        <v>4844</v>
      </c>
      <c r="AJ280" s="1">
        <f>ABS(RPG_dataset[[#This Row],[MP]])</f>
        <v>1673</v>
      </c>
      <c r="AK280" s="1">
        <f>ABS(RPG_dataset[[#This Row],[Total Stat]])</f>
        <v>176</v>
      </c>
      <c r="AL280" s="1">
        <f>ABS(RPG_dataset[[#This Row],[Kills]])</f>
        <v>4688</v>
      </c>
      <c r="AM280" s="12">
        <f>ABS(RPG_dataset[[#This Row],[Win Rate (%)]])</f>
        <v>90</v>
      </c>
      <c r="AN280" s="4">
        <f>ABS(RPG_dataset[[#This Row],[Gold Earned]])</f>
        <v>94453</v>
      </c>
      <c r="AO280" s="5" t="str">
        <f t="shared" si="4"/>
        <v>OK</v>
      </c>
      <c r="AP280" s="5">
        <f>RANK(clean[[#This Row],[Clean Gold]],clean[Clean Gold], 0)</f>
        <v>442</v>
      </c>
      <c r="AQ280" s="1">
        <v>150</v>
      </c>
      <c r="AR280" s="1" t="str" cm="1">
        <f t="array" ref="AR280">_xlfn.IFS(clean[[#This Row],[Clean Level]]&gt;=76, "Legend", clean[[#This Row],[Clean Level]]&gt;=51, "Elite", clean[[#This Row],[Clean Level]]&gt;=26, "Veteran", TRUE, "Rookie")</f>
        <v>Rookie</v>
      </c>
      <c r="AS280" s="1" t="str">
        <f>IF(RPG_dataset[[#This Row],[Status]]="Active", "TRUE", "FALSE")</f>
        <v>FALSE</v>
      </c>
      <c r="AT280" s="1" t="str" cm="1">
        <f t="array" ref="AT280">_xlfn.IFS(clean[[#This Row],[Clean Win Rate]]&gt;70, "Excellent", clean[[#This Row],[Clean Win Rate]]&gt;=40, "Average", TRUE, "Poor")</f>
        <v>Excellent</v>
      </c>
      <c r="AU280" s="1" t="str">
        <f>IF(AND(clean[[#This Row],[Clean Level]]&gt;80, clean[[#This Row],[Clean Total Stat]]&gt;350, clean[[#This Row],[Clean Gold]]&gt;500000), "Overpowered", "Normal")</f>
        <v>Normal</v>
      </c>
      <c r="AV280" s="1" t="str" cm="1">
        <f t="array" ref="AV28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80" s="1" t="str" cm="1">
        <f t="array" ref="AW28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80" s="1"/>
    </row>
    <row r="281" spans="1:50" x14ac:dyDescent="0.3">
      <c r="A281" s="2" t="s">
        <v>1016</v>
      </c>
      <c r="B281" s="2" t="s">
        <v>1017</v>
      </c>
      <c r="C281" s="2" t="s">
        <v>296</v>
      </c>
      <c r="D281" s="2" t="s">
        <v>254</v>
      </c>
      <c r="E281" s="2" t="s">
        <v>29</v>
      </c>
      <c r="F281" s="2" t="s">
        <v>52</v>
      </c>
      <c r="G281" s="2">
        <v>55</v>
      </c>
      <c r="H281" s="2" t="s">
        <v>62</v>
      </c>
      <c r="I281" s="2" t="s">
        <v>74</v>
      </c>
      <c r="J281" s="2" t="s">
        <v>92</v>
      </c>
      <c r="K281" s="2" t="s">
        <v>106</v>
      </c>
      <c r="L281" s="6" t="s">
        <v>1018</v>
      </c>
      <c r="M281" s="2">
        <v>51</v>
      </c>
      <c r="N281" s="2">
        <v>64</v>
      </c>
      <c r="O281" s="2">
        <v>121</v>
      </c>
      <c r="P281" s="2">
        <v>1737</v>
      </c>
      <c r="Q281" s="2">
        <v>2860</v>
      </c>
      <c r="R281" s="2">
        <v>236</v>
      </c>
      <c r="S281" s="2">
        <v>3739</v>
      </c>
      <c r="T281" s="2">
        <v>59</v>
      </c>
      <c r="U281" s="2">
        <v>156</v>
      </c>
      <c r="V281" s="2">
        <v>98</v>
      </c>
      <c r="W281" s="2">
        <v>2124</v>
      </c>
      <c r="X281" s="9">
        <v>916899</v>
      </c>
      <c r="Y281" s="2" t="s">
        <v>36</v>
      </c>
      <c r="AA281" s="1" t="str">
        <f>TRIM(RPG_dataset[[#This Row],[Username]])</f>
        <v>gareth_792</v>
      </c>
      <c r="AB281" s="1" t="str">
        <f>TRIM(RPG_dataset[[#This Row],[First Name]])</f>
        <v>Gareth</v>
      </c>
      <c r="AC281" s="1" t="str">
        <f>PROPER(TRIM(RPG_dataset[[#This Row],[Race]]))</f>
        <v>Dwarf</v>
      </c>
      <c r="AD281" s="1" t="str">
        <f>PROPER(TRIM(RPG_dataset[[#This Row],[Class]]))</f>
        <v>Bard</v>
      </c>
      <c r="AE281" s="1">
        <f>ABS(RPG_dataset[[#This Row],[Level]])</f>
        <v>55</v>
      </c>
      <c r="AF281" s="1">
        <f>ABS(RPG_dataset[[#This Row],[ATK]])</f>
        <v>51</v>
      </c>
      <c r="AG281" s="1">
        <f>ABS(RPG_dataset[[#This Row],[DEF]])</f>
        <v>64</v>
      </c>
      <c r="AH281" s="1">
        <f>ABS(RPG_dataset[[#This Row],[SPD]])</f>
        <v>121</v>
      </c>
      <c r="AI281" s="1">
        <f>ABS(RPG_dataset[[#This Row],[HP]])</f>
        <v>1737</v>
      </c>
      <c r="AJ281" s="1">
        <f>ABS(RPG_dataset[[#This Row],[MP]])</f>
        <v>2860</v>
      </c>
      <c r="AK281" s="1">
        <f>ABS(RPG_dataset[[#This Row],[Total Stat]])</f>
        <v>236</v>
      </c>
      <c r="AL281" s="1">
        <f>ABS(RPG_dataset[[#This Row],[Kills]])</f>
        <v>3739</v>
      </c>
      <c r="AM281" s="12">
        <f>ABS(RPG_dataset[[#This Row],[Win Rate (%)]])</f>
        <v>98</v>
      </c>
      <c r="AN281" s="4">
        <f>ABS(RPG_dataset[[#This Row],[Gold Earned]])</f>
        <v>916899</v>
      </c>
      <c r="AO281" s="5" t="str">
        <f t="shared" si="4"/>
        <v>OK</v>
      </c>
      <c r="AP281" s="5">
        <f>RANK(clean[[#This Row],[Clean Gold]],clean[Clean Gold], 0)</f>
        <v>44</v>
      </c>
      <c r="AQ281" s="1">
        <v>348</v>
      </c>
      <c r="AR281" s="1" t="str" cm="1">
        <f t="array" ref="AR281">_xlfn.IFS(clean[[#This Row],[Clean Level]]&gt;=76, "Legend", clean[[#This Row],[Clean Level]]&gt;=51, "Elite", clean[[#This Row],[Clean Level]]&gt;=26, "Veteran", TRUE, "Rookie")</f>
        <v>Elite</v>
      </c>
      <c r="AS281" s="1" t="str">
        <f>IF(RPG_dataset[[#This Row],[Status]]="Active", "TRUE", "FALSE")</f>
        <v>FALSE</v>
      </c>
      <c r="AT281" s="1" t="str" cm="1">
        <f t="array" ref="AT281">_xlfn.IFS(clean[[#This Row],[Clean Win Rate]]&gt;70, "Excellent", clean[[#This Row],[Clean Win Rate]]&gt;=40, "Average", TRUE, "Poor")</f>
        <v>Excellent</v>
      </c>
      <c r="AU281" s="1" t="str">
        <f>IF(AND(clean[[#This Row],[Clean Level]]&gt;80, clean[[#This Row],[Clean Total Stat]]&gt;350, clean[[#This Row],[Clean Gold]]&gt;500000), "Overpowered", "Normal")</f>
        <v>Normal</v>
      </c>
      <c r="AV281" s="1" t="str" cm="1">
        <f t="array" ref="AV281">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281" s="1" t="str" cm="1">
        <f t="array" ref="AW28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81" s="1"/>
    </row>
    <row r="282" spans="1:50" x14ac:dyDescent="0.3">
      <c r="A282" s="2" t="s">
        <v>1019</v>
      </c>
      <c r="B282" s="2" t="s">
        <v>75</v>
      </c>
      <c r="C282" s="2" t="s">
        <v>604</v>
      </c>
      <c r="D282" s="2" t="s">
        <v>618</v>
      </c>
      <c r="E282" s="2" t="s">
        <v>51</v>
      </c>
      <c r="F282" s="2" t="s">
        <v>30</v>
      </c>
      <c r="G282" s="2">
        <v>1</v>
      </c>
      <c r="H282" s="2" t="s">
        <v>53</v>
      </c>
      <c r="I282" s="2" t="s">
        <v>32</v>
      </c>
      <c r="J282" s="2" t="s">
        <v>163</v>
      </c>
      <c r="K282" s="2" t="s">
        <v>75</v>
      </c>
      <c r="L282" s="6" t="s">
        <v>1020</v>
      </c>
      <c r="M282" s="2">
        <v>82</v>
      </c>
      <c r="N282" s="2">
        <v>136</v>
      </c>
      <c r="O282" s="2">
        <v>103</v>
      </c>
      <c r="P282" s="2">
        <v>1538</v>
      </c>
      <c r="Q282" s="2">
        <v>2254</v>
      </c>
      <c r="R282" s="2">
        <v>-321</v>
      </c>
      <c r="S282" s="2">
        <v>3995</v>
      </c>
      <c r="T282" s="2">
        <v>616</v>
      </c>
      <c r="U282" s="2">
        <v>10</v>
      </c>
      <c r="V282" s="2">
        <v>87</v>
      </c>
      <c r="W282" s="2">
        <v>2296</v>
      </c>
      <c r="X282" s="9">
        <v>932094</v>
      </c>
      <c r="Y282" s="2" t="s">
        <v>36</v>
      </c>
      <c r="AA282" s="1" t="str">
        <f>TRIM(RPG_dataset[[#This Row],[Username]])</f>
        <v/>
      </c>
      <c r="AB282" s="1" t="str">
        <f>TRIM(RPG_dataset[[#This Row],[First Name]])</f>
        <v>Roran</v>
      </c>
      <c r="AC282" s="1" t="str">
        <f>PROPER(TRIM(RPG_dataset[[#This Row],[Race]]))</f>
        <v>Tiefling</v>
      </c>
      <c r="AD282" s="1" t="str">
        <f>PROPER(TRIM(RPG_dataset[[#This Row],[Class]]))</f>
        <v>Rogue</v>
      </c>
      <c r="AE282" s="1">
        <f>ABS(RPG_dataset[[#This Row],[Level]])</f>
        <v>1</v>
      </c>
      <c r="AF282" s="1">
        <f>ABS(RPG_dataset[[#This Row],[ATK]])</f>
        <v>82</v>
      </c>
      <c r="AG282" s="1">
        <f>ABS(RPG_dataset[[#This Row],[DEF]])</f>
        <v>136</v>
      </c>
      <c r="AH282" s="1">
        <f>ABS(RPG_dataset[[#This Row],[SPD]])</f>
        <v>103</v>
      </c>
      <c r="AI282" s="1">
        <f>ABS(RPG_dataset[[#This Row],[HP]])</f>
        <v>1538</v>
      </c>
      <c r="AJ282" s="1">
        <f>ABS(RPG_dataset[[#This Row],[MP]])</f>
        <v>2254</v>
      </c>
      <c r="AK282" s="1">
        <f>ABS(RPG_dataset[[#This Row],[Total Stat]])</f>
        <v>321</v>
      </c>
      <c r="AL282" s="1">
        <f>ABS(RPG_dataset[[#This Row],[Kills]])</f>
        <v>3995</v>
      </c>
      <c r="AM282" s="12">
        <f>ABS(RPG_dataset[[#This Row],[Win Rate (%)]])</f>
        <v>87</v>
      </c>
      <c r="AN282" s="4">
        <f>ABS(RPG_dataset[[#This Row],[Gold Earned]])</f>
        <v>932094</v>
      </c>
      <c r="AO282" s="5" t="str">
        <f t="shared" si="4"/>
        <v>Fix This</v>
      </c>
      <c r="AP282" s="5">
        <f>RANK(clean[[#This Row],[Clean Gold]],clean[Clean Gold], 0)</f>
        <v>34</v>
      </c>
      <c r="AQ282" s="1">
        <v>252</v>
      </c>
      <c r="AR282" s="1" t="str" cm="1">
        <f t="array" ref="AR282">_xlfn.IFS(clean[[#This Row],[Clean Level]]&gt;=76, "Legend", clean[[#This Row],[Clean Level]]&gt;=51, "Elite", clean[[#This Row],[Clean Level]]&gt;=26, "Veteran", TRUE, "Rookie")</f>
        <v>Rookie</v>
      </c>
      <c r="AS282" s="1" t="str">
        <f>IF(RPG_dataset[[#This Row],[Status]]="Active", "TRUE", "FALSE")</f>
        <v>FALSE</v>
      </c>
      <c r="AT282" s="1" t="str" cm="1">
        <f t="array" ref="AT282">_xlfn.IFS(clean[[#This Row],[Clean Win Rate]]&gt;70, "Excellent", clean[[#This Row],[Clean Win Rate]]&gt;=40, "Average", TRUE, "Poor")</f>
        <v>Excellent</v>
      </c>
      <c r="AU282" s="1" t="str">
        <f>IF(AND(clean[[#This Row],[Clean Level]]&gt;80, clean[[#This Row],[Clean Total Stat]]&gt;350, clean[[#This Row],[Clean Gold]]&gt;500000), "Overpowered", "Normal")</f>
        <v>Normal</v>
      </c>
      <c r="AV282" s="1" t="str" cm="1">
        <f t="array" ref="AV28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82" s="1" t="str" cm="1">
        <f t="array" ref="AW28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82" s="1"/>
    </row>
    <row r="283" spans="1:50" x14ac:dyDescent="0.3">
      <c r="A283" s="2" t="s">
        <v>1021</v>
      </c>
      <c r="B283" s="2" t="s">
        <v>1022</v>
      </c>
      <c r="C283" s="2" t="s">
        <v>118</v>
      </c>
      <c r="D283" s="2" t="s">
        <v>40</v>
      </c>
      <c r="E283" s="2" t="s">
        <v>41</v>
      </c>
      <c r="F283" s="2" t="s">
        <v>1023</v>
      </c>
      <c r="G283" s="2">
        <v>31</v>
      </c>
      <c r="H283" s="2" t="s">
        <v>1024</v>
      </c>
      <c r="I283" s="2" t="s">
        <v>32</v>
      </c>
      <c r="J283" s="2" t="s">
        <v>92</v>
      </c>
      <c r="K283" s="2" t="s">
        <v>44</v>
      </c>
      <c r="L283" s="6" t="s">
        <v>558</v>
      </c>
      <c r="M283" s="2">
        <v>89</v>
      </c>
      <c r="N283" s="2">
        <v>121</v>
      </c>
      <c r="O283" s="2">
        <v>44</v>
      </c>
      <c r="P283" s="2">
        <v>4075</v>
      </c>
      <c r="Q283" s="2">
        <v>2893</v>
      </c>
      <c r="R283" s="2">
        <v>254</v>
      </c>
      <c r="S283" s="2">
        <v>2084</v>
      </c>
      <c r="T283" s="2">
        <v>540</v>
      </c>
      <c r="U283" s="2">
        <v>19</v>
      </c>
      <c r="V283" s="2">
        <v>79</v>
      </c>
      <c r="W283" s="2">
        <v>4561</v>
      </c>
      <c r="X283" s="9">
        <v>230035</v>
      </c>
      <c r="Y283" s="2" t="s">
        <v>36</v>
      </c>
      <c r="AA283" s="1" t="str">
        <f>TRIM(RPG_dataset[[#This Row],[Username]])</f>
        <v>ivan_235</v>
      </c>
      <c r="AB283" s="1" t="str">
        <f>TRIM(RPG_dataset[[#This Row],[First Name]])</f>
        <v>Ivan</v>
      </c>
      <c r="AC283" s="1" t="str">
        <f>PROPER(TRIM(RPG_dataset[[#This Row],[Race]]))</f>
        <v>Gnome</v>
      </c>
      <c r="AD283" s="1" t="str">
        <f>PROPER(TRIM(RPG_dataset[[#This Row],[Class]]))</f>
        <v>Warrior</v>
      </c>
      <c r="AE283" s="1">
        <f>ABS(RPG_dataset[[#This Row],[Level]])</f>
        <v>31</v>
      </c>
      <c r="AF283" s="1">
        <f>ABS(RPG_dataset[[#This Row],[ATK]])</f>
        <v>89</v>
      </c>
      <c r="AG283" s="1">
        <f>ABS(RPG_dataset[[#This Row],[DEF]])</f>
        <v>121</v>
      </c>
      <c r="AH283" s="1">
        <f>ABS(RPG_dataset[[#This Row],[SPD]])</f>
        <v>44</v>
      </c>
      <c r="AI283" s="1">
        <f>ABS(RPG_dataset[[#This Row],[HP]])</f>
        <v>4075</v>
      </c>
      <c r="AJ283" s="1">
        <f>ABS(RPG_dataset[[#This Row],[MP]])</f>
        <v>2893</v>
      </c>
      <c r="AK283" s="1">
        <f>ABS(RPG_dataset[[#This Row],[Total Stat]])</f>
        <v>254</v>
      </c>
      <c r="AL283" s="1">
        <f>ABS(RPG_dataset[[#This Row],[Kills]])</f>
        <v>2084</v>
      </c>
      <c r="AM283" s="12">
        <f>ABS(RPG_dataset[[#This Row],[Win Rate (%)]])</f>
        <v>79</v>
      </c>
      <c r="AN283" s="4">
        <f>ABS(RPG_dataset[[#This Row],[Gold Earned]])</f>
        <v>230035</v>
      </c>
      <c r="AO283" s="5" t="str">
        <f t="shared" si="4"/>
        <v>OK</v>
      </c>
      <c r="AP283" s="5">
        <f>RANK(clean[[#This Row],[Clean Gold]],clean[Clean Gold], 0)</f>
        <v>383</v>
      </c>
      <c r="AQ283" s="1">
        <v>254</v>
      </c>
      <c r="AR283" s="1" t="str" cm="1">
        <f t="array" ref="AR283">_xlfn.IFS(clean[[#This Row],[Clean Level]]&gt;=76, "Legend", clean[[#This Row],[Clean Level]]&gt;=51, "Elite", clean[[#This Row],[Clean Level]]&gt;=26, "Veteran", TRUE, "Rookie")</f>
        <v>Veteran</v>
      </c>
      <c r="AS283" s="1" t="str">
        <f>IF(RPG_dataset[[#This Row],[Status]]="Active", "TRUE", "FALSE")</f>
        <v>TRUE</v>
      </c>
      <c r="AT283" s="1" t="str" cm="1">
        <f t="array" ref="AT283">_xlfn.IFS(clean[[#This Row],[Clean Win Rate]]&gt;70, "Excellent", clean[[#This Row],[Clean Win Rate]]&gt;=40, "Average", TRUE, "Poor")</f>
        <v>Excellent</v>
      </c>
      <c r="AU283" s="1" t="str">
        <f>IF(AND(clean[[#This Row],[Clean Level]]&gt;80, clean[[#This Row],[Clean Total Stat]]&gt;350, clean[[#This Row],[Clean Gold]]&gt;500000), "Overpowered", "Normal")</f>
        <v>Normal</v>
      </c>
      <c r="AV283" s="1" t="str" cm="1">
        <f t="array" ref="AV28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83" s="1" t="str" cm="1">
        <f t="array" ref="AW28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283" s="1"/>
    </row>
    <row r="284" spans="1:50" x14ac:dyDescent="0.3">
      <c r="A284" s="2" t="s">
        <v>1025</v>
      </c>
      <c r="B284" s="2" t="s">
        <v>1026</v>
      </c>
      <c r="C284" s="2" t="s">
        <v>123</v>
      </c>
      <c r="D284" s="2" t="s">
        <v>304</v>
      </c>
      <c r="E284" s="2" t="s">
        <v>105</v>
      </c>
      <c r="F284" s="2" t="s">
        <v>52</v>
      </c>
      <c r="G284" s="2">
        <v>50</v>
      </c>
      <c r="H284" s="2" t="s">
        <v>31</v>
      </c>
      <c r="I284" s="2" t="s">
        <v>74</v>
      </c>
      <c r="J284" s="2" t="s">
        <v>64</v>
      </c>
      <c r="K284" s="2" t="s">
        <v>99</v>
      </c>
      <c r="L284" s="6" t="s">
        <v>1027</v>
      </c>
      <c r="M284" s="2">
        <v>78</v>
      </c>
      <c r="N284" s="2">
        <v>93</v>
      </c>
      <c r="O284" s="2">
        <v>30</v>
      </c>
      <c r="P284" s="2">
        <v>2443</v>
      </c>
      <c r="Q284" s="2">
        <v>2039</v>
      </c>
      <c r="R284" s="2">
        <v>-201</v>
      </c>
      <c r="S284" s="2">
        <v>4496</v>
      </c>
      <c r="T284" s="2">
        <v>547</v>
      </c>
      <c r="U284" s="2">
        <v>69</v>
      </c>
      <c r="V284" s="2">
        <v>89</v>
      </c>
      <c r="W284" s="2">
        <v>3366</v>
      </c>
      <c r="X284" s="9">
        <v>277949</v>
      </c>
      <c r="Y284" s="2" t="s">
        <v>36</v>
      </c>
      <c r="AA284" s="1" t="str">
        <f>TRIM(RPG_dataset[[#This Row],[Username]])</f>
        <v>faye_209</v>
      </c>
      <c r="AB284" s="1" t="str">
        <f>TRIM(RPG_dataset[[#This Row],[First Name]])</f>
        <v>Faye</v>
      </c>
      <c r="AC284" s="1" t="str">
        <f>PROPER(TRIM(RPG_dataset[[#This Row],[Race]]))</f>
        <v>Orc</v>
      </c>
      <c r="AD284" s="1" t="str">
        <f>PROPER(TRIM(RPG_dataset[[#This Row],[Class]]))</f>
        <v>Bard</v>
      </c>
      <c r="AE284" s="1">
        <f>ABS(RPG_dataset[[#This Row],[Level]])</f>
        <v>50</v>
      </c>
      <c r="AF284" s="1">
        <f>ABS(RPG_dataset[[#This Row],[ATK]])</f>
        <v>78</v>
      </c>
      <c r="AG284" s="1">
        <f>ABS(RPG_dataset[[#This Row],[DEF]])</f>
        <v>93</v>
      </c>
      <c r="AH284" s="1">
        <f>ABS(RPG_dataset[[#This Row],[SPD]])</f>
        <v>30</v>
      </c>
      <c r="AI284" s="1">
        <f>ABS(RPG_dataset[[#This Row],[HP]])</f>
        <v>2443</v>
      </c>
      <c r="AJ284" s="1">
        <f>ABS(RPG_dataset[[#This Row],[MP]])</f>
        <v>2039</v>
      </c>
      <c r="AK284" s="1">
        <f>ABS(RPG_dataset[[#This Row],[Total Stat]])</f>
        <v>201</v>
      </c>
      <c r="AL284" s="1">
        <f>ABS(RPG_dataset[[#This Row],[Kills]])</f>
        <v>4496</v>
      </c>
      <c r="AM284" s="12">
        <f>ABS(RPG_dataset[[#This Row],[Win Rate (%)]])</f>
        <v>89</v>
      </c>
      <c r="AN284" s="4">
        <f>ABS(RPG_dataset[[#This Row],[Gold Earned]])</f>
        <v>277949</v>
      </c>
      <c r="AO284" s="5" t="str">
        <f t="shared" si="4"/>
        <v>OK</v>
      </c>
      <c r="AP284" s="5">
        <f>RANK(clean[[#This Row],[Clean Gold]],clean[Clean Gold], 0)</f>
        <v>363</v>
      </c>
      <c r="AQ284" s="1">
        <v>348</v>
      </c>
      <c r="AR284" s="1" t="str" cm="1">
        <f t="array" ref="AR284">_xlfn.IFS(clean[[#This Row],[Clean Level]]&gt;=76, "Legend", clean[[#This Row],[Clean Level]]&gt;=51, "Elite", clean[[#This Row],[Clean Level]]&gt;=26, "Veteran", TRUE, "Rookie")</f>
        <v>Veteran</v>
      </c>
      <c r="AS284" s="1" t="str">
        <f>IF(RPG_dataset[[#This Row],[Status]]="Active", "TRUE", "FALSE")</f>
        <v>FALSE</v>
      </c>
      <c r="AT284" s="1" t="str" cm="1">
        <f t="array" ref="AT284">_xlfn.IFS(clean[[#This Row],[Clean Win Rate]]&gt;70, "Excellent", clean[[#This Row],[Clean Win Rate]]&gt;=40, "Average", TRUE, "Poor")</f>
        <v>Excellent</v>
      </c>
      <c r="AU284" s="1" t="str">
        <f>IF(AND(clean[[#This Row],[Clean Level]]&gt;80, clean[[#This Row],[Clean Total Stat]]&gt;350, clean[[#This Row],[Clean Gold]]&gt;500000), "Overpowered", "Normal")</f>
        <v>Normal</v>
      </c>
      <c r="AV284" s="1" t="str" cm="1">
        <f t="array" ref="AV28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84" s="1" t="str" cm="1">
        <f t="array" ref="AW28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84" s="1"/>
    </row>
    <row r="285" spans="1:50" x14ac:dyDescent="0.3">
      <c r="A285" s="2" t="s">
        <v>1028</v>
      </c>
      <c r="B285" s="2" t="s">
        <v>1029</v>
      </c>
      <c r="C285" s="2" t="s">
        <v>604</v>
      </c>
      <c r="D285" s="2" t="s">
        <v>70</v>
      </c>
      <c r="E285" s="2" t="s">
        <v>71</v>
      </c>
      <c r="F285" s="2" t="s">
        <v>98</v>
      </c>
      <c r="G285" s="2">
        <v>36</v>
      </c>
      <c r="H285" s="2" t="s">
        <v>62</v>
      </c>
      <c r="I285" s="2" t="s">
        <v>140</v>
      </c>
      <c r="J285" s="2" t="s">
        <v>92</v>
      </c>
      <c r="K285" s="2" t="s">
        <v>44</v>
      </c>
      <c r="L285" s="6" t="s">
        <v>1030</v>
      </c>
      <c r="M285" s="2">
        <v>67</v>
      </c>
      <c r="N285" s="2">
        <v>70</v>
      </c>
      <c r="O285" s="2">
        <v>111</v>
      </c>
      <c r="P285" s="2">
        <v>2681</v>
      </c>
      <c r="Q285" s="2">
        <v>1647</v>
      </c>
      <c r="R285" s="2">
        <v>248</v>
      </c>
      <c r="S285" s="2">
        <v>4547</v>
      </c>
      <c r="T285" s="2">
        <v>841</v>
      </c>
      <c r="U285" s="2">
        <v>-254</v>
      </c>
      <c r="V285" s="2">
        <v>84</v>
      </c>
      <c r="W285" s="2">
        <v>9751</v>
      </c>
      <c r="X285" s="2"/>
      <c r="Y285" s="2" t="s">
        <v>46</v>
      </c>
      <c r="AA285" s="1" t="str">
        <f>TRIM(RPG_dataset[[#This Row],[Username]])</f>
        <v>roran_611</v>
      </c>
      <c r="AB285" s="1" t="str">
        <f>TRIM(RPG_dataset[[#This Row],[First Name]])</f>
        <v>Roran</v>
      </c>
      <c r="AC285" s="1" t="str">
        <f>PROPER(TRIM(RPG_dataset[[#This Row],[Race]]))</f>
        <v>Dragonborn</v>
      </c>
      <c r="AD285" s="1" t="str">
        <f>PROPER(TRIM(RPG_dataset[[#This Row],[Class]]))</f>
        <v>Mage</v>
      </c>
      <c r="AE285" s="1">
        <f>ABS(RPG_dataset[[#This Row],[Level]])</f>
        <v>36</v>
      </c>
      <c r="AF285" s="1">
        <f>ABS(RPG_dataset[[#This Row],[ATK]])</f>
        <v>67</v>
      </c>
      <c r="AG285" s="1">
        <f>ABS(RPG_dataset[[#This Row],[DEF]])</f>
        <v>70</v>
      </c>
      <c r="AH285" s="1">
        <f>ABS(RPG_dataset[[#This Row],[SPD]])</f>
        <v>111</v>
      </c>
      <c r="AI285" s="1">
        <f>ABS(RPG_dataset[[#This Row],[HP]])</f>
        <v>2681</v>
      </c>
      <c r="AJ285" s="1">
        <f>ABS(RPG_dataset[[#This Row],[MP]])</f>
        <v>1647</v>
      </c>
      <c r="AK285" s="1">
        <f>ABS(RPG_dataset[[#This Row],[Total Stat]])</f>
        <v>248</v>
      </c>
      <c r="AL285" s="1">
        <f>ABS(RPG_dataset[[#This Row],[Kills]])</f>
        <v>4547</v>
      </c>
      <c r="AM285" s="12">
        <f>ABS(RPG_dataset[[#This Row],[Win Rate (%)]])</f>
        <v>84</v>
      </c>
      <c r="AN285" s="4">
        <f>ABS(RPG_dataset[[#This Row],[Gold Earned]])</f>
        <v>0</v>
      </c>
      <c r="AO285" s="5" t="str">
        <f t="shared" si="4"/>
        <v>OK</v>
      </c>
      <c r="AP285" s="5">
        <f>RANK(clean[[#This Row],[Clean Gold]],clean[Clean Gold], 0)</f>
        <v>486</v>
      </c>
      <c r="AQ285" s="1">
        <v>312</v>
      </c>
      <c r="AR285" s="1" t="str" cm="1">
        <f t="array" ref="AR285">_xlfn.IFS(clean[[#This Row],[Clean Level]]&gt;=76, "Legend", clean[[#This Row],[Clean Level]]&gt;=51, "Elite", clean[[#This Row],[Clean Level]]&gt;=26, "Veteran", TRUE, "Rookie")</f>
        <v>Veteran</v>
      </c>
      <c r="AS285" s="1" t="str">
        <f>IF(RPG_dataset[[#This Row],[Status]]="Active", "TRUE", "FALSE")</f>
        <v>TRUE</v>
      </c>
      <c r="AT285" s="1" t="str" cm="1">
        <f t="array" ref="AT285">_xlfn.IFS(clean[[#This Row],[Clean Win Rate]]&gt;70, "Excellent", clean[[#This Row],[Clean Win Rate]]&gt;=40, "Average", TRUE, "Poor")</f>
        <v>Excellent</v>
      </c>
      <c r="AU285" s="1" t="str">
        <f>IF(AND(clean[[#This Row],[Clean Level]]&gt;80, clean[[#This Row],[Clean Total Stat]]&gt;350, clean[[#This Row],[Clean Gold]]&gt;500000), "Overpowered", "Normal")</f>
        <v>Normal</v>
      </c>
      <c r="AV285" s="1" t="str" cm="1">
        <f t="array" ref="AV28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85" s="1" t="str" cm="1">
        <f t="array" ref="AW28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285" s="1"/>
    </row>
    <row r="286" spans="1:50" x14ac:dyDescent="0.3">
      <c r="A286" s="2" t="s">
        <v>1031</v>
      </c>
      <c r="B286" s="2" t="s">
        <v>1032</v>
      </c>
      <c r="C286" s="2" t="s">
        <v>296</v>
      </c>
      <c r="D286" s="2" t="s">
        <v>59</v>
      </c>
      <c r="E286" s="2" t="s">
        <v>41</v>
      </c>
      <c r="F286" s="2" t="s">
        <v>30</v>
      </c>
      <c r="G286" s="2">
        <v>31</v>
      </c>
      <c r="H286" s="2" t="s">
        <v>75</v>
      </c>
      <c r="I286" s="2" t="s">
        <v>32</v>
      </c>
      <c r="J286" s="2" t="s">
        <v>33</v>
      </c>
      <c r="K286" s="2" t="s">
        <v>44</v>
      </c>
      <c r="L286" s="6" t="s">
        <v>1033</v>
      </c>
      <c r="M286" s="2">
        <v>28</v>
      </c>
      <c r="N286" s="2">
        <v>47</v>
      </c>
      <c r="O286" s="2">
        <v>87</v>
      </c>
      <c r="P286" s="2">
        <v>2618</v>
      </c>
      <c r="Q286" s="2">
        <v>1613</v>
      </c>
      <c r="R286" s="2">
        <v>162</v>
      </c>
      <c r="S286" s="2">
        <v>4397</v>
      </c>
      <c r="T286" s="2">
        <v>566</v>
      </c>
      <c r="U286" s="2">
        <v>298</v>
      </c>
      <c r="V286" s="2">
        <v>89</v>
      </c>
      <c r="W286" s="2">
        <v>9704</v>
      </c>
      <c r="X286" s="9">
        <v>263600</v>
      </c>
      <c r="Y286" s="2" t="s">
        <v>46</v>
      </c>
      <c r="AA286" s="1" t="str">
        <f>TRIM(RPG_dataset[[#This Row],[Username]])</f>
        <v>gareth_368</v>
      </c>
      <c r="AB286" s="1" t="str">
        <f>TRIM(RPG_dataset[[#This Row],[First Name]])</f>
        <v>Gareth</v>
      </c>
      <c r="AC286" s="1" t="str">
        <f>PROPER(TRIM(RPG_dataset[[#This Row],[Race]]))</f>
        <v>Gnome</v>
      </c>
      <c r="AD286" s="1" t="str">
        <f>PROPER(TRIM(RPG_dataset[[#This Row],[Class]]))</f>
        <v>Rogue</v>
      </c>
      <c r="AE286" s="1">
        <f>ABS(RPG_dataset[[#This Row],[Level]])</f>
        <v>31</v>
      </c>
      <c r="AF286" s="1">
        <f>ABS(RPG_dataset[[#This Row],[ATK]])</f>
        <v>28</v>
      </c>
      <c r="AG286" s="1">
        <f>ABS(RPG_dataset[[#This Row],[DEF]])</f>
        <v>47</v>
      </c>
      <c r="AH286" s="1">
        <f>ABS(RPG_dataset[[#This Row],[SPD]])</f>
        <v>87</v>
      </c>
      <c r="AI286" s="1">
        <f>ABS(RPG_dataset[[#This Row],[HP]])</f>
        <v>2618</v>
      </c>
      <c r="AJ286" s="1">
        <f>ABS(RPG_dataset[[#This Row],[MP]])</f>
        <v>1613</v>
      </c>
      <c r="AK286" s="1">
        <f>ABS(RPG_dataset[[#This Row],[Total Stat]])</f>
        <v>162</v>
      </c>
      <c r="AL286" s="1">
        <f>ABS(RPG_dataset[[#This Row],[Kills]])</f>
        <v>4397</v>
      </c>
      <c r="AM286" s="12">
        <f>ABS(RPG_dataset[[#This Row],[Win Rate (%)]])</f>
        <v>89</v>
      </c>
      <c r="AN286" s="4">
        <f>ABS(RPG_dataset[[#This Row],[Gold Earned]])</f>
        <v>263600</v>
      </c>
      <c r="AO286" s="5" t="str">
        <f t="shared" si="4"/>
        <v>OK</v>
      </c>
      <c r="AP286" s="5">
        <f>RANK(clean[[#This Row],[Clean Gold]],clean[Clean Gold], 0)</f>
        <v>370</v>
      </c>
      <c r="AQ286" s="1">
        <v>313</v>
      </c>
      <c r="AR286" s="1" t="str" cm="1">
        <f t="array" ref="AR286">_xlfn.IFS(clean[[#This Row],[Clean Level]]&gt;=76, "Legend", clean[[#This Row],[Clean Level]]&gt;=51, "Elite", clean[[#This Row],[Clean Level]]&gt;=26, "Veteran", TRUE, "Rookie")</f>
        <v>Veteran</v>
      </c>
      <c r="AS286" s="1" t="str">
        <f>IF(RPG_dataset[[#This Row],[Status]]="Active", "TRUE", "FALSE")</f>
        <v>TRUE</v>
      </c>
      <c r="AT286" s="1" t="str" cm="1">
        <f t="array" ref="AT286">_xlfn.IFS(clean[[#This Row],[Clean Win Rate]]&gt;70, "Excellent", clean[[#This Row],[Clean Win Rate]]&gt;=40, "Average", TRUE, "Poor")</f>
        <v>Excellent</v>
      </c>
      <c r="AU286" s="1" t="str">
        <f>IF(AND(clean[[#This Row],[Clean Level]]&gt;80, clean[[#This Row],[Clean Total Stat]]&gt;350, clean[[#This Row],[Clean Gold]]&gt;500000), "Overpowered", "Normal")</f>
        <v>Normal</v>
      </c>
      <c r="AV286" s="1" t="str" cm="1">
        <f t="array" ref="AV28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86" s="1" t="str" cm="1">
        <f t="array" ref="AW28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86" s="1"/>
    </row>
    <row r="287" spans="1:50" x14ac:dyDescent="0.3">
      <c r="A287" s="2" t="s">
        <v>1034</v>
      </c>
      <c r="B287" s="2" t="s">
        <v>1035</v>
      </c>
      <c r="C287" s="2" t="s">
        <v>507</v>
      </c>
      <c r="D287" s="2" t="s">
        <v>162</v>
      </c>
      <c r="E287" s="2" t="s">
        <v>71</v>
      </c>
      <c r="F287" s="2" t="s">
        <v>42</v>
      </c>
      <c r="G287" s="2">
        <v>65</v>
      </c>
      <c r="H287" s="2" t="s">
        <v>31</v>
      </c>
      <c r="I287" s="2" t="s">
        <v>63</v>
      </c>
      <c r="J287" s="2" t="s">
        <v>88</v>
      </c>
      <c r="K287" s="2" t="s">
        <v>106</v>
      </c>
      <c r="L287" s="6" t="s">
        <v>1036</v>
      </c>
      <c r="M287" s="2">
        <v>46</v>
      </c>
      <c r="N287" s="2">
        <v>124</v>
      </c>
      <c r="O287" s="2">
        <v>43</v>
      </c>
      <c r="P287" s="2">
        <v>2061</v>
      </c>
      <c r="Q287" s="2">
        <v>1089</v>
      </c>
      <c r="R287" s="2">
        <v>213</v>
      </c>
      <c r="S287" s="2">
        <v>4435</v>
      </c>
      <c r="T287" s="2">
        <v>263</v>
      </c>
      <c r="U287" s="2">
        <v>220</v>
      </c>
      <c r="V287" s="2">
        <v>94</v>
      </c>
      <c r="W287" s="2">
        <v>4455</v>
      </c>
      <c r="X287" s="9">
        <v>526139</v>
      </c>
      <c r="Y287" s="2" t="s">
        <v>46</v>
      </c>
      <c r="AA287" s="1" t="str">
        <f>TRIM(RPG_dataset[[#This Row],[Username]])</f>
        <v>vex_667</v>
      </c>
      <c r="AB287" s="1" t="str">
        <f>TRIM(RPG_dataset[[#This Row],[First Name]])</f>
        <v>Vex</v>
      </c>
      <c r="AC287" s="1" t="str">
        <f>PROPER(TRIM(RPG_dataset[[#This Row],[Race]]))</f>
        <v>Dragonborn</v>
      </c>
      <c r="AD287" s="1" t="str">
        <f>PROPER(TRIM(RPG_dataset[[#This Row],[Class]]))</f>
        <v>Monk</v>
      </c>
      <c r="AE287" s="1">
        <f>ABS(RPG_dataset[[#This Row],[Level]])</f>
        <v>65</v>
      </c>
      <c r="AF287" s="1">
        <f>ABS(RPG_dataset[[#This Row],[ATK]])</f>
        <v>46</v>
      </c>
      <c r="AG287" s="1">
        <f>ABS(RPG_dataset[[#This Row],[DEF]])</f>
        <v>124</v>
      </c>
      <c r="AH287" s="1">
        <f>ABS(RPG_dataset[[#This Row],[SPD]])</f>
        <v>43</v>
      </c>
      <c r="AI287" s="1">
        <f>ABS(RPG_dataset[[#This Row],[HP]])</f>
        <v>2061</v>
      </c>
      <c r="AJ287" s="1">
        <f>ABS(RPG_dataset[[#This Row],[MP]])</f>
        <v>1089</v>
      </c>
      <c r="AK287" s="1">
        <f>ABS(RPG_dataset[[#This Row],[Total Stat]])</f>
        <v>213</v>
      </c>
      <c r="AL287" s="1">
        <f>ABS(RPG_dataset[[#This Row],[Kills]])</f>
        <v>4435</v>
      </c>
      <c r="AM287" s="12">
        <f>ABS(RPG_dataset[[#This Row],[Win Rate (%)]])</f>
        <v>94</v>
      </c>
      <c r="AN287" s="4">
        <f>ABS(RPG_dataset[[#This Row],[Gold Earned]])</f>
        <v>526139</v>
      </c>
      <c r="AO287" s="5" t="str">
        <f t="shared" si="4"/>
        <v>OK</v>
      </c>
      <c r="AP287" s="5">
        <f>RANK(clean[[#This Row],[Clean Gold]],clean[Clean Gold], 0)</f>
        <v>237</v>
      </c>
      <c r="AQ287" s="1">
        <v>389</v>
      </c>
      <c r="AR287" s="1" t="str" cm="1">
        <f t="array" ref="AR287">_xlfn.IFS(clean[[#This Row],[Clean Level]]&gt;=76, "Legend", clean[[#This Row],[Clean Level]]&gt;=51, "Elite", clean[[#This Row],[Clean Level]]&gt;=26, "Veteran", TRUE, "Rookie")</f>
        <v>Elite</v>
      </c>
      <c r="AS287" s="1" t="str">
        <f>IF(RPG_dataset[[#This Row],[Status]]="Active", "TRUE", "FALSE")</f>
        <v>FALSE</v>
      </c>
      <c r="AT287" s="1" t="str" cm="1">
        <f t="array" ref="AT287">_xlfn.IFS(clean[[#This Row],[Clean Win Rate]]&gt;70, "Excellent", clean[[#This Row],[Clean Win Rate]]&gt;=40, "Average", TRUE, "Poor")</f>
        <v>Excellent</v>
      </c>
      <c r="AU287" s="1" t="str">
        <f>IF(AND(clean[[#This Row],[Clean Level]]&gt;80, clean[[#This Row],[Clean Total Stat]]&gt;350, clean[[#This Row],[Clean Gold]]&gt;500000), "Overpowered", "Normal")</f>
        <v>Normal</v>
      </c>
      <c r="AV287" s="1" t="str" cm="1">
        <f t="array" ref="AV28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87" s="1" t="str" cm="1">
        <f t="array" ref="AW28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87" s="1"/>
    </row>
    <row r="288" spans="1:50" x14ac:dyDescent="0.3">
      <c r="A288" s="2" t="s">
        <v>1037</v>
      </c>
      <c r="B288" s="2" t="s">
        <v>1038</v>
      </c>
      <c r="C288" s="2" t="s">
        <v>203</v>
      </c>
      <c r="D288" s="2" t="s">
        <v>40</v>
      </c>
      <c r="E288" s="2" t="s">
        <v>105</v>
      </c>
      <c r="F288" s="2" t="s">
        <v>75</v>
      </c>
      <c r="G288" s="2">
        <v>60</v>
      </c>
      <c r="H288" s="2" t="s">
        <v>62</v>
      </c>
      <c r="I288" s="2" t="s">
        <v>63</v>
      </c>
      <c r="J288" s="2" t="s">
        <v>64</v>
      </c>
      <c r="K288" s="2" t="s">
        <v>215</v>
      </c>
      <c r="L288" s="6" t="s">
        <v>1039</v>
      </c>
      <c r="M288" s="2">
        <v>105</v>
      </c>
      <c r="N288" s="2">
        <v>129</v>
      </c>
      <c r="O288" s="2">
        <v>12</v>
      </c>
      <c r="P288" s="2">
        <v>4289</v>
      </c>
      <c r="Q288" s="2">
        <v>202</v>
      </c>
      <c r="R288" s="2">
        <v>246</v>
      </c>
      <c r="S288" s="2">
        <v>1180</v>
      </c>
      <c r="T288" s="2">
        <v>102</v>
      </c>
      <c r="U288" s="2">
        <v>105</v>
      </c>
      <c r="V288" s="2">
        <v>92</v>
      </c>
      <c r="W288" s="2">
        <v>9279</v>
      </c>
      <c r="X288" s="9">
        <v>21881</v>
      </c>
      <c r="Y288" s="2" t="s">
        <v>46</v>
      </c>
      <c r="AA288" s="1" t="str">
        <f>TRIM(RPG_dataset[[#This Row],[Username]])</f>
        <v>leon_703</v>
      </c>
      <c r="AB288" s="1" t="str">
        <f>TRIM(RPG_dataset[[#This Row],[First Name]])</f>
        <v>Leon</v>
      </c>
      <c r="AC288" s="1" t="str">
        <f>PROPER(TRIM(RPG_dataset[[#This Row],[Race]]))</f>
        <v>Orc</v>
      </c>
      <c r="AD288" s="1" t="str">
        <f>PROPER(TRIM(RPG_dataset[[#This Row],[Class]]))</f>
        <v/>
      </c>
      <c r="AE288" s="1">
        <f>ABS(RPG_dataset[[#This Row],[Level]])</f>
        <v>60</v>
      </c>
      <c r="AF288" s="1">
        <f>ABS(RPG_dataset[[#This Row],[ATK]])</f>
        <v>105</v>
      </c>
      <c r="AG288" s="1">
        <f>ABS(RPG_dataset[[#This Row],[DEF]])</f>
        <v>129</v>
      </c>
      <c r="AH288" s="1">
        <f>ABS(RPG_dataset[[#This Row],[SPD]])</f>
        <v>12</v>
      </c>
      <c r="AI288" s="1">
        <f>ABS(RPG_dataset[[#This Row],[HP]])</f>
        <v>4289</v>
      </c>
      <c r="AJ288" s="1">
        <f>ABS(RPG_dataset[[#This Row],[MP]])</f>
        <v>202</v>
      </c>
      <c r="AK288" s="1">
        <f>ABS(RPG_dataset[[#This Row],[Total Stat]])</f>
        <v>246</v>
      </c>
      <c r="AL288" s="1">
        <f>ABS(RPG_dataset[[#This Row],[Kills]])</f>
        <v>1180</v>
      </c>
      <c r="AM288" s="12">
        <f>ABS(RPG_dataset[[#This Row],[Win Rate (%)]])</f>
        <v>92</v>
      </c>
      <c r="AN288" s="4">
        <f>ABS(RPG_dataset[[#This Row],[Gold Earned]])</f>
        <v>21881</v>
      </c>
      <c r="AO288" s="5" t="str">
        <f t="shared" si="4"/>
        <v>OK</v>
      </c>
      <c r="AP288" s="5">
        <f>RANK(clean[[#This Row],[Clean Gold]],clean[Clean Gold], 0)</f>
        <v>473</v>
      </c>
      <c r="AQ288" s="1">
        <v>167</v>
      </c>
      <c r="AR288" s="1" t="str" cm="1">
        <f t="array" ref="AR288">_xlfn.IFS(clean[[#This Row],[Clean Level]]&gt;=76, "Legend", clean[[#This Row],[Clean Level]]&gt;=51, "Elite", clean[[#This Row],[Clean Level]]&gt;=26, "Veteran", TRUE, "Rookie")</f>
        <v>Elite</v>
      </c>
      <c r="AS288" s="1" t="str">
        <f>IF(RPG_dataset[[#This Row],[Status]]="Active", "TRUE", "FALSE")</f>
        <v>FALSE</v>
      </c>
      <c r="AT288" s="1" t="str" cm="1">
        <f t="array" ref="AT288">_xlfn.IFS(clean[[#This Row],[Clean Win Rate]]&gt;70, "Excellent", clean[[#This Row],[Clean Win Rate]]&gt;=40, "Average", TRUE, "Poor")</f>
        <v>Excellent</v>
      </c>
      <c r="AU288" s="1" t="str">
        <f>IF(AND(clean[[#This Row],[Clean Level]]&gt;80, clean[[#This Row],[Clean Total Stat]]&gt;350, clean[[#This Row],[Clean Gold]]&gt;500000), "Overpowered", "Normal")</f>
        <v>Normal</v>
      </c>
      <c r="AV288" s="1" t="str" cm="1">
        <f t="array" ref="AV28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88" s="1" t="str" cm="1">
        <f t="array" ref="AW28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288" s="1"/>
    </row>
    <row r="289" spans="1:50" x14ac:dyDescent="0.3">
      <c r="A289" s="2" t="s">
        <v>1040</v>
      </c>
      <c r="B289" s="2" t="s">
        <v>1041</v>
      </c>
      <c r="C289" s="2" t="s">
        <v>49</v>
      </c>
      <c r="D289" s="2" t="s">
        <v>168</v>
      </c>
      <c r="E289" s="2" t="s">
        <v>547</v>
      </c>
      <c r="F289" s="2" t="s">
        <v>194</v>
      </c>
      <c r="G289" s="2">
        <v>71</v>
      </c>
      <c r="H289" s="2" t="s">
        <v>31</v>
      </c>
      <c r="I289" s="2" t="s">
        <v>126</v>
      </c>
      <c r="J289" s="2" t="s">
        <v>64</v>
      </c>
      <c r="K289" s="2" t="s">
        <v>34</v>
      </c>
      <c r="L289" s="6" t="s">
        <v>1042</v>
      </c>
      <c r="M289" s="2">
        <v>84</v>
      </c>
      <c r="N289" s="2">
        <v>148</v>
      </c>
      <c r="O289" s="2">
        <v>28</v>
      </c>
      <c r="P289" s="2">
        <v>-4525</v>
      </c>
      <c r="Q289" s="2">
        <v>2170</v>
      </c>
      <c r="R289" s="2">
        <v>260</v>
      </c>
      <c r="S289" s="2">
        <v>3890</v>
      </c>
      <c r="T289" s="2">
        <v>311</v>
      </c>
      <c r="U289" s="2">
        <v>122</v>
      </c>
      <c r="V289" s="2">
        <v>93</v>
      </c>
      <c r="W289" s="2">
        <v>2349</v>
      </c>
      <c r="X289" s="9">
        <v>390986</v>
      </c>
      <c r="Y289" s="2" t="s">
        <v>46</v>
      </c>
      <c r="AA289" s="1" t="str">
        <f>TRIM(RPG_dataset[[#This Row],[Username]])</f>
        <v>dune_531</v>
      </c>
      <c r="AB289" s="1" t="str">
        <f>TRIM(RPG_dataset[[#This Row],[First Name]])</f>
        <v>Dune</v>
      </c>
      <c r="AC289" s="1" t="str">
        <f>PROPER(TRIM(RPG_dataset[[#This Row],[Race]]))</f>
        <v>Dragonborn</v>
      </c>
      <c r="AD289" s="1" t="str">
        <f>PROPER(TRIM(RPG_dataset[[#This Row],[Class]]))</f>
        <v>Paladin</v>
      </c>
      <c r="AE289" s="1">
        <f>ABS(RPG_dataset[[#This Row],[Level]])</f>
        <v>71</v>
      </c>
      <c r="AF289" s="1">
        <f>ABS(RPG_dataset[[#This Row],[ATK]])</f>
        <v>84</v>
      </c>
      <c r="AG289" s="1">
        <f>ABS(RPG_dataset[[#This Row],[DEF]])</f>
        <v>148</v>
      </c>
      <c r="AH289" s="1">
        <f>ABS(RPG_dataset[[#This Row],[SPD]])</f>
        <v>28</v>
      </c>
      <c r="AI289" s="1">
        <f>ABS(RPG_dataset[[#This Row],[HP]])</f>
        <v>4525</v>
      </c>
      <c r="AJ289" s="1">
        <f>ABS(RPG_dataset[[#This Row],[MP]])</f>
        <v>2170</v>
      </c>
      <c r="AK289" s="1">
        <f>ABS(RPG_dataset[[#This Row],[Total Stat]])</f>
        <v>260</v>
      </c>
      <c r="AL289" s="1">
        <f>ABS(RPG_dataset[[#This Row],[Kills]])</f>
        <v>3890</v>
      </c>
      <c r="AM289" s="12">
        <f>ABS(RPG_dataset[[#This Row],[Win Rate (%)]])</f>
        <v>93</v>
      </c>
      <c r="AN289" s="4">
        <f>ABS(RPG_dataset[[#This Row],[Gold Earned]])</f>
        <v>390986</v>
      </c>
      <c r="AO289" s="5" t="str">
        <f t="shared" si="4"/>
        <v>OK</v>
      </c>
      <c r="AP289" s="5">
        <f>RANK(clean[[#This Row],[Clean Gold]],clean[Clean Gold], 0)</f>
        <v>309</v>
      </c>
      <c r="AQ289" s="1"/>
      <c r="AR289" s="1" t="str" cm="1">
        <f t="array" ref="AR289">_xlfn.IFS(clean[[#This Row],[Clean Level]]&gt;=76, "Legend", clean[[#This Row],[Clean Level]]&gt;=51, "Elite", clean[[#This Row],[Clean Level]]&gt;=26, "Veteran", TRUE, "Rookie")</f>
        <v>Elite</v>
      </c>
      <c r="AS289" s="1" t="str">
        <f>IF(RPG_dataset[[#This Row],[Status]]="Active", "TRUE", "FALSE")</f>
        <v>FALSE</v>
      </c>
      <c r="AT289" s="1" t="str" cm="1">
        <f t="array" ref="AT289">_xlfn.IFS(clean[[#This Row],[Clean Win Rate]]&gt;70, "Excellent", clean[[#This Row],[Clean Win Rate]]&gt;=40, "Average", TRUE, "Poor")</f>
        <v>Excellent</v>
      </c>
      <c r="AU289" s="1" t="str">
        <f>IF(AND(clean[[#This Row],[Clean Level]]&gt;80, clean[[#This Row],[Clean Total Stat]]&gt;350, clean[[#This Row],[Clean Gold]]&gt;500000), "Overpowered", "Normal")</f>
        <v>Normal</v>
      </c>
      <c r="AV289" s="1" t="str" cm="1">
        <f t="array" ref="AV28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89" s="1" t="str" cm="1">
        <f t="array" ref="AW28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289" s="1"/>
    </row>
    <row r="290" spans="1:50" x14ac:dyDescent="0.3">
      <c r="A290" s="2" t="s">
        <v>1043</v>
      </c>
      <c r="B290" s="2" t="s">
        <v>1044</v>
      </c>
      <c r="C290" s="2" t="s">
        <v>58</v>
      </c>
      <c r="D290" s="2" t="s">
        <v>401</v>
      </c>
      <c r="E290" s="2" t="s">
        <v>41</v>
      </c>
      <c r="F290" s="2" t="s">
        <v>124</v>
      </c>
      <c r="G290" s="2">
        <v>93</v>
      </c>
      <c r="H290" s="2" t="s">
        <v>157</v>
      </c>
      <c r="I290" s="2" t="s">
        <v>63</v>
      </c>
      <c r="J290" s="2" t="s">
        <v>88</v>
      </c>
      <c r="K290" s="2" t="s">
        <v>106</v>
      </c>
      <c r="L290" s="6" t="s">
        <v>1045</v>
      </c>
      <c r="M290" s="2">
        <v>28</v>
      </c>
      <c r="N290" s="2">
        <v>143</v>
      </c>
      <c r="O290" s="2">
        <v>25</v>
      </c>
      <c r="P290" s="2">
        <v>3829</v>
      </c>
      <c r="Q290" s="2"/>
      <c r="R290" s="2"/>
      <c r="S290" s="2">
        <v>4035</v>
      </c>
      <c r="T290" s="2">
        <v>932</v>
      </c>
      <c r="U290" s="2">
        <v>202</v>
      </c>
      <c r="V290" s="2">
        <v>81</v>
      </c>
      <c r="W290" s="2">
        <v>8632</v>
      </c>
      <c r="X290" s="9">
        <v>624129</v>
      </c>
      <c r="Y290" s="2" t="s">
        <v>46</v>
      </c>
      <c r="AA290" s="1" t="str">
        <f>TRIM(RPG_dataset[[#This Row],[Username]])</f>
        <v>kael_916</v>
      </c>
      <c r="AB290" s="1" t="str">
        <f>TRIM(RPG_dataset[[#This Row],[First Name]])</f>
        <v>Kael</v>
      </c>
      <c r="AC290" s="1" t="str">
        <f>PROPER(TRIM(RPG_dataset[[#This Row],[Race]]))</f>
        <v>Gnome</v>
      </c>
      <c r="AD290" s="1" t="str">
        <f>PROPER(TRIM(RPG_dataset[[#This Row],[Class]]))</f>
        <v>Necromancer</v>
      </c>
      <c r="AE290" s="1">
        <f>ABS(RPG_dataset[[#This Row],[Level]])</f>
        <v>93</v>
      </c>
      <c r="AF290" s="1">
        <f>ABS(RPG_dataset[[#This Row],[ATK]])</f>
        <v>28</v>
      </c>
      <c r="AG290" s="1">
        <f>ABS(RPG_dataset[[#This Row],[DEF]])</f>
        <v>143</v>
      </c>
      <c r="AH290" s="1">
        <f>ABS(RPG_dataset[[#This Row],[SPD]])</f>
        <v>25</v>
      </c>
      <c r="AI290" s="1">
        <f>ABS(RPG_dataset[[#This Row],[HP]])</f>
        <v>3829</v>
      </c>
      <c r="AJ290" s="1">
        <f>ABS(RPG_dataset[[#This Row],[MP]])</f>
        <v>0</v>
      </c>
      <c r="AK290" s="1">
        <f>ABS(RPG_dataset[[#This Row],[Total Stat]])</f>
        <v>0</v>
      </c>
      <c r="AL290" s="1">
        <f>ABS(RPG_dataset[[#This Row],[Kills]])</f>
        <v>4035</v>
      </c>
      <c r="AM290" s="12">
        <f>ABS(RPG_dataset[[#This Row],[Win Rate (%)]])</f>
        <v>81</v>
      </c>
      <c r="AN290" s="4">
        <f>ABS(RPG_dataset[[#This Row],[Gold Earned]])</f>
        <v>624129</v>
      </c>
      <c r="AO290" s="5" t="str">
        <f t="shared" si="4"/>
        <v>OK</v>
      </c>
      <c r="AP290" s="5">
        <f>RANK(clean[[#This Row],[Clean Gold]],clean[Clean Gold], 0)</f>
        <v>190</v>
      </c>
      <c r="AQ290" s="1">
        <v>224</v>
      </c>
      <c r="AR290" s="1" t="str" cm="1">
        <f t="array" ref="AR290">_xlfn.IFS(clean[[#This Row],[Clean Level]]&gt;=76, "Legend", clean[[#This Row],[Clean Level]]&gt;=51, "Elite", clean[[#This Row],[Clean Level]]&gt;=26, "Veteran", TRUE, "Rookie")</f>
        <v>Legend</v>
      </c>
      <c r="AS290" s="1" t="str">
        <f>IF(RPG_dataset[[#This Row],[Status]]="Active", "TRUE", "FALSE")</f>
        <v>FALSE</v>
      </c>
      <c r="AT290" s="1" t="str" cm="1">
        <f t="array" ref="AT290">_xlfn.IFS(clean[[#This Row],[Clean Win Rate]]&gt;70, "Excellent", clean[[#This Row],[Clean Win Rate]]&gt;=40, "Average", TRUE, "Poor")</f>
        <v>Excellent</v>
      </c>
      <c r="AU290" s="1" t="str">
        <f>IF(AND(clean[[#This Row],[Clean Level]]&gt;80, clean[[#This Row],[Clean Total Stat]]&gt;350, clean[[#This Row],[Clean Gold]]&gt;500000), "Overpowered", "Normal")</f>
        <v>Normal</v>
      </c>
      <c r="AV290" s="1" t="str" cm="1">
        <f t="array" ref="AV29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90" s="1" t="str" cm="1">
        <f t="array" ref="AW29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290" s="1"/>
    </row>
    <row r="291" spans="1:50" x14ac:dyDescent="0.3">
      <c r="A291" s="2" t="s">
        <v>1046</v>
      </c>
      <c r="B291" s="2" t="s">
        <v>1047</v>
      </c>
      <c r="C291" s="2" t="s">
        <v>367</v>
      </c>
      <c r="D291" s="2" t="s">
        <v>28</v>
      </c>
      <c r="E291" s="2" t="s">
        <v>29</v>
      </c>
      <c r="F291" s="2" t="s">
        <v>61</v>
      </c>
      <c r="G291" s="2">
        <v>90</v>
      </c>
      <c r="H291" s="2" t="s">
        <v>62</v>
      </c>
      <c r="I291" s="2" t="s">
        <v>54</v>
      </c>
      <c r="J291" s="2" t="s">
        <v>33</v>
      </c>
      <c r="K291" s="2" t="s">
        <v>106</v>
      </c>
      <c r="L291" s="6" t="s">
        <v>1048</v>
      </c>
      <c r="M291" s="2"/>
      <c r="N291" s="2">
        <v>111</v>
      </c>
      <c r="O291" s="2">
        <v>46</v>
      </c>
      <c r="P291" s="2">
        <v>3912</v>
      </c>
      <c r="Q291" s="2">
        <v>267</v>
      </c>
      <c r="R291" s="2">
        <v>180</v>
      </c>
      <c r="S291" s="2">
        <v>2315</v>
      </c>
      <c r="T291" s="2">
        <v>96</v>
      </c>
      <c r="U291" s="2"/>
      <c r="V291" s="2">
        <v>96</v>
      </c>
      <c r="W291" s="2">
        <v>8285</v>
      </c>
      <c r="X291" s="9">
        <v>736738</v>
      </c>
      <c r="Y291" s="2" t="s">
        <v>46</v>
      </c>
      <c r="AA291" s="1" t="str">
        <f>TRIM(RPG_dataset[[#This Row],[Username]])</f>
        <v>sable_327</v>
      </c>
      <c r="AB291" s="1" t="str">
        <f>TRIM(RPG_dataset[[#This Row],[First Name]])</f>
        <v>Sable</v>
      </c>
      <c r="AC291" s="1" t="str">
        <f>PROPER(TRIM(RPG_dataset[[#This Row],[Race]]))</f>
        <v>Dwarf</v>
      </c>
      <c r="AD291" s="1" t="str">
        <f>PROPER(TRIM(RPG_dataset[[#This Row],[Class]]))</f>
        <v>Ranger</v>
      </c>
      <c r="AE291" s="1">
        <f>ABS(RPG_dataset[[#This Row],[Level]])</f>
        <v>90</v>
      </c>
      <c r="AF291" s="1">
        <f>ABS(RPG_dataset[[#This Row],[ATK]])</f>
        <v>0</v>
      </c>
      <c r="AG291" s="1">
        <f>ABS(RPG_dataset[[#This Row],[DEF]])</f>
        <v>111</v>
      </c>
      <c r="AH291" s="1">
        <f>ABS(RPG_dataset[[#This Row],[SPD]])</f>
        <v>46</v>
      </c>
      <c r="AI291" s="1">
        <f>ABS(RPG_dataset[[#This Row],[HP]])</f>
        <v>3912</v>
      </c>
      <c r="AJ291" s="1">
        <f>ABS(RPG_dataset[[#This Row],[MP]])</f>
        <v>267</v>
      </c>
      <c r="AK291" s="1">
        <f>ABS(RPG_dataset[[#This Row],[Total Stat]])</f>
        <v>180</v>
      </c>
      <c r="AL291" s="1">
        <f>ABS(RPG_dataset[[#This Row],[Kills]])</f>
        <v>2315</v>
      </c>
      <c r="AM291" s="12">
        <f>ABS(RPG_dataset[[#This Row],[Win Rate (%)]])</f>
        <v>96</v>
      </c>
      <c r="AN291" s="4">
        <f>ABS(RPG_dataset[[#This Row],[Gold Earned]])</f>
        <v>736738</v>
      </c>
      <c r="AO291" s="5" t="str">
        <f t="shared" si="4"/>
        <v>OK</v>
      </c>
      <c r="AP291" s="5">
        <f>RANK(clean[[#This Row],[Clean Gold]],clean[Clean Gold], 0)</f>
        <v>135</v>
      </c>
      <c r="AQ291" s="1">
        <v>286</v>
      </c>
      <c r="AR291" s="1" t="str" cm="1">
        <f t="array" ref="AR291">_xlfn.IFS(clean[[#This Row],[Clean Level]]&gt;=76, "Legend", clean[[#This Row],[Clean Level]]&gt;=51, "Elite", clean[[#This Row],[Clean Level]]&gt;=26, "Veteran", TRUE, "Rookie")</f>
        <v>Legend</v>
      </c>
      <c r="AS291" s="1" t="str">
        <f>IF(RPG_dataset[[#This Row],[Status]]="Active", "TRUE", "FALSE")</f>
        <v>FALSE</v>
      </c>
      <c r="AT291" s="1" t="str" cm="1">
        <f t="array" ref="AT291">_xlfn.IFS(clean[[#This Row],[Clean Win Rate]]&gt;70, "Excellent", clean[[#This Row],[Clean Win Rate]]&gt;=40, "Average", TRUE, "Poor")</f>
        <v>Excellent</v>
      </c>
      <c r="AU291" s="1" t="str">
        <f>IF(AND(clean[[#This Row],[Clean Level]]&gt;80, clean[[#This Row],[Clean Total Stat]]&gt;350, clean[[#This Row],[Clean Gold]]&gt;500000), "Overpowered", "Normal")</f>
        <v>Normal</v>
      </c>
      <c r="AV291" s="1" t="str" cm="1">
        <f t="array" ref="AV29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91" s="1" t="str" cm="1">
        <f t="array" ref="AW29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291" s="1"/>
    </row>
    <row r="292" spans="1:50" x14ac:dyDescent="0.3">
      <c r="A292" s="2" t="s">
        <v>1049</v>
      </c>
      <c r="B292" s="2" t="s">
        <v>1050</v>
      </c>
      <c r="C292" s="2" t="s">
        <v>296</v>
      </c>
      <c r="D292" s="2" t="s">
        <v>401</v>
      </c>
      <c r="E292" s="2" t="s">
        <v>561</v>
      </c>
      <c r="F292" s="2" t="s">
        <v>42</v>
      </c>
      <c r="G292" s="2">
        <v>96</v>
      </c>
      <c r="H292" s="2" t="s">
        <v>31</v>
      </c>
      <c r="I292" s="2" t="s">
        <v>126</v>
      </c>
      <c r="J292" s="2" t="s">
        <v>92</v>
      </c>
      <c r="K292" s="2" t="s">
        <v>44</v>
      </c>
      <c r="L292" s="6" t="s">
        <v>1051</v>
      </c>
      <c r="M292" s="2">
        <v>20</v>
      </c>
      <c r="N292" s="2">
        <v>44</v>
      </c>
      <c r="O292" s="2">
        <v>36</v>
      </c>
      <c r="P292" s="2"/>
      <c r="Q292" s="2">
        <v>824</v>
      </c>
      <c r="R292" s="2">
        <v>100</v>
      </c>
      <c r="S292" s="2">
        <v>2624</v>
      </c>
      <c r="T292" s="2">
        <v>804</v>
      </c>
      <c r="U292" s="2">
        <v>38</v>
      </c>
      <c r="V292" s="2">
        <v>77</v>
      </c>
      <c r="W292" s="2">
        <v>7287</v>
      </c>
      <c r="X292" s="9">
        <v>857904</v>
      </c>
      <c r="Y292" s="2" t="s">
        <v>46</v>
      </c>
      <c r="AA292" s="1" t="str">
        <f>TRIM(RPG_dataset[[#This Row],[Username]])</f>
        <v>gareth_481</v>
      </c>
      <c r="AB292" s="1" t="str">
        <f>TRIM(RPG_dataset[[#This Row],[First Name]])</f>
        <v>Gareth</v>
      </c>
      <c r="AC292" s="1" t="str">
        <f>PROPER(TRIM(RPG_dataset[[#This Row],[Race]]))</f>
        <v>Dwarf</v>
      </c>
      <c r="AD292" s="1" t="str">
        <f>PROPER(TRIM(RPG_dataset[[#This Row],[Class]]))</f>
        <v>Monk</v>
      </c>
      <c r="AE292" s="1">
        <f>ABS(RPG_dataset[[#This Row],[Level]])</f>
        <v>96</v>
      </c>
      <c r="AF292" s="1">
        <f>ABS(RPG_dataset[[#This Row],[ATK]])</f>
        <v>20</v>
      </c>
      <c r="AG292" s="1">
        <f>ABS(RPG_dataset[[#This Row],[DEF]])</f>
        <v>44</v>
      </c>
      <c r="AH292" s="1">
        <f>ABS(RPG_dataset[[#This Row],[SPD]])</f>
        <v>36</v>
      </c>
      <c r="AI292" s="1">
        <f>ABS(RPG_dataset[[#This Row],[HP]])</f>
        <v>0</v>
      </c>
      <c r="AJ292" s="1">
        <f>ABS(RPG_dataset[[#This Row],[MP]])</f>
        <v>824</v>
      </c>
      <c r="AK292" s="1">
        <f>ABS(RPG_dataset[[#This Row],[Total Stat]])</f>
        <v>100</v>
      </c>
      <c r="AL292" s="1">
        <f>ABS(RPG_dataset[[#This Row],[Kills]])</f>
        <v>2624</v>
      </c>
      <c r="AM292" s="12">
        <f>ABS(RPG_dataset[[#This Row],[Win Rate (%)]])</f>
        <v>77</v>
      </c>
      <c r="AN292" s="4">
        <f>ABS(RPG_dataset[[#This Row],[Gold Earned]])</f>
        <v>857904</v>
      </c>
      <c r="AO292" s="5" t="str">
        <f t="shared" si="4"/>
        <v>OK</v>
      </c>
      <c r="AP292" s="5">
        <f>RANK(clean[[#This Row],[Clean Gold]],clean[Clean Gold], 0)</f>
        <v>71</v>
      </c>
      <c r="AQ292" s="1">
        <v>246</v>
      </c>
      <c r="AR292" s="1" t="str" cm="1">
        <f t="array" ref="AR292">_xlfn.IFS(clean[[#This Row],[Clean Level]]&gt;=76, "Legend", clean[[#This Row],[Clean Level]]&gt;=51, "Elite", clean[[#This Row],[Clean Level]]&gt;=26, "Veteran", TRUE, "Rookie")</f>
        <v>Legend</v>
      </c>
      <c r="AS292" s="1" t="str">
        <f>IF(RPG_dataset[[#This Row],[Status]]="Active", "TRUE", "FALSE")</f>
        <v>TRUE</v>
      </c>
      <c r="AT292" s="1" t="str" cm="1">
        <f t="array" ref="AT292">_xlfn.IFS(clean[[#This Row],[Clean Win Rate]]&gt;70, "Excellent", clean[[#This Row],[Clean Win Rate]]&gt;=40, "Average", TRUE, "Poor")</f>
        <v>Excellent</v>
      </c>
      <c r="AU292" s="1" t="str">
        <f>IF(AND(clean[[#This Row],[Clean Level]]&gt;80, clean[[#This Row],[Clean Total Stat]]&gt;350, clean[[#This Row],[Clean Gold]]&gt;500000), "Overpowered", "Normal")</f>
        <v>Normal</v>
      </c>
      <c r="AV292" s="1" t="str" cm="1">
        <f t="array" ref="AV29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92" s="1" t="str" cm="1">
        <f t="array" ref="AW29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92" s="1"/>
    </row>
    <row r="293" spans="1:50" x14ac:dyDescent="0.3">
      <c r="A293" s="2" t="s">
        <v>1052</v>
      </c>
      <c r="B293" s="2" t="s">
        <v>847</v>
      </c>
      <c r="C293" s="2" t="s">
        <v>219</v>
      </c>
      <c r="D293" s="2" t="s">
        <v>1053</v>
      </c>
      <c r="E293" s="2" t="s">
        <v>29</v>
      </c>
      <c r="F293" s="2" t="s">
        <v>61</v>
      </c>
      <c r="G293" s="2">
        <v>71</v>
      </c>
      <c r="H293" s="2" t="s">
        <v>518</v>
      </c>
      <c r="I293" s="2" t="s">
        <v>32</v>
      </c>
      <c r="J293" s="2" t="s">
        <v>33</v>
      </c>
      <c r="K293" s="2" t="s">
        <v>99</v>
      </c>
      <c r="L293" s="6" t="s">
        <v>1054</v>
      </c>
      <c r="M293" s="2"/>
      <c r="N293" s="2">
        <v>46</v>
      </c>
      <c r="O293" s="2">
        <v>108</v>
      </c>
      <c r="P293" s="2">
        <v>2612</v>
      </c>
      <c r="Q293" s="2">
        <v>279</v>
      </c>
      <c r="R293" s="2">
        <v>240</v>
      </c>
      <c r="S293" s="2">
        <v>-3247</v>
      </c>
      <c r="T293" s="2">
        <v>326</v>
      </c>
      <c r="U293" s="2">
        <v>213</v>
      </c>
      <c r="V293" s="2">
        <v>91</v>
      </c>
      <c r="W293" s="2">
        <v>4088</v>
      </c>
      <c r="X293" s="9">
        <v>677135</v>
      </c>
      <c r="Y293" s="2" t="s">
        <v>36</v>
      </c>
      <c r="AA293" s="1" t="str">
        <f>TRIM(RPG_dataset[[#This Row],[Username]])</f>
        <v>torin_574</v>
      </c>
      <c r="AB293" s="1" t="str">
        <f>TRIM(RPG_dataset[[#This Row],[First Name]])</f>
        <v>Torin</v>
      </c>
      <c r="AC293" s="1" t="str">
        <f>PROPER(TRIM(RPG_dataset[[#This Row],[Race]]))</f>
        <v>Dwarf</v>
      </c>
      <c r="AD293" s="1" t="str">
        <f>PROPER(TRIM(RPG_dataset[[#This Row],[Class]]))</f>
        <v>Ranger</v>
      </c>
      <c r="AE293" s="1">
        <f>ABS(RPG_dataset[[#This Row],[Level]])</f>
        <v>71</v>
      </c>
      <c r="AF293" s="1">
        <f>ABS(RPG_dataset[[#This Row],[ATK]])</f>
        <v>0</v>
      </c>
      <c r="AG293" s="1">
        <f>ABS(RPG_dataset[[#This Row],[DEF]])</f>
        <v>46</v>
      </c>
      <c r="AH293" s="1">
        <f>ABS(RPG_dataset[[#This Row],[SPD]])</f>
        <v>108</v>
      </c>
      <c r="AI293" s="1">
        <f>ABS(RPG_dataset[[#This Row],[HP]])</f>
        <v>2612</v>
      </c>
      <c r="AJ293" s="1">
        <f>ABS(RPG_dataset[[#This Row],[MP]])</f>
        <v>279</v>
      </c>
      <c r="AK293" s="1">
        <f>ABS(RPG_dataset[[#This Row],[Total Stat]])</f>
        <v>240</v>
      </c>
      <c r="AL293" s="1">
        <f>ABS(RPG_dataset[[#This Row],[Kills]])</f>
        <v>3247</v>
      </c>
      <c r="AM293" s="12">
        <f>ABS(RPG_dataset[[#This Row],[Win Rate (%)]])</f>
        <v>91</v>
      </c>
      <c r="AN293" s="4">
        <f>ABS(RPG_dataset[[#This Row],[Gold Earned]])</f>
        <v>677135</v>
      </c>
      <c r="AO293" s="5" t="str">
        <f t="shared" si="4"/>
        <v>OK</v>
      </c>
      <c r="AP293" s="5">
        <f>RANK(clean[[#This Row],[Clean Gold]],clean[Clean Gold], 0)</f>
        <v>160</v>
      </c>
      <c r="AQ293" s="1">
        <v>282</v>
      </c>
      <c r="AR293" s="1" t="str" cm="1">
        <f t="array" ref="AR293">_xlfn.IFS(clean[[#This Row],[Clean Level]]&gt;=76, "Legend", clean[[#This Row],[Clean Level]]&gt;=51, "Elite", clean[[#This Row],[Clean Level]]&gt;=26, "Veteran", TRUE, "Rookie")</f>
        <v>Elite</v>
      </c>
      <c r="AS293" s="1" t="str">
        <f>IF(RPG_dataset[[#This Row],[Status]]="Active", "TRUE", "FALSE")</f>
        <v>FALSE</v>
      </c>
      <c r="AT293" s="1" t="str" cm="1">
        <f t="array" ref="AT293">_xlfn.IFS(clean[[#This Row],[Clean Win Rate]]&gt;70, "Excellent", clean[[#This Row],[Clean Win Rate]]&gt;=40, "Average", TRUE, "Poor")</f>
        <v>Excellent</v>
      </c>
      <c r="AU293" s="1" t="str">
        <f>IF(AND(clean[[#This Row],[Clean Level]]&gt;80, clean[[#This Row],[Clean Total Stat]]&gt;350, clean[[#This Row],[Clean Gold]]&gt;500000), "Overpowered", "Normal")</f>
        <v>Normal</v>
      </c>
      <c r="AV293" s="1" t="str" cm="1">
        <f t="array" ref="AV293">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293" s="1" t="str" cm="1">
        <f t="array" ref="AW29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93" s="1"/>
    </row>
    <row r="294" spans="1:50" x14ac:dyDescent="0.3">
      <c r="A294" s="2" t="s">
        <v>1055</v>
      </c>
      <c r="B294" s="2" t="s">
        <v>1056</v>
      </c>
      <c r="C294" s="2" t="s">
        <v>130</v>
      </c>
      <c r="D294" s="2" t="s">
        <v>272</v>
      </c>
      <c r="E294" s="2" t="s">
        <v>71</v>
      </c>
      <c r="F294" s="2" t="s">
        <v>30</v>
      </c>
      <c r="G294" s="2">
        <v>87</v>
      </c>
      <c r="H294" s="2" t="s">
        <v>125</v>
      </c>
      <c r="I294" s="2" t="s">
        <v>74</v>
      </c>
      <c r="J294" s="2" t="s">
        <v>120</v>
      </c>
      <c r="K294" s="2" t="s">
        <v>106</v>
      </c>
      <c r="L294" s="6" t="s">
        <v>1057</v>
      </c>
      <c r="M294" s="2">
        <v>142</v>
      </c>
      <c r="N294" s="2">
        <v>79</v>
      </c>
      <c r="O294" s="2">
        <v>77</v>
      </c>
      <c r="P294" s="2">
        <v>1841</v>
      </c>
      <c r="Q294" s="2">
        <v>928</v>
      </c>
      <c r="R294" s="2">
        <v>298</v>
      </c>
      <c r="S294" s="2">
        <v>1713</v>
      </c>
      <c r="T294" s="2">
        <v>727</v>
      </c>
      <c r="U294" s="2">
        <v>-159</v>
      </c>
      <c r="V294" s="2">
        <v>70</v>
      </c>
      <c r="W294" s="2">
        <v>7579</v>
      </c>
      <c r="X294" s="9">
        <v>913442</v>
      </c>
      <c r="Y294" s="2" t="s">
        <v>46</v>
      </c>
      <c r="AA294" s="1" t="str">
        <f>TRIM(RPG_dataset[[#This Row],[Username]])</f>
        <v>ewan_361</v>
      </c>
      <c r="AB294" s="1" t="str">
        <f>TRIM(RPG_dataset[[#This Row],[First Name]])</f>
        <v>Ewan</v>
      </c>
      <c r="AC294" s="1" t="str">
        <f>PROPER(TRIM(RPG_dataset[[#This Row],[Race]]))</f>
        <v>Dragonborn</v>
      </c>
      <c r="AD294" s="1" t="str">
        <f>PROPER(TRIM(RPG_dataset[[#This Row],[Class]]))</f>
        <v>Rogue</v>
      </c>
      <c r="AE294" s="1">
        <f>ABS(RPG_dataset[[#This Row],[Level]])</f>
        <v>87</v>
      </c>
      <c r="AF294" s="1">
        <f>ABS(RPG_dataset[[#This Row],[ATK]])</f>
        <v>142</v>
      </c>
      <c r="AG294" s="1">
        <f>ABS(RPG_dataset[[#This Row],[DEF]])</f>
        <v>79</v>
      </c>
      <c r="AH294" s="1">
        <f>ABS(RPG_dataset[[#This Row],[SPD]])</f>
        <v>77</v>
      </c>
      <c r="AI294" s="1">
        <f>ABS(RPG_dataset[[#This Row],[HP]])</f>
        <v>1841</v>
      </c>
      <c r="AJ294" s="1">
        <f>ABS(RPG_dataset[[#This Row],[MP]])</f>
        <v>928</v>
      </c>
      <c r="AK294" s="1">
        <f>ABS(RPG_dataset[[#This Row],[Total Stat]])</f>
        <v>298</v>
      </c>
      <c r="AL294" s="1">
        <f>ABS(RPG_dataset[[#This Row],[Kills]])</f>
        <v>1713</v>
      </c>
      <c r="AM294" s="12">
        <f>ABS(RPG_dataset[[#This Row],[Win Rate (%)]])</f>
        <v>70</v>
      </c>
      <c r="AN294" s="4">
        <f>ABS(RPG_dataset[[#This Row],[Gold Earned]])</f>
        <v>913442</v>
      </c>
      <c r="AO294" s="5" t="str">
        <f t="shared" si="4"/>
        <v>Fix This</v>
      </c>
      <c r="AP294" s="5">
        <f>RANK(clean[[#This Row],[Clean Gold]],clean[Clean Gold], 0)</f>
        <v>47</v>
      </c>
      <c r="AQ294" s="1">
        <v>242</v>
      </c>
      <c r="AR294" s="1" t="str" cm="1">
        <f t="array" ref="AR294">_xlfn.IFS(clean[[#This Row],[Clean Level]]&gt;=76, "Legend", clean[[#This Row],[Clean Level]]&gt;=51, "Elite", clean[[#This Row],[Clean Level]]&gt;=26, "Veteran", TRUE, "Rookie")</f>
        <v>Legend</v>
      </c>
      <c r="AS294" s="1" t="str">
        <f>IF(RPG_dataset[[#This Row],[Status]]="Active", "TRUE", "FALSE")</f>
        <v>FALSE</v>
      </c>
      <c r="AT294" s="1" t="str" cm="1">
        <f t="array" ref="AT294">_xlfn.IFS(clean[[#This Row],[Clean Win Rate]]&gt;70, "Excellent", clean[[#This Row],[Clean Win Rate]]&gt;=40, "Average", TRUE, "Poor")</f>
        <v>Average</v>
      </c>
      <c r="AU294" s="1" t="str">
        <f>IF(AND(clean[[#This Row],[Clean Level]]&gt;80, clean[[#This Row],[Clean Total Stat]]&gt;350, clean[[#This Row],[Clean Gold]]&gt;500000), "Overpowered", "Normal")</f>
        <v>Normal</v>
      </c>
      <c r="AV294" s="1" t="str" cm="1">
        <f t="array" ref="AV29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94" s="1" t="str" cm="1">
        <f t="array" ref="AW29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294" s="1"/>
    </row>
    <row r="295" spans="1:50" x14ac:dyDescent="0.3">
      <c r="A295" s="2" t="s">
        <v>1058</v>
      </c>
      <c r="B295" s="2" t="s">
        <v>1059</v>
      </c>
      <c r="C295" s="2" t="s">
        <v>353</v>
      </c>
      <c r="D295" s="2" t="s">
        <v>168</v>
      </c>
      <c r="E295" s="2" t="s">
        <v>75</v>
      </c>
      <c r="F295" s="2" t="s">
        <v>30</v>
      </c>
      <c r="G295" s="2">
        <v>40</v>
      </c>
      <c r="H295" s="2" t="s">
        <v>80</v>
      </c>
      <c r="I295" s="2" t="s">
        <v>126</v>
      </c>
      <c r="J295" s="2" t="s">
        <v>120</v>
      </c>
      <c r="K295" s="2" t="s">
        <v>99</v>
      </c>
      <c r="L295" s="6" t="s">
        <v>1060</v>
      </c>
      <c r="M295" s="2">
        <v>107</v>
      </c>
      <c r="N295" s="2">
        <v>15</v>
      </c>
      <c r="O295" s="2">
        <v>144</v>
      </c>
      <c r="P295" s="2">
        <v>1539</v>
      </c>
      <c r="Q295" s="2">
        <v>895</v>
      </c>
      <c r="R295" s="2">
        <v>266</v>
      </c>
      <c r="S295" s="2">
        <v>326</v>
      </c>
      <c r="T295" s="2">
        <v>360</v>
      </c>
      <c r="U295" s="2">
        <v>162</v>
      </c>
      <c r="V295" s="2">
        <v>48</v>
      </c>
      <c r="W295" s="2">
        <v>3654</v>
      </c>
      <c r="X295" s="9">
        <v>456008</v>
      </c>
      <c r="Y295" s="2" t="s">
        <v>36</v>
      </c>
      <c r="AA295" s="1" t="str">
        <f>TRIM(RPG_dataset[[#This Row],[Username]])</f>
        <v>percy_137</v>
      </c>
      <c r="AB295" s="1" t="str">
        <f>TRIM(RPG_dataset[[#This Row],[First Name]])</f>
        <v>Percy</v>
      </c>
      <c r="AC295" s="1" t="str">
        <f>PROPER(TRIM(RPG_dataset[[#This Row],[Race]]))</f>
        <v/>
      </c>
      <c r="AD295" s="1" t="str">
        <f>PROPER(TRIM(RPG_dataset[[#This Row],[Class]]))</f>
        <v>Rogue</v>
      </c>
      <c r="AE295" s="1">
        <f>ABS(RPG_dataset[[#This Row],[Level]])</f>
        <v>40</v>
      </c>
      <c r="AF295" s="1">
        <f>ABS(RPG_dataset[[#This Row],[ATK]])</f>
        <v>107</v>
      </c>
      <c r="AG295" s="1">
        <f>ABS(RPG_dataset[[#This Row],[DEF]])</f>
        <v>15</v>
      </c>
      <c r="AH295" s="1">
        <f>ABS(RPG_dataset[[#This Row],[SPD]])</f>
        <v>144</v>
      </c>
      <c r="AI295" s="1">
        <f>ABS(RPG_dataset[[#This Row],[HP]])</f>
        <v>1539</v>
      </c>
      <c r="AJ295" s="1">
        <f>ABS(RPG_dataset[[#This Row],[MP]])</f>
        <v>895</v>
      </c>
      <c r="AK295" s="1">
        <f>ABS(RPG_dataset[[#This Row],[Total Stat]])</f>
        <v>266</v>
      </c>
      <c r="AL295" s="1">
        <f>ABS(RPG_dataset[[#This Row],[Kills]])</f>
        <v>326</v>
      </c>
      <c r="AM295" s="12">
        <f>ABS(RPG_dataset[[#This Row],[Win Rate (%)]])</f>
        <v>48</v>
      </c>
      <c r="AN295" s="4">
        <f>ABS(RPG_dataset[[#This Row],[Gold Earned]])</f>
        <v>456008</v>
      </c>
      <c r="AO295" s="5" t="str">
        <f t="shared" si="4"/>
        <v>OK</v>
      </c>
      <c r="AP295" s="5">
        <f>RANK(clean[[#This Row],[Clean Gold]],clean[Clean Gold], 0)</f>
        <v>274</v>
      </c>
      <c r="AQ295" s="1">
        <v>265</v>
      </c>
      <c r="AR295" s="1" t="str" cm="1">
        <f t="array" ref="AR295">_xlfn.IFS(clean[[#This Row],[Clean Level]]&gt;=76, "Legend", clean[[#This Row],[Clean Level]]&gt;=51, "Elite", clean[[#This Row],[Clean Level]]&gt;=26, "Veteran", TRUE, "Rookie")</f>
        <v>Veteran</v>
      </c>
      <c r="AS295" s="1" t="str">
        <f>IF(RPG_dataset[[#This Row],[Status]]="Active", "TRUE", "FALSE")</f>
        <v>FALSE</v>
      </c>
      <c r="AT295" s="1" t="str" cm="1">
        <f t="array" ref="AT295">_xlfn.IFS(clean[[#This Row],[Clean Win Rate]]&gt;70, "Excellent", clean[[#This Row],[Clean Win Rate]]&gt;=40, "Average", TRUE, "Poor")</f>
        <v>Average</v>
      </c>
      <c r="AU295" s="1" t="str">
        <f>IF(AND(clean[[#This Row],[Clean Level]]&gt;80, clean[[#This Row],[Clean Total Stat]]&gt;350, clean[[#This Row],[Clean Gold]]&gt;500000), "Overpowered", "Normal")</f>
        <v>Normal</v>
      </c>
      <c r="AV295" s="1" t="str" cm="1">
        <f t="array" ref="AV29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95" s="1" t="str" cm="1">
        <f t="array" ref="AW29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95" s="1"/>
    </row>
    <row r="296" spans="1:50" x14ac:dyDescent="0.3">
      <c r="A296" s="2" t="s">
        <v>1061</v>
      </c>
      <c r="B296" s="2" t="s">
        <v>1062</v>
      </c>
      <c r="C296" s="2" t="s">
        <v>203</v>
      </c>
      <c r="D296" s="2" t="s">
        <v>70</v>
      </c>
      <c r="E296" s="2" t="s">
        <v>169</v>
      </c>
      <c r="F296" s="2" t="s">
        <v>98</v>
      </c>
      <c r="G296" s="2">
        <v>87</v>
      </c>
      <c r="H296" s="2" t="s">
        <v>62</v>
      </c>
      <c r="I296" s="2" t="s">
        <v>126</v>
      </c>
      <c r="J296" s="2" t="s">
        <v>33</v>
      </c>
      <c r="K296" s="2" t="s">
        <v>1063</v>
      </c>
      <c r="L296" s="6" t="s">
        <v>1064</v>
      </c>
      <c r="M296" s="2">
        <v>136</v>
      </c>
      <c r="N296" s="2">
        <v>33</v>
      </c>
      <c r="O296" s="2">
        <v>38</v>
      </c>
      <c r="P296" s="2">
        <v>2520</v>
      </c>
      <c r="Q296" s="2">
        <v>-265</v>
      </c>
      <c r="R296" s="2">
        <v>207</v>
      </c>
      <c r="S296" s="2">
        <v>1571</v>
      </c>
      <c r="T296" s="2">
        <v>91</v>
      </c>
      <c r="U296" s="2">
        <v>54</v>
      </c>
      <c r="V296" s="2">
        <v>95</v>
      </c>
      <c r="W296" s="2">
        <v>5203</v>
      </c>
      <c r="X296" s="9">
        <v>989282</v>
      </c>
      <c r="Y296" s="2" t="s">
        <v>46</v>
      </c>
      <c r="AA296" s="1" t="str">
        <f>TRIM(RPG_dataset[[#This Row],[Username]])</f>
        <v>leon_141</v>
      </c>
      <c r="AB296" s="1" t="str">
        <f>TRIM(RPG_dataset[[#This Row],[First Name]])</f>
        <v>Leon</v>
      </c>
      <c r="AC296" s="1" t="str">
        <f>PROPER(TRIM(RPG_dataset[[#This Row],[Race]]))</f>
        <v>Halfling</v>
      </c>
      <c r="AD296" s="1" t="str">
        <f>PROPER(TRIM(RPG_dataset[[#This Row],[Class]]))</f>
        <v>Mage</v>
      </c>
      <c r="AE296" s="1">
        <f>ABS(RPG_dataset[[#This Row],[Level]])</f>
        <v>87</v>
      </c>
      <c r="AF296" s="1">
        <f>ABS(RPG_dataset[[#This Row],[ATK]])</f>
        <v>136</v>
      </c>
      <c r="AG296" s="1">
        <f>ABS(RPG_dataset[[#This Row],[DEF]])</f>
        <v>33</v>
      </c>
      <c r="AH296" s="1">
        <f>ABS(RPG_dataset[[#This Row],[SPD]])</f>
        <v>38</v>
      </c>
      <c r="AI296" s="1">
        <f>ABS(RPG_dataset[[#This Row],[HP]])</f>
        <v>2520</v>
      </c>
      <c r="AJ296" s="1">
        <f>ABS(RPG_dataset[[#This Row],[MP]])</f>
        <v>265</v>
      </c>
      <c r="AK296" s="1">
        <f>ABS(RPG_dataset[[#This Row],[Total Stat]])</f>
        <v>207</v>
      </c>
      <c r="AL296" s="1">
        <f>ABS(RPG_dataset[[#This Row],[Kills]])</f>
        <v>1571</v>
      </c>
      <c r="AM296" s="12">
        <f>ABS(RPG_dataset[[#This Row],[Win Rate (%)]])</f>
        <v>95</v>
      </c>
      <c r="AN296" s="4">
        <f>ABS(RPG_dataset[[#This Row],[Gold Earned]])</f>
        <v>989282</v>
      </c>
      <c r="AO296" s="5" t="str">
        <f t="shared" si="4"/>
        <v>OK</v>
      </c>
      <c r="AP296" s="5">
        <f>RANK(clean[[#This Row],[Clean Gold]],clean[Clean Gold], 0)</f>
        <v>7</v>
      </c>
      <c r="AQ296" s="1">
        <v>116</v>
      </c>
      <c r="AR296" s="1" t="str" cm="1">
        <f t="array" ref="AR296">_xlfn.IFS(clean[[#This Row],[Clean Level]]&gt;=76, "Legend", clean[[#This Row],[Clean Level]]&gt;=51, "Elite", clean[[#This Row],[Clean Level]]&gt;=26, "Veteran", TRUE, "Rookie")</f>
        <v>Legend</v>
      </c>
      <c r="AS296" s="1" t="str">
        <f>IF(RPG_dataset[[#This Row],[Status]]="Active", "TRUE", "FALSE")</f>
        <v>FALSE</v>
      </c>
      <c r="AT296" s="1" t="str" cm="1">
        <f t="array" ref="AT296">_xlfn.IFS(clean[[#This Row],[Clean Win Rate]]&gt;70, "Excellent", clean[[#This Row],[Clean Win Rate]]&gt;=40, "Average", TRUE, "Poor")</f>
        <v>Excellent</v>
      </c>
      <c r="AU296" s="1" t="str">
        <f>IF(AND(clean[[#This Row],[Clean Level]]&gt;80, clean[[#This Row],[Clean Total Stat]]&gt;350, clean[[#This Row],[Clean Gold]]&gt;500000), "Overpowered", "Normal")</f>
        <v>Normal</v>
      </c>
      <c r="AV296" s="1" t="str" cm="1">
        <f t="array" ref="AV29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96" s="1" t="str" cm="1">
        <f t="array" ref="AW29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296" s="1"/>
    </row>
    <row r="297" spans="1:50" x14ac:dyDescent="0.3">
      <c r="A297" s="2" t="s">
        <v>1065</v>
      </c>
      <c r="B297" s="2" t="s">
        <v>1066</v>
      </c>
      <c r="C297" s="2" t="s">
        <v>281</v>
      </c>
      <c r="D297" s="2" t="s">
        <v>144</v>
      </c>
      <c r="E297" s="2" t="s">
        <v>51</v>
      </c>
      <c r="F297" s="2" t="s">
        <v>194</v>
      </c>
      <c r="G297" s="2">
        <v>25</v>
      </c>
      <c r="H297" s="2" t="s">
        <v>31</v>
      </c>
      <c r="I297" s="2" t="s">
        <v>126</v>
      </c>
      <c r="J297" s="2" t="s">
        <v>33</v>
      </c>
      <c r="K297" s="2" t="s">
        <v>34</v>
      </c>
      <c r="L297" s="6" t="s">
        <v>1067</v>
      </c>
      <c r="M297" s="2">
        <v>-26</v>
      </c>
      <c r="N297" s="2">
        <v>85</v>
      </c>
      <c r="O297" s="2">
        <v>113</v>
      </c>
      <c r="P297" s="2">
        <v>1248</v>
      </c>
      <c r="Q297" s="2">
        <v>419</v>
      </c>
      <c r="R297" s="2">
        <v>-224</v>
      </c>
      <c r="S297" s="2">
        <v>981</v>
      </c>
      <c r="T297" s="2">
        <v>275</v>
      </c>
      <c r="U297" s="2">
        <v>73</v>
      </c>
      <c r="V297" s="2">
        <v>78</v>
      </c>
      <c r="W297" s="2">
        <v>7917</v>
      </c>
      <c r="X297" s="9">
        <v>764550</v>
      </c>
      <c r="Y297" s="2" t="s">
        <v>46</v>
      </c>
      <c r="AA297" s="1" t="str">
        <f>TRIM(RPG_dataset[[#This Row],[Username]])</f>
        <v>nova_481</v>
      </c>
      <c r="AB297" s="1" t="str">
        <f>TRIM(RPG_dataset[[#This Row],[First Name]])</f>
        <v>Nova</v>
      </c>
      <c r="AC297" s="1" t="str">
        <f>PROPER(TRIM(RPG_dataset[[#This Row],[Race]]))</f>
        <v>Tiefling</v>
      </c>
      <c r="AD297" s="1" t="str">
        <f>PROPER(TRIM(RPG_dataset[[#This Row],[Class]]))</f>
        <v>Paladin</v>
      </c>
      <c r="AE297" s="1">
        <f>ABS(RPG_dataset[[#This Row],[Level]])</f>
        <v>25</v>
      </c>
      <c r="AF297" s="1">
        <f>ABS(RPG_dataset[[#This Row],[ATK]])</f>
        <v>26</v>
      </c>
      <c r="AG297" s="1">
        <f>ABS(RPG_dataset[[#This Row],[DEF]])</f>
        <v>85</v>
      </c>
      <c r="AH297" s="1">
        <f>ABS(RPG_dataset[[#This Row],[SPD]])</f>
        <v>113</v>
      </c>
      <c r="AI297" s="1">
        <f>ABS(RPG_dataset[[#This Row],[HP]])</f>
        <v>1248</v>
      </c>
      <c r="AJ297" s="1">
        <f>ABS(RPG_dataset[[#This Row],[MP]])</f>
        <v>419</v>
      </c>
      <c r="AK297" s="1">
        <f>ABS(RPG_dataset[[#This Row],[Total Stat]])</f>
        <v>224</v>
      </c>
      <c r="AL297" s="1">
        <f>ABS(RPG_dataset[[#This Row],[Kills]])</f>
        <v>981</v>
      </c>
      <c r="AM297" s="12">
        <f>ABS(RPG_dataset[[#This Row],[Win Rate (%)]])</f>
        <v>78</v>
      </c>
      <c r="AN297" s="4">
        <f>ABS(RPG_dataset[[#This Row],[Gold Earned]])</f>
        <v>764550</v>
      </c>
      <c r="AO297" s="5" t="str">
        <f t="shared" si="4"/>
        <v>OK</v>
      </c>
      <c r="AP297" s="5">
        <f>RANK(clean[[#This Row],[Clean Gold]],clean[Clean Gold], 0)</f>
        <v>121</v>
      </c>
      <c r="AQ297" s="1">
        <v>312</v>
      </c>
      <c r="AR297" s="1" t="str" cm="1">
        <f t="array" ref="AR297">_xlfn.IFS(clean[[#This Row],[Clean Level]]&gt;=76, "Legend", clean[[#This Row],[Clean Level]]&gt;=51, "Elite", clean[[#This Row],[Clean Level]]&gt;=26, "Veteran", TRUE, "Rookie")</f>
        <v>Rookie</v>
      </c>
      <c r="AS297" s="1" t="str">
        <f>IF(RPG_dataset[[#This Row],[Status]]="Active", "TRUE", "FALSE")</f>
        <v>FALSE</v>
      </c>
      <c r="AT297" s="1" t="str" cm="1">
        <f t="array" ref="AT297">_xlfn.IFS(clean[[#This Row],[Clean Win Rate]]&gt;70, "Excellent", clean[[#This Row],[Clean Win Rate]]&gt;=40, "Average", TRUE, "Poor")</f>
        <v>Excellent</v>
      </c>
      <c r="AU297" s="1" t="str">
        <f>IF(AND(clean[[#This Row],[Clean Level]]&gt;80, clean[[#This Row],[Clean Total Stat]]&gt;350, clean[[#This Row],[Clean Gold]]&gt;500000), "Overpowered", "Normal")</f>
        <v>Normal</v>
      </c>
      <c r="AV297" s="1" t="str" cm="1">
        <f t="array" ref="AV29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97" s="1" t="str" cm="1">
        <f t="array" ref="AW29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297" s="1"/>
    </row>
    <row r="298" spans="1:50" x14ac:dyDescent="0.3">
      <c r="A298" s="2" t="s">
        <v>1068</v>
      </c>
      <c r="B298" s="2" t="s">
        <v>1069</v>
      </c>
      <c r="C298" s="2" t="s">
        <v>720</v>
      </c>
      <c r="D298" s="2" t="s">
        <v>40</v>
      </c>
      <c r="E298" s="2" t="s">
        <v>71</v>
      </c>
      <c r="F298" s="2" t="s">
        <v>72</v>
      </c>
      <c r="G298" s="2">
        <v>23</v>
      </c>
      <c r="H298" s="2" t="s">
        <v>1024</v>
      </c>
      <c r="I298" s="2" t="s">
        <v>140</v>
      </c>
      <c r="J298" s="2" t="s">
        <v>111</v>
      </c>
      <c r="K298" s="2" t="s">
        <v>34</v>
      </c>
      <c r="L298" s="6" t="s">
        <v>694</v>
      </c>
      <c r="M298" s="2">
        <v>142</v>
      </c>
      <c r="N298" s="2">
        <v>131</v>
      </c>
      <c r="O298" s="2">
        <v>116</v>
      </c>
      <c r="P298" s="2">
        <v>1354</v>
      </c>
      <c r="Q298" s="2">
        <v>154</v>
      </c>
      <c r="R298" s="2">
        <v>389</v>
      </c>
      <c r="S298" s="2">
        <v>4778</v>
      </c>
      <c r="T298" s="2">
        <v>373</v>
      </c>
      <c r="U298" s="2">
        <v>139</v>
      </c>
      <c r="V298" s="2">
        <v>93</v>
      </c>
      <c r="W298" s="2">
        <v>1739</v>
      </c>
      <c r="X298" s="9">
        <v>36872</v>
      </c>
      <c r="Y298" s="2" t="s">
        <v>46</v>
      </c>
      <c r="AA298" s="1" t="str">
        <f>TRIM(RPG_dataset[[#This Row],[Username]])</f>
        <v>jade_223</v>
      </c>
      <c r="AB298" s="1" t="str">
        <f>TRIM(RPG_dataset[[#This Row],[First Name]])</f>
        <v>Jade</v>
      </c>
      <c r="AC298" s="1" t="str">
        <f>PROPER(TRIM(RPG_dataset[[#This Row],[Race]]))</f>
        <v>Dragonborn</v>
      </c>
      <c r="AD298" s="1" t="str">
        <f>PROPER(TRIM(RPG_dataset[[#This Row],[Class]]))</f>
        <v>Warrior</v>
      </c>
      <c r="AE298" s="1">
        <f>ABS(RPG_dataset[[#This Row],[Level]])</f>
        <v>23</v>
      </c>
      <c r="AF298" s="1">
        <f>ABS(RPG_dataset[[#This Row],[ATK]])</f>
        <v>142</v>
      </c>
      <c r="AG298" s="1">
        <f>ABS(RPG_dataset[[#This Row],[DEF]])</f>
        <v>131</v>
      </c>
      <c r="AH298" s="1">
        <f>ABS(RPG_dataset[[#This Row],[SPD]])</f>
        <v>116</v>
      </c>
      <c r="AI298" s="1">
        <f>ABS(RPG_dataset[[#This Row],[HP]])</f>
        <v>1354</v>
      </c>
      <c r="AJ298" s="1">
        <f>ABS(RPG_dataset[[#This Row],[MP]])</f>
        <v>154</v>
      </c>
      <c r="AK298" s="1">
        <f>ABS(RPG_dataset[[#This Row],[Total Stat]])</f>
        <v>389</v>
      </c>
      <c r="AL298" s="1">
        <f>ABS(RPG_dataset[[#This Row],[Kills]])</f>
        <v>4778</v>
      </c>
      <c r="AM298" s="12">
        <f>ABS(RPG_dataset[[#This Row],[Win Rate (%)]])</f>
        <v>93</v>
      </c>
      <c r="AN298" s="4">
        <f>ABS(RPG_dataset[[#This Row],[Gold Earned]])</f>
        <v>36872</v>
      </c>
      <c r="AO298" s="5" t="str">
        <f t="shared" si="4"/>
        <v>OK</v>
      </c>
      <c r="AP298" s="5">
        <f>RANK(clean[[#This Row],[Clean Gold]],clean[Clean Gold], 0)</f>
        <v>463</v>
      </c>
      <c r="AQ298" s="1">
        <v>251</v>
      </c>
      <c r="AR298" s="1" t="str" cm="1">
        <f t="array" ref="AR298">_xlfn.IFS(clean[[#This Row],[Clean Level]]&gt;=76, "Legend", clean[[#This Row],[Clean Level]]&gt;=51, "Elite", clean[[#This Row],[Clean Level]]&gt;=26, "Veteran", TRUE, "Rookie")</f>
        <v>Rookie</v>
      </c>
      <c r="AS298" s="1" t="str">
        <f>IF(RPG_dataset[[#This Row],[Status]]="Active", "TRUE", "FALSE")</f>
        <v>FALSE</v>
      </c>
      <c r="AT298" s="1" t="str" cm="1">
        <f t="array" ref="AT298">_xlfn.IFS(clean[[#This Row],[Clean Win Rate]]&gt;70, "Excellent", clean[[#This Row],[Clean Win Rate]]&gt;=40, "Average", TRUE, "Poor")</f>
        <v>Excellent</v>
      </c>
      <c r="AU298" s="1" t="str">
        <f>IF(AND(clean[[#This Row],[Clean Level]]&gt;80, clean[[#This Row],[Clean Total Stat]]&gt;350, clean[[#This Row],[Clean Gold]]&gt;500000), "Overpowered", "Normal")</f>
        <v>Normal</v>
      </c>
      <c r="AV298" s="1" t="str" cm="1">
        <f t="array" ref="AV29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98" s="1" t="str" cm="1">
        <f t="array" ref="AW29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Squad Inti</v>
      </c>
      <c r="AX298" s="1"/>
    </row>
    <row r="299" spans="1:50" x14ac:dyDescent="0.3">
      <c r="A299" s="2" t="s">
        <v>1070</v>
      </c>
      <c r="B299" s="2" t="s">
        <v>1071</v>
      </c>
      <c r="C299" s="2" t="s">
        <v>724</v>
      </c>
      <c r="D299" s="2" t="s">
        <v>1072</v>
      </c>
      <c r="E299" s="2" t="s">
        <v>1073</v>
      </c>
      <c r="F299" s="2" t="s">
        <v>1074</v>
      </c>
      <c r="G299" s="2">
        <v>42</v>
      </c>
      <c r="H299" s="2" t="s">
        <v>125</v>
      </c>
      <c r="I299" s="2" t="s">
        <v>140</v>
      </c>
      <c r="J299" s="2" t="s">
        <v>163</v>
      </c>
      <c r="K299" s="2" t="s">
        <v>34</v>
      </c>
      <c r="L299" s="6" t="s">
        <v>1075</v>
      </c>
      <c r="M299" s="2">
        <v>77</v>
      </c>
      <c r="N299" s="2">
        <v>22</v>
      </c>
      <c r="O299" s="2">
        <v>31</v>
      </c>
      <c r="P299" s="2">
        <v>2364</v>
      </c>
      <c r="Q299" s="2">
        <v>56</v>
      </c>
      <c r="R299" s="2">
        <v>130</v>
      </c>
      <c r="S299" s="2">
        <v>1869</v>
      </c>
      <c r="T299" s="2">
        <v>993</v>
      </c>
      <c r="U299" s="2">
        <v>64</v>
      </c>
      <c r="V299" s="2">
        <v>65</v>
      </c>
      <c r="W299" s="2">
        <v>2293</v>
      </c>
      <c r="X299" s="2"/>
      <c r="Y299" s="2" t="s">
        <v>36</v>
      </c>
      <c r="AA299" s="1" t="str">
        <f>TRIM(RPG_dataset[[#This Row],[Username]])</f>
        <v>borin_420</v>
      </c>
      <c r="AB299" s="1" t="str">
        <f>TRIM(RPG_dataset[[#This Row],[First Name]])</f>
        <v>Borin</v>
      </c>
      <c r="AC299" s="1" t="str">
        <f>PROPER(TRIM(RPG_dataset[[#This Row],[Race]]))</f>
        <v>Gnome</v>
      </c>
      <c r="AD299" s="1" t="str">
        <f>PROPER(TRIM(RPG_dataset[[#This Row],[Class]]))</f>
        <v>Paladin</v>
      </c>
      <c r="AE299" s="1">
        <f>ABS(RPG_dataset[[#This Row],[Level]])</f>
        <v>42</v>
      </c>
      <c r="AF299" s="1">
        <f>ABS(RPG_dataset[[#This Row],[ATK]])</f>
        <v>77</v>
      </c>
      <c r="AG299" s="1">
        <f>ABS(RPG_dataset[[#This Row],[DEF]])</f>
        <v>22</v>
      </c>
      <c r="AH299" s="1">
        <f>ABS(RPG_dataset[[#This Row],[SPD]])</f>
        <v>31</v>
      </c>
      <c r="AI299" s="1">
        <f>ABS(RPG_dataset[[#This Row],[HP]])</f>
        <v>2364</v>
      </c>
      <c r="AJ299" s="1">
        <f>ABS(RPG_dataset[[#This Row],[MP]])</f>
        <v>56</v>
      </c>
      <c r="AK299" s="1">
        <f>ABS(RPG_dataset[[#This Row],[Total Stat]])</f>
        <v>130</v>
      </c>
      <c r="AL299" s="1">
        <f>ABS(RPG_dataset[[#This Row],[Kills]])</f>
        <v>1869</v>
      </c>
      <c r="AM299" s="12">
        <f>ABS(RPG_dataset[[#This Row],[Win Rate (%)]])</f>
        <v>65</v>
      </c>
      <c r="AN299" s="4">
        <f>ABS(RPG_dataset[[#This Row],[Gold Earned]])</f>
        <v>0</v>
      </c>
      <c r="AO299" s="5" t="str">
        <f t="shared" si="4"/>
        <v>OK</v>
      </c>
      <c r="AP299" s="5">
        <f>RANK(clean[[#This Row],[Clean Gold]],clean[Clean Gold], 0)</f>
        <v>486</v>
      </c>
      <c r="AQ299" s="1">
        <v>356</v>
      </c>
      <c r="AR299" s="1" t="str" cm="1">
        <f t="array" ref="AR299">_xlfn.IFS(clean[[#This Row],[Clean Level]]&gt;=76, "Legend", clean[[#This Row],[Clean Level]]&gt;=51, "Elite", clean[[#This Row],[Clean Level]]&gt;=26, "Veteran", TRUE, "Rookie")</f>
        <v>Veteran</v>
      </c>
      <c r="AS299" s="1" t="str">
        <f>IF(RPG_dataset[[#This Row],[Status]]="Active", "TRUE", "FALSE")</f>
        <v>FALSE</v>
      </c>
      <c r="AT299" s="1" t="str" cm="1">
        <f t="array" ref="AT299">_xlfn.IFS(clean[[#This Row],[Clean Win Rate]]&gt;70, "Excellent", clean[[#This Row],[Clean Win Rate]]&gt;=40, "Average", TRUE, "Poor")</f>
        <v>Average</v>
      </c>
      <c r="AU299" s="1" t="str">
        <f>IF(AND(clean[[#This Row],[Clean Level]]&gt;80, clean[[#This Row],[Clean Total Stat]]&gt;350, clean[[#This Row],[Clean Gold]]&gt;500000), "Overpowered", "Normal")</f>
        <v>Normal</v>
      </c>
      <c r="AV299" s="1" t="str" cm="1">
        <f t="array" ref="AV29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299" s="1" t="str" cm="1">
        <f t="array" ref="AW29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299" s="1"/>
    </row>
    <row r="300" spans="1:50" x14ac:dyDescent="0.3">
      <c r="A300" s="2" t="s">
        <v>1076</v>
      </c>
      <c r="B300" s="2" t="s">
        <v>1077</v>
      </c>
      <c r="C300" s="2" t="s">
        <v>49</v>
      </c>
      <c r="D300" s="2" t="s">
        <v>234</v>
      </c>
      <c r="E300" s="2" t="s">
        <v>105</v>
      </c>
      <c r="F300" s="2" t="s">
        <v>52</v>
      </c>
      <c r="G300" s="2">
        <v>27</v>
      </c>
      <c r="H300" s="2" t="s">
        <v>1078</v>
      </c>
      <c r="I300" s="2" t="s">
        <v>74</v>
      </c>
      <c r="J300" s="2" t="s">
        <v>92</v>
      </c>
      <c r="K300" s="2" t="s">
        <v>44</v>
      </c>
      <c r="L300" s="6" t="s">
        <v>1079</v>
      </c>
      <c r="M300" s="2">
        <v>130</v>
      </c>
      <c r="N300" s="2">
        <v>51</v>
      </c>
      <c r="O300" s="2">
        <v>61</v>
      </c>
      <c r="P300" s="2">
        <v>3972</v>
      </c>
      <c r="Q300" s="2">
        <v>1443</v>
      </c>
      <c r="R300" s="2">
        <v>242</v>
      </c>
      <c r="S300" s="2">
        <v>4188</v>
      </c>
      <c r="T300" s="2">
        <v>670</v>
      </c>
      <c r="U300" s="2">
        <v>111</v>
      </c>
      <c r="V300" s="2">
        <v>86</v>
      </c>
      <c r="W300" s="2">
        <v>6710</v>
      </c>
      <c r="X300" s="9">
        <v>741986</v>
      </c>
      <c r="Y300" s="2" t="s">
        <v>36</v>
      </c>
      <c r="AA300" s="1" t="str">
        <f>TRIM(RPG_dataset[[#This Row],[Username]])</f>
        <v>dune_223</v>
      </c>
      <c r="AB300" s="1" t="str">
        <f>TRIM(RPG_dataset[[#This Row],[First Name]])</f>
        <v>Dune</v>
      </c>
      <c r="AC300" s="1" t="str">
        <f>PROPER(TRIM(RPG_dataset[[#This Row],[Race]]))</f>
        <v>Orc</v>
      </c>
      <c r="AD300" s="1" t="str">
        <f>PROPER(TRIM(RPG_dataset[[#This Row],[Class]]))</f>
        <v>Bard</v>
      </c>
      <c r="AE300" s="1">
        <f>ABS(RPG_dataset[[#This Row],[Level]])</f>
        <v>27</v>
      </c>
      <c r="AF300" s="1">
        <f>ABS(RPG_dataset[[#This Row],[ATK]])</f>
        <v>130</v>
      </c>
      <c r="AG300" s="1">
        <f>ABS(RPG_dataset[[#This Row],[DEF]])</f>
        <v>51</v>
      </c>
      <c r="AH300" s="1">
        <f>ABS(RPG_dataset[[#This Row],[SPD]])</f>
        <v>61</v>
      </c>
      <c r="AI300" s="1">
        <f>ABS(RPG_dataset[[#This Row],[HP]])</f>
        <v>3972</v>
      </c>
      <c r="AJ300" s="1">
        <f>ABS(RPG_dataset[[#This Row],[MP]])</f>
        <v>1443</v>
      </c>
      <c r="AK300" s="1">
        <f>ABS(RPG_dataset[[#This Row],[Total Stat]])</f>
        <v>242</v>
      </c>
      <c r="AL300" s="1">
        <f>ABS(RPG_dataset[[#This Row],[Kills]])</f>
        <v>4188</v>
      </c>
      <c r="AM300" s="12">
        <f>ABS(RPG_dataset[[#This Row],[Win Rate (%)]])</f>
        <v>86</v>
      </c>
      <c r="AN300" s="4">
        <f>ABS(RPG_dataset[[#This Row],[Gold Earned]])</f>
        <v>741986</v>
      </c>
      <c r="AO300" s="5" t="str">
        <f t="shared" si="4"/>
        <v>OK</v>
      </c>
      <c r="AP300" s="5">
        <f>RANK(clean[[#This Row],[Clean Gold]],clean[Clean Gold], 0)</f>
        <v>132</v>
      </c>
      <c r="AQ300" s="1">
        <v>341</v>
      </c>
      <c r="AR300" s="1" t="str" cm="1">
        <f t="array" ref="AR300">_xlfn.IFS(clean[[#This Row],[Clean Level]]&gt;=76, "Legend", clean[[#This Row],[Clean Level]]&gt;=51, "Elite", clean[[#This Row],[Clean Level]]&gt;=26, "Veteran", TRUE, "Rookie")</f>
        <v>Veteran</v>
      </c>
      <c r="AS300" s="1" t="str">
        <f>IF(RPG_dataset[[#This Row],[Status]]="Active", "TRUE", "FALSE")</f>
        <v>TRUE</v>
      </c>
      <c r="AT300" s="1" t="str" cm="1">
        <f t="array" ref="AT300">_xlfn.IFS(clean[[#This Row],[Clean Win Rate]]&gt;70, "Excellent", clean[[#This Row],[Clean Win Rate]]&gt;=40, "Average", TRUE, "Poor")</f>
        <v>Excellent</v>
      </c>
      <c r="AU300" s="1" t="str">
        <f>IF(AND(clean[[#This Row],[Clean Level]]&gt;80, clean[[#This Row],[Clean Total Stat]]&gt;350, clean[[#This Row],[Clean Gold]]&gt;500000), "Overpowered", "Normal")</f>
        <v>Normal</v>
      </c>
      <c r="AV300" s="1" t="str" cm="1">
        <f t="array" ref="AV30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00" s="1" t="str" cm="1">
        <f t="array" ref="AW30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300" s="1"/>
    </row>
    <row r="301" spans="1:50" x14ac:dyDescent="0.3">
      <c r="A301" s="2" t="s">
        <v>1080</v>
      </c>
      <c r="B301" s="2" t="s">
        <v>1081</v>
      </c>
      <c r="C301" s="2" t="s">
        <v>238</v>
      </c>
      <c r="D301" s="2" t="s">
        <v>495</v>
      </c>
      <c r="E301" s="2" t="s">
        <v>60</v>
      </c>
      <c r="F301" s="2" t="s">
        <v>194</v>
      </c>
      <c r="G301" s="2">
        <v>15</v>
      </c>
      <c r="H301" s="2" t="s">
        <v>62</v>
      </c>
      <c r="I301" s="2" t="s">
        <v>54</v>
      </c>
      <c r="J301" s="2" t="s">
        <v>92</v>
      </c>
      <c r="K301" s="2" t="s">
        <v>44</v>
      </c>
      <c r="L301" s="6" t="s">
        <v>1082</v>
      </c>
      <c r="M301" s="2">
        <v>83</v>
      </c>
      <c r="N301" s="2">
        <v>10</v>
      </c>
      <c r="O301" s="2">
        <v>90</v>
      </c>
      <c r="P301" s="2">
        <v>3943</v>
      </c>
      <c r="Q301" s="2">
        <v>402</v>
      </c>
      <c r="R301" s="2">
        <v>183</v>
      </c>
      <c r="S301" s="2">
        <v>4421</v>
      </c>
      <c r="T301" s="2">
        <v>114</v>
      </c>
      <c r="U301" s="2">
        <v>88</v>
      </c>
      <c r="V301" s="2">
        <v>97</v>
      </c>
      <c r="W301" s="2">
        <v>512</v>
      </c>
      <c r="X301" s="9">
        <v>30730</v>
      </c>
      <c r="Y301" s="2" t="s">
        <v>36</v>
      </c>
      <c r="AA301" s="1" t="str">
        <f>TRIM(RPG_dataset[[#This Row],[Username]])</f>
        <v>cael_881</v>
      </c>
      <c r="AB301" s="1" t="str">
        <f>TRIM(RPG_dataset[[#This Row],[First Name]])</f>
        <v>Cael</v>
      </c>
      <c r="AC301" s="1" t="str">
        <f>PROPER(TRIM(RPG_dataset[[#This Row],[Race]]))</f>
        <v>Human</v>
      </c>
      <c r="AD301" s="1" t="str">
        <f>PROPER(TRIM(RPG_dataset[[#This Row],[Class]]))</f>
        <v>Paladin</v>
      </c>
      <c r="AE301" s="1">
        <f>ABS(RPG_dataset[[#This Row],[Level]])</f>
        <v>15</v>
      </c>
      <c r="AF301" s="1">
        <f>ABS(RPG_dataset[[#This Row],[ATK]])</f>
        <v>83</v>
      </c>
      <c r="AG301" s="1">
        <f>ABS(RPG_dataset[[#This Row],[DEF]])</f>
        <v>10</v>
      </c>
      <c r="AH301" s="1">
        <f>ABS(RPG_dataset[[#This Row],[SPD]])</f>
        <v>90</v>
      </c>
      <c r="AI301" s="1">
        <f>ABS(RPG_dataset[[#This Row],[HP]])</f>
        <v>3943</v>
      </c>
      <c r="AJ301" s="1">
        <f>ABS(RPG_dataset[[#This Row],[MP]])</f>
        <v>402</v>
      </c>
      <c r="AK301" s="1">
        <f>ABS(RPG_dataset[[#This Row],[Total Stat]])</f>
        <v>183</v>
      </c>
      <c r="AL301" s="1">
        <f>ABS(RPG_dataset[[#This Row],[Kills]])</f>
        <v>4421</v>
      </c>
      <c r="AM301" s="12">
        <f>ABS(RPG_dataset[[#This Row],[Win Rate (%)]])</f>
        <v>97</v>
      </c>
      <c r="AN301" s="4">
        <f>ABS(RPG_dataset[[#This Row],[Gold Earned]])</f>
        <v>30730</v>
      </c>
      <c r="AO301" s="5" t="str">
        <f t="shared" si="4"/>
        <v>OK</v>
      </c>
      <c r="AP301" s="5">
        <f>RANK(clean[[#This Row],[Clean Gold]],clean[Clean Gold], 0)</f>
        <v>466</v>
      </c>
      <c r="AQ301" s="1">
        <v>287</v>
      </c>
      <c r="AR301" s="1" t="str" cm="1">
        <f t="array" ref="AR301">_xlfn.IFS(clean[[#This Row],[Clean Level]]&gt;=76, "Legend", clean[[#This Row],[Clean Level]]&gt;=51, "Elite", clean[[#This Row],[Clean Level]]&gt;=26, "Veteran", TRUE, "Rookie")</f>
        <v>Rookie</v>
      </c>
      <c r="AS301" s="1" t="str">
        <f>IF(RPG_dataset[[#This Row],[Status]]="Active", "TRUE", "FALSE")</f>
        <v>TRUE</v>
      </c>
      <c r="AT301" s="1" t="str" cm="1">
        <f t="array" ref="AT301">_xlfn.IFS(clean[[#This Row],[Clean Win Rate]]&gt;70, "Excellent", clean[[#This Row],[Clean Win Rate]]&gt;=40, "Average", TRUE, "Poor")</f>
        <v>Excellent</v>
      </c>
      <c r="AU301" s="1" t="str">
        <f>IF(AND(clean[[#This Row],[Clean Level]]&gt;80, clean[[#This Row],[Clean Total Stat]]&gt;350, clean[[#This Row],[Clean Gold]]&gt;500000), "Overpowered", "Normal")</f>
        <v>Normal</v>
      </c>
      <c r="AV301" s="1" t="str" cm="1">
        <f t="array" ref="AV30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01" s="1" t="str" cm="1">
        <f t="array" ref="AW30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01" s="1"/>
    </row>
    <row r="302" spans="1:50" x14ac:dyDescent="0.3">
      <c r="A302" s="2" t="s">
        <v>1083</v>
      </c>
      <c r="B302" s="2" t="s">
        <v>1084</v>
      </c>
      <c r="C302" s="2" t="s">
        <v>720</v>
      </c>
      <c r="D302" s="2" t="s">
        <v>139</v>
      </c>
      <c r="E302" s="2" t="s">
        <v>105</v>
      </c>
      <c r="F302" s="2" t="s">
        <v>30</v>
      </c>
      <c r="G302" s="2">
        <v>8</v>
      </c>
      <c r="H302" s="2" t="s">
        <v>125</v>
      </c>
      <c r="I302" s="2" t="s">
        <v>63</v>
      </c>
      <c r="J302" s="2" t="s">
        <v>163</v>
      </c>
      <c r="K302" s="2" t="s">
        <v>44</v>
      </c>
      <c r="L302" s="6" t="s">
        <v>1085</v>
      </c>
      <c r="M302" s="2">
        <v>57</v>
      </c>
      <c r="N302" s="2">
        <v>66</v>
      </c>
      <c r="O302" s="2">
        <v>128</v>
      </c>
      <c r="P302" s="2">
        <v>690</v>
      </c>
      <c r="Q302" s="2">
        <v>2112</v>
      </c>
      <c r="R302" s="2">
        <v>251</v>
      </c>
      <c r="S302" s="2">
        <v>587</v>
      </c>
      <c r="T302" s="2">
        <v>568</v>
      </c>
      <c r="U302" s="2">
        <v>4</v>
      </c>
      <c r="V302" s="2">
        <v>51</v>
      </c>
      <c r="W302" s="2">
        <v>1675</v>
      </c>
      <c r="X302" s="9">
        <v>745639</v>
      </c>
      <c r="Y302" s="2" t="s">
        <v>46</v>
      </c>
      <c r="AA302" s="1" t="str">
        <f>TRIM(RPG_dataset[[#This Row],[Username]])</f>
        <v>jade_991</v>
      </c>
      <c r="AB302" s="1" t="str">
        <f>TRIM(RPG_dataset[[#This Row],[First Name]])</f>
        <v>Jade</v>
      </c>
      <c r="AC302" s="1" t="str">
        <f>PROPER(TRIM(RPG_dataset[[#This Row],[Race]]))</f>
        <v>Orc</v>
      </c>
      <c r="AD302" s="1" t="str">
        <f>PROPER(TRIM(RPG_dataset[[#This Row],[Class]]))</f>
        <v>Rogue</v>
      </c>
      <c r="AE302" s="1">
        <f>ABS(RPG_dataset[[#This Row],[Level]])</f>
        <v>8</v>
      </c>
      <c r="AF302" s="1">
        <f>ABS(RPG_dataset[[#This Row],[ATK]])</f>
        <v>57</v>
      </c>
      <c r="AG302" s="1">
        <f>ABS(RPG_dataset[[#This Row],[DEF]])</f>
        <v>66</v>
      </c>
      <c r="AH302" s="1">
        <f>ABS(RPG_dataset[[#This Row],[SPD]])</f>
        <v>128</v>
      </c>
      <c r="AI302" s="1">
        <f>ABS(RPG_dataset[[#This Row],[HP]])</f>
        <v>690</v>
      </c>
      <c r="AJ302" s="1">
        <f>ABS(RPG_dataset[[#This Row],[MP]])</f>
        <v>2112</v>
      </c>
      <c r="AK302" s="1">
        <f>ABS(RPG_dataset[[#This Row],[Total Stat]])</f>
        <v>251</v>
      </c>
      <c r="AL302" s="1">
        <f>ABS(RPG_dataset[[#This Row],[Kills]])</f>
        <v>587</v>
      </c>
      <c r="AM302" s="12">
        <f>ABS(RPG_dataset[[#This Row],[Win Rate (%)]])</f>
        <v>51</v>
      </c>
      <c r="AN302" s="4">
        <f>ABS(RPG_dataset[[#This Row],[Gold Earned]])</f>
        <v>745639</v>
      </c>
      <c r="AO302" s="5" t="str">
        <f t="shared" si="4"/>
        <v>OK</v>
      </c>
      <c r="AP302" s="5">
        <f>RANK(clean[[#This Row],[Clean Gold]],clean[Clean Gold], 0)</f>
        <v>131</v>
      </c>
      <c r="AQ302" s="1">
        <v>153</v>
      </c>
      <c r="AR302" s="1" t="str" cm="1">
        <f t="array" ref="AR302">_xlfn.IFS(clean[[#This Row],[Clean Level]]&gt;=76, "Legend", clean[[#This Row],[Clean Level]]&gt;=51, "Elite", clean[[#This Row],[Clean Level]]&gt;=26, "Veteran", TRUE, "Rookie")</f>
        <v>Rookie</v>
      </c>
      <c r="AS302" s="1" t="str">
        <f>IF(RPG_dataset[[#This Row],[Status]]="Active", "TRUE", "FALSE")</f>
        <v>TRUE</v>
      </c>
      <c r="AT302" s="1" t="str" cm="1">
        <f t="array" ref="AT302">_xlfn.IFS(clean[[#This Row],[Clean Win Rate]]&gt;70, "Excellent", clean[[#This Row],[Clean Win Rate]]&gt;=40, "Average", TRUE, "Poor")</f>
        <v>Average</v>
      </c>
      <c r="AU302" s="1" t="str">
        <f>IF(AND(clean[[#This Row],[Clean Level]]&gt;80, clean[[#This Row],[Clean Total Stat]]&gt;350, clean[[#This Row],[Clean Gold]]&gt;500000), "Overpowered", "Normal")</f>
        <v>Normal</v>
      </c>
      <c r="AV302" s="1" t="str" cm="1">
        <f t="array" ref="AV302">_xlfn.IFS(
(AND(OR(clean[[#This Row],[Tier]]="Elite", clean[[#This Row],[Tier]]="Legend"), clean[[#This Row],[Performance]]="Excellent", RPG_dataset[[#This Row],[Is Premium]]="Yes")), "High", OR(OR(clean[[#This Row],[Tier]]="Elite", clean[[#This Row],[Tier]]="Legend"), clean[[#This Row],[Performance]]="Excellent", RPG_dataset[[#This Row],[Is Premium]]="Yes"), "Medium", TRUE, "Low")</f>
        <v>Low</v>
      </c>
      <c r="AW302" s="1" t="str" cm="1">
        <f t="array" ref="AW30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02" s="1"/>
    </row>
    <row r="303" spans="1:50" x14ac:dyDescent="0.3">
      <c r="A303" s="2" t="s">
        <v>1086</v>
      </c>
      <c r="B303" s="2" t="s">
        <v>1087</v>
      </c>
      <c r="C303" s="2" t="s">
        <v>360</v>
      </c>
      <c r="D303" s="2" t="s">
        <v>618</v>
      </c>
      <c r="E303" s="2" t="s">
        <v>41</v>
      </c>
      <c r="F303" s="2" t="s">
        <v>42</v>
      </c>
      <c r="G303" s="2">
        <v>42</v>
      </c>
      <c r="H303" s="2" t="s">
        <v>1088</v>
      </c>
      <c r="I303" s="2" t="s">
        <v>63</v>
      </c>
      <c r="J303" s="2" t="s">
        <v>33</v>
      </c>
      <c r="K303" s="2" t="s">
        <v>106</v>
      </c>
      <c r="L303" s="6" t="s">
        <v>1089</v>
      </c>
      <c r="M303" s="2">
        <v>118</v>
      </c>
      <c r="N303" s="2">
        <v>62</v>
      </c>
      <c r="O303" s="2">
        <v>81</v>
      </c>
      <c r="P303" s="2">
        <v>3925</v>
      </c>
      <c r="Q303" s="2">
        <v>69</v>
      </c>
      <c r="R303" s="2">
        <v>261</v>
      </c>
      <c r="S303" s="2">
        <v>4652</v>
      </c>
      <c r="T303" s="2">
        <v>786</v>
      </c>
      <c r="U303" s="2">
        <v>19</v>
      </c>
      <c r="V303" s="2">
        <v>86</v>
      </c>
      <c r="W303" s="2">
        <v>86</v>
      </c>
      <c r="X303" s="9">
        <v>203183</v>
      </c>
      <c r="Y303" s="2" t="s">
        <v>46</v>
      </c>
      <c r="AA303" s="1" t="str">
        <f>TRIM(RPG_dataset[[#This Row],[Username]])</f>
        <v>oryn_980</v>
      </c>
      <c r="AB303" s="1" t="str">
        <f>TRIM(RPG_dataset[[#This Row],[First Name]])</f>
        <v>Oryn</v>
      </c>
      <c r="AC303" s="1" t="str">
        <f>PROPER(TRIM(RPG_dataset[[#This Row],[Race]]))</f>
        <v>Gnome</v>
      </c>
      <c r="AD303" s="1" t="str">
        <f>PROPER(TRIM(RPG_dataset[[#This Row],[Class]]))</f>
        <v>Monk</v>
      </c>
      <c r="AE303" s="1">
        <f>ABS(RPG_dataset[[#This Row],[Level]])</f>
        <v>42</v>
      </c>
      <c r="AF303" s="1">
        <f>ABS(RPG_dataset[[#This Row],[ATK]])</f>
        <v>118</v>
      </c>
      <c r="AG303" s="1">
        <f>ABS(RPG_dataset[[#This Row],[DEF]])</f>
        <v>62</v>
      </c>
      <c r="AH303" s="1">
        <f>ABS(RPG_dataset[[#This Row],[SPD]])</f>
        <v>81</v>
      </c>
      <c r="AI303" s="1">
        <f>ABS(RPG_dataset[[#This Row],[HP]])</f>
        <v>3925</v>
      </c>
      <c r="AJ303" s="1">
        <f>ABS(RPG_dataset[[#This Row],[MP]])</f>
        <v>69</v>
      </c>
      <c r="AK303" s="1">
        <f>ABS(RPG_dataset[[#This Row],[Total Stat]])</f>
        <v>261</v>
      </c>
      <c r="AL303" s="1">
        <f>ABS(RPG_dataset[[#This Row],[Kills]])</f>
        <v>4652</v>
      </c>
      <c r="AM303" s="12">
        <f>ABS(RPG_dataset[[#This Row],[Win Rate (%)]])</f>
        <v>86</v>
      </c>
      <c r="AN303" s="4">
        <f>ABS(RPG_dataset[[#This Row],[Gold Earned]])</f>
        <v>203183</v>
      </c>
      <c r="AO303" s="5" t="str">
        <f t="shared" si="4"/>
        <v>OK</v>
      </c>
      <c r="AP303" s="5">
        <f>RANK(clean[[#This Row],[Clean Gold]],clean[Clean Gold], 0)</f>
        <v>398</v>
      </c>
      <c r="AQ303" s="1">
        <v>140</v>
      </c>
      <c r="AR303" s="1" t="str" cm="1">
        <f t="array" ref="AR303">_xlfn.IFS(clean[[#This Row],[Clean Level]]&gt;=76, "Legend", clean[[#This Row],[Clean Level]]&gt;=51, "Elite", clean[[#This Row],[Clean Level]]&gt;=26, "Veteran", TRUE, "Rookie")</f>
        <v>Veteran</v>
      </c>
      <c r="AS303" s="1" t="str">
        <f>IF(RPG_dataset[[#This Row],[Status]]="Active", "TRUE", "FALSE")</f>
        <v>FALSE</v>
      </c>
      <c r="AT303" s="1" t="str" cm="1">
        <f t="array" ref="AT303">_xlfn.IFS(clean[[#This Row],[Clean Win Rate]]&gt;70, "Excellent", clean[[#This Row],[Clean Win Rate]]&gt;=40, "Average", TRUE, "Poor")</f>
        <v>Excellent</v>
      </c>
      <c r="AU303" s="1" t="str">
        <f>IF(AND(clean[[#This Row],[Clean Level]]&gt;80, clean[[#This Row],[Clean Total Stat]]&gt;350, clean[[#This Row],[Clean Gold]]&gt;500000), "Overpowered", "Normal")</f>
        <v>Normal</v>
      </c>
      <c r="AV303" s="1" t="str" cm="1">
        <f t="array" ref="AV30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03" s="1" t="str" cm="1">
        <f t="array" ref="AW30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303" s="1"/>
    </row>
    <row r="304" spans="1:50" x14ac:dyDescent="0.3">
      <c r="A304" s="2" t="s">
        <v>1090</v>
      </c>
      <c r="B304" s="2" t="s">
        <v>1091</v>
      </c>
      <c r="C304" s="2" t="s">
        <v>167</v>
      </c>
      <c r="D304" s="2" t="s">
        <v>70</v>
      </c>
      <c r="E304" s="2" t="s">
        <v>41</v>
      </c>
      <c r="F304" s="2" t="s">
        <v>52</v>
      </c>
      <c r="G304" s="2">
        <v>6</v>
      </c>
      <c r="H304" s="2" t="s">
        <v>43</v>
      </c>
      <c r="I304" s="2" t="s">
        <v>74</v>
      </c>
      <c r="J304" s="2" t="s">
        <v>111</v>
      </c>
      <c r="K304" s="2" t="s">
        <v>44</v>
      </c>
      <c r="L304" s="6" t="s">
        <v>1092</v>
      </c>
      <c r="M304" s="2">
        <v>100</v>
      </c>
      <c r="N304" s="2">
        <v>146</v>
      </c>
      <c r="O304" s="2">
        <v>89</v>
      </c>
      <c r="P304" s="2">
        <v>4703</v>
      </c>
      <c r="Q304" s="2">
        <v>956</v>
      </c>
      <c r="R304" s="2">
        <v>335</v>
      </c>
      <c r="S304" s="2"/>
      <c r="T304" s="2">
        <v>590</v>
      </c>
      <c r="U304" s="2">
        <v>131</v>
      </c>
      <c r="V304" s="2">
        <v>89</v>
      </c>
      <c r="W304" s="2">
        <v>1406</v>
      </c>
      <c r="X304" s="9">
        <v>250359</v>
      </c>
      <c r="Y304" s="2" t="s">
        <v>36</v>
      </c>
      <c r="AA304" s="1" t="str">
        <f>TRIM(RPG_dataset[[#This Row],[Username]])</f>
        <v>tilda_714</v>
      </c>
      <c r="AB304" s="1" t="str">
        <f>TRIM(RPG_dataset[[#This Row],[First Name]])</f>
        <v>Tilda</v>
      </c>
      <c r="AC304" s="1" t="str">
        <f>PROPER(TRIM(RPG_dataset[[#This Row],[Race]]))</f>
        <v>Gnome</v>
      </c>
      <c r="AD304" s="1" t="str">
        <f>PROPER(TRIM(RPG_dataset[[#This Row],[Class]]))</f>
        <v>Bard</v>
      </c>
      <c r="AE304" s="1">
        <f>ABS(RPG_dataset[[#This Row],[Level]])</f>
        <v>6</v>
      </c>
      <c r="AF304" s="1">
        <f>ABS(RPG_dataset[[#This Row],[ATK]])</f>
        <v>100</v>
      </c>
      <c r="AG304" s="1">
        <f>ABS(RPG_dataset[[#This Row],[DEF]])</f>
        <v>146</v>
      </c>
      <c r="AH304" s="1">
        <f>ABS(RPG_dataset[[#This Row],[SPD]])</f>
        <v>89</v>
      </c>
      <c r="AI304" s="1">
        <f>ABS(RPG_dataset[[#This Row],[HP]])</f>
        <v>4703</v>
      </c>
      <c r="AJ304" s="1">
        <f>ABS(RPG_dataset[[#This Row],[MP]])</f>
        <v>956</v>
      </c>
      <c r="AK304" s="1">
        <f>ABS(RPG_dataset[[#This Row],[Total Stat]])</f>
        <v>335</v>
      </c>
      <c r="AL304" s="1">
        <f>ABS(RPG_dataset[[#This Row],[Kills]])</f>
        <v>0</v>
      </c>
      <c r="AM304" s="12">
        <f>ABS(RPG_dataset[[#This Row],[Win Rate (%)]])</f>
        <v>89</v>
      </c>
      <c r="AN304" s="4">
        <f>ABS(RPG_dataset[[#This Row],[Gold Earned]])</f>
        <v>250359</v>
      </c>
      <c r="AO304" s="5" t="str">
        <f t="shared" si="4"/>
        <v>OK</v>
      </c>
      <c r="AP304" s="5">
        <f>RANK(clean[[#This Row],[Clean Gold]],clean[Clean Gold], 0)</f>
        <v>374</v>
      </c>
      <c r="AQ304" s="1">
        <v>294</v>
      </c>
      <c r="AR304" s="1" t="str" cm="1">
        <f t="array" ref="AR304">_xlfn.IFS(clean[[#This Row],[Clean Level]]&gt;=76, "Legend", clean[[#This Row],[Clean Level]]&gt;=51, "Elite", clean[[#This Row],[Clean Level]]&gt;=26, "Veteran", TRUE, "Rookie")</f>
        <v>Rookie</v>
      </c>
      <c r="AS304" s="1" t="str">
        <f>IF(RPG_dataset[[#This Row],[Status]]="Active", "TRUE", "FALSE")</f>
        <v>TRUE</v>
      </c>
      <c r="AT304" s="1" t="str" cm="1">
        <f t="array" ref="AT304">_xlfn.IFS(clean[[#This Row],[Clean Win Rate]]&gt;70, "Excellent", clean[[#This Row],[Clean Win Rate]]&gt;=40, "Average", TRUE, "Poor")</f>
        <v>Excellent</v>
      </c>
      <c r="AU304" s="1" t="str">
        <f>IF(AND(clean[[#This Row],[Clean Level]]&gt;80, clean[[#This Row],[Clean Total Stat]]&gt;350, clean[[#This Row],[Clean Gold]]&gt;500000), "Overpowered", "Normal")</f>
        <v>Normal</v>
      </c>
      <c r="AV304" s="1" t="str" cm="1">
        <f t="array" ref="AV30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04" s="1" t="str" cm="1">
        <f t="array" ref="AW30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04" s="1"/>
    </row>
    <row r="305" spans="1:50" x14ac:dyDescent="0.3">
      <c r="A305" s="2" t="s">
        <v>1093</v>
      </c>
      <c r="B305" s="2" t="s">
        <v>1094</v>
      </c>
      <c r="C305" s="2" t="s">
        <v>314</v>
      </c>
      <c r="D305" s="2" t="s">
        <v>254</v>
      </c>
      <c r="E305" s="2" t="s">
        <v>51</v>
      </c>
      <c r="F305" s="2" t="s">
        <v>72</v>
      </c>
      <c r="G305" s="2"/>
      <c r="H305" s="2" t="s">
        <v>53</v>
      </c>
      <c r="I305" s="2" t="s">
        <v>74</v>
      </c>
      <c r="J305" s="2" t="s">
        <v>163</v>
      </c>
      <c r="K305" s="2" t="s">
        <v>106</v>
      </c>
      <c r="L305" s="6" t="s">
        <v>1095</v>
      </c>
      <c r="M305" s="2">
        <v>13</v>
      </c>
      <c r="N305" s="2">
        <v>18</v>
      </c>
      <c r="O305" s="2">
        <v>147</v>
      </c>
      <c r="P305" s="2">
        <v>1492</v>
      </c>
      <c r="Q305" s="2">
        <v>2836</v>
      </c>
      <c r="R305" s="2">
        <v>178</v>
      </c>
      <c r="S305" s="2">
        <v>545</v>
      </c>
      <c r="T305" s="2">
        <v>590</v>
      </c>
      <c r="U305" s="2">
        <v>136</v>
      </c>
      <c r="V305" s="2">
        <v>48</v>
      </c>
      <c r="W305" s="2">
        <v>9170</v>
      </c>
      <c r="X305" s="9">
        <v>447976</v>
      </c>
      <c r="Y305" s="2" t="s">
        <v>36</v>
      </c>
      <c r="AA305" s="1" t="str">
        <f>TRIM(RPG_dataset[[#This Row],[Username]])</f>
        <v>zara_101</v>
      </c>
      <c r="AB305" s="1" t="str">
        <f>TRIM(RPG_dataset[[#This Row],[First Name]])</f>
        <v>Zara</v>
      </c>
      <c r="AC305" s="1" t="str">
        <f>PROPER(TRIM(RPG_dataset[[#This Row],[Race]]))</f>
        <v>Tiefling</v>
      </c>
      <c r="AD305" s="1" t="str">
        <f>PROPER(TRIM(RPG_dataset[[#This Row],[Class]]))</f>
        <v>Warrior</v>
      </c>
      <c r="AE305" s="1">
        <f>ABS(RPG_dataset[[#This Row],[Level]])</f>
        <v>0</v>
      </c>
      <c r="AF305" s="1">
        <f>ABS(RPG_dataset[[#This Row],[ATK]])</f>
        <v>13</v>
      </c>
      <c r="AG305" s="1">
        <f>ABS(RPG_dataset[[#This Row],[DEF]])</f>
        <v>18</v>
      </c>
      <c r="AH305" s="1">
        <f>ABS(RPG_dataset[[#This Row],[SPD]])</f>
        <v>147</v>
      </c>
      <c r="AI305" s="1">
        <f>ABS(RPG_dataset[[#This Row],[HP]])</f>
        <v>1492</v>
      </c>
      <c r="AJ305" s="1">
        <f>ABS(RPG_dataset[[#This Row],[MP]])</f>
        <v>2836</v>
      </c>
      <c r="AK305" s="1">
        <f>ABS(RPG_dataset[[#This Row],[Total Stat]])</f>
        <v>178</v>
      </c>
      <c r="AL305" s="1">
        <f>ABS(RPG_dataset[[#This Row],[Kills]])</f>
        <v>545</v>
      </c>
      <c r="AM305" s="12">
        <f>ABS(RPG_dataset[[#This Row],[Win Rate (%)]])</f>
        <v>48</v>
      </c>
      <c r="AN305" s="4">
        <f>ABS(RPG_dataset[[#This Row],[Gold Earned]])</f>
        <v>447976</v>
      </c>
      <c r="AO305" s="5" t="str">
        <f t="shared" si="4"/>
        <v>OK</v>
      </c>
      <c r="AP305" s="5">
        <f>RANK(clean[[#This Row],[Clean Gold]],clean[Clean Gold], 0)</f>
        <v>280</v>
      </c>
      <c r="AQ305" s="1">
        <v>185</v>
      </c>
      <c r="AR305" s="1" t="str" cm="1">
        <f t="array" ref="AR305">_xlfn.IFS(clean[[#This Row],[Clean Level]]&gt;=76, "Legend", clean[[#This Row],[Clean Level]]&gt;=51, "Elite", clean[[#This Row],[Clean Level]]&gt;=26, "Veteran", TRUE, "Rookie")</f>
        <v>Rookie</v>
      </c>
      <c r="AS305" s="1" t="str">
        <f>IF(RPG_dataset[[#This Row],[Status]]="Active", "TRUE", "FALSE")</f>
        <v>FALSE</v>
      </c>
      <c r="AT305" s="1" t="str" cm="1">
        <f t="array" ref="AT305">_xlfn.IFS(clean[[#This Row],[Clean Win Rate]]&gt;70, "Excellent", clean[[#This Row],[Clean Win Rate]]&gt;=40, "Average", TRUE, "Poor")</f>
        <v>Average</v>
      </c>
      <c r="AU305" s="1" t="str">
        <f>IF(AND(clean[[#This Row],[Clean Level]]&gt;80, clean[[#This Row],[Clean Total Stat]]&gt;350, clean[[#This Row],[Clean Gold]]&gt;500000), "Overpowered", "Normal")</f>
        <v>Normal</v>
      </c>
      <c r="AV305" s="1" t="str" cm="1">
        <f t="array" ref="AV30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05" s="1" t="str" cm="1">
        <f t="array" ref="AW30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05" s="1"/>
    </row>
    <row r="306" spans="1:50" x14ac:dyDescent="0.3">
      <c r="A306" s="2" t="s">
        <v>1096</v>
      </c>
      <c r="B306" s="2" t="s">
        <v>1097</v>
      </c>
      <c r="C306" s="2" t="s">
        <v>296</v>
      </c>
      <c r="D306" s="2" t="s">
        <v>272</v>
      </c>
      <c r="E306" s="2" t="s">
        <v>51</v>
      </c>
      <c r="F306" s="2" t="s">
        <v>42</v>
      </c>
      <c r="G306" s="2"/>
      <c r="H306" s="2" t="s">
        <v>62</v>
      </c>
      <c r="I306" s="2" t="s">
        <v>63</v>
      </c>
      <c r="J306" s="2" t="s">
        <v>64</v>
      </c>
      <c r="K306" s="2" t="s">
        <v>106</v>
      </c>
      <c r="L306" s="6" t="s">
        <v>706</v>
      </c>
      <c r="M306" s="2">
        <v>49</v>
      </c>
      <c r="N306" s="2">
        <v>50</v>
      </c>
      <c r="O306" s="2">
        <v>36</v>
      </c>
      <c r="P306" s="2"/>
      <c r="Q306" s="2">
        <v>189</v>
      </c>
      <c r="R306" s="2">
        <v>135</v>
      </c>
      <c r="S306" s="2">
        <v>4610</v>
      </c>
      <c r="T306" s="2">
        <v>356</v>
      </c>
      <c r="U306" s="2">
        <v>6</v>
      </c>
      <c r="V306" s="2">
        <v>-93</v>
      </c>
      <c r="W306" s="2">
        <v>7346</v>
      </c>
      <c r="X306" s="9">
        <v>305319</v>
      </c>
      <c r="Y306" s="2" t="s">
        <v>36</v>
      </c>
      <c r="AA306" s="1" t="str">
        <f>TRIM(RPG_dataset[[#This Row],[Username]])</f>
        <v>gareth_118</v>
      </c>
      <c r="AB306" s="1" t="str">
        <f>TRIM(RPG_dataset[[#This Row],[First Name]])</f>
        <v>Gareth</v>
      </c>
      <c r="AC306" s="1" t="str">
        <f>PROPER(TRIM(RPG_dataset[[#This Row],[Race]]))</f>
        <v>Tiefling</v>
      </c>
      <c r="AD306" s="1" t="str">
        <f>PROPER(TRIM(RPG_dataset[[#This Row],[Class]]))</f>
        <v>Monk</v>
      </c>
      <c r="AE306" s="1">
        <f>ABS(RPG_dataset[[#This Row],[Level]])</f>
        <v>0</v>
      </c>
      <c r="AF306" s="1">
        <f>ABS(RPG_dataset[[#This Row],[ATK]])</f>
        <v>49</v>
      </c>
      <c r="AG306" s="1">
        <f>ABS(RPG_dataset[[#This Row],[DEF]])</f>
        <v>50</v>
      </c>
      <c r="AH306" s="1">
        <f>ABS(RPG_dataset[[#This Row],[SPD]])</f>
        <v>36</v>
      </c>
      <c r="AI306" s="1">
        <f>ABS(RPG_dataset[[#This Row],[HP]])</f>
        <v>0</v>
      </c>
      <c r="AJ306" s="1">
        <f>ABS(RPG_dataset[[#This Row],[MP]])</f>
        <v>189</v>
      </c>
      <c r="AK306" s="1">
        <f>ABS(RPG_dataset[[#This Row],[Total Stat]])</f>
        <v>135</v>
      </c>
      <c r="AL306" s="1">
        <f>ABS(RPG_dataset[[#This Row],[Kills]])</f>
        <v>4610</v>
      </c>
      <c r="AM306" s="12">
        <f>ABS(RPG_dataset[[#This Row],[Win Rate (%)]])</f>
        <v>93</v>
      </c>
      <c r="AN306" s="4">
        <f>ABS(RPG_dataset[[#This Row],[Gold Earned]])</f>
        <v>305319</v>
      </c>
      <c r="AO306" s="5" t="str">
        <f t="shared" si="4"/>
        <v>OK</v>
      </c>
      <c r="AP306" s="5">
        <f>RANK(clean[[#This Row],[Clean Gold]],clean[Clean Gold], 0)</f>
        <v>350</v>
      </c>
      <c r="AQ306" s="1">
        <v>133</v>
      </c>
      <c r="AR306" s="1" t="str" cm="1">
        <f t="array" ref="AR306">_xlfn.IFS(clean[[#This Row],[Clean Level]]&gt;=76, "Legend", clean[[#This Row],[Clean Level]]&gt;=51, "Elite", clean[[#This Row],[Clean Level]]&gt;=26, "Veteran", TRUE, "Rookie")</f>
        <v>Rookie</v>
      </c>
      <c r="AS306" s="1" t="str">
        <f>IF(RPG_dataset[[#This Row],[Status]]="Active", "TRUE", "FALSE")</f>
        <v>FALSE</v>
      </c>
      <c r="AT306" s="1" t="str" cm="1">
        <f t="array" ref="AT306">_xlfn.IFS(clean[[#This Row],[Clean Win Rate]]&gt;70, "Excellent", clean[[#This Row],[Clean Win Rate]]&gt;=40, "Average", TRUE, "Poor")</f>
        <v>Excellent</v>
      </c>
      <c r="AU306" s="1" t="str">
        <f>IF(AND(clean[[#This Row],[Clean Level]]&gt;80, clean[[#This Row],[Clean Total Stat]]&gt;350, clean[[#This Row],[Clean Gold]]&gt;500000), "Overpowered", "Normal")</f>
        <v>Normal</v>
      </c>
      <c r="AV306" s="1" t="str" cm="1">
        <f t="array" ref="AV30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06" s="1" t="str" cm="1">
        <f t="array" ref="AW30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06" s="1"/>
    </row>
    <row r="307" spans="1:50" x14ac:dyDescent="0.3">
      <c r="A307" s="2" t="s">
        <v>1098</v>
      </c>
      <c r="B307" s="2" t="s">
        <v>1099</v>
      </c>
      <c r="C307" s="2" t="s">
        <v>339</v>
      </c>
      <c r="D307" s="2" t="s">
        <v>155</v>
      </c>
      <c r="E307" s="2" t="s">
        <v>169</v>
      </c>
      <c r="F307" s="2" t="s">
        <v>194</v>
      </c>
      <c r="G307" s="2">
        <v>36</v>
      </c>
      <c r="H307" s="2" t="s">
        <v>31</v>
      </c>
      <c r="I307" s="2" t="s">
        <v>140</v>
      </c>
      <c r="J307" s="2" t="s">
        <v>120</v>
      </c>
      <c r="K307" s="2" t="s">
        <v>44</v>
      </c>
      <c r="L307" s="6" t="s">
        <v>1100</v>
      </c>
      <c r="M307" s="2">
        <v>87</v>
      </c>
      <c r="N307" s="2">
        <v>129</v>
      </c>
      <c r="O307" s="2">
        <v>26</v>
      </c>
      <c r="P307" s="2">
        <v>2457</v>
      </c>
      <c r="Q307" s="2">
        <v>2492</v>
      </c>
      <c r="R307" s="2">
        <v>242</v>
      </c>
      <c r="S307" s="2">
        <v>4234</v>
      </c>
      <c r="T307" s="2">
        <v>700</v>
      </c>
      <c r="U307" s="2">
        <v>26</v>
      </c>
      <c r="V307" s="2">
        <v>86</v>
      </c>
      <c r="W307" s="2">
        <v>8910</v>
      </c>
      <c r="X307" s="9">
        <v>603484</v>
      </c>
      <c r="Y307" s="2" t="s">
        <v>36</v>
      </c>
      <c r="AA307" s="1" t="str">
        <f>TRIM(RPG_dataset[[#This Row],[Username]])</f>
        <v>drak_537</v>
      </c>
      <c r="AB307" s="1" t="str">
        <f>TRIM(RPG_dataset[[#This Row],[First Name]])</f>
        <v>Drak</v>
      </c>
      <c r="AC307" s="1" t="str">
        <f>PROPER(TRIM(RPG_dataset[[#This Row],[Race]]))</f>
        <v>Halfling</v>
      </c>
      <c r="AD307" s="1" t="str">
        <f>PROPER(TRIM(RPG_dataset[[#This Row],[Class]]))</f>
        <v>Paladin</v>
      </c>
      <c r="AE307" s="1">
        <f>ABS(RPG_dataset[[#This Row],[Level]])</f>
        <v>36</v>
      </c>
      <c r="AF307" s="1">
        <f>ABS(RPG_dataset[[#This Row],[ATK]])</f>
        <v>87</v>
      </c>
      <c r="AG307" s="1">
        <f>ABS(RPG_dataset[[#This Row],[DEF]])</f>
        <v>129</v>
      </c>
      <c r="AH307" s="1">
        <f>ABS(RPG_dataset[[#This Row],[SPD]])</f>
        <v>26</v>
      </c>
      <c r="AI307" s="1">
        <f>ABS(RPG_dataset[[#This Row],[HP]])</f>
        <v>2457</v>
      </c>
      <c r="AJ307" s="1">
        <f>ABS(RPG_dataset[[#This Row],[MP]])</f>
        <v>2492</v>
      </c>
      <c r="AK307" s="1">
        <f>ABS(RPG_dataset[[#This Row],[Total Stat]])</f>
        <v>242</v>
      </c>
      <c r="AL307" s="1">
        <f>ABS(RPG_dataset[[#This Row],[Kills]])</f>
        <v>4234</v>
      </c>
      <c r="AM307" s="12">
        <f>ABS(RPG_dataset[[#This Row],[Win Rate (%)]])</f>
        <v>86</v>
      </c>
      <c r="AN307" s="4">
        <f>ABS(RPG_dataset[[#This Row],[Gold Earned]])</f>
        <v>603484</v>
      </c>
      <c r="AO307" s="5" t="str">
        <f t="shared" si="4"/>
        <v>OK</v>
      </c>
      <c r="AP307" s="5">
        <f>RANK(clean[[#This Row],[Clean Gold]],clean[Clean Gold], 0)</f>
        <v>203</v>
      </c>
      <c r="AQ307" s="1">
        <v>156</v>
      </c>
      <c r="AR307" s="1" t="str" cm="1">
        <f t="array" ref="AR307">_xlfn.IFS(clean[[#This Row],[Clean Level]]&gt;=76, "Legend", clean[[#This Row],[Clean Level]]&gt;=51, "Elite", clean[[#This Row],[Clean Level]]&gt;=26, "Veteran", TRUE, "Rookie")</f>
        <v>Veteran</v>
      </c>
      <c r="AS307" s="1" t="str">
        <f>IF(RPG_dataset[[#This Row],[Status]]="Active", "TRUE", "FALSE")</f>
        <v>TRUE</v>
      </c>
      <c r="AT307" s="1" t="str" cm="1">
        <f t="array" ref="AT307">_xlfn.IFS(clean[[#This Row],[Clean Win Rate]]&gt;70, "Excellent", clean[[#This Row],[Clean Win Rate]]&gt;=40, "Average", TRUE, "Poor")</f>
        <v>Excellent</v>
      </c>
      <c r="AU307" s="1" t="str">
        <f>IF(AND(clean[[#This Row],[Clean Level]]&gt;80, clean[[#This Row],[Clean Total Stat]]&gt;350, clean[[#This Row],[Clean Gold]]&gt;500000), "Overpowered", "Normal")</f>
        <v>Normal</v>
      </c>
      <c r="AV307" s="1" t="str" cm="1">
        <f t="array" ref="AV30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07" s="1" t="str" cm="1">
        <f t="array" ref="AW30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307" s="1"/>
    </row>
    <row r="308" spans="1:50" x14ac:dyDescent="0.3">
      <c r="A308" s="2" t="s">
        <v>1101</v>
      </c>
      <c r="B308" s="2" t="s">
        <v>1102</v>
      </c>
      <c r="C308" s="2" t="s">
        <v>238</v>
      </c>
      <c r="D308" s="2" t="s">
        <v>104</v>
      </c>
      <c r="E308" s="2" t="s">
        <v>71</v>
      </c>
      <c r="F308" s="2" t="s">
        <v>194</v>
      </c>
      <c r="G308" s="2">
        <v>43</v>
      </c>
      <c r="H308" s="2" t="s">
        <v>80</v>
      </c>
      <c r="I308" s="2" t="s">
        <v>74</v>
      </c>
      <c r="J308" s="2" t="s">
        <v>163</v>
      </c>
      <c r="K308" s="2" t="s">
        <v>106</v>
      </c>
      <c r="L308" s="6" t="s">
        <v>1103</v>
      </c>
      <c r="M308" s="2">
        <v>54</v>
      </c>
      <c r="N308" s="2">
        <v>12</v>
      </c>
      <c r="O308" s="2">
        <v>18</v>
      </c>
      <c r="P308" s="2">
        <v>699</v>
      </c>
      <c r="Q308" s="2">
        <v>2146</v>
      </c>
      <c r="R308" s="2">
        <v>84</v>
      </c>
      <c r="S308" s="2">
        <v>1724</v>
      </c>
      <c r="T308" s="2">
        <v>574</v>
      </c>
      <c r="U308" s="2">
        <v>243</v>
      </c>
      <c r="V308" s="2">
        <v>75</v>
      </c>
      <c r="W308" s="2">
        <v>8457</v>
      </c>
      <c r="X308" s="9">
        <v>752406</v>
      </c>
      <c r="Y308" s="2" t="s">
        <v>46</v>
      </c>
      <c r="AA308" s="1" t="str">
        <f>TRIM(RPG_dataset[[#This Row],[Username]])</f>
        <v>cael_511</v>
      </c>
      <c r="AB308" s="1" t="str">
        <f>TRIM(RPG_dataset[[#This Row],[First Name]])</f>
        <v>Cael</v>
      </c>
      <c r="AC308" s="1" t="str">
        <f>PROPER(TRIM(RPG_dataset[[#This Row],[Race]]))</f>
        <v>Dragonborn</v>
      </c>
      <c r="AD308" s="1" t="str">
        <f>PROPER(TRIM(RPG_dataset[[#This Row],[Class]]))</f>
        <v>Paladin</v>
      </c>
      <c r="AE308" s="1">
        <f>ABS(RPG_dataset[[#This Row],[Level]])</f>
        <v>43</v>
      </c>
      <c r="AF308" s="1">
        <f>ABS(RPG_dataset[[#This Row],[ATK]])</f>
        <v>54</v>
      </c>
      <c r="AG308" s="1">
        <f>ABS(RPG_dataset[[#This Row],[DEF]])</f>
        <v>12</v>
      </c>
      <c r="AH308" s="1">
        <f>ABS(RPG_dataset[[#This Row],[SPD]])</f>
        <v>18</v>
      </c>
      <c r="AI308" s="1">
        <f>ABS(RPG_dataset[[#This Row],[HP]])</f>
        <v>699</v>
      </c>
      <c r="AJ308" s="1">
        <f>ABS(RPG_dataset[[#This Row],[MP]])</f>
        <v>2146</v>
      </c>
      <c r="AK308" s="1">
        <f>ABS(RPG_dataset[[#This Row],[Total Stat]])</f>
        <v>84</v>
      </c>
      <c r="AL308" s="1">
        <f>ABS(RPG_dataset[[#This Row],[Kills]])</f>
        <v>1724</v>
      </c>
      <c r="AM308" s="12">
        <f>ABS(RPG_dataset[[#This Row],[Win Rate (%)]])</f>
        <v>75</v>
      </c>
      <c r="AN308" s="4">
        <f>ABS(RPG_dataset[[#This Row],[Gold Earned]])</f>
        <v>752406</v>
      </c>
      <c r="AO308" s="5" t="str">
        <f t="shared" si="4"/>
        <v>OK</v>
      </c>
      <c r="AP308" s="5">
        <f>RANK(clean[[#This Row],[Clean Gold]],clean[Clean Gold], 0)</f>
        <v>127</v>
      </c>
      <c r="AQ308" s="1"/>
      <c r="AR308" s="1" t="str" cm="1">
        <f t="array" ref="AR308">_xlfn.IFS(clean[[#This Row],[Clean Level]]&gt;=76, "Legend", clean[[#This Row],[Clean Level]]&gt;=51, "Elite", clean[[#This Row],[Clean Level]]&gt;=26, "Veteran", TRUE, "Rookie")</f>
        <v>Veteran</v>
      </c>
      <c r="AS308" s="1" t="str">
        <f>IF(RPG_dataset[[#This Row],[Status]]="Active", "TRUE", "FALSE")</f>
        <v>FALSE</v>
      </c>
      <c r="AT308" s="1" t="str" cm="1">
        <f t="array" ref="AT308">_xlfn.IFS(clean[[#This Row],[Clean Win Rate]]&gt;70, "Excellent", clean[[#This Row],[Clean Win Rate]]&gt;=40, "Average", TRUE, "Poor")</f>
        <v>Excellent</v>
      </c>
      <c r="AU308" s="1" t="str">
        <f>IF(AND(clean[[#This Row],[Clean Level]]&gt;80, clean[[#This Row],[Clean Total Stat]]&gt;350, clean[[#This Row],[Clean Gold]]&gt;500000), "Overpowered", "Normal")</f>
        <v>Normal</v>
      </c>
      <c r="AV308" s="1" t="str" cm="1">
        <f t="array" ref="AV30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08" s="1" t="str" cm="1">
        <f t="array" ref="AW30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08" s="1"/>
    </row>
    <row r="309" spans="1:50" x14ac:dyDescent="0.3">
      <c r="A309" s="2" t="s">
        <v>1104</v>
      </c>
      <c r="B309" s="2" t="s">
        <v>1105</v>
      </c>
      <c r="C309" s="2" t="s">
        <v>1106</v>
      </c>
      <c r="D309" s="2" t="s">
        <v>254</v>
      </c>
      <c r="E309" s="2" t="s">
        <v>60</v>
      </c>
      <c r="F309" s="2" t="s">
        <v>98</v>
      </c>
      <c r="G309" s="2">
        <v>30</v>
      </c>
      <c r="H309" s="2" t="s">
        <v>62</v>
      </c>
      <c r="I309" s="2" t="s">
        <v>140</v>
      </c>
      <c r="J309" s="2" t="s">
        <v>111</v>
      </c>
      <c r="K309" s="2" t="s">
        <v>99</v>
      </c>
      <c r="L309" s="6" t="s">
        <v>818</v>
      </c>
      <c r="M309" s="2">
        <v>106</v>
      </c>
      <c r="N309" s="2">
        <v>88</v>
      </c>
      <c r="O309" s="2">
        <v>78</v>
      </c>
      <c r="P309" s="2">
        <v>2874</v>
      </c>
      <c r="Q309" s="2">
        <v>57</v>
      </c>
      <c r="R309" s="2">
        <v>272</v>
      </c>
      <c r="S309" s="2">
        <v>4895</v>
      </c>
      <c r="T309" s="2">
        <v>977</v>
      </c>
      <c r="U309" s="2">
        <v>149</v>
      </c>
      <c r="V309" s="2">
        <v>83</v>
      </c>
      <c r="W309" s="2">
        <v>5977</v>
      </c>
      <c r="X309" s="9">
        <v>13216</v>
      </c>
      <c r="Y309" s="2" t="s">
        <v>46</v>
      </c>
      <c r="AA309" s="1" t="str">
        <f>TRIM(RPG_dataset[[#This Row],[Username]])</f>
        <v>brix_593</v>
      </c>
      <c r="AB309" s="1" t="str">
        <f>TRIM(RPG_dataset[[#This Row],[First Name]])</f>
        <v>BRIX</v>
      </c>
      <c r="AC309" s="1" t="str">
        <f>PROPER(TRIM(RPG_dataset[[#This Row],[Race]]))</f>
        <v>Human</v>
      </c>
      <c r="AD309" s="1" t="str">
        <f>PROPER(TRIM(RPG_dataset[[#This Row],[Class]]))</f>
        <v>Mage</v>
      </c>
      <c r="AE309" s="1">
        <f>ABS(RPG_dataset[[#This Row],[Level]])</f>
        <v>30</v>
      </c>
      <c r="AF309" s="1">
        <f>ABS(RPG_dataset[[#This Row],[ATK]])</f>
        <v>106</v>
      </c>
      <c r="AG309" s="1">
        <f>ABS(RPG_dataset[[#This Row],[DEF]])</f>
        <v>88</v>
      </c>
      <c r="AH309" s="1">
        <f>ABS(RPG_dataset[[#This Row],[SPD]])</f>
        <v>78</v>
      </c>
      <c r="AI309" s="1">
        <f>ABS(RPG_dataset[[#This Row],[HP]])</f>
        <v>2874</v>
      </c>
      <c r="AJ309" s="1">
        <f>ABS(RPG_dataset[[#This Row],[MP]])</f>
        <v>57</v>
      </c>
      <c r="AK309" s="1">
        <f>ABS(RPG_dataset[[#This Row],[Total Stat]])</f>
        <v>272</v>
      </c>
      <c r="AL309" s="1">
        <f>ABS(RPG_dataset[[#This Row],[Kills]])</f>
        <v>4895</v>
      </c>
      <c r="AM309" s="12">
        <f>ABS(RPG_dataset[[#This Row],[Win Rate (%)]])</f>
        <v>83</v>
      </c>
      <c r="AN309" s="4">
        <f>ABS(RPG_dataset[[#This Row],[Gold Earned]])</f>
        <v>13216</v>
      </c>
      <c r="AO309" s="5" t="str">
        <f t="shared" si="4"/>
        <v>OK</v>
      </c>
      <c r="AP309" s="5">
        <f>RANK(clean[[#This Row],[Clean Gold]],clean[Clean Gold], 0)</f>
        <v>478</v>
      </c>
      <c r="AQ309" s="1">
        <v>284</v>
      </c>
      <c r="AR309" s="1" t="str" cm="1">
        <f t="array" ref="AR309">_xlfn.IFS(clean[[#This Row],[Clean Level]]&gt;=76, "Legend", clean[[#This Row],[Clean Level]]&gt;=51, "Elite", clean[[#This Row],[Clean Level]]&gt;=26, "Veteran", TRUE, "Rookie")</f>
        <v>Veteran</v>
      </c>
      <c r="AS309" s="1" t="str">
        <f>IF(RPG_dataset[[#This Row],[Status]]="Active", "TRUE", "FALSE")</f>
        <v>FALSE</v>
      </c>
      <c r="AT309" s="1" t="str" cm="1">
        <f t="array" ref="AT309">_xlfn.IFS(clean[[#This Row],[Clean Win Rate]]&gt;70, "Excellent", clean[[#This Row],[Clean Win Rate]]&gt;=40, "Average", TRUE, "Poor")</f>
        <v>Excellent</v>
      </c>
      <c r="AU309" s="1" t="str">
        <f>IF(AND(clean[[#This Row],[Clean Level]]&gt;80, clean[[#This Row],[Clean Total Stat]]&gt;350, clean[[#This Row],[Clean Gold]]&gt;500000), "Overpowered", "Normal")</f>
        <v>Normal</v>
      </c>
      <c r="AV309" s="1" t="str" cm="1">
        <f t="array" ref="AV30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09" s="1" t="str" cm="1">
        <f t="array" ref="AW30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309" s="1"/>
    </row>
    <row r="310" spans="1:50" x14ac:dyDescent="0.3">
      <c r="A310" s="2" t="s">
        <v>1107</v>
      </c>
      <c r="B310" s="2" t="s">
        <v>1108</v>
      </c>
      <c r="C310" s="2" t="s">
        <v>689</v>
      </c>
      <c r="D310" s="2" t="s">
        <v>144</v>
      </c>
      <c r="E310" s="2" t="s">
        <v>105</v>
      </c>
      <c r="F310" s="2" t="s">
        <v>42</v>
      </c>
      <c r="G310" s="2">
        <v>89</v>
      </c>
      <c r="H310" s="2" t="s">
        <v>125</v>
      </c>
      <c r="I310" s="2" t="s">
        <v>63</v>
      </c>
      <c r="J310" s="2" t="s">
        <v>64</v>
      </c>
      <c r="K310" s="2" t="s">
        <v>44</v>
      </c>
      <c r="L310" s="6" t="s">
        <v>1109</v>
      </c>
      <c r="M310" s="2">
        <v>84</v>
      </c>
      <c r="N310" s="2">
        <v>132</v>
      </c>
      <c r="O310" s="2">
        <v>26</v>
      </c>
      <c r="P310" s="2">
        <v>1841</v>
      </c>
      <c r="Q310" s="2">
        <v>2988</v>
      </c>
      <c r="R310" s="2">
        <v>242</v>
      </c>
      <c r="S310" s="2">
        <v>56</v>
      </c>
      <c r="T310" s="2">
        <v>259</v>
      </c>
      <c r="U310" s="2">
        <v>85</v>
      </c>
      <c r="V310" s="2">
        <v>18</v>
      </c>
      <c r="W310" s="2"/>
      <c r="X310" s="9">
        <v>958277</v>
      </c>
      <c r="Y310" s="2" t="s">
        <v>46</v>
      </c>
      <c r="AA310" s="1" t="str">
        <f>TRIM(RPG_dataset[[#This Row],[Username]])</f>
        <v>theron_500</v>
      </c>
      <c r="AB310" s="1" t="str">
        <f>TRIM(RPG_dataset[[#This Row],[First Name]])</f>
        <v>Theron</v>
      </c>
      <c r="AC310" s="1" t="str">
        <f>PROPER(TRIM(RPG_dataset[[#This Row],[Race]]))</f>
        <v>Orc</v>
      </c>
      <c r="AD310" s="1" t="str">
        <f>PROPER(TRIM(RPG_dataset[[#This Row],[Class]]))</f>
        <v>Monk</v>
      </c>
      <c r="AE310" s="1">
        <f>ABS(RPG_dataset[[#This Row],[Level]])</f>
        <v>89</v>
      </c>
      <c r="AF310" s="1">
        <f>ABS(RPG_dataset[[#This Row],[ATK]])</f>
        <v>84</v>
      </c>
      <c r="AG310" s="1">
        <f>ABS(RPG_dataset[[#This Row],[DEF]])</f>
        <v>132</v>
      </c>
      <c r="AH310" s="1">
        <f>ABS(RPG_dataset[[#This Row],[SPD]])</f>
        <v>26</v>
      </c>
      <c r="AI310" s="1">
        <f>ABS(RPG_dataset[[#This Row],[HP]])</f>
        <v>1841</v>
      </c>
      <c r="AJ310" s="1">
        <f>ABS(RPG_dataset[[#This Row],[MP]])</f>
        <v>2988</v>
      </c>
      <c r="AK310" s="1">
        <f>ABS(RPG_dataset[[#This Row],[Total Stat]])</f>
        <v>242</v>
      </c>
      <c r="AL310" s="1">
        <f>ABS(RPG_dataset[[#This Row],[Kills]])</f>
        <v>56</v>
      </c>
      <c r="AM310" s="12">
        <f>ABS(RPG_dataset[[#This Row],[Win Rate (%)]])</f>
        <v>18</v>
      </c>
      <c r="AN310" s="4">
        <f>ABS(RPG_dataset[[#This Row],[Gold Earned]])</f>
        <v>958277</v>
      </c>
      <c r="AO310" s="5" t="str">
        <f t="shared" si="4"/>
        <v>OK</v>
      </c>
      <c r="AP310" s="5">
        <f>RANK(clean[[#This Row],[Clean Gold]],clean[Clean Gold], 0)</f>
        <v>20</v>
      </c>
      <c r="AQ310" s="1">
        <v>323</v>
      </c>
      <c r="AR310" s="1" t="str" cm="1">
        <f t="array" ref="AR310">_xlfn.IFS(clean[[#This Row],[Clean Level]]&gt;=76, "Legend", clean[[#This Row],[Clean Level]]&gt;=51, "Elite", clean[[#This Row],[Clean Level]]&gt;=26, "Veteran", TRUE, "Rookie")</f>
        <v>Legend</v>
      </c>
      <c r="AS310" s="1" t="str">
        <f>IF(RPG_dataset[[#This Row],[Status]]="Active", "TRUE", "FALSE")</f>
        <v>TRUE</v>
      </c>
      <c r="AT310" s="1" t="str" cm="1">
        <f t="array" ref="AT310">_xlfn.IFS(clean[[#This Row],[Clean Win Rate]]&gt;70, "Excellent", clean[[#This Row],[Clean Win Rate]]&gt;=40, "Average", TRUE, "Poor")</f>
        <v>Poor</v>
      </c>
      <c r="AU310" s="1" t="str">
        <f>IF(AND(clean[[#This Row],[Clean Level]]&gt;80, clean[[#This Row],[Clean Total Stat]]&gt;350, clean[[#This Row],[Clean Gold]]&gt;500000), "Overpowered", "Normal")</f>
        <v>Normal</v>
      </c>
      <c r="AV310" s="1" t="str" cm="1">
        <f t="array" ref="AV31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10" s="1" t="str" cm="1">
        <f t="array" ref="AW31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10" s="1"/>
    </row>
    <row r="311" spans="1:50" x14ac:dyDescent="0.3">
      <c r="A311" s="2" t="s">
        <v>1110</v>
      </c>
      <c r="B311" s="2" t="s">
        <v>1111</v>
      </c>
      <c r="C311" s="2" t="s">
        <v>371</v>
      </c>
      <c r="D311" s="2" t="s">
        <v>234</v>
      </c>
      <c r="E311" s="2" t="s">
        <v>105</v>
      </c>
      <c r="F311" s="2" t="s">
        <v>30</v>
      </c>
      <c r="G311" s="2">
        <v>81</v>
      </c>
      <c r="H311" s="2" t="s">
        <v>73</v>
      </c>
      <c r="I311" s="2" t="s">
        <v>87</v>
      </c>
      <c r="J311" s="2" t="s">
        <v>64</v>
      </c>
      <c r="K311" s="2" t="s">
        <v>106</v>
      </c>
      <c r="L311" s="6" t="s">
        <v>1112</v>
      </c>
      <c r="M311" s="2">
        <v>70</v>
      </c>
      <c r="N311" s="2">
        <v>86</v>
      </c>
      <c r="O311" s="2">
        <v>14</v>
      </c>
      <c r="P311" s="2">
        <v>524</v>
      </c>
      <c r="Q311" s="2">
        <v>2199</v>
      </c>
      <c r="R311" s="2">
        <v>170</v>
      </c>
      <c r="S311" s="2">
        <v>817</v>
      </c>
      <c r="T311" s="2">
        <v>993</v>
      </c>
      <c r="U311" s="2">
        <v>19</v>
      </c>
      <c r="V311" s="2">
        <v>-45</v>
      </c>
      <c r="W311" s="2">
        <v>5589</v>
      </c>
      <c r="X311" s="9">
        <v>539629</v>
      </c>
      <c r="Y311" s="2" t="s">
        <v>36</v>
      </c>
      <c r="AA311" s="1" t="str">
        <f>TRIM(RPG_dataset[[#This Row],[Username]])</f>
        <v>kira_641</v>
      </c>
      <c r="AB311" s="1" t="str">
        <f>TRIM(RPG_dataset[[#This Row],[First Name]])</f>
        <v>Kira</v>
      </c>
      <c r="AC311" s="1" t="str">
        <f>PROPER(TRIM(RPG_dataset[[#This Row],[Race]]))</f>
        <v>Orc</v>
      </c>
      <c r="AD311" s="1" t="str">
        <f>PROPER(TRIM(RPG_dataset[[#This Row],[Class]]))</f>
        <v>Rogue</v>
      </c>
      <c r="AE311" s="1">
        <f>ABS(RPG_dataset[[#This Row],[Level]])</f>
        <v>81</v>
      </c>
      <c r="AF311" s="1">
        <f>ABS(RPG_dataset[[#This Row],[ATK]])</f>
        <v>70</v>
      </c>
      <c r="AG311" s="1">
        <f>ABS(RPG_dataset[[#This Row],[DEF]])</f>
        <v>86</v>
      </c>
      <c r="AH311" s="1">
        <f>ABS(RPG_dataset[[#This Row],[SPD]])</f>
        <v>14</v>
      </c>
      <c r="AI311" s="1">
        <f>ABS(RPG_dataset[[#This Row],[HP]])</f>
        <v>524</v>
      </c>
      <c r="AJ311" s="1">
        <f>ABS(RPG_dataset[[#This Row],[MP]])</f>
        <v>2199</v>
      </c>
      <c r="AK311" s="1">
        <f>ABS(RPG_dataset[[#This Row],[Total Stat]])</f>
        <v>170</v>
      </c>
      <c r="AL311" s="1">
        <f>ABS(RPG_dataset[[#This Row],[Kills]])</f>
        <v>817</v>
      </c>
      <c r="AM311" s="12">
        <f>ABS(RPG_dataset[[#This Row],[Win Rate (%)]])</f>
        <v>45</v>
      </c>
      <c r="AN311" s="4">
        <f>ABS(RPG_dataset[[#This Row],[Gold Earned]])</f>
        <v>539629</v>
      </c>
      <c r="AO311" s="5" t="str">
        <f t="shared" si="4"/>
        <v>OK</v>
      </c>
      <c r="AP311" s="5">
        <f>RANK(clean[[#This Row],[Clean Gold]],clean[Clean Gold], 0)</f>
        <v>232</v>
      </c>
      <c r="AQ311" s="1">
        <v>275</v>
      </c>
      <c r="AR311" s="1" t="str" cm="1">
        <f t="array" ref="AR311">_xlfn.IFS(clean[[#This Row],[Clean Level]]&gt;=76, "Legend", clean[[#This Row],[Clean Level]]&gt;=51, "Elite", clean[[#This Row],[Clean Level]]&gt;=26, "Veteran", TRUE, "Rookie")</f>
        <v>Legend</v>
      </c>
      <c r="AS311" s="1" t="str">
        <f>IF(RPG_dataset[[#This Row],[Status]]="Active", "TRUE", "FALSE")</f>
        <v>FALSE</v>
      </c>
      <c r="AT311" s="1" t="str" cm="1">
        <f t="array" ref="AT311">_xlfn.IFS(clean[[#This Row],[Clean Win Rate]]&gt;70, "Excellent", clean[[#This Row],[Clean Win Rate]]&gt;=40, "Average", TRUE, "Poor")</f>
        <v>Average</v>
      </c>
      <c r="AU311" s="1" t="str">
        <f>IF(AND(clean[[#This Row],[Clean Level]]&gt;80, clean[[#This Row],[Clean Total Stat]]&gt;350, clean[[#This Row],[Clean Gold]]&gt;500000), "Overpowered", "Normal")</f>
        <v>Normal</v>
      </c>
      <c r="AV311" s="1" t="str" cm="1">
        <f t="array" ref="AV31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11" s="1" t="str" cm="1">
        <f t="array" ref="AW31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11" s="1"/>
    </row>
    <row r="312" spans="1:50" x14ac:dyDescent="0.3">
      <c r="A312" s="2" t="s">
        <v>1113</v>
      </c>
      <c r="B312" s="2" t="s">
        <v>1114</v>
      </c>
      <c r="C312" s="2" t="s">
        <v>227</v>
      </c>
      <c r="D312" s="2" t="s">
        <v>250</v>
      </c>
      <c r="E312" s="2" t="s">
        <v>105</v>
      </c>
      <c r="F312" s="2" t="s">
        <v>52</v>
      </c>
      <c r="G312" s="2">
        <v>99</v>
      </c>
      <c r="H312" s="2" t="s">
        <v>31</v>
      </c>
      <c r="I312" s="2" t="s">
        <v>74</v>
      </c>
      <c r="J312" s="2" t="s">
        <v>163</v>
      </c>
      <c r="K312" s="2" t="s">
        <v>34</v>
      </c>
      <c r="L312" s="6" t="s">
        <v>1115</v>
      </c>
      <c r="M312" s="2">
        <v>23</v>
      </c>
      <c r="N312" s="2">
        <v>48</v>
      </c>
      <c r="O312" s="2">
        <v>87</v>
      </c>
      <c r="P312" s="2"/>
      <c r="Q312" s="2">
        <v>2460</v>
      </c>
      <c r="R312" s="2">
        <v>158</v>
      </c>
      <c r="S312" s="2">
        <v>4847</v>
      </c>
      <c r="T312" s="2">
        <v>78</v>
      </c>
      <c r="U312" s="2">
        <v>216</v>
      </c>
      <c r="V312" s="2">
        <v>98</v>
      </c>
      <c r="W312" s="2">
        <v>4756</v>
      </c>
      <c r="X312" s="9">
        <v>898470</v>
      </c>
      <c r="Y312" s="2" t="s">
        <v>36</v>
      </c>
      <c r="AA312" s="1" t="str">
        <f>TRIM(RPG_dataset[[#This Row],[Username]])</f>
        <v>nyx_748</v>
      </c>
      <c r="AB312" s="1" t="str">
        <f>TRIM(RPG_dataset[[#This Row],[First Name]])</f>
        <v>Nyx</v>
      </c>
      <c r="AC312" s="1" t="str">
        <f>PROPER(TRIM(RPG_dataset[[#This Row],[Race]]))</f>
        <v>Orc</v>
      </c>
      <c r="AD312" s="1" t="str">
        <f>PROPER(TRIM(RPG_dataset[[#This Row],[Class]]))</f>
        <v>Bard</v>
      </c>
      <c r="AE312" s="1">
        <f>ABS(RPG_dataset[[#This Row],[Level]])</f>
        <v>99</v>
      </c>
      <c r="AF312" s="1">
        <f>ABS(RPG_dataset[[#This Row],[ATK]])</f>
        <v>23</v>
      </c>
      <c r="AG312" s="1">
        <f>ABS(RPG_dataset[[#This Row],[DEF]])</f>
        <v>48</v>
      </c>
      <c r="AH312" s="1">
        <f>ABS(RPG_dataset[[#This Row],[SPD]])</f>
        <v>87</v>
      </c>
      <c r="AI312" s="1">
        <f>ABS(RPG_dataset[[#This Row],[HP]])</f>
        <v>0</v>
      </c>
      <c r="AJ312" s="1">
        <f>ABS(RPG_dataset[[#This Row],[MP]])</f>
        <v>2460</v>
      </c>
      <c r="AK312" s="1">
        <f>ABS(RPG_dataset[[#This Row],[Total Stat]])</f>
        <v>158</v>
      </c>
      <c r="AL312" s="1">
        <f>ABS(RPG_dataset[[#This Row],[Kills]])</f>
        <v>4847</v>
      </c>
      <c r="AM312" s="12">
        <f>ABS(RPG_dataset[[#This Row],[Win Rate (%)]])</f>
        <v>98</v>
      </c>
      <c r="AN312" s="4">
        <f>ABS(RPG_dataset[[#This Row],[Gold Earned]])</f>
        <v>898470</v>
      </c>
      <c r="AO312" s="5" t="str">
        <f t="shared" si="4"/>
        <v>OK</v>
      </c>
      <c r="AP312" s="5">
        <f>RANK(clean[[#This Row],[Clean Gold]],clean[Clean Gold], 0)</f>
        <v>55</v>
      </c>
      <c r="AQ312" s="1">
        <v>213</v>
      </c>
      <c r="AR312" s="1" t="str" cm="1">
        <f t="array" ref="AR312">_xlfn.IFS(clean[[#This Row],[Clean Level]]&gt;=76, "Legend", clean[[#This Row],[Clean Level]]&gt;=51, "Elite", clean[[#This Row],[Clean Level]]&gt;=26, "Veteran", TRUE, "Rookie")</f>
        <v>Legend</v>
      </c>
      <c r="AS312" s="1" t="str">
        <f>IF(RPG_dataset[[#This Row],[Status]]="Active", "TRUE", "FALSE")</f>
        <v>FALSE</v>
      </c>
      <c r="AT312" s="1" t="str" cm="1">
        <f t="array" ref="AT312">_xlfn.IFS(clean[[#This Row],[Clean Win Rate]]&gt;70, "Excellent", clean[[#This Row],[Clean Win Rate]]&gt;=40, "Average", TRUE, "Poor")</f>
        <v>Excellent</v>
      </c>
      <c r="AU312" s="1" t="str">
        <f>IF(AND(clean[[#This Row],[Clean Level]]&gt;80, clean[[#This Row],[Clean Total Stat]]&gt;350, clean[[#This Row],[Clean Gold]]&gt;500000), "Overpowered", "Normal")</f>
        <v>Normal</v>
      </c>
      <c r="AV312" s="1" t="str" cm="1">
        <f t="array" ref="AV312">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312" s="1" t="str" cm="1">
        <f t="array" ref="AW31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12" s="1"/>
    </row>
    <row r="313" spans="1:50" x14ac:dyDescent="0.3">
      <c r="A313" s="2" t="s">
        <v>1116</v>
      </c>
      <c r="B313" s="2" t="s">
        <v>1117</v>
      </c>
      <c r="C313" s="2" t="s">
        <v>123</v>
      </c>
      <c r="D313" s="2" t="s">
        <v>272</v>
      </c>
      <c r="E313" s="2" t="s">
        <v>71</v>
      </c>
      <c r="F313" s="2" t="s">
        <v>30</v>
      </c>
      <c r="G313" s="2">
        <v>78</v>
      </c>
      <c r="H313" s="2" t="s">
        <v>263</v>
      </c>
      <c r="I313" s="2" t="s">
        <v>32</v>
      </c>
      <c r="J313" s="2" t="s">
        <v>33</v>
      </c>
      <c r="K313" s="2" t="s">
        <v>44</v>
      </c>
      <c r="L313" s="6" t="s">
        <v>1118</v>
      </c>
      <c r="M313" s="2">
        <v>52</v>
      </c>
      <c r="N313" s="2">
        <v>102</v>
      </c>
      <c r="O313" s="2">
        <v>47</v>
      </c>
      <c r="P313" s="2">
        <v>4709</v>
      </c>
      <c r="Q313" s="2">
        <v>518</v>
      </c>
      <c r="R313" s="2">
        <v>201</v>
      </c>
      <c r="S313" s="2">
        <v>3155</v>
      </c>
      <c r="T313" s="2">
        <v>154</v>
      </c>
      <c r="U313" s="2">
        <v>168</v>
      </c>
      <c r="V313" s="2">
        <v>95</v>
      </c>
      <c r="W313" s="2">
        <v>6069</v>
      </c>
      <c r="X313" s="9">
        <v>440793</v>
      </c>
      <c r="Y313" s="2" t="s">
        <v>36</v>
      </c>
      <c r="AA313" s="1" t="str">
        <f>TRIM(RPG_dataset[[#This Row],[Username]])</f>
        <v>FAYE_178</v>
      </c>
      <c r="AB313" s="1" t="str">
        <f>TRIM(RPG_dataset[[#This Row],[First Name]])</f>
        <v>Faye</v>
      </c>
      <c r="AC313" s="1" t="str">
        <f>PROPER(TRIM(RPG_dataset[[#This Row],[Race]]))</f>
        <v>Dragonborn</v>
      </c>
      <c r="AD313" s="1" t="str">
        <f>PROPER(TRIM(RPG_dataset[[#This Row],[Class]]))</f>
        <v>Rogue</v>
      </c>
      <c r="AE313" s="1">
        <f>ABS(RPG_dataset[[#This Row],[Level]])</f>
        <v>78</v>
      </c>
      <c r="AF313" s="1">
        <f>ABS(RPG_dataset[[#This Row],[ATK]])</f>
        <v>52</v>
      </c>
      <c r="AG313" s="1">
        <f>ABS(RPG_dataset[[#This Row],[DEF]])</f>
        <v>102</v>
      </c>
      <c r="AH313" s="1">
        <f>ABS(RPG_dataset[[#This Row],[SPD]])</f>
        <v>47</v>
      </c>
      <c r="AI313" s="1">
        <f>ABS(RPG_dataset[[#This Row],[HP]])</f>
        <v>4709</v>
      </c>
      <c r="AJ313" s="1">
        <f>ABS(RPG_dataset[[#This Row],[MP]])</f>
        <v>518</v>
      </c>
      <c r="AK313" s="1">
        <f>ABS(RPG_dataset[[#This Row],[Total Stat]])</f>
        <v>201</v>
      </c>
      <c r="AL313" s="1">
        <f>ABS(RPG_dataset[[#This Row],[Kills]])</f>
        <v>3155</v>
      </c>
      <c r="AM313" s="12">
        <f>ABS(RPG_dataset[[#This Row],[Win Rate (%)]])</f>
        <v>95</v>
      </c>
      <c r="AN313" s="4">
        <f>ABS(RPG_dataset[[#This Row],[Gold Earned]])</f>
        <v>440793</v>
      </c>
      <c r="AO313" s="5" t="str">
        <f t="shared" si="4"/>
        <v>Fix This</v>
      </c>
      <c r="AP313" s="5">
        <f>RANK(clean[[#This Row],[Clean Gold]],clean[Clean Gold], 0)</f>
        <v>288</v>
      </c>
      <c r="AQ313" s="1">
        <v>179</v>
      </c>
      <c r="AR313" s="1" t="str" cm="1">
        <f t="array" ref="AR313">_xlfn.IFS(clean[[#This Row],[Clean Level]]&gt;=76, "Legend", clean[[#This Row],[Clean Level]]&gt;=51, "Elite", clean[[#This Row],[Clean Level]]&gt;=26, "Veteran", TRUE, "Rookie")</f>
        <v>Legend</v>
      </c>
      <c r="AS313" s="1" t="str">
        <f>IF(RPG_dataset[[#This Row],[Status]]="Active", "TRUE", "FALSE")</f>
        <v>TRUE</v>
      </c>
      <c r="AT313" s="1" t="str" cm="1">
        <f t="array" ref="AT313">_xlfn.IFS(clean[[#This Row],[Clean Win Rate]]&gt;70, "Excellent", clean[[#This Row],[Clean Win Rate]]&gt;=40, "Average", TRUE, "Poor")</f>
        <v>Excellent</v>
      </c>
      <c r="AU313" s="1" t="str">
        <f>IF(AND(clean[[#This Row],[Clean Level]]&gt;80, clean[[#This Row],[Clean Total Stat]]&gt;350, clean[[#This Row],[Clean Gold]]&gt;500000), "Overpowered", "Normal")</f>
        <v>Normal</v>
      </c>
      <c r="AV313" s="1" t="str" cm="1">
        <f t="array" ref="AV313">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313" s="1" t="str" cm="1">
        <f t="array" ref="AW31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313" s="1"/>
    </row>
    <row r="314" spans="1:50" x14ac:dyDescent="0.3">
      <c r="A314" s="2" t="s">
        <v>1119</v>
      </c>
      <c r="B314" s="2" t="s">
        <v>75</v>
      </c>
      <c r="C314" s="2" t="s">
        <v>103</v>
      </c>
      <c r="D314" s="2" t="s">
        <v>150</v>
      </c>
      <c r="E314" s="2" t="s">
        <v>51</v>
      </c>
      <c r="F314" s="2" t="s">
        <v>194</v>
      </c>
      <c r="G314" s="2">
        <v>8</v>
      </c>
      <c r="H314" s="2" t="s">
        <v>53</v>
      </c>
      <c r="I314" s="2" t="s">
        <v>54</v>
      </c>
      <c r="J314" s="2" t="s">
        <v>92</v>
      </c>
      <c r="K314" s="2" t="s">
        <v>44</v>
      </c>
      <c r="L314" s="6" t="s">
        <v>1120</v>
      </c>
      <c r="M314" s="2">
        <v>73</v>
      </c>
      <c r="N314" s="2">
        <v>108</v>
      </c>
      <c r="O314" s="2">
        <v>32</v>
      </c>
      <c r="P314" s="2">
        <v>4691</v>
      </c>
      <c r="Q314" s="2">
        <v>636</v>
      </c>
      <c r="R314" s="2">
        <v>213</v>
      </c>
      <c r="S314" s="2">
        <v>1881</v>
      </c>
      <c r="T314" s="2">
        <v>62</v>
      </c>
      <c r="U314" s="2">
        <v>11</v>
      </c>
      <c r="V314" s="2">
        <v>97</v>
      </c>
      <c r="W314" s="2">
        <v>6058</v>
      </c>
      <c r="X314" s="9">
        <v>544861</v>
      </c>
      <c r="Y314" s="2" t="s">
        <v>36</v>
      </c>
      <c r="AA314" s="1" t="str">
        <f>TRIM(RPG_dataset[[#This Row],[Username]])</f>
        <v/>
      </c>
      <c r="AB314" s="1" t="str">
        <f>TRIM(RPG_dataset[[#This Row],[First Name]])</f>
        <v>Aria</v>
      </c>
      <c r="AC314" s="1" t="str">
        <f>PROPER(TRIM(RPG_dataset[[#This Row],[Race]]))</f>
        <v>Tiefling</v>
      </c>
      <c r="AD314" s="1" t="str">
        <f>PROPER(TRIM(RPG_dataset[[#This Row],[Class]]))</f>
        <v>Paladin</v>
      </c>
      <c r="AE314" s="1">
        <f>ABS(RPG_dataset[[#This Row],[Level]])</f>
        <v>8</v>
      </c>
      <c r="AF314" s="1">
        <f>ABS(RPG_dataset[[#This Row],[ATK]])</f>
        <v>73</v>
      </c>
      <c r="AG314" s="1">
        <f>ABS(RPG_dataset[[#This Row],[DEF]])</f>
        <v>108</v>
      </c>
      <c r="AH314" s="1">
        <f>ABS(RPG_dataset[[#This Row],[SPD]])</f>
        <v>32</v>
      </c>
      <c r="AI314" s="1">
        <f>ABS(RPG_dataset[[#This Row],[HP]])</f>
        <v>4691</v>
      </c>
      <c r="AJ314" s="1">
        <f>ABS(RPG_dataset[[#This Row],[MP]])</f>
        <v>636</v>
      </c>
      <c r="AK314" s="1">
        <f>ABS(RPG_dataset[[#This Row],[Total Stat]])</f>
        <v>213</v>
      </c>
      <c r="AL314" s="1">
        <f>ABS(RPG_dataset[[#This Row],[Kills]])</f>
        <v>1881</v>
      </c>
      <c r="AM314" s="12">
        <f>ABS(RPG_dataset[[#This Row],[Win Rate (%)]])</f>
        <v>97</v>
      </c>
      <c r="AN314" s="4">
        <f>ABS(RPG_dataset[[#This Row],[Gold Earned]])</f>
        <v>544861</v>
      </c>
      <c r="AO314" s="5" t="str">
        <f t="shared" si="4"/>
        <v>OK</v>
      </c>
      <c r="AP314" s="5">
        <f>RANK(clean[[#This Row],[Clean Gold]],clean[Clean Gold], 0)</f>
        <v>231</v>
      </c>
      <c r="AQ314" s="1">
        <v>232</v>
      </c>
      <c r="AR314" s="1" t="str" cm="1">
        <f t="array" ref="AR314">_xlfn.IFS(clean[[#This Row],[Clean Level]]&gt;=76, "Legend", clean[[#This Row],[Clean Level]]&gt;=51, "Elite", clean[[#This Row],[Clean Level]]&gt;=26, "Veteran", TRUE, "Rookie")</f>
        <v>Rookie</v>
      </c>
      <c r="AS314" s="1" t="str">
        <f>IF(RPG_dataset[[#This Row],[Status]]="Active", "TRUE", "FALSE")</f>
        <v>TRUE</v>
      </c>
      <c r="AT314" s="1" t="str" cm="1">
        <f t="array" ref="AT314">_xlfn.IFS(clean[[#This Row],[Clean Win Rate]]&gt;70, "Excellent", clean[[#This Row],[Clean Win Rate]]&gt;=40, "Average", TRUE, "Poor")</f>
        <v>Excellent</v>
      </c>
      <c r="AU314" s="1" t="str">
        <f>IF(AND(clean[[#This Row],[Clean Level]]&gt;80, clean[[#This Row],[Clean Total Stat]]&gt;350, clean[[#This Row],[Clean Gold]]&gt;500000), "Overpowered", "Normal")</f>
        <v>Normal</v>
      </c>
      <c r="AV314" s="1" t="str" cm="1">
        <f t="array" ref="AV31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14" s="1" t="str" cm="1">
        <f t="array" ref="AW31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314" s="1"/>
    </row>
    <row r="315" spans="1:50" x14ac:dyDescent="0.3">
      <c r="A315" s="2" t="s">
        <v>1121</v>
      </c>
      <c r="B315" s="2" t="s">
        <v>1122</v>
      </c>
      <c r="C315" s="2" t="s">
        <v>154</v>
      </c>
      <c r="D315" s="2" t="s">
        <v>162</v>
      </c>
      <c r="E315" s="2" t="s">
        <v>169</v>
      </c>
      <c r="F315" s="2" t="s">
        <v>194</v>
      </c>
      <c r="G315" s="2">
        <v>64</v>
      </c>
      <c r="H315" s="2" t="s">
        <v>157</v>
      </c>
      <c r="I315" s="2" t="s">
        <v>54</v>
      </c>
      <c r="J315" s="2" t="s">
        <v>120</v>
      </c>
      <c r="K315" s="2" t="s">
        <v>44</v>
      </c>
      <c r="L315" s="6" t="s">
        <v>1123</v>
      </c>
      <c r="M315" s="2">
        <v>32</v>
      </c>
      <c r="N315" s="2">
        <v>90</v>
      </c>
      <c r="O315" s="2">
        <v>63</v>
      </c>
      <c r="P315" s="2">
        <v>2466</v>
      </c>
      <c r="Q315" s="2">
        <v>1110</v>
      </c>
      <c r="R315" s="2">
        <v>185</v>
      </c>
      <c r="S315" s="2">
        <v>460</v>
      </c>
      <c r="T315" s="2">
        <v>768</v>
      </c>
      <c r="U315" s="2">
        <v>214</v>
      </c>
      <c r="V315" s="2">
        <v>37</v>
      </c>
      <c r="W315" s="2">
        <v>3217</v>
      </c>
      <c r="X315" s="9">
        <v>938801</v>
      </c>
      <c r="Y315" s="2" t="s">
        <v>46</v>
      </c>
      <c r="AA315" s="1" t="str">
        <f>TRIM(RPG_dataset[[#This Row],[Username]])</f>
        <v>nolan_479</v>
      </c>
      <c r="AB315" s="1" t="str">
        <f>TRIM(RPG_dataset[[#This Row],[First Name]])</f>
        <v>Nolan</v>
      </c>
      <c r="AC315" s="1" t="str">
        <f>PROPER(TRIM(RPG_dataset[[#This Row],[Race]]))</f>
        <v>Halfling</v>
      </c>
      <c r="AD315" s="1" t="str">
        <f>PROPER(TRIM(RPG_dataset[[#This Row],[Class]]))</f>
        <v>Paladin</v>
      </c>
      <c r="AE315" s="1">
        <f>ABS(RPG_dataset[[#This Row],[Level]])</f>
        <v>64</v>
      </c>
      <c r="AF315" s="1">
        <f>ABS(RPG_dataset[[#This Row],[ATK]])</f>
        <v>32</v>
      </c>
      <c r="AG315" s="1">
        <f>ABS(RPG_dataset[[#This Row],[DEF]])</f>
        <v>90</v>
      </c>
      <c r="AH315" s="1">
        <f>ABS(RPG_dataset[[#This Row],[SPD]])</f>
        <v>63</v>
      </c>
      <c r="AI315" s="1">
        <f>ABS(RPG_dataset[[#This Row],[HP]])</f>
        <v>2466</v>
      </c>
      <c r="AJ315" s="1">
        <f>ABS(RPG_dataset[[#This Row],[MP]])</f>
        <v>1110</v>
      </c>
      <c r="AK315" s="1">
        <f>ABS(RPG_dataset[[#This Row],[Total Stat]])</f>
        <v>185</v>
      </c>
      <c r="AL315" s="1">
        <f>ABS(RPG_dataset[[#This Row],[Kills]])</f>
        <v>460</v>
      </c>
      <c r="AM315" s="12">
        <f>ABS(RPG_dataset[[#This Row],[Win Rate (%)]])</f>
        <v>37</v>
      </c>
      <c r="AN315" s="4">
        <f>ABS(RPG_dataset[[#This Row],[Gold Earned]])</f>
        <v>938801</v>
      </c>
      <c r="AO315" s="5" t="str">
        <f t="shared" si="4"/>
        <v>OK</v>
      </c>
      <c r="AP315" s="5">
        <f>RANK(clean[[#This Row],[Clean Gold]],clean[Clean Gold], 0)</f>
        <v>30</v>
      </c>
      <c r="AQ315" s="1">
        <v>309</v>
      </c>
      <c r="AR315" s="1" t="str" cm="1">
        <f t="array" ref="AR315">_xlfn.IFS(clean[[#This Row],[Clean Level]]&gt;=76, "Legend", clean[[#This Row],[Clean Level]]&gt;=51, "Elite", clean[[#This Row],[Clean Level]]&gt;=26, "Veteran", TRUE, "Rookie")</f>
        <v>Elite</v>
      </c>
      <c r="AS315" s="1" t="str">
        <f>IF(RPG_dataset[[#This Row],[Status]]="Active", "TRUE", "FALSE")</f>
        <v>TRUE</v>
      </c>
      <c r="AT315" s="1" t="str" cm="1">
        <f t="array" ref="AT315">_xlfn.IFS(clean[[#This Row],[Clean Win Rate]]&gt;70, "Excellent", clean[[#This Row],[Clean Win Rate]]&gt;=40, "Average", TRUE, "Poor")</f>
        <v>Poor</v>
      </c>
      <c r="AU315" s="1" t="str">
        <f>IF(AND(clean[[#This Row],[Clean Level]]&gt;80, clean[[#This Row],[Clean Total Stat]]&gt;350, clean[[#This Row],[Clean Gold]]&gt;500000), "Overpowered", "Normal")</f>
        <v>Normal</v>
      </c>
      <c r="AV315" s="1" t="str" cm="1">
        <f t="array" ref="AV31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15" s="1" t="str" cm="1">
        <f t="array" ref="AW31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315" s="1"/>
    </row>
    <row r="316" spans="1:50" x14ac:dyDescent="0.3">
      <c r="A316" s="2" t="s">
        <v>1124</v>
      </c>
      <c r="B316" s="2" t="s">
        <v>1125</v>
      </c>
      <c r="C316" s="2" t="s">
        <v>353</v>
      </c>
      <c r="D316" s="2" t="s">
        <v>150</v>
      </c>
      <c r="E316" s="2" t="s">
        <v>75</v>
      </c>
      <c r="F316" s="2" t="s">
        <v>194</v>
      </c>
      <c r="G316" s="2">
        <v>100</v>
      </c>
      <c r="H316" s="2" t="s">
        <v>62</v>
      </c>
      <c r="I316" s="2" t="s">
        <v>32</v>
      </c>
      <c r="J316" s="2" t="s">
        <v>92</v>
      </c>
      <c r="K316" s="2" t="s">
        <v>44</v>
      </c>
      <c r="L316" s="6" t="s">
        <v>1126</v>
      </c>
      <c r="M316" s="2">
        <v>148</v>
      </c>
      <c r="N316" s="2">
        <v>34</v>
      </c>
      <c r="O316" s="2">
        <v>119</v>
      </c>
      <c r="P316" s="2">
        <v>1898</v>
      </c>
      <c r="Q316" s="2">
        <v>2929</v>
      </c>
      <c r="R316" s="2">
        <v>301</v>
      </c>
      <c r="S316" s="2">
        <v>4534</v>
      </c>
      <c r="T316" s="2">
        <v>795</v>
      </c>
      <c r="U316" s="2">
        <v>54</v>
      </c>
      <c r="V316" s="2">
        <v>85</v>
      </c>
      <c r="W316" s="2">
        <v>1276</v>
      </c>
      <c r="X316" s="9">
        <v>93257</v>
      </c>
      <c r="Y316" s="2" t="s">
        <v>46</v>
      </c>
      <c r="AA316" s="1" t="str">
        <f>TRIM(RPG_dataset[[#This Row],[Username]])</f>
        <v>percy_550</v>
      </c>
      <c r="AB316" s="1" t="str">
        <f>TRIM(RPG_dataset[[#This Row],[First Name]])</f>
        <v>Percy</v>
      </c>
      <c r="AC316" s="1" t="str">
        <f>PROPER(TRIM(RPG_dataset[[#This Row],[Race]]))</f>
        <v/>
      </c>
      <c r="AD316" s="1" t="str">
        <f>PROPER(TRIM(RPG_dataset[[#This Row],[Class]]))</f>
        <v>Paladin</v>
      </c>
      <c r="AE316" s="1">
        <f>ABS(RPG_dataset[[#This Row],[Level]])</f>
        <v>100</v>
      </c>
      <c r="AF316" s="1">
        <f>ABS(RPG_dataset[[#This Row],[ATK]])</f>
        <v>148</v>
      </c>
      <c r="AG316" s="1">
        <f>ABS(RPG_dataset[[#This Row],[DEF]])</f>
        <v>34</v>
      </c>
      <c r="AH316" s="1">
        <f>ABS(RPG_dataset[[#This Row],[SPD]])</f>
        <v>119</v>
      </c>
      <c r="AI316" s="1">
        <f>ABS(RPG_dataset[[#This Row],[HP]])</f>
        <v>1898</v>
      </c>
      <c r="AJ316" s="1">
        <f>ABS(RPG_dataset[[#This Row],[MP]])</f>
        <v>2929</v>
      </c>
      <c r="AK316" s="1">
        <f>ABS(RPG_dataset[[#This Row],[Total Stat]])</f>
        <v>301</v>
      </c>
      <c r="AL316" s="1">
        <f>ABS(RPG_dataset[[#This Row],[Kills]])</f>
        <v>4534</v>
      </c>
      <c r="AM316" s="12">
        <f>ABS(RPG_dataset[[#This Row],[Win Rate (%)]])</f>
        <v>85</v>
      </c>
      <c r="AN316" s="4">
        <f>ABS(RPG_dataset[[#This Row],[Gold Earned]])</f>
        <v>93257</v>
      </c>
      <c r="AO316" s="5" t="str">
        <f t="shared" si="4"/>
        <v>OK</v>
      </c>
      <c r="AP316" s="5">
        <f>RANK(clean[[#This Row],[Clean Gold]],clean[Clean Gold], 0)</f>
        <v>443</v>
      </c>
      <c r="AQ316" s="1">
        <v>284</v>
      </c>
      <c r="AR316" s="1" t="str" cm="1">
        <f t="array" ref="AR316">_xlfn.IFS(clean[[#This Row],[Clean Level]]&gt;=76, "Legend", clean[[#This Row],[Clean Level]]&gt;=51, "Elite", clean[[#This Row],[Clean Level]]&gt;=26, "Veteran", TRUE, "Rookie")</f>
        <v>Legend</v>
      </c>
      <c r="AS316" s="1" t="str">
        <f>IF(RPG_dataset[[#This Row],[Status]]="Active", "TRUE", "FALSE")</f>
        <v>TRUE</v>
      </c>
      <c r="AT316" s="1" t="str" cm="1">
        <f t="array" ref="AT316">_xlfn.IFS(clean[[#This Row],[Clean Win Rate]]&gt;70, "Excellent", clean[[#This Row],[Clean Win Rate]]&gt;=40, "Average", TRUE, "Poor")</f>
        <v>Excellent</v>
      </c>
      <c r="AU316" s="1" t="str">
        <f>IF(AND(clean[[#This Row],[Clean Level]]&gt;80, clean[[#This Row],[Clean Total Stat]]&gt;350, clean[[#This Row],[Clean Gold]]&gt;500000), "Overpowered", "Normal")</f>
        <v>Normal</v>
      </c>
      <c r="AV316" s="1" t="str" cm="1">
        <f t="array" ref="AV31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16" s="1" t="str" cm="1">
        <f t="array" ref="AW31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16" s="1"/>
    </row>
    <row r="317" spans="1:50" x14ac:dyDescent="0.3">
      <c r="A317" s="2" t="s">
        <v>1127</v>
      </c>
      <c r="B317" s="2" t="s">
        <v>75</v>
      </c>
      <c r="C317" s="2" t="s">
        <v>203</v>
      </c>
      <c r="D317" s="2" t="s">
        <v>104</v>
      </c>
      <c r="E317" s="2" t="s">
        <v>41</v>
      </c>
      <c r="F317" s="2" t="s">
        <v>194</v>
      </c>
      <c r="G317" s="2">
        <v>15</v>
      </c>
      <c r="H317" s="2" t="s">
        <v>31</v>
      </c>
      <c r="I317" s="2" t="s">
        <v>126</v>
      </c>
      <c r="J317" s="2" t="s">
        <v>81</v>
      </c>
      <c r="K317" s="2" t="s">
        <v>99</v>
      </c>
      <c r="L317" s="6" t="s">
        <v>1128</v>
      </c>
      <c r="M317" s="2">
        <v>77</v>
      </c>
      <c r="N317" s="2">
        <v>25</v>
      </c>
      <c r="O317" s="2">
        <v>107</v>
      </c>
      <c r="P317" s="2">
        <v>2962</v>
      </c>
      <c r="Q317" s="2">
        <v>2107</v>
      </c>
      <c r="R317" s="2">
        <v>209</v>
      </c>
      <c r="S317" s="2">
        <v>3232</v>
      </c>
      <c r="T317" s="2">
        <v>628</v>
      </c>
      <c r="U317" s="2">
        <v>0</v>
      </c>
      <c r="V317" s="2">
        <v>84</v>
      </c>
      <c r="W317" s="2">
        <v>455</v>
      </c>
      <c r="X317" s="9">
        <v>654738</v>
      </c>
      <c r="Y317" s="2" t="s">
        <v>46</v>
      </c>
      <c r="AA317" s="1" t="str">
        <f>TRIM(RPG_dataset[[#This Row],[Username]])</f>
        <v/>
      </c>
      <c r="AB317" s="1" t="str">
        <f>TRIM(RPG_dataset[[#This Row],[First Name]])</f>
        <v>Leon</v>
      </c>
      <c r="AC317" s="1" t="str">
        <f>PROPER(TRIM(RPG_dataset[[#This Row],[Race]]))</f>
        <v>Gnome</v>
      </c>
      <c r="AD317" s="1" t="str">
        <f>PROPER(TRIM(RPG_dataset[[#This Row],[Class]]))</f>
        <v>Paladin</v>
      </c>
      <c r="AE317" s="1">
        <f>ABS(RPG_dataset[[#This Row],[Level]])</f>
        <v>15</v>
      </c>
      <c r="AF317" s="1">
        <f>ABS(RPG_dataset[[#This Row],[ATK]])</f>
        <v>77</v>
      </c>
      <c r="AG317" s="1">
        <f>ABS(RPG_dataset[[#This Row],[DEF]])</f>
        <v>25</v>
      </c>
      <c r="AH317" s="1">
        <f>ABS(RPG_dataset[[#This Row],[SPD]])</f>
        <v>107</v>
      </c>
      <c r="AI317" s="1">
        <f>ABS(RPG_dataset[[#This Row],[HP]])</f>
        <v>2962</v>
      </c>
      <c r="AJ317" s="1">
        <f>ABS(RPG_dataset[[#This Row],[MP]])</f>
        <v>2107</v>
      </c>
      <c r="AK317" s="1">
        <f>ABS(RPG_dataset[[#This Row],[Total Stat]])</f>
        <v>209</v>
      </c>
      <c r="AL317" s="1">
        <f>ABS(RPG_dataset[[#This Row],[Kills]])</f>
        <v>3232</v>
      </c>
      <c r="AM317" s="12">
        <f>ABS(RPG_dataset[[#This Row],[Win Rate (%)]])</f>
        <v>84</v>
      </c>
      <c r="AN317" s="4">
        <f>ABS(RPG_dataset[[#This Row],[Gold Earned]])</f>
        <v>654738</v>
      </c>
      <c r="AO317" s="5" t="str">
        <f t="shared" si="4"/>
        <v>OK</v>
      </c>
      <c r="AP317" s="5">
        <f>RANK(clean[[#This Row],[Clean Gold]],clean[Clean Gold], 0)</f>
        <v>173</v>
      </c>
      <c r="AQ317" s="1">
        <v>219</v>
      </c>
      <c r="AR317" s="1" t="str" cm="1">
        <f t="array" ref="AR317">_xlfn.IFS(clean[[#This Row],[Clean Level]]&gt;=76, "Legend", clean[[#This Row],[Clean Level]]&gt;=51, "Elite", clean[[#This Row],[Clean Level]]&gt;=26, "Veteran", TRUE, "Rookie")</f>
        <v>Rookie</v>
      </c>
      <c r="AS317" s="1" t="str">
        <f>IF(RPG_dataset[[#This Row],[Status]]="Active", "TRUE", "FALSE")</f>
        <v>FALSE</v>
      </c>
      <c r="AT317" s="1" t="str" cm="1">
        <f t="array" ref="AT317">_xlfn.IFS(clean[[#This Row],[Clean Win Rate]]&gt;70, "Excellent", clean[[#This Row],[Clean Win Rate]]&gt;=40, "Average", TRUE, "Poor")</f>
        <v>Excellent</v>
      </c>
      <c r="AU317" s="1" t="str">
        <f>IF(AND(clean[[#This Row],[Clean Level]]&gt;80, clean[[#This Row],[Clean Total Stat]]&gt;350, clean[[#This Row],[Clean Gold]]&gt;500000), "Overpowered", "Normal")</f>
        <v>Normal</v>
      </c>
      <c r="AV317" s="1" t="str" cm="1">
        <f t="array" ref="AV31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17" s="1" t="str" cm="1">
        <f t="array" ref="AW31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17" s="1"/>
    </row>
    <row r="318" spans="1:50" x14ac:dyDescent="0.3">
      <c r="A318" s="2" t="s">
        <v>1129</v>
      </c>
      <c r="B318" s="2" t="s">
        <v>1130</v>
      </c>
      <c r="C318" s="2" t="s">
        <v>227</v>
      </c>
      <c r="D318" s="2" t="s">
        <v>234</v>
      </c>
      <c r="E318" s="2" t="s">
        <v>29</v>
      </c>
      <c r="F318" s="2" t="s">
        <v>72</v>
      </c>
      <c r="G318" s="2">
        <v>27</v>
      </c>
      <c r="H318" s="2" t="s">
        <v>80</v>
      </c>
      <c r="I318" s="2" t="s">
        <v>63</v>
      </c>
      <c r="J318" s="2" t="s">
        <v>111</v>
      </c>
      <c r="K318" s="2" t="s">
        <v>44</v>
      </c>
      <c r="L318" s="6" t="s">
        <v>1131</v>
      </c>
      <c r="M318" s="2">
        <v>15</v>
      </c>
      <c r="N318" s="2">
        <v>62</v>
      </c>
      <c r="O318" s="2">
        <v>55</v>
      </c>
      <c r="P318" s="2">
        <v>542</v>
      </c>
      <c r="Q318" s="2">
        <v>1818</v>
      </c>
      <c r="R318" s="2">
        <v>132</v>
      </c>
      <c r="S318" s="2"/>
      <c r="T318" s="2">
        <v>863</v>
      </c>
      <c r="U318" s="2">
        <v>227</v>
      </c>
      <c r="V318" s="2">
        <v>83</v>
      </c>
      <c r="W318" s="2">
        <v>3687</v>
      </c>
      <c r="X318" s="9">
        <v>618686</v>
      </c>
      <c r="Y318" s="2" t="s">
        <v>46</v>
      </c>
      <c r="AA318" s="1" t="str">
        <f>TRIM(RPG_dataset[[#This Row],[Username]])</f>
        <v>nyx_976</v>
      </c>
      <c r="AB318" s="1" t="str">
        <f>TRIM(RPG_dataset[[#This Row],[First Name]])</f>
        <v>Nyx</v>
      </c>
      <c r="AC318" s="1" t="str">
        <f>PROPER(TRIM(RPG_dataset[[#This Row],[Race]]))</f>
        <v>Dwarf</v>
      </c>
      <c r="AD318" s="1" t="str">
        <f>PROPER(TRIM(RPG_dataset[[#This Row],[Class]]))</f>
        <v>Warrior</v>
      </c>
      <c r="AE318" s="1">
        <f>ABS(RPG_dataset[[#This Row],[Level]])</f>
        <v>27</v>
      </c>
      <c r="AF318" s="1">
        <f>ABS(RPG_dataset[[#This Row],[ATK]])</f>
        <v>15</v>
      </c>
      <c r="AG318" s="1">
        <f>ABS(RPG_dataset[[#This Row],[DEF]])</f>
        <v>62</v>
      </c>
      <c r="AH318" s="1">
        <f>ABS(RPG_dataset[[#This Row],[SPD]])</f>
        <v>55</v>
      </c>
      <c r="AI318" s="1">
        <f>ABS(RPG_dataset[[#This Row],[HP]])</f>
        <v>542</v>
      </c>
      <c r="AJ318" s="1">
        <f>ABS(RPG_dataset[[#This Row],[MP]])</f>
        <v>1818</v>
      </c>
      <c r="AK318" s="1">
        <f>ABS(RPG_dataset[[#This Row],[Total Stat]])</f>
        <v>132</v>
      </c>
      <c r="AL318" s="1">
        <f>ABS(RPG_dataset[[#This Row],[Kills]])</f>
        <v>0</v>
      </c>
      <c r="AM318" s="12">
        <f>ABS(RPG_dataset[[#This Row],[Win Rate (%)]])</f>
        <v>83</v>
      </c>
      <c r="AN318" s="4">
        <f>ABS(RPG_dataset[[#This Row],[Gold Earned]])</f>
        <v>618686</v>
      </c>
      <c r="AO318" s="5" t="str">
        <f t="shared" si="4"/>
        <v>OK</v>
      </c>
      <c r="AP318" s="5">
        <f>RANK(clean[[#This Row],[Clean Gold]],clean[Clean Gold], 0)</f>
        <v>192</v>
      </c>
      <c r="AQ318" s="1">
        <v>241</v>
      </c>
      <c r="AR318" s="1" t="str" cm="1">
        <f t="array" ref="AR318">_xlfn.IFS(clean[[#This Row],[Clean Level]]&gt;=76, "Legend", clean[[#This Row],[Clean Level]]&gt;=51, "Elite", clean[[#This Row],[Clean Level]]&gt;=26, "Veteran", TRUE, "Rookie")</f>
        <v>Veteran</v>
      </c>
      <c r="AS318" s="1" t="str">
        <f>IF(RPG_dataset[[#This Row],[Status]]="Active", "TRUE", "FALSE")</f>
        <v>TRUE</v>
      </c>
      <c r="AT318" s="1" t="str" cm="1">
        <f t="array" ref="AT318">_xlfn.IFS(clean[[#This Row],[Clean Win Rate]]&gt;70, "Excellent", clean[[#This Row],[Clean Win Rate]]&gt;=40, "Average", TRUE, "Poor")</f>
        <v>Excellent</v>
      </c>
      <c r="AU318" s="1" t="str">
        <f>IF(AND(clean[[#This Row],[Clean Level]]&gt;80, clean[[#This Row],[Clean Total Stat]]&gt;350, clean[[#This Row],[Clean Gold]]&gt;500000), "Overpowered", "Normal")</f>
        <v>Normal</v>
      </c>
      <c r="AV318" s="1" t="str" cm="1">
        <f t="array" ref="AV31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18" s="1" t="str" cm="1">
        <f t="array" ref="AW31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18" s="1"/>
    </row>
    <row r="319" spans="1:50" x14ac:dyDescent="0.3">
      <c r="A319" s="2" t="s">
        <v>1132</v>
      </c>
      <c r="B319" s="2" t="s">
        <v>1133</v>
      </c>
      <c r="C319" s="2" t="s">
        <v>103</v>
      </c>
      <c r="D319" s="2" t="s">
        <v>28</v>
      </c>
      <c r="E319" s="2" t="s">
        <v>71</v>
      </c>
      <c r="F319" s="2" t="s">
        <v>42</v>
      </c>
      <c r="G319" s="2">
        <v>7</v>
      </c>
      <c r="H319" s="2" t="s">
        <v>62</v>
      </c>
      <c r="I319" s="2" t="s">
        <v>140</v>
      </c>
      <c r="J319" s="2" t="s">
        <v>111</v>
      </c>
      <c r="K319" s="2" t="s">
        <v>99</v>
      </c>
      <c r="L319" s="6" t="s">
        <v>1134</v>
      </c>
      <c r="M319" s="2">
        <v>58</v>
      </c>
      <c r="N319" s="2">
        <v>106</v>
      </c>
      <c r="O319" s="2">
        <v>14</v>
      </c>
      <c r="P319" s="2">
        <v>2650</v>
      </c>
      <c r="Q319" s="2">
        <v>2363</v>
      </c>
      <c r="R319" s="2">
        <v>178</v>
      </c>
      <c r="S319" s="2">
        <v>635</v>
      </c>
      <c r="T319" s="2">
        <v>949</v>
      </c>
      <c r="U319" s="2">
        <v>56</v>
      </c>
      <c r="V319" s="2">
        <v>40</v>
      </c>
      <c r="W319" s="2">
        <v>861</v>
      </c>
      <c r="X319" s="9">
        <v>296575</v>
      </c>
      <c r="Y319" s="2" t="s">
        <v>46</v>
      </c>
      <c r="AA319" s="1" t="str">
        <f>TRIM(RPG_dataset[[#This Row],[Username]])</f>
        <v>aria_574</v>
      </c>
      <c r="AB319" s="1" t="str">
        <f>TRIM(RPG_dataset[[#This Row],[First Name]])</f>
        <v>Aria</v>
      </c>
      <c r="AC319" s="1" t="str">
        <f>PROPER(TRIM(RPG_dataset[[#This Row],[Race]]))</f>
        <v>Dragonborn</v>
      </c>
      <c r="AD319" s="1" t="str">
        <f>PROPER(TRIM(RPG_dataset[[#This Row],[Class]]))</f>
        <v>Monk</v>
      </c>
      <c r="AE319" s="1">
        <f>ABS(RPG_dataset[[#This Row],[Level]])</f>
        <v>7</v>
      </c>
      <c r="AF319" s="1">
        <f>ABS(RPG_dataset[[#This Row],[ATK]])</f>
        <v>58</v>
      </c>
      <c r="AG319" s="1">
        <f>ABS(RPG_dataset[[#This Row],[DEF]])</f>
        <v>106</v>
      </c>
      <c r="AH319" s="1">
        <f>ABS(RPG_dataset[[#This Row],[SPD]])</f>
        <v>14</v>
      </c>
      <c r="AI319" s="1">
        <f>ABS(RPG_dataset[[#This Row],[HP]])</f>
        <v>2650</v>
      </c>
      <c r="AJ319" s="1">
        <f>ABS(RPG_dataset[[#This Row],[MP]])</f>
        <v>2363</v>
      </c>
      <c r="AK319" s="1">
        <f>ABS(RPG_dataset[[#This Row],[Total Stat]])</f>
        <v>178</v>
      </c>
      <c r="AL319" s="1">
        <f>ABS(RPG_dataset[[#This Row],[Kills]])</f>
        <v>635</v>
      </c>
      <c r="AM319" s="12">
        <f>ABS(RPG_dataset[[#This Row],[Win Rate (%)]])</f>
        <v>40</v>
      </c>
      <c r="AN319" s="4">
        <f>ABS(RPG_dataset[[#This Row],[Gold Earned]])</f>
        <v>296575</v>
      </c>
      <c r="AO319" s="5" t="str">
        <f t="shared" si="4"/>
        <v>OK</v>
      </c>
      <c r="AP319" s="5">
        <f>RANK(clean[[#This Row],[Clean Gold]],clean[Clean Gold], 0)</f>
        <v>354</v>
      </c>
      <c r="AQ319" s="1">
        <v>227</v>
      </c>
      <c r="AR319" s="1" t="str" cm="1">
        <f t="array" ref="AR319">_xlfn.IFS(clean[[#This Row],[Clean Level]]&gt;=76, "Legend", clean[[#This Row],[Clean Level]]&gt;=51, "Elite", clean[[#This Row],[Clean Level]]&gt;=26, "Veteran", TRUE, "Rookie")</f>
        <v>Rookie</v>
      </c>
      <c r="AS319" s="1" t="str">
        <f>IF(RPG_dataset[[#This Row],[Status]]="Active", "TRUE", "FALSE")</f>
        <v>FALSE</v>
      </c>
      <c r="AT319" s="1" t="str" cm="1">
        <f t="array" ref="AT319">_xlfn.IFS(clean[[#This Row],[Clean Win Rate]]&gt;70, "Excellent", clean[[#This Row],[Clean Win Rate]]&gt;=40, "Average", TRUE, "Poor")</f>
        <v>Average</v>
      </c>
      <c r="AU319" s="1" t="str">
        <f>IF(AND(clean[[#This Row],[Clean Level]]&gt;80, clean[[#This Row],[Clean Total Stat]]&gt;350, clean[[#This Row],[Clean Gold]]&gt;500000), "Overpowered", "Normal")</f>
        <v>Normal</v>
      </c>
      <c r="AV319" s="1" t="str" cm="1">
        <f t="array" ref="AV319">_xlfn.IFS(
(AND(OR(clean[[#This Row],[Tier]]="Elite", clean[[#This Row],[Tier]]="Legend"), clean[[#This Row],[Performance]]="Excellent", RPG_dataset[[#This Row],[Is Premium]]="Yes")), "High", OR(OR(clean[[#This Row],[Tier]]="Elite", clean[[#This Row],[Tier]]="Legend"), clean[[#This Row],[Performance]]="Excellent", RPG_dataset[[#This Row],[Is Premium]]="Yes"), "Medium", TRUE, "Low")</f>
        <v>Low</v>
      </c>
      <c r="AW319" s="1" t="str" cm="1">
        <f t="array" ref="AW31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319" s="1"/>
    </row>
    <row r="320" spans="1:50" x14ac:dyDescent="0.3">
      <c r="A320" s="2" t="s">
        <v>1135</v>
      </c>
      <c r="B320" s="2" t="s">
        <v>1136</v>
      </c>
      <c r="C320" s="2" t="s">
        <v>69</v>
      </c>
      <c r="D320" s="2" t="s">
        <v>150</v>
      </c>
      <c r="E320" s="2" t="s">
        <v>29</v>
      </c>
      <c r="F320" s="2" t="s">
        <v>124</v>
      </c>
      <c r="G320" s="2">
        <v>5</v>
      </c>
      <c r="H320" s="2" t="s">
        <v>157</v>
      </c>
      <c r="I320" s="2" t="s">
        <v>54</v>
      </c>
      <c r="J320" s="2" t="s">
        <v>64</v>
      </c>
      <c r="K320" s="2" t="s">
        <v>99</v>
      </c>
      <c r="L320" s="6" t="s">
        <v>909</v>
      </c>
      <c r="M320" s="2">
        <v>125</v>
      </c>
      <c r="N320" s="2">
        <v>84</v>
      </c>
      <c r="O320" s="2">
        <v>31</v>
      </c>
      <c r="P320" s="2"/>
      <c r="Q320" s="2">
        <v>2398</v>
      </c>
      <c r="R320" s="2">
        <v>240</v>
      </c>
      <c r="S320" s="2">
        <v>2380</v>
      </c>
      <c r="T320" s="2">
        <v>479</v>
      </c>
      <c r="U320" s="2">
        <v>1</v>
      </c>
      <c r="V320" s="2">
        <v>83</v>
      </c>
      <c r="W320" s="2">
        <v>4150</v>
      </c>
      <c r="X320" s="9">
        <v>857060</v>
      </c>
      <c r="Y320" s="2" t="s">
        <v>46</v>
      </c>
      <c r="AA320" s="1" t="str">
        <f>TRIM(RPG_dataset[[#This Row],[Username]])</f>
        <v>seth_358</v>
      </c>
      <c r="AB320" s="1" t="str">
        <f>TRIM(RPG_dataset[[#This Row],[First Name]])</f>
        <v>Seth</v>
      </c>
      <c r="AC320" s="1" t="str">
        <f>PROPER(TRIM(RPG_dataset[[#This Row],[Race]]))</f>
        <v>Dwarf</v>
      </c>
      <c r="AD320" s="1" t="str">
        <f>PROPER(TRIM(RPG_dataset[[#This Row],[Class]]))</f>
        <v>Necromancer</v>
      </c>
      <c r="AE320" s="1">
        <f>ABS(RPG_dataset[[#This Row],[Level]])</f>
        <v>5</v>
      </c>
      <c r="AF320" s="1">
        <f>ABS(RPG_dataset[[#This Row],[ATK]])</f>
        <v>125</v>
      </c>
      <c r="AG320" s="1">
        <f>ABS(RPG_dataset[[#This Row],[DEF]])</f>
        <v>84</v>
      </c>
      <c r="AH320" s="1">
        <f>ABS(RPG_dataset[[#This Row],[SPD]])</f>
        <v>31</v>
      </c>
      <c r="AI320" s="1">
        <f>ABS(RPG_dataset[[#This Row],[HP]])</f>
        <v>0</v>
      </c>
      <c r="AJ320" s="1">
        <f>ABS(RPG_dataset[[#This Row],[MP]])</f>
        <v>2398</v>
      </c>
      <c r="AK320" s="1">
        <f>ABS(RPG_dataset[[#This Row],[Total Stat]])</f>
        <v>240</v>
      </c>
      <c r="AL320" s="1">
        <f>ABS(RPG_dataset[[#This Row],[Kills]])</f>
        <v>2380</v>
      </c>
      <c r="AM320" s="12">
        <f>ABS(RPG_dataset[[#This Row],[Win Rate (%)]])</f>
        <v>83</v>
      </c>
      <c r="AN320" s="4">
        <f>ABS(RPG_dataset[[#This Row],[Gold Earned]])</f>
        <v>857060</v>
      </c>
      <c r="AO320" s="5" t="str">
        <f t="shared" si="4"/>
        <v>OK</v>
      </c>
      <c r="AP320" s="5">
        <f>RANK(clean[[#This Row],[Clean Gold]],clean[Clean Gold], 0)</f>
        <v>73</v>
      </c>
      <c r="AQ320" s="1">
        <v>248</v>
      </c>
      <c r="AR320" s="1" t="str" cm="1">
        <f t="array" ref="AR320">_xlfn.IFS(clean[[#This Row],[Clean Level]]&gt;=76, "Legend", clean[[#This Row],[Clean Level]]&gt;=51, "Elite", clean[[#This Row],[Clean Level]]&gt;=26, "Veteran", TRUE, "Rookie")</f>
        <v>Rookie</v>
      </c>
      <c r="AS320" s="1" t="str">
        <f>IF(RPG_dataset[[#This Row],[Status]]="Active", "TRUE", "FALSE")</f>
        <v>FALSE</v>
      </c>
      <c r="AT320" s="1" t="str" cm="1">
        <f t="array" ref="AT320">_xlfn.IFS(clean[[#This Row],[Clean Win Rate]]&gt;70, "Excellent", clean[[#This Row],[Clean Win Rate]]&gt;=40, "Average", TRUE, "Poor")</f>
        <v>Excellent</v>
      </c>
      <c r="AU320" s="1" t="str">
        <f>IF(AND(clean[[#This Row],[Clean Level]]&gt;80, clean[[#This Row],[Clean Total Stat]]&gt;350, clean[[#This Row],[Clean Gold]]&gt;500000), "Overpowered", "Normal")</f>
        <v>Normal</v>
      </c>
      <c r="AV320" s="1" t="str" cm="1">
        <f t="array" ref="AV32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20" s="1" t="str" cm="1">
        <f t="array" ref="AW32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320" s="1"/>
    </row>
    <row r="321" spans="1:50" x14ac:dyDescent="0.3">
      <c r="A321" s="2" t="s">
        <v>1137</v>
      </c>
      <c r="B321" s="2" t="s">
        <v>1138</v>
      </c>
      <c r="C321" s="2" t="s">
        <v>1139</v>
      </c>
      <c r="D321" s="2" t="s">
        <v>254</v>
      </c>
      <c r="E321" s="2" t="s">
        <v>105</v>
      </c>
      <c r="F321" s="2" t="s">
        <v>52</v>
      </c>
      <c r="G321" s="2">
        <v>13</v>
      </c>
      <c r="H321" s="2" t="s">
        <v>53</v>
      </c>
      <c r="I321" s="2" t="s">
        <v>126</v>
      </c>
      <c r="J321" s="2" t="s">
        <v>64</v>
      </c>
      <c r="K321" s="2" t="s">
        <v>99</v>
      </c>
      <c r="L321" s="6" t="s">
        <v>1140</v>
      </c>
      <c r="M321" s="2">
        <v>88</v>
      </c>
      <c r="N321" s="2">
        <v>113</v>
      </c>
      <c r="O321" s="2">
        <v>83</v>
      </c>
      <c r="P321" s="2">
        <v>1827</v>
      </c>
      <c r="Q321" s="2">
        <v>1927</v>
      </c>
      <c r="R321" s="2">
        <v>284</v>
      </c>
      <c r="S321" s="2">
        <v>3737</v>
      </c>
      <c r="T321" s="2">
        <v>126</v>
      </c>
      <c r="U321" s="2">
        <v>253</v>
      </c>
      <c r="V321" s="2">
        <v>97</v>
      </c>
      <c r="W321" s="2">
        <v>1420</v>
      </c>
      <c r="X321" s="9">
        <v>784495</v>
      </c>
      <c r="Y321" s="2" t="s">
        <v>46</v>
      </c>
      <c r="AA321" s="1" t="str">
        <f>TRIM(RPG_dataset[[#This Row],[Username]])</f>
        <v>cedric_601</v>
      </c>
      <c r="AB321" s="1" t="str">
        <f>TRIM(RPG_dataset[[#This Row],[First Name]])</f>
        <v>Cedric</v>
      </c>
      <c r="AC321" s="1" t="str">
        <f>PROPER(TRIM(RPG_dataset[[#This Row],[Race]]))</f>
        <v>Orc</v>
      </c>
      <c r="AD321" s="1" t="str">
        <f>PROPER(TRIM(RPG_dataset[[#This Row],[Class]]))</f>
        <v>Bard</v>
      </c>
      <c r="AE321" s="1">
        <f>ABS(RPG_dataset[[#This Row],[Level]])</f>
        <v>13</v>
      </c>
      <c r="AF321" s="1">
        <f>ABS(RPG_dataset[[#This Row],[ATK]])</f>
        <v>88</v>
      </c>
      <c r="AG321" s="1">
        <f>ABS(RPG_dataset[[#This Row],[DEF]])</f>
        <v>113</v>
      </c>
      <c r="AH321" s="1">
        <f>ABS(RPG_dataset[[#This Row],[SPD]])</f>
        <v>83</v>
      </c>
      <c r="AI321" s="1">
        <f>ABS(RPG_dataset[[#This Row],[HP]])</f>
        <v>1827</v>
      </c>
      <c r="AJ321" s="1">
        <f>ABS(RPG_dataset[[#This Row],[MP]])</f>
        <v>1927</v>
      </c>
      <c r="AK321" s="1">
        <f>ABS(RPG_dataset[[#This Row],[Total Stat]])</f>
        <v>284</v>
      </c>
      <c r="AL321" s="1">
        <f>ABS(RPG_dataset[[#This Row],[Kills]])</f>
        <v>3737</v>
      </c>
      <c r="AM321" s="12">
        <f>ABS(RPG_dataset[[#This Row],[Win Rate (%)]])</f>
        <v>97</v>
      </c>
      <c r="AN321" s="4">
        <f>ABS(RPG_dataset[[#This Row],[Gold Earned]])</f>
        <v>784495</v>
      </c>
      <c r="AO321" s="5" t="str">
        <f t="shared" si="4"/>
        <v>OK</v>
      </c>
      <c r="AP321" s="5">
        <f>RANK(clean[[#This Row],[Clean Gold]],clean[Clean Gold], 0)</f>
        <v>117</v>
      </c>
      <c r="AQ321" s="1">
        <v>274</v>
      </c>
      <c r="AR321" s="1" t="str" cm="1">
        <f t="array" ref="AR321">_xlfn.IFS(clean[[#This Row],[Clean Level]]&gt;=76, "Legend", clean[[#This Row],[Clean Level]]&gt;=51, "Elite", clean[[#This Row],[Clean Level]]&gt;=26, "Veteran", TRUE, "Rookie")</f>
        <v>Rookie</v>
      </c>
      <c r="AS321" s="1" t="str">
        <f>IF(RPG_dataset[[#This Row],[Status]]="Active", "TRUE", "FALSE")</f>
        <v>FALSE</v>
      </c>
      <c r="AT321" s="1" t="str" cm="1">
        <f t="array" ref="AT321">_xlfn.IFS(clean[[#This Row],[Clean Win Rate]]&gt;70, "Excellent", clean[[#This Row],[Clean Win Rate]]&gt;=40, "Average", TRUE, "Poor")</f>
        <v>Excellent</v>
      </c>
      <c r="AU321" s="1" t="str">
        <f>IF(AND(clean[[#This Row],[Clean Level]]&gt;80, clean[[#This Row],[Clean Total Stat]]&gt;350, clean[[#This Row],[Clean Gold]]&gt;500000), "Overpowered", "Normal")</f>
        <v>Normal</v>
      </c>
      <c r="AV321" s="1" t="str" cm="1">
        <f t="array" ref="AV32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21" s="1" t="str" cm="1">
        <f t="array" ref="AW32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21" s="1"/>
    </row>
    <row r="322" spans="1:50" x14ac:dyDescent="0.3">
      <c r="A322" s="2" t="s">
        <v>1141</v>
      </c>
      <c r="B322" s="2" t="s">
        <v>1142</v>
      </c>
      <c r="C322" s="2" t="s">
        <v>79</v>
      </c>
      <c r="D322" s="2" t="s">
        <v>210</v>
      </c>
      <c r="E322" s="2" t="s">
        <v>169</v>
      </c>
      <c r="F322" s="2" t="s">
        <v>52</v>
      </c>
      <c r="G322" s="2">
        <v>63</v>
      </c>
      <c r="H322" s="2" t="s">
        <v>62</v>
      </c>
      <c r="I322" s="2" t="s">
        <v>74</v>
      </c>
      <c r="J322" s="2" t="s">
        <v>81</v>
      </c>
      <c r="K322" s="2" t="s">
        <v>99</v>
      </c>
      <c r="L322" s="6" t="s">
        <v>1143</v>
      </c>
      <c r="M322" s="2">
        <v>43</v>
      </c>
      <c r="N322" s="2">
        <v>34</v>
      </c>
      <c r="O322" s="2">
        <v>76</v>
      </c>
      <c r="P322" s="2">
        <v>1596</v>
      </c>
      <c r="Q322" s="2">
        <v>2094</v>
      </c>
      <c r="R322" s="2">
        <v>153</v>
      </c>
      <c r="S322" s="2">
        <v>4981</v>
      </c>
      <c r="T322" s="2">
        <v>569</v>
      </c>
      <c r="U322" s="2">
        <v>153</v>
      </c>
      <c r="V322" s="2">
        <v>90</v>
      </c>
      <c r="W322" s="2">
        <v>7364</v>
      </c>
      <c r="X322" s="2"/>
      <c r="Y322" s="2" t="s">
        <v>36</v>
      </c>
      <c r="AA322" s="1" t="str">
        <f>TRIM(RPG_dataset[[#This Row],[Username]])</f>
        <v>mira_356</v>
      </c>
      <c r="AB322" s="1" t="str">
        <f>TRIM(RPG_dataset[[#This Row],[First Name]])</f>
        <v>Mira</v>
      </c>
      <c r="AC322" s="1" t="str">
        <f>PROPER(TRIM(RPG_dataset[[#This Row],[Race]]))</f>
        <v>Halfling</v>
      </c>
      <c r="AD322" s="1" t="str">
        <f>PROPER(TRIM(RPG_dataset[[#This Row],[Class]]))</f>
        <v>Bard</v>
      </c>
      <c r="AE322" s="1">
        <f>ABS(RPG_dataset[[#This Row],[Level]])</f>
        <v>63</v>
      </c>
      <c r="AF322" s="1">
        <f>ABS(RPG_dataset[[#This Row],[ATK]])</f>
        <v>43</v>
      </c>
      <c r="AG322" s="1">
        <f>ABS(RPG_dataset[[#This Row],[DEF]])</f>
        <v>34</v>
      </c>
      <c r="AH322" s="1">
        <f>ABS(RPG_dataset[[#This Row],[SPD]])</f>
        <v>76</v>
      </c>
      <c r="AI322" s="1">
        <f>ABS(RPG_dataset[[#This Row],[HP]])</f>
        <v>1596</v>
      </c>
      <c r="AJ322" s="1">
        <f>ABS(RPG_dataset[[#This Row],[MP]])</f>
        <v>2094</v>
      </c>
      <c r="AK322" s="1">
        <f>ABS(RPG_dataset[[#This Row],[Total Stat]])</f>
        <v>153</v>
      </c>
      <c r="AL322" s="1">
        <f>ABS(RPG_dataset[[#This Row],[Kills]])</f>
        <v>4981</v>
      </c>
      <c r="AM322" s="12">
        <f>ABS(RPG_dataset[[#This Row],[Win Rate (%)]])</f>
        <v>90</v>
      </c>
      <c r="AN322" s="4">
        <f>ABS(RPG_dataset[[#This Row],[Gold Earned]])</f>
        <v>0</v>
      </c>
      <c r="AO322" s="5" t="str">
        <f t="shared" ref="AO322:AO385" si="5">IF(MID(L322, 5, 1)="-", "OK", "Fix This")</f>
        <v>OK</v>
      </c>
      <c r="AP322" s="5">
        <f>RANK(clean[[#This Row],[Clean Gold]],clean[Clean Gold], 0)</f>
        <v>486</v>
      </c>
      <c r="AQ322" s="1">
        <v>277</v>
      </c>
      <c r="AR322" s="1" t="str" cm="1">
        <f t="array" ref="AR322">_xlfn.IFS(clean[[#This Row],[Clean Level]]&gt;=76, "Legend", clean[[#This Row],[Clean Level]]&gt;=51, "Elite", clean[[#This Row],[Clean Level]]&gt;=26, "Veteran", TRUE, "Rookie")</f>
        <v>Elite</v>
      </c>
      <c r="AS322" s="1" t="str">
        <f>IF(RPG_dataset[[#This Row],[Status]]="Active", "TRUE", "FALSE")</f>
        <v>FALSE</v>
      </c>
      <c r="AT322" s="1" t="str" cm="1">
        <f t="array" ref="AT322">_xlfn.IFS(clean[[#This Row],[Clean Win Rate]]&gt;70, "Excellent", clean[[#This Row],[Clean Win Rate]]&gt;=40, "Average", TRUE, "Poor")</f>
        <v>Excellent</v>
      </c>
      <c r="AU322" s="1" t="str">
        <f>IF(AND(clean[[#This Row],[Clean Level]]&gt;80, clean[[#This Row],[Clean Total Stat]]&gt;350, clean[[#This Row],[Clean Gold]]&gt;500000), "Overpowered", "Normal")</f>
        <v>Normal</v>
      </c>
      <c r="AV322" s="1" t="str" cm="1">
        <f t="array" ref="AV322">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322" s="1" t="str" cm="1">
        <f t="array" ref="AW32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22" s="1"/>
    </row>
    <row r="323" spans="1:50" x14ac:dyDescent="0.3">
      <c r="A323" s="2" t="s">
        <v>1144</v>
      </c>
      <c r="B323" s="2" t="s">
        <v>1145</v>
      </c>
      <c r="C323" s="2" t="s">
        <v>238</v>
      </c>
      <c r="D323" s="2" t="s">
        <v>401</v>
      </c>
      <c r="E323" s="2" t="s">
        <v>60</v>
      </c>
      <c r="F323" s="2" t="s">
        <v>61</v>
      </c>
      <c r="G323" s="2">
        <v>75</v>
      </c>
      <c r="H323" s="2" t="s">
        <v>43</v>
      </c>
      <c r="I323" s="2" t="s">
        <v>54</v>
      </c>
      <c r="J323" s="2" t="s">
        <v>120</v>
      </c>
      <c r="K323" s="2" t="s">
        <v>99</v>
      </c>
      <c r="L323" s="6" t="s">
        <v>1146</v>
      </c>
      <c r="M323" s="2">
        <v>46</v>
      </c>
      <c r="N323" s="2">
        <v>51</v>
      </c>
      <c r="O323" s="2">
        <v>29</v>
      </c>
      <c r="P323" s="2">
        <v>1131</v>
      </c>
      <c r="Q323" s="2">
        <v>-751</v>
      </c>
      <c r="R323" s="2">
        <v>126</v>
      </c>
      <c r="S323" s="2">
        <v>2957</v>
      </c>
      <c r="T323" s="2">
        <v>836</v>
      </c>
      <c r="U323" s="2">
        <v>34</v>
      </c>
      <c r="V323" s="2">
        <v>78</v>
      </c>
      <c r="W323" s="2">
        <v>6924</v>
      </c>
      <c r="X323" s="9">
        <v>183756</v>
      </c>
      <c r="Y323" s="2" t="s">
        <v>46</v>
      </c>
      <c r="AA323" s="1" t="str">
        <f>TRIM(RPG_dataset[[#This Row],[Username]])</f>
        <v>cael_878</v>
      </c>
      <c r="AB323" s="1" t="str">
        <f>TRIM(RPG_dataset[[#This Row],[First Name]])</f>
        <v>Cael</v>
      </c>
      <c r="AC323" s="1" t="str">
        <f>PROPER(TRIM(RPG_dataset[[#This Row],[Race]]))</f>
        <v>Human</v>
      </c>
      <c r="AD323" s="1" t="str">
        <f>PROPER(TRIM(RPG_dataset[[#This Row],[Class]]))</f>
        <v>Ranger</v>
      </c>
      <c r="AE323" s="1">
        <f>ABS(RPG_dataset[[#This Row],[Level]])</f>
        <v>75</v>
      </c>
      <c r="AF323" s="1">
        <f>ABS(RPG_dataset[[#This Row],[ATK]])</f>
        <v>46</v>
      </c>
      <c r="AG323" s="1">
        <f>ABS(RPG_dataset[[#This Row],[DEF]])</f>
        <v>51</v>
      </c>
      <c r="AH323" s="1">
        <f>ABS(RPG_dataset[[#This Row],[SPD]])</f>
        <v>29</v>
      </c>
      <c r="AI323" s="1">
        <f>ABS(RPG_dataset[[#This Row],[HP]])</f>
        <v>1131</v>
      </c>
      <c r="AJ323" s="1">
        <f>ABS(RPG_dataset[[#This Row],[MP]])</f>
        <v>751</v>
      </c>
      <c r="AK323" s="1">
        <f>ABS(RPG_dataset[[#This Row],[Total Stat]])</f>
        <v>126</v>
      </c>
      <c r="AL323" s="1">
        <f>ABS(RPG_dataset[[#This Row],[Kills]])</f>
        <v>2957</v>
      </c>
      <c r="AM323" s="12">
        <f>ABS(RPG_dataset[[#This Row],[Win Rate (%)]])</f>
        <v>78</v>
      </c>
      <c r="AN323" s="4">
        <f>ABS(RPG_dataset[[#This Row],[Gold Earned]])</f>
        <v>183756</v>
      </c>
      <c r="AO323" s="5" t="str">
        <f t="shared" si="5"/>
        <v>OK</v>
      </c>
      <c r="AP323" s="5">
        <f>RANK(clean[[#This Row],[Clean Gold]],clean[Clean Gold], 0)</f>
        <v>408</v>
      </c>
      <c r="AQ323" s="1">
        <v>249</v>
      </c>
      <c r="AR323" s="1" t="str" cm="1">
        <f t="array" ref="AR323">_xlfn.IFS(clean[[#This Row],[Clean Level]]&gt;=76, "Legend", clean[[#This Row],[Clean Level]]&gt;=51, "Elite", clean[[#This Row],[Clean Level]]&gt;=26, "Veteran", TRUE, "Rookie")</f>
        <v>Elite</v>
      </c>
      <c r="AS323" s="1" t="str">
        <f>IF(RPG_dataset[[#This Row],[Status]]="Active", "TRUE", "FALSE")</f>
        <v>FALSE</v>
      </c>
      <c r="AT323" s="1" t="str" cm="1">
        <f t="array" ref="AT323">_xlfn.IFS(clean[[#This Row],[Clean Win Rate]]&gt;70, "Excellent", clean[[#This Row],[Clean Win Rate]]&gt;=40, "Average", TRUE, "Poor")</f>
        <v>Excellent</v>
      </c>
      <c r="AU323" s="1" t="str">
        <f>IF(AND(clean[[#This Row],[Clean Level]]&gt;80, clean[[#This Row],[Clean Total Stat]]&gt;350, clean[[#This Row],[Clean Gold]]&gt;500000), "Overpowered", "Normal")</f>
        <v>Normal</v>
      </c>
      <c r="AV323" s="1" t="str" cm="1">
        <f t="array" ref="AV32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23" s="1" t="str" cm="1">
        <f t="array" ref="AW32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323" s="1"/>
    </row>
    <row r="324" spans="1:50" x14ac:dyDescent="0.3">
      <c r="A324" s="2" t="s">
        <v>1147</v>
      </c>
      <c r="B324" s="2" t="s">
        <v>1148</v>
      </c>
      <c r="C324" s="2" t="s">
        <v>1149</v>
      </c>
      <c r="D324" s="2" t="s">
        <v>272</v>
      </c>
      <c r="E324" s="2" t="s">
        <v>71</v>
      </c>
      <c r="F324" s="2" t="s">
        <v>156</v>
      </c>
      <c r="G324" s="2">
        <v>65</v>
      </c>
      <c r="H324" s="2" t="s">
        <v>125</v>
      </c>
      <c r="I324" s="2" t="s">
        <v>63</v>
      </c>
      <c r="J324" s="2" t="s">
        <v>111</v>
      </c>
      <c r="K324" s="2" t="s">
        <v>44</v>
      </c>
      <c r="L324" s="6" t="s">
        <v>1150</v>
      </c>
      <c r="M324" s="2">
        <v>76</v>
      </c>
      <c r="N324" s="2">
        <v>50</v>
      </c>
      <c r="O324" s="2">
        <v>53</v>
      </c>
      <c r="P324" s="2">
        <v>3786</v>
      </c>
      <c r="Q324" s="2">
        <v>428</v>
      </c>
      <c r="R324" s="2">
        <v>179</v>
      </c>
      <c r="S324" s="2">
        <v>3561</v>
      </c>
      <c r="T324" s="2">
        <v>844</v>
      </c>
      <c r="U324" s="2"/>
      <c r="V324" s="2">
        <v>81</v>
      </c>
      <c r="W324" s="2">
        <v>3193</v>
      </c>
      <c r="X324" s="9">
        <v>495743</v>
      </c>
      <c r="Y324" s="2" t="s">
        <v>46</v>
      </c>
      <c r="AA324" s="1" t="str">
        <f>TRIM(RPG_dataset[[#This Row],[Username]])</f>
        <v>seth_217</v>
      </c>
      <c r="AB324" s="1" t="str">
        <f>TRIM(RPG_dataset[[#This Row],[First Name]])</f>
        <v>SETH</v>
      </c>
      <c r="AC324" s="1" t="str">
        <f>PROPER(TRIM(RPG_dataset[[#This Row],[Race]]))</f>
        <v>Dragonborn</v>
      </c>
      <c r="AD324" s="1" t="str">
        <f>PROPER(TRIM(RPG_dataset[[#This Row],[Class]]))</f>
        <v>Necromancer</v>
      </c>
      <c r="AE324" s="1">
        <f>ABS(RPG_dataset[[#This Row],[Level]])</f>
        <v>65</v>
      </c>
      <c r="AF324" s="1">
        <f>ABS(RPG_dataset[[#This Row],[ATK]])</f>
        <v>76</v>
      </c>
      <c r="AG324" s="1">
        <f>ABS(RPG_dataset[[#This Row],[DEF]])</f>
        <v>50</v>
      </c>
      <c r="AH324" s="1">
        <f>ABS(RPG_dataset[[#This Row],[SPD]])</f>
        <v>53</v>
      </c>
      <c r="AI324" s="1">
        <f>ABS(RPG_dataset[[#This Row],[HP]])</f>
        <v>3786</v>
      </c>
      <c r="AJ324" s="1">
        <f>ABS(RPG_dataset[[#This Row],[MP]])</f>
        <v>428</v>
      </c>
      <c r="AK324" s="1">
        <f>ABS(RPG_dataset[[#This Row],[Total Stat]])</f>
        <v>179</v>
      </c>
      <c r="AL324" s="1">
        <f>ABS(RPG_dataset[[#This Row],[Kills]])</f>
        <v>3561</v>
      </c>
      <c r="AM324" s="12">
        <f>ABS(RPG_dataset[[#This Row],[Win Rate (%)]])</f>
        <v>81</v>
      </c>
      <c r="AN324" s="4">
        <f>ABS(RPG_dataset[[#This Row],[Gold Earned]])</f>
        <v>495743</v>
      </c>
      <c r="AO324" s="5" t="str">
        <f t="shared" si="5"/>
        <v>OK</v>
      </c>
      <c r="AP324" s="5">
        <f>RANK(clean[[#This Row],[Clean Gold]],clean[Clean Gold], 0)</f>
        <v>255</v>
      </c>
      <c r="AQ324" s="1">
        <v>237</v>
      </c>
      <c r="AR324" s="1" t="str" cm="1">
        <f t="array" ref="AR324">_xlfn.IFS(clean[[#This Row],[Clean Level]]&gt;=76, "Legend", clean[[#This Row],[Clean Level]]&gt;=51, "Elite", clean[[#This Row],[Clean Level]]&gt;=26, "Veteran", TRUE, "Rookie")</f>
        <v>Elite</v>
      </c>
      <c r="AS324" s="1" t="str">
        <f>IF(RPG_dataset[[#This Row],[Status]]="Active", "TRUE", "FALSE")</f>
        <v>TRUE</v>
      </c>
      <c r="AT324" s="1" t="str" cm="1">
        <f t="array" ref="AT324">_xlfn.IFS(clean[[#This Row],[Clean Win Rate]]&gt;70, "Excellent", clean[[#This Row],[Clean Win Rate]]&gt;=40, "Average", TRUE, "Poor")</f>
        <v>Excellent</v>
      </c>
      <c r="AU324" s="1" t="str">
        <f>IF(AND(clean[[#This Row],[Clean Level]]&gt;80, clean[[#This Row],[Clean Total Stat]]&gt;350, clean[[#This Row],[Clean Gold]]&gt;500000), "Overpowered", "Normal")</f>
        <v>Normal</v>
      </c>
      <c r="AV324" s="1" t="str" cm="1">
        <f t="array" ref="AV32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24" s="1" t="str" cm="1">
        <f t="array" ref="AW32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24" s="1"/>
    </row>
    <row r="325" spans="1:50" x14ac:dyDescent="0.3">
      <c r="A325" s="2" t="s">
        <v>1151</v>
      </c>
      <c r="B325" s="2" t="s">
        <v>1152</v>
      </c>
      <c r="C325" s="2" t="s">
        <v>371</v>
      </c>
      <c r="D325" s="2" t="s">
        <v>70</v>
      </c>
      <c r="E325" s="2" t="s">
        <v>105</v>
      </c>
      <c r="F325" s="2" t="s">
        <v>124</v>
      </c>
      <c r="G325" s="2">
        <v>71</v>
      </c>
      <c r="H325" s="2" t="s">
        <v>62</v>
      </c>
      <c r="I325" s="2" t="s">
        <v>126</v>
      </c>
      <c r="J325" s="2" t="s">
        <v>163</v>
      </c>
      <c r="K325" s="2" t="s">
        <v>99</v>
      </c>
      <c r="L325" s="6" t="s">
        <v>1153</v>
      </c>
      <c r="M325" s="2">
        <v>142</v>
      </c>
      <c r="N325" s="2">
        <v>137</v>
      </c>
      <c r="O325" s="2"/>
      <c r="P325" s="2">
        <v>545</v>
      </c>
      <c r="Q325" s="2">
        <v>270</v>
      </c>
      <c r="R325" s="2">
        <v>385</v>
      </c>
      <c r="S325" s="2">
        <v>824</v>
      </c>
      <c r="T325" s="2">
        <v>991</v>
      </c>
      <c r="U325" s="2">
        <v>-210</v>
      </c>
      <c r="V325" s="2">
        <v>45</v>
      </c>
      <c r="W325" s="2">
        <v>5583</v>
      </c>
      <c r="X325" s="9">
        <v>398297</v>
      </c>
      <c r="Y325" s="2" t="s">
        <v>36</v>
      </c>
      <c r="AA325" s="1" t="str">
        <f>TRIM(RPG_dataset[[#This Row],[Username]])</f>
        <v>kira_267</v>
      </c>
      <c r="AB325" s="1" t="str">
        <f>TRIM(RPG_dataset[[#This Row],[First Name]])</f>
        <v>Kira</v>
      </c>
      <c r="AC325" s="1" t="str">
        <f>PROPER(TRIM(RPG_dataset[[#This Row],[Race]]))</f>
        <v>Orc</v>
      </c>
      <c r="AD325" s="1" t="str">
        <f>PROPER(TRIM(RPG_dataset[[#This Row],[Class]]))</f>
        <v>Necromancer</v>
      </c>
      <c r="AE325" s="1">
        <f>ABS(RPG_dataset[[#This Row],[Level]])</f>
        <v>71</v>
      </c>
      <c r="AF325" s="1">
        <f>ABS(RPG_dataset[[#This Row],[ATK]])</f>
        <v>142</v>
      </c>
      <c r="AG325" s="1">
        <f>ABS(RPG_dataset[[#This Row],[DEF]])</f>
        <v>137</v>
      </c>
      <c r="AH325" s="1">
        <f>ABS(RPG_dataset[[#This Row],[SPD]])</f>
        <v>0</v>
      </c>
      <c r="AI325" s="1">
        <f>ABS(RPG_dataset[[#This Row],[HP]])</f>
        <v>545</v>
      </c>
      <c r="AJ325" s="1">
        <f>ABS(RPG_dataset[[#This Row],[MP]])</f>
        <v>270</v>
      </c>
      <c r="AK325" s="1">
        <f>ABS(RPG_dataset[[#This Row],[Total Stat]])</f>
        <v>385</v>
      </c>
      <c r="AL325" s="1">
        <f>ABS(RPG_dataset[[#This Row],[Kills]])</f>
        <v>824</v>
      </c>
      <c r="AM325" s="12">
        <f>ABS(RPG_dataset[[#This Row],[Win Rate (%)]])</f>
        <v>45</v>
      </c>
      <c r="AN325" s="4">
        <f>ABS(RPG_dataset[[#This Row],[Gold Earned]])</f>
        <v>398297</v>
      </c>
      <c r="AO325" s="5" t="str">
        <f t="shared" si="5"/>
        <v>OK</v>
      </c>
      <c r="AP325" s="5">
        <f>RANK(clean[[#This Row],[Clean Gold]],clean[Clean Gold], 0)</f>
        <v>304</v>
      </c>
      <c r="AQ325" s="1">
        <v>239</v>
      </c>
      <c r="AR325" s="1" t="str" cm="1">
        <f t="array" ref="AR325">_xlfn.IFS(clean[[#This Row],[Clean Level]]&gt;=76, "Legend", clean[[#This Row],[Clean Level]]&gt;=51, "Elite", clean[[#This Row],[Clean Level]]&gt;=26, "Veteran", TRUE, "Rookie")</f>
        <v>Elite</v>
      </c>
      <c r="AS325" s="1" t="str">
        <f>IF(RPG_dataset[[#This Row],[Status]]="Active", "TRUE", "FALSE")</f>
        <v>FALSE</v>
      </c>
      <c r="AT325" s="1" t="str" cm="1">
        <f t="array" ref="AT325">_xlfn.IFS(clean[[#This Row],[Clean Win Rate]]&gt;70, "Excellent", clean[[#This Row],[Clean Win Rate]]&gt;=40, "Average", TRUE, "Poor")</f>
        <v>Average</v>
      </c>
      <c r="AU325" s="1" t="str">
        <f>IF(AND(clean[[#This Row],[Clean Level]]&gt;80, clean[[#This Row],[Clean Total Stat]]&gt;350, clean[[#This Row],[Clean Gold]]&gt;500000), "Overpowered", "Normal")</f>
        <v>Normal</v>
      </c>
      <c r="AV325" s="1" t="str" cm="1">
        <f t="array" ref="AV32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25" s="1" t="str" cm="1">
        <f t="array" ref="AW32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25" s="1"/>
    </row>
    <row r="326" spans="1:50" x14ac:dyDescent="0.3">
      <c r="A326" s="2" t="s">
        <v>1154</v>
      </c>
      <c r="B326" s="2" t="s">
        <v>1155</v>
      </c>
      <c r="C326" s="2" t="s">
        <v>110</v>
      </c>
      <c r="D326" s="2" t="s">
        <v>155</v>
      </c>
      <c r="E326" s="2" t="s">
        <v>228</v>
      </c>
      <c r="F326" s="2" t="s">
        <v>42</v>
      </c>
      <c r="G326" s="2">
        <v>7</v>
      </c>
      <c r="H326" s="2" t="s">
        <v>53</v>
      </c>
      <c r="I326" s="2" t="s">
        <v>140</v>
      </c>
      <c r="J326" s="2" t="s">
        <v>92</v>
      </c>
      <c r="K326" s="2" t="s">
        <v>44</v>
      </c>
      <c r="L326" s="6" t="s">
        <v>1156</v>
      </c>
      <c r="M326" s="2">
        <v>27</v>
      </c>
      <c r="N326" s="2">
        <v>92</v>
      </c>
      <c r="O326" s="2"/>
      <c r="P326" s="2">
        <v>2599</v>
      </c>
      <c r="Q326" s="2">
        <v>1152</v>
      </c>
      <c r="R326" s="2">
        <v>146</v>
      </c>
      <c r="S326" s="2">
        <v>501</v>
      </c>
      <c r="T326" s="2">
        <v>15</v>
      </c>
      <c r="U326" s="2"/>
      <c r="V326" s="2">
        <v>97</v>
      </c>
      <c r="W326" s="2">
        <v>1632</v>
      </c>
      <c r="X326" s="9">
        <v>918853</v>
      </c>
      <c r="Y326" s="2" t="s">
        <v>36</v>
      </c>
      <c r="AA326" s="1" t="str">
        <f>TRIM(RPG_dataset[[#This Row],[Username]])</f>
        <v>tara_527</v>
      </c>
      <c r="AB326" s="1" t="str">
        <f>TRIM(RPG_dataset[[#This Row],[First Name]])</f>
        <v>Tara</v>
      </c>
      <c r="AC326" s="1" t="str">
        <f>PROPER(TRIM(RPG_dataset[[#This Row],[Race]]))</f>
        <v>Elf</v>
      </c>
      <c r="AD326" s="1" t="str">
        <f>PROPER(TRIM(RPG_dataset[[#This Row],[Class]]))</f>
        <v>Monk</v>
      </c>
      <c r="AE326" s="1">
        <f>ABS(RPG_dataset[[#This Row],[Level]])</f>
        <v>7</v>
      </c>
      <c r="AF326" s="1">
        <f>ABS(RPG_dataset[[#This Row],[ATK]])</f>
        <v>27</v>
      </c>
      <c r="AG326" s="1">
        <f>ABS(RPG_dataset[[#This Row],[DEF]])</f>
        <v>92</v>
      </c>
      <c r="AH326" s="1">
        <f>ABS(RPG_dataset[[#This Row],[SPD]])</f>
        <v>0</v>
      </c>
      <c r="AI326" s="1">
        <f>ABS(RPG_dataset[[#This Row],[HP]])</f>
        <v>2599</v>
      </c>
      <c r="AJ326" s="1">
        <f>ABS(RPG_dataset[[#This Row],[MP]])</f>
        <v>1152</v>
      </c>
      <c r="AK326" s="1">
        <f>ABS(RPG_dataset[[#This Row],[Total Stat]])</f>
        <v>146</v>
      </c>
      <c r="AL326" s="1">
        <f>ABS(RPG_dataset[[#This Row],[Kills]])</f>
        <v>501</v>
      </c>
      <c r="AM326" s="12">
        <f>ABS(RPG_dataset[[#This Row],[Win Rate (%)]])</f>
        <v>97</v>
      </c>
      <c r="AN326" s="4">
        <f>ABS(RPG_dataset[[#This Row],[Gold Earned]])</f>
        <v>918853</v>
      </c>
      <c r="AO326" s="5" t="str">
        <f t="shared" si="5"/>
        <v>OK</v>
      </c>
      <c r="AP326" s="5">
        <f>RANK(clean[[#This Row],[Clean Gold]],clean[Clean Gold], 0)</f>
        <v>43</v>
      </c>
      <c r="AQ326" s="1"/>
      <c r="AR326" s="1" t="str" cm="1">
        <f t="array" ref="AR326">_xlfn.IFS(clean[[#This Row],[Clean Level]]&gt;=76, "Legend", clean[[#This Row],[Clean Level]]&gt;=51, "Elite", clean[[#This Row],[Clean Level]]&gt;=26, "Veteran", TRUE, "Rookie")</f>
        <v>Rookie</v>
      </c>
      <c r="AS326" s="1" t="str">
        <f>IF(RPG_dataset[[#This Row],[Status]]="Active", "TRUE", "FALSE")</f>
        <v>TRUE</v>
      </c>
      <c r="AT326" s="1" t="str" cm="1">
        <f t="array" ref="AT326">_xlfn.IFS(clean[[#This Row],[Clean Win Rate]]&gt;70, "Excellent", clean[[#This Row],[Clean Win Rate]]&gt;=40, "Average", TRUE, "Poor")</f>
        <v>Excellent</v>
      </c>
      <c r="AU326" s="1" t="str">
        <f>IF(AND(clean[[#This Row],[Clean Level]]&gt;80, clean[[#This Row],[Clean Total Stat]]&gt;350, clean[[#This Row],[Clean Gold]]&gt;500000), "Overpowered", "Normal")</f>
        <v>Normal</v>
      </c>
      <c r="AV326" s="1" t="str" cm="1">
        <f t="array" ref="AV32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26" s="1" t="str" cm="1">
        <f t="array" ref="AW32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326" s="1"/>
    </row>
    <row r="327" spans="1:50" x14ac:dyDescent="0.3">
      <c r="A327" s="2" t="s">
        <v>1157</v>
      </c>
      <c r="B327" s="2" t="s">
        <v>1158</v>
      </c>
      <c r="C327" s="2" t="s">
        <v>39</v>
      </c>
      <c r="D327" s="2" t="s">
        <v>174</v>
      </c>
      <c r="E327" s="2" t="s">
        <v>41</v>
      </c>
      <c r="F327" s="2" t="s">
        <v>42</v>
      </c>
      <c r="G327" s="2">
        <v>87</v>
      </c>
      <c r="H327" s="2" t="s">
        <v>62</v>
      </c>
      <c r="I327" s="2" t="s">
        <v>74</v>
      </c>
      <c r="J327" s="2" t="s">
        <v>120</v>
      </c>
      <c r="K327" s="2" t="s">
        <v>106</v>
      </c>
      <c r="L327" s="6" t="s">
        <v>1159</v>
      </c>
      <c r="M327" s="2">
        <v>124</v>
      </c>
      <c r="N327" s="2">
        <v>62</v>
      </c>
      <c r="O327" s="2">
        <v>14</v>
      </c>
      <c r="P327" s="2">
        <v>2384</v>
      </c>
      <c r="Q327" s="2">
        <v>1074</v>
      </c>
      <c r="R327" s="2">
        <v>200</v>
      </c>
      <c r="S327" s="2"/>
      <c r="T327" s="2">
        <v>779</v>
      </c>
      <c r="U327" s="2">
        <v>54</v>
      </c>
      <c r="V327" s="2">
        <v>79</v>
      </c>
      <c r="W327" s="2">
        <v>2750</v>
      </c>
      <c r="X327" s="9">
        <v>586773</v>
      </c>
      <c r="Y327" s="2" t="s">
        <v>46</v>
      </c>
      <c r="AA327" s="1" t="str">
        <f>TRIM(RPG_dataset[[#This Row],[Username]])</f>
        <v>yara_996</v>
      </c>
      <c r="AB327" s="1" t="str">
        <f>TRIM(RPG_dataset[[#This Row],[First Name]])</f>
        <v>Yara</v>
      </c>
      <c r="AC327" s="1" t="str">
        <f>PROPER(TRIM(RPG_dataset[[#This Row],[Race]]))</f>
        <v>Gnome</v>
      </c>
      <c r="AD327" s="1" t="str">
        <f>PROPER(TRIM(RPG_dataset[[#This Row],[Class]]))</f>
        <v>Monk</v>
      </c>
      <c r="AE327" s="1">
        <f>ABS(RPG_dataset[[#This Row],[Level]])</f>
        <v>87</v>
      </c>
      <c r="AF327" s="1">
        <f>ABS(RPG_dataset[[#This Row],[ATK]])</f>
        <v>124</v>
      </c>
      <c r="AG327" s="1">
        <f>ABS(RPG_dataset[[#This Row],[DEF]])</f>
        <v>62</v>
      </c>
      <c r="AH327" s="1">
        <f>ABS(RPG_dataset[[#This Row],[SPD]])</f>
        <v>14</v>
      </c>
      <c r="AI327" s="1">
        <f>ABS(RPG_dataset[[#This Row],[HP]])</f>
        <v>2384</v>
      </c>
      <c r="AJ327" s="1">
        <f>ABS(RPG_dataset[[#This Row],[MP]])</f>
        <v>1074</v>
      </c>
      <c r="AK327" s="1">
        <f>ABS(RPG_dataset[[#This Row],[Total Stat]])</f>
        <v>200</v>
      </c>
      <c r="AL327" s="1">
        <f>ABS(RPG_dataset[[#This Row],[Kills]])</f>
        <v>0</v>
      </c>
      <c r="AM327" s="12">
        <f>ABS(RPG_dataset[[#This Row],[Win Rate (%)]])</f>
        <v>79</v>
      </c>
      <c r="AN327" s="4">
        <f>ABS(RPG_dataset[[#This Row],[Gold Earned]])</f>
        <v>586773</v>
      </c>
      <c r="AO327" s="5" t="str">
        <f t="shared" si="5"/>
        <v>Fix This</v>
      </c>
      <c r="AP327" s="5">
        <f>RANK(clean[[#This Row],[Clean Gold]],clean[Clean Gold], 0)</f>
        <v>207</v>
      </c>
      <c r="AQ327" s="1">
        <v>342</v>
      </c>
      <c r="AR327" s="1" t="str" cm="1">
        <f t="array" ref="AR327">_xlfn.IFS(clean[[#This Row],[Clean Level]]&gt;=76, "Legend", clean[[#This Row],[Clean Level]]&gt;=51, "Elite", clean[[#This Row],[Clean Level]]&gt;=26, "Veteran", TRUE, "Rookie")</f>
        <v>Legend</v>
      </c>
      <c r="AS327" s="1" t="str">
        <f>IF(RPG_dataset[[#This Row],[Status]]="Active", "TRUE", "FALSE")</f>
        <v>FALSE</v>
      </c>
      <c r="AT327" s="1" t="str" cm="1">
        <f t="array" ref="AT327">_xlfn.IFS(clean[[#This Row],[Clean Win Rate]]&gt;70, "Excellent", clean[[#This Row],[Clean Win Rate]]&gt;=40, "Average", TRUE, "Poor")</f>
        <v>Excellent</v>
      </c>
      <c r="AU327" s="1" t="str">
        <f>IF(AND(clean[[#This Row],[Clean Level]]&gt;80, clean[[#This Row],[Clean Total Stat]]&gt;350, clean[[#This Row],[Clean Gold]]&gt;500000), "Overpowered", "Normal")</f>
        <v>Normal</v>
      </c>
      <c r="AV327" s="1" t="str" cm="1">
        <f t="array" ref="AV32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27" s="1" t="str" cm="1">
        <f t="array" ref="AW32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27" s="1"/>
    </row>
    <row r="328" spans="1:50" x14ac:dyDescent="0.3">
      <c r="A328" s="2" t="s">
        <v>1160</v>
      </c>
      <c r="B328" s="2" t="s">
        <v>1161</v>
      </c>
      <c r="C328" s="2" t="s">
        <v>276</v>
      </c>
      <c r="D328" s="2" t="s">
        <v>119</v>
      </c>
      <c r="E328" s="2" t="s">
        <v>71</v>
      </c>
      <c r="F328" s="2" t="s">
        <v>52</v>
      </c>
      <c r="G328" s="2">
        <v>39</v>
      </c>
      <c r="H328" s="2" t="s">
        <v>53</v>
      </c>
      <c r="I328" s="2" t="s">
        <v>63</v>
      </c>
      <c r="J328" s="2" t="s">
        <v>81</v>
      </c>
      <c r="K328" s="2" t="s">
        <v>99</v>
      </c>
      <c r="L328" s="6" t="s">
        <v>1162</v>
      </c>
      <c r="M328" s="2">
        <v>68</v>
      </c>
      <c r="N328" s="2">
        <v>21</v>
      </c>
      <c r="O328" s="2">
        <v>34</v>
      </c>
      <c r="P328" s="2">
        <v>4876</v>
      </c>
      <c r="Q328" s="2">
        <v>2130</v>
      </c>
      <c r="R328" s="2">
        <v>123</v>
      </c>
      <c r="S328" s="2">
        <v>4392</v>
      </c>
      <c r="T328" s="2">
        <v>8</v>
      </c>
      <c r="U328" s="2">
        <v>136</v>
      </c>
      <c r="V328" s="2">
        <v>100</v>
      </c>
      <c r="W328" s="2">
        <v>1377</v>
      </c>
      <c r="X328" s="9">
        <v>58665</v>
      </c>
      <c r="Y328" s="2" t="s">
        <v>46</v>
      </c>
      <c r="AA328" s="1" t="str">
        <f>TRIM(RPG_dataset[[#This Row],[Username]])</f>
        <v>brynn_324</v>
      </c>
      <c r="AB328" s="1" t="str">
        <f>TRIM(RPG_dataset[[#This Row],[First Name]])</f>
        <v>Brynn</v>
      </c>
      <c r="AC328" s="1" t="str">
        <f>PROPER(TRIM(RPG_dataset[[#This Row],[Race]]))</f>
        <v>Dragonborn</v>
      </c>
      <c r="AD328" s="1" t="str">
        <f>PROPER(TRIM(RPG_dataset[[#This Row],[Class]]))</f>
        <v>Bard</v>
      </c>
      <c r="AE328" s="1">
        <f>ABS(RPG_dataset[[#This Row],[Level]])</f>
        <v>39</v>
      </c>
      <c r="AF328" s="1">
        <f>ABS(RPG_dataset[[#This Row],[ATK]])</f>
        <v>68</v>
      </c>
      <c r="AG328" s="1">
        <f>ABS(RPG_dataset[[#This Row],[DEF]])</f>
        <v>21</v>
      </c>
      <c r="AH328" s="1">
        <f>ABS(RPG_dataset[[#This Row],[SPD]])</f>
        <v>34</v>
      </c>
      <c r="AI328" s="1">
        <f>ABS(RPG_dataset[[#This Row],[HP]])</f>
        <v>4876</v>
      </c>
      <c r="AJ328" s="1">
        <f>ABS(RPG_dataset[[#This Row],[MP]])</f>
        <v>2130</v>
      </c>
      <c r="AK328" s="1">
        <f>ABS(RPG_dataset[[#This Row],[Total Stat]])</f>
        <v>123</v>
      </c>
      <c r="AL328" s="1">
        <f>ABS(RPG_dataset[[#This Row],[Kills]])</f>
        <v>4392</v>
      </c>
      <c r="AM328" s="12">
        <f>ABS(RPG_dataset[[#This Row],[Win Rate (%)]])</f>
        <v>100</v>
      </c>
      <c r="AN328" s="4">
        <f>ABS(RPG_dataset[[#This Row],[Gold Earned]])</f>
        <v>58665</v>
      </c>
      <c r="AO328" s="5" t="str">
        <f t="shared" si="5"/>
        <v>OK</v>
      </c>
      <c r="AP328" s="5">
        <f>RANK(clean[[#This Row],[Clean Gold]],clean[Clean Gold], 0)</f>
        <v>455</v>
      </c>
      <c r="AQ328" s="1">
        <v>377</v>
      </c>
      <c r="AR328" s="1" t="str" cm="1">
        <f t="array" ref="AR328">_xlfn.IFS(clean[[#This Row],[Clean Level]]&gt;=76, "Legend", clean[[#This Row],[Clean Level]]&gt;=51, "Elite", clean[[#This Row],[Clean Level]]&gt;=26, "Veteran", TRUE, "Rookie")</f>
        <v>Veteran</v>
      </c>
      <c r="AS328" s="1" t="str">
        <f>IF(RPG_dataset[[#This Row],[Status]]="Active", "TRUE", "FALSE")</f>
        <v>FALSE</v>
      </c>
      <c r="AT328" s="1" t="str" cm="1">
        <f t="array" ref="AT328">_xlfn.IFS(clean[[#This Row],[Clean Win Rate]]&gt;70, "Excellent", clean[[#This Row],[Clean Win Rate]]&gt;=40, "Average", TRUE, "Poor")</f>
        <v>Excellent</v>
      </c>
      <c r="AU328" s="1" t="str">
        <f>IF(AND(clean[[#This Row],[Clean Level]]&gt;80, clean[[#This Row],[Clean Total Stat]]&gt;350, clean[[#This Row],[Clean Gold]]&gt;500000), "Overpowered", "Normal")</f>
        <v>Normal</v>
      </c>
      <c r="AV328" s="1" t="str" cm="1">
        <f t="array" ref="AV32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28" s="1" t="str" cm="1">
        <f t="array" ref="AW32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28" s="1"/>
    </row>
    <row r="329" spans="1:50" x14ac:dyDescent="0.3">
      <c r="A329" s="2" t="s">
        <v>1163</v>
      </c>
      <c r="B329" s="2" t="s">
        <v>1164</v>
      </c>
      <c r="C329" s="2" t="s">
        <v>543</v>
      </c>
      <c r="D329" s="2" t="s">
        <v>250</v>
      </c>
      <c r="E329" s="2" t="s">
        <v>169</v>
      </c>
      <c r="F329" s="2" t="s">
        <v>75</v>
      </c>
      <c r="G329" s="2">
        <v>29</v>
      </c>
      <c r="H329" s="2" t="s">
        <v>80</v>
      </c>
      <c r="I329" s="2" t="s">
        <v>126</v>
      </c>
      <c r="J329" s="2" t="s">
        <v>88</v>
      </c>
      <c r="K329" s="2" t="s">
        <v>44</v>
      </c>
      <c r="L329" s="6" t="s">
        <v>1165</v>
      </c>
      <c r="M329" s="2">
        <v>25</v>
      </c>
      <c r="N329" s="2">
        <v>40</v>
      </c>
      <c r="O329" s="2">
        <v>21</v>
      </c>
      <c r="P329" s="2">
        <v>3752</v>
      </c>
      <c r="Q329" s="2">
        <v>275</v>
      </c>
      <c r="R329" s="2">
        <v>86</v>
      </c>
      <c r="S329" s="2">
        <v>4781</v>
      </c>
      <c r="T329" s="2">
        <v>473</v>
      </c>
      <c r="U329" s="2">
        <v>107</v>
      </c>
      <c r="V329" s="2">
        <v>91</v>
      </c>
      <c r="W329" s="2">
        <v>1308</v>
      </c>
      <c r="X329" s="9">
        <v>444766</v>
      </c>
      <c r="Y329" s="2" t="s">
        <v>46</v>
      </c>
      <c r="AA329" s="1" t="str">
        <f>TRIM(RPG_dataset[[#This Row],[Username]])</f>
        <v>mora_253</v>
      </c>
      <c r="AB329" s="1" t="str">
        <f>TRIM(RPG_dataset[[#This Row],[First Name]])</f>
        <v>Mora</v>
      </c>
      <c r="AC329" s="1" t="str">
        <f>PROPER(TRIM(RPG_dataset[[#This Row],[Race]]))</f>
        <v>Halfling</v>
      </c>
      <c r="AD329" s="1" t="str">
        <f>PROPER(TRIM(RPG_dataset[[#This Row],[Class]]))</f>
        <v/>
      </c>
      <c r="AE329" s="1">
        <f>ABS(RPG_dataset[[#This Row],[Level]])</f>
        <v>29</v>
      </c>
      <c r="AF329" s="1">
        <f>ABS(RPG_dataset[[#This Row],[ATK]])</f>
        <v>25</v>
      </c>
      <c r="AG329" s="1">
        <f>ABS(RPG_dataset[[#This Row],[DEF]])</f>
        <v>40</v>
      </c>
      <c r="AH329" s="1">
        <f>ABS(RPG_dataset[[#This Row],[SPD]])</f>
        <v>21</v>
      </c>
      <c r="AI329" s="1">
        <f>ABS(RPG_dataset[[#This Row],[HP]])</f>
        <v>3752</v>
      </c>
      <c r="AJ329" s="1">
        <f>ABS(RPG_dataset[[#This Row],[MP]])</f>
        <v>275</v>
      </c>
      <c r="AK329" s="1">
        <f>ABS(RPG_dataset[[#This Row],[Total Stat]])</f>
        <v>86</v>
      </c>
      <c r="AL329" s="1">
        <f>ABS(RPG_dataset[[#This Row],[Kills]])</f>
        <v>4781</v>
      </c>
      <c r="AM329" s="12">
        <f>ABS(RPG_dataset[[#This Row],[Win Rate (%)]])</f>
        <v>91</v>
      </c>
      <c r="AN329" s="4">
        <f>ABS(RPG_dataset[[#This Row],[Gold Earned]])</f>
        <v>444766</v>
      </c>
      <c r="AO329" s="5" t="str">
        <f t="shared" si="5"/>
        <v>OK</v>
      </c>
      <c r="AP329" s="5">
        <f>RANK(clean[[#This Row],[Clean Gold]],clean[Clean Gold], 0)</f>
        <v>283</v>
      </c>
      <c r="AQ329" s="1">
        <v>188</v>
      </c>
      <c r="AR329" s="1" t="str" cm="1">
        <f t="array" ref="AR329">_xlfn.IFS(clean[[#This Row],[Clean Level]]&gt;=76, "Legend", clean[[#This Row],[Clean Level]]&gt;=51, "Elite", clean[[#This Row],[Clean Level]]&gt;=26, "Veteran", TRUE, "Rookie")</f>
        <v>Veteran</v>
      </c>
      <c r="AS329" s="1" t="str">
        <f>IF(RPG_dataset[[#This Row],[Status]]="Active", "TRUE", "FALSE")</f>
        <v>TRUE</v>
      </c>
      <c r="AT329" s="1" t="str" cm="1">
        <f t="array" ref="AT329">_xlfn.IFS(clean[[#This Row],[Clean Win Rate]]&gt;70, "Excellent", clean[[#This Row],[Clean Win Rate]]&gt;=40, "Average", TRUE, "Poor")</f>
        <v>Excellent</v>
      </c>
      <c r="AU329" s="1" t="str">
        <f>IF(AND(clean[[#This Row],[Clean Level]]&gt;80, clean[[#This Row],[Clean Total Stat]]&gt;350, clean[[#This Row],[Clean Gold]]&gt;500000), "Overpowered", "Normal")</f>
        <v>Normal</v>
      </c>
      <c r="AV329" s="1" t="str" cm="1">
        <f t="array" ref="AV32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29" s="1" t="str" cm="1">
        <f t="array" ref="AW32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29" s="1"/>
    </row>
    <row r="330" spans="1:50" x14ac:dyDescent="0.3">
      <c r="A330" s="2" t="s">
        <v>1166</v>
      </c>
      <c r="B330" s="2" t="s">
        <v>1167</v>
      </c>
      <c r="C330" s="2" t="s">
        <v>1168</v>
      </c>
      <c r="D330" s="2" t="s">
        <v>131</v>
      </c>
      <c r="E330" s="2" t="s">
        <v>60</v>
      </c>
      <c r="F330" s="2" t="s">
        <v>42</v>
      </c>
      <c r="G330" s="2">
        <v>84</v>
      </c>
      <c r="H330" s="2" t="s">
        <v>157</v>
      </c>
      <c r="I330" s="2" t="s">
        <v>54</v>
      </c>
      <c r="J330" s="2" t="s">
        <v>33</v>
      </c>
      <c r="K330" s="2" t="s">
        <v>44</v>
      </c>
      <c r="L330" s="6" t="s">
        <v>609</v>
      </c>
      <c r="M330" s="2">
        <v>50</v>
      </c>
      <c r="N330" s="2">
        <v>149</v>
      </c>
      <c r="O330" s="2">
        <v>62</v>
      </c>
      <c r="P330" s="2"/>
      <c r="Q330" s="2">
        <v>2560</v>
      </c>
      <c r="R330" s="2">
        <v>261</v>
      </c>
      <c r="S330" s="2">
        <v>2844</v>
      </c>
      <c r="T330" s="2">
        <v>843</v>
      </c>
      <c r="U330" s="2">
        <v>187</v>
      </c>
      <c r="V330" s="2">
        <v>77</v>
      </c>
      <c r="W330" s="2">
        <v>4645</v>
      </c>
      <c r="X330" s="2"/>
      <c r="Y330" s="2" t="s">
        <v>36</v>
      </c>
      <c r="AA330" s="1" t="str">
        <f>TRIM(RPG_dataset[[#This Row],[Username]])</f>
        <v>nova_147</v>
      </c>
      <c r="AB330" s="1" t="str">
        <f>TRIM(RPG_dataset[[#This Row],[First Name]])</f>
        <v>NOVA</v>
      </c>
      <c r="AC330" s="1" t="str">
        <f>PROPER(TRIM(RPG_dataset[[#This Row],[Race]]))</f>
        <v>Human</v>
      </c>
      <c r="AD330" s="1" t="str">
        <f>PROPER(TRIM(RPG_dataset[[#This Row],[Class]]))</f>
        <v>Monk</v>
      </c>
      <c r="AE330" s="1">
        <f>ABS(RPG_dataset[[#This Row],[Level]])</f>
        <v>84</v>
      </c>
      <c r="AF330" s="1">
        <f>ABS(RPG_dataset[[#This Row],[ATK]])</f>
        <v>50</v>
      </c>
      <c r="AG330" s="1">
        <f>ABS(RPG_dataset[[#This Row],[DEF]])</f>
        <v>149</v>
      </c>
      <c r="AH330" s="1">
        <f>ABS(RPG_dataset[[#This Row],[SPD]])</f>
        <v>62</v>
      </c>
      <c r="AI330" s="1">
        <f>ABS(RPG_dataset[[#This Row],[HP]])</f>
        <v>0</v>
      </c>
      <c r="AJ330" s="1">
        <f>ABS(RPG_dataset[[#This Row],[MP]])</f>
        <v>2560</v>
      </c>
      <c r="AK330" s="1">
        <f>ABS(RPG_dataset[[#This Row],[Total Stat]])</f>
        <v>261</v>
      </c>
      <c r="AL330" s="1">
        <f>ABS(RPG_dataset[[#This Row],[Kills]])</f>
        <v>2844</v>
      </c>
      <c r="AM330" s="12">
        <f>ABS(RPG_dataset[[#This Row],[Win Rate (%)]])</f>
        <v>77</v>
      </c>
      <c r="AN330" s="4">
        <f>ABS(RPG_dataset[[#This Row],[Gold Earned]])</f>
        <v>0</v>
      </c>
      <c r="AO330" s="5" t="str">
        <f t="shared" si="5"/>
        <v>OK</v>
      </c>
      <c r="AP330" s="5">
        <f>RANK(clean[[#This Row],[Clean Gold]],clean[Clean Gold], 0)</f>
        <v>486</v>
      </c>
      <c r="AQ330" s="1"/>
      <c r="AR330" s="1" t="str" cm="1">
        <f t="array" ref="AR330">_xlfn.IFS(clean[[#This Row],[Clean Level]]&gt;=76, "Legend", clean[[#This Row],[Clean Level]]&gt;=51, "Elite", clean[[#This Row],[Clean Level]]&gt;=26, "Veteran", TRUE, "Rookie")</f>
        <v>Legend</v>
      </c>
      <c r="AS330" s="1" t="str">
        <f>IF(RPG_dataset[[#This Row],[Status]]="Active", "TRUE", "FALSE")</f>
        <v>TRUE</v>
      </c>
      <c r="AT330" s="1" t="str" cm="1">
        <f t="array" ref="AT330">_xlfn.IFS(clean[[#This Row],[Clean Win Rate]]&gt;70, "Excellent", clean[[#This Row],[Clean Win Rate]]&gt;=40, "Average", TRUE, "Poor")</f>
        <v>Excellent</v>
      </c>
      <c r="AU330" s="1" t="str">
        <f>IF(AND(clean[[#This Row],[Clean Level]]&gt;80, clean[[#This Row],[Clean Total Stat]]&gt;350, clean[[#This Row],[Clean Gold]]&gt;500000), "Overpowered", "Normal")</f>
        <v>Normal</v>
      </c>
      <c r="AV330" s="1" t="str" cm="1">
        <f t="array" ref="AV330">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330" s="1" t="str" cm="1">
        <f t="array" ref="AW33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330" s="1"/>
    </row>
    <row r="331" spans="1:50" x14ac:dyDescent="0.3">
      <c r="A331" s="2" t="s">
        <v>1169</v>
      </c>
      <c r="B331" s="2" t="s">
        <v>1170</v>
      </c>
      <c r="C331" s="2" t="s">
        <v>97</v>
      </c>
      <c r="D331" s="2" t="s">
        <v>75</v>
      </c>
      <c r="E331" s="2" t="s">
        <v>105</v>
      </c>
      <c r="F331" s="2" t="s">
        <v>72</v>
      </c>
      <c r="G331" s="2">
        <v>47</v>
      </c>
      <c r="H331" s="2" t="s">
        <v>53</v>
      </c>
      <c r="I331" s="2" t="s">
        <v>126</v>
      </c>
      <c r="J331" s="2" t="s">
        <v>33</v>
      </c>
      <c r="K331" s="2" t="s">
        <v>44</v>
      </c>
      <c r="L331" s="6" t="s">
        <v>555</v>
      </c>
      <c r="M331" s="2">
        <v>38</v>
      </c>
      <c r="N331" s="2">
        <v>130</v>
      </c>
      <c r="O331" s="2">
        <v>62</v>
      </c>
      <c r="P331" s="2">
        <v>2602</v>
      </c>
      <c r="Q331" s="2"/>
      <c r="R331" s="2">
        <v>230</v>
      </c>
      <c r="S331" s="2">
        <v>402</v>
      </c>
      <c r="T331" s="2">
        <v>32</v>
      </c>
      <c r="U331" s="2">
        <v>190</v>
      </c>
      <c r="V331" s="2">
        <v>93</v>
      </c>
      <c r="W331" s="2">
        <v>2942</v>
      </c>
      <c r="X331" s="9">
        <v>612849</v>
      </c>
      <c r="Y331" s="2" t="s">
        <v>46</v>
      </c>
      <c r="AA331" s="1" t="str">
        <f>TRIM(RPG_dataset[[#This Row],[Username]])</f>
        <v>hana_392</v>
      </c>
      <c r="AB331" s="1" t="str">
        <f>TRIM(RPG_dataset[[#This Row],[First Name]])</f>
        <v>Hana</v>
      </c>
      <c r="AC331" s="1" t="str">
        <f>PROPER(TRIM(RPG_dataset[[#This Row],[Race]]))</f>
        <v>Orc</v>
      </c>
      <c r="AD331" s="1" t="str">
        <f>PROPER(TRIM(RPG_dataset[[#This Row],[Class]]))</f>
        <v>Warrior</v>
      </c>
      <c r="AE331" s="1">
        <f>ABS(RPG_dataset[[#This Row],[Level]])</f>
        <v>47</v>
      </c>
      <c r="AF331" s="1">
        <f>ABS(RPG_dataset[[#This Row],[ATK]])</f>
        <v>38</v>
      </c>
      <c r="AG331" s="1">
        <f>ABS(RPG_dataset[[#This Row],[DEF]])</f>
        <v>130</v>
      </c>
      <c r="AH331" s="1">
        <f>ABS(RPG_dataset[[#This Row],[SPD]])</f>
        <v>62</v>
      </c>
      <c r="AI331" s="1">
        <f>ABS(RPG_dataset[[#This Row],[HP]])</f>
        <v>2602</v>
      </c>
      <c r="AJ331" s="1">
        <f>ABS(RPG_dataset[[#This Row],[MP]])</f>
        <v>0</v>
      </c>
      <c r="AK331" s="1">
        <f>ABS(RPG_dataset[[#This Row],[Total Stat]])</f>
        <v>230</v>
      </c>
      <c r="AL331" s="1">
        <f>ABS(RPG_dataset[[#This Row],[Kills]])</f>
        <v>402</v>
      </c>
      <c r="AM331" s="12">
        <f>ABS(RPG_dataset[[#This Row],[Win Rate (%)]])</f>
        <v>93</v>
      </c>
      <c r="AN331" s="4">
        <f>ABS(RPG_dataset[[#This Row],[Gold Earned]])</f>
        <v>612849</v>
      </c>
      <c r="AO331" s="5" t="str">
        <f t="shared" si="5"/>
        <v>OK</v>
      </c>
      <c r="AP331" s="5">
        <f>RANK(clean[[#This Row],[Clean Gold]],clean[Clean Gold], 0)</f>
        <v>194</v>
      </c>
      <c r="AQ331" s="1">
        <v>385</v>
      </c>
      <c r="AR331" s="1" t="str" cm="1">
        <f t="array" ref="AR331">_xlfn.IFS(clean[[#This Row],[Clean Level]]&gt;=76, "Legend", clean[[#This Row],[Clean Level]]&gt;=51, "Elite", clean[[#This Row],[Clean Level]]&gt;=26, "Veteran", TRUE, "Rookie")</f>
        <v>Veteran</v>
      </c>
      <c r="AS331" s="1" t="str">
        <f>IF(RPG_dataset[[#This Row],[Status]]="Active", "TRUE", "FALSE")</f>
        <v>TRUE</v>
      </c>
      <c r="AT331" s="1" t="str" cm="1">
        <f t="array" ref="AT331">_xlfn.IFS(clean[[#This Row],[Clean Win Rate]]&gt;70, "Excellent", clean[[#This Row],[Clean Win Rate]]&gt;=40, "Average", TRUE, "Poor")</f>
        <v>Excellent</v>
      </c>
      <c r="AU331" s="1" t="str">
        <f>IF(AND(clean[[#This Row],[Clean Level]]&gt;80, clean[[#This Row],[Clean Total Stat]]&gt;350, clean[[#This Row],[Clean Gold]]&gt;500000), "Overpowered", "Normal")</f>
        <v>Normal</v>
      </c>
      <c r="AV331" s="1" t="str" cm="1">
        <f t="array" ref="AV33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31" s="1" t="str" cm="1">
        <f t="array" ref="AW33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31" s="1"/>
    </row>
    <row r="332" spans="1:50" x14ac:dyDescent="0.3">
      <c r="A332" s="2" t="s">
        <v>1171</v>
      </c>
      <c r="B332" s="2" t="s">
        <v>1172</v>
      </c>
      <c r="C332" s="2" t="s">
        <v>173</v>
      </c>
      <c r="D332" s="2" t="s">
        <v>618</v>
      </c>
      <c r="E332" s="2" t="s">
        <v>169</v>
      </c>
      <c r="F332" s="2" t="s">
        <v>61</v>
      </c>
      <c r="G332" s="2">
        <v>49</v>
      </c>
      <c r="H332" s="2" t="s">
        <v>53</v>
      </c>
      <c r="I332" s="2" t="s">
        <v>63</v>
      </c>
      <c r="J332" s="2" t="s">
        <v>92</v>
      </c>
      <c r="K332" s="2" t="s">
        <v>99</v>
      </c>
      <c r="L332" s="6" t="s">
        <v>1173</v>
      </c>
      <c r="M332" s="2">
        <v>28</v>
      </c>
      <c r="N332" s="2">
        <v>58</v>
      </c>
      <c r="O332" s="2">
        <v>91</v>
      </c>
      <c r="P332" s="2">
        <v>624</v>
      </c>
      <c r="Q332" s="2"/>
      <c r="R332" s="2">
        <v>177</v>
      </c>
      <c r="S332" s="2">
        <v>1707</v>
      </c>
      <c r="T332" s="2">
        <v>990</v>
      </c>
      <c r="U332" s="2">
        <v>246</v>
      </c>
      <c r="V332" s="2">
        <v>63</v>
      </c>
      <c r="W332" s="2">
        <v>1759</v>
      </c>
      <c r="X332" s="9">
        <v>-173315</v>
      </c>
      <c r="Y332" s="2" t="s">
        <v>36</v>
      </c>
      <c r="AA332" s="1" t="str">
        <f>TRIM(RPG_dataset[[#This Row],[Username]])</f>
        <v>rosa_758</v>
      </c>
      <c r="AB332" s="1" t="str">
        <f>TRIM(RPG_dataset[[#This Row],[First Name]])</f>
        <v>Rosa</v>
      </c>
      <c r="AC332" s="1" t="str">
        <f>PROPER(TRIM(RPG_dataset[[#This Row],[Race]]))</f>
        <v>Halfling</v>
      </c>
      <c r="AD332" s="1" t="str">
        <f>PROPER(TRIM(RPG_dataset[[#This Row],[Class]]))</f>
        <v>Ranger</v>
      </c>
      <c r="AE332" s="1">
        <f>ABS(RPG_dataset[[#This Row],[Level]])</f>
        <v>49</v>
      </c>
      <c r="AF332" s="1">
        <f>ABS(RPG_dataset[[#This Row],[ATK]])</f>
        <v>28</v>
      </c>
      <c r="AG332" s="1">
        <f>ABS(RPG_dataset[[#This Row],[DEF]])</f>
        <v>58</v>
      </c>
      <c r="AH332" s="1">
        <f>ABS(RPG_dataset[[#This Row],[SPD]])</f>
        <v>91</v>
      </c>
      <c r="AI332" s="1">
        <f>ABS(RPG_dataset[[#This Row],[HP]])</f>
        <v>624</v>
      </c>
      <c r="AJ332" s="1">
        <f>ABS(RPG_dataset[[#This Row],[MP]])</f>
        <v>0</v>
      </c>
      <c r="AK332" s="1">
        <f>ABS(RPG_dataset[[#This Row],[Total Stat]])</f>
        <v>177</v>
      </c>
      <c r="AL332" s="1">
        <f>ABS(RPG_dataset[[#This Row],[Kills]])</f>
        <v>1707</v>
      </c>
      <c r="AM332" s="12">
        <f>ABS(RPG_dataset[[#This Row],[Win Rate (%)]])</f>
        <v>63</v>
      </c>
      <c r="AN332" s="4">
        <f>ABS(RPG_dataset[[#This Row],[Gold Earned]])</f>
        <v>173315</v>
      </c>
      <c r="AO332" s="5" t="str">
        <f t="shared" si="5"/>
        <v>OK</v>
      </c>
      <c r="AP332" s="5">
        <f>RANK(clean[[#This Row],[Clean Gold]],clean[Clean Gold], 0)</f>
        <v>413</v>
      </c>
      <c r="AQ332" s="1">
        <v>239</v>
      </c>
      <c r="AR332" s="1" t="str" cm="1">
        <f t="array" ref="AR332">_xlfn.IFS(clean[[#This Row],[Clean Level]]&gt;=76, "Legend", clean[[#This Row],[Clean Level]]&gt;=51, "Elite", clean[[#This Row],[Clean Level]]&gt;=26, "Veteran", TRUE, "Rookie")</f>
        <v>Veteran</v>
      </c>
      <c r="AS332" s="1" t="str">
        <f>IF(RPG_dataset[[#This Row],[Status]]="Active", "TRUE", "FALSE")</f>
        <v>FALSE</v>
      </c>
      <c r="AT332" s="1" t="str" cm="1">
        <f t="array" ref="AT332">_xlfn.IFS(clean[[#This Row],[Clean Win Rate]]&gt;70, "Excellent", clean[[#This Row],[Clean Win Rate]]&gt;=40, "Average", TRUE, "Poor")</f>
        <v>Average</v>
      </c>
      <c r="AU332" s="1" t="str">
        <f>IF(AND(clean[[#This Row],[Clean Level]]&gt;80, clean[[#This Row],[Clean Total Stat]]&gt;350, clean[[#This Row],[Clean Gold]]&gt;500000), "Overpowered", "Normal")</f>
        <v>Normal</v>
      </c>
      <c r="AV332" s="1" t="str" cm="1">
        <f t="array" ref="AV33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32" s="1" t="str" cm="1">
        <f t="array" ref="AW33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32" s="1"/>
    </row>
    <row r="333" spans="1:50" x14ac:dyDescent="0.3">
      <c r="A333" s="2" t="s">
        <v>1174</v>
      </c>
      <c r="B333" s="2" t="s">
        <v>1175</v>
      </c>
      <c r="C333" s="2" t="s">
        <v>39</v>
      </c>
      <c r="D333" s="2" t="s">
        <v>40</v>
      </c>
      <c r="E333" s="2" t="s">
        <v>1176</v>
      </c>
      <c r="F333" s="2" t="s">
        <v>30</v>
      </c>
      <c r="G333" s="2">
        <v>34</v>
      </c>
      <c r="H333" s="2" t="s">
        <v>73</v>
      </c>
      <c r="I333" s="2" t="s">
        <v>32</v>
      </c>
      <c r="J333" s="2" t="s">
        <v>88</v>
      </c>
      <c r="K333" s="2" t="s">
        <v>106</v>
      </c>
      <c r="L333" s="6" t="s">
        <v>690</v>
      </c>
      <c r="M333" s="2">
        <v>75</v>
      </c>
      <c r="N333" s="2">
        <v>115</v>
      </c>
      <c r="O333" s="2">
        <v>49</v>
      </c>
      <c r="P333" s="2">
        <v>648</v>
      </c>
      <c r="Q333" s="2">
        <v>1163</v>
      </c>
      <c r="R333" s="2">
        <v>239</v>
      </c>
      <c r="S333" s="2">
        <v>2838</v>
      </c>
      <c r="T333" s="2">
        <v>706</v>
      </c>
      <c r="U333" s="2">
        <v>236</v>
      </c>
      <c r="V333" s="2">
        <v>80</v>
      </c>
      <c r="W333" s="2">
        <v>3423</v>
      </c>
      <c r="X333" s="9">
        <v>400882</v>
      </c>
      <c r="Y333" s="2" t="s">
        <v>46</v>
      </c>
      <c r="AA333" s="1" t="str">
        <f>TRIM(RPG_dataset[[#This Row],[Username]])</f>
        <v>yara_866</v>
      </c>
      <c r="AB333" s="1" t="str">
        <f>TRIM(RPG_dataset[[#This Row],[First Name]])</f>
        <v>Yara</v>
      </c>
      <c r="AC333" s="1" t="str">
        <f>PROPER(TRIM(RPG_dataset[[#This Row],[Race]]))</f>
        <v>Human</v>
      </c>
      <c r="AD333" s="1" t="str">
        <f>PROPER(TRIM(RPG_dataset[[#This Row],[Class]]))</f>
        <v>Rogue</v>
      </c>
      <c r="AE333" s="1">
        <f>ABS(RPG_dataset[[#This Row],[Level]])</f>
        <v>34</v>
      </c>
      <c r="AF333" s="1">
        <f>ABS(RPG_dataset[[#This Row],[ATK]])</f>
        <v>75</v>
      </c>
      <c r="AG333" s="1">
        <f>ABS(RPG_dataset[[#This Row],[DEF]])</f>
        <v>115</v>
      </c>
      <c r="AH333" s="1">
        <f>ABS(RPG_dataset[[#This Row],[SPD]])</f>
        <v>49</v>
      </c>
      <c r="AI333" s="1">
        <f>ABS(RPG_dataset[[#This Row],[HP]])</f>
        <v>648</v>
      </c>
      <c r="AJ333" s="1">
        <f>ABS(RPG_dataset[[#This Row],[MP]])</f>
        <v>1163</v>
      </c>
      <c r="AK333" s="1">
        <f>ABS(RPG_dataset[[#This Row],[Total Stat]])</f>
        <v>239</v>
      </c>
      <c r="AL333" s="1">
        <f>ABS(RPG_dataset[[#This Row],[Kills]])</f>
        <v>2838</v>
      </c>
      <c r="AM333" s="12">
        <f>ABS(RPG_dataset[[#This Row],[Win Rate (%)]])</f>
        <v>80</v>
      </c>
      <c r="AN333" s="4">
        <f>ABS(RPG_dataset[[#This Row],[Gold Earned]])</f>
        <v>400882</v>
      </c>
      <c r="AO333" s="5" t="str">
        <f t="shared" si="5"/>
        <v>OK</v>
      </c>
      <c r="AP333" s="5">
        <f>RANK(clean[[#This Row],[Clean Gold]],clean[Clean Gold], 0)</f>
        <v>302</v>
      </c>
      <c r="AQ333" s="1">
        <v>132</v>
      </c>
      <c r="AR333" s="1" t="str" cm="1">
        <f t="array" ref="AR333">_xlfn.IFS(clean[[#This Row],[Clean Level]]&gt;=76, "Legend", clean[[#This Row],[Clean Level]]&gt;=51, "Elite", clean[[#This Row],[Clean Level]]&gt;=26, "Veteran", TRUE, "Rookie")</f>
        <v>Veteran</v>
      </c>
      <c r="AS333" s="1" t="str">
        <f>IF(RPG_dataset[[#This Row],[Status]]="Active", "TRUE", "FALSE")</f>
        <v>FALSE</v>
      </c>
      <c r="AT333" s="1" t="str" cm="1">
        <f t="array" ref="AT333">_xlfn.IFS(clean[[#This Row],[Clean Win Rate]]&gt;70, "Excellent", clean[[#This Row],[Clean Win Rate]]&gt;=40, "Average", TRUE, "Poor")</f>
        <v>Excellent</v>
      </c>
      <c r="AU333" s="1" t="str">
        <f>IF(AND(clean[[#This Row],[Clean Level]]&gt;80, clean[[#This Row],[Clean Total Stat]]&gt;350, clean[[#This Row],[Clean Gold]]&gt;500000), "Overpowered", "Normal")</f>
        <v>Normal</v>
      </c>
      <c r="AV333" s="1" t="str" cm="1">
        <f t="array" ref="AV33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33" s="1" t="str" cm="1">
        <f t="array" ref="AW33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33" s="1"/>
    </row>
    <row r="334" spans="1:50" x14ac:dyDescent="0.3">
      <c r="A334" s="2" t="s">
        <v>1177</v>
      </c>
      <c r="B334" s="2" t="s">
        <v>1178</v>
      </c>
      <c r="C334" s="2" t="s">
        <v>604</v>
      </c>
      <c r="D334" s="2" t="s">
        <v>50</v>
      </c>
      <c r="E334" s="2" t="s">
        <v>228</v>
      </c>
      <c r="F334" s="2" t="s">
        <v>52</v>
      </c>
      <c r="G334" s="2">
        <v>67</v>
      </c>
      <c r="H334" s="2" t="s">
        <v>62</v>
      </c>
      <c r="I334" s="2" t="s">
        <v>63</v>
      </c>
      <c r="J334" s="2" t="s">
        <v>88</v>
      </c>
      <c r="K334" s="2" t="s">
        <v>44</v>
      </c>
      <c r="L334" s="6" t="s">
        <v>1179</v>
      </c>
      <c r="M334" s="2">
        <v>137</v>
      </c>
      <c r="N334" s="2">
        <v>129</v>
      </c>
      <c r="O334" s="2">
        <v>111</v>
      </c>
      <c r="P334" s="2">
        <v>554</v>
      </c>
      <c r="Q334" s="2">
        <v>1844</v>
      </c>
      <c r="R334" s="2">
        <v>377</v>
      </c>
      <c r="S334" s="2">
        <v>4066</v>
      </c>
      <c r="T334" s="2">
        <v>59</v>
      </c>
      <c r="U334" s="2">
        <v>85</v>
      </c>
      <c r="V334" s="2">
        <v>99</v>
      </c>
      <c r="W334" s="2">
        <v>6231</v>
      </c>
      <c r="X334" s="9">
        <v>105715</v>
      </c>
      <c r="Y334" s="2" t="s">
        <v>36</v>
      </c>
      <c r="AA334" s="1" t="str">
        <f>TRIM(RPG_dataset[[#This Row],[Username]])</f>
        <v>roran_531</v>
      </c>
      <c r="AB334" s="1" t="str">
        <f>TRIM(RPG_dataset[[#This Row],[First Name]])</f>
        <v>Roran</v>
      </c>
      <c r="AC334" s="1" t="str">
        <f>PROPER(TRIM(RPG_dataset[[#This Row],[Race]]))</f>
        <v>Elf</v>
      </c>
      <c r="AD334" s="1" t="str">
        <f>PROPER(TRIM(RPG_dataset[[#This Row],[Class]]))</f>
        <v>Bard</v>
      </c>
      <c r="AE334" s="1">
        <f>ABS(RPG_dataset[[#This Row],[Level]])</f>
        <v>67</v>
      </c>
      <c r="AF334" s="1">
        <f>ABS(RPG_dataset[[#This Row],[ATK]])</f>
        <v>137</v>
      </c>
      <c r="AG334" s="1">
        <f>ABS(RPG_dataset[[#This Row],[DEF]])</f>
        <v>129</v>
      </c>
      <c r="AH334" s="1">
        <f>ABS(RPG_dataset[[#This Row],[SPD]])</f>
        <v>111</v>
      </c>
      <c r="AI334" s="1">
        <f>ABS(RPG_dataset[[#This Row],[HP]])</f>
        <v>554</v>
      </c>
      <c r="AJ334" s="1">
        <f>ABS(RPG_dataset[[#This Row],[MP]])</f>
        <v>1844</v>
      </c>
      <c r="AK334" s="1">
        <f>ABS(RPG_dataset[[#This Row],[Total Stat]])</f>
        <v>377</v>
      </c>
      <c r="AL334" s="1">
        <f>ABS(RPG_dataset[[#This Row],[Kills]])</f>
        <v>4066</v>
      </c>
      <c r="AM334" s="12">
        <f>ABS(RPG_dataset[[#This Row],[Win Rate (%)]])</f>
        <v>99</v>
      </c>
      <c r="AN334" s="4">
        <f>ABS(RPG_dataset[[#This Row],[Gold Earned]])</f>
        <v>105715</v>
      </c>
      <c r="AO334" s="5" t="str">
        <f t="shared" si="5"/>
        <v>OK</v>
      </c>
      <c r="AP334" s="5">
        <f>RANK(clean[[#This Row],[Clean Gold]],clean[Clean Gold], 0)</f>
        <v>437</v>
      </c>
      <c r="AQ334" s="1">
        <v>266</v>
      </c>
      <c r="AR334" s="1" t="str" cm="1">
        <f t="array" ref="AR334">_xlfn.IFS(clean[[#This Row],[Clean Level]]&gt;=76, "Legend", clean[[#This Row],[Clean Level]]&gt;=51, "Elite", clean[[#This Row],[Clean Level]]&gt;=26, "Veteran", TRUE, "Rookie")</f>
        <v>Elite</v>
      </c>
      <c r="AS334" s="1" t="str">
        <f>IF(RPG_dataset[[#This Row],[Status]]="Active", "TRUE", "FALSE")</f>
        <v>TRUE</v>
      </c>
      <c r="AT334" s="1" t="str" cm="1">
        <f t="array" ref="AT334">_xlfn.IFS(clean[[#This Row],[Clean Win Rate]]&gt;70, "Excellent", clean[[#This Row],[Clean Win Rate]]&gt;=40, "Average", TRUE, "Poor")</f>
        <v>Excellent</v>
      </c>
      <c r="AU334" s="1" t="str">
        <f>IF(AND(clean[[#This Row],[Clean Level]]&gt;80, clean[[#This Row],[Clean Total Stat]]&gt;350, clean[[#This Row],[Clean Gold]]&gt;500000), "Overpowered", "Normal")</f>
        <v>Normal</v>
      </c>
      <c r="AV334" s="1" t="str" cm="1">
        <f t="array" ref="AV334">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334" s="1" t="str" cm="1">
        <f t="array" ref="AW33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34" s="1"/>
    </row>
    <row r="335" spans="1:50" x14ac:dyDescent="0.3">
      <c r="A335" s="2" t="s">
        <v>1180</v>
      </c>
      <c r="B335" s="2" t="s">
        <v>1181</v>
      </c>
      <c r="C335" s="2" t="s">
        <v>58</v>
      </c>
      <c r="D335" s="2" t="s">
        <v>59</v>
      </c>
      <c r="E335" s="2" t="s">
        <v>608</v>
      </c>
      <c r="F335" s="2" t="s">
        <v>72</v>
      </c>
      <c r="G335" s="2">
        <v>43</v>
      </c>
      <c r="H335" s="2" t="s">
        <v>43</v>
      </c>
      <c r="I335" s="2" t="s">
        <v>63</v>
      </c>
      <c r="J335" s="2" t="s">
        <v>120</v>
      </c>
      <c r="K335" s="2" t="s">
        <v>44</v>
      </c>
      <c r="L335" s="6" t="s">
        <v>1182</v>
      </c>
      <c r="M335" s="2">
        <v>73</v>
      </c>
      <c r="N335" s="2">
        <v>21</v>
      </c>
      <c r="O335" s="2">
        <v>34</v>
      </c>
      <c r="P335" s="2">
        <v>4174</v>
      </c>
      <c r="Q335" s="2">
        <v>323</v>
      </c>
      <c r="R335" s="2">
        <v>128</v>
      </c>
      <c r="S335" s="2">
        <v>312</v>
      </c>
      <c r="T335" s="2">
        <v>247</v>
      </c>
      <c r="U335" s="2">
        <v>293</v>
      </c>
      <c r="V335" s="2">
        <v>56</v>
      </c>
      <c r="W335" s="2">
        <v>3104</v>
      </c>
      <c r="X335" s="9">
        <v>583805</v>
      </c>
      <c r="Y335" s="2" t="s">
        <v>36</v>
      </c>
      <c r="AA335" s="1" t="str">
        <f>TRIM(RPG_dataset[[#This Row],[Username]])</f>
        <v>kael_915</v>
      </c>
      <c r="AB335" s="1" t="str">
        <f>TRIM(RPG_dataset[[#This Row],[First Name]])</f>
        <v>Kael</v>
      </c>
      <c r="AC335" s="1" t="str">
        <f>PROPER(TRIM(RPG_dataset[[#This Row],[Race]]))</f>
        <v>Dragonborn</v>
      </c>
      <c r="AD335" s="1" t="str">
        <f>PROPER(TRIM(RPG_dataset[[#This Row],[Class]]))</f>
        <v>Warrior</v>
      </c>
      <c r="AE335" s="1">
        <f>ABS(RPG_dataset[[#This Row],[Level]])</f>
        <v>43</v>
      </c>
      <c r="AF335" s="1">
        <f>ABS(RPG_dataset[[#This Row],[ATK]])</f>
        <v>73</v>
      </c>
      <c r="AG335" s="1">
        <f>ABS(RPG_dataset[[#This Row],[DEF]])</f>
        <v>21</v>
      </c>
      <c r="AH335" s="1">
        <f>ABS(RPG_dataset[[#This Row],[SPD]])</f>
        <v>34</v>
      </c>
      <c r="AI335" s="1">
        <f>ABS(RPG_dataset[[#This Row],[HP]])</f>
        <v>4174</v>
      </c>
      <c r="AJ335" s="1">
        <f>ABS(RPG_dataset[[#This Row],[MP]])</f>
        <v>323</v>
      </c>
      <c r="AK335" s="1">
        <f>ABS(RPG_dataset[[#This Row],[Total Stat]])</f>
        <v>128</v>
      </c>
      <c r="AL335" s="1">
        <f>ABS(RPG_dataset[[#This Row],[Kills]])</f>
        <v>312</v>
      </c>
      <c r="AM335" s="12">
        <f>ABS(RPG_dataset[[#This Row],[Win Rate (%)]])</f>
        <v>56</v>
      </c>
      <c r="AN335" s="4">
        <f>ABS(RPG_dataset[[#This Row],[Gold Earned]])</f>
        <v>583805</v>
      </c>
      <c r="AO335" s="5" t="str">
        <f t="shared" si="5"/>
        <v>Fix This</v>
      </c>
      <c r="AP335" s="5">
        <f>RANK(clean[[#This Row],[Clean Gold]],clean[Clean Gold], 0)</f>
        <v>209</v>
      </c>
      <c r="AQ335" s="1">
        <v>148</v>
      </c>
      <c r="AR335" s="1" t="str" cm="1">
        <f t="array" ref="AR335">_xlfn.IFS(clean[[#This Row],[Clean Level]]&gt;=76, "Legend", clean[[#This Row],[Clean Level]]&gt;=51, "Elite", clean[[#This Row],[Clean Level]]&gt;=26, "Veteran", TRUE, "Rookie")</f>
        <v>Veteran</v>
      </c>
      <c r="AS335" s="1" t="str">
        <f>IF(RPG_dataset[[#This Row],[Status]]="Active", "TRUE", "FALSE")</f>
        <v>TRUE</v>
      </c>
      <c r="AT335" s="1" t="str" cm="1">
        <f t="array" ref="AT335">_xlfn.IFS(clean[[#This Row],[Clean Win Rate]]&gt;70, "Excellent", clean[[#This Row],[Clean Win Rate]]&gt;=40, "Average", TRUE, "Poor")</f>
        <v>Average</v>
      </c>
      <c r="AU335" s="1" t="str">
        <f>IF(AND(clean[[#This Row],[Clean Level]]&gt;80, clean[[#This Row],[Clean Total Stat]]&gt;350, clean[[#This Row],[Clean Gold]]&gt;500000), "Overpowered", "Normal")</f>
        <v>Normal</v>
      </c>
      <c r="AV335" s="1" t="str" cm="1">
        <f t="array" ref="AV33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35" s="1" t="str" cm="1">
        <f t="array" ref="AW33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35" s="1"/>
    </row>
    <row r="336" spans="1:50" x14ac:dyDescent="0.3">
      <c r="A336" s="2" t="s">
        <v>1183</v>
      </c>
      <c r="B336" s="2" t="s">
        <v>1184</v>
      </c>
      <c r="C336" s="2" t="s">
        <v>253</v>
      </c>
      <c r="D336" s="2" t="s">
        <v>1072</v>
      </c>
      <c r="E336" s="2" t="s">
        <v>29</v>
      </c>
      <c r="F336" s="2" t="s">
        <v>194</v>
      </c>
      <c r="G336" s="2">
        <v>41</v>
      </c>
      <c r="H336" s="2" t="s">
        <v>31</v>
      </c>
      <c r="I336" s="2" t="s">
        <v>63</v>
      </c>
      <c r="J336" s="2" t="s">
        <v>163</v>
      </c>
      <c r="K336" s="2" t="s">
        <v>44</v>
      </c>
      <c r="L336" s="6" t="s">
        <v>1185</v>
      </c>
      <c r="M336" s="2">
        <v>10</v>
      </c>
      <c r="N336" s="2">
        <v>41</v>
      </c>
      <c r="O336" s="2">
        <v>38</v>
      </c>
      <c r="P336" s="2">
        <v>2684</v>
      </c>
      <c r="Q336" s="2">
        <v>-1441</v>
      </c>
      <c r="R336" s="2">
        <v>89</v>
      </c>
      <c r="S336" s="2">
        <v>269</v>
      </c>
      <c r="T336" s="2">
        <v>564</v>
      </c>
      <c r="U336" s="2">
        <v>222</v>
      </c>
      <c r="V336" s="2">
        <v>32</v>
      </c>
      <c r="W336" s="2">
        <v>9020</v>
      </c>
      <c r="X336" s="9">
        <v>565189</v>
      </c>
      <c r="Y336" s="2" t="s">
        <v>46</v>
      </c>
      <c r="AA336" s="1" t="str">
        <f>TRIM(RPG_dataset[[#This Row],[Username]])</f>
        <v>freya_728</v>
      </c>
      <c r="AB336" s="1" t="str">
        <f>TRIM(RPG_dataset[[#This Row],[First Name]])</f>
        <v>Freya</v>
      </c>
      <c r="AC336" s="1" t="str">
        <f>PROPER(TRIM(RPG_dataset[[#This Row],[Race]]))</f>
        <v>Dwarf</v>
      </c>
      <c r="AD336" s="1" t="str">
        <f>PROPER(TRIM(RPG_dataset[[#This Row],[Class]]))</f>
        <v>Paladin</v>
      </c>
      <c r="AE336" s="1">
        <f>ABS(RPG_dataset[[#This Row],[Level]])</f>
        <v>41</v>
      </c>
      <c r="AF336" s="1">
        <f>ABS(RPG_dataset[[#This Row],[ATK]])</f>
        <v>10</v>
      </c>
      <c r="AG336" s="1">
        <f>ABS(RPG_dataset[[#This Row],[DEF]])</f>
        <v>41</v>
      </c>
      <c r="AH336" s="1">
        <f>ABS(RPG_dataset[[#This Row],[SPD]])</f>
        <v>38</v>
      </c>
      <c r="AI336" s="1">
        <f>ABS(RPG_dataset[[#This Row],[HP]])</f>
        <v>2684</v>
      </c>
      <c r="AJ336" s="1">
        <f>ABS(RPG_dataset[[#This Row],[MP]])</f>
        <v>1441</v>
      </c>
      <c r="AK336" s="1">
        <f>ABS(RPG_dataset[[#This Row],[Total Stat]])</f>
        <v>89</v>
      </c>
      <c r="AL336" s="1">
        <f>ABS(RPG_dataset[[#This Row],[Kills]])</f>
        <v>269</v>
      </c>
      <c r="AM336" s="12">
        <f>ABS(RPG_dataset[[#This Row],[Win Rate (%)]])</f>
        <v>32</v>
      </c>
      <c r="AN336" s="4">
        <f>ABS(RPG_dataset[[#This Row],[Gold Earned]])</f>
        <v>565189</v>
      </c>
      <c r="AO336" s="5" t="str">
        <f t="shared" si="5"/>
        <v>OK</v>
      </c>
      <c r="AP336" s="5">
        <f>RANK(clean[[#This Row],[Clean Gold]],clean[Clean Gold], 0)</f>
        <v>216</v>
      </c>
      <c r="AQ336" s="1">
        <v>333</v>
      </c>
      <c r="AR336" s="1" t="str" cm="1">
        <f t="array" ref="AR336">_xlfn.IFS(clean[[#This Row],[Clean Level]]&gt;=76, "Legend", clean[[#This Row],[Clean Level]]&gt;=51, "Elite", clean[[#This Row],[Clean Level]]&gt;=26, "Veteran", TRUE, "Rookie")</f>
        <v>Veteran</v>
      </c>
      <c r="AS336" s="1" t="str">
        <f>IF(RPG_dataset[[#This Row],[Status]]="Active", "TRUE", "FALSE")</f>
        <v>TRUE</v>
      </c>
      <c r="AT336" s="1" t="str" cm="1">
        <f t="array" ref="AT336">_xlfn.IFS(clean[[#This Row],[Clean Win Rate]]&gt;70, "Excellent", clean[[#This Row],[Clean Win Rate]]&gt;=40, "Average", TRUE, "Poor")</f>
        <v>Poor</v>
      </c>
      <c r="AU336" s="1" t="str">
        <f>IF(AND(clean[[#This Row],[Clean Level]]&gt;80, clean[[#This Row],[Clean Total Stat]]&gt;350, clean[[#This Row],[Clean Gold]]&gt;500000), "Overpowered", "Normal")</f>
        <v>Normal</v>
      </c>
      <c r="AV336" s="1" t="str" cm="1">
        <f t="array" ref="AV336">_xlfn.IFS(
(AND(OR(clean[[#This Row],[Tier]]="Elite", clean[[#This Row],[Tier]]="Legend"), clean[[#This Row],[Performance]]="Excellent", RPG_dataset[[#This Row],[Is Premium]]="Yes")), "High", OR(OR(clean[[#This Row],[Tier]]="Elite", clean[[#This Row],[Tier]]="Legend"), clean[[#This Row],[Performance]]="Excellent", RPG_dataset[[#This Row],[Is Premium]]="Yes"), "Medium", TRUE, "Low")</f>
        <v>Low</v>
      </c>
      <c r="AW336" s="1" t="str" cm="1">
        <f t="array" ref="AW33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36" s="1"/>
    </row>
    <row r="337" spans="1:50" x14ac:dyDescent="0.3">
      <c r="A337" s="2" t="s">
        <v>1186</v>
      </c>
      <c r="B337" s="2" t="s">
        <v>1187</v>
      </c>
      <c r="C337" s="2" t="s">
        <v>49</v>
      </c>
      <c r="D337" s="2" t="s">
        <v>50</v>
      </c>
      <c r="E337" s="2" t="s">
        <v>105</v>
      </c>
      <c r="F337" s="2" t="s">
        <v>72</v>
      </c>
      <c r="G337" s="2">
        <v>99</v>
      </c>
      <c r="H337" s="2" t="s">
        <v>43</v>
      </c>
      <c r="I337" s="2" t="s">
        <v>32</v>
      </c>
      <c r="J337" s="2" t="s">
        <v>88</v>
      </c>
      <c r="K337" s="2" t="s">
        <v>44</v>
      </c>
      <c r="L337" s="6" t="s">
        <v>1188</v>
      </c>
      <c r="M337" s="2">
        <v>98</v>
      </c>
      <c r="N337" s="2">
        <v>30</v>
      </c>
      <c r="O337" s="2">
        <v>28</v>
      </c>
      <c r="P337" s="2">
        <v>223</v>
      </c>
      <c r="Q337" s="2">
        <v>133</v>
      </c>
      <c r="R337" s="2">
        <v>156</v>
      </c>
      <c r="S337" s="2">
        <v>3812</v>
      </c>
      <c r="T337" s="2">
        <v>222</v>
      </c>
      <c r="U337" s="2">
        <v>57</v>
      </c>
      <c r="V337" s="2">
        <v>94</v>
      </c>
      <c r="W337" s="2">
        <v>8474</v>
      </c>
      <c r="X337" s="9">
        <v>136462</v>
      </c>
      <c r="Y337" s="2" t="s">
        <v>46</v>
      </c>
      <c r="AA337" s="1" t="str">
        <f>TRIM(RPG_dataset[[#This Row],[Username]])</f>
        <v>dune_389</v>
      </c>
      <c r="AB337" s="1" t="str">
        <f>TRIM(RPG_dataset[[#This Row],[First Name]])</f>
        <v>Dune</v>
      </c>
      <c r="AC337" s="1" t="str">
        <f>PROPER(TRIM(RPG_dataset[[#This Row],[Race]]))</f>
        <v>Orc</v>
      </c>
      <c r="AD337" s="1" t="str">
        <f>PROPER(TRIM(RPG_dataset[[#This Row],[Class]]))</f>
        <v>Warrior</v>
      </c>
      <c r="AE337" s="1">
        <f>ABS(RPG_dataset[[#This Row],[Level]])</f>
        <v>99</v>
      </c>
      <c r="AF337" s="1">
        <f>ABS(RPG_dataset[[#This Row],[ATK]])</f>
        <v>98</v>
      </c>
      <c r="AG337" s="1">
        <f>ABS(RPG_dataset[[#This Row],[DEF]])</f>
        <v>30</v>
      </c>
      <c r="AH337" s="1">
        <f>ABS(RPG_dataset[[#This Row],[SPD]])</f>
        <v>28</v>
      </c>
      <c r="AI337" s="1">
        <f>ABS(RPG_dataset[[#This Row],[HP]])</f>
        <v>223</v>
      </c>
      <c r="AJ337" s="1">
        <f>ABS(RPG_dataset[[#This Row],[MP]])</f>
        <v>133</v>
      </c>
      <c r="AK337" s="1">
        <f>ABS(RPG_dataset[[#This Row],[Total Stat]])</f>
        <v>156</v>
      </c>
      <c r="AL337" s="1">
        <f>ABS(RPG_dataset[[#This Row],[Kills]])</f>
        <v>3812</v>
      </c>
      <c r="AM337" s="12">
        <f>ABS(RPG_dataset[[#This Row],[Win Rate (%)]])</f>
        <v>94</v>
      </c>
      <c r="AN337" s="4">
        <f>ABS(RPG_dataset[[#This Row],[Gold Earned]])</f>
        <v>136462</v>
      </c>
      <c r="AO337" s="5" t="str">
        <f t="shared" si="5"/>
        <v>OK</v>
      </c>
      <c r="AP337" s="5">
        <f>RANK(clean[[#This Row],[Clean Gold]],clean[Clean Gold], 0)</f>
        <v>423</v>
      </c>
      <c r="AQ337" s="1">
        <v>131</v>
      </c>
      <c r="AR337" s="1" t="str" cm="1">
        <f t="array" ref="AR337">_xlfn.IFS(clean[[#This Row],[Clean Level]]&gt;=76, "Legend", clean[[#This Row],[Clean Level]]&gt;=51, "Elite", clean[[#This Row],[Clean Level]]&gt;=26, "Veteran", TRUE, "Rookie")</f>
        <v>Legend</v>
      </c>
      <c r="AS337" s="1" t="str">
        <f>IF(RPG_dataset[[#This Row],[Status]]="Active", "TRUE", "FALSE")</f>
        <v>TRUE</v>
      </c>
      <c r="AT337" s="1" t="str" cm="1">
        <f t="array" ref="AT337">_xlfn.IFS(clean[[#This Row],[Clean Win Rate]]&gt;70, "Excellent", clean[[#This Row],[Clean Win Rate]]&gt;=40, "Average", TRUE, "Poor")</f>
        <v>Excellent</v>
      </c>
      <c r="AU337" s="1" t="str">
        <f>IF(AND(clean[[#This Row],[Clean Level]]&gt;80, clean[[#This Row],[Clean Total Stat]]&gt;350, clean[[#This Row],[Clean Gold]]&gt;500000), "Overpowered", "Normal")</f>
        <v>Normal</v>
      </c>
      <c r="AV337" s="1" t="str" cm="1">
        <f t="array" ref="AV33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37" s="1" t="str" cm="1">
        <f t="array" ref="AW33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37" s="1"/>
    </row>
    <row r="338" spans="1:50" x14ac:dyDescent="0.3">
      <c r="A338" s="2" t="s">
        <v>1189</v>
      </c>
      <c r="B338" s="2" t="s">
        <v>1190</v>
      </c>
      <c r="C338" s="2" t="s">
        <v>689</v>
      </c>
      <c r="D338" s="2" t="s">
        <v>174</v>
      </c>
      <c r="E338" s="2" t="s">
        <v>29</v>
      </c>
      <c r="F338" s="2" t="s">
        <v>124</v>
      </c>
      <c r="G338" s="2">
        <v>32</v>
      </c>
      <c r="H338" s="2" t="s">
        <v>239</v>
      </c>
      <c r="I338" s="2" t="s">
        <v>126</v>
      </c>
      <c r="J338" s="2" t="s">
        <v>111</v>
      </c>
      <c r="K338" s="2" t="s">
        <v>44</v>
      </c>
      <c r="L338" s="6" t="s">
        <v>1191</v>
      </c>
      <c r="M338" s="2">
        <v>104</v>
      </c>
      <c r="N338" s="2">
        <v>43</v>
      </c>
      <c r="O338" s="2">
        <v>67</v>
      </c>
      <c r="P338" s="2">
        <v>4407</v>
      </c>
      <c r="Q338" s="2">
        <v>2658</v>
      </c>
      <c r="R338" s="2">
        <v>214</v>
      </c>
      <c r="S338" s="2">
        <v>1604</v>
      </c>
      <c r="T338" s="2">
        <v>523</v>
      </c>
      <c r="U338" s="2">
        <v>271</v>
      </c>
      <c r="V338" s="2">
        <v>75</v>
      </c>
      <c r="W338" s="2">
        <v>2395</v>
      </c>
      <c r="X338" s="9">
        <v>30892</v>
      </c>
      <c r="Y338" s="2" t="s">
        <v>46</v>
      </c>
      <c r="AA338" s="1" t="str">
        <f>TRIM(RPG_dataset[[#This Row],[Username]])</f>
        <v>THERON_375</v>
      </c>
      <c r="AB338" s="1" t="str">
        <f>TRIM(RPG_dataset[[#This Row],[First Name]])</f>
        <v>Theron</v>
      </c>
      <c r="AC338" s="1" t="str">
        <f>PROPER(TRIM(RPG_dataset[[#This Row],[Race]]))</f>
        <v>Dwarf</v>
      </c>
      <c r="AD338" s="1" t="str">
        <f>PROPER(TRIM(RPG_dataset[[#This Row],[Class]]))</f>
        <v>Necromancer</v>
      </c>
      <c r="AE338" s="1">
        <f>ABS(RPG_dataset[[#This Row],[Level]])</f>
        <v>32</v>
      </c>
      <c r="AF338" s="1">
        <f>ABS(RPG_dataset[[#This Row],[ATK]])</f>
        <v>104</v>
      </c>
      <c r="AG338" s="1">
        <f>ABS(RPG_dataset[[#This Row],[DEF]])</f>
        <v>43</v>
      </c>
      <c r="AH338" s="1">
        <f>ABS(RPG_dataset[[#This Row],[SPD]])</f>
        <v>67</v>
      </c>
      <c r="AI338" s="1">
        <f>ABS(RPG_dataset[[#This Row],[HP]])</f>
        <v>4407</v>
      </c>
      <c r="AJ338" s="1">
        <f>ABS(RPG_dataset[[#This Row],[MP]])</f>
        <v>2658</v>
      </c>
      <c r="AK338" s="1">
        <f>ABS(RPG_dataset[[#This Row],[Total Stat]])</f>
        <v>214</v>
      </c>
      <c r="AL338" s="1">
        <f>ABS(RPG_dataset[[#This Row],[Kills]])</f>
        <v>1604</v>
      </c>
      <c r="AM338" s="12">
        <f>ABS(RPG_dataset[[#This Row],[Win Rate (%)]])</f>
        <v>75</v>
      </c>
      <c r="AN338" s="4">
        <f>ABS(RPG_dataset[[#This Row],[Gold Earned]])</f>
        <v>30892</v>
      </c>
      <c r="AO338" s="5" t="str">
        <f t="shared" si="5"/>
        <v>OK</v>
      </c>
      <c r="AP338" s="5">
        <f>RANK(clean[[#This Row],[Clean Gold]],clean[Clean Gold], 0)</f>
        <v>465</v>
      </c>
      <c r="AQ338" s="1">
        <v>194</v>
      </c>
      <c r="AR338" s="1" t="str" cm="1">
        <f t="array" ref="AR338">_xlfn.IFS(clean[[#This Row],[Clean Level]]&gt;=76, "Legend", clean[[#This Row],[Clean Level]]&gt;=51, "Elite", clean[[#This Row],[Clean Level]]&gt;=26, "Veteran", TRUE, "Rookie")</f>
        <v>Veteran</v>
      </c>
      <c r="AS338" s="1" t="str">
        <f>IF(RPG_dataset[[#This Row],[Status]]="Active", "TRUE", "FALSE")</f>
        <v>TRUE</v>
      </c>
      <c r="AT338" s="1" t="str" cm="1">
        <f t="array" ref="AT338">_xlfn.IFS(clean[[#This Row],[Clean Win Rate]]&gt;70, "Excellent", clean[[#This Row],[Clean Win Rate]]&gt;=40, "Average", TRUE, "Poor")</f>
        <v>Excellent</v>
      </c>
      <c r="AU338" s="1" t="str">
        <f>IF(AND(clean[[#This Row],[Clean Level]]&gt;80, clean[[#This Row],[Clean Total Stat]]&gt;350, clean[[#This Row],[Clean Gold]]&gt;500000), "Overpowered", "Normal")</f>
        <v>Normal</v>
      </c>
      <c r="AV338" s="1" t="str" cm="1">
        <f t="array" ref="AV33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38" s="1" t="str" cm="1">
        <f t="array" ref="AW33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338" s="1"/>
    </row>
    <row r="339" spans="1:50" x14ac:dyDescent="0.3">
      <c r="A339" s="2" t="s">
        <v>1192</v>
      </c>
      <c r="B339" s="2" t="s">
        <v>1193</v>
      </c>
      <c r="C339" s="2" t="s">
        <v>227</v>
      </c>
      <c r="D339" s="2" t="s">
        <v>618</v>
      </c>
      <c r="E339" s="2" t="s">
        <v>41</v>
      </c>
      <c r="F339" s="2" t="s">
        <v>72</v>
      </c>
      <c r="G339" s="2">
        <v>69</v>
      </c>
      <c r="H339" s="2" t="s">
        <v>73</v>
      </c>
      <c r="I339" s="2" t="s">
        <v>74</v>
      </c>
      <c r="J339" s="2" t="s">
        <v>64</v>
      </c>
      <c r="K339" s="2" t="s">
        <v>44</v>
      </c>
      <c r="L339" s="6" t="s">
        <v>1194</v>
      </c>
      <c r="M339" s="2">
        <v>118</v>
      </c>
      <c r="N339" s="2">
        <v>24</v>
      </c>
      <c r="O339" s="2">
        <v>31</v>
      </c>
      <c r="P339" s="2"/>
      <c r="Q339" s="2">
        <v>2540</v>
      </c>
      <c r="R339" s="2">
        <v>173</v>
      </c>
      <c r="S339" s="2">
        <v>1900</v>
      </c>
      <c r="T339" s="2">
        <v>31</v>
      </c>
      <c r="U339" s="2">
        <v>253</v>
      </c>
      <c r="V339" s="2">
        <v>98</v>
      </c>
      <c r="W339" s="2">
        <v>9947</v>
      </c>
      <c r="X339" s="9">
        <v>91866</v>
      </c>
      <c r="Y339" s="2" t="s">
        <v>36</v>
      </c>
      <c r="AA339" s="1" t="str">
        <f>TRIM(RPG_dataset[[#This Row],[Username]])</f>
        <v>nyx_972</v>
      </c>
      <c r="AB339" s="1" t="str">
        <f>TRIM(RPG_dataset[[#This Row],[First Name]])</f>
        <v>Nyx</v>
      </c>
      <c r="AC339" s="1" t="str">
        <f>PROPER(TRIM(RPG_dataset[[#This Row],[Race]]))</f>
        <v>Gnome</v>
      </c>
      <c r="AD339" s="1" t="str">
        <f>PROPER(TRIM(RPG_dataset[[#This Row],[Class]]))</f>
        <v>Warrior</v>
      </c>
      <c r="AE339" s="1">
        <f>ABS(RPG_dataset[[#This Row],[Level]])</f>
        <v>69</v>
      </c>
      <c r="AF339" s="1">
        <f>ABS(RPG_dataset[[#This Row],[ATK]])</f>
        <v>118</v>
      </c>
      <c r="AG339" s="1">
        <f>ABS(RPG_dataset[[#This Row],[DEF]])</f>
        <v>24</v>
      </c>
      <c r="AH339" s="1">
        <f>ABS(RPG_dataset[[#This Row],[SPD]])</f>
        <v>31</v>
      </c>
      <c r="AI339" s="1">
        <f>ABS(RPG_dataset[[#This Row],[HP]])</f>
        <v>0</v>
      </c>
      <c r="AJ339" s="1">
        <f>ABS(RPG_dataset[[#This Row],[MP]])</f>
        <v>2540</v>
      </c>
      <c r="AK339" s="1">
        <f>ABS(RPG_dataset[[#This Row],[Total Stat]])</f>
        <v>173</v>
      </c>
      <c r="AL339" s="1">
        <f>ABS(RPG_dataset[[#This Row],[Kills]])</f>
        <v>1900</v>
      </c>
      <c r="AM339" s="12">
        <f>ABS(RPG_dataset[[#This Row],[Win Rate (%)]])</f>
        <v>98</v>
      </c>
      <c r="AN339" s="4">
        <f>ABS(RPG_dataset[[#This Row],[Gold Earned]])</f>
        <v>91866</v>
      </c>
      <c r="AO339" s="5" t="str">
        <f t="shared" si="5"/>
        <v>OK</v>
      </c>
      <c r="AP339" s="5">
        <f>RANK(clean[[#This Row],[Clean Gold]],clean[Clean Gold], 0)</f>
        <v>444</v>
      </c>
      <c r="AQ339" s="1">
        <v>132</v>
      </c>
      <c r="AR339" s="1" t="str" cm="1">
        <f t="array" ref="AR339">_xlfn.IFS(clean[[#This Row],[Clean Level]]&gt;=76, "Legend", clean[[#This Row],[Clean Level]]&gt;=51, "Elite", clean[[#This Row],[Clean Level]]&gt;=26, "Veteran", TRUE, "Rookie")</f>
        <v>Elite</v>
      </c>
      <c r="AS339" s="1" t="str">
        <f>IF(RPG_dataset[[#This Row],[Status]]="Active", "TRUE", "FALSE")</f>
        <v>TRUE</v>
      </c>
      <c r="AT339" s="1" t="str" cm="1">
        <f t="array" ref="AT339">_xlfn.IFS(clean[[#This Row],[Clean Win Rate]]&gt;70, "Excellent", clean[[#This Row],[Clean Win Rate]]&gt;=40, "Average", TRUE, "Poor")</f>
        <v>Excellent</v>
      </c>
      <c r="AU339" s="1" t="str">
        <f>IF(AND(clean[[#This Row],[Clean Level]]&gt;80, clean[[#This Row],[Clean Total Stat]]&gt;350, clean[[#This Row],[Clean Gold]]&gt;500000), "Overpowered", "Normal")</f>
        <v>Normal</v>
      </c>
      <c r="AV339" s="1" t="str" cm="1">
        <f t="array" ref="AV339">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339" s="1" t="str" cm="1">
        <f t="array" ref="AW33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39" s="1"/>
    </row>
    <row r="340" spans="1:50" x14ac:dyDescent="0.3">
      <c r="A340" s="2" t="s">
        <v>1195</v>
      </c>
      <c r="B340" s="2" t="s">
        <v>1196</v>
      </c>
      <c r="C340" s="2" t="s">
        <v>543</v>
      </c>
      <c r="D340" s="2" t="s">
        <v>277</v>
      </c>
      <c r="E340" s="2" t="s">
        <v>228</v>
      </c>
      <c r="F340" s="2" t="s">
        <v>52</v>
      </c>
      <c r="G340" s="2">
        <v>13</v>
      </c>
      <c r="H340" s="2" t="s">
        <v>80</v>
      </c>
      <c r="I340" s="2" t="s">
        <v>63</v>
      </c>
      <c r="J340" s="2" t="s">
        <v>81</v>
      </c>
      <c r="K340" s="2" t="s">
        <v>106</v>
      </c>
      <c r="L340" s="6" t="s">
        <v>1197</v>
      </c>
      <c r="M340" s="2">
        <v>32</v>
      </c>
      <c r="N340" s="2">
        <v>34</v>
      </c>
      <c r="O340" s="2">
        <v>32</v>
      </c>
      <c r="P340" s="2">
        <v>4837</v>
      </c>
      <c r="Q340" s="2">
        <v>1473</v>
      </c>
      <c r="R340" s="2">
        <v>98</v>
      </c>
      <c r="S340" s="2">
        <v>3721</v>
      </c>
      <c r="T340" s="2">
        <v>882</v>
      </c>
      <c r="U340" s="2">
        <v>35</v>
      </c>
      <c r="V340" s="2">
        <v>81</v>
      </c>
      <c r="W340" s="2">
        <v>2395</v>
      </c>
      <c r="X340" s="9">
        <v>479455</v>
      </c>
      <c r="Y340" s="2" t="s">
        <v>46</v>
      </c>
      <c r="AA340" s="1" t="str">
        <f>TRIM(RPG_dataset[[#This Row],[Username]])</f>
        <v>mora_207</v>
      </c>
      <c r="AB340" s="1" t="str">
        <f>TRIM(RPG_dataset[[#This Row],[First Name]])</f>
        <v>Mora</v>
      </c>
      <c r="AC340" s="1" t="str">
        <f>PROPER(TRIM(RPG_dataset[[#This Row],[Race]]))</f>
        <v>Elf</v>
      </c>
      <c r="AD340" s="1" t="str">
        <f>PROPER(TRIM(RPG_dataset[[#This Row],[Class]]))</f>
        <v>Bard</v>
      </c>
      <c r="AE340" s="1">
        <f>ABS(RPG_dataset[[#This Row],[Level]])</f>
        <v>13</v>
      </c>
      <c r="AF340" s="1">
        <f>ABS(RPG_dataset[[#This Row],[ATK]])</f>
        <v>32</v>
      </c>
      <c r="AG340" s="1">
        <f>ABS(RPG_dataset[[#This Row],[DEF]])</f>
        <v>34</v>
      </c>
      <c r="AH340" s="1">
        <f>ABS(RPG_dataset[[#This Row],[SPD]])</f>
        <v>32</v>
      </c>
      <c r="AI340" s="1">
        <f>ABS(RPG_dataset[[#This Row],[HP]])</f>
        <v>4837</v>
      </c>
      <c r="AJ340" s="1">
        <f>ABS(RPG_dataset[[#This Row],[MP]])</f>
        <v>1473</v>
      </c>
      <c r="AK340" s="1">
        <f>ABS(RPG_dataset[[#This Row],[Total Stat]])</f>
        <v>98</v>
      </c>
      <c r="AL340" s="1">
        <f>ABS(RPG_dataset[[#This Row],[Kills]])</f>
        <v>3721</v>
      </c>
      <c r="AM340" s="12">
        <f>ABS(RPG_dataset[[#This Row],[Win Rate (%)]])</f>
        <v>81</v>
      </c>
      <c r="AN340" s="4">
        <f>ABS(RPG_dataset[[#This Row],[Gold Earned]])</f>
        <v>479455</v>
      </c>
      <c r="AO340" s="5" t="str">
        <f t="shared" si="5"/>
        <v>OK</v>
      </c>
      <c r="AP340" s="5">
        <f>RANK(clean[[#This Row],[Clean Gold]],clean[Clean Gold], 0)</f>
        <v>266</v>
      </c>
      <c r="AQ340" s="1">
        <v>-341</v>
      </c>
      <c r="AR340" s="1" t="str" cm="1">
        <f t="array" ref="AR340">_xlfn.IFS(clean[[#This Row],[Clean Level]]&gt;=76, "Legend", clean[[#This Row],[Clean Level]]&gt;=51, "Elite", clean[[#This Row],[Clean Level]]&gt;=26, "Veteran", TRUE, "Rookie")</f>
        <v>Rookie</v>
      </c>
      <c r="AS340" s="1" t="str">
        <f>IF(RPG_dataset[[#This Row],[Status]]="Active", "TRUE", "FALSE")</f>
        <v>FALSE</v>
      </c>
      <c r="AT340" s="1" t="str" cm="1">
        <f t="array" ref="AT340">_xlfn.IFS(clean[[#This Row],[Clean Win Rate]]&gt;70, "Excellent", clean[[#This Row],[Clean Win Rate]]&gt;=40, "Average", TRUE, "Poor")</f>
        <v>Excellent</v>
      </c>
      <c r="AU340" s="1" t="str">
        <f>IF(AND(clean[[#This Row],[Clean Level]]&gt;80, clean[[#This Row],[Clean Total Stat]]&gt;350, clean[[#This Row],[Clean Gold]]&gt;500000), "Overpowered", "Normal")</f>
        <v>Normal</v>
      </c>
      <c r="AV340" s="1" t="str" cm="1">
        <f t="array" ref="AV34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40" s="1" t="str" cm="1">
        <f t="array" ref="AW34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40" s="1"/>
    </row>
    <row r="341" spans="1:50" x14ac:dyDescent="0.3">
      <c r="A341" s="2" t="s">
        <v>1198</v>
      </c>
      <c r="B341" s="2" t="s">
        <v>1199</v>
      </c>
      <c r="C341" s="2" t="s">
        <v>339</v>
      </c>
      <c r="D341" s="2" t="s">
        <v>50</v>
      </c>
      <c r="E341" s="2" t="s">
        <v>228</v>
      </c>
      <c r="F341" s="2" t="s">
        <v>194</v>
      </c>
      <c r="G341" s="2">
        <v>51</v>
      </c>
      <c r="H341" s="2" t="s">
        <v>62</v>
      </c>
      <c r="I341" s="2" t="s">
        <v>63</v>
      </c>
      <c r="J341" s="2" t="s">
        <v>88</v>
      </c>
      <c r="K341" s="2" t="s">
        <v>44</v>
      </c>
      <c r="L341" s="6" t="s">
        <v>1200</v>
      </c>
      <c r="M341" s="2">
        <v>80</v>
      </c>
      <c r="N341" s="2">
        <v>143</v>
      </c>
      <c r="O341" s="2">
        <v>28</v>
      </c>
      <c r="P341" s="2">
        <v>3533</v>
      </c>
      <c r="Q341" s="2">
        <v>1921</v>
      </c>
      <c r="R341" s="2">
        <v>251</v>
      </c>
      <c r="S341" s="2">
        <v>357</v>
      </c>
      <c r="T341" s="2">
        <v>966</v>
      </c>
      <c r="U341" s="2">
        <v>119</v>
      </c>
      <c r="V341" s="2">
        <v>27</v>
      </c>
      <c r="W341" s="2">
        <v>110</v>
      </c>
      <c r="X341" s="9">
        <v>369513</v>
      </c>
      <c r="Y341" s="2" t="s">
        <v>36</v>
      </c>
      <c r="AA341" s="1" t="str">
        <f>TRIM(RPG_dataset[[#This Row],[Username]])</f>
        <v>drak_275</v>
      </c>
      <c r="AB341" s="1" t="str">
        <f>TRIM(RPG_dataset[[#This Row],[First Name]])</f>
        <v>Drak</v>
      </c>
      <c r="AC341" s="1" t="str">
        <f>PROPER(TRIM(RPG_dataset[[#This Row],[Race]]))</f>
        <v>Elf</v>
      </c>
      <c r="AD341" s="1" t="str">
        <f>PROPER(TRIM(RPG_dataset[[#This Row],[Class]]))</f>
        <v>Paladin</v>
      </c>
      <c r="AE341" s="1">
        <f>ABS(RPG_dataset[[#This Row],[Level]])</f>
        <v>51</v>
      </c>
      <c r="AF341" s="1">
        <f>ABS(RPG_dataset[[#This Row],[ATK]])</f>
        <v>80</v>
      </c>
      <c r="AG341" s="1">
        <f>ABS(RPG_dataset[[#This Row],[DEF]])</f>
        <v>143</v>
      </c>
      <c r="AH341" s="1">
        <f>ABS(RPG_dataset[[#This Row],[SPD]])</f>
        <v>28</v>
      </c>
      <c r="AI341" s="1">
        <f>ABS(RPG_dataset[[#This Row],[HP]])</f>
        <v>3533</v>
      </c>
      <c r="AJ341" s="1">
        <f>ABS(RPG_dataset[[#This Row],[MP]])</f>
        <v>1921</v>
      </c>
      <c r="AK341" s="1">
        <f>ABS(RPG_dataset[[#This Row],[Total Stat]])</f>
        <v>251</v>
      </c>
      <c r="AL341" s="1">
        <f>ABS(RPG_dataset[[#This Row],[Kills]])</f>
        <v>357</v>
      </c>
      <c r="AM341" s="12">
        <f>ABS(RPG_dataset[[#This Row],[Win Rate (%)]])</f>
        <v>27</v>
      </c>
      <c r="AN341" s="4">
        <f>ABS(RPG_dataset[[#This Row],[Gold Earned]])</f>
        <v>369513</v>
      </c>
      <c r="AO341" s="5" t="str">
        <f t="shared" si="5"/>
        <v>OK</v>
      </c>
      <c r="AP341" s="5">
        <f>RANK(clean[[#This Row],[Clean Gold]],clean[Clean Gold], 0)</f>
        <v>319</v>
      </c>
      <c r="AQ341" s="1">
        <v>255</v>
      </c>
      <c r="AR341" s="1" t="str" cm="1">
        <f t="array" ref="AR341">_xlfn.IFS(clean[[#This Row],[Clean Level]]&gt;=76, "Legend", clean[[#This Row],[Clean Level]]&gt;=51, "Elite", clean[[#This Row],[Clean Level]]&gt;=26, "Veteran", TRUE, "Rookie")</f>
        <v>Elite</v>
      </c>
      <c r="AS341" s="1" t="str">
        <f>IF(RPG_dataset[[#This Row],[Status]]="Active", "TRUE", "FALSE")</f>
        <v>TRUE</v>
      </c>
      <c r="AT341" s="1" t="str" cm="1">
        <f t="array" ref="AT341">_xlfn.IFS(clean[[#This Row],[Clean Win Rate]]&gt;70, "Excellent", clean[[#This Row],[Clean Win Rate]]&gt;=40, "Average", TRUE, "Poor")</f>
        <v>Poor</v>
      </c>
      <c r="AU341" s="1" t="str">
        <f>IF(AND(clean[[#This Row],[Clean Level]]&gt;80, clean[[#This Row],[Clean Total Stat]]&gt;350, clean[[#This Row],[Clean Gold]]&gt;500000), "Overpowered", "Normal")</f>
        <v>Normal</v>
      </c>
      <c r="AV341" s="1" t="str" cm="1">
        <f t="array" ref="AV34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41" s="1" t="str" cm="1">
        <f t="array" ref="AW34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341" s="1"/>
    </row>
    <row r="342" spans="1:50" x14ac:dyDescent="0.3">
      <c r="A342" s="2" t="s">
        <v>1201</v>
      </c>
      <c r="B342" s="2" t="s">
        <v>1202</v>
      </c>
      <c r="C342" s="2" t="s">
        <v>167</v>
      </c>
      <c r="D342" s="2" t="s">
        <v>144</v>
      </c>
      <c r="E342" s="2" t="s">
        <v>169</v>
      </c>
      <c r="F342" s="2" t="s">
        <v>194</v>
      </c>
      <c r="G342" s="2">
        <v>70</v>
      </c>
      <c r="H342" s="2" t="s">
        <v>43</v>
      </c>
      <c r="I342" s="2" t="s">
        <v>54</v>
      </c>
      <c r="J342" s="2" t="s">
        <v>92</v>
      </c>
      <c r="K342" s="2" t="s">
        <v>99</v>
      </c>
      <c r="L342" s="6" t="s">
        <v>1203</v>
      </c>
      <c r="M342" s="2">
        <v>12</v>
      </c>
      <c r="N342" s="2">
        <v>28</v>
      </c>
      <c r="O342" s="2">
        <v>115</v>
      </c>
      <c r="P342" s="2">
        <v>290</v>
      </c>
      <c r="Q342" s="2">
        <v>802</v>
      </c>
      <c r="R342" s="2">
        <v>155</v>
      </c>
      <c r="S342" s="2">
        <v>4756</v>
      </c>
      <c r="T342" s="2">
        <v>220</v>
      </c>
      <c r="U342" s="2">
        <v>293</v>
      </c>
      <c r="V342" s="2">
        <v>96</v>
      </c>
      <c r="W342" s="2">
        <v>145</v>
      </c>
      <c r="X342" s="9">
        <v>657356</v>
      </c>
      <c r="Y342" s="2" t="s">
        <v>46</v>
      </c>
      <c r="AA342" s="1" t="str">
        <f>TRIM(RPG_dataset[[#This Row],[Username]])</f>
        <v>tilda_332</v>
      </c>
      <c r="AB342" s="1" t="str">
        <f>TRIM(RPG_dataset[[#This Row],[First Name]])</f>
        <v>Tilda</v>
      </c>
      <c r="AC342" s="1" t="str">
        <f>PROPER(TRIM(RPG_dataset[[#This Row],[Race]]))</f>
        <v>Halfling</v>
      </c>
      <c r="AD342" s="1" t="str">
        <f>PROPER(TRIM(RPG_dataset[[#This Row],[Class]]))</f>
        <v>Paladin</v>
      </c>
      <c r="AE342" s="1">
        <f>ABS(RPG_dataset[[#This Row],[Level]])</f>
        <v>70</v>
      </c>
      <c r="AF342" s="1">
        <f>ABS(RPG_dataset[[#This Row],[ATK]])</f>
        <v>12</v>
      </c>
      <c r="AG342" s="1">
        <f>ABS(RPG_dataset[[#This Row],[DEF]])</f>
        <v>28</v>
      </c>
      <c r="AH342" s="1">
        <f>ABS(RPG_dataset[[#This Row],[SPD]])</f>
        <v>115</v>
      </c>
      <c r="AI342" s="1">
        <f>ABS(RPG_dataset[[#This Row],[HP]])</f>
        <v>290</v>
      </c>
      <c r="AJ342" s="1">
        <f>ABS(RPG_dataset[[#This Row],[MP]])</f>
        <v>802</v>
      </c>
      <c r="AK342" s="1">
        <f>ABS(RPG_dataset[[#This Row],[Total Stat]])</f>
        <v>155</v>
      </c>
      <c r="AL342" s="1">
        <f>ABS(RPG_dataset[[#This Row],[Kills]])</f>
        <v>4756</v>
      </c>
      <c r="AM342" s="12">
        <f>ABS(RPG_dataset[[#This Row],[Win Rate (%)]])</f>
        <v>96</v>
      </c>
      <c r="AN342" s="4">
        <f>ABS(RPG_dataset[[#This Row],[Gold Earned]])</f>
        <v>657356</v>
      </c>
      <c r="AO342" s="5" t="str">
        <f t="shared" si="5"/>
        <v>Fix This</v>
      </c>
      <c r="AP342" s="5">
        <f>RANK(clean[[#This Row],[Clean Gold]],clean[Clean Gold], 0)</f>
        <v>171</v>
      </c>
      <c r="AQ342" s="1">
        <v>173</v>
      </c>
      <c r="AR342" s="1" t="str" cm="1">
        <f t="array" ref="AR342">_xlfn.IFS(clean[[#This Row],[Clean Level]]&gt;=76, "Legend", clean[[#This Row],[Clean Level]]&gt;=51, "Elite", clean[[#This Row],[Clean Level]]&gt;=26, "Veteran", TRUE, "Rookie")</f>
        <v>Elite</v>
      </c>
      <c r="AS342" s="1" t="str">
        <f>IF(RPG_dataset[[#This Row],[Status]]="Active", "TRUE", "FALSE")</f>
        <v>FALSE</v>
      </c>
      <c r="AT342" s="1" t="str" cm="1">
        <f t="array" ref="AT342">_xlfn.IFS(clean[[#This Row],[Clean Win Rate]]&gt;70, "Excellent", clean[[#This Row],[Clean Win Rate]]&gt;=40, "Average", TRUE, "Poor")</f>
        <v>Excellent</v>
      </c>
      <c r="AU342" s="1" t="str">
        <f>IF(AND(clean[[#This Row],[Clean Level]]&gt;80, clean[[#This Row],[Clean Total Stat]]&gt;350, clean[[#This Row],[Clean Gold]]&gt;500000), "Overpowered", "Normal")</f>
        <v>Normal</v>
      </c>
      <c r="AV342" s="1" t="str" cm="1">
        <f t="array" ref="AV34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42" s="1" t="str" cm="1">
        <f t="array" ref="AW34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42" s="1"/>
    </row>
    <row r="343" spans="1:50" x14ac:dyDescent="0.3">
      <c r="A343" s="2" t="s">
        <v>1204</v>
      </c>
      <c r="B343" s="2" t="s">
        <v>1205</v>
      </c>
      <c r="C343" s="2" t="s">
        <v>223</v>
      </c>
      <c r="D343" s="2" t="s">
        <v>168</v>
      </c>
      <c r="E343" s="2" t="s">
        <v>71</v>
      </c>
      <c r="F343" s="2" t="s">
        <v>30</v>
      </c>
      <c r="G343" s="2">
        <v>9</v>
      </c>
      <c r="H343" s="2" t="s">
        <v>157</v>
      </c>
      <c r="I343" s="2" t="s">
        <v>74</v>
      </c>
      <c r="J343" s="2" t="s">
        <v>163</v>
      </c>
      <c r="K343" s="2" t="s">
        <v>106</v>
      </c>
      <c r="L343" s="6" t="s">
        <v>1206</v>
      </c>
      <c r="M343" s="2">
        <v>11</v>
      </c>
      <c r="N343" s="2">
        <v>112</v>
      </c>
      <c r="O343" s="2">
        <v>88</v>
      </c>
      <c r="P343" s="2">
        <v>2454</v>
      </c>
      <c r="Q343" s="2">
        <v>2252</v>
      </c>
      <c r="R343" s="2">
        <v>211</v>
      </c>
      <c r="S343" s="2">
        <v>199</v>
      </c>
      <c r="T343" s="2">
        <v>465</v>
      </c>
      <c r="U343" s="2">
        <v>222</v>
      </c>
      <c r="V343" s="2">
        <v>30</v>
      </c>
      <c r="W343" s="2">
        <v>7796</v>
      </c>
      <c r="X343" s="9">
        <v>416829</v>
      </c>
      <c r="Y343" s="2" t="s">
        <v>36</v>
      </c>
      <c r="AA343" s="1" t="str">
        <f>TRIM(RPG_dataset[[#This Row],[Username]])</f>
        <v>lyra_373</v>
      </c>
      <c r="AB343" s="1" t="str">
        <f>TRIM(RPG_dataset[[#This Row],[First Name]])</f>
        <v>Lyra</v>
      </c>
      <c r="AC343" s="1" t="str">
        <f>PROPER(TRIM(RPG_dataset[[#This Row],[Race]]))</f>
        <v>Dragonborn</v>
      </c>
      <c r="AD343" s="1" t="str">
        <f>PROPER(TRIM(RPG_dataset[[#This Row],[Class]]))</f>
        <v>Rogue</v>
      </c>
      <c r="AE343" s="1">
        <f>ABS(RPG_dataset[[#This Row],[Level]])</f>
        <v>9</v>
      </c>
      <c r="AF343" s="1">
        <f>ABS(RPG_dataset[[#This Row],[ATK]])</f>
        <v>11</v>
      </c>
      <c r="AG343" s="1">
        <f>ABS(RPG_dataset[[#This Row],[DEF]])</f>
        <v>112</v>
      </c>
      <c r="AH343" s="1">
        <f>ABS(RPG_dataset[[#This Row],[SPD]])</f>
        <v>88</v>
      </c>
      <c r="AI343" s="1">
        <f>ABS(RPG_dataset[[#This Row],[HP]])</f>
        <v>2454</v>
      </c>
      <c r="AJ343" s="1">
        <f>ABS(RPG_dataset[[#This Row],[MP]])</f>
        <v>2252</v>
      </c>
      <c r="AK343" s="1">
        <f>ABS(RPG_dataset[[#This Row],[Total Stat]])</f>
        <v>211</v>
      </c>
      <c r="AL343" s="1">
        <f>ABS(RPG_dataset[[#This Row],[Kills]])</f>
        <v>199</v>
      </c>
      <c r="AM343" s="12">
        <f>ABS(RPG_dataset[[#This Row],[Win Rate (%)]])</f>
        <v>30</v>
      </c>
      <c r="AN343" s="4">
        <f>ABS(RPG_dataset[[#This Row],[Gold Earned]])</f>
        <v>416829</v>
      </c>
      <c r="AO343" s="5" t="str">
        <f t="shared" si="5"/>
        <v>OK</v>
      </c>
      <c r="AP343" s="5">
        <f>RANK(clean[[#This Row],[Clean Gold]],clean[Clean Gold], 0)</f>
        <v>299</v>
      </c>
      <c r="AQ343" s="1">
        <v>370</v>
      </c>
      <c r="AR343" s="1" t="str" cm="1">
        <f t="array" ref="AR343">_xlfn.IFS(clean[[#This Row],[Clean Level]]&gt;=76, "Legend", clean[[#This Row],[Clean Level]]&gt;=51, "Elite", clean[[#This Row],[Clean Level]]&gt;=26, "Veteran", TRUE, "Rookie")</f>
        <v>Rookie</v>
      </c>
      <c r="AS343" s="1" t="str">
        <f>IF(RPG_dataset[[#This Row],[Status]]="Active", "TRUE", "FALSE")</f>
        <v>FALSE</v>
      </c>
      <c r="AT343" s="1" t="str" cm="1">
        <f t="array" ref="AT343">_xlfn.IFS(clean[[#This Row],[Clean Win Rate]]&gt;70, "Excellent", clean[[#This Row],[Clean Win Rate]]&gt;=40, "Average", TRUE, "Poor")</f>
        <v>Poor</v>
      </c>
      <c r="AU343" s="1" t="str">
        <f>IF(AND(clean[[#This Row],[Clean Level]]&gt;80, clean[[#This Row],[Clean Total Stat]]&gt;350, clean[[#This Row],[Clean Gold]]&gt;500000), "Overpowered", "Normal")</f>
        <v>Normal</v>
      </c>
      <c r="AV343" s="1" t="str" cm="1">
        <f t="array" ref="AV34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43" s="1" t="str" cm="1">
        <f t="array" ref="AW34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43" s="1"/>
    </row>
    <row r="344" spans="1:50" x14ac:dyDescent="0.3">
      <c r="A344" s="2" t="s">
        <v>1207</v>
      </c>
      <c r="B344" s="2" t="s">
        <v>1208</v>
      </c>
      <c r="C344" s="2" t="s">
        <v>27</v>
      </c>
      <c r="D344" s="2" t="s">
        <v>234</v>
      </c>
      <c r="E344" s="2" t="s">
        <v>71</v>
      </c>
      <c r="F344" s="2" t="s">
        <v>72</v>
      </c>
      <c r="G344" s="2">
        <v>65</v>
      </c>
      <c r="H344" s="2" t="s">
        <v>53</v>
      </c>
      <c r="I344" s="2" t="s">
        <v>54</v>
      </c>
      <c r="J344" s="2" t="s">
        <v>120</v>
      </c>
      <c r="K344" s="2" t="s">
        <v>44</v>
      </c>
      <c r="L344" s="6" t="s">
        <v>1209</v>
      </c>
      <c r="M344" s="2">
        <v>75</v>
      </c>
      <c r="N344" s="2">
        <v>115</v>
      </c>
      <c r="O344" s="2">
        <v>42</v>
      </c>
      <c r="P344" s="2">
        <v>2137</v>
      </c>
      <c r="Q344" s="2">
        <v>-253</v>
      </c>
      <c r="R344" s="2">
        <v>232</v>
      </c>
      <c r="S344" s="2">
        <v>662</v>
      </c>
      <c r="T344" s="2">
        <v>959</v>
      </c>
      <c r="U344" s="2">
        <v>31</v>
      </c>
      <c r="V344" s="2">
        <v>41</v>
      </c>
      <c r="W344" s="2">
        <v>5087</v>
      </c>
      <c r="X344" s="9">
        <v>271746</v>
      </c>
      <c r="Y344" s="2" t="s">
        <v>36</v>
      </c>
      <c r="AA344" s="1" t="str">
        <f>TRIM(RPG_dataset[[#This Row],[Username]])</f>
        <v>aiden_748</v>
      </c>
      <c r="AB344" s="1" t="str">
        <f>TRIM(RPG_dataset[[#This Row],[First Name]])</f>
        <v>Aiden</v>
      </c>
      <c r="AC344" s="1" t="str">
        <f>PROPER(TRIM(RPG_dataset[[#This Row],[Race]]))</f>
        <v>Dragonborn</v>
      </c>
      <c r="AD344" s="1" t="str">
        <f>PROPER(TRIM(RPG_dataset[[#This Row],[Class]]))</f>
        <v>Warrior</v>
      </c>
      <c r="AE344" s="1">
        <f>ABS(RPG_dataset[[#This Row],[Level]])</f>
        <v>65</v>
      </c>
      <c r="AF344" s="1">
        <f>ABS(RPG_dataset[[#This Row],[ATK]])</f>
        <v>75</v>
      </c>
      <c r="AG344" s="1">
        <f>ABS(RPG_dataset[[#This Row],[DEF]])</f>
        <v>115</v>
      </c>
      <c r="AH344" s="1">
        <f>ABS(RPG_dataset[[#This Row],[SPD]])</f>
        <v>42</v>
      </c>
      <c r="AI344" s="1">
        <f>ABS(RPG_dataset[[#This Row],[HP]])</f>
        <v>2137</v>
      </c>
      <c r="AJ344" s="1">
        <f>ABS(RPG_dataset[[#This Row],[MP]])</f>
        <v>253</v>
      </c>
      <c r="AK344" s="1">
        <f>ABS(RPG_dataset[[#This Row],[Total Stat]])</f>
        <v>232</v>
      </c>
      <c r="AL344" s="1">
        <f>ABS(RPG_dataset[[#This Row],[Kills]])</f>
        <v>662</v>
      </c>
      <c r="AM344" s="12">
        <f>ABS(RPG_dataset[[#This Row],[Win Rate (%)]])</f>
        <v>41</v>
      </c>
      <c r="AN344" s="4">
        <f>ABS(RPG_dataset[[#This Row],[Gold Earned]])</f>
        <v>271746</v>
      </c>
      <c r="AO344" s="5" t="str">
        <f t="shared" si="5"/>
        <v>OK</v>
      </c>
      <c r="AP344" s="5">
        <f>RANK(clean[[#This Row],[Clean Gold]],clean[Clean Gold], 0)</f>
        <v>366</v>
      </c>
      <c r="AQ344" s="1">
        <v>273</v>
      </c>
      <c r="AR344" s="1" t="str" cm="1">
        <f t="array" ref="AR344">_xlfn.IFS(clean[[#This Row],[Clean Level]]&gt;=76, "Legend", clean[[#This Row],[Clean Level]]&gt;=51, "Elite", clean[[#This Row],[Clean Level]]&gt;=26, "Veteran", TRUE, "Rookie")</f>
        <v>Elite</v>
      </c>
      <c r="AS344" s="1" t="str">
        <f>IF(RPG_dataset[[#This Row],[Status]]="Active", "TRUE", "FALSE")</f>
        <v>TRUE</v>
      </c>
      <c r="AT344" s="1" t="str" cm="1">
        <f t="array" ref="AT344">_xlfn.IFS(clean[[#This Row],[Clean Win Rate]]&gt;70, "Excellent", clean[[#This Row],[Clean Win Rate]]&gt;=40, "Average", TRUE, "Poor")</f>
        <v>Average</v>
      </c>
      <c r="AU344" s="1" t="str">
        <f>IF(AND(clean[[#This Row],[Clean Level]]&gt;80, clean[[#This Row],[Clean Total Stat]]&gt;350, clean[[#This Row],[Clean Gold]]&gt;500000), "Overpowered", "Normal")</f>
        <v>Normal</v>
      </c>
      <c r="AV344" s="1" t="str" cm="1">
        <f t="array" ref="AV34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44" s="1" t="str" cm="1">
        <f t="array" ref="AW34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344" s="1"/>
    </row>
    <row r="345" spans="1:50" x14ac:dyDescent="0.3">
      <c r="A345" s="2" t="s">
        <v>1210</v>
      </c>
      <c r="B345" s="2" t="s">
        <v>1211</v>
      </c>
      <c r="C345" s="2" t="s">
        <v>689</v>
      </c>
      <c r="D345" s="2" t="s">
        <v>40</v>
      </c>
      <c r="E345" s="2" t="s">
        <v>51</v>
      </c>
      <c r="F345" s="2" t="s">
        <v>194</v>
      </c>
      <c r="G345" s="2">
        <v>86</v>
      </c>
      <c r="H345" s="2" t="s">
        <v>80</v>
      </c>
      <c r="I345" s="2" t="s">
        <v>126</v>
      </c>
      <c r="J345" s="2" t="s">
        <v>88</v>
      </c>
      <c r="K345" s="2" t="s">
        <v>44</v>
      </c>
      <c r="L345" s="6" t="s">
        <v>860</v>
      </c>
      <c r="M345" s="2">
        <v>85</v>
      </c>
      <c r="N345" s="2">
        <v>59</v>
      </c>
      <c r="O345" s="2">
        <v>66</v>
      </c>
      <c r="P345" s="2">
        <v>328</v>
      </c>
      <c r="Q345" s="2">
        <v>2653</v>
      </c>
      <c r="R345" s="2">
        <v>210</v>
      </c>
      <c r="S345" s="2">
        <v>2117</v>
      </c>
      <c r="T345" s="2">
        <v>71</v>
      </c>
      <c r="U345" s="2">
        <v>38</v>
      </c>
      <c r="V345" s="2">
        <v>97</v>
      </c>
      <c r="W345" s="2">
        <v>6456</v>
      </c>
      <c r="X345" s="2"/>
      <c r="Y345" s="2" t="s">
        <v>46</v>
      </c>
      <c r="AA345" s="1" t="str">
        <f>TRIM(RPG_dataset[[#This Row],[Username]])</f>
        <v>theron_779</v>
      </c>
      <c r="AB345" s="1" t="str">
        <f>TRIM(RPG_dataset[[#This Row],[First Name]])</f>
        <v>Theron</v>
      </c>
      <c r="AC345" s="1" t="str">
        <f>PROPER(TRIM(RPG_dataset[[#This Row],[Race]]))</f>
        <v>Tiefling</v>
      </c>
      <c r="AD345" s="1" t="str">
        <f>PROPER(TRIM(RPG_dataset[[#This Row],[Class]]))</f>
        <v>Paladin</v>
      </c>
      <c r="AE345" s="1">
        <f>ABS(RPG_dataset[[#This Row],[Level]])</f>
        <v>86</v>
      </c>
      <c r="AF345" s="1">
        <f>ABS(RPG_dataset[[#This Row],[ATK]])</f>
        <v>85</v>
      </c>
      <c r="AG345" s="1">
        <f>ABS(RPG_dataset[[#This Row],[DEF]])</f>
        <v>59</v>
      </c>
      <c r="AH345" s="1">
        <f>ABS(RPG_dataset[[#This Row],[SPD]])</f>
        <v>66</v>
      </c>
      <c r="AI345" s="1">
        <f>ABS(RPG_dataset[[#This Row],[HP]])</f>
        <v>328</v>
      </c>
      <c r="AJ345" s="1">
        <f>ABS(RPG_dataset[[#This Row],[MP]])</f>
        <v>2653</v>
      </c>
      <c r="AK345" s="1">
        <f>ABS(RPG_dataset[[#This Row],[Total Stat]])</f>
        <v>210</v>
      </c>
      <c r="AL345" s="1">
        <f>ABS(RPG_dataset[[#This Row],[Kills]])</f>
        <v>2117</v>
      </c>
      <c r="AM345" s="12">
        <f>ABS(RPG_dataset[[#This Row],[Win Rate (%)]])</f>
        <v>97</v>
      </c>
      <c r="AN345" s="4">
        <f>ABS(RPG_dataset[[#This Row],[Gold Earned]])</f>
        <v>0</v>
      </c>
      <c r="AO345" s="5" t="str">
        <f t="shared" si="5"/>
        <v>OK</v>
      </c>
      <c r="AP345" s="5">
        <f>RANK(clean[[#This Row],[Clean Gold]],clean[Clean Gold], 0)</f>
        <v>486</v>
      </c>
      <c r="AQ345" s="1">
        <v>269</v>
      </c>
      <c r="AR345" s="1" t="str" cm="1">
        <f t="array" ref="AR345">_xlfn.IFS(clean[[#This Row],[Clean Level]]&gt;=76, "Legend", clean[[#This Row],[Clean Level]]&gt;=51, "Elite", clean[[#This Row],[Clean Level]]&gt;=26, "Veteran", TRUE, "Rookie")</f>
        <v>Legend</v>
      </c>
      <c r="AS345" s="1" t="str">
        <f>IF(RPG_dataset[[#This Row],[Status]]="Active", "TRUE", "FALSE")</f>
        <v>TRUE</v>
      </c>
      <c r="AT345" s="1" t="str" cm="1">
        <f t="array" ref="AT345">_xlfn.IFS(clean[[#This Row],[Clean Win Rate]]&gt;70, "Excellent", clean[[#This Row],[Clean Win Rate]]&gt;=40, "Average", TRUE, "Poor")</f>
        <v>Excellent</v>
      </c>
      <c r="AU345" s="1" t="str">
        <f>IF(AND(clean[[#This Row],[Clean Level]]&gt;80, clean[[#This Row],[Clean Total Stat]]&gt;350, clean[[#This Row],[Clean Gold]]&gt;500000), "Overpowered", "Normal")</f>
        <v>Normal</v>
      </c>
      <c r="AV345" s="1" t="str" cm="1">
        <f t="array" ref="AV34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45" s="1" t="str" cm="1">
        <f t="array" ref="AW34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345" s="1"/>
    </row>
    <row r="346" spans="1:50" x14ac:dyDescent="0.3">
      <c r="A346" s="2" t="s">
        <v>1212</v>
      </c>
      <c r="B346" s="2" t="s">
        <v>1213</v>
      </c>
      <c r="C346" s="2" t="s">
        <v>123</v>
      </c>
      <c r="D346" s="2" t="s">
        <v>401</v>
      </c>
      <c r="E346" s="2" t="s">
        <v>51</v>
      </c>
      <c r="F346" s="2" t="s">
        <v>72</v>
      </c>
      <c r="G346" s="2">
        <v>76</v>
      </c>
      <c r="H346" s="2" t="s">
        <v>53</v>
      </c>
      <c r="I346" s="2" t="s">
        <v>63</v>
      </c>
      <c r="J346" s="2" t="s">
        <v>81</v>
      </c>
      <c r="K346" s="2" t="s">
        <v>34</v>
      </c>
      <c r="L346" s="6" t="s">
        <v>1214</v>
      </c>
      <c r="M346" s="2">
        <v>70</v>
      </c>
      <c r="N346" s="2">
        <v>56</v>
      </c>
      <c r="O346" s="2">
        <v>111</v>
      </c>
      <c r="P346" s="2">
        <v>3729</v>
      </c>
      <c r="Q346" s="2">
        <v>1762</v>
      </c>
      <c r="R346" s="2">
        <v>237</v>
      </c>
      <c r="S346" s="2">
        <v>3503</v>
      </c>
      <c r="T346" s="2">
        <v>673</v>
      </c>
      <c r="U346" s="2">
        <v>125</v>
      </c>
      <c r="V346" s="2">
        <v>84</v>
      </c>
      <c r="W346" s="2">
        <v>9813</v>
      </c>
      <c r="X346" s="9">
        <v>236651</v>
      </c>
      <c r="Y346" s="2" t="s">
        <v>46</v>
      </c>
      <c r="AA346" s="1" t="str">
        <f>TRIM(RPG_dataset[[#This Row],[Username]])</f>
        <v>faye_650</v>
      </c>
      <c r="AB346" s="1" t="str">
        <f>TRIM(RPG_dataset[[#This Row],[First Name]])</f>
        <v>Faye</v>
      </c>
      <c r="AC346" s="1" t="str">
        <f>PROPER(TRIM(RPG_dataset[[#This Row],[Race]]))</f>
        <v>Tiefling</v>
      </c>
      <c r="AD346" s="1" t="str">
        <f>PROPER(TRIM(RPG_dataset[[#This Row],[Class]]))</f>
        <v>Warrior</v>
      </c>
      <c r="AE346" s="1">
        <f>ABS(RPG_dataset[[#This Row],[Level]])</f>
        <v>76</v>
      </c>
      <c r="AF346" s="1">
        <f>ABS(RPG_dataset[[#This Row],[ATK]])</f>
        <v>70</v>
      </c>
      <c r="AG346" s="1">
        <f>ABS(RPG_dataset[[#This Row],[DEF]])</f>
        <v>56</v>
      </c>
      <c r="AH346" s="1">
        <f>ABS(RPG_dataset[[#This Row],[SPD]])</f>
        <v>111</v>
      </c>
      <c r="AI346" s="1">
        <f>ABS(RPG_dataset[[#This Row],[HP]])</f>
        <v>3729</v>
      </c>
      <c r="AJ346" s="1">
        <f>ABS(RPG_dataset[[#This Row],[MP]])</f>
        <v>1762</v>
      </c>
      <c r="AK346" s="1">
        <f>ABS(RPG_dataset[[#This Row],[Total Stat]])</f>
        <v>237</v>
      </c>
      <c r="AL346" s="1">
        <f>ABS(RPG_dataset[[#This Row],[Kills]])</f>
        <v>3503</v>
      </c>
      <c r="AM346" s="12">
        <f>ABS(RPG_dataset[[#This Row],[Win Rate (%)]])</f>
        <v>84</v>
      </c>
      <c r="AN346" s="4">
        <f>ABS(RPG_dataset[[#This Row],[Gold Earned]])</f>
        <v>236651</v>
      </c>
      <c r="AO346" s="5" t="str">
        <f t="shared" si="5"/>
        <v>OK</v>
      </c>
      <c r="AP346" s="5">
        <f>RANK(clean[[#This Row],[Clean Gold]],clean[Clean Gold], 0)</f>
        <v>378</v>
      </c>
      <c r="AQ346" s="1">
        <v>155</v>
      </c>
      <c r="AR346" s="1" t="str" cm="1">
        <f t="array" ref="AR346">_xlfn.IFS(clean[[#This Row],[Clean Level]]&gt;=76, "Legend", clean[[#This Row],[Clean Level]]&gt;=51, "Elite", clean[[#This Row],[Clean Level]]&gt;=26, "Veteran", TRUE, "Rookie")</f>
        <v>Legend</v>
      </c>
      <c r="AS346" s="1" t="str">
        <f>IF(RPG_dataset[[#This Row],[Status]]="Active", "TRUE", "FALSE")</f>
        <v>FALSE</v>
      </c>
      <c r="AT346" s="1" t="str" cm="1">
        <f t="array" ref="AT346">_xlfn.IFS(clean[[#This Row],[Clean Win Rate]]&gt;70, "Excellent", clean[[#This Row],[Clean Win Rate]]&gt;=40, "Average", TRUE, "Poor")</f>
        <v>Excellent</v>
      </c>
      <c r="AU346" s="1" t="str">
        <f>IF(AND(clean[[#This Row],[Clean Level]]&gt;80, clean[[#This Row],[Clean Total Stat]]&gt;350, clean[[#This Row],[Clean Gold]]&gt;500000), "Overpowered", "Normal")</f>
        <v>Normal</v>
      </c>
      <c r="AV346" s="1" t="str" cm="1">
        <f t="array" ref="AV34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46" s="1" t="str" cm="1">
        <f t="array" ref="AW34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46" s="1"/>
    </row>
    <row r="347" spans="1:50" x14ac:dyDescent="0.3">
      <c r="A347" s="2" t="s">
        <v>1215</v>
      </c>
      <c r="B347" s="2" t="s">
        <v>1216</v>
      </c>
      <c r="C347" s="2" t="s">
        <v>253</v>
      </c>
      <c r="D347" s="2" t="s">
        <v>234</v>
      </c>
      <c r="E347" s="2" t="s">
        <v>51</v>
      </c>
      <c r="F347" s="2" t="s">
        <v>52</v>
      </c>
      <c r="G347" s="2">
        <v>57</v>
      </c>
      <c r="H347" s="2" t="s">
        <v>157</v>
      </c>
      <c r="I347" s="2" t="s">
        <v>140</v>
      </c>
      <c r="J347" s="2" t="s">
        <v>64</v>
      </c>
      <c r="K347" s="2" t="s">
        <v>106</v>
      </c>
      <c r="L347" s="6" t="s">
        <v>1217</v>
      </c>
      <c r="M347" s="2">
        <v>-48</v>
      </c>
      <c r="N347" s="2">
        <v>98</v>
      </c>
      <c r="O347" s="2">
        <v>106</v>
      </c>
      <c r="P347" s="2">
        <v>3507</v>
      </c>
      <c r="Q347" s="2">
        <v>783</v>
      </c>
      <c r="R347" s="2">
        <v>252</v>
      </c>
      <c r="S347" s="2">
        <v>4488</v>
      </c>
      <c r="T347" s="2">
        <v>862</v>
      </c>
      <c r="U347" s="2">
        <v>144</v>
      </c>
      <c r="V347" s="2">
        <v>-84</v>
      </c>
      <c r="W347" s="2">
        <v>6049</v>
      </c>
      <c r="X347" s="9">
        <v>423963</v>
      </c>
      <c r="Y347" s="2" t="s">
        <v>46</v>
      </c>
      <c r="AA347" s="1" t="str">
        <f>TRIM(RPG_dataset[[#This Row],[Username]])</f>
        <v>freya_763</v>
      </c>
      <c r="AB347" s="1" t="str">
        <f>TRIM(RPG_dataset[[#This Row],[First Name]])</f>
        <v>Freya</v>
      </c>
      <c r="AC347" s="1" t="str">
        <f>PROPER(TRIM(RPG_dataset[[#This Row],[Race]]))</f>
        <v>Tiefling</v>
      </c>
      <c r="AD347" s="1" t="str">
        <f>PROPER(TRIM(RPG_dataset[[#This Row],[Class]]))</f>
        <v>Bard</v>
      </c>
      <c r="AE347" s="1">
        <f>ABS(RPG_dataset[[#This Row],[Level]])</f>
        <v>57</v>
      </c>
      <c r="AF347" s="1">
        <f>ABS(RPG_dataset[[#This Row],[ATK]])</f>
        <v>48</v>
      </c>
      <c r="AG347" s="1">
        <f>ABS(RPG_dataset[[#This Row],[DEF]])</f>
        <v>98</v>
      </c>
      <c r="AH347" s="1">
        <f>ABS(RPG_dataset[[#This Row],[SPD]])</f>
        <v>106</v>
      </c>
      <c r="AI347" s="1">
        <f>ABS(RPG_dataset[[#This Row],[HP]])</f>
        <v>3507</v>
      </c>
      <c r="AJ347" s="1">
        <f>ABS(RPG_dataset[[#This Row],[MP]])</f>
        <v>783</v>
      </c>
      <c r="AK347" s="1">
        <f>ABS(RPG_dataset[[#This Row],[Total Stat]])</f>
        <v>252</v>
      </c>
      <c r="AL347" s="1">
        <f>ABS(RPG_dataset[[#This Row],[Kills]])</f>
        <v>4488</v>
      </c>
      <c r="AM347" s="12">
        <f>ABS(RPG_dataset[[#This Row],[Win Rate (%)]])</f>
        <v>84</v>
      </c>
      <c r="AN347" s="4">
        <f>ABS(RPG_dataset[[#This Row],[Gold Earned]])</f>
        <v>423963</v>
      </c>
      <c r="AO347" s="5" t="str">
        <f t="shared" si="5"/>
        <v>OK</v>
      </c>
      <c r="AP347" s="5">
        <f>RANK(clean[[#This Row],[Clean Gold]],clean[Clean Gold], 0)</f>
        <v>295</v>
      </c>
      <c r="AQ347" s="1">
        <v>242</v>
      </c>
      <c r="AR347" s="1" t="str" cm="1">
        <f t="array" ref="AR347">_xlfn.IFS(clean[[#This Row],[Clean Level]]&gt;=76, "Legend", clean[[#This Row],[Clean Level]]&gt;=51, "Elite", clean[[#This Row],[Clean Level]]&gt;=26, "Veteran", TRUE, "Rookie")</f>
        <v>Elite</v>
      </c>
      <c r="AS347" s="1" t="str">
        <f>IF(RPG_dataset[[#This Row],[Status]]="Active", "TRUE", "FALSE")</f>
        <v>FALSE</v>
      </c>
      <c r="AT347" s="1" t="str" cm="1">
        <f t="array" ref="AT347">_xlfn.IFS(clean[[#This Row],[Clean Win Rate]]&gt;70, "Excellent", clean[[#This Row],[Clean Win Rate]]&gt;=40, "Average", TRUE, "Poor")</f>
        <v>Excellent</v>
      </c>
      <c r="AU347" s="1" t="str">
        <f>IF(AND(clean[[#This Row],[Clean Level]]&gt;80, clean[[#This Row],[Clean Total Stat]]&gt;350, clean[[#This Row],[Clean Gold]]&gt;500000), "Overpowered", "Normal")</f>
        <v>Normal</v>
      </c>
      <c r="AV347" s="1" t="str" cm="1">
        <f t="array" ref="AV34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47" s="1" t="str" cm="1">
        <f t="array" ref="AW34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347" s="1"/>
    </row>
    <row r="348" spans="1:50" x14ac:dyDescent="0.3">
      <c r="A348" s="2" t="s">
        <v>1218</v>
      </c>
      <c r="B348" s="2" t="s">
        <v>1219</v>
      </c>
      <c r="C348" s="2" t="s">
        <v>724</v>
      </c>
      <c r="D348" s="2" t="s">
        <v>75</v>
      </c>
      <c r="E348" s="2" t="s">
        <v>71</v>
      </c>
      <c r="F348" s="2" t="s">
        <v>61</v>
      </c>
      <c r="G348" s="2">
        <v>26</v>
      </c>
      <c r="H348" s="2" t="s">
        <v>73</v>
      </c>
      <c r="I348" s="2" t="s">
        <v>140</v>
      </c>
      <c r="J348" s="2" t="s">
        <v>33</v>
      </c>
      <c r="K348" s="2" t="s">
        <v>99</v>
      </c>
      <c r="L348" s="6" t="s">
        <v>1220</v>
      </c>
      <c r="M348" s="2">
        <v>124</v>
      </c>
      <c r="N348" s="2">
        <v>137</v>
      </c>
      <c r="O348" s="2">
        <v>92</v>
      </c>
      <c r="P348" s="2">
        <v>2138</v>
      </c>
      <c r="Q348" s="2">
        <v>2232</v>
      </c>
      <c r="R348" s="2">
        <v>353</v>
      </c>
      <c r="S348" s="2">
        <v>4789</v>
      </c>
      <c r="T348" s="2">
        <v>952</v>
      </c>
      <c r="U348" s="2">
        <v>19</v>
      </c>
      <c r="V348" s="2">
        <v>83</v>
      </c>
      <c r="W348" s="2">
        <v>5579</v>
      </c>
      <c r="X348" s="9">
        <v>863815</v>
      </c>
      <c r="Y348" s="2" t="s">
        <v>36</v>
      </c>
      <c r="AA348" s="1" t="str">
        <f>TRIM(RPG_dataset[[#This Row],[Username]])</f>
        <v>borin_815</v>
      </c>
      <c r="AB348" s="1" t="str">
        <f>TRIM(RPG_dataset[[#This Row],[First Name]])</f>
        <v>Borin</v>
      </c>
      <c r="AC348" s="1" t="str">
        <f>PROPER(TRIM(RPG_dataset[[#This Row],[Race]]))</f>
        <v>Dragonborn</v>
      </c>
      <c r="AD348" s="1" t="str">
        <f>PROPER(TRIM(RPG_dataset[[#This Row],[Class]]))</f>
        <v>Ranger</v>
      </c>
      <c r="AE348" s="1">
        <f>ABS(RPG_dataset[[#This Row],[Level]])</f>
        <v>26</v>
      </c>
      <c r="AF348" s="1">
        <f>ABS(RPG_dataset[[#This Row],[ATK]])</f>
        <v>124</v>
      </c>
      <c r="AG348" s="1">
        <f>ABS(RPG_dataset[[#This Row],[DEF]])</f>
        <v>137</v>
      </c>
      <c r="AH348" s="1">
        <f>ABS(RPG_dataset[[#This Row],[SPD]])</f>
        <v>92</v>
      </c>
      <c r="AI348" s="1">
        <f>ABS(RPG_dataset[[#This Row],[HP]])</f>
        <v>2138</v>
      </c>
      <c r="AJ348" s="1">
        <f>ABS(RPG_dataset[[#This Row],[MP]])</f>
        <v>2232</v>
      </c>
      <c r="AK348" s="1">
        <f>ABS(RPG_dataset[[#This Row],[Total Stat]])</f>
        <v>353</v>
      </c>
      <c r="AL348" s="1">
        <f>ABS(RPG_dataset[[#This Row],[Kills]])</f>
        <v>4789</v>
      </c>
      <c r="AM348" s="12">
        <f>ABS(RPG_dataset[[#This Row],[Win Rate (%)]])</f>
        <v>83</v>
      </c>
      <c r="AN348" s="4">
        <f>ABS(RPG_dataset[[#This Row],[Gold Earned]])</f>
        <v>863815</v>
      </c>
      <c r="AO348" s="5" t="str">
        <f t="shared" si="5"/>
        <v>OK</v>
      </c>
      <c r="AP348" s="5">
        <f>RANK(clean[[#This Row],[Clean Gold]],clean[Clean Gold], 0)</f>
        <v>66</v>
      </c>
      <c r="AQ348" s="1">
        <v>294</v>
      </c>
      <c r="AR348" s="1" t="str" cm="1">
        <f t="array" ref="AR348">_xlfn.IFS(clean[[#This Row],[Clean Level]]&gt;=76, "Legend", clean[[#This Row],[Clean Level]]&gt;=51, "Elite", clean[[#This Row],[Clean Level]]&gt;=26, "Veteran", TRUE, "Rookie")</f>
        <v>Veteran</v>
      </c>
      <c r="AS348" s="1" t="str">
        <f>IF(RPG_dataset[[#This Row],[Status]]="Active", "TRUE", "FALSE")</f>
        <v>FALSE</v>
      </c>
      <c r="AT348" s="1" t="str" cm="1">
        <f t="array" ref="AT348">_xlfn.IFS(clean[[#This Row],[Clean Win Rate]]&gt;70, "Excellent", clean[[#This Row],[Clean Win Rate]]&gt;=40, "Average", TRUE, "Poor")</f>
        <v>Excellent</v>
      </c>
      <c r="AU348" s="1" t="str">
        <f>IF(AND(clean[[#This Row],[Clean Level]]&gt;80, clean[[#This Row],[Clean Total Stat]]&gt;350, clean[[#This Row],[Clean Gold]]&gt;500000), "Overpowered", "Normal")</f>
        <v>Normal</v>
      </c>
      <c r="AV348" s="1" t="str" cm="1">
        <f t="array" ref="AV34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48" s="1" t="str" cm="1">
        <f t="array" ref="AW34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348" s="1"/>
    </row>
    <row r="349" spans="1:50" x14ac:dyDescent="0.3">
      <c r="A349" s="2" t="s">
        <v>1221</v>
      </c>
      <c r="B349" s="2" t="s">
        <v>1222</v>
      </c>
      <c r="C349" s="2" t="s">
        <v>49</v>
      </c>
      <c r="D349" s="2" t="s">
        <v>139</v>
      </c>
      <c r="E349" s="2" t="s">
        <v>105</v>
      </c>
      <c r="F349" s="2" t="s">
        <v>72</v>
      </c>
      <c r="G349" s="2">
        <v>20</v>
      </c>
      <c r="H349" s="2" t="s">
        <v>53</v>
      </c>
      <c r="I349" s="2" t="s">
        <v>74</v>
      </c>
      <c r="J349" s="2" t="s">
        <v>88</v>
      </c>
      <c r="K349" s="2" t="s">
        <v>44</v>
      </c>
      <c r="L349" s="6" t="s">
        <v>1223</v>
      </c>
      <c r="M349" s="2">
        <v>83</v>
      </c>
      <c r="N349" s="2">
        <v>19</v>
      </c>
      <c r="O349" s="2"/>
      <c r="P349" s="2">
        <v>102</v>
      </c>
      <c r="Q349" s="2">
        <v>1217</v>
      </c>
      <c r="R349" s="2">
        <v>196</v>
      </c>
      <c r="S349" s="2">
        <v>881</v>
      </c>
      <c r="T349" s="2">
        <v>376</v>
      </c>
      <c r="U349" s="2">
        <v>264</v>
      </c>
      <c r="V349" s="2">
        <v>70</v>
      </c>
      <c r="W349" s="2">
        <v>428</v>
      </c>
      <c r="X349" s="9">
        <v>235285</v>
      </c>
      <c r="Y349" s="2" t="s">
        <v>36</v>
      </c>
      <c r="AA349" s="1" t="str">
        <f>TRIM(RPG_dataset[[#This Row],[Username]])</f>
        <v>dune_377</v>
      </c>
      <c r="AB349" s="1" t="str">
        <f>TRIM(RPG_dataset[[#This Row],[First Name]])</f>
        <v>Dune</v>
      </c>
      <c r="AC349" s="1" t="str">
        <f>PROPER(TRIM(RPG_dataset[[#This Row],[Race]]))</f>
        <v>Orc</v>
      </c>
      <c r="AD349" s="1" t="str">
        <f>PROPER(TRIM(RPG_dataset[[#This Row],[Class]]))</f>
        <v>Warrior</v>
      </c>
      <c r="AE349" s="1">
        <f>ABS(RPG_dataset[[#This Row],[Level]])</f>
        <v>20</v>
      </c>
      <c r="AF349" s="1">
        <f>ABS(RPG_dataset[[#This Row],[ATK]])</f>
        <v>83</v>
      </c>
      <c r="AG349" s="1">
        <f>ABS(RPG_dataset[[#This Row],[DEF]])</f>
        <v>19</v>
      </c>
      <c r="AH349" s="1">
        <f>ABS(RPG_dataset[[#This Row],[SPD]])</f>
        <v>0</v>
      </c>
      <c r="AI349" s="1">
        <f>ABS(RPG_dataset[[#This Row],[HP]])</f>
        <v>102</v>
      </c>
      <c r="AJ349" s="1">
        <f>ABS(RPG_dataset[[#This Row],[MP]])</f>
        <v>1217</v>
      </c>
      <c r="AK349" s="1">
        <f>ABS(RPG_dataset[[#This Row],[Total Stat]])</f>
        <v>196</v>
      </c>
      <c r="AL349" s="1">
        <f>ABS(RPG_dataset[[#This Row],[Kills]])</f>
        <v>881</v>
      </c>
      <c r="AM349" s="12">
        <f>ABS(RPG_dataset[[#This Row],[Win Rate (%)]])</f>
        <v>70</v>
      </c>
      <c r="AN349" s="4">
        <f>ABS(RPG_dataset[[#This Row],[Gold Earned]])</f>
        <v>235285</v>
      </c>
      <c r="AO349" s="5" t="str">
        <f t="shared" si="5"/>
        <v>OK</v>
      </c>
      <c r="AP349" s="5">
        <f>RANK(clean[[#This Row],[Clean Gold]],clean[Clean Gold], 0)</f>
        <v>380</v>
      </c>
      <c r="AQ349" s="1">
        <v>298</v>
      </c>
      <c r="AR349" s="1" t="str" cm="1">
        <f t="array" ref="AR349">_xlfn.IFS(clean[[#This Row],[Clean Level]]&gt;=76, "Legend", clean[[#This Row],[Clean Level]]&gt;=51, "Elite", clean[[#This Row],[Clean Level]]&gt;=26, "Veteran", TRUE, "Rookie")</f>
        <v>Rookie</v>
      </c>
      <c r="AS349" s="1" t="str">
        <f>IF(RPG_dataset[[#This Row],[Status]]="Active", "TRUE", "FALSE")</f>
        <v>TRUE</v>
      </c>
      <c r="AT349" s="1" t="str" cm="1">
        <f t="array" ref="AT349">_xlfn.IFS(clean[[#This Row],[Clean Win Rate]]&gt;70, "Excellent", clean[[#This Row],[Clean Win Rate]]&gt;=40, "Average", TRUE, "Poor")</f>
        <v>Average</v>
      </c>
      <c r="AU349" s="1" t="str">
        <f>IF(AND(clean[[#This Row],[Clean Level]]&gt;80, clean[[#This Row],[Clean Total Stat]]&gt;350, clean[[#This Row],[Clean Gold]]&gt;500000), "Overpowered", "Normal")</f>
        <v>Normal</v>
      </c>
      <c r="AV349" s="1" t="str" cm="1">
        <f t="array" ref="AV34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49" s="1" t="str" cm="1">
        <f t="array" ref="AW34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49" s="1"/>
    </row>
    <row r="350" spans="1:50" x14ac:dyDescent="0.3">
      <c r="A350" s="2" t="s">
        <v>1224</v>
      </c>
      <c r="B350" s="2" t="s">
        <v>1225</v>
      </c>
      <c r="C350" s="2" t="s">
        <v>1226</v>
      </c>
      <c r="D350" s="2" t="s">
        <v>254</v>
      </c>
      <c r="E350" s="2" t="s">
        <v>51</v>
      </c>
      <c r="F350" s="2" t="s">
        <v>42</v>
      </c>
      <c r="G350" s="2">
        <v>53</v>
      </c>
      <c r="H350" s="2" t="s">
        <v>62</v>
      </c>
      <c r="I350" s="2" t="s">
        <v>126</v>
      </c>
      <c r="J350" s="2" t="s">
        <v>92</v>
      </c>
      <c r="K350" s="2" t="s">
        <v>106</v>
      </c>
      <c r="L350" s="6" t="s">
        <v>1227</v>
      </c>
      <c r="M350" s="2">
        <v>118</v>
      </c>
      <c r="N350" s="2">
        <v>36</v>
      </c>
      <c r="O350" s="2">
        <v>60</v>
      </c>
      <c r="P350" s="2">
        <v>708</v>
      </c>
      <c r="Q350" s="2">
        <v>2505</v>
      </c>
      <c r="R350" s="2">
        <v>214</v>
      </c>
      <c r="S350" s="2">
        <v>2703</v>
      </c>
      <c r="T350" s="2">
        <v>584</v>
      </c>
      <c r="U350" s="2">
        <v>47</v>
      </c>
      <c r="V350" s="2">
        <v>82</v>
      </c>
      <c r="W350" s="2">
        <v>7077</v>
      </c>
      <c r="X350" s="9">
        <v>302838</v>
      </c>
      <c r="Y350" s="2" t="s">
        <v>46</v>
      </c>
      <c r="AA350" s="1" t="str">
        <f>TRIM(RPG_dataset[[#This Row],[Username]])</f>
        <v>quinn_356</v>
      </c>
      <c r="AB350" s="1" t="str">
        <f>TRIM(RPG_dataset[[#This Row],[First Name]])</f>
        <v>Quinn</v>
      </c>
      <c r="AC350" s="1" t="str">
        <f>PROPER(TRIM(RPG_dataset[[#This Row],[Race]]))</f>
        <v>Tiefling</v>
      </c>
      <c r="AD350" s="1" t="str">
        <f>PROPER(TRIM(RPG_dataset[[#This Row],[Class]]))</f>
        <v>Monk</v>
      </c>
      <c r="AE350" s="1">
        <f>ABS(RPG_dataset[[#This Row],[Level]])</f>
        <v>53</v>
      </c>
      <c r="AF350" s="1">
        <f>ABS(RPG_dataset[[#This Row],[ATK]])</f>
        <v>118</v>
      </c>
      <c r="AG350" s="1">
        <f>ABS(RPG_dataset[[#This Row],[DEF]])</f>
        <v>36</v>
      </c>
      <c r="AH350" s="1">
        <f>ABS(RPG_dataset[[#This Row],[SPD]])</f>
        <v>60</v>
      </c>
      <c r="AI350" s="1">
        <f>ABS(RPG_dataset[[#This Row],[HP]])</f>
        <v>708</v>
      </c>
      <c r="AJ350" s="1">
        <f>ABS(RPG_dataset[[#This Row],[MP]])</f>
        <v>2505</v>
      </c>
      <c r="AK350" s="1">
        <f>ABS(RPG_dataset[[#This Row],[Total Stat]])</f>
        <v>214</v>
      </c>
      <c r="AL350" s="1">
        <f>ABS(RPG_dataset[[#This Row],[Kills]])</f>
        <v>2703</v>
      </c>
      <c r="AM350" s="12">
        <f>ABS(RPG_dataset[[#This Row],[Win Rate (%)]])</f>
        <v>82</v>
      </c>
      <c r="AN350" s="4">
        <f>ABS(RPG_dataset[[#This Row],[Gold Earned]])</f>
        <v>302838</v>
      </c>
      <c r="AO350" s="5" t="str">
        <f t="shared" si="5"/>
        <v>OK</v>
      </c>
      <c r="AP350" s="5">
        <f>RANK(clean[[#This Row],[Clean Gold]],clean[Clean Gold], 0)</f>
        <v>351</v>
      </c>
      <c r="AQ350" s="1">
        <v>156</v>
      </c>
      <c r="AR350" s="1" t="str" cm="1">
        <f t="array" ref="AR350">_xlfn.IFS(clean[[#This Row],[Clean Level]]&gt;=76, "Legend", clean[[#This Row],[Clean Level]]&gt;=51, "Elite", clean[[#This Row],[Clean Level]]&gt;=26, "Veteran", TRUE, "Rookie")</f>
        <v>Elite</v>
      </c>
      <c r="AS350" s="1" t="str">
        <f>IF(RPG_dataset[[#This Row],[Status]]="Active", "TRUE", "FALSE")</f>
        <v>FALSE</v>
      </c>
      <c r="AT350" s="1" t="str" cm="1">
        <f t="array" ref="AT350">_xlfn.IFS(clean[[#This Row],[Clean Win Rate]]&gt;70, "Excellent", clean[[#This Row],[Clean Win Rate]]&gt;=40, "Average", TRUE, "Poor")</f>
        <v>Excellent</v>
      </c>
      <c r="AU350" s="1" t="str">
        <f>IF(AND(clean[[#This Row],[Clean Level]]&gt;80, clean[[#This Row],[Clean Total Stat]]&gt;350, clean[[#This Row],[Clean Gold]]&gt;500000), "Overpowered", "Normal")</f>
        <v>Normal</v>
      </c>
      <c r="AV350" s="1" t="str" cm="1">
        <f t="array" ref="AV35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50" s="1" t="str" cm="1">
        <f t="array" ref="AW35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350" s="1"/>
    </row>
    <row r="351" spans="1:50" x14ac:dyDescent="0.3">
      <c r="A351" s="2" t="s">
        <v>1228</v>
      </c>
      <c r="B351" s="2" t="s">
        <v>1229</v>
      </c>
      <c r="C351" s="2" t="s">
        <v>693</v>
      </c>
      <c r="D351" s="2" t="s">
        <v>401</v>
      </c>
      <c r="E351" s="2" t="s">
        <v>29</v>
      </c>
      <c r="F351" s="2" t="s">
        <v>52</v>
      </c>
      <c r="G351" s="2">
        <v>58</v>
      </c>
      <c r="H351" s="2" t="s">
        <v>31</v>
      </c>
      <c r="I351" s="2" t="s">
        <v>63</v>
      </c>
      <c r="J351" s="2" t="s">
        <v>111</v>
      </c>
      <c r="K351" s="2" t="s">
        <v>44</v>
      </c>
      <c r="L351" s="6" t="s">
        <v>1230</v>
      </c>
      <c r="M351" s="2">
        <v>68</v>
      </c>
      <c r="N351" s="2">
        <v>144</v>
      </c>
      <c r="O351" s="2">
        <v>136</v>
      </c>
      <c r="P351" s="2">
        <v>3241</v>
      </c>
      <c r="Q351" s="2">
        <v>1513</v>
      </c>
      <c r="R351" s="2">
        <v>348</v>
      </c>
      <c r="S351" s="2">
        <v>-1274</v>
      </c>
      <c r="T351" s="2">
        <v>785</v>
      </c>
      <c r="U351" s="2">
        <v>13</v>
      </c>
      <c r="V351" s="2">
        <v>62</v>
      </c>
      <c r="W351" s="2">
        <v>7906</v>
      </c>
      <c r="X351" s="9">
        <v>223321</v>
      </c>
      <c r="Y351" s="2" t="s">
        <v>46</v>
      </c>
      <c r="AA351" s="1" t="str">
        <f>TRIM(RPG_dataset[[#This Row],[Username]])</f>
        <v>elara_731</v>
      </c>
      <c r="AB351" s="1" t="str">
        <f>TRIM(RPG_dataset[[#This Row],[First Name]])</f>
        <v>Elara</v>
      </c>
      <c r="AC351" s="1" t="str">
        <f>PROPER(TRIM(RPG_dataset[[#This Row],[Race]]))</f>
        <v>Dwarf</v>
      </c>
      <c r="AD351" s="1" t="str">
        <f>PROPER(TRIM(RPG_dataset[[#This Row],[Class]]))</f>
        <v>Bard</v>
      </c>
      <c r="AE351" s="1">
        <f>ABS(RPG_dataset[[#This Row],[Level]])</f>
        <v>58</v>
      </c>
      <c r="AF351" s="1">
        <f>ABS(RPG_dataset[[#This Row],[ATK]])</f>
        <v>68</v>
      </c>
      <c r="AG351" s="1">
        <f>ABS(RPG_dataset[[#This Row],[DEF]])</f>
        <v>144</v>
      </c>
      <c r="AH351" s="1">
        <f>ABS(RPG_dataset[[#This Row],[SPD]])</f>
        <v>136</v>
      </c>
      <c r="AI351" s="1">
        <f>ABS(RPG_dataset[[#This Row],[HP]])</f>
        <v>3241</v>
      </c>
      <c r="AJ351" s="1">
        <f>ABS(RPG_dataset[[#This Row],[MP]])</f>
        <v>1513</v>
      </c>
      <c r="AK351" s="1">
        <f>ABS(RPG_dataset[[#This Row],[Total Stat]])</f>
        <v>348</v>
      </c>
      <c r="AL351" s="1">
        <f>ABS(RPG_dataset[[#This Row],[Kills]])</f>
        <v>1274</v>
      </c>
      <c r="AM351" s="12">
        <f>ABS(RPG_dataset[[#This Row],[Win Rate (%)]])</f>
        <v>62</v>
      </c>
      <c r="AN351" s="4">
        <f>ABS(RPG_dataset[[#This Row],[Gold Earned]])</f>
        <v>223321</v>
      </c>
      <c r="AO351" s="5" t="str">
        <f t="shared" si="5"/>
        <v>OK</v>
      </c>
      <c r="AP351" s="5">
        <f>RANK(clean[[#This Row],[Clean Gold]],clean[Clean Gold], 0)</f>
        <v>390</v>
      </c>
      <c r="AQ351" s="1">
        <v>180</v>
      </c>
      <c r="AR351" s="1" t="str" cm="1">
        <f t="array" ref="AR351">_xlfn.IFS(clean[[#This Row],[Clean Level]]&gt;=76, "Legend", clean[[#This Row],[Clean Level]]&gt;=51, "Elite", clean[[#This Row],[Clean Level]]&gt;=26, "Veteran", TRUE, "Rookie")</f>
        <v>Elite</v>
      </c>
      <c r="AS351" s="1" t="str">
        <f>IF(RPG_dataset[[#This Row],[Status]]="Active", "TRUE", "FALSE")</f>
        <v>TRUE</v>
      </c>
      <c r="AT351" s="1" t="str" cm="1">
        <f t="array" ref="AT351">_xlfn.IFS(clean[[#This Row],[Clean Win Rate]]&gt;70, "Excellent", clean[[#This Row],[Clean Win Rate]]&gt;=40, "Average", TRUE, "Poor")</f>
        <v>Average</v>
      </c>
      <c r="AU351" s="1" t="str">
        <f>IF(AND(clean[[#This Row],[Clean Level]]&gt;80, clean[[#This Row],[Clean Total Stat]]&gt;350, clean[[#This Row],[Clean Gold]]&gt;500000), "Overpowered", "Normal")</f>
        <v>Normal</v>
      </c>
      <c r="AV351" s="1" t="str" cm="1">
        <f t="array" ref="AV35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51" s="1" t="str" cm="1">
        <f t="array" ref="AW35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51" s="1"/>
    </row>
    <row r="352" spans="1:50" x14ac:dyDescent="0.3">
      <c r="A352" s="2" t="s">
        <v>1231</v>
      </c>
      <c r="B352" s="2" t="s">
        <v>1232</v>
      </c>
      <c r="C352" s="2" t="s">
        <v>118</v>
      </c>
      <c r="D352" s="2" t="s">
        <v>174</v>
      </c>
      <c r="E352" s="2" t="s">
        <v>29</v>
      </c>
      <c r="F352" s="2" t="s">
        <v>194</v>
      </c>
      <c r="G352" s="2">
        <v>70</v>
      </c>
      <c r="H352" s="2" t="s">
        <v>31</v>
      </c>
      <c r="I352" s="2" t="s">
        <v>63</v>
      </c>
      <c r="J352" s="2" t="s">
        <v>120</v>
      </c>
      <c r="K352" s="2" t="s">
        <v>44</v>
      </c>
      <c r="L352" s="6" t="s">
        <v>1233</v>
      </c>
      <c r="M352" s="2">
        <v>78</v>
      </c>
      <c r="N352" s="2">
        <v>58</v>
      </c>
      <c r="O352" s="2">
        <v>106</v>
      </c>
      <c r="P352" s="2">
        <v>1918</v>
      </c>
      <c r="Q352" s="2">
        <v>770</v>
      </c>
      <c r="R352" s="2">
        <v>242</v>
      </c>
      <c r="S352" s="2">
        <v>2451</v>
      </c>
      <c r="T352" s="2">
        <v>768</v>
      </c>
      <c r="U352" s="2">
        <v>283</v>
      </c>
      <c r="V352" s="2">
        <v>76</v>
      </c>
      <c r="W352" s="2">
        <v>9341</v>
      </c>
      <c r="X352" s="9">
        <v>701292</v>
      </c>
      <c r="Y352" s="2" t="s">
        <v>46</v>
      </c>
      <c r="AA352" s="1" t="str">
        <f>TRIM(RPG_dataset[[#This Row],[Username]])</f>
        <v>ivan_468</v>
      </c>
      <c r="AB352" s="1" t="str">
        <f>TRIM(RPG_dataset[[#This Row],[First Name]])</f>
        <v>Ivan</v>
      </c>
      <c r="AC352" s="1" t="str">
        <f>PROPER(TRIM(RPG_dataset[[#This Row],[Race]]))</f>
        <v>Dwarf</v>
      </c>
      <c r="AD352" s="1" t="str">
        <f>PROPER(TRIM(RPG_dataset[[#This Row],[Class]]))</f>
        <v>Paladin</v>
      </c>
      <c r="AE352" s="1">
        <f>ABS(RPG_dataset[[#This Row],[Level]])</f>
        <v>70</v>
      </c>
      <c r="AF352" s="1">
        <f>ABS(RPG_dataset[[#This Row],[ATK]])</f>
        <v>78</v>
      </c>
      <c r="AG352" s="1">
        <f>ABS(RPG_dataset[[#This Row],[DEF]])</f>
        <v>58</v>
      </c>
      <c r="AH352" s="1">
        <f>ABS(RPG_dataset[[#This Row],[SPD]])</f>
        <v>106</v>
      </c>
      <c r="AI352" s="1">
        <f>ABS(RPG_dataset[[#This Row],[HP]])</f>
        <v>1918</v>
      </c>
      <c r="AJ352" s="1">
        <f>ABS(RPG_dataset[[#This Row],[MP]])</f>
        <v>770</v>
      </c>
      <c r="AK352" s="1">
        <f>ABS(RPG_dataset[[#This Row],[Total Stat]])</f>
        <v>242</v>
      </c>
      <c r="AL352" s="1">
        <f>ABS(RPG_dataset[[#This Row],[Kills]])</f>
        <v>2451</v>
      </c>
      <c r="AM352" s="12">
        <f>ABS(RPG_dataset[[#This Row],[Win Rate (%)]])</f>
        <v>76</v>
      </c>
      <c r="AN352" s="4">
        <f>ABS(RPG_dataset[[#This Row],[Gold Earned]])</f>
        <v>701292</v>
      </c>
      <c r="AO352" s="5" t="str">
        <f t="shared" si="5"/>
        <v>OK</v>
      </c>
      <c r="AP352" s="5">
        <f>RANK(clean[[#This Row],[Clean Gold]],clean[Clean Gold], 0)</f>
        <v>149</v>
      </c>
      <c r="AQ352" s="1">
        <v>332</v>
      </c>
      <c r="AR352" s="1" t="str" cm="1">
        <f t="array" ref="AR352">_xlfn.IFS(clean[[#This Row],[Clean Level]]&gt;=76, "Legend", clean[[#This Row],[Clean Level]]&gt;=51, "Elite", clean[[#This Row],[Clean Level]]&gt;=26, "Veteran", TRUE, "Rookie")</f>
        <v>Elite</v>
      </c>
      <c r="AS352" s="1" t="str">
        <f>IF(RPG_dataset[[#This Row],[Status]]="Active", "TRUE", "FALSE")</f>
        <v>TRUE</v>
      </c>
      <c r="AT352" s="1" t="str" cm="1">
        <f t="array" ref="AT352">_xlfn.IFS(clean[[#This Row],[Clean Win Rate]]&gt;70, "Excellent", clean[[#This Row],[Clean Win Rate]]&gt;=40, "Average", TRUE, "Poor")</f>
        <v>Excellent</v>
      </c>
      <c r="AU352" s="1" t="str">
        <f>IF(AND(clean[[#This Row],[Clean Level]]&gt;80, clean[[#This Row],[Clean Total Stat]]&gt;350, clean[[#This Row],[Clean Gold]]&gt;500000), "Overpowered", "Normal")</f>
        <v>Normal</v>
      </c>
      <c r="AV352" s="1" t="str" cm="1">
        <f t="array" ref="AV35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52" s="1" t="str" cm="1">
        <f t="array" ref="AW35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52" s="1"/>
    </row>
    <row r="353" spans="1:50" x14ac:dyDescent="0.3">
      <c r="A353" s="2" t="s">
        <v>1234</v>
      </c>
      <c r="B353" s="2" t="s">
        <v>1235</v>
      </c>
      <c r="C353" s="2" t="s">
        <v>103</v>
      </c>
      <c r="D353" s="2" t="s">
        <v>139</v>
      </c>
      <c r="E353" s="2" t="s">
        <v>561</v>
      </c>
      <c r="F353" s="2" t="s">
        <v>194</v>
      </c>
      <c r="G353" s="2">
        <v>60</v>
      </c>
      <c r="H353" s="2" t="s">
        <v>157</v>
      </c>
      <c r="I353" s="2" t="s">
        <v>126</v>
      </c>
      <c r="J353" s="2" t="s">
        <v>88</v>
      </c>
      <c r="K353" s="2" t="s">
        <v>44</v>
      </c>
      <c r="L353" s="6" t="s">
        <v>1236</v>
      </c>
      <c r="M353" s="2">
        <v>47</v>
      </c>
      <c r="N353" s="2"/>
      <c r="O353" s="2">
        <v>92</v>
      </c>
      <c r="P353" s="2">
        <v>2677</v>
      </c>
      <c r="Q353" s="2"/>
      <c r="R353" s="2">
        <v>282</v>
      </c>
      <c r="S353" s="2"/>
      <c r="T353" s="2">
        <v>493</v>
      </c>
      <c r="U353" s="2">
        <v>126</v>
      </c>
      <c r="V353" s="2">
        <v>89</v>
      </c>
      <c r="W353" s="2">
        <v>6086</v>
      </c>
      <c r="X353" s="9">
        <v>977964</v>
      </c>
      <c r="Y353" s="2" t="s">
        <v>36</v>
      </c>
      <c r="AA353" s="1" t="str">
        <f>TRIM(RPG_dataset[[#This Row],[Username]])</f>
        <v>aria_380</v>
      </c>
      <c r="AB353" s="1" t="str">
        <f>TRIM(RPG_dataset[[#This Row],[First Name]])</f>
        <v>Aria</v>
      </c>
      <c r="AC353" s="1" t="str">
        <f>PROPER(TRIM(RPG_dataset[[#This Row],[Race]]))</f>
        <v>Dwarf</v>
      </c>
      <c r="AD353" s="1" t="str">
        <f>PROPER(TRIM(RPG_dataset[[#This Row],[Class]]))</f>
        <v>Paladin</v>
      </c>
      <c r="AE353" s="1">
        <f>ABS(RPG_dataset[[#This Row],[Level]])</f>
        <v>60</v>
      </c>
      <c r="AF353" s="1">
        <f>ABS(RPG_dataset[[#This Row],[ATK]])</f>
        <v>47</v>
      </c>
      <c r="AG353" s="1">
        <f>ABS(RPG_dataset[[#This Row],[DEF]])</f>
        <v>0</v>
      </c>
      <c r="AH353" s="1">
        <f>ABS(RPG_dataset[[#This Row],[SPD]])</f>
        <v>92</v>
      </c>
      <c r="AI353" s="1">
        <f>ABS(RPG_dataset[[#This Row],[HP]])</f>
        <v>2677</v>
      </c>
      <c r="AJ353" s="1">
        <f>ABS(RPG_dataset[[#This Row],[MP]])</f>
        <v>0</v>
      </c>
      <c r="AK353" s="1">
        <f>ABS(RPG_dataset[[#This Row],[Total Stat]])</f>
        <v>282</v>
      </c>
      <c r="AL353" s="1">
        <f>ABS(RPG_dataset[[#This Row],[Kills]])</f>
        <v>0</v>
      </c>
      <c r="AM353" s="12">
        <f>ABS(RPG_dataset[[#This Row],[Win Rate (%)]])</f>
        <v>89</v>
      </c>
      <c r="AN353" s="4">
        <f>ABS(RPG_dataset[[#This Row],[Gold Earned]])</f>
        <v>977964</v>
      </c>
      <c r="AO353" s="5" t="str">
        <f t="shared" si="5"/>
        <v>OK</v>
      </c>
      <c r="AP353" s="5">
        <f>RANK(clean[[#This Row],[Clean Gold]],clean[Clean Gold], 0)</f>
        <v>12</v>
      </c>
      <c r="AQ353" s="1"/>
      <c r="AR353" s="1" t="str" cm="1">
        <f t="array" ref="AR353">_xlfn.IFS(clean[[#This Row],[Clean Level]]&gt;=76, "Legend", clean[[#This Row],[Clean Level]]&gt;=51, "Elite", clean[[#This Row],[Clean Level]]&gt;=26, "Veteran", TRUE, "Rookie")</f>
        <v>Elite</v>
      </c>
      <c r="AS353" s="1" t="str">
        <f>IF(RPG_dataset[[#This Row],[Status]]="Active", "TRUE", "FALSE")</f>
        <v>TRUE</v>
      </c>
      <c r="AT353" s="1" t="str" cm="1">
        <f t="array" ref="AT353">_xlfn.IFS(clean[[#This Row],[Clean Win Rate]]&gt;70, "Excellent", clean[[#This Row],[Clean Win Rate]]&gt;=40, "Average", TRUE, "Poor")</f>
        <v>Excellent</v>
      </c>
      <c r="AU353" s="1" t="str">
        <f>IF(AND(clean[[#This Row],[Clean Level]]&gt;80, clean[[#This Row],[Clean Total Stat]]&gt;350, clean[[#This Row],[Clean Gold]]&gt;500000), "Overpowered", "Normal")</f>
        <v>Normal</v>
      </c>
      <c r="AV353" s="1" t="str" cm="1">
        <f t="array" ref="AV353">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353" s="1" t="str" cm="1">
        <f t="array" ref="AW35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53" s="1"/>
    </row>
    <row r="354" spans="1:50" x14ac:dyDescent="0.3">
      <c r="A354" s="2" t="s">
        <v>1237</v>
      </c>
      <c r="B354" s="2" t="s">
        <v>1238</v>
      </c>
      <c r="C354" s="2" t="s">
        <v>69</v>
      </c>
      <c r="D354" s="2" t="s">
        <v>75</v>
      </c>
      <c r="E354" s="2" t="s">
        <v>75</v>
      </c>
      <c r="F354" s="2" t="s">
        <v>194</v>
      </c>
      <c r="G354" s="2">
        <v>94</v>
      </c>
      <c r="H354" s="2" t="s">
        <v>43</v>
      </c>
      <c r="I354" s="2" t="s">
        <v>74</v>
      </c>
      <c r="J354" s="2" t="s">
        <v>111</v>
      </c>
      <c r="K354" s="2" t="s">
        <v>106</v>
      </c>
      <c r="L354" s="6" t="s">
        <v>1239</v>
      </c>
      <c r="M354" s="2">
        <v>84</v>
      </c>
      <c r="N354" s="2">
        <v>55</v>
      </c>
      <c r="O354" s="2">
        <v>89</v>
      </c>
      <c r="P354" s="2">
        <v>4961</v>
      </c>
      <c r="Q354" s="2">
        <v>817</v>
      </c>
      <c r="R354" s="2">
        <v>228</v>
      </c>
      <c r="S354" s="2">
        <v>106</v>
      </c>
      <c r="T354" s="2">
        <v>291</v>
      </c>
      <c r="U354" s="2">
        <v>2</v>
      </c>
      <c r="V354" s="2">
        <v>27</v>
      </c>
      <c r="W354" s="2">
        <v>1656</v>
      </c>
      <c r="X354" s="9">
        <v>819066</v>
      </c>
      <c r="Y354" s="2" t="s">
        <v>46</v>
      </c>
      <c r="AA354" s="1" t="str">
        <f>TRIM(RPG_dataset[[#This Row],[Username]])</f>
        <v>seth_804</v>
      </c>
      <c r="AB354" s="1" t="str">
        <f>TRIM(RPG_dataset[[#This Row],[First Name]])</f>
        <v>Seth</v>
      </c>
      <c r="AC354" s="1" t="str">
        <f>PROPER(TRIM(RPG_dataset[[#This Row],[Race]]))</f>
        <v/>
      </c>
      <c r="AD354" s="1" t="str">
        <f>PROPER(TRIM(RPG_dataset[[#This Row],[Class]]))</f>
        <v>Paladin</v>
      </c>
      <c r="AE354" s="1">
        <f>ABS(RPG_dataset[[#This Row],[Level]])</f>
        <v>94</v>
      </c>
      <c r="AF354" s="1">
        <f>ABS(RPG_dataset[[#This Row],[ATK]])</f>
        <v>84</v>
      </c>
      <c r="AG354" s="1">
        <f>ABS(RPG_dataset[[#This Row],[DEF]])</f>
        <v>55</v>
      </c>
      <c r="AH354" s="1">
        <f>ABS(RPG_dataset[[#This Row],[SPD]])</f>
        <v>89</v>
      </c>
      <c r="AI354" s="1">
        <f>ABS(RPG_dataset[[#This Row],[HP]])</f>
        <v>4961</v>
      </c>
      <c r="AJ354" s="1">
        <f>ABS(RPG_dataset[[#This Row],[MP]])</f>
        <v>817</v>
      </c>
      <c r="AK354" s="1">
        <f>ABS(RPG_dataset[[#This Row],[Total Stat]])</f>
        <v>228</v>
      </c>
      <c r="AL354" s="1">
        <f>ABS(RPG_dataset[[#This Row],[Kills]])</f>
        <v>106</v>
      </c>
      <c r="AM354" s="12">
        <f>ABS(RPG_dataset[[#This Row],[Win Rate (%)]])</f>
        <v>27</v>
      </c>
      <c r="AN354" s="4">
        <f>ABS(RPG_dataset[[#This Row],[Gold Earned]])</f>
        <v>819066</v>
      </c>
      <c r="AO354" s="5" t="str">
        <f t="shared" si="5"/>
        <v>OK</v>
      </c>
      <c r="AP354" s="5">
        <f>RANK(clean[[#This Row],[Clean Gold]],clean[Clean Gold], 0)</f>
        <v>94</v>
      </c>
      <c r="AQ354" s="1">
        <v>260</v>
      </c>
      <c r="AR354" s="1" t="str" cm="1">
        <f t="array" ref="AR354">_xlfn.IFS(clean[[#This Row],[Clean Level]]&gt;=76, "Legend", clean[[#This Row],[Clean Level]]&gt;=51, "Elite", clean[[#This Row],[Clean Level]]&gt;=26, "Veteran", TRUE, "Rookie")</f>
        <v>Legend</v>
      </c>
      <c r="AS354" s="1" t="str">
        <f>IF(RPG_dataset[[#This Row],[Status]]="Active", "TRUE", "FALSE")</f>
        <v>FALSE</v>
      </c>
      <c r="AT354" s="1" t="str" cm="1">
        <f t="array" ref="AT354">_xlfn.IFS(clean[[#This Row],[Clean Win Rate]]&gt;70, "Excellent", clean[[#This Row],[Clean Win Rate]]&gt;=40, "Average", TRUE, "Poor")</f>
        <v>Poor</v>
      </c>
      <c r="AU354" s="1" t="str">
        <f>IF(AND(clean[[#This Row],[Clean Level]]&gt;80, clean[[#This Row],[Clean Total Stat]]&gt;350, clean[[#This Row],[Clean Gold]]&gt;500000), "Overpowered", "Normal")</f>
        <v>Normal</v>
      </c>
      <c r="AV354" s="1" t="str" cm="1">
        <f t="array" ref="AV35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54" s="1" t="str" cm="1">
        <f t="array" ref="AW35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54" s="1"/>
    </row>
    <row r="355" spans="1:50" x14ac:dyDescent="0.3">
      <c r="A355" s="2" t="s">
        <v>1240</v>
      </c>
      <c r="B355" s="2" t="s">
        <v>1241</v>
      </c>
      <c r="C355" s="2" t="s">
        <v>75</v>
      </c>
      <c r="D355" s="2" t="s">
        <v>144</v>
      </c>
      <c r="E355" s="2" t="s">
        <v>105</v>
      </c>
      <c r="F355" s="2" t="s">
        <v>42</v>
      </c>
      <c r="G355" s="2">
        <v>65</v>
      </c>
      <c r="H355" s="2" t="s">
        <v>75</v>
      </c>
      <c r="I355" s="2" t="s">
        <v>126</v>
      </c>
      <c r="J355" s="2" t="s">
        <v>64</v>
      </c>
      <c r="K355" s="2" t="s">
        <v>44</v>
      </c>
      <c r="L355" s="6" t="s">
        <v>1242</v>
      </c>
      <c r="M355" s="2">
        <v>121</v>
      </c>
      <c r="N355" s="2">
        <v>77</v>
      </c>
      <c r="O355" s="2">
        <v>111</v>
      </c>
      <c r="P355" s="2">
        <v>4676</v>
      </c>
      <c r="Q355" s="2">
        <v>2499</v>
      </c>
      <c r="R355" s="2">
        <v>309</v>
      </c>
      <c r="S355" s="2">
        <v>2122</v>
      </c>
      <c r="T355" s="2">
        <v>191</v>
      </c>
      <c r="U355" s="2">
        <v>187</v>
      </c>
      <c r="V355" s="2">
        <v>92</v>
      </c>
      <c r="W355" s="2">
        <v>6285</v>
      </c>
      <c r="X355" s="9">
        <v>493446</v>
      </c>
      <c r="Y355" s="2" t="s">
        <v>46</v>
      </c>
      <c r="AA355" s="1" t="str">
        <f>TRIM(RPG_dataset[[#This Row],[Username]])</f>
        <v>nyx_148</v>
      </c>
      <c r="AB355" s="1" t="str">
        <f>TRIM(RPG_dataset[[#This Row],[First Name]])</f>
        <v/>
      </c>
      <c r="AC355" s="1" t="str">
        <f>PROPER(TRIM(RPG_dataset[[#This Row],[Race]]))</f>
        <v>Orc</v>
      </c>
      <c r="AD355" s="1" t="str">
        <f>PROPER(TRIM(RPG_dataset[[#This Row],[Class]]))</f>
        <v>Monk</v>
      </c>
      <c r="AE355" s="1">
        <f>ABS(RPG_dataset[[#This Row],[Level]])</f>
        <v>65</v>
      </c>
      <c r="AF355" s="1">
        <f>ABS(RPG_dataset[[#This Row],[ATK]])</f>
        <v>121</v>
      </c>
      <c r="AG355" s="1">
        <f>ABS(RPG_dataset[[#This Row],[DEF]])</f>
        <v>77</v>
      </c>
      <c r="AH355" s="1">
        <f>ABS(RPG_dataset[[#This Row],[SPD]])</f>
        <v>111</v>
      </c>
      <c r="AI355" s="1">
        <f>ABS(RPG_dataset[[#This Row],[HP]])</f>
        <v>4676</v>
      </c>
      <c r="AJ355" s="1">
        <f>ABS(RPG_dataset[[#This Row],[MP]])</f>
        <v>2499</v>
      </c>
      <c r="AK355" s="1">
        <f>ABS(RPG_dataset[[#This Row],[Total Stat]])</f>
        <v>309</v>
      </c>
      <c r="AL355" s="1">
        <f>ABS(RPG_dataset[[#This Row],[Kills]])</f>
        <v>2122</v>
      </c>
      <c r="AM355" s="12">
        <f>ABS(RPG_dataset[[#This Row],[Win Rate (%)]])</f>
        <v>92</v>
      </c>
      <c r="AN355" s="4">
        <f>ABS(RPG_dataset[[#This Row],[Gold Earned]])</f>
        <v>493446</v>
      </c>
      <c r="AO355" s="5" t="str">
        <f t="shared" si="5"/>
        <v>OK</v>
      </c>
      <c r="AP355" s="5">
        <f>RANK(clean[[#This Row],[Clean Gold]],clean[Clean Gold], 0)</f>
        <v>257</v>
      </c>
      <c r="AQ355" s="1">
        <v>240</v>
      </c>
      <c r="AR355" s="1" t="str" cm="1">
        <f t="array" ref="AR355">_xlfn.IFS(clean[[#This Row],[Clean Level]]&gt;=76, "Legend", clean[[#This Row],[Clean Level]]&gt;=51, "Elite", clean[[#This Row],[Clean Level]]&gt;=26, "Veteran", TRUE, "Rookie")</f>
        <v>Elite</v>
      </c>
      <c r="AS355" s="1" t="str">
        <f>IF(RPG_dataset[[#This Row],[Status]]="Active", "TRUE", "FALSE")</f>
        <v>TRUE</v>
      </c>
      <c r="AT355" s="1" t="str" cm="1">
        <f t="array" ref="AT355">_xlfn.IFS(clean[[#This Row],[Clean Win Rate]]&gt;70, "Excellent", clean[[#This Row],[Clean Win Rate]]&gt;=40, "Average", TRUE, "Poor")</f>
        <v>Excellent</v>
      </c>
      <c r="AU355" s="1" t="str">
        <f>IF(AND(clean[[#This Row],[Clean Level]]&gt;80, clean[[#This Row],[Clean Total Stat]]&gt;350, clean[[#This Row],[Clean Gold]]&gt;500000), "Overpowered", "Normal")</f>
        <v>Normal</v>
      </c>
      <c r="AV355" s="1" t="str" cm="1">
        <f t="array" ref="AV35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55" s="1" t="str" cm="1">
        <f t="array" ref="AW35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55" s="1"/>
    </row>
    <row r="356" spans="1:50" x14ac:dyDescent="0.3">
      <c r="A356" s="2" t="s">
        <v>1243</v>
      </c>
      <c r="B356" s="2" t="s">
        <v>1244</v>
      </c>
      <c r="C356" s="2" t="s">
        <v>689</v>
      </c>
      <c r="D356" s="2" t="s">
        <v>174</v>
      </c>
      <c r="E356" s="2" t="s">
        <v>608</v>
      </c>
      <c r="F356" s="2" t="s">
        <v>1245</v>
      </c>
      <c r="G356" s="2">
        <v>91</v>
      </c>
      <c r="H356" s="2" t="s">
        <v>62</v>
      </c>
      <c r="I356" s="2" t="s">
        <v>87</v>
      </c>
      <c r="J356" s="2" t="s">
        <v>163</v>
      </c>
      <c r="K356" s="2" t="s">
        <v>106</v>
      </c>
      <c r="L356" s="6" t="s">
        <v>402</v>
      </c>
      <c r="M356" s="2">
        <v>43</v>
      </c>
      <c r="N356" s="2">
        <v>131</v>
      </c>
      <c r="O356" s="2">
        <v>135</v>
      </c>
      <c r="P356" s="2">
        <v>-2870</v>
      </c>
      <c r="Q356" s="2">
        <v>2804</v>
      </c>
      <c r="R356" s="2">
        <v>309</v>
      </c>
      <c r="S356" s="2">
        <v>1029</v>
      </c>
      <c r="T356" s="2">
        <v>817</v>
      </c>
      <c r="U356" s="2">
        <v>224</v>
      </c>
      <c r="V356" s="2">
        <v>56</v>
      </c>
      <c r="W356" s="2">
        <v>4351</v>
      </c>
      <c r="X356" s="9">
        <v>549878</v>
      </c>
      <c r="Y356" s="2" t="s">
        <v>46</v>
      </c>
      <c r="AA356" s="1" t="str">
        <f>TRIM(RPG_dataset[[#This Row],[Username]])</f>
        <v>theron_966</v>
      </c>
      <c r="AB356" s="1" t="str">
        <f>TRIM(RPG_dataset[[#This Row],[First Name]])</f>
        <v>Theron</v>
      </c>
      <c r="AC356" s="1" t="str">
        <f>PROPER(TRIM(RPG_dataset[[#This Row],[Race]]))</f>
        <v>Dragonborn</v>
      </c>
      <c r="AD356" s="1" t="str">
        <f>PROPER(TRIM(RPG_dataset[[#This Row],[Class]]))</f>
        <v>Mage</v>
      </c>
      <c r="AE356" s="1">
        <f>ABS(RPG_dataset[[#This Row],[Level]])</f>
        <v>91</v>
      </c>
      <c r="AF356" s="1">
        <f>ABS(RPG_dataset[[#This Row],[ATK]])</f>
        <v>43</v>
      </c>
      <c r="AG356" s="1">
        <f>ABS(RPG_dataset[[#This Row],[DEF]])</f>
        <v>131</v>
      </c>
      <c r="AH356" s="1">
        <f>ABS(RPG_dataset[[#This Row],[SPD]])</f>
        <v>135</v>
      </c>
      <c r="AI356" s="1">
        <f>ABS(RPG_dataset[[#This Row],[HP]])</f>
        <v>2870</v>
      </c>
      <c r="AJ356" s="1">
        <f>ABS(RPG_dataset[[#This Row],[MP]])</f>
        <v>2804</v>
      </c>
      <c r="AK356" s="1">
        <f>ABS(RPG_dataset[[#This Row],[Total Stat]])</f>
        <v>309</v>
      </c>
      <c r="AL356" s="1">
        <f>ABS(RPG_dataset[[#This Row],[Kills]])</f>
        <v>1029</v>
      </c>
      <c r="AM356" s="12">
        <f>ABS(RPG_dataset[[#This Row],[Win Rate (%)]])</f>
        <v>56</v>
      </c>
      <c r="AN356" s="4">
        <f>ABS(RPG_dataset[[#This Row],[Gold Earned]])</f>
        <v>549878</v>
      </c>
      <c r="AO356" s="5" t="str">
        <f t="shared" si="5"/>
        <v>OK</v>
      </c>
      <c r="AP356" s="5">
        <f>RANK(clean[[#This Row],[Clean Gold]],clean[Clean Gold], 0)</f>
        <v>225</v>
      </c>
      <c r="AQ356" s="1">
        <v>385</v>
      </c>
      <c r="AR356" s="1" t="str" cm="1">
        <f t="array" ref="AR356">_xlfn.IFS(clean[[#This Row],[Clean Level]]&gt;=76, "Legend", clean[[#This Row],[Clean Level]]&gt;=51, "Elite", clean[[#This Row],[Clean Level]]&gt;=26, "Veteran", TRUE, "Rookie")</f>
        <v>Legend</v>
      </c>
      <c r="AS356" s="1" t="str">
        <f>IF(RPG_dataset[[#This Row],[Status]]="Active", "TRUE", "FALSE")</f>
        <v>FALSE</v>
      </c>
      <c r="AT356" s="1" t="str" cm="1">
        <f t="array" ref="AT356">_xlfn.IFS(clean[[#This Row],[Clean Win Rate]]&gt;70, "Excellent", clean[[#This Row],[Clean Win Rate]]&gt;=40, "Average", TRUE, "Poor")</f>
        <v>Average</v>
      </c>
      <c r="AU356" s="1" t="str">
        <f>IF(AND(clean[[#This Row],[Clean Level]]&gt;80, clean[[#This Row],[Clean Total Stat]]&gt;350, clean[[#This Row],[Clean Gold]]&gt;500000), "Overpowered", "Normal")</f>
        <v>Normal</v>
      </c>
      <c r="AV356" s="1" t="str" cm="1">
        <f t="array" ref="AV35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56" s="1" t="str" cm="1">
        <f t="array" ref="AW35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56" s="1"/>
    </row>
    <row r="357" spans="1:50" x14ac:dyDescent="0.3">
      <c r="A357" s="2" t="s">
        <v>1246</v>
      </c>
      <c r="B357" s="2" t="s">
        <v>75</v>
      </c>
      <c r="C357" s="2" t="s">
        <v>233</v>
      </c>
      <c r="D357" s="2" t="s">
        <v>104</v>
      </c>
      <c r="E357" s="2" t="s">
        <v>71</v>
      </c>
      <c r="F357" s="2" t="s">
        <v>72</v>
      </c>
      <c r="G357" s="2">
        <v>39</v>
      </c>
      <c r="H357" s="2" t="s">
        <v>80</v>
      </c>
      <c r="I357" s="2" t="s">
        <v>126</v>
      </c>
      <c r="J357" s="2" t="s">
        <v>64</v>
      </c>
      <c r="K357" s="2" t="s">
        <v>44</v>
      </c>
      <c r="L357" s="6" t="s">
        <v>1247</v>
      </c>
      <c r="M357" s="2">
        <v>69</v>
      </c>
      <c r="N357" s="2">
        <v>72</v>
      </c>
      <c r="O357" s="2">
        <v>62</v>
      </c>
      <c r="P357" s="2">
        <v>1713</v>
      </c>
      <c r="Q357" s="2">
        <v>2914</v>
      </c>
      <c r="R357" s="2">
        <v>203</v>
      </c>
      <c r="S357" s="2">
        <v>3162</v>
      </c>
      <c r="T357" s="2">
        <v>422</v>
      </c>
      <c r="U357" s="2">
        <v>226</v>
      </c>
      <c r="V357" s="2">
        <v>88</v>
      </c>
      <c r="W357" s="2">
        <v>4964</v>
      </c>
      <c r="X357" s="9">
        <v>861395</v>
      </c>
      <c r="Y357" s="2" t="s">
        <v>46</v>
      </c>
      <c r="AA357" s="1" t="str">
        <f>TRIM(RPG_dataset[[#This Row],[Username]])</f>
        <v/>
      </c>
      <c r="AB357" s="1" t="str">
        <f>TRIM(RPG_dataset[[#This Row],[First Name]])</f>
        <v>Finn</v>
      </c>
      <c r="AC357" s="1" t="str">
        <f>PROPER(TRIM(RPG_dataset[[#This Row],[Race]]))</f>
        <v>Dragonborn</v>
      </c>
      <c r="AD357" s="1" t="str">
        <f>PROPER(TRIM(RPG_dataset[[#This Row],[Class]]))</f>
        <v>Warrior</v>
      </c>
      <c r="AE357" s="1">
        <f>ABS(RPG_dataset[[#This Row],[Level]])</f>
        <v>39</v>
      </c>
      <c r="AF357" s="1">
        <f>ABS(RPG_dataset[[#This Row],[ATK]])</f>
        <v>69</v>
      </c>
      <c r="AG357" s="1">
        <f>ABS(RPG_dataset[[#This Row],[DEF]])</f>
        <v>72</v>
      </c>
      <c r="AH357" s="1">
        <f>ABS(RPG_dataset[[#This Row],[SPD]])</f>
        <v>62</v>
      </c>
      <c r="AI357" s="1">
        <f>ABS(RPG_dataset[[#This Row],[HP]])</f>
        <v>1713</v>
      </c>
      <c r="AJ357" s="1">
        <f>ABS(RPG_dataset[[#This Row],[MP]])</f>
        <v>2914</v>
      </c>
      <c r="AK357" s="1">
        <f>ABS(RPG_dataset[[#This Row],[Total Stat]])</f>
        <v>203</v>
      </c>
      <c r="AL357" s="1">
        <f>ABS(RPG_dataset[[#This Row],[Kills]])</f>
        <v>3162</v>
      </c>
      <c r="AM357" s="12">
        <f>ABS(RPG_dataset[[#This Row],[Win Rate (%)]])</f>
        <v>88</v>
      </c>
      <c r="AN357" s="4">
        <f>ABS(RPG_dataset[[#This Row],[Gold Earned]])</f>
        <v>861395</v>
      </c>
      <c r="AO357" s="5" t="str">
        <f t="shared" si="5"/>
        <v>OK</v>
      </c>
      <c r="AP357" s="5">
        <f>RANK(clean[[#This Row],[Clean Gold]],clean[Clean Gold], 0)</f>
        <v>67</v>
      </c>
      <c r="AQ357" s="1">
        <v>185</v>
      </c>
      <c r="AR357" s="1" t="str" cm="1">
        <f t="array" ref="AR357">_xlfn.IFS(clean[[#This Row],[Clean Level]]&gt;=76, "Legend", clean[[#This Row],[Clean Level]]&gt;=51, "Elite", clean[[#This Row],[Clean Level]]&gt;=26, "Veteran", TRUE, "Rookie")</f>
        <v>Veteran</v>
      </c>
      <c r="AS357" s="1" t="str">
        <f>IF(RPG_dataset[[#This Row],[Status]]="Active", "TRUE", "FALSE")</f>
        <v>TRUE</v>
      </c>
      <c r="AT357" s="1" t="str" cm="1">
        <f t="array" ref="AT357">_xlfn.IFS(clean[[#This Row],[Clean Win Rate]]&gt;70, "Excellent", clean[[#This Row],[Clean Win Rate]]&gt;=40, "Average", TRUE, "Poor")</f>
        <v>Excellent</v>
      </c>
      <c r="AU357" s="1" t="str">
        <f>IF(AND(clean[[#This Row],[Clean Level]]&gt;80, clean[[#This Row],[Clean Total Stat]]&gt;350, clean[[#This Row],[Clean Gold]]&gt;500000), "Overpowered", "Normal")</f>
        <v>Normal</v>
      </c>
      <c r="AV357" s="1" t="str" cm="1">
        <f t="array" ref="AV35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57" s="1" t="str" cm="1">
        <f t="array" ref="AW35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57" s="1"/>
    </row>
    <row r="358" spans="1:50" x14ac:dyDescent="0.3">
      <c r="A358" s="2" t="s">
        <v>1248</v>
      </c>
      <c r="B358" s="2" t="s">
        <v>1249</v>
      </c>
      <c r="C358" s="2" t="s">
        <v>227</v>
      </c>
      <c r="D358" s="2" t="s">
        <v>883</v>
      </c>
      <c r="E358" s="2" t="s">
        <v>1250</v>
      </c>
      <c r="F358" s="2" t="s">
        <v>52</v>
      </c>
      <c r="G358" s="2">
        <v>10</v>
      </c>
      <c r="H358" s="2" t="s">
        <v>53</v>
      </c>
      <c r="I358" s="2" t="s">
        <v>32</v>
      </c>
      <c r="J358" s="2" t="s">
        <v>163</v>
      </c>
      <c r="K358" s="2" t="s">
        <v>99</v>
      </c>
      <c r="L358" s="6" t="s">
        <v>833</v>
      </c>
      <c r="M358" s="2">
        <v>48</v>
      </c>
      <c r="N358" s="2">
        <v>132</v>
      </c>
      <c r="O358" s="2">
        <v>71</v>
      </c>
      <c r="P358" s="2">
        <v>3646</v>
      </c>
      <c r="Q358" s="2">
        <v>385</v>
      </c>
      <c r="R358" s="2">
        <v>251</v>
      </c>
      <c r="S358" s="2">
        <v>4768</v>
      </c>
      <c r="T358" s="2">
        <v>9</v>
      </c>
      <c r="U358" s="2">
        <v>108</v>
      </c>
      <c r="V358" s="2">
        <v>100</v>
      </c>
      <c r="W358" s="2">
        <v>7306</v>
      </c>
      <c r="X358" s="9">
        <v>707710</v>
      </c>
      <c r="Y358" s="2" t="s">
        <v>46</v>
      </c>
      <c r="AA358" s="1" t="str">
        <f>TRIM(RPG_dataset[[#This Row],[Username]])</f>
        <v>nyx_253</v>
      </c>
      <c r="AB358" s="1" t="str">
        <f>TRIM(RPG_dataset[[#This Row],[First Name]])</f>
        <v>Nyx</v>
      </c>
      <c r="AC358" s="1" t="str">
        <f>PROPER(TRIM(RPG_dataset[[#This Row],[Race]]))</f>
        <v>Orc</v>
      </c>
      <c r="AD358" s="1" t="str">
        <f>PROPER(TRIM(RPG_dataset[[#This Row],[Class]]))</f>
        <v>Bard</v>
      </c>
      <c r="AE358" s="1">
        <f>ABS(RPG_dataset[[#This Row],[Level]])</f>
        <v>10</v>
      </c>
      <c r="AF358" s="1">
        <f>ABS(RPG_dataset[[#This Row],[ATK]])</f>
        <v>48</v>
      </c>
      <c r="AG358" s="1">
        <f>ABS(RPG_dataset[[#This Row],[DEF]])</f>
        <v>132</v>
      </c>
      <c r="AH358" s="1">
        <f>ABS(RPG_dataset[[#This Row],[SPD]])</f>
        <v>71</v>
      </c>
      <c r="AI358" s="1">
        <f>ABS(RPG_dataset[[#This Row],[HP]])</f>
        <v>3646</v>
      </c>
      <c r="AJ358" s="1">
        <f>ABS(RPG_dataset[[#This Row],[MP]])</f>
        <v>385</v>
      </c>
      <c r="AK358" s="1">
        <f>ABS(RPG_dataset[[#This Row],[Total Stat]])</f>
        <v>251</v>
      </c>
      <c r="AL358" s="1">
        <f>ABS(RPG_dataset[[#This Row],[Kills]])</f>
        <v>4768</v>
      </c>
      <c r="AM358" s="12">
        <f>ABS(RPG_dataset[[#This Row],[Win Rate (%)]])</f>
        <v>100</v>
      </c>
      <c r="AN358" s="4">
        <f>ABS(RPG_dataset[[#This Row],[Gold Earned]])</f>
        <v>707710</v>
      </c>
      <c r="AO358" s="5" t="str">
        <f t="shared" si="5"/>
        <v>OK</v>
      </c>
      <c r="AP358" s="5">
        <f>RANK(clean[[#This Row],[Clean Gold]],clean[Clean Gold], 0)</f>
        <v>145</v>
      </c>
      <c r="AQ358" s="1">
        <v>178</v>
      </c>
      <c r="AR358" s="1" t="str" cm="1">
        <f t="array" ref="AR358">_xlfn.IFS(clean[[#This Row],[Clean Level]]&gt;=76, "Legend", clean[[#This Row],[Clean Level]]&gt;=51, "Elite", clean[[#This Row],[Clean Level]]&gt;=26, "Veteran", TRUE, "Rookie")</f>
        <v>Rookie</v>
      </c>
      <c r="AS358" s="1" t="str">
        <f>IF(RPG_dataset[[#This Row],[Status]]="Active", "TRUE", "FALSE")</f>
        <v>FALSE</v>
      </c>
      <c r="AT358" s="1" t="str" cm="1">
        <f t="array" ref="AT358">_xlfn.IFS(clean[[#This Row],[Clean Win Rate]]&gt;70, "Excellent", clean[[#This Row],[Clean Win Rate]]&gt;=40, "Average", TRUE, "Poor")</f>
        <v>Excellent</v>
      </c>
      <c r="AU358" s="1" t="str">
        <f>IF(AND(clean[[#This Row],[Clean Level]]&gt;80, clean[[#This Row],[Clean Total Stat]]&gt;350, clean[[#This Row],[Clean Gold]]&gt;500000), "Overpowered", "Normal")</f>
        <v>Normal</v>
      </c>
      <c r="AV358" s="1" t="str" cm="1">
        <f t="array" ref="AV35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58" s="1" t="str" cm="1">
        <f t="array" ref="AW35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358" s="1"/>
    </row>
    <row r="359" spans="1:50" x14ac:dyDescent="0.3">
      <c r="A359" s="2" t="s">
        <v>1251</v>
      </c>
      <c r="B359" s="2" t="s">
        <v>1252</v>
      </c>
      <c r="C359" s="2" t="s">
        <v>339</v>
      </c>
      <c r="D359" s="2" t="s">
        <v>250</v>
      </c>
      <c r="E359" s="2" t="s">
        <v>41</v>
      </c>
      <c r="F359" s="2" t="s">
        <v>194</v>
      </c>
      <c r="G359" s="2">
        <v>8</v>
      </c>
      <c r="H359" s="2" t="s">
        <v>157</v>
      </c>
      <c r="I359" s="2" t="s">
        <v>74</v>
      </c>
      <c r="J359" s="2" t="s">
        <v>88</v>
      </c>
      <c r="K359" s="2" t="s">
        <v>44</v>
      </c>
      <c r="L359" s="6" t="s">
        <v>1253</v>
      </c>
      <c r="M359" s="2">
        <v>146</v>
      </c>
      <c r="N359" s="2">
        <v>35</v>
      </c>
      <c r="O359" s="2">
        <v>149</v>
      </c>
      <c r="P359" s="2">
        <v>1935</v>
      </c>
      <c r="Q359" s="2"/>
      <c r="R359" s="2">
        <v>330</v>
      </c>
      <c r="S359" s="2">
        <v>3699</v>
      </c>
      <c r="T359" s="2">
        <v>18</v>
      </c>
      <c r="U359" s="2">
        <v>300</v>
      </c>
      <c r="V359" s="2">
        <v>100</v>
      </c>
      <c r="W359" s="2">
        <v>7324</v>
      </c>
      <c r="X359" s="9">
        <v>233422</v>
      </c>
      <c r="Y359" s="2" t="s">
        <v>46</v>
      </c>
      <c r="AA359" s="1" t="str">
        <f>TRIM(RPG_dataset[[#This Row],[Username]])</f>
        <v>drak_320</v>
      </c>
      <c r="AB359" s="1" t="str">
        <f>TRIM(RPG_dataset[[#This Row],[First Name]])</f>
        <v>Drak</v>
      </c>
      <c r="AC359" s="1" t="str">
        <f>PROPER(TRIM(RPG_dataset[[#This Row],[Race]]))</f>
        <v>Gnome</v>
      </c>
      <c r="AD359" s="1" t="str">
        <f>PROPER(TRIM(RPG_dataset[[#This Row],[Class]]))</f>
        <v>Paladin</v>
      </c>
      <c r="AE359" s="1">
        <f>ABS(RPG_dataset[[#This Row],[Level]])</f>
        <v>8</v>
      </c>
      <c r="AF359" s="1">
        <f>ABS(RPG_dataset[[#This Row],[ATK]])</f>
        <v>146</v>
      </c>
      <c r="AG359" s="1">
        <f>ABS(RPG_dataset[[#This Row],[DEF]])</f>
        <v>35</v>
      </c>
      <c r="AH359" s="1">
        <f>ABS(RPG_dataset[[#This Row],[SPD]])</f>
        <v>149</v>
      </c>
      <c r="AI359" s="1">
        <f>ABS(RPG_dataset[[#This Row],[HP]])</f>
        <v>1935</v>
      </c>
      <c r="AJ359" s="1">
        <f>ABS(RPG_dataset[[#This Row],[MP]])</f>
        <v>0</v>
      </c>
      <c r="AK359" s="1">
        <f>ABS(RPG_dataset[[#This Row],[Total Stat]])</f>
        <v>330</v>
      </c>
      <c r="AL359" s="1">
        <f>ABS(RPG_dataset[[#This Row],[Kills]])</f>
        <v>3699</v>
      </c>
      <c r="AM359" s="12">
        <f>ABS(RPG_dataset[[#This Row],[Win Rate (%)]])</f>
        <v>100</v>
      </c>
      <c r="AN359" s="4">
        <f>ABS(RPG_dataset[[#This Row],[Gold Earned]])</f>
        <v>233422</v>
      </c>
      <c r="AO359" s="5" t="str">
        <f t="shared" si="5"/>
        <v>OK</v>
      </c>
      <c r="AP359" s="5">
        <f>RANK(clean[[#This Row],[Clean Gold]],clean[Clean Gold], 0)</f>
        <v>382</v>
      </c>
      <c r="AQ359" s="1">
        <v>-321</v>
      </c>
      <c r="AR359" s="1" t="str" cm="1">
        <f t="array" ref="AR359">_xlfn.IFS(clean[[#This Row],[Clean Level]]&gt;=76, "Legend", clean[[#This Row],[Clean Level]]&gt;=51, "Elite", clean[[#This Row],[Clean Level]]&gt;=26, "Veteran", TRUE, "Rookie")</f>
        <v>Rookie</v>
      </c>
      <c r="AS359" s="1" t="str">
        <f>IF(RPG_dataset[[#This Row],[Status]]="Active", "TRUE", "FALSE")</f>
        <v>TRUE</v>
      </c>
      <c r="AT359" s="1" t="str" cm="1">
        <f t="array" ref="AT359">_xlfn.IFS(clean[[#This Row],[Clean Win Rate]]&gt;70, "Excellent", clean[[#This Row],[Clean Win Rate]]&gt;=40, "Average", TRUE, "Poor")</f>
        <v>Excellent</v>
      </c>
      <c r="AU359" s="1" t="str">
        <f>IF(AND(clean[[#This Row],[Clean Level]]&gt;80, clean[[#This Row],[Clean Total Stat]]&gt;350, clean[[#This Row],[Clean Gold]]&gt;500000), "Overpowered", "Normal")</f>
        <v>Normal</v>
      </c>
      <c r="AV359" s="1" t="str" cm="1">
        <f t="array" ref="AV35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59" s="1" t="str" cm="1">
        <f t="array" ref="AW35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59" s="1"/>
    </row>
    <row r="360" spans="1:50" x14ac:dyDescent="0.3">
      <c r="A360" s="2" t="s">
        <v>1254</v>
      </c>
      <c r="B360" s="2" t="s">
        <v>1255</v>
      </c>
      <c r="C360" s="2" t="s">
        <v>154</v>
      </c>
      <c r="D360" s="2" t="s">
        <v>70</v>
      </c>
      <c r="E360" s="2" t="s">
        <v>29</v>
      </c>
      <c r="F360" s="2" t="s">
        <v>194</v>
      </c>
      <c r="G360" s="2">
        <v>52</v>
      </c>
      <c r="H360" s="2" t="s">
        <v>73</v>
      </c>
      <c r="I360" s="2" t="s">
        <v>140</v>
      </c>
      <c r="J360" s="2" t="s">
        <v>81</v>
      </c>
      <c r="K360" s="2" t="s">
        <v>34</v>
      </c>
      <c r="L360" s="6" t="s">
        <v>1256</v>
      </c>
      <c r="M360" s="2">
        <v>148</v>
      </c>
      <c r="N360" s="2">
        <v>111</v>
      </c>
      <c r="O360" s="2">
        <v>142</v>
      </c>
      <c r="P360" s="2">
        <v>2663</v>
      </c>
      <c r="Q360" s="2">
        <v>1853</v>
      </c>
      <c r="R360" s="2">
        <v>401</v>
      </c>
      <c r="S360" s="2">
        <v>2172</v>
      </c>
      <c r="T360" s="2">
        <v>440</v>
      </c>
      <c r="U360" s="2">
        <v>-11</v>
      </c>
      <c r="V360" s="2">
        <v>83</v>
      </c>
      <c r="W360" s="2">
        <v>566</v>
      </c>
      <c r="X360" s="9">
        <v>198728</v>
      </c>
      <c r="Y360" s="2" t="s">
        <v>46</v>
      </c>
      <c r="AA360" s="1" t="str">
        <f>TRIM(RPG_dataset[[#This Row],[Username]])</f>
        <v>nolan_617</v>
      </c>
      <c r="AB360" s="1" t="str">
        <f>TRIM(RPG_dataset[[#This Row],[First Name]])</f>
        <v>Nolan</v>
      </c>
      <c r="AC360" s="1" t="str">
        <f>PROPER(TRIM(RPG_dataset[[#This Row],[Race]]))</f>
        <v>Dwarf</v>
      </c>
      <c r="AD360" s="1" t="str">
        <f>PROPER(TRIM(RPG_dataset[[#This Row],[Class]]))</f>
        <v>Paladin</v>
      </c>
      <c r="AE360" s="1">
        <f>ABS(RPG_dataset[[#This Row],[Level]])</f>
        <v>52</v>
      </c>
      <c r="AF360" s="1">
        <f>ABS(RPG_dataset[[#This Row],[ATK]])</f>
        <v>148</v>
      </c>
      <c r="AG360" s="1">
        <f>ABS(RPG_dataset[[#This Row],[DEF]])</f>
        <v>111</v>
      </c>
      <c r="AH360" s="1">
        <f>ABS(RPG_dataset[[#This Row],[SPD]])</f>
        <v>142</v>
      </c>
      <c r="AI360" s="1">
        <f>ABS(RPG_dataset[[#This Row],[HP]])</f>
        <v>2663</v>
      </c>
      <c r="AJ360" s="1">
        <f>ABS(RPG_dataset[[#This Row],[MP]])</f>
        <v>1853</v>
      </c>
      <c r="AK360" s="1">
        <f>ABS(RPG_dataset[[#This Row],[Total Stat]])</f>
        <v>401</v>
      </c>
      <c r="AL360" s="1">
        <f>ABS(RPG_dataset[[#This Row],[Kills]])</f>
        <v>2172</v>
      </c>
      <c r="AM360" s="12">
        <f>ABS(RPG_dataset[[#This Row],[Win Rate (%)]])</f>
        <v>83</v>
      </c>
      <c r="AN360" s="4">
        <f>ABS(RPG_dataset[[#This Row],[Gold Earned]])</f>
        <v>198728</v>
      </c>
      <c r="AO360" s="5" t="str">
        <f t="shared" si="5"/>
        <v>OK</v>
      </c>
      <c r="AP360" s="5">
        <f>RANK(clean[[#This Row],[Clean Gold]],clean[Clean Gold], 0)</f>
        <v>402</v>
      </c>
      <c r="AQ360" s="1">
        <v>212</v>
      </c>
      <c r="AR360" s="1" t="str" cm="1">
        <f t="array" ref="AR360">_xlfn.IFS(clean[[#This Row],[Clean Level]]&gt;=76, "Legend", clean[[#This Row],[Clean Level]]&gt;=51, "Elite", clean[[#This Row],[Clean Level]]&gt;=26, "Veteran", TRUE, "Rookie")</f>
        <v>Elite</v>
      </c>
      <c r="AS360" s="1" t="str">
        <f>IF(RPG_dataset[[#This Row],[Status]]="Active", "TRUE", "FALSE")</f>
        <v>FALSE</v>
      </c>
      <c r="AT360" s="1" t="str" cm="1">
        <f t="array" ref="AT360">_xlfn.IFS(clean[[#This Row],[Clean Win Rate]]&gt;70, "Excellent", clean[[#This Row],[Clean Win Rate]]&gt;=40, "Average", TRUE, "Poor")</f>
        <v>Excellent</v>
      </c>
      <c r="AU360" s="1" t="str">
        <f>IF(AND(clean[[#This Row],[Clean Level]]&gt;80, clean[[#This Row],[Clean Total Stat]]&gt;350, clean[[#This Row],[Clean Gold]]&gt;500000), "Overpowered", "Normal")</f>
        <v>Normal</v>
      </c>
      <c r="AV360" s="1" t="str" cm="1">
        <f t="array" ref="AV36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60" s="1" t="str" cm="1">
        <f t="array" ref="AW36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360" s="1"/>
    </row>
    <row r="361" spans="1:50" x14ac:dyDescent="0.3">
      <c r="A361" s="2" t="s">
        <v>1257</v>
      </c>
      <c r="B361" s="2" t="s">
        <v>1258</v>
      </c>
      <c r="C361" s="2" t="s">
        <v>1259</v>
      </c>
      <c r="D361" s="2" t="s">
        <v>144</v>
      </c>
      <c r="E361" s="2" t="s">
        <v>105</v>
      </c>
      <c r="F361" s="2" t="s">
        <v>194</v>
      </c>
      <c r="G361" s="2">
        <v>97</v>
      </c>
      <c r="H361" s="2" t="s">
        <v>31</v>
      </c>
      <c r="I361" s="2" t="s">
        <v>126</v>
      </c>
      <c r="J361" s="2" t="s">
        <v>120</v>
      </c>
      <c r="K361" s="2" t="s">
        <v>99</v>
      </c>
      <c r="L361" s="6" t="s">
        <v>1260</v>
      </c>
      <c r="M361" s="2">
        <v>147</v>
      </c>
      <c r="N361" s="2"/>
      <c r="O361" s="2">
        <v>23</v>
      </c>
      <c r="P361" s="2">
        <v>2123</v>
      </c>
      <c r="Q361" s="2">
        <v>82</v>
      </c>
      <c r="R361" s="2">
        <v>271</v>
      </c>
      <c r="S361" s="2">
        <v>3805</v>
      </c>
      <c r="T361" s="2">
        <v>132</v>
      </c>
      <c r="U361" s="2">
        <v>176</v>
      </c>
      <c r="V361" s="2">
        <v>-97</v>
      </c>
      <c r="W361" s="2">
        <v>9987</v>
      </c>
      <c r="X361" s="9">
        <v>790066</v>
      </c>
      <c r="Y361" s="2" t="s">
        <v>46</v>
      </c>
      <c r="AA361" s="1" t="str">
        <f>TRIM(RPG_dataset[[#This Row],[Username]])</f>
        <v>CAEL_185</v>
      </c>
      <c r="AB361" s="1" t="str">
        <f>TRIM(RPG_dataset[[#This Row],[First Name]])</f>
        <v>CAEL</v>
      </c>
      <c r="AC361" s="1" t="str">
        <f>PROPER(TRIM(RPG_dataset[[#This Row],[Race]]))</f>
        <v>Orc</v>
      </c>
      <c r="AD361" s="1" t="str">
        <f>PROPER(TRIM(RPG_dataset[[#This Row],[Class]]))</f>
        <v>Paladin</v>
      </c>
      <c r="AE361" s="1">
        <f>ABS(RPG_dataset[[#This Row],[Level]])</f>
        <v>97</v>
      </c>
      <c r="AF361" s="1">
        <f>ABS(RPG_dataset[[#This Row],[ATK]])</f>
        <v>147</v>
      </c>
      <c r="AG361" s="1">
        <f>ABS(RPG_dataset[[#This Row],[DEF]])</f>
        <v>0</v>
      </c>
      <c r="AH361" s="1">
        <f>ABS(RPG_dataset[[#This Row],[SPD]])</f>
        <v>23</v>
      </c>
      <c r="AI361" s="1">
        <f>ABS(RPG_dataset[[#This Row],[HP]])</f>
        <v>2123</v>
      </c>
      <c r="AJ361" s="1">
        <f>ABS(RPG_dataset[[#This Row],[MP]])</f>
        <v>82</v>
      </c>
      <c r="AK361" s="1">
        <f>ABS(RPG_dataset[[#This Row],[Total Stat]])</f>
        <v>271</v>
      </c>
      <c r="AL361" s="1">
        <f>ABS(RPG_dataset[[#This Row],[Kills]])</f>
        <v>3805</v>
      </c>
      <c r="AM361" s="12">
        <f>ABS(RPG_dataset[[#This Row],[Win Rate (%)]])</f>
        <v>97</v>
      </c>
      <c r="AN361" s="4">
        <f>ABS(RPG_dataset[[#This Row],[Gold Earned]])</f>
        <v>790066</v>
      </c>
      <c r="AO361" s="5" t="str">
        <f t="shared" si="5"/>
        <v>OK</v>
      </c>
      <c r="AP361" s="5">
        <f>RANK(clean[[#This Row],[Clean Gold]],clean[Clean Gold], 0)</f>
        <v>115</v>
      </c>
      <c r="AQ361" s="1">
        <v>268</v>
      </c>
      <c r="AR361" s="1" t="str" cm="1">
        <f t="array" ref="AR361">_xlfn.IFS(clean[[#This Row],[Clean Level]]&gt;=76, "Legend", clean[[#This Row],[Clean Level]]&gt;=51, "Elite", clean[[#This Row],[Clean Level]]&gt;=26, "Veteran", TRUE, "Rookie")</f>
        <v>Legend</v>
      </c>
      <c r="AS361" s="1" t="str">
        <f>IF(RPG_dataset[[#This Row],[Status]]="Active", "TRUE", "FALSE")</f>
        <v>FALSE</v>
      </c>
      <c r="AT361" s="1" t="str" cm="1">
        <f t="array" ref="AT361">_xlfn.IFS(clean[[#This Row],[Clean Win Rate]]&gt;70, "Excellent", clean[[#This Row],[Clean Win Rate]]&gt;=40, "Average", TRUE, "Poor")</f>
        <v>Excellent</v>
      </c>
      <c r="AU361" s="1" t="str">
        <f>IF(AND(clean[[#This Row],[Clean Level]]&gt;80, clean[[#This Row],[Clean Total Stat]]&gt;350, clean[[#This Row],[Clean Gold]]&gt;500000), "Overpowered", "Normal")</f>
        <v>Normal</v>
      </c>
      <c r="AV361" s="1" t="str" cm="1">
        <f t="array" ref="AV36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61" s="1" t="str" cm="1">
        <f t="array" ref="AW36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61" s="1"/>
    </row>
    <row r="362" spans="1:50" x14ac:dyDescent="0.3">
      <c r="A362" s="2" t="s">
        <v>1261</v>
      </c>
      <c r="B362" s="2" t="s">
        <v>1262</v>
      </c>
      <c r="C362" s="2" t="s">
        <v>586</v>
      </c>
      <c r="D362" s="2" t="s">
        <v>144</v>
      </c>
      <c r="E362" s="2" t="s">
        <v>60</v>
      </c>
      <c r="F362" s="2" t="s">
        <v>30</v>
      </c>
      <c r="G362" s="2">
        <v>56</v>
      </c>
      <c r="H362" s="2" t="s">
        <v>53</v>
      </c>
      <c r="I362" s="2" t="s">
        <v>126</v>
      </c>
      <c r="J362" s="2" t="s">
        <v>163</v>
      </c>
      <c r="K362" s="2" t="s">
        <v>44</v>
      </c>
      <c r="L362" s="6" t="s">
        <v>786</v>
      </c>
      <c r="M362" s="2">
        <v>53</v>
      </c>
      <c r="N362" s="2">
        <v>146</v>
      </c>
      <c r="O362" s="2">
        <v>37</v>
      </c>
      <c r="P362" s="2">
        <v>3223</v>
      </c>
      <c r="Q362" s="2">
        <v>2473</v>
      </c>
      <c r="R362" s="2"/>
      <c r="S362" s="2">
        <v>2494</v>
      </c>
      <c r="T362" s="2">
        <v>32</v>
      </c>
      <c r="U362" s="2">
        <v>278</v>
      </c>
      <c r="V362" s="2"/>
      <c r="W362" s="2">
        <v>8611</v>
      </c>
      <c r="X362" s="9">
        <v>554253</v>
      </c>
      <c r="Y362" s="2" t="s">
        <v>46</v>
      </c>
      <c r="AA362" s="1" t="str">
        <f>TRIM(RPG_dataset[[#This Row],[Username]])</f>
        <v>selene_316</v>
      </c>
      <c r="AB362" s="1" t="str">
        <f>TRIM(RPG_dataset[[#This Row],[First Name]])</f>
        <v>Selene</v>
      </c>
      <c r="AC362" s="1" t="str">
        <f>PROPER(TRIM(RPG_dataset[[#This Row],[Race]]))</f>
        <v>Human</v>
      </c>
      <c r="AD362" s="1" t="str">
        <f>PROPER(TRIM(RPG_dataset[[#This Row],[Class]]))</f>
        <v>Rogue</v>
      </c>
      <c r="AE362" s="1">
        <f>ABS(RPG_dataset[[#This Row],[Level]])</f>
        <v>56</v>
      </c>
      <c r="AF362" s="1">
        <f>ABS(RPG_dataset[[#This Row],[ATK]])</f>
        <v>53</v>
      </c>
      <c r="AG362" s="1">
        <f>ABS(RPG_dataset[[#This Row],[DEF]])</f>
        <v>146</v>
      </c>
      <c r="AH362" s="1">
        <f>ABS(RPG_dataset[[#This Row],[SPD]])</f>
        <v>37</v>
      </c>
      <c r="AI362" s="1">
        <f>ABS(RPG_dataset[[#This Row],[HP]])</f>
        <v>3223</v>
      </c>
      <c r="AJ362" s="1">
        <f>ABS(RPG_dataset[[#This Row],[MP]])</f>
        <v>2473</v>
      </c>
      <c r="AK362" s="1">
        <f>ABS(RPG_dataset[[#This Row],[Total Stat]])</f>
        <v>0</v>
      </c>
      <c r="AL362" s="1">
        <f>ABS(RPG_dataset[[#This Row],[Kills]])</f>
        <v>2494</v>
      </c>
      <c r="AM362" s="12">
        <f>ABS(RPG_dataset[[#This Row],[Win Rate (%)]])</f>
        <v>0</v>
      </c>
      <c r="AN362" s="4">
        <f>ABS(RPG_dataset[[#This Row],[Gold Earned]])</f>
        <v>554253</v>
      </c>
      <c r="AO362" s="5" t="str">
        <f t="shared" si="5"/>
        <v>OK</v>
      </c>
      <c r="AP362" s="5">
        <f>RANK(clean[[#This Row],[Clean Gold]],clean[Clean Gold], 0)</f>
        <v>221</v>
      </c>
      <c r="AQ362" s="1"/>
      <c r="AR362" s="1" t="str" cm="1">
        <f t="array" ref="AR362">_xlfn.IFS(clean[[#This Row],[Clean Level]]&gt;=76, "Legend", clean[[#This Row],[Clean Level]]&gt;=51, "Elite", clean[[#This Row],[Clean Level]]&gt;=26, "Veteran", TRUE, "Rookie")</f>
        <v>Elite</v>
      </c>
      <c r="AS362" s="1" t="str">
        <f>IF(RPG_dataset[[#This Row],[Status]]="Active", "TRUE", "FALSE")</f>
        <v>TRUE</v>
      </c>
      <c r="AT362" s="1" t="str" cm="1">
        <f t="array" ref="AT362">_xlfn.IFS(clean[[#This Row],[Clean Win Rate]]&gt;70, "Excellent", clean[[#This Row],[Clean Win Rate]]&gt;=40, "Average", TRUE, "Poor")</f>
        <v>Poor</v>
      </c>
      <c r="AU362" s="1" t="str">
        <f>IF(AND(clean[[#This Row],[Clean Level]]&gt;80, clean[[#This Row],[Clean Total Stat]]&gt;350, clean[[#This Row],[Clean Gold]]&gt;500000), "Overpowered", "Normal")</f>
        <v>Normal</v>
      </c>
      <c r="AV362" s="1" t="str" cm="1">
        <f t="array" ref="AV36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62" s="1" t="str" cm="1">
        <f t="array" ref="AW36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362" s="1"/>
    </row>
    <row r="363" spans="1:50" x14ac:dyDescent="0.3">
      <c r="A363" s="2" t="s">
        <v>1263</v>
      </c>
      <c r="B363" s="2" t="s">
        <v>1264</v>
      </c>
      <c r="C363" s="2" t="s">
        <v>178</v>
      </c>
      <c r="D363" s="2" t="s">
        <v>155</v>
      </c>
      <c r="E363" s="2" t="s">
        <v>169</v>
      </c>
      <c r="F363" s="2" t="s">
        <v>194</v>
      </c>
      <c r="G363" s="2">
        <v>10</v>
      </c>
      <c r="H363" s="2" t="s">
        <v>73</v>
      </c>
      <c r="I363" s="2" t="s">
        <v>32</v>
      </c>
      <c r="J363" s="2" t="s">
        <v>33</v>
      </c>
      <c r="K363" s="2" t="s">
        <v>44</v>
      </c>
      <c r="L363" s="6" t="s">
        <v>1265</v>
      </c>
      <c r="M363" s="2">
        <v>21</v>
      </c>
      <c r="N363" s="2">
        <v>13</v>
      </c>
      <c r="O363" s="2">
        <v>97</v>
      </c>
      <c r="P363" s="2">
        <v>4462</v>
      </c>
      <c r="Q363" s="2">
        <v>1376</v>
      </c>
      <c r="R363" s="2">
        <v>131</v>
      </c>
      <c r="S363" s="2">
        <v>1108</v>
      </c>
      <c r="T363" s="2">
        <v>356</v>
      </c>
      <c r="U363" s="2">
        <v>184</v>
      </c>
      <c r="V363" s="2">
        <v>76</v>
      </c>
      <c r="W363" s="2">
        <v>7749</v>
      </c>
      <c r="X363" s="9">
        <v>391601</v>
      </c>
      <c r="Y363" s="2" t="s">
        <v>46</v>
      </c>
      <c r="AA363" s="1" t="str">
        <f>TRIM(RPG_dataset[[#This Row],[Username]])</f>
        <v>crix_520</v>
      </c>
      <c r="AB363" s="1" t="str">
        <f>TRIM(RPG_dataset[[#This Row],[First Name]])</f>
        <v>Crix</v>
      </c>
      <c r="AC363" s="1" t="str">
        <f>PROPER(TRIM(RPG_dataset[[#This Row],[Race]]))</f>
        <v>Halfling</v>
      </c>
      <c r="AD363" s="1" t="str">
        <f>PROPER(TRIM(RPG_dataset[[#This Row],[Class]]))</f>
        <v>Paladin</v>
      </c>
      <c r="AE363" s="1">
        <f>ABS(RPG_dataset[[#This Row],[Level]])</f>
        <v>10</v>
      </c>
      <c r="AF363" s="1">
        <f>ABS(RPG_dataset[[#This Row],[ATK]])</f>
        <v>21</v>
      </c>
      <c r="AG363" s="1">
        <f>ABS(RPG_dataset[[#This Row],[DEF]])</f>
        <v>13</v>
      </c>
      <c r="AH363" s="1">
        <f>ABS(RPG_dataset[[#This Row],[SPD]])</f>
        <v>97</v>
      </c>
      <c r="AI363" s="1">
        <f>ABS(RPG_dataset[[#This Row],[HP]])</f>
        <v>4462</v>
      </c>
      <c r="AJ363" s="1">
        <f>ABS(RPG_dataset[[#This Row],[MP]])</f>
        <v>1376</v>
      </c>
      <c r="AK363" s="1">
        <f>ABS(RPG_dataset[[#This Row],[Total Stat]])</f>
        <v>131</v>
      </c>
      <c r="AL363" s="1">
        <f>ABS(RPG_dataset[[#This Row],[Kills]])</f>
        <v>1108</v>
      </c>
      <c r="AM363" s="12">
        <f>ABS(RPG_dataset[[#This Row],[Win Rate (%)]])</f>
        <v>76</v>
      </c>
      <c r="AN363" s="4">
        <f>ABS(RPG_dataset[[#This Row],[Gold Earned]])</f>
        <v>391601</v>
      </c>
      <c r="AO363" s="5" t="str">
        <f t="shared" si="5"/>
        <v>OK</v>
      </c>
      <c r="AP363" s="5">
        <f>RANK(clean[[#This Row],[Clean Gold]],clean[Clean Gold], 0)</f>
        <v>308</v>
      </c>
      <c r="AQ363" s="1">
        <v>149</v>
      </c>
      <c r="AR363" s="1" t="str" cm="1">
        <f t="array" ref="AR363">_xlfn.IFS(clean[[#This Row],[Clean Level]]&gt;=76, "Legend", clean[[#This Row],[Clean Level]]&gt;=51, "Elite", clean[[#This Row],[Clean Level]]&gt;=26, "Veteran", TRUE, "Rookie")</f>
        <v>Rookie</v>
      </c>
      <c r="AS363" s="1" t="str">
        <f>IF(RPG_dataset[[#This Row],[Status]]="Active", "TRUE", "FALSE")</f>
        <v>TRUE</v>
      </c>
      <c r="AT363" s="1" t="str" cm="1">
        <f t="array" ref="AT363">_xlfn.IFS(clean[[#This Row],[Clean Win Rate]]&gt;70, "Excellent", clean[[#This Row],[Clean Win Rate]]&gt;=40, "Average", TRUE, "Poor")</f>
        <v>Excellent</v>
      </c>
      <c r="AU363" s="1" t="str">
        <f>IF(AND(clean[[#This Row],[Clean Level]]&gt;80, clean[[#This Row],[Clean Total Stat]]&gt;350, clean[[#This Row],[Clean Gold]]&gt;500000), "Overpowered", "Normal")</f>
        <v>Normal</v>
      </c>
      <c r="AV363" s="1" t="str" cm="1">
        <f t="array" ref="AV36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63" s="1" t="str" cm="1">
        <f t="array" ref="AW36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63" s="1"/>
    </row>
    <row r="364" spans="1:50" x14ac:dyDescent="0.3">
      <c r="A364" s="2" t="s">
        <v>1266</v>
      </c>
      <c r="B364" s="2" t="s">
        <v>1267</v>
      </c>
      <c r="C364" s="2" t="s">
        <v>314</v>
      </c>
      <c r="D364" s="2" t="s">
        <v>349</v>
      </c>
      <c r="E364" s="2" t="s">
        <v>29</v>
      </c>
      <c r="F364" s="2" t="s">
        <v>30</v>
      </c>
      <c r="G364" s="2">
        <v>5</v>
      </c>
      <c r="H364" s="2" t="s">
        <v>62</v>
      </c>
      <c r="I364" s="2" t="s">
        <v>140</v>
      </c>
      <c r="J364" s="2" t="s">
        <v>64</v>
      </c>
      <c r="K364" s="2" t="s">
        <v>34</v>
      </c>
      <c r="L364" s="6" t="s">
        <v>1268</v>
      </c>
      <c r="M364" s="2">
        <v>83</v>
      </c>
      <c r="N364" s="2"/>
      <c r="O364" s="2">
        <v>106</v>
      </c>
      <c r="P364" s="2">
        <v>2034</v>
      </c>
      <c r="Q364" s="2">
        <v>679</v>
      </c>
      <c r="R364" s="2">
        <v>269</v>
      </c>
      <c r="S364" s="2">
        <v>3537</v>
      </c>
      <c r="T364" s="2">
        <v>624</v>
      </c>
      <c r="U364" s="2">
        <v>21</v>
      </c>
      <c r="V364" s="2">
        <v>85</v>
      </c>
      <c r="W364" s="2">
        <v>4060</v>
      </c>
      <c r="X364" s="9">
        <v>340694</v>
      </c>
      <c r="Y364" s="2" t="s">
        <v>36</v>
      </c>
      <c r="AA364" s="1" t="str">
        <f>TRIM(RPG_dataset[[#This Row],[Username]])</f>
        <v>zara_331</v>
      </c>
      <c r="AB364" s="1" t="str">
        <f>TRIM(RPG_dataset[[#This Row],[First Name]])</f>
        <v>Zara</v>
      </c>
      <c r="AC364" s="1" t="str">
        <f>PROPER(TRIM(RPG_dataset[[#This Row],[Race]]))</f>
        <v>Dwarf</v>
      </c>
      <c r="AD364" s="1" t="str">
        <f>PROPER(TRIM(RPG_dataset[[#This Row],[Class]]))</f>
        <v>Rogue</v>
      </c>
      <c r="AE364" s="1">
        <f>ABS(RPG_dataset[[#This Row],[Level]])</f>
        <v>5</v>
      </c>
      <c r="AF364" s="1">
        <f>ABS(RPG_dataset[[#This Row],[ATK]])</f>
        <v>83</v>
      </c>
      <c r="AG364" s="1">
        <f>ABS(RPG_dataset[[#This Row],[DEF]])</f>
        <v>0</v>
      </c>
      <c r="AH364" s="1">
        <f>ABS(RPG_dataset[[#This Row],[SPD]])</f>
        <v>106</v>
      </c>
      <c r="AI364" s="1">
        <f>ABS(RPG_dataset[[#This Row],[HP]])</f>
        <v>2034</v>
      </c>
      <c r="AJ364" s="1">
        <f>ABS(RPG_dataset[[#This Row],[MP]])</f>
        <v>679</v>
      </c>
      <c r="AK364" s="1">
        <f>ABS(RPG_dataset[[#This Row],[Total Stat]])</f>
        <v>269</v>
      </c>
      <c r="AL364" s="1">
        <f>ABS(RPG_dataset[[#This Row],[Kills]])</f>
        <v>3537</v>
      </c>
      <c r="AM364" s="12">
        <f>ABS(RPG_dataset[[#This Row],[Win Rate (%)]])</f>
        <v>85</v>
      </c>
      <c r="AN364" s="4">
        <f>ABS(RPG_dataset[[#This Row],[Gold Earned]])</f>
        <v>340694</v>
      </c>
      <c r="AO364" s="5" t="str">
        <f t="shared" si="5"/>
        <v>OK</v>
      </c>
      <c r="AP364" s="5">
        <f>RANK(clean[[#This Row],[Clean Gold]],clean[Clean Gold], 0)</f>
        <v>338</v>
      </c>
      <c r="AQ364" s="1">
        <v>275</v>
      </c>
      <c r="AR364" s="1" t="str" cm="1">
        <f t="array" ref="AR364">_xlfn.IFS(clean[[#This Row],[Clean Level]]&gt;=76, "Legend", clean[[#This Row],[Clean Level]]&gt;=51, "Elite", clean[[#This Row],[Clean Level]]&gt;=26, "Veteran", TRUE, "Rookie")</f>
        <v>Rookie</v>
      </c>
      <c r="AS364" s="1" t="str">
        <f>IF(RPG_dataset[[#This Row],[Status]]="Active", "TRUE", "FALSE")</f>
        <v>FALSE</v>
      </c>
      <c r="AT364" s="1" t="str" cm="1">
        <f t="array" ref="AT364">_xlfn.IFS(clean[[#This Row],[Clean Win Rate]]&gt;70, "Excellent", clean[[#This Row],[Clean Win Rate]]&gt;=40, "Average", TRUE, "Poor")</f>
        <v>Excellent</v>
      </c>
      <c r="AU364" s="1" t="str">
        <f>IF(AND(clean[[#This Row],[Clean Level]]&gt;80, clean[[#This Row],[Clean Total Stat]]&gt;350, clean[[#This Row],[Clean Gold]]&gt;500000), "Overpowered", "Normal")</f>
        <v>Normal</v>
      </c>
      <c r="AV364" s="1" t="str" cm="1">
        <f t="array" ref="AV36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64" s="1" t="str" cm="1">
        <f t="array" ref="AW36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364" s="1"/>
    </row>
    <row r="365" spans="1:50" x14ac:dyDescent="0.3">
      <c r="A365" s="2" t="s">
        <v>1269</v>
      </c>
      <c r="B365" s="2" t="s">
        <v>1270</v>
      </c>
      <c r="C365" s="2" t="s">
        <v>203</v>
      </c>
      <c r="D365" s="2" t="s">
        <v>272</v>
      </c>
      <c r="E365" s="2" t="s">
        <v>228</v>
      </c>
      <c r="F365" s="2" t="s">
        <v>72</v>
      </c>
      <c r="G365" s="2">
        <v>14</v>
      </c>
      <c r="H365" s="2" t="s">
        <v>518</v>
      </c>
      <c r="I365" s="2" t="s">
        <v>74</v>
      </c>
      <c r="J365" s="2" t="s">
        <v>64</v>
      </c>
      <c r="K365" s="2" t="s">
        <v>44</v>
      </c>
      <c r="L365" s="6" t="s">
        <v>1271</v>
      </c>
      <c r="M365" s="2">
        <v>92</v>
      </c>
      <c r="N365" s="2">
        <v>75</v>
      </c>
      <c r="O365" s="2">
        <v>138</v>
      </c>
      <c r="P365" s="2">
        <v>876</v>
      </c>
      <c r="Q365" s="2">
        <v>1649</v>
      </c>
      <c r="R365" s="2">
        <v>305</v>
      </c>
      <c r="S365" s="2">
        <v>3666</v>
      </c>
      <c r="T365" s="2">
        <v>362</v>
      </c>
      <c r="U365" s="2">
        <v>174</v>
      </c>
      <c r="V365" s="2">
        <v>91</v>
      </c>
      <c r="W365" s="2">
        <v>3904</v>
      </c>
      <c r="X365" s="9">
        <v>21529</v>
      </c>
      <c r="Y365" s="2" t="s">
        <v>46</v>
      </c>
      <c r="AA365" s="1" t="str">
        <f>TRIM(RPG_dataset[[#This Row],[Username]])</f>
        <v>leon_860</v>
      </c>
      <c r="AB365" s="1" t="str">
        <f>TRIM(RPG_dataset[[#This Row],[First Name]])</f>
        <v>Leon</v>
      </c>
      <c r="AC365" s="1" t="str">
        <f>PROPER(TRIM(RPG_dataset[[#This Row],[Race]]))</f>
        <v>Elf</v>
      </c>
      <c r="AD365" s="1" t="str">
        <f>PROPER(TRIM(RPG_dataset[[#This Row],[Class]]))</f>
        <v>Warrior</v>
      </c>
      <c r="AE365" s="1">
        <f>ABS(RPG_dataset[[#This Row],[Level]])</f>
        <v>14</v>
      </c>
      <c r="AF365" s="1">
        <f>ABS(RPG_dataset[[#This Row],[ATK]])</f>
        <v>92</v>
      </c>
      <c r="AG365" s="1">
        <f>ABS(RPG_dataset[[#This Row],[DEF]])</f>
        <v>75</v>
      </c>
      <c r="AH365" s="1">
        <f>ABS(RPG_dataset[[#This Row],[SPD]])</f>
        <v>138</v>
      </c>
      <c r="AI365" s="1">
        <f>ABS(RPG_dataset[[#This Row],[HP]])</f>
        <v>876</v>
      </c>
      <c r="AJ365" s="1">
        <f>ABS(RPG_dataset[[#This Row],[MP]])</f>
        <v>1649</v>
      </c>
      <c r="AK365" s="1">
        <f>ABS(RPG_dataset[[#This Row],[Total Stat]])</f>
        <v>305</v>
      </c>
      <c r="AL365" s="1">
        <f>ABS(RPG_dataset[[#This Row],[Kills]])</f>
        <v>3666</v>
      </c>
      <c r="AM365" s="12">
        <f>ABS(RPG_dataset[[#This Row],[Win Rate (%)]])</f>
        <v>91</v>
      </c>
      <c r="AN365" s="4">
        <f>ABS(RPG_dataset[[#This Row],[Gold Earned]])</f>
        <v>21529</v>
      </c>
      <c r="AO365" s="5" t="str">
        <f t="shared" si="5"/>
        <v>OK</v>
      </c>
      <c r="AP365" s="5">
        <f>RANK(clean[[#This Row],[Clean Gold]],clean[Clean Gold], 0)</f>
        <v>474</v>
      </c>
      <c r="AQ365" s="1">
        <v>204</v>
      </c>
      <c r="AR365" s="1" t="str" cm="1">
        <f t="array" ref="AR365">_xlfn.IFS(clean[[#This Row],[Clean Level]]&gt;=76, "Legend", clean[[#This Row],[Clean Level]]&gt;=51, "Elite", clean[[#This Row],[Clean Level]]&gt;=26, "Veteran", TRUE, "Rookie")</f>
        <v>Rookie</v>
      </c>
      <c r="AS365" s="1" t="str">
        <f>IF(RPG_dataset[[#This Row],[Status]]="Active", "TRUE", "FALSE")</f>
        <v>TRUE</v>
      </c>
      <c r="AT365" s="1" t="str" cm="1">
        <f t="array" ref="AT365">_xlfn.IFS(clean[[#This Row],[Clean Win Rate]]&gt;70, "Excellent", clean[[#This Row],[Clean Win Rate]]&gt;=40, "Average", TRUE, "Poor")</f>
        <v>Excellent</v>
      </c>
      <c r="AU365" s="1" t="str">
        <f>IF(AND(clean[[#This Row],[Clean Level]]&gt;80, clean[[#This Row],[Clean Total Stat]]&gt;350, clean[[#This Row],[Clean Gold]]&gt;500000), "Overpowered", "Normal")</f>
        <v>Normal</v>
      </c>
      <c r="AV365" s="1" t="str" cm="1">
        <f t="array" ref="AV36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65" s="1" t="str" cm="1">
        <f t="array" ref="AW36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Squad Inti</v>
      </c>
      <c r="AX365" s="1"/>
    </row>
    <row r="366" spans="1:50" x14ac:dyDescent="0.3">
      <c r="A366" s="2" t="s">
        <v>1272</v>
      </c>
      <c r="B366" s="2" t="s">
        <v>1273</v>
      </c>
      <c r="C366" s="2" t="s">
        <v>689</v>
      </c>
      <c r="D366" s="2" t="s">
        <v>139</v>
      </c>
      <c r="E366" s="2" t="s">
        <v>169</v>
      </c>
      <c r="F366" s="2" t="s">
        <v>72</v>
      </c>
      <c r="G366" s="2">
        <v>62</v>
      </c>
      <c r="H366" s="2" t="s">
        <v>31</v>
      </c>
      <c r="I366" s="2" t="s">
        <v>32</v>
      </c>
      <c r="J366" s="2" t="s">
        <v>163</v>
      </c>
      <c r="K366" s="2" t="s">
        <v>34</v>
      </c>
      <c r="L366" s="6" t="s">
        <v>1274</v>
      </c>
      <c r="M366" s="2">
        <v>135</v>
      </c>
      <c r="N366" s="2"/>
      <c r="O366" s="2">
        <v>139</v>
      </c>
      <c r="P366" s="2">
        <v>217</v>
      </c>
      <c r="Q366" s="2">
        <v>490</v>
      </c>
      <c r="R366" s="2">
        <v>356</v>
      </c>
      <c r="S366" s="2"/>
      <c r="T366" s="2">
        <v>697</v>
      </c>
      <c r="U366" s="2">
        <v>246</v>
      </c>
      <c r="V366" s="2">
        <v>85</v>
      </c>
      <c r="W366" s="2">
        <v>5571</v>
      </c>
      <c r="X366" s="9">
        <v>237230</v>
      </c>
      <c r="Y366" s="2" t="s">
        <v>46</v>
      </c>
      <c r="AA366" s="1" t="str">
        <f>TRIM(RPG_dataset[[#This Row],[Username]])</f>
        <v>theron_329</v>
      </c>
      <c r="AB366" s="1" t="str">
        <f>TRIM(RPG_dataset[[#This Row],[First Name]])</f>
        <v>Theron</v>
      </c>
      <c r="AC366" s="1" t="str">
        <f>PROPER(TRIM(RPG_dataset[[#This Row],[Race]]))</f>
        <v>Halfling</v>
      </c>
      <c r="AD366" s="1" t="str">
        <f>PROPER(TRIM(RPG_dataset[[#This Row],[Class]]))</f>
        <v>Warrior</v>
      </c>
      <c r="AE366" s="1">
        <f>ABS(RPG_dataset[[#This Row],[Level]])</f>
        <v>62</v>
      </c>
      <c r="AF366" s="1">
        <f>ABS(RPG_dataset[[#This Row],[ATK]])</f>
        <v>135</v>
      </c>
      <c r="AG366" s="1">
        <f>ABS(RPG_dataset[[#This Row],[DEF]])</f>
        <v>0</v>
      </c>
      <c r="AH366" s="1">
        <f>ABS(RPG_dataset[[#This Row],[SPD]])</f>
        <v>139</v>
      </c>
      <c r="AI366" s="1">
        <f>ABS(RPG_dataset[[#This Row],[HP]])</f>
        <v>217</v>
      </c>
      <c r="AJ366" s="1">
        <f>ABS(RPG_dataset[[#This Row],[MP]])</f>
        <v>490</v>
      </c>
      <c r="AK366" s="1">
        <f>ABS(RPG_dataset[[#This Row],[Total Stat]])</f>
        <v>356</v>
      </c>
      <c r="AL366" s="1">
        <f>ABS(RPG_dataset[[#This Row],[Kills]])</f>
        <v>0</v>
      </c>
      <c r="AM366" s="12">
        <f>ABS(RPG_dataset[[#This Row],[Win Rate (%)]])</f>
        <v>85</v>
      </c>
      <c r="AN366" s="4">
        <f>ABS(RPG_dataset[[#This Row],[Gold Earned]])</f>
        <v>237230</v>
      </c>
      <c r="AO366" s="5" t="str">
        <f t="shared" si="5"/>
        <v>OK</v>
      </c>
      <c r="AP366" s="5">
        <f>RANK(clean[[#This Row],[Clean Gold]],clean[Clean Gold], 0)</f>
        <v>376</v>
      </c>
      <c r="AQ366" s="1"/>
      <c r="AR366" s="1" t="str" cm="1">
        <f t="array" ref="AR366">_xlfn.IFS(clean[[#This Row],[Clean Level]]&gt;=76, "Legend", clean[[#This Row],[Clean Level]]&gt;=51, "Elite", clean[[#This Row],[Clean Level]]&gt;=26, "Veteran", TRUE, "Rookie")</f>
        <v>Elite</v>
      </c>
      <c r="AS366" s="1" t="str">
        <f>IF(RPG_dataset[[#This Row],[Status]]="Active", "TRUE", "FALSE")</f>
        <v>FALSE</v>
      </c>
      <c r="AT366" s="1" t="str" cm="1">
        <f t="array" ref="AT366">_xlfn.IFS(clean[[#This Row],[Clean Win Rate]]&gt;70, "Excellent", clean[[#This Row],[Clean Win Rate]]&gt;=40, "Average", TRUE, "Poor")</f>
        <v>Excellent</v>
      </c>
      <c r="AU366" s="1" t="str">
        <f>IF(AND(clean[[#This Row],[Clean Level]]&gt;80, clean[[#This Row],[Clean Total Stat]]&gt;350, clean[[#This Row],[Clean Gold]]&gt;500000), "Overpowered", "Normal")</f>
        <v>Normal</v>
      </c>
      <c r="AV366" s="1" t="str" cm="1">
        <f t="array" ref="AV36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66" s="1" t="str" cm="1">
        <f t="array" ref="AW36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Squad Inti</v>
      </c>
      <c r="AX366" s="1"/>
    </row>
    <row r="367" spans="1:50" x14ac:dyDescent="0.3">
      <c r="A367" s="2" t="s">
        <v>1275</v>
      </c>
      <c r="B367" s="2" t="s">
        <v>1276</v>
      </c>
      <c r="C367" s="2" t="s">
        <v>58</v>
      </c>
      <c r="D367" s="2" t="s">
        <v>131</v>
      </c>
      <c r="E367" s="2" t="s">
        <v>169</v>
      </c>
      <c r="F367" s="2" t="s">
        <v>98</v>
      </c>
      <c r="G367" s="2">
        <v>7</v>
      </c>
      <c r="H367" s="2" t="s">
        <v>80</v>
      </c>
      <c r="I367" s="2" t="s">
        <v>140</v>
      </c>
      <c r="J367" s="2" t="s">
        <v>120</v>
      </c>
      <c r="K367" s="2" t="s">
        <v>44</v>
      </c>
      <c r="L367" s="6" t="s">
        <v>1277</v>
      </c>
      <c r="M367" s="2">
        <v>83</v>
      </c>
      <c r="N367" s="2">
        <v>37</v>
      </c>
      <c r="O367" s="2">
        <v>22</v>
      </c>
      <c r="P367" s="2">
        <v>1921</v>
      </c>
      <c r="Q367" s="2"/>
      <c r="R367" s="2">
        <v>142</v>
      </c>
      <c r="S367" s="2">
        <v>707</v>
      </c>
      <c r="T367" s="2">
        <v>827</v>
      </c>
      <c r="U367" s="2">
        <v>55</v>
      </c>
      <c r="V367" s="2">
        <v>46</v>
      </c>
      <c r="W367" s="2">
        <v>5960</v>
      </c>
      <c r="X367" s="9">
        <v>650561</v>
      </c>
      <c r="Y367" s="2" t="s">
        <v>46</v>
      </c>
      <c r="AA367" s="1" t="str">
        <f>TRIM(RPG_dataset[[#This Row],[Username]])</f>
        <v>kael_920</v>
      </c>
      <c r="AB367" s="1" t="str">
        <f>TRIM(RPG_dataset[[#This Row],[First Name]])</f>
        <v>Kael</v>
      </c>
      <c r="AC367" s="1" t="str">
        <f>PROPER(TRIM(RPG_dataset[[#This Row],[Race]]))</f>
        <v>Halfling</v>
      </c>
      <c r="AD367" s="1" t="str">
        <f>PROPER(TRIM(RPG_dataset[[#This Row],[Class]]))</f>
        <v>Mage</v>
      </c>
      <c r="AE367" s="1">
        <f>ABS(RPG_dataset[[#This Row],[Level]])</f>
        <v>7</v>
      </c>
      <c r="AF367" s="1">
        <f>ABS(RPG_dataset[[#This Row],[ATK]])</f>
        <v>83</v>
      </c>
      <c r="AG367" s="1">
        <f>ABS(RPG_dataset[[#This Row],[DEF]])</f>
        <v>37</v>
      </c>
      <c r="AH367" s="1">
        <f>ABS(RPG_dataset[[#This Row],[SPD]])</f>
        <v>22</v>
      </c>
      <c r="AI367" s="1">
        <f>ABS(RPG_dataset[[#This Row],[HP]])</f>
        <v>1921</v>
      </c>
      <c r="AJ367" s="1">
        <f>ABS(RPG_dataset[[#This Row],[MP]])</f>
        <v>0</v>
      </c>
      <c r="AK367" s="1">
        <f>ABS(RPG_dataset[[#This Row],[Total Stat]])</f>
        <v>142</v>
      </c>
      <c r="AL367" s="1">
        <f>ABS(RPG_dataset[[#This Row],[Kills]])</f>
        <v>707</v>
      </c>
      <c r="AM367" s="12">
        <f>ABS(RPG_dataset[[#This Row],[Win Rate (%)]])</f>
        <v>46</v>
      </c>
      <c r="AN367" s="4">
        <f>ABS(RPG_dataset[[#This Row],[Gold Earned]])</f>
        <v>650561</v>
      </c>
      <c r="AO367" s="5" t="str">
        <f t="shared" si="5"/>
        <v>OK</v>
      </c>
      <c r="AP367" s="5">
        <f>RANK(clean[[#This Row],[Clean Gold]],clean[Clean Gold], 0)</f>
        <v>175</v>
      </c>
      <c r="AQ367" s="1">
        <v>317</v>
      </c>
      <c r="AR367" s="1" t="str" cm="1">
        <f t="array" ref="AR367">_xlfn.IFS(clean[[#This Row],[Clean Level]]&gt;=76, "Legend", clean[[#This Row],[Clean Level]]&gt;=51, "Elite", clean[[#This Row],[Clean Level]]&gt;=26, "Veteran", TRUE, "Rookie")</f>
        <v>Rookie</v>
      </c>
      <c r="AS367" s="1" t="str">
        <f>IF(RPG_dataset[[#This Row],[Status]]="Active", "TRUE", "FALSE")</f>
        <v>TRUE</v>
      </c>
      <c r="AT367" s="1" t="str" cm="1">
        <f t="array" ref="AT367">_xlfn.IFS(clean[[#This Row],[Clean Win Rate]]&gt;70, "Excellent", clean[[#This Row],[Clean Win Rate]]&gt;=40, "Average", TRUE, "Poor")</f>
        <v>Average</v>
      </c>
      <c r="AU367" s="1" t="str">
        <f>IF(AND(clean[[#This Row],[Clean Level]]&gt;80, clean[[#This Row],[Clean Total Stat]]&gt;350, clean[[#This Row],[Clean Gold]]&gt;500000), "Overpowered", "Normal")</f>
        <v>Normal</v>
      </c>
      <c r="AV367" s="1" t="str" cm="1">
        <f t="array" ref="AV367">_xlfn.IFS(
(AND(OR(clean[[#This Row],[Tier]]="Elite", clean[[#This Row],[Tier]]="Legend"), clean[[#This Row],[Performance]]="Excellent", RPG_dataset[[#This Row],[Is Premium]]="Yes")), "High", OR(OR(clean[[#This Row],[Tier]]="Elite", clean[[#This Row],[Tier]]="Legend"), clean[[#This Row],[Performance]]="Excellent", RPG_dataset[[#This Row],[Is Premium]]="Yes"), "Medium", TRUE, "Low")</f>
        <v>Low</v>
      </c>
      <c r="AW367" s="1" t="str" cm="1">
        <f t="array" ref="AW36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367" s="1"/>
    </row>
    <row r="368" spans="1:50" x14ac:dyDescent="0.3">
      <c r="A368" s="2" t="s">
        <v>1278</v>
      </c>
      <c r="B368" s="2" t="s">
        <v>1279</v>
      </c>
      <c r="C368" s="2" t="s">
        <v>339</v>
      </c>
      <c r="D368" s="2" t="s">
        <v>131</v>
      </c>
      <c r="E368" s="2" t="s">
        <v>71</v>
      </c>
      <c r="F368" s="2" t="s">
        <v>72</v>
      </c>
      <c r="G368" s="2">
        <v>58</v>
      </c>
      <c r="H368" s="2" t="s">
        <v>125</v>
      </c>
      <c r="I368" s="2" t="s">
        <v>126</v>
      </c>
      <c r="J368" s="2" t="s">
        <v>64</v>
      </c>
      <c r="K368" s="2" t="s">
        <v>44</v>
      </c>
      <c r="L368" s="6" t="s">
        <v>1280</v>
      </c>
      <c r="M368" s="2">
        <v>71</v>
      </c>
      <c r="N368" s="2">
        <v>107</v>
      </c>
      <c r="O368" s="2">
        <v>134</v>
      </c>
      <c r="P368" s="2">
        <v>648</v>
      </c>
      <c r="Q368" s="2">
        <v>1291</v>
      </c>
      <c r="R368" s="2">
        <v>312</v>
      </c>
      <c r="S368" s="2">
        <v>1045</v>
      </c>
      <c r="T368" s="2">
        <v>814</v>
      </c>
      <c r="U368" s="2">
        <v>72</v>
      </c>
      <c r="V368" s="2">
        <v>56</v>
      </c>
      <c r="W368" s="2">
        <v>6177</v>
      </c>
      <c r="X368" s="9">
        <v>348435</v>
      </c>
      <c r="Y368" s="2" t="s">
        <v>36</v>
      </c>
      <c r="AA368" s="1" t="str">
        <f>TRIM(RPG_dataset[[#This Row],[Username]])</f>
        <v>drak_220</v>
      </c>
      <c r="AB368" s="1" t="str">
        <f>TRIM(RPG_dataset[[#This Row],[First Name]])</f>
        <v>Drak</v>
      </c>
      <c r="AC368" s="1" t="str">
        <f>PROPER(TRIM(RPG_dataset[[#This Row],[Race]]))</f>
        <v>Dragonborn</v>
      </c>
      <c r="AD368" s="1" t="str">
        <f>PROPER(TRIM(RPG_dataset[[#This Row],[Class]]))</f>
        <v>Warrior</v>
      </c>
      <c r="AE368" s="1">
        <f>ABS(RPG_dataset[[#This Row],[Level]])</f>
        <v>58</v>
      </c>
      <c r="AF368" s="1">
        <f>ABS(RPG_dataset[[#This Row],[ATK]])</f>
        <v>71</v>
      </c>
      <c r="AG368" s="1">
        <f>ABS(RPG_dataset[[#This Row],[DEF]])</f>
        <v>107</v>
      </c>
      <c r="AH368" s="1">
        <f>ABS(RPG_dataset[[#This Row],[SPD]])</f>
        <v>134</v>
      </c>
      <c r="AI368" s="1">
        <f>ABS(RPG_dataset[[#This Row],[HP]])</f>
        <v>648</v>
      </c>
      <c r="AJ368" s="1">
        <f>ABS(RPG_dataset[[#This Row],[MP]])</f>
        <v>1291</v>
      </c>
      <c r="AK368" s="1">
        <f>ABS(RPG_dataset[[#This Row],[Total Stat]])</f>
        <v>312</v>
      </c>
      <c r="AL368" s="1">
        <f>ABS(RPG_dataset[[#This Row],[Kills]])</f>
        <v>1045</v>
      </c>
      <c r="AM368" s="12">
        <f>ABS(RPG_dataset[[#This Row],[Win Rate (%)]])</f>
        <v>56</v>
      </c>
      <c r="AN368" s="4">
        <f>ABS(RPG_dataset[[#This Row],[Gold Earned]])</f>
        <v>348435</v>
      </c>
      <c r="AO368" s="5" t="str">
        <f t="shared" si="5"/>
        <v>OK</v>
      </c>
      <c r="AP368" s="5">
        <f>RANK(clean[[#This Row],[Clean Gold]],clean[Clean Gold], 0)</f>
        <v>330</v>
      </c>
      <c r="AQ368" s="1">
        <v>251</v>
      </c>
      <c r="AR368" s="1" t="str" cm="1">
        <f t="array" ref="AR368">_xlfn.IFS(clean[[#This Row],[Clean Level]]&gt;=76, "Legend", clean[[#This Row],[Clean Level]]&gt;=51, "Elite", clean[[#This Row],[Clean Level]]&gt;=26, "Veteran", TRUE, "Rookie")</f>
        <v>Elite</v>
      </c>
      <c r="AS368" s="1" t="str">
        <f>IF(RPG_dataset[[#This Row],[Status]]="Active", "TRUE", "FALSE")</f>
        <v>TRUE</v>
      </c>
      <c r="AT368" s="1" t="str" cm="1">
        <f t="array" ref="AT368">_xlfn.IFS(clean[[#This Row],[Clean Win Rate]]&gt;70, "Excellent", clean[[#This Row],[Clean Win Rate]]&gt;=40, "Average", TRUE, "Poor")</f>
        <v>Average</v>
      </c>
      <c r="AU368" s="1" t="str">
        <f>IF(AND(clean[[#This Row],[Clean Level]]&gt;80, clean[[#This Row],[Clean Total Stat]]&gt;350, clean[[#This Row],[Clean Gold]]&gt;500000), "Overpowered", "Normal")</f>
        <v>Normal</v>
      </c>
      <c r="AV368" s="1" t="str" cm="1">
        <f t="array" ref="AV36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68" s="1" t="str" cm="1">
        <f t="array" ref="AW36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Squad Inti</v>
      </c>
      <c r="AX368" s="1"/>
    </row>
    <row r="369" spans="1:50" x14ac:dyDescent="0.3">
      <c r="A369" s="2" t="s">
        <v>1281</v>
      </c>
      <c r="B369" s="2" t="s">
        <v>1282</v>
      </c>
      <c r="C369" s="2" t="s">
        <v>296</v>
      </c>
      <c r="D369" s="2" t="s">
        <v>162</v>
      </c>
      <c r="E369" s="2" t="s">
        <v>41</v>
      </c>
      <c r="F369" s="2" t="s">
        <v>75</v>
      </c>
      <c r="G369" s="2">
        <v>71</v>
      </c>
      <c r="H369" s="2" t="s">
        <v>43</v>
      </c>
      <c r="I369" s="2" t="s">
        <v>126</v>
      </c>
      <c r="J369" s="2" t="s">
        <v>88</v>
      </c>
      <c r="K369" s="2" t="s">
        <v>1063</v>
      </c>
      <c r="L369" s="6" t="s">
        <v>728</v>
      </c>
      <c r="M369" s="2">
        <v>125</v>
      </c>
      <c r="N369" s="2">
        <v>26</v>
      </c>
      <c r="O369" s="2">
        <v>34</v>
      </c>
      <c r="P369" s="2">
        <v>4874</v>
      </c>
      <c r="Q369" s="2">
        <v>590</v>
      </c>
      <c r="R369" s="2">
        <v>185</v>
      </c>
      <c r="S369" s="2">
        <v>4422</v>
      </c>
      <c r="T369" s="2">
        <v>931</v>
      </c>
      <c r="U369" s="2">
        <v>290</v>
      </c>
      <c r="V369" s="2">
        <v>83</v>
      </c>
      <c r="W369" s="2">
        <v>6354</v>
      </c>
      <c r="X369" s="9">
        <v>818030</v>
      </c>
      <c r="Y369" s="2" t="s">
        <v>46</v>
      </c>
      <c r="AA369" s="1" t="str">
        <f>TRIM(RPG_dataset[[#This Row],[Username]])</f>
        <v>gareth_782</v>
      </c>
      <c r="AB369" s="1" t="str">
        <f>TRIM(RPG_dataset[[#This Row],[First Name]])</f>
        <v>Gareth</v>
      </c>
      <c r="AC369" s="1" t="str">
        <f>PROPER(TRIM(RPG_dataset[[#This Row],[Race]]))</f>
        <v>Gnome</v>
      </c>
      <c r="AD369" s="1" t="str">
        <f>PROPER(TRIM(RPG_dataset[[#This Row],[Class]]))</f>
        <v/>
      </c>
      <c r="AE369" s="1">
        <f>ABS(RPG_dataset[[#This Row],[Level]])</f>
        <v>71</v>
      </c>
      <c r="AF369" s="1">
        <f>ABS(RPG_dataset[[#This Row],[ATK]])</f>
        <v>125</v>
      </c>
      <c r="AG369" s="1">
        <f>ABS(RPG_dataset[[#This Row],[DEF]])</f>
        <v>26</v>
      </c>
      <c r="AH369" s="1">
        <f>ABS(RPG_dataset[[#This Row],[SPD]])</f>
        <v>34</v>
      </c>
      <c r="AI369" s="1">
        <f>ABS(RPG_dataset[[#This Row],[HP]])</f>
        <v>4874</v>
      </c>
      <c r="AJ369" s="1">
        <f>ABS(RPG_dataset[[#This Row],[MP]])</f>
        <v>590</v>
      </c>
      <c r="AK369" s="1">
        <f>ABS(RPG_dataset[[#This Row],[Total Stat]])</f>
        <v>185</v>
      </c>
      <c r="AL369" s="1">
        <f>ABS(RPG_dataset[[#This Row],[Kills]])</f>
        <v>4422</v>
      </c>
      <c r="AM369" s="12">
        <f>ABS(RPG_dataset[[#This Row],[Win Rate (%)]])</f>
        <v>83</v>
      </c>
      <c r="AN369" s="4">
        <f>ABS(RPG_dataset[[#This Row],[Gold Earned]])</f>
        <v>818030</v>
      </c>
      <c r="AO369" s="5" t="str">
        <f t="shared" si="5"/>
        <v>OK</v>
      </c>
      <c r="AP369" s="5">
        <f>RANK(clean[[#This Row],[Clean Gold]],clean[Clean Gold], 0)</f>
        <v>96</v>
      </c>
      <c r="AQ369" s="1"/>
      <c r="AR369" s="1" t="str" cm="1">
        <f t="array" ref="AR369">_xlfn.IFS(clean[[#This Row],[Clean Level]]&gt;=76, "Legend", clean[[#This Row],[Clean Level]]&gt;=51, "Elite", clean[[#This Row],[Clean Level]]&gt;=26, "Veteran", TRUE, "Rookie")</f>
        <v>Elite</v>
      </c>
      <c r="AS369" s="1" t="str">
        <f>IF(RPG_dataset[[#This Row],[Status]]="Active", "TRUE", "FALSE")</f>
        <v>FALSE</v>
      </c>
      <c r="AT369" s="1" t="str" cm="1">
        <f t="array" ref="AT369">_xlfn.IFS(clean[[#This Row],[Clean Win Rate]]&gt;70, "Excellent", clean[[#This Row],[Clean Win Rate]]&gt;=40, "Average", TRUE, "Poor")</f>
        <v>Excellent</v>
      </c>
      <c r="AU369" s="1" t="str">
        <f>IF(AND(clean[[#This Row],[Clean Level]]&gt;80, clean[[#This Row],[Clean Total Stat]]&gt;350, clean[[#This Row],[Clean Gold]]&gt;500000), "Overpowered", "Normal")</f>
        <v>Normal</v>
      </c>
      <c r="AV369" s="1" t="str" cm="1">
        <f t="array" ref="AV36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69" s="1" t="str" cm="1">
        <f t="array" ref="AW36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69" s="1"/>
    </row>
    <row r="370" spans="1:50" x14ac:dyDescent="0.3">
      <c r="A370" s="2" t="s">
        <v>1283</v>
      </c>
      <c r="B370" s="2" t="s">
        <v>513</v>
      </c>
      <c r="C370" s="2" t="s">
        <v>203</v>
      </c>
      <c r="D370" s="2" t="s">
        <v>304</v>
      </c>
      <c r="E370" s="2" t="s">
        <v>105</v>
      </c>
      <c r="F370" s="2" t="s">
        <v>124</v>
      </c>
      <c r="G370" s="2">
        <v>35</v>
      </c>
      <c r="H370" s="2" t="s">
        <v>53</v>
      </c>
      <c r="I370" s="2" t="s">
        <v>63</v>
      </c>
      <c r="J370" s="2" t="s">
        <v>88</v>
      </c>
      <c r="K370" s="2" t="s">
        <v>44</v>
      </c>
      <c r="L370" s="6" t="s">
        <v>1284</v>
      </c>
      <c r="M370" s="2">
        <v>77</v>
      </c>
      <c r="N370" s="2">
        <v>100</v>
      </c>
      <c r="O370" s="2">
        <v>113</v>
      </c>
      <c r="P370" s="2">
        <v>1162</v>
      </c>
      <c r="Q370" s="2">
        <v>-1317</v>
      </c>
      <c r="R370" s="2">
        <v>290</v>
      </c>
      <c r="S370" s="2">
        <v>3328</v>
      </c>
      <c r="T370" s="2">
        <v>677</v>
      </c>
      <c r="U370" s="2">
        <v>96</v>
      </c>
      <c r="V370" s="2">
        <v>83</v>
      </c>
      <c r="W370" s="2">
        <v>8374</v>
      </c>
      <c r="X370" s="9">
        <v>357594</v>
      </c>
      <c r="Y370" s="2" t="s">
        <v>36</v>
      </c>
      <c r="AA370" s="1" t="str">
        <f>TRIM(RPG_dataset[[#This Row],[Username]])</f>
        <v>leon_107</v>
      </c>
      <c r="AB370" s="1" t="str">
        <f>TRIM(RPG_dataset[[#This Row],[First Name]])</f>
        <v>Leon</v>
      </c>
      <c r="AC370" s="1" t="str">
        <f>PROPER(TRIM(RPG_dataset[[#This Row],[Race]]))</f>
        <v>Orc</v>
      </c>
      <c r="AD370" s="1" t="str">
        <f>PROPER(TRIM(RPG_dataset[[#This Row],[Class]]))</f>
        <v>Necromancer</v>
      </c>
      <c r="AE370" s="1">
        <f>ABS(RPG_dataset[[#This Row],[Level]])</f>
        <v>35</v>
      </c>
      <c r="AF370" s="1">
        <f>ABS(RPG_dataset[[#This Row],[ATK]])</f>
        <v>77</v>
      </c>
      <c r="AG370" s="1">
        <f>ABS(RPG_dataset[[#This Row],[DEF]])</f>
        <v>100</v>
      </c>
      <c r="AH370" s="1">
        <f>ABS(RPG_dataset[[#This Row],[SPD]])</f>
        <v>113</v>
      </c>
      <c r="AI370" s="1">
        <f>ABS(RPG_dataset[[#This Row],[HP]])</f>
        <v>1162</v>
      </c>
      <c r="AJ370" s="1">
        <f>ABS(RPG_dataset[[#This Row],[MP]])</f>
        <v>1317</v>
      </c>
      <c r="AK370" s="1">
        <f>ABS(RPG_dataset[[#This Row],[Total Stat]])</f>
        <v>290</v>
      </c>
      <c r="AL370" s="1">
        <f>ABS(RPG_dataset[[#This Row],[Kills]])</f>
        <v>3328</v>
      </c>
      <c r="AM370" s="12">
        <f>ABS(RPG_dataset[[#This Row],[Win Rate (%)]])</f>
        <v>83</v>
      </c>
      <c r="AN370" s="4">
        <f>ABS(RPG_dataset[[#This Row],[Gold Earned]])</f>
        <v>357594</v>
      </c>
      <c r="AO370" s="5" t="str">
        <f t="shared" si="5"/>
        <v>Fix This</v>
      </c>
      <c r="AP370" s="5">
        <f>RANK(clean[[#This Row],[Clean Gold]],clean[Clean Gold], 0)</f>
        <v>327</v>
      </c>
      <c r="AQ370" s="1">
        <v>381</v>
      </c>
      <c r="AR370" s="1" t="str" cm="1">
        <f t="array" ref="AR370">_xlfn.IFS(clean[[#This Row],[Clean Level]]&gt;=76, "Legend", clean[[#This Row],[Clean Level]]&gt;=51, "Elite", clean[[#This Row],[Clean Level]]&gt;=26, "Veteran", TRUE, "Rookie")</f>
        <v>Veteran</v>
      </c>
      <c r="AS370" s="1" t="str">
        <f>IF(RPG_dataset[[#This Row],[Status]]="Active", "TRUE", "FALSE")</f>
        <v>TRUE</v>
      </c>
      <c r="AT370" s="1" t="str" cm="1">
        <f t="array" ref="AT370">_xlfn.IFS(clean[[#This Row],[Clean Win Rate]]&gt;70, "Excellent", clean[[#This Row],[Clean Win Rate]]&gt;=40, "Average", TRUE, "Poor")</f>
        <v>Excellent</v>
      </c>
      <c r="AU370" s="1" t="str">
        <f>IF(AND(clean[[#This Row],[Clean Level]]&gt;80, clean[[#This Row],[Clean Total Stat]]&gt;350, clean[[#This Row],[Clean Gold]]&gt;500000), "Overpowered", "Normal")</f>
        <v>Normal</v>
      </c>
      <c r="AV370" s="1" t="str" cm="1">
        <f t="array" ref="AV37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70" s="1" t="str" cm="1">
        <f t="array" ref="AW37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70" s="1"/>
    </row>
    <row r="371" spans="1:50" x14ac:dyDescent="0.3">
      <c r="A371" s="2" t="s">
        <v>1285</v>
      </c>
      <c r="B371" s="2" t="s">
        <v>1286</v>
      </c>
      <c r="C371" s="2" t="s">
        <v>296</v>
      </c>
      <c r="D371" s="2" t="s">
        <v>144</v>
      </c>
      <c r="E371" s="2" t="s">
        <v>29</v>
      </c>
      <c r="F371" s="2" t="s">
        <v>72</v>
      </c>
      <c r="G371" s="2">
        <v>21</v>
      </c>
      <c r="H371" s="2" t="s">
        <v>31</v>
      </c>
      <c r="I371" s="2" t="s">
        <v>54</v>
      </c>
      <c r="J371" s="2" t="s">
        <v>120</v>
      </c>
      <c r="K371" s="2" t="s">
        <v>44</v>
      </c>
      <c r="L371" s="6" t="s">
        <v>1287</v>
      </c>
      <c r="M371" s="2">
        <v>71</v>
      </c>
      <c r="N371" s="2">
        <v>13</v>
      </c>
      <c r="O371" s="2">
        <v>109</v>
      </c>
      <c r="P371" s="2"/>
      <c r="Q371" s="2">
        <v>1343</v>
      </c>
      <c r="R371" s="2">
        <v>193</v>
      </c>
      <c r="S371" s="2">
        <v>2290</v>
      </c>
      <c r="T371" s="2">
        <v>787</v>
      </c>
      <c r="U371" s="2">
        <v>85</v>
      </c>
      <c r="V371" s="2">
        <v>74</v>
      </c>
      <c r="W371" s="2">
        <v>7353</v>
      </c>
      <c r="X371" s="9">
        <v>486533</v>
      </c>
      <c r="Y371" s="2" t="s">
        <v>36</v>
      </c>
      <c r="AA371" s="1" t="str">
        <f>TRIM(RPG_dataset[[#This Row],[Username]])</f>
        <v>gareth_376</v>
      </c>
      <c r="AB371" s="1" t="str">
        <f>TRIM(RPG_dataset[[#This Row],[First Name]])</f>
        <v>Gareth</v>
      </c>
      <c r="AC371" s="1" t="str">
        <f>PROPER(TRIM(RPG_dataset[[#This Row],[Race]]))</f>
        <v>Dwarf</v>
      </c>
      <c r="AD371" s="1" t="str">
        <f>PROPER(TRIM(RPG_dataset[[#This Row],[Class]]))</f>
        <v>Warrior</v>
      </c>
      <c r="AE371" s="1">
        <f>ABS(RPG_dataset[[#This Row],[Level]])</f>
        <v>21</v>
      </c>
      <c r="AF371" s="1">
        <f>ABS(RPG_dataset[[#This Row],[ATK]])</f>
        <v>71</v>
      </c>
      <c r="AG371" s="1">
        <f>ABS(RPG_dataset[[#This Row],[DEF]])</f>
        <v>13</v>
      </c>
      <c r="AH371" s="1">
        <f>ABS(RPG_dataset[[#This Row],[SPD]])</f>
        <v>109</v>
      </c>
      <c r="AI371" s="1">
        <f>ABS(RPG_dataset[[#This Row],[HP]])</f>
        <v>0</v>
      </c>
      <c r="AJ371" s="1">
        <f>ABS(RPG_dataset[[#This Row],[MP]])</f>
        <v>1343</v>
      </c>
      <c r="AK371" s="1">
        <f>ABS(RPG_dataset[[#This Row],[Total Stat]])</f>
        <v>193</v>
      </c>
      <c r="AL371" s="1">
        <f>ABS(RPG_dataset[[#This Row],[Kills]])</f>
        <v>2290</v>
      </c>
      <c r="AM371" s="12">
        <f>ABS(RPG_dataset[[#This Row],[Win Rate (%)]])</f>
        <v>74</v>
      </c>
      <c r="AN371" s="4">
        <f>ABS(RPG_dataset[[#This Row],[Gold Earned]])</f>
        <v>486533</v>
      </c>
      <c r="AO371" s="5" t="str">
        <f t="shared" si="5"/>
        <v>OK</v>
      </c>
      <c r="AP371" s="5">
        <f>RANK(clean[[#This Row],[Clean Gold]],clean[Clean Gold], 0)</f>
        <v>261</v>
      </c>
      <c r="AQ371" s="1">
        <v>126</v>
      </c>
      <c r="AR371" s="1" t="str" cm="1">
        <f t="array" ref="AR371">_xlfn.IFS(clean[[#This Row],[Clean Level]]&gt;=76, "Legend", clean[[#This Row],[Clean Level]]&gt;=51, "Elite", clean[[#This Row],[Clean Level]]&gt;=26, "Veteran", TRUE, "Rookie")</f>
        <v>Rookie</v>
      </c>
      <c r="AS371" s="1" t="str">
        <f>IF(RPG_dataset[[#This Row],[Status]]="Active", "TRUE", "FALSE")</f>
        <v>TRUE</v>
      </c>
      <c r="AT371" s="1" t="str" cm="1">
        <f t="array" ref="AT371">_xlfn.IFS(clean[[#This Row],[Clean Win Rate]]&gt;70, "Excellent", clean[[#This Row],[Clean Win Rate]]&gt;=40, "Average", TRUE, "Poor")</f>
        <v>Excellent</v>
      </c>
      <c r="AU371" s="1" t="str">
        <f>IF(AND(clean[[#This Row],[Clean Level]]&gt;80, clean[[#This Row],[Clean Total Stat]]&gt;350, clean[[#This Row],[Clean Gold]]&gt;500000), "Overpowered", "Normal")</f>
        <v>Normal</v>
      </c>
      <c r="AV371" s="1" t="str" cm="1">
        <f t="array" ref="AV37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71" s="1" t="str" cm="1">
        <f t="array" ref="AW37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71" s="1"/>
    </row>
    <row r="372" spans="1:50" x14ac:dyDescent="0.3">
      <c r="A372" s="2" t="s">
        <v>1288</v>
      </c>
      <c r="B372" s="2" t="s">
        <v>1289</v>
      </c>
      <c r="C372" s="2" t="s">
        <v>49</v>
      </c>
      <c r="D372" s="2" t="s">
        <v>139</v>
      </c>
      <c r="E372" s="2" t="s">
        <v>29</v>
      </c>
      <c r="F372" s="2" t="s">
        <v>52</v>
      </c>
      <c r="G372" s="2">
        <v>17</v>
      </c>
      <c r="H372" s="2" t="s">
        <v>53</v>
      </c>
      <c r="I372" s="2" t="s">
        <v>87</v>
      </c>
      <c r="J372" s="2" t="s">
        <v>81</v>
      </c>
      <c r="K372" s="2" t="s">
        <v>44</v>
      </c>
      <c r="L372" s="6" t="s">
        <v>1290</v>
      </c>
      <c r="M372" s="2">
        <v>109</v>
      </c>
      <c r="N372" s="2">
        <v>150</v>
      </c>
      <c r="O372" s="2">
        <v>74</v>
      </c>
      <c r="P372" s="2">
        <v>3700</v>
      </c>
      <c r="Q372" s="2">
        <v>1613</v>
      </c>
      <c r="R372" s="2">
        <v>333</v>
      </c>
      <c r="S372" s="2">
        <v>3886</v>
      </c>
      <c r="T372" s="2">
        <v>698</v>
      </c>
      <c r="U372" s="2">
        <v>153</v>
      </c>
      <c r="V372" s="2">
        <v>-85</v>
      </c>
      <c r="W372" s="2">
        <v>6063</v>
      </c>
      <c r="X372" s="9">
        <v>345899</v>
      </c>
      <c r="Y372" s="2" t="s">
        <v>36</v>
      </c>
      <c r="AA372" s="1" t="str">
        <f>TRIM(RPG_dataset[[#This Row],[Username]])</f>
        <v>dune_994</v>
      </c>
      <c r="AB372" s="1" t="str">
        <f>TRIM(RPG_dataset[[#This Row],[First Name]])</f>
        <v>Dune</v>
      </c>
      <c r="AC372" s="1" t="str">
        <f>PROPER(TRIM(RPG_dataset[[#This Row],[Race]]))</f>
        <v>Dwarf</v>
      </c>
      <c r="AD372" s="1" t="str">
        <f>PROPER(TRIM(RPG_dataset[[#This Row],[Class]]))</f>
        <v>Bard</v>
      </c>
      <c r="AE372" s="1">
        <f>ABS(RPG_dataset[[#This Row],[Level]])</f>
        <v>17</v>
      </c>
      <c r="AF372" s="1">
        <f>ABS(RPG_dataset[[#This Row],[ATK]])</f>
        <v>109</v>
      </c>
      <c r="AG372" s="1">
        <f>ABS(RPG_dataset[[#This Row],[DEF]])</f>
        <v>150</v>
      </c>
      <c r="AH372" s="1">
        <f>ABS(RPG_dataset[[#This Row],[SPD]])</f>
        <v>74</v>
      </c>
      <c r="AI372" s="1">
        <f>ABS(RPG_dataset[[#This Row],[HP]])</f>
        <v>3700</v>
      </c>
      <c r="AJ372" s="1">
        <f>ABS(RPG_dataset[[#This Row],[MP]])</f>
        <v>1613</v>
      </c>
      <c r="AK372" s="1">
        <f>ABS(RPG_dataset[[#This Row],[Total Stat]])</f>
        <v>333</v>
      </c>
      <c r="AL372" s="1">
        <f>ABS(RPG_dataset[[#This Row],[Kills]])</f>
        <v>3886</v>
      </c>
      <c r="AM372" s="12">
        <f>ABS(RPG_dataset[[#This Row],[Win Rate (%)]])</f>
        <v>85</v>
      </c>
      <c r="AN372" s="4">
        <f>ABS(RPG_dataset[[#This Row],[Gold Earned]])</f>
        <v>345899</v>
      </c>
      <c r="AO372" s="5" t="str">
        <f t="shared" si="5"/>
        <v>Fix This</v>
      </c>
      <c r="AP372" s="5">
        <f>RANK(clean[[#This Row],[Clean Gold]],clean[Clean Gold], 0)</f>
        <v>332</v>
      </c>
      <c r="AQ372" s="1">
        <v>369</v>
      </c>
      <c r="AR372" s="1" t="str" cm="1">
        <f t="array" ref="AR372">_xlfn.IFS(clean[[#This Row],[Clean Level]]&gt;=76, "Legend", clean[[#This Row],[Clean Level]]&gt;=51, "Elite", clean[[#This Row],[Clean Level]]&gt;=26, "Veteran", TRUE, "Rookie")</f>
        <v>Rookie</v>
      </c>
      <c r="AS372" s="1" t="str">
        <f>IF(RPG_dataset[[#This Row],[Status]]="Active", "TRUE", "FALSE")</f>
        <v>TRUE</v>
      </c>
      <c r="AT372" s="1" t="str" cm="1">
        <f t="array" ref="AT372">_xlfn.IFS(clean[[#This Row],[Clean Win Rate]]&gt;70, "Excellent", clean[[#This Row],[Clean Win Rate]]&gt;=40, "Average", TRUE, "Poor")</f>
        <v>Excellent</v>
      </c>
      <c r="AU372" s="1" t="str">
        <f>IF(AND(clean[[#This Row],[Clean Level]]&gt;80, clean[[#This Row],[Clean Total Stat]]&gt;350, clean[[#This Row],[Clean Gold]]&gt;500000), "Overpowered", "Normal")</f>
        <v>Normal</v>
      </c>
      <c r="AV372" s="1" t="str" cm="1">
        <f t="array" ref="AV37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72" s="1" t="str" cm="1">
        <f t="array" ref="AW37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372" s="1"/>
    </row>
    <row r="373" spans="1:50" x14ac:dyDescent="0.3">
      <c r="A373" s="2" t="s">
        <v>1291</v>
      </c>
      <c r="B373" s="2" t="s">
        <v>1292</v>
      </c>
      <c r="C373" s="2" t="s">
        <v>1293</v>
      </c>
      <c r="D373" s="2" t="s">
        <v>155</v>
      </c>
      <c r="E373" s="2" t="s">
        <v>547</v>
      </c>
      <c r="F373" s="2" t="s">
        <v>30</v>
      </c>
      <c r="G373" s="2">
        <v>56</v>
      </c>
      <c r="H373" s="2" t="s">
        <v>157</v>
      </c>
      <c r="I373" s="2" t="s">
        <v>63</v>
      </c>
      <c r="J373" s="2" t="s">
        <v>33</v>
      </c>
      <c r="K373" s="2" t="s">
        <v>106</v>
      </c>
      <c r="L373" s="6" t="s">
        <v>1294</v>
      </c>
      <c r="M373" s="2">
        <v>98</v>
      </c>
      <c r="N373" s="2">
        <v>29</v>
      </c>
      <c r="O373" s="2">
        <v>100</v>
      </c>
      <c r="P373" s="2">
        <v>1988</v>
      </c>
      <c r="Q373" s="2">
        <v>584</v>
      </c>
      <c r="R373" s="2">
        <v>227</v>
      </c>
      <c r="S373" s="2">
        <v>3195</v>
      </c>
      <c r="T373" s="2">
        <v>58</v>
      </c>
      <c r="U373" s="2">
        <v>207</v>
      </c>
      <c r="V373" s="2">
        <v>98</v>
      </c>
      <c r="W373" s="2">
        <v>5710</v>
      </c>
      <c r="X373" s="9">
        <v>796644</v>
      </c>
      <c r="Y373" s="2" t="s">
        <v>46</v>
      </c>
      <c r="AA373" s="1" t="str">
        <f>TRIM(RPG_dataset[[#This Row],[Username]])</f>
        <v>vex_161</v>
      </c>
      <c r="AB373" s="1" t="str">
        <f>TRIM(RPG_dataset[[#This Row],[First Name]])</f>
        <v>Vex</v>
      </c>
      <c r="AC373" s="1" t="str">
        <f>PROPER(TRIM(RPG_dataset[[#This Row],[Race]]))</f>
        <v>Dragonborn</v>
      </c>
      <c r="AD373" s="1" t="str">
        <f>PROPER(TRIM(RPG_dataset[[#This Row],[Class]]))</f>
        <v>Rogue</v>
      </c>
      <c r="AE373" s="1">
        <f>ABS(RPG_dataset[[#This Row],[Level]])</f>
        <v>56</v>
      </c>
      <c r="AF373" s="1">
        <f>ABS(RPG_dataset[[#This Row],[ATK]])</f>
        <v>98</v>
      </c>
      <c r="AG373" s="1">
        <f>ABS(RPG_dataset[[#This Row],[DEF]])</f>
        <v>29</v>
      </c>
      <c r="AH373" s="1">
        <f>ABS(RPG_dataset[[#This Row],[SPD]])</f>
        <v>100</v>
      </c>
      <c r="AI373" s="1">
        <f>ABS(RPG_dataset[[#This Row],[HP]])</f>
        <v>1988</v>
      </c>
      <c r="AJ373" s="1">
        <f>ABS(RPG_dataset[[#This Row],[MP]])</f>
        <v>584</v>
      </c>
      <c r="AK373" s="1">
        <f>ABS(RPG_dataset[[#This Row],[Total Stat]])</f>
        <v>227</v>
      </c>
      <c r="AL373" s="1">
        <f>ABS(RPG_dataset[[#This Row],[Kills]])</f>
        <v>3195</v>
      </c>
      <c r="AM373" s="12">
        <f>ABS(RPG_dataset[[#This Row],[Win Rate (%)]])</f>
        <v>98</v>
      </c>
      <c r="AN373" s="4">
        <f>ABS(RPG_dataset[[#This Row],[Gold Earned]])</f>
        <v>796644</v>
      </c>
      <c r="AO373" s="5" t="str">
        <f t="shared" si="5"/>
        <v>OK</v>
      </c>
      <c r="AP373" s="5">
        <f>RANK(clean[[#This Row],[Clean Gold]],clean[Clean Gold], 0)</f>
        <v>107</v>
      </c>
      <c r="AQ373" s="1"/>
      <c r="AR373" s="1" t="str" cm="1">
        <f t="array" ref="AR373">_xlfn.IFS(clean[[#This Row],[Clean Level]]&gt;=76, "Legend", clean[[#This Row],[Clean Level]]&gt;=51, "Elite", clean[[#This Row],[Clean Level]]&gt;=26, "Veteran", TRUE, "Rookie")</f>
        <v>Elite</v>
      </c>
      <c r="AS373" s="1" t="str">
        <f>IF(RPG_dataset[[#This Row],[Status]]="Active", "TRUE", "FALSE")</f>
        <v>FALSE</v>
      </c>
      <c r="AT373" s="1" t="str" cm="1">
        <f t="array" ref="AT373">_xlfn.IFS(clean[[#This Row],[Clean Win Rate]]&gt;70, "Excellent", clean[[#This Row],[Clean Win Rate]]&gt;=40, "Average", TRUE, "Poor")</f>
        <v>Excellent</v>
      </c>
      <c r="AU373" s="1" t="str">
        <f>IF(AND(clean[[#This Row],[Clean Level]]&gt;80, clean[[#This Row],[Clean Total Stat]]&gt;350, clean[[#This Row],[Clean Gold]]&gt;500000), "Overpowered", "Normal")</f>
        <v>Normal</v>
      </c>
      <c r="AV373" s="1" t="str" cm="1">
        <f t="array" ref="AV37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73" s="1" t="str" cm="1">
        <f t="array" ref="AW37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73" s="1"/>
    </row>
    <row r="374" spans="1:50" x14ac:dyDescent="0.3">
      <c r="A374" s="2" t="s">
        <v>1295</v>
      </c>
      <c r="B374" s="2" t="s">
        <v>1296</v>
      </c>
      <c r="C374" s="2" t="s">
        <v>720</v>
      </c>
      <c r="D374" s="2" t="s">
        <v>234</v>
      </c>
      <c r="E374" s="2" t="s">
        <v>71</v>
      </c>
      <c r="F374" s="2" t="s">
        <v>98</v>
      </c>
      <c r="G374" s="2">
        <v>17</v>
      </c>
      <c r="H374" s="2" t="s">
        <v>125</v>
      </c>
      <c r="I374" s="2" t="s">
        <v>126</v>
      </c>
      <c r="J374" s="2" t="s">
        <v>33</v>
      </c>
      <c r="K374" s="2" t="s">
        <v>44</v>
      </c>
      <c r="L374" s="6" t="s">
        <v>1297</v>
      </c>
      <c r="M374" s="2">
        <v>30</v>
      </c>
      <c r="N374" s="2">
        <v>-137</v>
      </c>
      <c r="O374" s="2">
        <v>103</v>
      </c>
      <c r="P374" s="2"/>
      <c r="Q374" s="2">
        <v>1507</v>
      </c>
      <c r="R374" s="2">
        <v>270</v>
      </c>
      <c r="S374" s="2">
        <v>3544</v>
      </c>
      <c r="T374" s="2">
        <v>979</v>
      </c>
      <c r="U374" s="2">
        <v>214</v>
      </c>
      <c r="V374" s="2">
        <v>78</v>
      </c>
      <c r="W374" s="2">
        <v>5480</v>
      </c>
      <c r="X374" s="9">
        <v>27840</v>
      </c>
      <c r="Y374" s="2" t="s">
        <v>46</v>
      </c>
      <c r="AA374" s="1" t="str">
        <f>TRIM(RPG_dataset[[#This Row],[Username]])</f>
        <v>jade_567</v>
      </c>
      <c r="AB374" s="1" t="str">
        <f>TRIM(RPG_dataset[[#This Row],[First Name]])</f>
        <v>Jade</v>
      </c>
      <c r="AC374" s="1" t="str">
        <f>PROPER(TRIM(RPG_dataset[[#This Row],[Race]]))</f>
        <v>Dragonborn</v>
      </c>
      <c r="AD374" s="1" t="str">
        <f>PROPER(TRIM(RPG_dataset[[#This Row],[Class]]))</f>
        <v>Mage</v>
      </c>
      <c r="AE374" s="1">
        <f>ABS(RPG_dataset[[#This Row],[Level]])</f>
        <v>17</v>
      </c>
      <c r="AF374" s="1">
        <f>ABS(RPG_dataset[[#This Row],[ATK]])</f>
        <v>30</v>
      </c>
      <c r="AG374" s="1">
        <f>ABS(RPG_dataset[[#This Row],[DEF]])</f>
        <v>137</v>
      </c>
      <c r="AH374" s="1">
        <f>ABS(RPG_dataset[[#This Row],[SPD]])</f>
        <v>103</v>
      </c>
      <c r="AI374" s="1">
        <f>ABS(RPG_dataset[[#This Row],[HP]])</f>
        <v>0</v>
      </c>
      <c r="AJ374" s="1">
        <f>ABS(RPG_dataset[[#This Row],[MP]])</f>
        <v>1507</v>
      </c>
      <c r="AK374" s="1">
        <f>ABS(RPG_dataset[[#This Row],[Total Stat]])</f>
        <v>270</v>
      </c>
      <c r="AL374" s="1">
        <f>ABS(RPG_dataset[[#This Row],[Kills]])</f>
        <v>3544</v>
      </c>
      <c r="AM374" s="12">
        <f>ABS(RPG_dataset[[#This Row],[Win Rate (%)]])</f>
        <v>78</v>
      </c>
      <c r="AN374" s="4">
        <f>ABS(RPG_dataset[[#This Row],[Gold Earned]])</f>
        <v>27840</v>
      </c>
      <c r="AO374" s="5" t="str">
        <f t="shared" si="5"/>
        <v>Fix This</v>
      </c>
      <c r="AP374" s="5">
        <f>RANK(clean[[#This Row],[Clean Gold]],clean[Clean Gold], 0)</f>
        <v>468</v>
      </c>
      <c r="AQ374" s="1">
        <v>237</v>
      </c>
      <c r="AR374" s="1" t="str" cm="1">
        <f t="array" ref="AR374">_xlfn.IFS(clean[[#This Row],[Clean Level]]&gt;=76, "Legend", clean[[#This Row],[Clean Level]]&gt;=51, "Elite", clean[[#This Row],[Clean Level]]&gt;=26, "Veteran", TRUE, "Rookie")</f>
        <v>Rookie</v>
      </c>
      <c r="AS374" s="1" t="str">
        <f>IF(RPG_dataset[[#This Row],[Status]]="Active", "TRUE", "FALSE")</f>
        <v>TRUE</v>
      </c>
      <c r="AT374" s="1" t="str" cm="1">
        <f t="array" ref="AT374">_xlfn.IFS(clean[[#This Row],[Clean Win Rate]]&gt;70, "Excellent", clean[[#This Row],[Clean Win Rate]]&gt;=40, "Average", TRUE, "Poor")</f>
        <v>Excellent</v>
      </c>
      <c r="AU374" s="1" t="str">
        <f>IF(AND(clean[[#This Row],[Clean Level]]&gt;80, clean[[#This Row],[Clean Total Stat]]&gt;350, clean[[#This Row],[Clean Gold]]&gt;500000), "Overpowered", "Normal")</f>
        <v>Normal</v>
      </c>
      <c r="AV374" s="1" t="str" cm="1">
        <f t="array" ref="AV37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74" s="1" t="str" cm="1">
        <f t="array" ref="AW37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74" s="1"/>
    </row>
    <row r="375" spans="1:50" x14ac:dyDescent="0.3">
      <c r="A375" s="2" t="s">
        <v>1298</v>
      </c>
      <c r="B375" s="2" t="s">
        <v>1299</v>
      </c>
      <c r="C375" s="2" t="s">
        <v>123</v>
      </c>
      <c r="D375" s="2" t="s">
        <v>162</v>
      </c>
      <c r="E375" s="2" t="s">
        <v>60</v>
      </c>
      <c r="F375" s="2" t="s">
        <v>124</v>
      </c>
      <c r="G375" s="2">
        <v>78</v>
      </c>
      <c r="H375" s="2" t="s">
        <v>31</v>
      </c>
      <c r="I375" s="2" t="s">
        <v>87</v>
      </c>
      <c r="J375" s="2" t="s">
        <v>92</v>
      </c>
      <c r="K375" s="2" t="s">
        <v>44</v>
      </c>
      <c r="L375" s="6" t="s">
        <v>1300</v>
      </c>
      <c r="M375" s="2">
        <v>14</v>
      </c>
      <c r="N375" s="2">
        <v>125</v>
      </c>
      <c r="O375" s="2"/>
      <c r="P375" s="2">
        <v>1780</v>
      </c>
      <c r="Q375" s="2">
        <v>1583</v>
      </c>
      <c r="R375" s="2">
        <v>168</v>
      </c>
      <c r="S375" s="2">
        <v>4724</v>
      </c>
      <c r="T375" s="2">
        <v>947</v>
      </c>
      <c r="U375" s="2">
        <v>219</v>
      </c>
      <c r="V375" s="2">
        <v>83</v>
      </c>
      <c r="W375" s="2">
        <v>9146</v>
      </c>
      <c r="X375" s="9">
        <v>454404</v>
      </c>
      <c r="Y375" s="2" t="s">
        <v>36</v>
      </c>
      <c r="AA375" s="1" t="str">
        <f>TRIM(RPG_dataset[[#This Row],[Username]])</f>
        <v>faye_764</v>
      </c>
      <c r="AB375" s="1" t="str">
        <f>TRIM(RPG_dataset[[#This Row],[First Name]])</f>
        <v>Faye</v>
      </c>
      <c r="AC375" s="1" t="str">
        <f>PROPER(TRIM(RPG_dataset[[#This Row],[Race]]))</f>
        <v>Human</v>
      </c>
      <c r="AD375" s="1" t="str">
        <f>PROPER(TRIM(RPG_dataset[[#This Row],[Class]]))</f>
        <v>Necromancer</v>
      </c>
      <c r="AE375" s="1">
        <f>ABS(RPG_dataset[[#This Row],[Level]])</f>
        <v>78</v>
      </c>
      <c r="AF375" s="1">
        <f>ABS(RPG_dataset[[#This Row],[ATK]])</f>
        <v>14</v>
      </c>
      <c r="AG375" s="1">
        <f>ABS(RPG_dataset[[#This Row],[DEF]])</f>
        <v>125</v>
      </c>
      <c r="AH375" s="1">
        <f>ABS(RPG_dataset[[#This Row],[SPD]])</f>
        <v>0</v>
      </c>
      <c r="AI375" s="1">
        <f>ABS(RPG_dataset[[#This Row],[HP]])</f>
        <v>1780</v>
      </c>
      <c r="AJ375" s="1">
        <f>ABS(RPG_dataset[[#This Row],[MP]])</f>
        <v>1583</v>
      </c>
      <c r="AK375" s="1">
        <f>ABS(RPG_dataset[[#This Row],[Total Stat]])</f>
        <v>168</v>
      </c>
      <c r="AL375" s="1">
        <f>ABS(RPG_dataset[[#This Row],[Kills]])</f>
        <v>4724</v>
      </c>
      <c r="AM375" s="12">
        <f>ABS(RPG_dataset[[#This Row],[Win Rate (%)]])</f>
        <v>83</v>
      </c>
      <c r="AN375" s="4">
        <f>ABS(RPG_dataset[[#This Row],[Gold Earned]])</f>
        <v>454404</v>
      </c>
      <c r="AO375" s="5" t="str">
        <f t="shared" si="5"/>
        <v>OK</v>
      </c>
      <c r="AP375" s="5">
        <f>RANK(clean[[#This Row],[Clean Gold]],clean[Clean Gold], 0)</f>
        <v>277</v>
      </c>
      <c r="AQ375" s="1">
        <v>302</v>
      </c>
      <c r="AR375" s="1" t="str" cm="1">
        <f t="array" ref="AR375">_xlfn.IFS(clean[[#This Row],[Clean Level]]&gt;=76, "Legend", clean[[#This Row],[Clean Level]]&gt;=51, "Elite", clean[[#This Row],[Clean Level]]&gt;=26, "Veteran", TRUE, "Rookie")</f>
        <v>Legend</v>
      </c>
      <c r="AS375" s="1" t="str">
        <f>IF(RPG_dataset[[#This Row],[Status]]="Active", "TRUE", "FALSE")</f>
        <v>TRUE</v>
      </c>
      <c r="AT375" s="1" t="str" cm="1">
        <f t="array" ref="AT375">_xlfn.IFS(clean[[#This Row],[Clean Win Rate]]&gt;70, "Excellent", clean[[#This Row],[Clean Win Rate]]&gt;=40, "Average", TRUE, "Poor")</f>
        <v>Excellent</v>
      </c>
      <c r="AU375" s="1" t="str">
        <f>IF(AND(clean[[#This Row],[Clean Level]]&gt;80, clean[[#This Row],[Clean Total Stat]]&gt;350, clean[[#This Row],[Clean Gold]]&gt;500000), "Overpowered", "Normal")</f>
        <v>Normal</v>
      </c>
      <c r="AV375" s="1" t="str" cm="1">
        <f t="array" ref="AV375">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375" s="1" t="str" cm="1">
        <f t="array" ref="AW37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75" s="1"/>
    </row>
    <row r="376" spans="1:50" x14ac:dyDescent="0.3">
      <c r="A376" s="2" t="s">
        <v>1301</v>
      </c>
      <c r="B376" s="2" t="s">
        <v>1302</v>
      </c>
      <c r="C376" s="2" t="s">
        <v>339</v>
      </c>
      <c r="D376" s="2" t="s">
        <v>250</v>
      </c>
      <c r="E376" s="2" t="s">
        <v>105</v>
      </c>
      <c r="F376" s="2" t="s">
        <v>72</v>
      </c>
      <c r="G376" s="2">
        <v>92</v>
      </c>
      <c r="H376" s="2" t="s">
        <v>62</v>
      </c>
      <c r="I376" s="2" t="s">
        <v>87</v>
      </c>
      <c r="J376" s="2" t="s">
        <v>88</v>
      </c>
      <c r="K376" s="2" t="s">
        <v>44</v>
      </c>
      <c r="L376" s="6" t="s">
        <v>548</v>
      </c>
      <c r="M376" s="2">
        <v>149</v>
      </c>
      <c r="N376" s="2">
        <v>75</v>
      </c>
      <c r="O376" s="2">
        <v>94</v>
      </c>
      <c r="P376" s="2">
        <v>4905</v>
      </c>
      <c r="Q376" s="2">
        <v>220</v>
      </c>
      <c r="R376" s="2"/>
      <c r="S376" s="2">
        <v>3977</v>
      </c>
      <c r="T376" s="2">
        <v>246</v>
      </c>
      <c r="U376" s="2">
        <v>209</v>
      </c>
      <c r="V376" s="2">
        <v>94</v>
      </c>
      <c r="W376" s="2">
        <v>5086</v>
      </c>
      <c r="X376" s="9">
        <v>760001</v>
      </c>
      <c r="Y376" s="2" t="s">
        <v>36</v>
      </c>
      <c r="AA376" s="1" t="str">
        <f>TRIM(RPG_dataset[[#This Row],[Username]])</f>
        <v>drak_801</v>
      </c>
      <c r="AB376" s="1" t="str">
        <f>TRIM(RPG_dataset[[#This Row],[First Name]])</f>
        <v>Drak</v>
      </c>
      <c r="AC376" s="1" t="str">
        <f>PROPER(TRIM(RPG_dataset[[#This Row],[Race]]))</f>
        <v>Orc</v>
      </c>
      <c r="AD376" s="1" t="str">
        <f>PROPER(TRIM(RPG_dataset[[#This Row],[Class]]))</f>
        <v>Warrior</v>
      </c>
      <c r="AE376" s="1">
        <f>ABS(RPG_dataset[[#This Row],[Level]])</f>
        <v>92</v>
      </c>
      <c r="AF376" s="1">
        <f>ABS(RPG_dataset[[#This Row],[ATK]])</f>
        <v>149</v>
      </c>
      <c r="AG376" s="1">
        <f>ABS(RPG_dataset[[#This Row],[DEF]])</f>
        <v>75</v>
      </c>
      <c r="AH376" s="1">
        <f>ABS(RPG_dataset[[#This Row],[SPD]])</f>
        <v>94</v>
      </c>
      <c r="AI376" s="1">
        <f>ABS(RPG_dataset[[#This Row],[HP]])</f>
        <v>4905</v>
      </c>
      <c r="AJ376" s="1">
        <f>ABS(RPG_dataset[[#This Row],[MP]])</f>
        <v>220</v>
      </c>
      <c r="AK376" s="1">
        <f>ABS(RPG_dataset[[#This Row],[Total Stat]])</f>
        <v>0</v>
      </c>
      <c r="AL376" s="1">
        <f>ABS(RPG_dataset[[#This Row],[Kills]])</f>
        <v>3977</v>
      </c>
      <c r="AM376" s="12">
        <f>ABS(RPG_dataset[[#This Row],[Win Rate (%)]])</f>
        <v>94</v>
      </c>
      <c r="AN376" s="4">
        <f>ABS(RPG_dataset[[#This Row],[Gold Earned]])</f>
        <v>760001</v>
      </c>
      <c r="AO376" s="5" t="str">
        <f t="shared" si="5"/>
        <v>OK</v>
      </c>
      <c r="AP376" s="5">
        <f>RANK(clean[[#This Row],[Clean Gold]],clean[Clean Gold], 0)</f>
        <v>124</v>
      </c>
      <c r="AQ376" s="1">
        <v>257</v>
      </c>
      <c r="AR376" s="1" t="str" cm="1">
        <f t="array" ref="AR376">_xlfn.IFS(clean[[#This Row],[Clean Level]]&gt;=76, "Legend", clean[[#This Row],[Clean Level]]&gt;=51, "Elite", clean[[#This Row],[Clean Level]]&gt;=26, "Veteran", TRUE, "Rookie")</f>
        <v>Legend</v>
      </c>
      <c r="AS376" s="1" t="str">
        <f>IF(RPG_dataset[[#This Row],[Status]]="Active", "TRUE", "FALSE")</f>
        <v>TRUE</v>
      </c>
      <c r="AT376" s="1" t="str" cm="1">
        <f t="array" ref="AT376">_xlfn.IFS(clean[[#This Row],[Clean Win Rate]]&gt;70, "Excellent", clean[[#This Row],[Clean Win Rate]]&gt;=40, "Average", TRUE, "Poor")</f>
        <v>Excellent</v>
      </c>
      <c r="AU376" s="1" t="str">
        <f>IF(AND(clean[[#This Row],[Clean Level]]&gt;80, clean[[#This Row],[Clean Total Stat]]&gt;350, clean[[#This Row],[Clean Gold]]&gt;500000), "Overpowered", "Normal")</f>
        <v>Normal</v>
      </c>
      <c r="AV376" s="1" t="str" cm="1">
        <f t="array" ref="AV376">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376" s="1" t="str" cm="1">
        <f t="array" ref="AW37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76" s="1"/>
    </row>
    <row r="377" spans="1:50" x14ac:dyDescent="0.3">
      <c r="A377" s="2" t="s">
        <v>1303</v>
      </c>
      <c r="B377" s="2" t="s">
        <v>1304</v>
      </c>
      <c r="C377" s="2" t="s">
        <v>367</v>
      </c>
      <c r="D377" s="2" t="s">
        <v>28</v>
      </c>
      <c r="E377" s="2" t="s">
        <v>75</v>
      </c>
      <c r="F377" s="2" t="s">
        <v>98</v>
      </c>
      <c r="G377" s="2">
        <v>100</v>
      </c>
      <c r="H377" s="2" t="s">
        <v>80</v>
      </c>
      <c r="I377" s="2" t="s">
        <v>63</v>
      </c>
      <c r="J377" s="2" t="s">
        <v>120</v>
      </c>
      <c r="K377" s="2" t="s">
        <v>44</v>
      </c>
      <c r="L377" s="6" t="s">
        <v>115</v>
      </c>
      <c r="M377" s="2"/>
      <c r="N377" s="2"/>
      <c r="O377" s="2">
        <v>143</v>
      </c>
      <c r="P377" s="2">
        <v>2062</v>
      </c>
      <c r="Q377" s="2">
        <v>1612</v>
      </c>
      <c r="R377" s="2">
        <v>323</v>
      </c>
      <c r="S377" s="2">
        <v>2211</v>
      </c>
      <c r="T377" s="2">
        <v>234</v>
      </c>
      <c r="U377" s="2">
        <v>83</v>
      </c>
      <c r="V377" s="2">
        <v>90</v>
      </c>
      <c r="W377" s="2">
        <v>5034</v>
      </c>
      <c r="X377" s="9">
        <v>904527</v>
      </c>
      <c r="Y377" s="2" t="s">
        <v>46</v>
      </c>
      <c r="AA377" s="1" t="str">
        <f>TRIM(RPG_dataset[[#This Row],[Username]])</f>
        <v>sable_477</v>
      </c>
      <c r="AB377" s="1" t="str">
        <f>TRIM(RPG_dataset[[#This Row],[First Name]])</f>
        <v>Sable</v>
      </c>
      <c r="AC377" s="1" t="str">
        <f>PROPER(TRIM(RPG_dataset[[#This Row],[Race]]))</f>
        <v/>
      </c>
      <c r="AD377" s="1" t="str">
        <f>PROPER(TRIM(RPG_dataset[[#This Row],[Class]]))</f>
        <v>Mage</v>
      </c>
      <c r="AE377" s="1">
        <f>ABS(RPG_dataset[[#This Row],[Level]])</f>
        <v>100</v>
      </c>
      <c r="AF377" s="1">
        <f>ABS(RPG_dataset[[#This Row],[ATK]])</f>
        <v>0</v>
      </c>
      <c r="AG377" s="1">
        <f>ABS(RPG_dataset[[#This Row],[DEF]])</f>
        <v>0</v>
      </c>
      <c r="AH377" s="1">
        <f>ABS(RPG_dataset[[#This Row],[SPD]])</f>
        <v>143</v>
      </c>
      <c r="AI377" s="1">
        <f>ABS(RPG_dataset[[#This Row],[HP]])</f>
        <v>2062</v>
      </c>
      <c r="AJ377" s="1">
        <f>ABS(RPG_dataset[[#This Row],[MP]])</f>
        <v>1612</v>
      </c>
      <c r="AK377" s="1">
        <f>ABS(RPG_dataset[[#This Row],[Total Stat]])</f>
        <v>323</v>
      </c>
      <c r="AL377" s="1">
        <f>ABS(RPG_dataset[[#This Row],[Kills]])</f>
        <v>2211</v>
      </c>
      <c r="AM377" s="12">
        <f>ABS(RPG_dataset[[#This Row],[Win Rate (%)]])</f>
        <v>90</v>
      </c>
      <c r="AN377" s="4">
        <f>ABS(RPG_dataset[[#This Row],[Gold Earned]])</f>
        <v>904527</v>
      </c>
      <c r="AO377" s="5" t="str">
        <f t="shared" si="5"/>
        <v>OK</v>
      </c>
      <c r="AP377" s="5">
        <f>RANK(clean[[#This Row],[Clean Gold]],clean[Clean Gold], 0)</f>
        <v>50</v>
      </c>
      <c r="AQ377" s="1">
        <v>204</v>
      </c>
      <c r="AR377" s="1" t="str" cm="1">
        <f t="array" ref="AR377">_xlfn.IFS(clean[[#This Row],[Clean Level]]&gt;=76, "Legend", clean[[#This Row],[Clean Level]]&gt;=51, "Elite", clean[[#This Row],[Clean Level]]&gt;=26, "Veteran", TRUE, "Rookie")</f>
        <v>Legend</v>
      </c>
      <c r="AS377" s="1" t="str">
        <f>IF(RPG_dataset[[#This Row],[Status]]="Active", "TRUE", "FALSE")</f>
        <v>TRUE</v>
      </c>
      <c r="AT377" s="1" t="str" cm="1">
        <f t="array" ref="AT377">_xlfn.IFS(clean[[#This Row],[Clean Win Rate]]&gt;70, "Excellent", clean[[#This Row],[Clean Win Rate]]&gt;=40, "Average", TRUE, "Poor")</f>
        <v>Excellent</v>
      </c>
      <c r="AU377" s="1" t="str">
        <f>IF(AND(clean[[#This Row],[Clean Level]]&gt;80, clean[[#This Row],[Clean Total Stat]]&gt;350, clean[[#This Row],[Clean Gold]]&gt;500000), "Overpowered", "Normal")</f>
        <v>Normal</v>
      </c>
      <c r="AV377" s="1" t="str" cm="1">
        <f t="array" ref="AV37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77" s="1" t="str" cm="1">
        <f t="array" ref="AW37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77" s="1"/>
    </row>
    <row r="378" spans="1:50" x14ac:dyDescent="0.3">
      <c r="A378" s="2" t="s">
        <v>1305</v>
      </c>
      <c r="B378" s="2" t="s">
        <v>1306</v>
      </c>
      <c r="C378" s="2" t="s">
        <v>123</v>
      </c>
      <c r="D378" s="2" t="s">
        <v>139</v>
      </c>
      <c r="E378" s="2" t="s">
        <v>105</v>
      </c>
      <c r="F378" s="2" t="s">
        <v>30</v>
      </c>
      <c r="G378" s="2">
        <v>56</v>
      </c>
      <c r="H378" s="2" t="s">
        <v>125</v>
      </c>
      <c r="I378" s="2" t="s">
        <v>54</v>
      </c>
      <c r="J378" s="2" t="s">
        <v>64</v>
      </c>
      <c r="K378" s="2" t="s">
        <v>34</v>
      </c>
      <c r="L378" s="6" t="s">
        <v>1307</v>
      </c>
      <c r="M378" s="2">
        <v>106</v>
      </c>
      <c r="N378" s="2">
        <v>120</v>
      </c>
      <c r="O378" s="2">
        <v>40</v>
      </c>
      <c r="P378" s="2">
        <v>4229</v>
      </c>
      <c r="Q378" s="2">
        <v>2700</v>
      </c>
      <c r="R378" s="2">
        <v>266</v>
      </c>
      <c r="S378" s="2">
        <v>2719</v>
      </c>
      <c r="T378" s="2">
        <v>284</v>
      </c>
      <c r="U378" s="2">
        <v>182</v>
      </c>
      <c r="V378" s="2">
        <v>91</v>
      </c>
      <c r="W378" s="2">
        <v>4785</v>
      </c>
      <c r="X378" s="9">
        <v>707551</v>
      </c>
      <c r="Y378" s="2" t="s">
        <v>46</v>
      </c>
      <c r="AA378" s="1" t="str">
        <f>TRIM(RPG_dataset[[#This Row],[Username]])</f>
        <v>faye_180</v>
      </c>
      <c r="AB378" s="1" t="str">
        <f>TRIM(RPG_dataset[[#This Row],[First Name]])</f>
        <v>Faye</v>
      </c>
      <c r="AC378" s="1" t="str">
        <f>PROPER(TRIM(RPG_dataset[[#This Row],[Race]]))</f>
        <v>Orc</v>
      </c>
      <c r="AD378" s="1" t="str">
        <f>PROPER(TRIM(RPG_dataset[[#This Row],[Class]]))</f>
        <v>Rogue</v>
      </c>
      <c r="AE378" s="1">
        <f>ABS(RPG_dataset[[#This Row],[Level]])</f>
        <v>56</v>
      </c>
      <c r="AF378" s="1">
        <f>ABS(RPG_dataset[[#This Row],[ATK]])</f>
        <v>106</v>
      </c>
      <c r="AG378" s="1">
        <f>ABS(RPG_dataset[[#This Row],[DEF]])</f>
        <v>120</v>
      </c>
      <c r="AH378" s="1">
        <f>ABS(RPG_dataset[[#This Row],[SPD]])</f>
        <v>40</v>
      </c>
      <c r="AI378" s="1">
        <f>ABS(RPG_dataset[[#This Row],[HP]])</f>
        <v>4229</v>
      </c>
      <c r="AJ378" s="1">
        <f>ABS(RPG_dataset[[#This Row],[MP]])</f>
        <v>2700</v>
      </c>
      <c r="AK378" s="1">
        <f>ABS(RPG_dataset[[#This Row],[Total Stat]])</f>
        <v>266</v>
      </c>
      <c r="AL378" s="1">
        <f>ABS(RPG_dataset[[#This Row],[Kills]])</f>
        <v>2719</v>
      </c>
      <c r="AM378" s="12">
        <f>ABS(RPG_dataset[[#This Row],[Win Rate (%)]])</f>
        <v>91</v>
      </c>
      <c r="AN378" s="4">
        <f>ABS(RPG_dataset[[#This Row],[Gold Earned]])</f>
        <v>707551</v>
      </c>
      <c r="AO378" s="5" t="str">
        <f t="shared" si="5"/>
        <v>Fix This</v>
      </c>
      <c r="AP378" s="5">
        <f>RANK(clean[[#This Row],[Clean Gold]],clean[Clean Gold], 0)</f>
        <v>146</v>
      </c>
      <c r="AQ378" s="1">
        <v>107</v>
      </c>
      <c r="AR378" s="1" t="str" cm="1">
        <f t="array" ref="AR378">_xlfn.IFS(clean[[#This Row],[Clean Level]]&gt;=76, "Legend", clean[[#This Row],[Clean Level]]&gt;=51, "Elite", clean[[#This Row],[Clean Level]]&gt;=26, "Veteran", TRUE, "Rookie")</f>
        <v>Elite</v>
      </c>
      <c r="AS378" s="1" t="str">
        <f>IF(RPG_dataset[[#This Row],[Status]]="Active", "TRUE", "FALSE")</f>
        <v>FALSE</v>
      </c>
      <c r="AT378" s="1" t="str" cm="1">
        <f t="array" ref="AT378">_xlfn.IFS(clean[[#This Row],[Clean Win Rate]]&gt;70, "Excellent", clean[[#This Row],[Clean Win Rate]]&gt;=40, "Average", TRUE, "Poor")</f>
        <v>Excellent</v>
      </c>
      <c r="AU378" s="1" t="str">
        <f>IF(AND(clean[[#This Row],[Clean Level]]&gt;80, clean[[#This Row],[Clean Total Stat]]&gt;350, clean[[#This Row],[Clean Gold]]&gt;500000), "Overpowered", "Normal")</f>
        <v>Normal</v>
      </c>
      <c r="AV378" s="1" t="str" cm="1">
        <f t="array" ref="AV37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78" s="1" t="str" cm="1">
        <f t="array" ref="AW37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378" s="1"/>
    </row>
    <row r="379" spans="1:50" x14ac:dyDescent="0.3">
      <c r="A379" s="2" t="s">
        <v>1308</v>
      </c>
      <c r="B379" s="2" t="s">
        <v>1309</v>
      </c>
      <c r="C379" s="2" t="s">
        <v>39</v>
      </c>
      <c r="D379" s="2" t="s">
        <v>401</v>
      </c>
      <c r="E379" s="2" t="s">
        <v>228</v>
      </c>
      <c r="F379" s="2" t="s">
        <v>72</v>
      </c>
      <c r="G379" s="2">
        <v>97</v>
      </c>
      <c r="H379" s="2" t="s">
        <v>43</v>
      </c>
      <c r="I379" s="2" t="s">
        <v>140</v>
      </c>
      <c r="J379" s="2" t="s">
        <v>33</v>
      </c>
      <c r="K379" s="2" t="s">
        <v>44</v>
      </c>
      <c r="L379" s="6" t="s">
        <v>1310</v>
      </c>
      <c r="M379" s="2"/>
      <c r="N379" s="2">
        <v>108</v>
      </c>
      <c r="O379" s="2">
        <v>14</v>
      </c>
      <c r="P379" s="2">
        <v>2519</v>
      </c>
      <c r="Q379" s="2">
        <v>1424</v>
      </c>
      <c r="R379" s="2">
        <v>148</v>
      </c>
      <c r="S379" s="2">
        <v>1476</v>
      </c>
      <c r="T379" s="2">
        <v>799</v>
      </c>
      <c r="U379" s="2">
        <v>83</v>
      </c>
      <c r="V379" s="2">
        <v>65</v>
      </c>
      <c r="W379" s="2">
        <v>6466</v>
      </c>
      <c r="X379" s="9">
        <v>751945</v>
      </c>
      <c r="Y379" s="2" t="s">
        <v>46</v>
      </c>
      <c r="AA379" s="1" t="str">
        <f>TRIM(RPG_dataset[[#This Row],[Username]])</f>
        <v>yara_173</v>
      </c>
      <c r="AB379" s="1" t="str">
        <f>TRIM(RPG_dataset[[#This Row],[First Name]])</f>
        <v>Yara</v>
      </c>
      <c r="AC379" s="1" t="str">
        <f>PROPER(TRIM(RPG_dataset[[#This Row],[Race]]))</f>
        <v>Elf</v>
      </c>
      <c r="AD379" s="1" t="str">
        <f>PROPER(TRIM(RPG_dataset[[#This Row],[Class]]))</f>
        <v>Warrior</v>
      </c>
      <c r="AE379" s="1">
        <f>ABS(RPG_dataset[[#This Row],[Level]])</f>
        <v>97</v>
      </c>
      <c r="AF379" s="1">
        <f>ABS(RPG_dataset[[#This Row],[ATK]])</f>
        <v>0</v>
      </c>
      <c r="AG379" s="1">
        <f>ABS(RPG_dataset[[#This Row],[DEF]])</f>
        <v>108</v>
      </c>
      <c r="AH379" s="1">
        <f>ABS(RPG_dataset[[#This Row],[SPD]])</f>
        <v>14</v>
      </c>
      <c r="AI379" s="1">
        <f>ABS(RPG_dataset[[#This Row],[HP]])</f>
        <v>2519</v>
      </c>
      <c r="AJ379" s="1">
        <f>ABS(RPG_dataset[[#This Row],[MP]])</f>
        <v>1424</v>
      </c>
      <c r="AK379" s="1">
        <f>ABS(RPG_dataset[[#This Row],[Total Stat]])</f>
        <v>148</v>
      </c>
      <c r="AL379" s="1">
        <f>ABS(RPG_dataset[[#This Row],[Kills]])</f>
        <v>1476</v>
      </c>
      <c r="AM379" s="12">
        <f>ABS(RPG_dataset[[#This Row],[Win Rate (%)]])</f>
        <v>65</v>
      </c>
      <c r="AN379" s="4">
        <f>ABS(RPG_dataset[[#This Row],[Gold Earned]])</f>
        <v>751945</v>
      </c>
      <c r="AO379" s="5" t="str">
        <f t="shared" si="5"/>
        <v>OK</v>
      </c>
      <c r="AP379" s="5">
        <f>RANK(clean[[#This Row],[Clean Gold]],clean[Clean Gold], 0)</f>
        <v>128</v>
      </c>
      <c r="AQ379" s="1">
        <v>350</v>
      </c>
      <c r="AR379" s="1" t="str" cm="1">
        <f t="array" ref="AR379">_xlfn.IFS(clean[[#This Row],[Clean Level]]&gt;=76, "Legend", clean[[#This Row],[Clean Level]]&gt;=51, "Elite", clean[[#This Row],[Clean Level]]&gt;=26, "Veteran", TRUE, "Rookie")</f>
        <v>Legend</v>
      </c>
      <c r="AS379" s="1" t="str">
        <f>IF(RPG_dataset[[#This Row],[Status]]="Active", "TRUE", "FALSE")</f>
        <v>TRUE</v>
      </c>
      <c r="AT379" s="1" t="str" cm="1">
        <f t="array" ref="AT379">_xlfn.IFS(clean[[#This Row],[Clean Win Rate]]&gt;70, "Excellent", clean[[#This Row],[Clean Win Rate]]&gt;=40, "Average", TRUE, "Poor")</f>
        <v>Average</v>
      </c>
      <c r="AU379" s="1" t="str">
        <f>IF(AND(clean[[#This Row],[Clean Level]]&gt;80, clean[[#This Row],[Clean Total Stat]]&gt;350, clean[[#This Row],[Clean Gold]]&gt;500000), "Overpowered", "Normal")</f>
        <v>Normal</v>
      </c>
      <c r="AV379" s="1" t="str" cm="1">
        <f t="array" ref="AV37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79" s="1" t="str" cm="1">
        <f t="array" ref="AW37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379" s="1"/>
    </row>
    <row r="380" spans="1:50" x14ac:dyDescent="0.3">
      <c r="A380" s="2" t="s">
        <v>1311</v>
      </c>
      <c r="B380" s="2" t="s">
        <v>1312</v>
      </c>
      <c r="C380" s="2" t="s">
        <v>314</v>
      </c>
      <c r="D380" s="2" t="s">
        <v>119</v>
      </c>
      <c r="E380" s="2" t="s">
        <v>51</v>
      </c>
      <c r="F380" s="2" t="s">
        <v>72</v>
      </c>
      <c r="G380" s="2">
        <v>40</v>
      </c>
      <c r="H380" s="2" t="s">
        <v>31</v>
      </c>
      <c r="I380" s="2" t="s">
        <v>87</v>
      </c>
      <c r="J380" s="2" t="s">
        <v>120</v>
      </c>
      <c r="K380" s="2" t="s">
        <v>44</v>
      </c>
      <c r="L380" s="6" t="s">
        <v>1313</v>
      </c>
      <c r="M380" s="2">
        <v>42</v>
      </c>
      <c r="N380" s="2">
        <v>19</v>
      </c>
      <c r="O380" s="2">
        <v>95</v>
      </c>
      <c r="P380" s="2">
        <v>2842</v>
      </c>
      <c r="Q380" s="2">
        <v>2721</v>
      </c>
      <c r="R380" s="2">
        <v>156</v>
      </c>
      <c r="S380" s="2">
        <v>282</v>
      </c>
      <c r="T380" s="2">
        <v>232</v>
      </c>
      <c r="U380" s="2">
        <v>228</v>
      </c>
      <c r="V380" s="2">
        <v>55</v>
      </c>
      <c r="W380" s="2">
        <v>4345</v>
      </c>
      <c r="X380" s="9">
        <v>282526</v>
      </c>
      <c r="Y380" s="2" t="s">
        <v>46</v>
      </c>
      <c r="AA380" s="1" t="str">
        <f>TRIM(RPG_dataset[[#This Row],[Username]])</f>
        <v>ZARA_544</v>
      </c>
      <c r="AB380" s="1" t="str">
        <f>TRIM(RPG_dataset[[#This Row],[First Name]])</f>
        <v>Zara</v>
      </c>
      <c r="AC380" s="1" t="str">
        <f>PROPER(TRIM(RPG_dataset[[#This Row],[Race]]))</f>
        <v>Tiefling</v>
      </c>
      <c r="AD380" s="1" t="str">
        <f>PROPER(TRIM(RPG_dataset[[#This Row],[Class]]))</f>
        <v>Warrior</v>
      </c>
      <c r="AE380" s="1">
        <f>ABS(RPG_dataset[[#This Row],[Level]])</f>
        <v>40</v>
      </c>
      <c r="AF380" s="1">
        <f>ABS(RPG_dataset[[#This Row],[ATK]])</f>
        <v>42</v>
      </c>
      <c r="AG380" s="1">
        <f>ABS(RPG_dataset[[#This Row],[DEF]])</f>
        <v>19</v>
      </c>
      <c r="AH380" s="1">
        <f>ABS(RPG_dataset[[#This Row],[SPD]])</f>
        <v>95</v>
      </c>
      <c r="AI380" s="1">
        <f>ABS(RPG_dataset[[#This Row],[HP]])</f>
        <v>2842</v>
      </c>
      <c r="AJ380" s="1">
        <f>ABS(RPG_dataset[[#This Row],[MP]])</f>
        <v>2721</v>
      </c>
      <c r="AK380" s="1">
        <f>ABS(RPG_dataset[[#This Row],[Total Stat]])</f>
        <v>156</v>
      </c>
      <c r="AL380" s="1">
        <f>ABS(RPG_dataset[[#This Row],[Kills]])</f>
        <v>282</v>
      </c>
      <c r="AM380" s="12">
        <f>ABS(RPG_dataset[[#This Row],[Win Rate (%)]])</f>
        <v>55</v>
      </c>
      <c r="AN380" s="4">
        <f>ABS(RPG_dataset[[#This Row],[Gold Earned]])</f>
        <v>282526</v>
      </c>
      <c r="AO380" s="5" t="str">
        <f t="shared" si="5"/>
        <v>OK</v>
      </c>
      <c r="AP380" s="5">
        <f>RANK(clean[[#This Row],[Clean Gold]],clean[Clean Gold], 0)</f>
        <v>360</v>
      </c>
      <c r="AQ380" s="1">
        <v>320</v>
      </c>
      <c r="AR380" s="1" t="str" cm="1">
        <f t="array" ref="AR380">_xlfn.IFS(clean[[#This Row],[Clean Level]]&gt;=76, "Legend", clean[[#This Row],[Clean Level]]&gt;=51, "Elite", clean[[#This Row],[Clean Level]]&gt;=26, "Veteran", TRUE, "Rookie")</f>
        <v>Veteran</v>
      </c>
      <c r="AS380" s="1" t="str">
        <f>IF(RPG_dataset[[#This Row],[Status]]="Active", "TRUE", "FALSE")</f>
        <v>TRUE</v>
      </c>
      <c r="AT380" s="1" t="str" cm="1">
        <f t="array" ref="AT380">_xlfn.IFS(clean[[#This Row],[Clean Win Rate]]&gt;70, "Excellent", clean[[#This Row],[Clean Win Rate]]&gt;=40, "Average", TRUE, "Poor")</f>
        <v>Average</v>
      </c>
      <c r="AU380" s="1" t="str">
        <f>IF(AND(clean[[#This Row],[Clean Level]]&gt;80, clean[[#This Row],[Clean Total Stat]]&gt;350, clean[[#This Row],[Clean Gold]]&gt;500000), "Overpowered", "Normal")</f>
        <v>Normal</v>
      </c>
      <c r="AV380" s="1" t="str" cm="1">
        <f t="array" ref="AV380">_xlfn.IFS(
(AND(OR(clean[[#This Row],[Tier]]="Elite", clean[[#This Row],[Tier]]="Legend"), clean[[#This Row],[Performance]]="Excellent", RPG_dataset[[#This Row],[Is Premium]]="Yes")), "High", OR(OR(clean[[#This Row],[Tier]]="Elite", clean[[#This Row],[Tier]]="Legend"), clean[[#This Row],[Performance]]="Excellent", RPG_dataset[[#This Row],[Is Premium]]="Yes"), "Medium", TRUE, "Low")</f>
        <v>Low</v>
      </c>
      <c r="AW380" s="1" t="str" cm="1">
        <f t="array" ref="AW38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80" s="1"/>
    </row>
    <row r="381" spans="1:50" x14ac:dyDescent="0.3">
      <c r="A381" s="2" t="s">
        <v>1314</v>
      </c>
      <c r="B381" s="2" t="s">
        <v>1315</v>
      </c>
      <c r="C381" s="2" t="s">
        <v>118</v>
      </c>
      <c r="D381" s="2" t="s">
        <v>254</v>
      </c>
      <c r="E381" s="2" t="s">
        <v>228</v>
      </c>
      <c r="F381" s="2" t="s">
        <v>52</v>
      </c>
      <c r="G381" s="2">
        <v>7</v>
      </c>
      <c r="H381" s="2" t="s">
        <v>73</v>
      </c>
      <c r="I381" s="2" t="s">
        <v>140</v>
      </c>
      <c r="J381" s="2" t="s">
        <v>92</v>
      </c>
      <c r="K381" s="2" t="s">
        <v>106</v>
      </c>
      <c r="L381" s="6" t="s">
        <v>1316</v>
      </c>
      <c r="M381" s="2">
        <v>98</v>
      </c>
      <c r="N381" s="2">
        <v>145</v>
      </c>
      <c r="O381" s="2">
        <v>137</v>
      </c>
      <c r="P381" s="2">
        <v>818</v>
      </c>
      <c r="Q381" s="2"/>
      <c r="R381" s="2">
        <v>380</v>
      </c>
      <c r="S381" s="2">
        <v>444</v>
      </c>
      <c r="T381" s="2">
        <v>358</v>
      </c>
      <c r="U381" s="2">
        <v>274</v>
      </c>
      <c r="V381" s="2">
        <v>55</v>
      </c>
      <c r="W381" s="2">
        <v>125</v>
      </c>
      <c r="X381" s="9">
        <v>364249</v>
      </c>
      <c r="Y381" s="2" t="s">
        <v>36</v>
      </c>
      <c r="AA381" s="1" t="str">
        <f>TRIM(RPG_dataset[[#This Row],[Username]])</f>
        <v>IVAN_356</v>
      </c>
      <c r="AB381" s="1" t="str">
        <f>TRIM(RPG_dataset[[#This Row],[First Name]])</f>
        <v>Ivan</v>
      </c>
      <c r="AC381" s="1" t="str">
        <f>PROPER(TRIM(RPG_dataset[[#This Row],[Race]]))</f>
        <v>Elf</v>
      </c>
      <c r="AD381" s="1" t="str">
        <f>PROPER(TRIM(RPG_dataset[[#This Row],[Class]]))</f>
        <v>Bard</v>
      </c>
      <c r="AE381" s="1">
        <f>ABS(RPG_dataset[[#This Row],[Level]])</f>
        <v>7</v>
      </c>
      <c r="AF381" s="1">
        <f>ABS(RPG_dataset[[#This Row],[ATK]])</f>
        <v>98</v>
      </c>
      <c r="AG381" s="1">
        <f>ABS(RPG_dataset[[#This Row],[DEF]])</f>
        <v>145</v>
      </c>
      <c r="AH381" s="1">
        <f>ABS(RPG_dataset[[#This Row],[SPD]])</f>
        <v>137</v>
      </c>
      <c r="AI381" s="1">
        <f>ABS(RPG_dataset[[#This Row],[HP]])</f>
        <v>818</v>
      </c>
      <c r="AJ381" s="1">
        <f>ABS(RPG_dataset[[#This Row],[MP]])</f>
        <v>0</v>
      </c>
      <c r="AK381" s="1">
        <f>ABS(RPG_dataset[[#This Row],[Total Stat]])</f>
        <v>380</v>
      </c>
      <c r="AL381" s="1">
        <f>ABS(RPG_dataset[[#This Row],[Kills]])</f>
        <v>444</v>
      </c>
      <c r="AM381" s="12">
        <f>ABS(RPG_dataset[[#This Row],[Win Rate (%)]])</f>
        <v>55</v>
      </c>
      <c r="AN381" s="4">
        <f>ABS(RPG_dataset[[#This Row],[Gold Earned]])</f>
        <v>364249</v>
      </c>
      <c r="AO381" s="5" t="str">
        <f t="shared" si="5"/>
        <v>OK</v>
      </c>
      <c r="AP381" s="5">
        <f>RANK(clean[[#This Row],[Clean Gold]],clean[Clean Gold], 0)</f>
        <v>321</v>
      </c>
      <c r="AQ381" s="1">
        <v>207</v>
      </c>
      <c r="AR381" s="1" t="str" cm="1">
        <f t="array" ref="AR381">_xlfn.IFS(clean[[#This Row],[Clean Level]]&gt;=76, "Legend", clean[[#This Row],[Clean Level]]&gt;=51, "Elite", clean[[#This Row],[Clean Level]]&gt;=26, "Veteran", TRUE, "Rookie")</f>
        <v>Rookie</v>
      </c>
      <c r="AS381" s="1" t="str">
        <f>IF(RPG_dataset[[#This Row],[Status]]="Active", "TRUE", "FALSE")</f>
        <v>FALSE</v>
      </c>
      <c r="AT381" s="1" t="str" cm="1">
        <f t="array" ref="AT381">_xlfn.IFS(clean[[#This Row],[Clean Win Rate]]&gt;70, "Excellent", clean[[#This Row],[Clean Win Rate]]&gt;=40, "Average", TRUE, "Poor")</f>
        <v>Average</v>
      </c>
      <c r="AU381" s="1" t="str">
        <f>IF(AND(clean[[#This Row],[Clean Level]]&gt;80, clean[[#This Row],[Clean Total Stat]]&gt;350, clean[[#This Row],[Clean Gold]]&gt;500000), "Overpowered", "Normal")</f>
        <v>Normal</v>
      </c>
      <c r="AV381" s="1" t="str" cm="1">
        <f t="array" ref="AV38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81" s="1" t="str" cm="1">
        <f t="array" ref="AW38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381" s="1"/>
    </row>
    <row r="382" spans="1:50" x14ac:dyDescent="0.3">
      <c r="A382" s="2" t="s">
        <v>1317</v>
      </c>
      <c r="B382" s="2" t="s">
        <v>1318</v>
      </c>
      <c r="C382" s="2" t="s">
        <v>1319</v>
      </c>
      <c r="D382" s="2" t="s">
        <v>144</v>
      </c>
      <c r="E382" s="2" t="s">
        <v>71</v>
      </c>
      <c r="F382" s="2" t="s">
        <v>145</v>
      </c>
      <c r="G382" s="2">
        <v>45</v>
      </c>
      <c r="H382" s="2" t="s">
        <v>80</v>
      </c>
      <c r="I382" s="2" t="s">
        <v>54</v>
      </c>
      <c r="J382" s="2" t="s">
        <v>92</v>
      </c>
      <c r="K382" s="2" t="s">
        <v>75</v>
      </c>
      <c r="L382" s="6" t="s">
        <v>1320</v>
      </c>
      <c r="M382" s="2">
        <v>136</v>
      </c>
      <c r="N382" s="2"/>
      <c r="O382" s="2">
        <v>96</v>
      </c>
      <c r="P382" s="2">
        <v>853</v>
      </c>
      <c r="Q382" s="2">
        <v>1223</v>
      </c>
      <c r="R382" s="2">
        <v>284</v>
      </c>
      <c r="S382" s="2">
        <v>441</v>
      </c>
      <c r="T382" s="2">
        <v>693</v>
      </c>
      <c r="U382" s="2">
        <v>241</v>
      </c>
      <c r="V382" s="2">
        <v>39</v>
      </c>
      <c r="W382" s="2">
        <v>6204</v>
      </c>
      <c r="X382" s="9">
        <v>628207</v>
      </c>
      <c r="Y382" s="2" t="s">
        <v>46</v>
      </c>
      <c r="AA382" s="1" t="str">
        <f>TRIM(RPG_dataset[[#This Row],[Username]])</f>
        <v>zara_766</v>
      </c>
      <c r="AB382" s="1" t="str">
        <f>TRIM(RPG_dataset[[#This Row],[First Name]])</f>
        <v>ZARA</v>
      </c>
      <c r="AC382" s="1" t="str">
        <f>PROPER(TRIM(RPG_dataset[[#This Row],[Race]]))</f>
        <v>Dragonborn</v>
      </c>
      <c r="AD382" s="1" t="str">
        <f>PROPER(TRIM(RPG_dataset[[#This Row],[Class]]))</f>
        <v>Ranger</v>
      </c>
      <c r="AE382" s="1">
        <f>ABS(RPG_dataset[[#This Row],[Level]])</f>
        <v>45</v>
      </c>
      <c r="AF382" s="1">
        <f>ABS(RPG_dataset[[#This Row],[ATK]])</f>
        <v>136</v>
      </c>
      <c r="AG382" s="1">
        <f>ABS(RPG_dataset[[#This Row],[DEF]])</f>
        <v>0</v>
      </c>
      <c r="AH382" s="1">
        <f>ABS(RPG_dataset[[#This Row],[SPD]])</f>
        <v>96</v>
      </c>
      <c r="AI382" s="1">
        <f>ABS(RPG_dataset[[#This Row],[HP]])</f>
        <v>853</v>
      </c>
      <c r="AJ382" s="1">
        <f>ABS(RPG_dataset[[#This Row],[MP]])</f>
        <v>1223</v>
      </c>
      <c r="AK382" s="1">
        <f>ABS(RPG_dataset[[#This Row],[Total Stat]])</f>
        <v>284</v>
      </c>
      <c r="AL382" s="1">
        <f>ABS(RPG_dataset[[#This Row],[Kills]])</f>
        <v>441</v>
      </c>
      <c r="AM382" s="12">
        <f>ABS(RPG_dataset[[#This Row],[Win Rate (%)]])</f>
        <v>39</v>
      </c>
      <c r="AN382" s="4">
        <f>ABS(RPG_dataset[[#This Row],[Gold Earned]])</f>
        <v>628207</v>
      </c>
      <c r="AO382" s="5" t="str">
        <f t="shared" si="5"/>
        <v>OK</v>
      </c>
      <c r="AP382" s="5">
        <f>RANK(clean[[#This Row],[Clean Gold]],clean[Clean Gold], 0)</f>
        <v>186</v>
      </c>
      <c r="AQ382" s="1">
        <v>194</v>
      </c>
      <c r="AR382" s="1" t="str" cm="1">
        <f t="array" ref="AR382">_xlfn.IFS(clean[[#This Row],[Clean Level]]&gt;=76, "Legend", clean[[#This Row],[Clean Level]]&gt;=51, "Elite", clean[[#This Row],[Clean Level]]&gt;=26, "Veteran", TRUE, "Rookie")</f>
        <v>Veteran</v>
      </c>
      <c r="AS382" s="1" t="str">
        <f>IF(RPG_dataset[[#This Row],[Status]]="Active", "TRUE", "FALSE")</f>
        <v>FALSE</v>
      </c>
      <c r="AT382" s="1" t="str" cm="1">
        <f t="array" ref="AT382">_xlfn.IFS(clean[[#This Row],[Clean Win Rate]]&gt;70, "Excellent", clean[[#This Row],[Clean Win Rate]]&gt;=40, "Average", TRUE, "Poor")</f>
        <v>Poor</v>
      </c>
      <c r="AU382" s="1" t="str">
        <f>IF(AND(clean[[#This Row],[Clean Level]]&gt;80, clean[[#This Row],[Clean Total Stat]]&gt;350, clean[[#This Row],[Clean Gold]]&gt;500000), "Overpowered", "Normal")</f>
        <v>Normal</v>
      </c>
      <c r="AV382" s="1" t="str" cm="1">
        <f t="array" ref="AV382">_xlfn.IFS(
(AND(OR(clean[[#This Row],[Tier]]="Elite", clean[[#This Row],[Tier]]="Legend"), clean[[#This Row],[Performance]]="Excellent", RPG_dataset[[#This Row],[Is Premium]]="Yes")), "High", OR(OR(clean[[#This Row],[Tier]]="Elite", clean[[#This Row],[Tier]]="Legend"), clean[[#This Row],[Performance]]="Excellent", RPG_dataset[[#This Row],[Is Premium]]="Yes"), "Medium", TRUE, "Low")</f>
        <v>Low</v>
      </c>
      <c r="AW382" s="1" t="str" cm="1">
        <f t="array" ref="AW38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82" s="1"/>
    </row>
    <row r="383" spans="1:50" x14ac:dyDescent="0.3">
      <c r="A383" s="2" t="s">
        <v>1321</v>
      </c>
      <c r="B383" s="2" t="s">
        <v>1322</v>
      </c>
      <c r="C383" s="2" t="s">
        <v>288</v>
      </c>
      <c r="D383" s="2" t="s">
        <v>150</v>
      </c>
      <c r="E383" s="2" t="s">
        <v>105</v>
      </c>
      <c r="F383" s="2" t="s">
        <v>124</v>
      </c>
      <c r="G383" s="2">
        <v>60</v>
      </c>
      <c r="H383" s="2" t="s">
        <v>62</v>
      </c>
      <c r="I383" s="2" t="s">
        <v>32</v>
      </c>
      <c r="J383" s="2" t="s">
        <v>64</v>
      </c>
      <c r="K383" s="2" t="s">
        <v>215</v>
      </c>
      <c r="L383" s="6" t="s">
        <v>1323</v>
      </c>
      <c r="M383" s="2">
        <v>-22</v>
      </c>
      <c r="N383" s="2">
        <v>97</v>
      </c>
      <c r="O383" s="2">
        <v>123</v>
      </c>
      <c r="P383" s="2">
        <v>2481</v>
      </c>
      <c r="Q383" s="2">
        <v>819</v>
      </c>
      <c r="R383" s="2">
        <v>242</v>
      </c>
      <c r="S383" s="2">
        <v>3086</v>
      </c>
      <c r="T383" s="2">
        <v>509</v>
      </c>
      <c r="U383" s="2">
        <v>254</v>
      </c>
      <c r="V383" s="2">
        <v>86</v>
      </c>
      <c r="W383" s="2">
        <v>897</v>
      </c>
      <c r="X383" s="9">
        <v>258636</v>
      </c>
      <c r="Y383" s="2" t="s">
        <v>36</v>
      </c>
      <c r="AA383" s="1" t="str">
        <f>TRIM(RPG_dataset[[#This Row],[Username]])</f>
        <v>opal_945</v>
      </c>
      <c r="AB383" s="1" t="str">
        <f>TRIM(RPG_dataset[[#This Row],[First Name]])</f>
        <v>Opal</v>
      </c>
      <c r="AC383" s="1" t="str">
        <f>PROPER(TRIM(RPG_dataset[[#This Row],[Race]]))</f>
        <v>Orc</v>
      </c>
      <c r="AD383" s="1" t="str">
        <f>PROPER(TRIM(RPG_dataset[[#This Row],[Class]]))</f>
        <v>Necromancer</v>
      </c>
      <c r="AE383" s="1">
        <f>ABS(RPG_dataset[[#This Row],[Level]])</f>
        <v>60</v>
      </c>
      <c r="AF383" s="1">
        <f>ABS(RPG_dataset[[#This Row],[ATK]])</f>
        <v>22</v>
      </c>
      <c r="AG383" s="1">
        <f>ABS(RPG_dataset[[#This Row],[DEF]])</f>
        <v>97</v>
      </c>
      <c r="AH383" s="1">
        <f>ABS(RPG_dataset[[#This Row],[SPD]])</f>
        <v>123</v>
      </c>
      <c r="AI383" s="1">
        <f>ABS(RPG_dataset[[#This Row],[HP]])</f>
        <v>2481</v>
      </c>
      <c r="AJ383" s="1">
        <f>ABS(RPG_dataset[[#This Row],[MP]])</f>
        <v>819</v>
      </c>
      <c r="AK383" s="1">
        <f>ABS(RPG_dataset[[#This Row],[Total Stat]])</f>
        <v>242</v>
      </c>
      <c r="AL383" s="1">
        <f>ABS(RPG_dataset[[#This Row],[Kills]])</f>
        <v>3086</v>
      </c>
      <c r="AM383" s="12">
        <f>ABS(RPG_dataset[[#This Row],[Win Rate (%)]])</f>
        <v>86</v>
      </c>
      <c r="AN383" s="4">
        <f>ABS(RPG_dataset[[#This Row],[Gold Earned]])</f>
        <v>258636</v>
      </c>
      <c r="AO383" s="5" t="str">
        <f t="shared" si="5"/>
        <v>OK</v>
      </c>
      <c r="AP383" s="5">
        <f>RANK(clean[[#This Row],[Clean Gold]],clean[Clean Gold], 0)</f>
        <v>373</v>
      </c>
      <c r="AQ383" s="1">
        <v>351</v>
      </c>
      <c r="AR383" s="1" t="str" cm="1">
        <f t="array" ref="AR383">_xlfn.IFS(clean[[#This Row],[Clean Level]]&gt;=76, "Legend", clean[[#This Row],[Clean Level]]&gt;=51, "Elite", clean[[#This Row],[Clean Level]]&gt;=26, "Veteran", TRUE, "Rookie")</f>
        <v>Elite</v>
      </c>
      <c r="AS383" s="1" t="str">
        <f>IF(RPG_dataset[[#This Row],[Status]]="Active", "TRUE", "FALSE")</f>
        <v>FALSE</v>
      </c>
      <c r="AT383" s="1" t="str" cm="1">
        <f t="array" ref="AT383">_xlfn.IFS(clean[[#This Row],[Clean Win Rate]]&gt;70, "Excellent", clean[[#This Row],[Clean Win Rate]]&gt;=40, "Average", TRUE, "Poor")</f>
        <v>Excellent</v>
      </c>
      <c r="AU383" s="1" t="str">
        <f>IF(AND(clean[[#This Row],[Clean Level]]&gt;80, clean[[#This Row],[Clean Total Stat]]&gt;350, clean[[#This Row],[Clean Gold]]&gt;500000), "Overpowered", "Normal")</f>
        <v>Normal</v>
      </c>
      <c r="AV383" s="1" t="str" cm="1">
        <f t="array" ref="AV383">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383" s="1" t="str" cm="1">
        <f t="array" ref="AW38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83" s="1"/>
    </row>
    <row r="384" spans="1:50" x14ac:dyDescent="0.3">
      <c r="A384" s="2" t="s">
        <v>1324</v>
      </c>
      <c r="B384" s="2" t="s">
        <v>1325</v>
      </c>
      <c r="C384" s="2" t="s">
        <v>219</v>
      </c>
      <c r="D384" s="2" t="s">
        <v>28</v>
      </c>
      <c r="E384" s="2" t="s">
        <v>29</v>
      </c>
      <c r="F384" s="2" t="s">
        <v>75</v>
      </c>
      <c r="G384" s="2">
        <v>97</v>
      </c>
      <c r="H384" s="2" t="s">
        <v>75</v>
      </c>
      <c r="I384" s="2" t="s">
        <v>63</v>
      </c>
      <c r="J384" s="2" t="s">
        <v>33</v>
      </c>
      <c r="K384" s="2" t="s">
        <v>106</v>
      </c>
      <c r="L384" s="6" t="s">
        <v>1326</v>
      </c>
      <c r="M384" s="2">
        <v>91</v>
      </c>
      <c r="N384" s="2">
        <v>52</v>
      </c>
      <c r="O384" s="2">
        <v>111</v>
      </c>
      <c r="P384" s="2">
        <v>2329</v>
      </c>
      <c r="Q384" s="2">
        <v>1214</v>
      </c>
      <c r="R384" s="2">
        <v>254</v>
      </c>
      <c r="S384" s="2">
        <v>4973</v>
      </c>
      <c r="T384" s="2">
        <v>394</v>
      </c>
      <c r="U384" s="2">
        <v>184</v>
      </c>
      <c r="V384" s="2">
        <v>93</v>
      </c>
      <c r="W384" s="2">
        <v>5465</v>
      </c>
      <c r="X384" s="9">
        <v>856737</v>
      </c>
      <c r="Y384" s="2" t="s">
        <v>46</v>
      </c>
      <c r="AA384" s="1" t="str">
        <f>TRIM(RPG_dataset[[#This Row],[Username]])</f>
        <v>torin_150</v>
      </c>
      <c r="AB384" s="1" t="str">
        <f>TRIM(RPG_dataset[[#This Row],[First Name]])</f>
        <v>Torin</v>
      </c>
      <c r="AC384" s="1" t="str">
        <f>PROPER(TRIM(RPG_dataset[[#This Row],[Race]]))</f>
        <v>Dwarf</v>
      </c>
      <c r="AD384" s="1" t="str">
        <f>PROPER(TRIM(RPG_dataset[[#This Row],[Class]]))</f>
        <v/>
      </c>
      <c r="AE384" s="1">
        <f>ABS(RPG_dataset[[#This Row],[Level]])</f>
        <v>97</v>
      </c>
      <c r="AF384" s="1">
        <f>ABS(RPG_dataset[[#This Row],[ATK]])</f>
        <v>91</v>
      </c>
      <c r="AG384" s="1">
        <f>ABS(RPG_dataset[[#This Row],[DEF]])</f>
        <v>52</v>
      </c>
      <c r="AH384" s="1">
        <f>ABS(RPG_dataset[[#This Row],[SPD]])</f>
        <v>111</v>
      </c>
      <c r="AI384" s="1">
        <f>ABS(RPG_dataset[[#This Row],[HP]])</f>
        <v>2329</v>
      </c>
      <c r="AJ384" s="1">
        <f>ABS(RPG_dataset[[#This Row],[MP]])</f>
        <v>1214</v>
      </c>
      <c r="AK384" s="1">
        <f>ABS(RPG_dataset[[#This Row],[Total Stat]])</f>
        <v>254</v>
      </c>
      <c r="AL384" s="1">
        <f>ABS(RPG_dataset[[#This Row],[Kills]])</f>
        <v>4973</v>
      </c>
      <c r="AM384" s="12">
        <f>ABS(RPG_dataset[[#This Row],[Win Rate (%)]])</f>
        <v>93</v>
      </c>
      <c r="AN384" s="4">
        <f>ABS(RPG_dataset[[#This Row],[Gold Earned]])</f>
        <v>856737</v>
      </c>
      <c r="AO384" s="5" t="str">
        <f t="shared" si="5"/>
        <v>OK</v>
      </c>
      <c r="AP384" s="5">
        <f>RANK(clean[[#This Row],[Clean Gold]],clean[Clean Gold], 0)</f>
        <v>74</v>
      </c>
      <c r="AQ384" s="1">
        <v>250</v>
      </c>
      <c r="AR384" s="1" t="str" cm="1">
        <f t="array" ref="AR384">_xlfn.IFS(clean[[#This Row],[Clean Level]]&gt;=76, "Legend", clean[[#This Row],[Clean Level]]&gt;=51, "Elite", clean[[#This Row],[Clean Level]]&gt;=26, "Veteran", TRUE, "Rookie")</f>
        <v>Legend</v>
      </c>
      <c r="AS384" s="1" t="str">
        <f>IF(RPG_dataset[[#This Row],[Status]]="Active", "TRUE", "FALSE")</f>
        <v>FALSE</v>
      </c>
      <c r="AT384" s="1" t="str" cm="1">
        <f t="array" ref="AT384">_xlfn.IFS(clean[[#This Row],[Clean Win Rate]]&gt;70, "Excellent", clean[[#This Row],[Clean Win Rate]]&gt;=40, "Average", TRUE, "Poor")</f>
        <v>Excellent</v>
      </c>
      <c r="AU384" s="1" t="str">
        <f>IF(AND(clean[[#This Row],[Clean Level]]&gt;80, clean[[#This Row],[Clean Total Stat]]&gt;350, clean[[#This Row],[Clean Gold]]&gt;500000), "Overpowered", "Normal")</f>
        <v>Normal</v>
      </c>
      <c r="AV384" s="1" t="str" cm="1">
        <f t="array" ref="AV38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84" s="1" t="str" cm="1">
        <f t="array" ref="AW38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84" s="1"/>
    </row>
    <row r="385" spans="1:50" x14ac:dyDescent="0.3">
      <c r="A385" s="2" t="s">
        <v>1327</v>
      </c>
      <c r="B385" s="2" t="s">
        <v>1328</v>
      </c>
      <c r="C385" s="2" t="s">
        <v>198</v>
      </c>
      <c r="D385" s="2" t="s">
        <v>75</v>
      </c>
      <c r="E385" s="2" t="s">
        <v>60</v>
      </c>
      <c r="F385" s="2" t="s">
        <v>42</v>
      </c>
      <c r="G385" s="2">
        <v>43</v>
      </c>
      <c r="H385" s="2" t="s">
        <v>80</v>
      </c>
      <c r="I385" s="2" t="s">
        <v>54</v>
      </c>
      <c r="J385" s="2" t="s">
        <v>64</v>
      </c>
      <c r="K385" s="2" t="s">
        <v>215</v>
      </c>
      <c r="L385" s="6" t="s">
        <v>1329</v>
      </c>
      <c r="M385" s="2">
        <v>102</v>
      </c>
      <c r="N385" s="2">
        <v>103</v>
      </c>
      <c r="O385" s="2">
        <v>113</v>
      </c>
      <c r="P385" s="2">
        <v>224</v>
      </c>
      <c r="Q385" s="2">
        <v>255</v>
      </c>
      <c r="R385" s="2">
        <v>318</v>
      </c>
      <c r="S385" s="2">
        <v>161</v>
      </c>
      <c r="T385" s="2">
        <v>44</v>
      </c>
      <c r="U385" s="2">
        <v>90</v>
      </c>
      <c r="V385" s="2">
        <v>79</v>
      </c>
      <c r="W385" s="2">
        <v>6637</v>
      </c>
      <c r="X385" s="9">
        <v>112508</v>
      </c>
      <c r="Y385" s="2" t="s">
        <v>46</v>
      </c>
      <c r="AA385" s="1" t="str">
        <f>TRIM(RPG_dataset[[#This Row],[Username]])</f>
        <v>lira_937</v>
      </c>
      <c r="AB385" s="1" t="str">
        <f>TRIM(RPG_dataset[[#This Row],[First Name]])</f>
        <v>Lira</v>
      </c>
      <c r="AC385" s="1" t="str">
        <f>PROPER(TRIM(RPG_dataset[[#This Row],[Race]]))</f>
        <v>Human</v>
      </c>
      <c r="AD385" s="1" t="str">
        <f>PROPER(TRIM(RPG_dataset[[#This Row],[Class]]))</f>
        <v>Monk</v>
      </c>
      <c r="AE385" s="1">
        <f>ABS(RPG_dataset[[#This Row],[Level]])</f>
        <v>43</v>
      </c>
      <c r="AF385" s="1">
        <f>ABS(RPG_dataset[[#This Row],[ATK]])</f>
        <v>102</v>
      </c>
      <c r="AG385" s="1">
        <f>ABS(RPG_dataset[[#This Row],[DEF]])</f>
        <v>103</v>
      </c>
      <c r="AH385" s="1">
        <f>ABS(RPG_dataset[[#This Row],[SPD]])</f>
        <v>113</v>
      </c>
      <c r="AI385" s="1">
        <f>ABS(RPG_dataset[[#This Row],[HP]])</f>
        <v>224</v>
      </c>
      <c r="AJ385" s="1">
        <f>ABS(RPG_dataset[[#This Row],[MP]])</f>
        <v>255</v>
      </c>
      <c r="AK385" s="1">
        <f>ABS(RPG_dataset[[#This Row],[Total Stat]])</f>
        <v>318</v>
      </c>
      <c r="AL385" s="1">
        <f>ABS(RPG_dataset[[#This Row],[Kills]])</f>
        <v>161</v>
      </c>
      <c r="AM385" s="12">
        <f>ABS(RPG_dataset[[#This Row],[Win Rate (%)]])</f>
        <v>79</v>
      </c>
      <c r="AN385" s="4">
        <f>ABS(RPG_dataset[[#This Row],[Gold Earned]])</f>
        <v>112508</v>
      </c>
      <c r="AO385" s="5" t="str">
        <f t="shared" si="5"/>
        <v>OK</v>
      </c>
      <c r="AP385" s="5">
        <f>RANK(clean[[#This Row],[Clean Gold]],clean[Clean Gold], 0)</f>
        <v>430</v>
      </c>
      <c r="AQ385" s="1">
        <v>229</v>
      </c>
      <c r="AR385" s="1" t="str" cm="1">
        <f t="array" ref="AR385">_xlfn.IFS(clean[[#This Row],[Clean Level]]&gt;=76, "Legend", clean[[#This Row],[Clean Level]]&gt;=51, "Elite", clean[[#This Row],[Clean Level]]&gt;=26, "Veteran", TRUE, "Rookie")</f>
        <v>Veteran</v>
      </c>
      <c r="AS385" s="1" t="str">
        <f>IF(RPG_dataset[[#This Row],[Status]]="Active", "TRUE", "FALSE")</f>
        <v>FALSE</v>
      </c>
      <c r="AT385" s="1" t="str" cm="1">
        <f t="array" ref="AT385">_xlfn.IFS(clean[[#This Row],[Clean Win Rate]]&gt;70, "Excellent", clean[[#This Row],[Clean Win Rate]]&gt;=40, "Average", TRUE, "Poor")</f>
        <v>Excellent</v>
      </c>
      <c r="AU385" s="1" t="str">
        <f>IF(AND(clean[[#This Row],[Clean Level]]&gt;80, clean[[#This Row],[Clean Total Stat]]&gt;350, clean[[#This Row],[Clean Gold]]&gt;500000), "Overpowered", "Normal")</f>
        <v>Normal</v>
      </c>
      <c r="AV385" s="1" t="str" cm="1">
        <f t="array" ref="AV38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85" s="1" t="str" cm="1">
        <f t="array" ref="AW38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85" s="1"/>
    </row>
    <row r="386" spans="1:50" x14ac:dyDescent="0.3">
      <c r="A386" s="2" t="s">
        <v>1330</v>
      </c>
      <c r="B386" s="2" t="s">
        <v>1331</v>
      </c>
      <c r="C386" s="2" t="s">
        <v>680</v>
      </c>
      <c r="D386" s="2" t="s">
        <v>28</v>
      </c>
      <c r="E386" s="2" t="s">
        <v>105</v>
      </c>
      <c r="F386" s="2" t="s">
        <v>1023</v>
      </c>
      <c r="G386" s="2">
        <v>77</v>
      </c>
      <c r="H386" s="2" t="s">
        <v>31</v>
      </c>
      <c r="I386" s="2" t="s">
        <v>74</v>
      </c>
      <c r="J386" s="2" t="s">
        <v>88</v>
      </c>
      <c r="K386" s="2" t="s">
        <v>44</v>
      </c>
      <c r="L386" s="6" t="s">
        <v>402</v>
      </c>
      <c r="M386" s="2">
        <v>88</v>
      </c>
      <c r="N386" s="2">
        <v>131</v>
      </c>
      <c r="O386" s="2">
        <v>131</v>
      </c>
      <c r="P386" s="2">
        <v>1399</v>
      </c>
      <c r="Q386" s="2">
        <v>2148</v>
      </c>
      <c r="R386" s="2">
        <v>350</v>
      </c>
      <c r="S386" s="2">
        <v>2511</v>
      </c>
      <c r="T386" s="2">
        <v>238</v>
      </c>
      <c r="U386" s="2">
        <v>55</v>
      </c>
      <c r="V386" s="2">
        <v>91</v>
      </c>
      <c r="W386" s="2">
        <v>7572</v>
      </c>
      <c r="X386" s="9">
        <v>640791</v>
      </c>
      <c r="Y386" s="2" t="s">
        <v>46</v>
      </c>
      <c r="AA386" s="1" t="str">
        <f>TRIM(RPG_dataset[[#This Row],[Username]])</f>
        <v>brix_347</v>
      </c>
      <c r="AB386" s="1" t="str">
        <f>TRIM(RPG_dataset[[#This Row],[First Name]])</f>
        <v>Brix</v>
      </c>
      <c r="AC386" s="1" t="str">
        <f>PROPER(TRIM(RPG_dataset[[#This Row],[Race]]))</f>
        <v>Orc</v>
      </c>
      <c r="AD386" s="1" t="str">
        <f>PROPER(TRIM(RPG_dataset[[#This Row],[Class]]))</f>
        <v>Warrior</v>
      </c>
      <c r="AE386" s="1">
        <f>ABS(RPG_dataset[[#This Row],[Level]])</f>
        <v>77</v>
      </c>
      <c r="AF386" s="1">
        <f>ABS(RPG_dataset[[#This Row],[ATK]])</f>
        <v>88</v>
      </c>
      <c r="AG386" s="1">
        <f>ABS(RPG_dataset[[#This Row],[DEF]])</f>
        <v>131</v>
      </c>
      <c r="AH386" s="1">
        <f>ABS(RPG_dataset[[#This Row],[SPD]])</f>
        <v>131</v>
      </c>
      <c r="AI386" s="1">
        <f>ABS(RPG_dataset[[#This Row],[HP]])</f>
        <v>1399</v>
      </c>
      <c r="AJ386" s="1">
        <f>ABS(RPG_dataset[[#This Row],[MP]])</f>
        <v>2148</v>
      </c>
      <c r="AK386" s="1">
        <f>ABS(RPG_dataset[[#This Row],[Total Stat]])</f>
        <v>350</v>
      </c>
      <c r="AL386" s="1">
        <f>ABS(RPG_dataset[[#This Row],[Kills]])</f>
        <v>2511</v>
      </c>
      <c r="AM386" s="12">
        <f>ABS(RPG_dataset[[#This Row],[Win Rate (%)]])</f>
        <v>91</v>
      </c>
      <c r="AN386" s="4">
        <f>ABS(RPG_dataset[[#This Row],[Gold Earned]])</f>
        <v>640791</v>
      </c>
      <c r="AO386" s="5" t="str">
        <f t="shared" ref="AO386:AO449" si="6">IF(MID(L386, 5, 1)="-", "OK", "Fix This")</f>
        <v>OK</v>
      </c>
      <c r="AP386" s="5">
        <f>RANK(clean[[#This Row],[Clean Gold]],clean[Clean Gold], 0)</f>
        <v>178</v>
      </c>
      <c r="AQ386" s="1">
        <v>196</v>
      </c>
      <c r="AR386" s="1" t="str" cm="1">
        <f t="array" ref="AR386">_xlfn.IFS(clean[[#This Row],[Clean Level]]&gt;=76, "Legend", clean[[#This Row],[Clean Level]]&gt;=51, "Elite", clean[[#This Row],[Clean Level]]&gt;=26, "Veteran", TRUE, "Rookie")</f>
        <v>Legend</v>
      </c>
      <c r="AS386" s="1" t="str">
        <f>IF(RPG_dataset[[#This Row],[Status]]="Active", "TRUE", "FALSE")</f>
        <v>TRUE</v>
      </c>
      <c r="AT386" s="1" t="str" cm="1">
        <f t="array" ref="AT386">_xlfn.IFS(clean[[#This Row],[Clean Win Rate]]&gt;70, "Excellent", clean[[#This Row],[Clean Win Rate]]&gt;=40, "Average", TRUE, "Poor")</f>
        <v>Excellent</v>
      </c>
      <c r="AU386" s="1" t="str">
        <f>IF(AND(clean[[#This Row],[Clean Level]]&gt;80, clean[[#This Row],[Clean Total Stat]]&gt;350, clean[[#This Row],[Clean Gold]]&gt;500000), "Overpowered", "Normal")</f>
        <v>Normal</v>
      </c>
      <c r="AV386" s="1" t="str" cm="1">
        <f t="array" ref="AV38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86" s="1" t="str" cm="1">
        <f t="array" ref="AW38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Squad Inti</v>
      </c>
      <c r="AX386" s="1"/>
    </row>
    <row r="387" spans="1:50" x14ac:dyDescent="0.3">
      <c r="A387" s="2" t="s">
        <v>1332</v>
      </c>
      <c r="B387" s="2" t="s">
        <v>1333</v>
      </c>
      <c r="C387" s="2" t="s">
        <v>1334</v>
      </c>
      <c r="D387" s="2" t="s">
        <v>168</v>
      </c>
      <c r="E387" s="2" t="s">
        <v>41</v>
      </c>
      <c r="F387" s="2" t="s">
        <v>52</v>
      </c>
      <c r="G387" s="2">
        <v>47</v>
      </c>
      <c r="H387" s="2" t="s">
        <v>31</v>
      </c>
      <c r="I387" s="2" t="s">
        <v>140</v>
      </c>
      <c r="J387" s="2" t="s">
        <v>81</v>
      </c>
      <c r="K387" s="2" t="s">
        <v>34</v>
      </c>
      <c r="L387" s="6" t="s">
        <v>1335</v>
      </c>
      <c r="M387" s="2">
        <v>29</v>
      </c>
      <c r="N387" s="2">
        <v>113</v>
      </c>
      <c r="O387" s="2">
        <v>21</v>
      </c>
      <c r="P387" s="2">
        <v>1541</v>
      </c>
      <c r="Q387" s="2">
        <v>1804</v>
      </c>
      <c r="R387" s="2">
        <v>163</v>
      </c>
      <c r="S387" s="2">
        <v>1162</v>
      </c>
      <c r="T387" s="2">
        <v>494</v>
      </c>
      <c r="U387" s="2">
        <v>-187</v>
      </c>
      <c r="V387" s="2">
        <v>70</v>
      </c>
      <c r="W387" s="2">
        <v>1421</v>
      </c>
      <c r="X387" s="9">
        <v>847031</v>
      </c>
      <c r="Y387" s="2" t="s">
        <v>46</v>
      </c>
      <c r="AA387" s="1" t="str">
        <f>TRIM(RPG_dataset[[#This Row],[Username]])</f>
        <v>finn_859</v>
      </c>
      <c r="AB387" s="1" t="str">
        <f>TRIM(RPG_dataset[[#This Row],[First Name]])</f>
        <v>Finn</v>
      </c>
      <c r="AC387" s="1" t="str">
        <f>PROPER(TRIM(RPG_dataset[[#This Row],[Race]]))</f>
        <v>Gnome</v>
      </c>
      <c r="AD387" s="1" t="str">
        <f>PROPER(TRIM(RPG_dataset[[#This Row],[Class]]))</f>
        <v>Bard</v>
      </c>
      <c r="AE387" s="1">
        <f>ABS(RPG_dataset[[#This Row],[Level]])</f>
        <v>47</v>
      </c>
      <c r="AF387" s="1">
        <f>ABS(RPG_dataset[[#This Row],[ATK]])</f>
        <v>29</v>
      </c>
      <c r="AG387" s="1">
        <f>ABS(RPG_dataset[[#This Row],[DEF]])</f>
        <v>113</v>
      </c>
      <c r="AH387" s="1">
        <f>ABS(RPG_dataset[[#This Row],[SPD]])</f>
        <v>21</v>
      </c>
      <c r="AI387" s="1">
        <f>ABS(RPG_dataset[[#This Row],[HP]])</f>
        <v>1541</v>
      </c>
      <c r="AJ387" s="1">
        <f>ABS(RPG_dataset[[#This Row],[MP]])</f>
        <v>1804</v>
      </c>
      <c r="AK387" s="1">
        <f>ABS(RPG_dataset[[#This Row],[Total Stat]])</f>
        <v>163</v>
      </c>
      <c r="AL387" s="1">
        <f>ABS(RPG_dataset[[#This Row],[Kills]])</f>
        <v>1162</v>
      </c>
      <c r="AM387" s="12">
        <f>ABS(RPG_dataset[[#This Row],[Win Rate (%)]])</f>
        <v>70</v>
      </c>
      <c r="AN387" s="4">
        <f>ABS(RPG_dataset[[#This Row],[Gold Earned]])</f>
        <v>847031</v>
      </c>
      <c r="AO387" s="5" t="str">
        <f t="shared" si="6"/>
        <v>OK</v>
      </c>
      <c r="AP387" s="5">
        <f>RANK(clean[[#This Row],[Clean Gold]],clean[Clean Gold], 0)</f>
        <v>79</v>
      </c>
      <c r="AQ387" s="1">
        <v>168</v>
      </c>
      <c r="AR387" s="1" t="str" cm="1">
        <f t="array" ref="AR387">_xlfn.IFS(clean[[#This Row],[Clean Level]]&gt;=76, "Legend", clean[[#This Row],[Clean Level]]&gt;=51, "Elite", clean[[#This Row],[Clean Level]]&gt;=26, "Veteran", TRUE, "Rookie")</f>
        <v>Veteran</v>
      </c>
      <c r="AS387" s="1" t="str">
        <f>IF(RPG_dataset[[#This Row],[Status]]="Active", "TRUE", "FALSE")</f>
        <v>FALSE</v>
      </c>
      <c r="AT387" s="1" t="str" cm="1">
        <f t="array" ref="AT387">_xlfn.IFS(clean[[#This Row],[Clean Win Rate]]&gt;70, "Excellent", clean[[#This Row],[Clean Win Rate]]&gt;=40, "Average", TRUE, "Poor")</f>
        <v>Average</v>
      </c>
      <c r="AU387" s="1" t="str">
        <f>IF(AND(clean[[#This Row],[Clean Level]]&gt;80, clean[[#This Row],[Clean Total Stat]]&gt;350, clean[[#This Row],[Clean Gold]]&gt;500000), "Overpowered", "Normal")</f>
        <v>Normal</v>
      </c>
      <c r="AV387" s="1" t="str" cm="1">
        <f t="array" ref="AV387">_xlfn.IFS(
(AND(OR(clean[[#This Row],[Tier]]="Elite", clean[[#This Row],[Tier]]="Legend"), clean[[#This Row],[Performance]]="Excellent", RPG_dataset[[#This Row],[Is Premium]]="Yes")), "High", OR(OR(clean[[#This Row],[Tier]]="Elite", clean[[#This Row],[Tier]]="Legend"), clean[[#This Row],[Performance]]="Excellent", RPG_dataset[[#This Row],[Is Premium]]="Yes"), "Medium", TRUE, "Low")</f>
        <v>Low</v>
      </c>
      <c r="AW387" s="1" t="str" cm="1">
        <f t="array" ref="AW38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387" s="1"/>
    </row>
    <row r="388" spans="1:50" x14ac:dyDescent="0.3">
      <c r="A388" s="2" t="s">
        <v>1336</v>
      </c>
      <c r="B388" s="2" t="s">
        <v>1337</v>
      </c>
      <c r="C388" s="2" t="s">
        <v>173</v>
      </c>
      <c r="D388" s="2" t="s">
        <v>272</v>
      </c>
      <c r="E388" s="2" t="s">
        <v>71</v>
      </c>
      <c r="F388" s="2" t="s">
        <v>98</v>
      </c>
      <c r="G388" s="2">
        <v>10</v>
      </c>
      <c r="H388" s="2" t="s">
        <v>1338</v>
      </c>
      <c r="I388" s="2" t="s">
        <v>32</v>
      </c>
      <c r="J388" s="2" t="s">
        <v>81</v>
      </c>
      <c r="K388" s="2" t="s">
        <v>99</v>
      </c>
      <c r="L388" s="6" t="s">
        <v>1339</v>
      </c>
      <c r="M388" s="2">
        <v>82</v>
      </c>
      <c r="N388" s="2">
        <v>130</v>
      </c>
      <c r="O388" s="2">
        <v>127</v>
      </c>
      <c r="P388" s="2">
        <v>678</v>
      </c>
      <c r="Q388" s="2">
        <v>1227</v>
      </c>
      <c r="R388" s="2">
        <v>339</v>
      </c>
      <c r="S388" s="2">
        <v>3831</v>
      </c>
      <c r="T388" s="2">
        <v>26</v>
      </c>
      <c r="U388" s="2">
        <v>69</v>
      </c>
      <c r="V388" s="2">
        <v>99</v>
      </c>
      <c r="W388" s="2">
        <v>5156</v>
      </c>
      <c r="X388" s="9">
        <v>269983</v>
      </c>
      <c r="Y388" s="2" t="s">
        <v>36</v>
      </c>
      <c r="AA388" s="1" t="str">
        <f>TRIM(RPG_dataset[[#This Row],[Username]])</f>
        <v>rosa_262</v>
      </c>
      <c r="AB388" s="1" t="str">
        <f>TRIM(RPG_dataset[[#This Row],[First Name]])</f>
        <v>Rosa</v>
      </c>
      <c r="AC388" s="1" t="str">
        <f>PROPER(TRIM(RPG_dataset[[#This Row],[Race]]))</f>
        <v>Dragonborn</v>
      </c>
      <c r="AD388" s="1" t="str">
        <f>PROPER(TRIM(RPG_dataset[[#This Row],[Class]]))</f>
        <v>Mage</v>
      </c>
      <c r="AE388" s="1">
        <f>ABS(RPG_dataset[[#This Row],[Level]])</f>
        <v>10</v>
      </c>
      <c r="AF388" s="1">
        <f>ABS(RPG_dataset[[#This Row],[ATK]])</f>
        <v>82</v>
      </c>
      <c r="AG388" s="1">
        <f>ABS(RPG_dataset[[#This Row],[DEF]])</f>
        <v>130</v>
      </c>
      <c r="AH388" s="1">
        <f>ABS(RPG_dataset[[#This Row],[SPD]])</f>
        <v>127</v>
      </c>
      <c r="AI388" s="1">
        <f>ABS(RPG_dataset[[#This Row],[HP]])</f>
        <v>678</v>
      </c>
      <c r="AJ388" s="1">
        <f>ABS(RPG_dataset[[#This Row],[MP]])</f>
        <v>1227</v>
      </c>
      <c r="AK388" s="1">
        <f>ABS(RPG_dataset[[#This Row],[Total Stat]])</f>
        <v>339</v>
      </c>
      <c r="AL388" s="1">
        <f>ABS(RPG_dataset[[#This Row],[Kills]])</f>
        <v>3831</v>
      </c>
      <c r="AM388" s="12">
        <f>ABS(RPG_dataset[[#This Row],[Win Rate (%)]])</f>
        <v>99</v>
      </c>
      <c r="AN388" s="4">
        <f>ABS(RPG_dataset[[#This Row],[Gold Earned]])</f>
        <v>269983</v>
      </c>
      <c r="AO388" s="5" t="str">
        <f t="shared" si="6"/>
        <v>OK</v>
      </c>
      <c r="AP388" s="5">
        <f>RANK(clean[[#This Row],[Clean Gold]],clean[Clean Gold], 0)</f>
        <v>367</v>
      </c>
      <c r="AQ388" s="1">
        <v>183</v>
      </c>
      <c r="AR388" s="1" t="str" cm="1">
        <f t="array" ref="AR388">_xlfn.IFS(clean[[#This Row],[Clean Level]]&gt;=76, "Legend", clean[[#This Row],[Clean Level]]&gt;=51, "Elite", clean[[#This Row],[Clean Level]]&gt;=26, "Veteran", TRUE, "Rookie")</f>
        <v>Rookie</v>
      </c>
      <c r="AS388" s="1" t="str">
        <f>IF(RPG_dataset[[#This Row],[Status]]="Active", "TRUE", "FALSE")</f>
        <v>FALSE</v>
      </c>
      <c r="AT388" s="1" t="str" cm="1">
        <f t="array" ref="AT388">_xlfn.IFS(clean[[#This Row],[Clean Win Rate]]&gt;70, "Excellent", clean[[#This Row],[Clean Win Rate]]&gt;=40, "Average", TRUE, "Poor")</f>
        <v>Excellent</v>
      </c>
      <c r="AU388" s="1" t="str">
        <f>IF(AND(clean[[#This Row],[Clean Level]]&gt;80, clean[[#This Row],[Clean Total Stat]]&gt;350, clean[[#This Row],[Clean Gold]]&gt;500000), "Overpowered", "Normal")</f>
        <v>Normal</v>
      </c>
      <c r="AV388" s="1" t="str" cm="1">
        <f t="array" ref="AV38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88" s="1" t="str" cm="1">
        <f t="array" ref="AW38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88" s="1"/>
    </row>
    <row r="389" spans="1:50" x14ac:dyDescent="0.3">
      <c r="A389" s="2" t="s">
        <v>1340</v>
      </c>
      <c r="B389" s="2" t="s">
        <v>1341</v>
      </c>
      <c r="C389" s="2" t="s">
        <v>371</v>
      </c>
      <c r="D389" s="2" t="s">
        <v>59</v>
      </c>
      <c r="E389" s="2" t="s">
        <v>29</v>
      </c>
      <c r="F389" s="2" t="s">
        <v>72</v>
      </c>
      <c r="G389" s="2">
        <v>65</v>
      </c>
      <c r="H389" s="2" t="s">
        <v>1342</v>
      </c>
      <c r="I389" s="2" t="s">
        <v>63</v>
      </c>
      <c r="J389" s="2" t="s">
        <v>163</v>
      </c>
      <c r="K389" s="2" t="s">
        <v>99</v>
      </c>
      <c r="L389" s="6" t="s">
        <v>1343</v>
      </c>
      <c r="M389" s="2">
        <v>84</v>
      </c>
      <c r="N389" s="2">
        <v>100</v>
      </c>
      <c r="O389" s="2"/>
      <c r="P389" s="2">
        <v>3256</v>
      </c>
      <c r="Q389" s="2">
        <v>936</v>
      </c>
      <c r="R389" s="2">
        <v>284</v>
      </c>
      <c r="S389" s="2">
        <v>1229</v>
      </c>
      <c r="T389" s="2">
        <v>63</v>
      </c>
      <c r="U389" s="2">
        <v>70</v>
      </c>
      <c r="V389" s="2">
        <v>95</v>
      </c>
      <c r="W389" s="2">
        <v>5619</v>
      </c>
      <c r="X389" s="9">
        <v>529730</v>
      </c>
      <c r="Y389" s="2" t="s">
        <v>46</v>
      </c>
      <c r="AA389" s="1" t="str">
        <f>TRIM(RPG_dataset[[#This Row],[Username]])</f>
        <v>kira_828</v>
      </c>
      <c r="AB389" s="1" t="str">
        <f>TRIM(RPG_dataset[[#This Row],[First Name]])</f>
        <v>Kira</v>
      </c>
      <c r="AC389" s="1" t="str">
        <f>PROPER(TRIM(RPG_dataset[[#This Row],[Race]]))</f>
        <v>Dwarf</v>
      </c>
      <c r="AD389" s="1" t="str">
        <f>PROPER(TRIM(RPG_dataset[[#This Row],[Class]]))</f>
        <v>Warrior</v>
      </c>
      <c r="AE389" s="1">
        <f>ABS(RPG_dataset[[#This Row],[Level]])</f>
        <v>65</v>
      </c>
      <c r="AF389" s="1">
        <f>ABS(RPG_dataset[[#This Row],[ATK]])</f>
        <v>84</v>
      </c>
      <c r="AG389" s="1">
        <f>ABS(RPG_dataset[[#This Row],[DEF]])</f>
        <v>100</v>
      </c>
      <c r="AH389" s="1">
        <f>ABS(RPG_dataset[[#This Row],[SPD]])</f>
        <v>0</v>
      </c>
      <c r="AI389" s="1">
        <f>ABS(RPG_dataset[[#This Row],[HP]])</f>
        <v>3256</v>
      </c>
      <c r="AJ389" s="1">
        <f>ABS(RPG_dataset[[#This Row],[MP]])</f>
        <v>936</v>
      </c>
      <c r="AK389" s="1">
        <f>ABS(RPG_dataset[[#This Row],[Total Stat]])</f>
        <v>284</v>
      </c>
      <c r="AL389" s="1">
        <f>ABS(RPG_dataset[[#This Row],[Kills]])</f>
        <v>1229</v>
      </c>
      <c r="AM389" s="12">
        <f>ABS(RPG_dataset[[#This Row],[Win Rate (%)]])</f>
        <v>95</v>
      </c>
      <c r="AN389" s="4">
        <f>ABS(RPG_dataset[[#This Row],[Gold Earned]])</f>
        <v>529730</v>
      </c>
      <c r="AO389" s="5" t="str">
        <f t="shared" si="6"/>
        <v>OK</v>
      </c>
      <c r="AP389" s="5">
        <f>RANK(clean[[#This Row],[Clean Gold]],clean[Clean Gold], 0)</f>
        <v>236</v>
      </c>
      <c r="AQ389" s="1">
        <v>255</v>
      </c>
      <c r="AR389" s="1" t="str" cm="1">
        <f t="array" ref="AR389">_xlfn.IFS(clean[[#This Row],[Clean Level]]&gt;=76, "Legend", clean[[#This Row],[Clean Level]]&gt;=51, "Elite", clean[[#This Row],[Clean Level]]&gt;=26, "Veteran", TRUE, "Rookie")</f>
        <v>Elite</v>
      </c>
      <c r="AS389" s="1" t="str">
        <f>IF(RPG_dataset[[#This Row],[Status]]="Active", "TRUE", "FALSE")</f>
        <v>FALSE</v>
      </c>
      <c r="AT389" s="1" t="str" cm="1">
        <f t="array" ref="AT389">_xlfn.IFS(clean[[#This Row],[Clean Win Rate]]&gt;70, "Excellent", clean[[#This Row],[Clean Win Rate]]&gt;=40, "Average", TRUE, "Poor")</f>
        <v>Excellent</v>
      </c>
      <c r="AU389" s="1" t="str">
        <f>IF(AND(clean[[#This Row],[Clean Level]]&gt;80, clean[[#This Row],[Clean Total Stat]]&gt;350, clean[[#This Row],[Clean Gold]]&gt;500000), "Overpowered", "Normal")</f>
        <v>Normal</v>
      </c>
      <c r="AV389" s="1" t="str" cm="1">
        <f t="array" ref="AV38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89" s="1" t="str" cm="1">
        <f t="array" ref="AW38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389" s="1"/>
    </row>
    <row r="390" spans="1:50" x14ac:dyDescent="0.3">
      <c r="A390" s="2" t="s">
        <v>1344</v>
      </c>
      <c r="B390" s="2" t="s">
        <v>1345</v>
      </c>
      <c r="C390" s="2" t="s">
        <v>1346</v>
      </c>
      <c r="D390" s="2" t="s">
        <v>250</v>
      </c>
      <c r="E390" s="2" t="s">
        <v>60</v>
      </c>
      <c r="F390" s="2" t="s">
        <v>61</v>
      </c>
      <c r="G390" s="2">
        <v>29</v>
      </c>
      <c r="H390" s="2" t="s">
        <v>125</v>
      </c>
      <c r="I390" s="2" t="s">
        <v>63</v>
      </c>
      <c r="J390" s="2" t="s">
        <v>92</v>
      </c>
      <c r="K390" s="2" t="s">
        <v>106</v>
      </c>
      <c r="L390" s="6" t="s">
        <v>1347</v>
      </c>
      <c r="M390" s="2">
        <v>56</v>
      </c>
      <c r="N390" s="2">
        <v>140</v>
      </c>
      <c r="O390" s="2">
        <v>78</v>
      </c>
      <c r="P390" s="2">
        <v>4500</v>
      </c>
      <c r="Q390" s="2">
        <v>2372</v>
      </c>
      <c r="R390" s="2">
        <v>274</v>
      </c>
      <c r="S390" s="2">
        <v>4684</v>
      </c>
      <c r="T390" s="2">
        <v>44</v>
      </c>
      <c r="U390" s="2">
        <v>242</v>
      </c>
      <c r="V390" s="2">
        <v>99</v>
      </c>
      <c r="W390" s="2">
        <v>2280</v>
      </c>
      <c r="X390" s="9">
        <v>43257</v>
      </c>
      <c r="Y390" s="2" t="s">
        <v>46</v>
      </c>
      <c r="AA390" s="1" t="str">
        <f>TRIM(RPG_dataset[[#This Row],[Username]])</f>
        <v>CAEL_393</v>
      </c>
      <c r="AB390" s="1" t="str">
        <f>TRIM(RPG_dataset[[#This Row],[First Name]])</f>
        <v>Cael</v>
      </c>
      <c r="AC390" s="1" t="str">
        <f>PROPER(TRIM(RPG_dataset[[#This Row],[Race]]))</f>
        <v>Human</v>
      </c>
      <c r="AD390" s="1" t="str">
        <f>PROPER(TRIM(RPG_dataset[[#This Row],[Class]]))</f>
        <v>Ranger</v>
      </c>
      <c r="AE390" s="1">
        <f>ABS(RPG_dataset[[#This Row],[Level]])</f>
        <v>29</v>
      </c>
      <c r="AF390" s="1">
        <f>ABS(RPG_dataset[[#This Row],[ATK]])</f>
        <v>56</v>
      </c>
      <c r="AG390" s="1">
        <f>ABS(RPG_dataset[[#This Row],[DEF]])</f>
        <v>140</v>
      </c>
      <c r="AH390" s="1">
        <f>ABS(RPG_dataset[[#This Row],[SPD]])</f>
        <v>78</v>
      </c>
      <c r="AI390" s="1">
        <f>ABS(RPG_dataset[[#This Row],[HP]])</f>
        <v>4500</v>
      </c>
      <c r="AJ390" s="1">
        <f>ABS(RPG_dataset[[#This Row],[MP]])</f>
        <v>2372</v>
      </c>
      <c r="AK390" s="1">
        <f>ABS(RPG_dataset[[#This Row],[Total Stat]])</f>
        <v>274</v>
      </c>
      <c r="AL390" s="1">
        <f>ABS(RPG_dataset[[#This Row],[Kills]])</f>
        <v>4684</v>
      </c>
      <c r="AM390" s="12">
        <f>ABS(RPG_dataset[[#This Row],[Win Rate (%)]])</f>
        <v>99</v>
      </c>
      <c r="AN390" s="4">
        <f>ABS(RPG_dataset[[#This Row],[Gold Earned]])</f>
        <v>43257</v>
      </c>
      <c r="AO390" s="5" t="str">
        <f t="shared" si="6"/>
        <v>OK</v>
      </c>
      <c r="AP390" s="5">
        <f>RANK(clean[[#This Row],[Clean Gold]],clean[Clean Gold], 0)</f>
        <v>462</v>
      </c>
      <c r="AQ390" s="1"/>
      <c r="AR390" s="1" t="str" cm="1">
        <f t="array" ref="AR390">_xlfn.IFS(clean[[#This Row],[Clean Level]]&gt;=76, "Legend", clean[[#This Row],[Clean Level]]&gt;=51, "Elite", clean[[#This Row],[Clean Level]]&gt;=26, "Veteran", TRUE, "Rookie")</f>
        <v>Veteran</v>
      </c>
      <c r="AS390" s="1" t="str">
        <f>IF(RPG_dataset[[#This Row],[Status]]="Active", "TRUE", "FALSE")</f>
        <v>FALSE</v>
      </c>
      <c r="AT390" s="1" t="str" cm="1">
        <f t="array" ref="AT390">_xlfn.IFS(clean[[#This Row],[Clean Win Rate]]&gt;70, "Excellent", clean[[#This Row],[Clean Win Rate]]&gt;=40, "Average", TRUE, "Poor")</f>
        <v>Excellent</v>
      </c>
      <c r="AU390" s="1" t="str">
        <f>IF(AND(clean[[#This Row],[Clean Level]]&gt;80, clean[[#This Row],[Clean Total Stat]]&gt;350, clean[[#This Row],[Clean Gold]]&gt;500000), "Overpowered", "Normal")</f>
        <v>Normal</v>
      </c>
      <c r="AV390" s="1" t="str" cm="1">
        <f t="array" ref="AV39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90" s="1" t="str" cm="1">
        <f t="array" ref="AW39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390" s="1"/>
    </row>
    <row r="391" spans="1:50" x14ac:dyDescent="0.3">
      <c r="A391" s="2" t="s">
        <v>1348</v>
      </c>
      <c r="B391" s="2" t="s">
        <v>1349</v>
      </c>
      <c r="C391" s="2" t="s">
        <v>178</v>
      </c>
      <c r="D391" s="2" t="s">
        <v>28</v>
      </c>
      <c r="E391" s="2" t="s">
        <v>41</v>
      </c>
      <c r="F391" s="2" t="s">
        <v>30</v>
      </c>
      <c r="G391" s="2">
        <v>21</v>
      </c>
      <c r="H391" s="2" t="s">
        <v>80</v>
      </c>
      <c r="I391" s="2" t="s">
        <v>140</v>
      </c>
      <c r="J391" s="2" t="s">
        <v>163</v>
      </c>
      <c r="K391" s="2" t="s">
        <v>1350</v>
      </c>
      <c r="L391" s="6" t="s">
        <v>1351</v>
      </c>
      <c r="M391" s="2">
        <v>18</v>
      </c>
      <c r="N391" s="2">
        <v>13</v>
      </c>
      <c r="O391" s="2">
        <v>85</v>
      </c>
      <c r="P391" s="2">
        <v>3943</v>
      </c>
      <c r="Q391" s="2">
        <v>539</v>
      </c>
      <c r="R391" s="2">
        <v>116</v>
      </c>
      <c r="S391" s="2">
        <v>2157</v>
      </c>
      <c r="T391" s="2">
        <v>37</v>
      </c>
      <c r="U391" s="2">
        <v>85</v>
      </c>
      <c r="V391" s="2">
        <v>98</v>
      </c>
      <c r="W391" s="2">
        <v>6796</v>
      </c>
      <c r="X391" s="9">
        <v>817438</v>
      </c>
      <c r="Y391" s="2" t="s">
        <v>36</v>
      </c>
      <c r="AA391" s="1" t="str">
        <f>TRIM(RPG_dataset[[#This Row],[Username]])</f>
        <v>crix_269</v>
      </c>
      <c r="AB391" s="1" t="str">
        <f>TRIM(RPG_dataset[[#This Row],[First Name]])</f>
        <v>Crix</v>
      </c>
      <c r="AC391" s="1" t="str">
        <f>PROPER(TRIM(RPG_dataset[[#This Row],[Race]]))</f>
        <v>Gnome</v>
      </c>
      <c r="AD391" s="1" t="str">
        <f>PROPER(TRIM(RPG_dataset[[#This Row],[Class]]))</f>
        <v>Rogue</v>
      </c>
      <c r="AE391" s="1">
        <f>ABS(RPG_dataset[[#This Row],[Level]])</f>
        <v>21</v>
      </c>
      <c r="AF391" s="1">
        <f>ABS(RPG_dataset[[#This Row],[ATK]])</f>
        <v>18</v>
      </c>
      <c r="AG391" s="1">
        <f>ABS(RPG_dataset[[#This Row],[DEF]])</f>
        <v>13</v>
      </c>
      <c r="AH391" s="1">
        <f>ABS(RPG_dataset[[#This Row],[SPD]])</f>
        <v>85</v>
      </c>
      <c r="AI391" s="1">
        <f>ABS(RPG_dataset[[#This Row],[HP]])</f>
        <v>3943</v>
      </c>
      <c r="AJ391" s="1">
        <f>ABS(RPG_dataset[[#This Row],[MP]])</f>
        <v>539</v>
      </c>
      <c r="AK391" s="1">
        <f>ABS(RPG_dataset[[#This Row],[Total Stat]])</f>
        <v>116</v>
      </c>
      <c r="AL391" s="1">
        <f>ABS(RPG_dataset[[#This Row],[Kills]])</f>
        <v>2157</v>
      </c>
      <c r="AM391" s="12">
        <f>ABS(RPG_dataset[[#This Row],[Win Rate (%)]])</f>
        <v>98</v>
      </c>
      <c r="AN391" s="4">
        <f>ABS(RPG_dataset[[#This Row],[Gold Earned]])</f>
        <v>817438</v>
      </c>
      <c r="AO391" s="5" t="str">
        <f t="shared" si="6"/>
        <v>OK</v>
      </c>
      <c r="AP391" s="5">
        <f>RANK(clean[[#This Row],[Clean Gold]],clean[Clean Gold], 0)</f>
        <v>97</v>
      </c>
      <c r="AQ391" s="1">
        <v>286</v>
      </c>
      <c r="AR391" s="1" t="str" cm="1">
        <f t="array" ref="AR391">_xlfn.IFS(clean[[#This Row],[Clean Level]]&gt;=76, "Legend", clean[[#This Row],[Clean Level]]&gt;=51, "Elite", clean[[#This Row],[Clean Level]]&gt;=26, "Veteran", TRUE, "Rookie")</f>
        <v>Rookie</v>
      </c>
      <c r="AS391" s="1" t="str">
        <f>IF(RPG_dataset[[#This Row],[Status]]="Active", "TRUE", "FALSE")</f>
        <v>FALSE</v>
      </c>
      <c r="AT391" s="1" t="str" cm="1">
        <f t="array" ref="AT391">_xlfn.IFS(clean[[#This Row],[Clean Win Rate]]&gt;70, "Excellent", clean[[#This Row],[Clean Win Rate]]&gt;=40, "Average", TRUE, "Poor")</f>
        <v>Excellent</v>
      </c>
      <c r="AU391" s="1" t="str">
        <f>IF(AND(clean[[#This Row],[Clean Level]]&gt;80, clean[[#This Row],[Clean Total Stat]]&gt;350, clean[[#This Row],[Clean Gold]]&gt;500000), "Overpowered", "Normal")</f>
        <v>Normal</v>
      </c>
      <c r="AV391" s="1" t="str" cm="1">
        <f t="array" ref="AV39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91" s="1" t="str" cm="1">
        <f t="array" ref="AW39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391" s="1"/>
    </row>
    <row r="392" spans="1:50" x14ac:dyDescent="0.3">
      <c r="A392" s="2" t="s">
        <v>1352</v>
      </c>
      <c r="B392" s="2" t="s">
        <v>1353</v>
      </c>
      <c r="C392" s="2" t="s">
        <v>517</v>
      </c>
      <c r="D392" s="2" t="s">
        <v>70</v>
      </c>
      <c r="E392" s="2" t="s">
        <v>41</v>
      </c>
      <c r="F392" s="2" t="s">
        <v>30</v>
      </c>
      <c r="G392" s="2">
        <v>42</v>
      </c>
      <c r="H392" s="2" t="s">
        <v>53</v>
      </c>
      <c r="I392" s="2" t="s">
        <v>126</v>
      </c>
      <c r="J392" s="2" t="s">
        <v>33</v>
      </c>
      <c r="K392" s="2" t="s">
        <v>44</v>
      </c>
      <c r="L392" s="6" t="s">
        <v>762</v>
      </c>
      <c r="M392" s="2">
        <v>54</v>
      </c>
      <c r="N392" s="2">
        <v>130</v>
      </c>
      <c r="O392" s="2">
        <v>12</v>
      </c>
      <c r="P392" s="2">
        <v>2322</v>
      </c>
      <c r="Q392" s="2">
        <v>565</v>
      </c>
      <c r="R392" s="2">
        <v>196</v>
      </c>
      <c r="S392" s="2">
        <v>2910</v>
      </c>
      <c r="T392" s="2">
        <v>442</v>
      </c>
      <c r="U392" s="2">
        <v>-182</v>
      </c>
      <c r="V392" s="2">
        <v>87</v>
      </c>
      <c r="W392" s="2">
        <v>5868</v>
      </c>
      <c r="X392" s="9">
        <v>800722</v>
      </c>
      <c r="Y392" s="2" t="s">
        <v>36</v>
      </c>
      <c r="AA392" s="1" t="str">
        <f>TRIM(RPG_dataset[[#This Row],[Username]])</f>
        <v>myra_357</v>
      </c>
      <c r="AB392" s="1" t="str">
        <f>TRIM(RPG_dataset[[#This Row],[First Name]])</f>
        <v>Myra</v>
      </c>
      <c r="AC392" s="1" t="str">
        <f>PROPER(TRIM(RPG_dataset[[#This Row],[Race]]))</f>
        <v>Gnome</v>
      </c>
      <c r="AD392" s="1" t="str">
        <f>PROPER(TRIM(RPG_dataset[[#This Row],[Class]]))</f>
        <v>Rogue</v>
      </c>
      <c r="AE392" s="1">
        <f>ABS(RPG_dataset[[#This Row],[Level]])</f>
        <v>42</v>
      </c>
      <c r="AF392" s="1">
        <f>ABS(RPG_dataset[[#This Row],[ATK]])</f>
        <v>54</v>
      </c>
      <c r="AG392" s="1">
        <f>ABS(RPG_dataset[[#This Row],[DEF]])</f>
        <v>130</v>
      </c>
      <c r="AH392" s="1">
        <f>ABS(RPG_dataset[[#This Row],[SPD]])</f>
        <v>12</v>
      </c>
      <c r="AI392" s="1">
        <f>ABS(RPG_dataset[[#This Row],[HP]])</f>
        <v>2322</v>
      </c>
      <c r="AJ392" s="1">
        <f>ABS(RPG_dataset[[#This Row],[MP]])</f>
        <v>565</v>
      </c>
      <c r="AK392" s="1">
        <f>ABS(RPG_dataset[[#This Row],[Total Stat]])</f>
        <v>196</v>
      </c>
      <c r="AL392" s="1">
        <f>ABS(RPG_dataset[[#This Row],[Kills]])</f>
        <v>2910</v>
      </c>
      <c r="AM392" s="12">
        <f>ABS(RPG_dataset[[#This Row],[Win Rate (%)]])</f>
        <v>87</v>
      </c>
      <c r="AN392" s="4">
        <f>ABS(RPG_dataset[[#This Row],[Gold Earned]])</f>
        <v>800722</v>
      </c>
      <c r="AO392" s="5" t="str">
        <f t="shared" si="6"/>
        <v>OK</v>
      </c>
      <c r="AP392" s="5">
        <f>RANK(clean[[#This Row],[Clean Gold]],clean[Clean Gold], 0)</f>
        <v>103</v>
      </c>
      <c r="AQ392" s="1">
        <v>241</v>
      </c>
      <c r="AR392" s="1" t="str" cm="1">
        <f t="array" ref="AR392">_xlfn.IFS(clean[[#This Row],[Clean Level]]&gt;=76, "Legend", clean[[#This Row],[Clean Level]]&gt;=51, "Elite", clean[[#This Row],[Clean Level]]&gt;=26, "Veteran", TRUE, "Rookie")</f>
        <v>Veteran</v>
      </c>
      <c r="AS392" s="1" t="str">
        <f>IF(RPG_dataset[[#This Row],[Status]]="Active", "TRUE", "FALSE")</f>
        <v>TRUE</v>
      </c>
      <c r="AT392" s="1" t="str" cm="1">
        <f t="array" ref="AT392">_xlfn.IFS(clean[[#This Row],[Clean Win Rate]]&gt;70, "Excellent", clean[[#This Row],[Clean Win Rate]]&gt;=40, "Average", TRUE, "Poor")</f>
        <v>Excellent</v>
      </c>
      <c r="AU392" s="1" t="str">
        <f>IF(AND(clean[[#This Row],[Clean Level]]&gt;80, clean[[#This Row],[Clean Total Stat]]&gt;350, clean[[#This Row],[Clean Gold]]&gt;500000), "Overpowered", "Normal")</f>
        <v>Normal</v>
      </c>
      <c r="AV392" s="1" t="str" cm="1">
        <f t="array" ref="AV39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92" s="1" t="str" cm="1">
        <f t="array" ref="AW39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92" s="1"/>
    </row>
    <row r="393" spans="1:50" x14ac:dyDescent="0.3">
      <c r="A393" s="2" t="s">
        <v>1354</v>
      </c>
      <c r="B393" s="2" t="s">
        <v>1355</v>
      </c>
      <c r="C393" s="2" t="s">
        <v>517</v>
      </c>
      <c r="D393" s="2" t="s">
        <v>104</v>
      </c>
      <c r="E393" s="2" t="s">
        <v>551</v>
      </c>
      <c r="F393" s="2" t="s">
        <v>98</v>
      </c>
      <c r="G393" s="2">
        <v>95</v>
      </c>
      <c r="H393" s="2" t="s">
        <v>229</v>
      </c>
      <c r="I393" s="2" t="s">
        <v>74</v>
      </c>
      <c r="J393" s="2" t="s">
        <v>64</v>
      </c>
      <c r="K393" s="2" t="s">
        <v>146</v>
      </c>
      <c r="L393" s="6" t="s">
        <v>1356</v>
      </c>
      <c r="M393" s="2">
        <v>26</v>
      </c>
      <c r="N393" s="2">
        <v>149</v>
      </c>
      <c r="O393" s="2">
        <v>25</v>
      </c>
      <c r="P393" s="2">
        <v>2409</v>
      </c>
      <c r="Q393" s="2">
        <v>207</v>
      </c>
      <c r="R393" s="2">
        <v>200</v>
      </c>
      <c r="S393" s="2">
        <v>1145</v>
      </c>
      <c r="T393" s="2">
        <v>504</v>
      </c>
      <c r="U393" s="2">
        <v>57</v>
      </c>
      <c r="V393" s="2">
        <v>69</v>
      </c>
      <c r="W393" s="2">
        <v>5110</v>
      </c>
      <c r="X393" s="9">
        <v>816231</v>
      </c>
      <c r="Y393" s="2" t="s">
        <v>36</v>
      </c>
      <c r="AA393" s="1" t="str">
        <f>TRIM(RPG_dataset[[#This Row],[Username]])</f>
        <v>myra_588</v>
      </c>
      <c r="AB393" s="1" t="str">
        <f>TRIM(RPG_dataset[[#This Row],[First Name]])</f>
        <v>Myra</v>
      </c>
      <c r="AC393" s="1" t="str">
        <f>PROPER(TRIM(RPG_dataset[[#This Row],[Race]]))</f>
        <v>Halfling</v>
      </c>
      <c r="AD393" s="1" t="str">
        <f>PROPER(TRIM(RPG_dataset[[#This Row],[Class]]))</f>
        <v>Mage</v>
      </c>
      <c r="AE393" s="1">
        <f>ABS(RPG_dataset[[#This Row],[Level]])</f>
        <v>95</v>
      </c>
      <c r="AF393" s="1">
        <f>ABS(RPG_dataset[[#This Row],[ATK]])</f>
        <v>26</v>
      </c>
      <c r="AG393" s="1">
        <f>ABS(RPG_dataset[[#This Row],[DEF]])</f>
        <v>149</v>
      </c>
      <c r="AH393" s="1">
        <f>ABS(RPG_dataset[[#This Row],[SPD]])</f>
        <v>25</v>
      </c>
      <c r="AI393" s="1">
        <f>ABS(RPG_dataset[[#This Row],[HP]])</f>
        <v>2409</v>
      </c>
      <c r="AJ393" s="1">
        <f>ABS(RPG_dataset[[#This Row],[MP]])</f>
        <v>207</v>
      </c>
      <c r="AK393" s="1">
        <f>ABS(RPG_dataset[[#This Row],[Total Stat]])</f>
        <v>200</v>
      </c>
      <c r="AL393" s="1">
        <f>ABS(RPG_dataset[[#This Row],[Kills]])</f>
        <v>1145</v>
      </c>
      <c r="AM393" s="12">
        <f>ABS(RPG_dataset[[#This Row],[Win Rate (%)]])</f>
        <v>69</v>
      </c>
      <c r="AN393" s="4">
        <f>ABS(RPG_dataset[[#This Row],[Gold Earned]])</f>
        <v>816231</v>
      </c>
      <c r="AO393" s="5" t="str">
        <f t="shared" si="6"/>
        <v>OK</v>
      </c>
      <c r="AP393" s="5">
        <f>RANK(clean[[#This Row],[Clean Gold]],clean[Clean Gold], 0)</f>
        <v>98</v>
      </c>
      <c r="AQ393" s="1">
        <v>211</v>
      </c>
      <c r="AR393" s="1" t="str" cm="1">
        <f t="array" ref="AR393">_xlfn.IFS(clean[[#This Row],[Clean Level]]&gt;=76, "Legend", clean[[#This Row],[Clean Level]]&gt;=51, "Elite", clean[[#This Row],[Clean Level]]&gt;=26, "Veteran", TRUE, "Rookie")</f>
        <v>Legend</v>
      </c>
      <c r="AS393" s="1" t="str">
        <f>IF(RPG_dataset[[#This Row],[Status]]="Active", "TRUE", "FALSE")</f>
        <v>TRUE</v>
      </c>
      <c r="AT393" s="1" t="str" cm="1">
        <f t="array" ref="AT393">_xlfn.IFS(clean[[#This Row],[Clean Win Rate]]&gt;70, "Excellent", clean[[#This Row],[Clean Win Rate]]&gt;=40, "Average", TRUE, "Poor")</f>
        <v>Average</v>
      </c>
      <c r="AU393" s="1" t="str">
        <f>IF(AND(clean[[#This Row],[Clean Level]]&gt;80, clean[[#This Row],[Clean Total Stat]]&gt;350, clean[[#This Row],[Clean Gold]]&gt;500000), "Overpowered", "Normal")</f>
        <v>Normal</v>
      </c>
      <c r="AV393" s="1" t="str" cm="1">
        <f t="array" ref="AV39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93" s="1" t="str" cm="1">
        <f t="array" ref="AW39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93" s="1"/>
    </row>
    <row r="394" spans="1:50" x14ac:dyDescent="0.3">
      <c r="A394" s="2" t="s">
        <v>1357</v>
      </c>
      <c r="B394" s="2" t="s">
        <v>1358</v>
      </c>
      <c r="C394" s="2" t="s">
        <v>693</v>
      </c>
      <c r="D394" s="2" t="s">
        <v>250</v>
      </c>
      <c r="E394" s="2" t="s">
        <v>105</v>
      </c>
      <c r="F394" s="2" t="s">
        <v>740</v>
      </c>
      <c r="G394" s="2">
        <v>43</v>
      </c>
      <c r="H394" s="2" t="s">
        <v>73</v>
      </c>
      <c r="I394" s="2" t="s">
        <v>63</v>
      </c>
      <c r="J394" s="2" t="s">
        <v>92</v>
      </c>
      <c r="K394" s="2" t="s">
        <v>44</v>
      </c>
      <c r="L394" s="6" t="s">
        <v>1359</v>
      </c>
      <c r="M394" s="2">
        <v>16</v>
      </c>
      <c r="N394" s="2">
        <v>112</v>
      </c>
      <c r="O394" s="2">
        <v>-39</v>
      </c>
      <c r="P394" s="2">
        <v>3955</v>
      </c>
      <c r="Q394" s="2">
        <v>959</v>
      </c>
      <c r="R394" s="2">
        <v>167</v>
      </c>
      <c r="S394" s="2">
        <v>3624</v>
      </c>
      <c r="T394" s="2">
        <v>121</v>
      </c>
      <c r="U394" s="2"/>
      <c r="V394" s="2">
        <v>97</v>
      </c>
      <c r="W394" s="2">
        <v>452</v>
      </c>
      <c r="X394" s="9">
        <v>200227</v>
      </c>
      <c r="Y394" s="2" t="s">
        <v>36</v>
      </c>
      <c r="AA394" s="1" t="str">
        <f>TRIM(RPG_dataset[[#This Row],[Username]])</f>
        <v>elara_243</v>
      </c>
      <c r="AB394" s="1" t="str">
        <f>TRIM(RPG_dataset[[#This Row],[First Name]])</f>
        <v>Elara</v>
      </c>
      <c r="AC394" s="1" t="str">
        <f>PROPER(TRIM(RPG_dataset[[#This Row],[Race]]))</f>
        <v>Orc</v>
      </c>
      <c r="AD394" s="1" t="str">
        <f>PROPER(TRIM(RPG_dataset[[#This Row],[Class]]))</f>
        <v>Warrior</v>
      </c>
      <c r="AE394" s="1">
        <f>ABS(RPG_dataset[[#This Row],[Level]])</f>
        <v>43</v>
      </c>
      <c r="AF394" s="1">
        <f>ABS(RPG_dataset[[#This Row],[ATK]])</f>
        <v>16</v>
      </c>
      <c r="AG394" s="1">
        <f>ABS(RPG_dataset[[#This Row],[DEF]])</f>
        <v>112</v>
      </c>
      <c r="AH394" s="1">
        <f>ABS(RPG_dataset[[#This Row],[SPD]])</f>
        <v>39</v>
      </c>
      <c r="AI394" s="1">
        <f>ABS(RPG_dataset[[#This Row],[HP]])</f>
        <v>3955</v>
      </c>
      <c r="AJ394" s="1">
        <f>ABS(RPG_dataset[[#This Row],[MP]])</f>
        <v>959</v>
      </c>
      <c r="AK394" s="1">
        <f>ABS(RPG_dataset[[#This Row],[Total Stat]])</f>
        <v>167</v>
      </c>
      <c r="AL394" s="1">
        <f>ABS(RPG_dataset[[#This Row],[Kills]])</f>
        <v>3624</v>
      </c>
      <c r="AM394" s="12">
        <f>ABS(RPG_dataset[[#This Row],[Win Rate (%)]])</f>
        <v>97</v>
      </c>
      <c r="AN394" s="4">
        <f>ABS(RPG_dataset[[#This Row],[Gold Earned]])</f>
        <v>200227</v>
      </c>
      <c r="AO394" s="5" t="str">
        <f t="shared" si="6"/>
        <v>OK</v>
      </c>
      <c r="AP394" s="5">
        <f>RANK(clean[[#This Row],[Clean Gold]],clean[Clean Gold], 0)</f>
        <v>400</v>
      </c>
      <c r="AQ394" s="1">
        <v>148</v>
      </c>
      <c r="AR394" s="1" t="str" cm="1">
        <f t="array" ref="AR394">_xlfn.IFS(clean[[#This Row],[Clean Level]]&gt;=76, "Legend", clean[[#This Row],[Clean Level]]&gt;=51, "Elite", clean[[#This Row],[Clean Level]]&gt;=26, "Veteran", TRUE, "Rookie")</f>
        <v>Veteran</v>
      </c>
      <c r="AS394" s="1" t="str">
        <f>IF(RPG_dataset[[#This Row],[Status]]="Active", "TRUE", "FALSE")</f>
        <v>TRUE</v>
      </c>
      <c r="AT394" s="1" t="str" cm="1">
        <f t="array" ref="AT394">_xlfn.IFS(clean[[#This Row],[Clean Win Rate]]&gt;70, "Excellent", clean[[#This Row],[Clean Win Rate]]&gt;=40, "Average", TRUE, "Poor")</f>
        <v>Excellent</v>
      </c>
      <c r="AU394" s="1" t="str">
        <f>IF(AND(clean[[#This Row],[Clean Level]]&gt;80, clean[[#This Row],[Clean Total Stat]]&gt;350, clean[[#This Row],[Clean Gold]]&gt;500000), "Overpowered", "Normal")</f>
        <v>Normal</v>
      </c>
      <c r="AV394" s="1" t="str" cm="1">
        <f t="array" ref="AV39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94" s="1" t="str" cm="1">
        <f t="array" ref="AW39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394" s="1"/>
    </row>
    <row r="395" spans="1:50" x14ac:dyDescent="0.3">
      <c r="A395" s="2" t="s">
        <v>1360</v>
      </c>
      <c r="B395" s="2" t="s">
        <v>1361</v>
      </c>
      <c r="C395" s="2" t="s">
        <v>198</v>
      </c>
      <c r="D395" s="2" t="s">
        <v>254</v>
      </c>
      <c r="E395" s="2" t="s">
        <v>228</v>
      </c>
      <c r="F395" s="2" t="s">
        <v>61</v>
      </c>
      <c r="G395" s="2">
        <v>13</v>
      </c>
      <c r="H395" s="2" t="s">
        <v>80</v>
      </c>
      <c r="I395" s="2" t="s">
        <v>32</v>
      </c>
      <c r="J395" s="2" t="s">
        <v>33</v>
      </c>
      <c r="K395" s="2" t="s">
        <v>34</v>
      </c>
      <c r="L395" s="6" t="s">
        <v>1362</v>
      </c>
      <c r="M395" s="2">
        <v>114</v>
      </c>
      <c r="N395" s="2">
        <v>115</v>
      </c>
      <c r="O395" s="2">
        <v>42</v>
      </c>
      <c r="P395" s="2">
        <v>4965</v>
      </c>
      <c r="Q395" s="2">
        <v>197</v>
      </c>
      <c r="R395" s="2">
        <v>271</v>
      </c>
      <c r="S395" s="2">
        <v>2604</v>
      </c>
      <c r="T395" s="2">
        <v>923</v>
      </c>
      <c r="U395" s="2">
        <v>248</v>
      </c>
      <c r="V395" s="2">
        <v>74</v>
      </c>
      <c r="W395" s="2">
        <v>1599</v>
      </c>
      <c r="X395" s="9">
        <v>966345</v>
      </c>
      <c r="Y395" s="2" t="s">
        <v>46</v>
      </c>
      <c r="AA395" s="1" t="str">
        <f>TRIM(RPG_dataset[[#This Row],[Username]])</f>
        <v>lira_273</v>
      </c>
      <c r="AB395" s="1" t="str">
        <f>TRIM(RPG_dataset[[#This Row],[First Name]])</f>
        <v>Lira</v>
      </c>
      <c r="AC395" s="1" t="str">
        <f>PROPER(TRIM(RPG_dataset[[#This Row],[Race]]))</f>
        <v>Elf</v>
      </c>
      <c r="AD395" s="1" t="str">
        <f>PROPER(TRIM(RPG_dataset[[#This Row],[Class]]))</f>
        <v>Ranger</v>
      </c>
      <c r="AE395" s="1">
        <f>ABS(RPG_dataset[[#This Row],[Level]])</f>
        <v>13</v>
      </c>
      <c r="AF395" s="1">
        <f>ABS(RPG_dataset[[#This Row],[ATK]])</f>
        <v>114</v>
      </c>
      <c r="AG395" s="1">
        <f>ABS(RPG_dataset[[#This Row],[DEF]])</f>
        <v>115</v>
      </c>
      <c r="AH395" s="1">
        <f>ABS(RPG_dataset[[#This Row],[SPD]])</f>
        <v>42</v>
      </c>
      <c r="AI395" s="1">
        <f>ABS(RPG_dataset[[#This Row],[HP]])</f>
        <v>4965</v>
      </c>
      <c r="AJ395" s="1">
        <f>ABS(RPG_dataset[[#This Row],[MP]])</f>
        <v>197</v>
      </c>
      <c r="AK395" s="1">
        <f>ABS(RPG_dataset[[#This Row],[Total Stat]])</f>
        <v>271</v>
      </c>
      <c r="AL395" s="1">
        <f>ABS(RPG_dataset[[#This Row],[Kills]])</f>
        <v>2604</v>
      </c>
      <c r="AM395" s="12">
        <f>ABS(RPG_dataset[[#This Row],[Win Rate (%)]])</f>
        <v>74</v>
      </c>
      <c r="AN395" s="4">
        <f>ABS(RPG_dataset[[#This Row],[Gold Earned]])</f>
        <v>966345</v>
      </c>
      <c r="AO395" s="5" t="str">
        <f t="shared" si="6"/>
        <v>OK</v>
      </c>
      <c r="AP395" s="5">
        <f>RANK(clean[[#This Row],[Clean Gold]],clean[Clean Gold], 0)</f>
        <v>17</v>
      </c>
      <c r="AQ395" s="1">
        <v>116</v>
      </c>
      <c r="AR395" s="1" t="str" cm="1">
        <f t="array" ref="AR395">_xlfn.IFS(clean[[#This Row],[Clean Level]]&gt;=76, "Legend", clean[[#This Row],[Clean Level]]&gt;=51, "Elite", clean[[#This Row],[Clean Level]]&gt;=26, "Veteran", TRUE, "Rookie")</f>
        <v>Rookie</v>
      </c>
      <c r="AS395" s="1" t="str">
        <f>IF(RPG_dataset[[#This Row],[Status]]="Active", "TRUE", "FALSE")</f>
        <v>FALSE</v>
      </c>
      <c r="AT395" s="1" t="str" cm="1">
        <f t="array" ref="AT395">_xlfn.IFS(clean[[#This Row],[Clean Win Rate]]&gt;70, "Excellent", clean[[#This Row],[Clean Win Rate]]&gt;=40, "Average", TRUE, "Poor")</f>
        <v>Excellent</v>
      </c>
      <c r="AU395" s="1" t="str">
        <f>IF(AND(clean[[#This Row],[Clean Level]]&gt;80, clean[[#This Row],[Clean Total Stat]]&gt;350, clean[[#This Row],[Clean Gold]]&gt;500000), "Overpowered", "Normal")</f>
        <v>Normal</v>
      </c>
      <c r="AV395" s="1" t="str" cm="1">
        <f t="array" ref="AV39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95" s="1" t="str" cm="1">
        <f t="array" ref="AW39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395" s="1"/>
    </row>
    <row r="396" spans="1:50" x14ac:dyDescent="0.3">
      <c r="A396" s="2" t="s">
        <v>1363</v>
      </c>
      <c r="B396" s="2" t="s">
        <v>1364</v>
      </c>
      <c r="C396" s="2" t="s">
        <v>1319</v>
      </c>
      <c r="D396" s="2" t="s">
        <v>210</v>
      </c>
      <c r="E396" s="2" t="s">
        <v>105</v>
      </c>
      <c r="F396" s="2" t="s">
        <v>52</v>
      </c>
      <c r="G396" s="2">
        <v>52</v>
      </c>
      <c r="H396" s="2" t="s">
        <v>73</v>
      </c>
      <c r="I396" s="2" t="s">
        <v>54</v>
      </c>
      <c r="J396" s="2" t="s">
        <v>111</v>
      </c>
      <c r="K396" s="2" t="s">
        <v>99</v>
      </c>
      <c r="L396" s="6" t="s">
        <v>1365</v>
      </c>
      <c r="M396" s="2">
        <v>59</v>
      </c>
      <c r="N396" s="2">
        <v>150</v>
      </c>
      <c r="O396" s="2">
        <v>133</v>
      </c>
      <c r="P396" s="2">
        <v>4973</v>
      </c>
      <c r="Q396" s="2">
        <v>2203</v>
      </c>
      <c r="R396" s="2">
        <v>342</v>
      </c>
      <c r="S396" s="2">
        <v>2860</v>
      </c>
      <c r="T396" s="2">
        <v>423</v>
      </c>
      <c r="U396" s="2">
        <v>232</v>
      </c>
      <c r="V396" s="2">
        <v>87</v>
      </c>
      <c r="W396" s="2">
        <v>352</v>
      </c>
      <c r="X396" s="9">
        <v>841455</v>
      </c>
      <c r="Y396" s="2" t="s">
        <v>46</v>
      </c>
      <c r="AA396" s="1" t="str">
        <f>TRIM(RPG_dataset[[#This Row],[Username]])</f>
        <v>zara_974</v>
      </c>
      <c r="AB396" s="1" t="str">
        <f>TRIM(RPG_dataset[[#This Row],[First Name]])</f>
        <v>ZARA</v>
      </c>
      <c r="AC396" s="1" t="str">
        <f>PROPER(TRIM(RPG_dataset[[#This Row],[Race]]))</f>
        <v>Orc</v>
      </c>
      <c r="AD396" s="1" t="str">
        <f>PROPER(TRIM(RPG_dataset[[#This Row],[Class]]))</f>
        <v>Bard</v>
      </c>
      <c r="AE396" s="1">
        <f>ABS(RPG_dataset[[#This Row],[Level]])</f>
        <v>52</v>
      </c>
      <c r="AF396" s="1">
        <f>ABS(RPG_dataset[[#This Row],[ATK]])</f>
        <v>59</v>
      </c>
      <c r="AG396" s="1">
        <f>ABS(RPG_dataset[[#This Row],[DEF]])</f>
        <v>150</v>
      </c>
      <c r="AH396" s="1">
        <f>ABS(RPG_dataset[[#This Row],[SPD]])</f>
        <v>133</v>
      </c>
      <c r="AI396" s="1">
        <f>ABS(RPG_dataset[[#This Row],[HP]])</f>
        <v>4973</v>
      </c>
      <c r="AJ396" s="1">
        <f>ABS(RPG_dataset[[#This Row],[MP]])</f>
        <v>2203</v>
      </c>
      <c r="AK396" s="1">
        <f>ABS(RPG_dataset[[#This Row],[Total Stat]])</f>
        <v>342</v>
      </c>
      <c r="AL396" s="1">
        <f>ABS(RPG_dataset[[#This Row],[Kills]])</f>
        <v>2860</v>
      </c>
      <c r="AM396" s="12">
        <f>ABS(RPG_dataset[[#This Row],[Win Rate (%)]])</f>
        <v>87</v>
      </c>
      <c r="AN396" s="4">
        <f>ABS(RPG_dataset[[#This Row],[Gold Earned]])</f>
        <v>841455</v>
      </c>
      <c r="AO396" s="5" t="str">
        <f t="shared" si="6"/>
        <v>OK</v>
      </c>
      <c r="AP396" s="5">
        <f>RANK(clean[[#This Row],[Clean Gold]],clean[Clean Gold], 0)</f>
        <v>83</v>
      </c>
      <c r="AQ396" s="1">
        <v>219</v>
      </c>
      <c r="AR396" s="1" t="str" cm="1">
        <f t="array" ref="AR396">_xlfn.IFS(clean[[#This Row],[Clean Level]]&gt;=76, "Legend", clean[[#This Row],[Clean Level]]&gt;=51, "Elite", clean[[#This Row],[Clean Level]]&gt;=26, "Veteran", TRUE, "Rookie")</f>
        <v>Elite</v>
      </c>
      <c r="AS396" s="1" t="str">
        <f>IF(RPG_dataset[[#This Row],[Status]]="Active", "TRUE", "FALSE")</f>
        <v>FALSE</v>
      </c>
      <c r="AT396" s="1" t="str" cm="1">
        <f t="array" ref="AT396">_xlfn.IFS(clean[[#This Row],[Clean Win Rate]]&gt;70, "Excellent", clean[[#This Row],[Clean Win Rate]]&gt;=40, "Average", TRUE, "Poor")</f>
        <v>Excellent</v>
      </c>
      <c r="AU396" s="1" t="str">
        <f>IF(AND(clean[[#This Row],[Clean Level]]&gt;80, clean[[#This Row],[Clean Total Stat]]&gt;350, clean[[#This Row],[Clean Gold]]&gt;500000), "Overpowered", "Normal")</f>
        <v>Normal</v>
      </c>
      <c r="AV396" s="1" t="str" cm="1">
        <f t="array" ref="AV39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96" s="1" t="str" cm="1">
        <f t="array" ref="AW39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96" s="1"/>
    </row>
    <row r="397" spans="1:50" x14ac:dyDescent="0.3">
      <c r="A397" s="2" t="s">
        <v>1366</v>
      </c>
      <c r="B397" s="2" t="s">
        <v>1367</v>
      </c>
      <c r="C397" s="2" t="s">
        <v>689</v>
      </c>
      <c r="D397" s="2" t="s">
        <v>1368</v>
      </c>
      <c r="E397" s="2" t="s">
        <v>71</v>
      </c>
      <c r="F397" s="2" t="s">
        <v>42</v>
      </c>
      <c r="G397" s="2">
        <v>27</v>
      </c>
      <c r="H397" s="2" t="s">
        <v>1338</v>
      </c>
      <c r="I397" s="2" t="s">
        <v>74</v>
      </c>
      <c r="J397" s="2" t="s">
        <v>33</v>
      </c>
      <c r="K397" s="2" t="s">
        <v>34</v>
      </c>
      <c r="L397" s="6" t="s">
        <v>1369</v>
      </c>
      <c r="M397" s="2">
        <v>46</v>
      </c>
      <c r="N397" s="2">
        <v>16</v>
      </c>
      <c r="O397" s="2"/>
      <c r="P397" s="2">
        <v>3468</v>
      </c>
      <c r="Q397" s="2">
        <v>1411</v>
      </c>
      <c r="R397" s="2">
        <v>146</v>
      </c>
      <c r="S397" s="2">
        <v>-3498</v>
      </c>
      <c r="T397" s="2">
        <v>889</v>
      </c>
      <c r="U397" s="2">
        <v>274</v>
      </c>
      <c r="V397" s="2">
        <v>80</v>
      </c>
      <c r="W397" s="2">
        <v>3386</v>
      </c>
      <c r="X397" s="9">
        <v>70446</v>
      </c>
      <c r="Y397" s="2" t="s">
        <v>46</v>
      </c>
      <c r="AA397" s="1" t="str">
        <f>TRIM(RPG_dataset[[#This Row],[Username]])</f>
        <v>theron_617</v>
      </c>
      <c r="AB397" s="1" t="str">
        <f>TRIM(RPG_dataset[[#This Row],[First Name]])</f>
        <v>Theron</v>
      </c>
      <c r="AC397" s="1" t="str">
        <f>PROPER(TRIM(RPG_dataset[[#This Row],[Race]]))</f>
        <v>Dragonborn</v>
      </c>
      <c r="AD397" s="1" t="str">
        <f>PROPER(TRIM(RPG_dataset[[#This Row],[Class]]))</f>
        <v>Monk</v>
      </c>
      <c r="AE397" s="1">
        <f>ABS(RPG_dataset[[#This Row],[Level]])</f>
        <v>27</v>
      </c>
      <c r="AF397" s="1">
        <f>ABS(RPG_dataset[[#This Row],[ATK]])</f>
        <v>46</v>
      </c>
      <c r="AG397" s="1">
        <f>ABS(RPG_dataset[[#This Row],[DEF]])</f>
        <v>16</v>
      </c>
      <c r="AH397" s="1">
        <f>ABS(RPG_dataset[[#This Row],[SPD]])</f>
        <v>0</v>
      </c>
      <c r="AI397" s="1">
        <f>ABS(RPG_dataset[[#This Row],[HP]])</f>
        <v>3468</v>
      </c>
      <c r="AJ397" s="1">
        <f>ABS(RPG_dataset[[#This Row],[MP]])</f>
        <v>1411</v>
      </c>
      <c r="AK397" s="1">
        <f>ABS(RPG_dataset[[#This Row],[Total Stat]])</f>
        <v>146</v>
      </c>
      <c r="AL397" s="1">
        <f>ABS(RPG_dataset[[#This Row],[Kills]])</f>
        <v>3498</v>
      </c>
      <c r="AM397" s="12">
        <f>ABS(RPG_dataset[[#This Row],[Win Rate (%)]])</f>
        <v>80</v>
      </c>
      <c r="AN397" s="4">
        <f>ABS(RPG_dataset[[#This Row],[Gold Earned]])</f>
        <v>70446</v>
      </c>
      <c r="AO397" s="5" t="str">
        <f t="shared" si="6"/>
        <v>Fix This</v>
      </c>
      <c r="AP397" s="5">
        <f>RANK(clean[[#This Row],[Clean Gold]],clean[Clean Gold], 0)</f>
        <v>450</v>
      </c>
      <c r="AQ397" s="1">
        <v>170</v>
      </c>
      <c r="AR397" s="1" t="str" cm="1">
        <f t="array" ref="AR397">_xlfn.IFS(clean[[#This Row],[Clean Level]]&gt;=76, "Legend", clean[[#This Row],[Clean Level]]&gt;=51, "Elite", clean[[#This Row],[Clean Level]]&gt;=26, "Veteran", TRUE, "Rookie")</f>
        <v>Veteran</v>
      </c>
      <c r="AS397" s="1" t="str">
        <f>IF(RPG_dataset[[#This Row],[Status]]="Active", "TRUE", "FALSE")</f>
        <v>FALSE</v>
      </c>
      <c r="AT397" s="1" t="str" cm="1">
        <f t="array" ref="AT397">_xlfn.IFS(clean[[#This Row],[Clean Win Rate]]&gt;70, "Excellent", clean[[#This Row],[Clean Win Rate]]&gt;=40, "Average", TRUE, "Poor")</f>
        <v>Excellent</v>
      </c>
      <c r="AU397" s="1" t="str">
        <f>IF(AND(clean[[#This Row],[Clean Level]]&gt;80, clean[[#This Row],[Clean Total Stat]]&gt;350, clean[[#This Row],[Clean Gold]]&gt;500000), "Overpowered", "Normal")</f>
        <v>Normal</v>
      </c>
      <c r="AV397" s="1" t="str" cm="1">
        <f t="array" ref="AV39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97" s="1" t="str" cm="1">
        <f t="array" ref="AW39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97" s="1"/>
    </row>
    <row r="398" spans="1:50" x14ac:dyDescent="0.3">
      <c r="A398" s="2" t="s">
        <v>1370</v>
      </c>
      <c r="B398" s="2" t="s">
        <v>1371</v>
      </c>
      <c r="C398" s="2" t="s">
        <v>233</v>
      </c>
      <c r="D398" s="2" t="s">
        <v>272</v>
      </c>
      <c r="E398" s="2" t="s">
        <v>41</v>
      </c>
      <c r="F398" s="2" t="s">
        <v>61</v>
      </c>
      <c r="G398" s="2">
        <v>56</v>
      </c>
      <c r="H398" s="2" t="s">
        <v>73</v>
      </c>
      <c r="I398" s="2" t="s">
        <v>87</v>
      </c>
      <c r="J398" s="2" t="s">
        <v>92</v>
      </c>
      <c r="K398" s="2" t="s">
        <v>44</v>
      </c>
      <c r="L398" s="6" t="s">
        <v>1372</v>
      </c>
      <c r="M398" s="2">
        <v>130</v>
      </c>
      <c r="N398" s="2">
        <v>70</v>
      </c>
      <c r="O398" s="2">
        <v>132</v>
      </c>
      <c r="P398" s="2">
        <v>1086</v>
      </c>
      <c r="Q398" s="2">
        <v>387</v>
      </c>
      <c r="R398" s="2">
        <v>332</v>
      </c>
      <c r="S398" s="2">
        <v>3562</v>
      </c>
      <c r="T398" s="2">
        <v>710</v>
      </c>
      <c r="U398" s="2">
        <v>241</v>
      </c>
      <c r="V398" s="2">
        <v>83</v>
      </c>
      <c r="W398" s="2">
        <v>-8018</v>
      </c>
      <c r="X398" s="9">
        <v>611700</v>
      </c>
      <c r="Y398" s="2" t="s">
        <v>46</v>
      </c>
      <c r="AA398" s="1" t="str">
        <f>TRIM(RPG_dataset[[#This Row],[Username]])</f>
        <v>finn_489</v>
      </c>
      <c r="AB398" s="1" t="str">
        <f>TRIM(RPG_dataset[[#This Row],[First Name]])</f>
        <v>Finn</v>
      </c>
      <c r="AC398" s="1" t="str">
        <f>PROPER(TRIM(RPG_dataset[[#This Row],[Race]]))</f>
        <v>Gnome</v>
      </c>
      <c r="AD398" s="1" t="str">
        <f>PROPER(TRIM(RPG_dataset[[#This Row],[Class]]))</f>
        <v>Ranger</v>
      </c>
      <c r="AE398" s="1">
        <f>ABS(RPG_dataset[[#This Row],[Level]])</f>
        <v>56</v>
      </c>
      <c r="AF398" s="1">
        <f>ABS(RPG_dataset[[#This Row],[ATK]])</f>
        <v>130</v>
      </c>
      <c r="AG398" s="1">
        <f>ABS(RPG_dataset[[#This Row],[DEF]])</f>
        <v>70</v>
      </c>
      <c r="AH398" s="1">
        <f>ABS(RPG_dataset[[#This Row],[SPD]])</f>
        <v>132</v>
      </c>
      <c r="AI398" s="1">
        <f>ABS(RPG_dataset[[#This Row],[HP]])</f>
        <v>1086</v>
      </c>
      <c r="AJ398" s="1">
        <f>ABS(RPG_dataset[[#This Row],[MP]])</f>
        <v>387</v>
      </c>
      <c r="AK398" s="1">
        <f>ABS(RPG_dataset[[#This Row],[Total Stat]])</f>
        <v>332</v>
      </c>
      <c r="AL398" s="1">
        <f>ABS(RPG_dataset[[#This Row],[Kills]])</f>
        <v>3562</v>
      </c>
      <c r="AM398" s="12">
        <f>ABS(RPG_dataset[[#This Row],[Win Rate (%)]])</f>
        <v>83</v>
      </c>
      <c r="AN398" s="4">
        <f>ABS(RPG_dataset[[#This Row],[Gold Earned]])</f>
        <v>611700</v>
      </c>
      <c r="AO398" s="5" t="str">
        <f t="shared" si="6"/>
        <v>OK</v>
      </c>
      <c r="AP398" s="5">
        <f>RANK(clean[[#This Row],[Clean Gold]],clean[Clean Gold], 0)</f>
        <v>196</v>
      </c>
      <c r="AQ398" s="1">
        <v>201</v>
      </c>
      <c r="AR398" s="1" t="str" cm="1">
        <f t="array" ref="AR398">_xlfn.IFS(clean[[#This Row],[Clean Level]]&gt;=76, "Legend", clean[[#This Row],[Clean Level]]&gt;=51, "Elite", clean[[#This Row],[Clean Level]]&gt;=26, "Veteran", TRUE, "Rookie")</f>
        <v>Elite</v>
      </c>
      <c r="AS398" s="1" t="str">
        <f>IF(RPG_dataset[[#This Row],[Status]]="Active", "TRUE", "FALSE")</f>
        <v>TRUE</v>
      </c>
      <c r="AT398" s="1" t="str" cm="1">
        <f t="array" ref="AT398">_xlfn.IFS(clean[[#This Row],[Clean Win Rate]]&gt;70, "Excellent", clean[[#This Row],[Clean Win Rate]]&gt;=40, "Average", TRUE, "Poor")</f>
        <v>Excellent</v>
      </c>
      <c r="AU398" s="1" t="str">
        <f>IF(AND(clean[[#This Row],[Clean Level]]&gt;80, clean[[#This Row],[Clean Total Stat]]&gt;350, clean[[#This Row],[Clean Gold]]&gt;500000), "Overpowered", "Normal")</f>
        <v>Normal</v>
      </c>
      <c r="AV398" s="1" t="str" cm="1">
        <f t="array" ref="AV39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98" s="1" t="str" cm="1">
        <f t="array" ref="AW39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398" s="1"/>
    </row>
    <row r="399" spans="1:50" x14ac:dyDescent="0.3">
      <c r="A399" s="2" t="s">
        <v>1373</v>
      </c>
      <c r="B399" s="2" t="s">
        <v>1374</v>
      </c>
      <c r="C399" s="2" t="s">
        <v>227</v>
      </c>
      <c r="D399" s="2" t="s">
        <v>150</v>
      </c>
      <c r="E399" s="2" t="s">
        <v>71</v>
      </c>
      <c r="F399" s="2" t="s">
        <v>194</v>
      </c>
      <c r="G399" s="2">
        <v>64</v>
      </c>
      <c r="H399" s="2" t="s">
        <v>157</v>
      </c>
      <c r="I399" s="2" t="s">
        <v>63</v>
      </c>
      <c r="J399" s="2" t="s">
        <v>64</v>
      </c>
      <c r="K399" s="2" t="s">
        <v>44</v>
      </c>
      <c r="L399" s="6" t="s">
        <v>1375</v>
      </c>
      <c r="M399" s="2">
        <v>36</v>
      </c>
      <c r="N399" s="2">
        <v>69</v>
      </c>
      <c r="O399" s="2">
        <v>28</v>
      </c>
      <c r="P399" s="2">
        <v>1371</v>
      </c>
      <c r="Q399" s="2">
        <v>1219</v>
      </c>
      <c r="R399" s="2">
        <v>133</v>
      </c>
      <c r="S399" s="2">
        <v>515</v>
      </c>
      <c r="T399" s="2"/>
      <c r="U399" s="2">
        <v>58</v>
      </c>
      <c r="V399" s="2">
        <v>97</v>
      </c>
      <c r="W399" s="2">
        <v>9860</v>
      </c>
      <c r="X399" s="9">
        <v>622081</v>
      </c>
      <c r="Y399" s="2" t="s">
        <v>46</v>
      </c>
      <c r="AA399" s="1" t="str">
        <f>TRIM(RPG_dataset[[#This Row],[Username]])</f>
        <v>nyx_285</v>
      </c>
      <c r="AB399" s="1" t="str">
        <f>TRIM(RPG_dataset[[#This Row],[First Name]])</f>
        <v>Nyx</v>
      </c>
      <c r="AC399" s="1" t="str">
        <f>PROPER(TRIM(RPG_dataset[[#This Row],[Race]]))</f>
        <v>Dragonborn</v>
      </c>
      <c r="AD399" s="1" t="str">
        <f>PROPER(TRIM(RPG_dataset[[#This Row],[Class]]))</f>
        <v>Paladin</v>
      </c>
      <c r="AE399" s="1">
        <f>ABS(RPG_dataset[[#This Row],[Level]])</f>
        <v>64</v>
      </c>
      <c r="AF399" s="1">
        <f>ABS(RPG_dataset[[#This Row],[ATK]])</f>
        <v>36</v>
      </c>
      <c r="AG399" s="1">
        <f>ABS(RPG_dataset[[#This Row],[DEF]])</f>
        <v>69</v>
      </c>
      <c r="AH399" s="1">
        <f>ABS(RPG_dataset[[#This Row],[SPD]])</f>
        <v>28</v>
      </c>
      <c r="AI399" s="1">
        <f>ABS(RPG_dataset[[#This Row],[HP]])</f>
        <v>1371</v>
      </c>
      <c r="AJ399" s="1">
        <f>ABS(RPG_dataset[[#This Row],[MP]])</f>
        <v>1219</v>
      </c>
      <c r="AK399" s="1">
        <f>ABS(RPG_dataset[[#This Row],[Total Stat]])</f>
        <v>133</v>
      </c>
      <c r="AL399" s="1">
        <f>ABS(RPG_dataset[[#This Row],[Kills]])</f>
        <v>515</v>
      </c>
      <c r="AM399" s="12">
        <f>ABS(RPG_dataset[[#This Row],[Win Rate (%)]])</f>
        <v>97</v>
      </c>
      <c r="AN399" s="4">
        <f>ABS(RPG_dataset[[#This Row],[Gold Earned]])</f>
        <v>622081</v>
      </c>
      <c r="AO399" s="5" t="str">
        <f t="shared" si="6"/>
        <v>OK</v>
      </c>
      <c r="AP399" s="5">
        <f>RANK(clean[[#This Row],[Clean Gold]],clean[Clean Gold], 0)</f>
        <v>191</v>
      </c>
      <c r="AQ399" s="1">
        <v>104</v>
      </c>
      <c r="AR399" s="1" t="str" cm="1">
        <f t="array" ref="AR399">_xlfn.IFS(clean[[#This Row],[Clean Level]]&gt;=76, "Legend", clean[[#This Row],[Clean Level]]&gt;=51, "Elite", clean[[#This Row],[Clean Level]]&gt;=26, "Veteran", TRUE, "Rookie")</f>
        <v>Elite</v>
      </c>
      <c r="AS399" s="1" t="str">
        <f>IF(RPG_dataset[[#This Row],[Status]]="Active", "TRUE", "FALSE")</f>
        <v>TRUE</v>
      </c>
      <c r="AT399" s="1" t="str" cm="1">
        <f t="array" ref="AT399">_xlfn.IFS(clean[[#This Row],[Clean Win Rate]]&gt;70, "Excellent", clean[[#This Row],[Clean Win Rate]]&gt;=40, "Average", TRUE, "Poor")</f>
        <v>Excellent</v>
      </c>
      <c r="AU399" s="1" t="str">
        <f>IF(AND(clean[[#This Row],[Clean Level]]&gt;80, clean[[#This Row],[Clean Total Stat]]&gt;350, clean[[#This Row],[Clean Gold]]&gt;500000), "Overpowered", "Normal")</f>
        <v>Normal</v>
      </c>
      <c r="AV399" s="1" t="str" cm="1">
        <f t="array" ref="AV39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399" s="1" t="str" cm="1">
        <f t="array" ref="AW39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399" s="1"/>
    </row>
    <row r="400" spans="1:50" x14ac:dyDescent="0.3">
      <c r="A400" s="2" t="s">
        <v>1376</v>
      </c>
      <c r="B400" s="2" t="s">
        <v>1377</v>
      </c>
      <c r="C400" s="2" t="s">
        <v>720</v>
      </c>
      <c r="D400" s="2" t="s">
        <v>618</v>
      </c>
      <c r="E400" s="2" t="s">
        <v>41</v>
      </c>
      <c r="F400" s="2" t="s">
        <v>1378</v>
      </c>
      <c r="G400" s="2">
        <v>66</v>
      </c>
      <c r="H400" s="2" t="s">
        <v>31</v>
      </c>
      <c r="I400" s="2" t="s">
        <v>32</v>
      </c>
      <c r="J400" s="2" t="s">
        <v>88</v>
      </c>
      <c r="K400" s="2" t="s">
        <v>34</v>
      </c>
      <c r="L400" s="6" t="s">
        <v>333</v>
      </c>
      <c r="M400" s="2">
        <v>87</v>
      </c>
      <c r="N400" s="2">
        <v>38</v>
      </c>
      <c r="O400" s="2">
        <v>123</v>
      </c>
      <c r="P400" s="2">
        <v>4882</v>
      </c>
      <c r="Q400" s="2">
        <v>2721</v>
      </c>
      <c r="R400" s="2">
        <v>248</v>
      </c>
      <c r="S400" s="2">
        <v>4508</v>
      </c>
      <c r="T400" s="2">
        <v>385</v>
      </c>
      <c r="U400" s="2">
        <v>254</v>
      </c>
      <c r="V400" s="2">
        <v>92</v>
      </c>
      <c r="W400" s="2">
        <v>2455</v>
      </c>
      <c r="X400" s="9">
        <v>48025</v>
      </c>
      <c r="Y400" s="2" t="s">
        <v>46</v>
      </c>
      <c r="AA400" s="1" t="str">
        <f>TRIM(RPG_dataset[[#This Row],[Username]])</f>
        <v>jade_804</v>
      </c>
      <c r="AB400" s="1" t="str">
        <f>TRIM(RPG_dataset[[#This Row],[First Name]])</f>
        <v>Jade</v>
      </c>
      <c r="AC400" s="1" t="str">
        <f>PROPER(TRIM(RPG_dataset[[#This Row],[Race]]))</f>
        <v>Gnome</v>
      </c>
      <c r="AD400" s="1" t="str">
        <f>PROPER(TRIM(RPG_dataset[[#This Row],[Class]]))</f>
        <v>Paladin</v>
      </c>
      <c r="AE400" s="1">
        <f>ABS(RPG_dataset[[#This Row],[Level]])</f>
        <v>66</v>
      </c>
      <c r="AF400" s="1">
        <f>ABS(RPG_dataset[[#This Row],[ATK]])</f>
        <v>87</v>
      </c>
      <c r="AG400" s="1">
        <f>ABS(RPG_dataset[[#This Row],[DEF]])</f>
        <v>38</v>
      </c>
      <c r="AH400" s="1">
        <f>ABS(RPG_dataset[[#This Row],[SPD]])</f>
        <v>123</v>
      </c>
      <c r="AI400" s="1">
        <f>ABS(RPG_dataset[[#This Row],[HP]])</f>
        <v>4882</v>
      </c>
      <c r="AJ400" s="1">
        <f>ABS(RPG_dataset[[#This Row],[MP]])</f>
        <v>2721</v>
      </c>
      <c r="AK400" s="1">
        <f>ABS(RPG_dataset[[#This Row],[Total Stat]])</f>
        <v>248</v>
      </c>
      <c r="AL400" s="1">
        <f>ABS(RPG_dataset[[#This Row],[Kills]])</f>
        <v>4508</v>
      </c>
      <c r="AM400" s="12">
        <f>ABS(RPG_dataset[[#This Row],[Win Rate (%)]])</f>
        <v>92</v>
      </c>
      <c r="AN400" s="4">
        <f>ABS(RPG_dataset[[#This Row],[Gold Earned]])</f>
        <v>48025</v>
      </c>
      <c r="AO400" s="5" t="str">
        <f t="shared" si="6"/>
        <v>OK</v>
      </c>
      <c r="AP400" s="5">
        <f>RANK(clean[[#This Row],[Clean Gold]],clean[Clean Gold], 0)</f>
        <v>458</v>
      </c>
      <c r="AQ400" s="1">
        <v>248</v>
      </c>
      <c r="AR400" s="1" t="str" cm="1">
        <f t="array" ref="AR400">_xlfn.IFS(clean[[#This Row],[Clean Level]]&gt;=76, "Legend", clean[[#This Row],[Clean Level]]&gt;=51, "Elite", clean[[#This Row],[Clean Level]]&gt;=26, "Veteran", TRUE, "Rookie")</f>
        <v>Elite</v>
      </c>
      <c r="AS400" s="1" t="str">
        <f>IF(RPG_dataset[[#This Row],[Status]]="Active", "TRUE", "FALSE")</f>
        <v>FALSE</v>
      </c>
      <c r="AT400" s="1" t="str" cm="1">
        <f t="array" ref="AT400">_xlfn.IFS(clean[[#This Row],[Clean Win Rate]]&gt;70, "Excellent", clean[[#This Row],[Clean Win Rate]]&gt;=40, "Average", TRUE, "Poor")</f>
        <v>Excellent</v>
      </c>
      <c r="AU400" s="1" t="str">
        <f>IF(AND(clean[[#This Row],[Clean Level]]&gt;80, clean[[#This Row],[Clean Total Stat]]&gt;350, clean[[#This Row],[Clean Gold]]&gt;500000), "Overpowered", "Normal")</f>
        <v>Normal</v>
      </c>
      <c r="AV400" s="1" t="str" cm="1">
        <f t="array" ref="AV40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00" s="1" t="str" cm="1">
        <f t="array" ref="AW40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00" s="1"/>
    </row>
    <row r="401" spans="1:50" x14ac:dyDescent="0.3">
      <c r="A401" s="2" t="s">
        <v>1379</v>
      </c>
      <c r="B401" s="2" t="s">
        <v>1380</v>
      </c>
      <c r="C401" s="2" t="s">
        <v>288</v>
      </c>
      <c r="D401" s="2" t="s">
        <v>277</v>
      </c>
      <c r="E401" s="2" t="s">
        <v>105</v>
      </c>
      <c r="F401" s="2" t="s">
        <v>42</v>
      </c>
      <c r="G401" s="2">
        <v>11</v>
      </c>
      <c r="H401" s="2" t="s">
        <v>31</v>
      </c>
      <c r="I401" s="2" t="s">
        <v>140</v>
      </c>
      <c r="J401" s="2" t="s">
        <v>88</v>
      </c>
      <c r="K401" s="2" t="s">
        <v>44</v>
      </c>
      <c r="L401" s="6" t="s">
        <v>1381</v>
      </c>
      <c r="M401" s="2">
        <v>139</v>
      </c>
      <c r="N401" s="2">
        <v>73</v>
      </c>
      <c r="O401" s="2">
        <v>88</v>
      </c>
      <c r="P401" s="2">
        <v>2063</v>
      </c>
      <c r="Q401" s="2"/>
      <c r="R401" s="2"/>
      <c r="S401" s="2">
        <v>1790</v>
      </c>
      <c r="T401" s="2">
        <v>605</v>
      </c>
      <c r="U401" s="2">
        <v>124</v>
      </c>
      <c r="V401" s="2">
        <v>75</v>
      </c>
      <c r="W401" s="2">
        <v>9236</v>
      </c>
      <c r="X401" s="9">
        <v>943707</v>
      </c>
      <c r="Y401" s="2" t="s">
        <v>46</v>
      </c>
      <c r="AA401" s="1" t="str">
        <f>TRIM(RPG_dataset[[#This Row],[Username]])</f>
        <v>opal_479</v>
      </c>
      <c r="AB401" s="1" t="str">
        <f>TRIM(RPG_dataset[[#This Row],[First Name]])</f>
        <v>Opal</v>
      </c>
      <c r="AC401" s="1" t="str">
        <f>PROPER(TRIM(RPG_dataset[[#This Row],[Race]]))</f>
        <v>Orc</v>
      </c>
      <c r="AD401" s="1" t="str">
        <f>PROPER(TRIM(RPG_dataset[[#This Row],[Class]]))</f>
        <v>Monk</v>
      </c>
      <c r="AE401" s="1">
        <f>ABS(RPG_dataset[[#This Row],[Level]])</f>
        <v>11</v>
      </c>
      <c r="AF401" s="1">
        <f>ABS(RPG_dataset[[#This Row],[ATK]])</f>
        <v>139</v>
      </c>
      <c r="AG401" s="1">
        <f>ABS(RPG_dataset[[#This Row],[DEF]])</f>
        <v>73</v>
      </c>
      <c r="AH401" s="1">
        <f>ABS(RPG_dataset[[#This Row],[SPD]])</f>
        <v>88</v>
      </c>
      <c r="AI401" s="1">
        <f>ABS(RPG_dataset[[#This Row],[HP]])</f>
        <v>2063</v>
      </c>
      <c r="AJ401" s="1">
        <f>ABS(RPG_dataset[[#This Row],[MP]])</f>
        <v>0</v>
      </c>
      <c r="AK401" s="1">
        <f>ABS(RPG_dataset[[#This Row],[Total Stat]])</f>
        <v>0</v>
      </c>
      <c r="AL401" s="1">
        <f>ABS(RPG_dataset[[#This Row],[Kills]])</f>
        <v>1790</v>
      </c>
      <c r="AM401" s="12">
        <f>ABS(RPG_dataset[[#This Row],[Win Rate (%)]])</f>
        <v>75</v>
      </c>
      <c r="AN401" s="4">
        <f>ABS(RPG_dataset[[#This Row],[Gold Earned]])</f>
        <v>943707</v>
      </c>
      <c r="AO401" s="5" t="str">
        <f t="shared" si="6"/>
        <v>Fix This</v>
      </c>
      <c r="AP401" s="5">
        <f>RANK(clean[[#This Row],[Clean Gold]],clean[Clean Gold], 0)</f>
        <v>26</v>
      </c>
      <c r="AQ401" s="1">
        <v>266</v>
      </c>
      <c r="AR401" s="1" t="str" cm="1">
        <f t="array" ref="AR401">_xlfn.IFS(clean[[#This Row],[Clean Level]]&gt;=76, "Legend", clean[[#This Row],[Clean Level]]&gt;=51, "Elite", clean[[#This Row],[Clean Level]]&gt;=26, "Veteran", TRUE, "Rookie")</f>
        <v>Rookie</v>
      </c>
      <c r="AS401" s="1" t="str">
        <f>IF(RPG_dataset[[#This Row],[Status]]="Active", "TRUE", "FALSE")</f>
        <v>TRUE</v>
      </c>
      <c r="AT401" s="1" t="str" cm="1">
        <f t="array" ref="AT401">_xlfn.IFS(clean[[#This Row],[Clean Win Rate]]&gt;70, "Excellent", clean[[#This Row],[Clean Win Rate]]&gt;=40, "Average", TRUE, "Poor")</f>
        <v>Excellent</v>
      </c>
      <c r="AU401" s="1" t="str">
        <f>IF(AND(clean[[#This Row],[Clean Level]]&gt;80, clean[[#This Row],[Clean Total Stat]]&gt;350, clean[[#This Row],[Clean Gold]]&gt;500000), "Overpowered", "Normal")</f>
        <v>Normal</v>
      </c>
      <c r="AV401" s="1" t="str" cm="1">
        <f t="array" ref="AV40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01" s="1" t="str" cm="1">
        <f t="array" ref="AW40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401" s="1"/>
    </row>
    <row r="402" spans="1:50" x14ac:dyDescent="0.3">
      <c r="A402" s="2" t="s">
        <v>1382</v>
      </c>
      <c r="B402" s="2" t="s">
        <v>1383</v>
      </c>
      <c r="C402" s="2" t="s">
        <v>123</v>
      </c>
      <c r="D402" s="2" t="s">
        <v>131</v>
      </c>
      <c r="E402" s="2" t="s">
        <v>29</v>
      </c>
      <c r="F402" s="2" t="s">
        <v>124</v>
      </c>
      <c r="G402" s="2">
        <v>49</v>
      </c>
      <c r="H402" s="2" t="s">
        <v>31</v>
      </c>
      <c r="I402" s="2" t="s">
        <v>63</v>
      </c>
      <c r="J402" s="2" t="s">
        <v>64</v>
      </c>
      <c r="K402" s="2" t="s">
        <v>44</v>
      </c>
      <c r="L402" s="6" t="s">
        <v>1384</v>
      </c>
      <c r="M402" s="2">
        <v>56</v>
      </c>
      <c r="N402" s="2">
        <v>10</v>
      </c>
      <c r="O402" s="2">
        <v>61</v>
      </c>
      <c r="P402" s="2">
        <v>2954</v>
      </c>
      <c r="Q402" s="2">
        <v>2947</v>
      </c>
      <c r="R402" s="2">
        <v>127</v>
      </c>
      <c r="S402" s="2">
        <v>3705</v>
      </c>
      <c r="T402" s="2">
        <v>763</v>
      </c>
      <c r="U402" s="2">
        <v>9</v>
      </c>
      <c r="V402" s="2">
        <v>83</v>
      </c>
      <c r="W402" s="2">
        <v>8943</v>
      </c>
      <c r="X402" s="9">
        <v>512566</v>
      </c>
      <c r="Y402" s="2" t="s">
        <v>36</v>
      </c>
      <c r="AA402" s="1" t="str">
        <f>TRIM(RPG_dataset[[#This Row],[Username]])</f>
        <v>faye_906</v>
      </c>
      <c r="AB402" s="1" t="str">
        <f>TRIM(RPG_dataset[[#This Row],[First Name]])</f>
        <v>Faye</v>
      </c>
      <c r="AC402" s="1" t="str">
        <f>PROPER(TRIM(RPG_dataset[[#This Row],[Race]]))</f>
        <v>Dwarf</v>
      </c>
      <c r="AD402" s="1" t="str">
        <f>PROPER(TRIM(RPG_dataset[[#This Row],[Class]]))</f>
        <v>Necromancer</v>
      </c>
      <c r="AE402" s="1">
        <f>ABS(RPG_dataset[[#This Row],[Level]])</f>
        <v>49</v>
      </c>
      <c r="AF402" s="1">
        <f>ABS(RPG_dataset[[#This Row],[ATK]])</f>
        <v>56</v>
      </c>
      <c r="AG402" s="1">
        <f>ABS(RPG_dataset[[#This Row],[DEF]])</f>
        <v>10</v>
      </c>
      <c r="AH402" s="1">
        <f>ABS(RPG_dataset[[#This Row],[SPD]])</f>
        <v>61</v>
      </c>
      <c r="AI402" s="1">
        <f>ABS(RPG_dataset[[#This Row],[HP]])</f>
        <v>2954</v>
      </c>
      <c r="AJ402" s="1">
        <f>ABS(RPG_dataset[[#This Row],[MP]])</f>
        <v>2947</v>
      </c>
      <c r="AK402" s="1">
        <f>ABS(RPG_dataset[[#This Row],[Total Stat]])</f>
        <v>127</v>
      </c>
      <c r="AL402" s="1">
        <f>ABS(RPG_dataset[[#This Row],[Kills]])</f>
        <v>3705</v>
      </c>
      <c r="AM402" s="12">
        <f>ABS(RPG_dataset[[#This Row],[Win Rate (%)]])</f>
        <v>83</v>
      </c>
      <c r="AN402" s="4">
        <f>ABS(RPG_dataset[[#This Row],[Gold Earned]])</f>
        <v>512566</v>
      </c>
      <c r="AO402" s="5" t="str">
        <f t="shared" si="6"/>
        <v>OK</v>
      </c>
      <c r="AP402" s="5">
        <f>RANK(clean[[#This Row],[Clean Gold]],clean[Clean Gold], 0)</f>
        <v>244</v>
      </c>
      <c r="AQ402" s="1">
        <v>242</v>
      </c>
      <c r="AR402" s="1" t="str" cm="1">
        <f t="array" ref="AR402">_xlfn.IFS(clean[[#This Row],[Clean Level]]&gt;=76, "Legend", clean[[#This Row],[Clean Level]]&gt;=51, "Elite", clean[[#This Row],[Clean Level]]&gt;=26, "Veteran", TRUE, "Rookie")</f>
        <v>Veteran</v>
      </c>
      <c r="AS402" s="1" t="str">
        <f>IF(RPG_dataset[[#This Row],[Status]]="Active", "TRUE", "FALSE")</f>
        <v>TRUE</v>
      </c>
      <c r="AT402" s="1" t="str" cm="1">
        <f t="array" ref="AT402">_xlfn.IFS(clean[[#This Row],[Clean Win Rate]]&gt;70, "Excellent", clean[[#This Row],[Clean Win Rate]]&gt;=40, "Average", TRUE, "Poor")</f>
        <v>Excellent</v>
      </c>
      <c r="AU402" s="1" t="str">
        <f>IF(AND(clean[[#This Row],[Clean Level]]&gt;80, clean[[#This Row],[Clean Total Stat]]&gt;350, clean[[#This Row],[Clean Gold]]&gt;500000), "Overpowered", "Normal")</f>
        <v>Normal</v>
      </c>
      <c r="AV402" s="1" t="str" cm="1">
        <f t="array" ref="AV40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02" s="1" t="str" cm="1">
        <f t="array" ref="AW40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402" s="1"/>
    </row>
    <row r="403" spans="1:50" x14ac:dyDescent="0.3">
      <c r="A403" s="2" t="s">
        <v>1385</v>
      </c>
      <c r="B403" s="2" t="s">
        <v>1386</v>
      </c>
      <c r="C403" s="2" t="s">
        <v>69</v>
      </c>
      <c r="D403" s="2" t="s">
        <v>144</v>
      </c>
      <c r="E403" s="2" t="s">
        <v>228</v>
      </c>
      <c r="F403" s="2" t="s">
        <v>98</v>
      </c>
      <c r="G403" s="2">
        <v>94</v>
      </c>
      <c r="H403" s="2" t="s">
        <v>53</v>
      </c>
      <c r="I403" s="2" t="s">
        <v>54</v>
      </c>
      <c r="J403" s="2" t="s">
        <v>64</v>
      </c>
      <c r="K403" s="2" t="s">
        <v>44</v>
      </c>
      <c r="L403" s="6" t="s">
        <v>1387</v>
      </c>
      <c r="M403" s="2">
        <v>148</v>
      </c>
      <c r="N403" s="2">
        <v>97</v>
      </c>
      <c r="O403" s="2">
        <v>108</v>
      </c>
      <c r="P403" s="2">
        <v>4527</v>
      </c>
      <c r="Q403" s="2">
        <v>334</v>
      </c>
      <c r="R403" s="2">
        <v>353</v>
      </c>
      <c r="S403" s="2">
        <v>2616</v>
      </c>
      <c r="T403" s="2">
        <v>765</v>
      </c>
      <c r="U403" s="2">
        <v>94</v>
      </c>
      <c r="V403" s="2">
        <v>77</v>
      </c>
      <c r="W403" s="2">
        <v>2800</v>
      </c>
      <c r="X403" s="9">
        <v>179907</v>
      </c>
      <c r="Y403" s="2" t="s">
        <v>46</v>
      </c>
      <c r="AA403" s="1" t="str">
        <f>TRIM(RPG_dataset[[#This Row],[Username]])</f>
        <v>seth_755</v>
      </c>
      <c r="AB403" s="1" t="str">
        <f>TRIM(RPG_dataset[[#This Row],[First Name]])</f>
        <v>Seth</v>
      </c>
      <c r="AC403" s="1" t="str">
        <f>PROPER(TRIM(RPG_dataset[[#This Row],[Race]]))</f>
        <v>Elf</v>
      </c>
      <c r="AD403" s="1" t="str">
        <f>PROPER(TRIM(RPG_dataset[[#This Row],[Class]]))</f>
        <v>Mage</v>
      </c>
      <c r="AE403" s="1">
        <f>ABS(RPG_dataset[[#This Row],[Level]])</f>
        <v>94</v>
      </c>
      <c r="AF403" s="1">
        <f>ABS(RPG_dataset[[#This Row],[ATK]])</f>
        <v>148</v>
      </c>
      <c r="AG403" s="1">
        <f>ABS(RPG_dataset[[#This Row],[DEF]])</f>
        <v>97</v>
      </c>
      <c r="AH403" s="1">
        <f>ABS(RPG_dataset[[#This Row],[SPD]])</f>
        <v>108</v>
      </c>
      <c r="AI403" s="1">
        <f>ABS(RPG_dataset[[#This Row],[HP]])</f>
        <v>4527</v>
      </c>
      <c r="AJ403" s="1">
        <f>ABS(RPG_dataset[[#This Row],[MP]])</f>
        <v>334</v>
      </c>
      <c r="AK403" s="1">
        <f>ABS(RPG_dataset[[#This Row],[Total Stat]])</f>
        <v>353</v>
      </c>
      <c r="AL403" s="1">
        <f>ABS(RPG_dataset[[#This Row],[Kills]])</f>
        <v>2616</v>
      </c>
      <c r="AM403" s="12">
        <f>ABS(RPG_dataset[[#This Row],[Win Rate (%)]])</f>
        <v>77</v>
      </c>
      <c r="AN403" s="4">
        <f>ABS(RPG_dataset[[#This Row],[Gold Earned]])</f>
        <v>179907</v>
      </c>
      <c r="AO403" s="5" t="str">
        <f t="shared" si="6"/>
        <v>OK</v>
      </c>
      <c r="AP403" s="5">
        <f>RANK(clean[[#This Row],[Clean Gold]],clean[Clean Gold], 0)</f>
        <v>409</v>
      </c>
      <c r="AQ403" s="1">
        <v>296</v>
      </c>
      <c r="AR403" s="1" t="str" cm="1">
        <f t="array" ref="AR403">_xlfn.IFS(clean[[#This Row],[Clean Level]]&gt;=76, "Legend", clean[[#This Row],[Clean Level]]&gt;=51, "Elite", clean[[#This Row],[Clean Level]]&gt;=26, "Veteran", TRUE, "Rookie")</f>
        <v>Legend</v>
      </c>
      <c r="AS403" s="1" t="str">
        <f>IF(RPG_dataset[[#This Row],[Status]]="Active", "TRUE", "FALSE")</f>
        <v>TRUE</v>
      </c>
      <c r="AT403" s="1" t="str" cm="1">
        <f t="array" ref="AT403">_xlfn.IFS(clean[[#This Row],[Clean Win Rate]]&gt;70, "Excellent", clean[[#This Row],[Clean Win Rate]]&gt;=40, "Average", TRUE, "Poor")</f>
        <v>Excellent</v>
      </c>
      <c r="AU403" s="1" t="str">
        <f>IF(AND(clean[[#This Row],[Clean Level]]&gt;80, clean[[#This Row],[Clean Total Stat]]&gt;350, clean[[#This Row],[Clean Gold]]&gt;500000), "Overpowered", "Normal")</f>
        <v>Normal</v>
      </c>
      <c r="AV403" s="1" t="str" cm="1">
        <f t="array" ref="AV40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03" s="1" t="str" cm="1">
        <f t="array" ref="AW40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03" s="1"/>
    </row>
    <row r="404" spans="1:50" x14ac:dyDescent="0.3">
      <c r="A404" s="2" t="s">
        <v>1388</v>
      </c>
      <c r="B404" s="2" t="s">
        <v>1389</v>
      </c>
      <c r="C404" s="2" t="s">
        <v>353</v>
      </c>
      <c r="D404" s="2" t="s">
        <v>40</v>
      </c>
      <c r="E404" s="2" t="s">
        <v>51</v>
      </c>
      <c r="F404" s="2" t="s">
        <v>42</v>
      </c>
      <c r="G404" s="2">
        <v>90</v>
      </c>
      <c r="H404" s="2" t="s">
        <v>75</v>
      </c>
      <c r="I404" s="2" t="s">
        <v>140</v>
      </c>
      <c r="J404" s="2" t="s">
        <v>81</v>
      </c>
      <c r="K404" s="2" t="s">
        <v>1390</v>
      </c>
      <c r="L404" s="6" t="s">
        <v>1391</v>
      </c>
      <c r="M404" s="2">
        <v>113</v>
      </c>
      <c r="N404" s="2">
        <v>145</v>
      </c>
      <c r="O404" s="2">
        <v>113</v>
      </c>
      <c r="P404" s="2">
        <v>1341</v>
      </c>
      <c r="Q404" s="2">
        <v>72</v>
      </c>
      <c r="R404" s="2">
        <v>371</v>
      </c>
      <c r="S404" s="2">
        <v>3767</v>
      </c>
      <c r="T404" s="2">
        <v>289</v>
      </c>
      <c r="U404" s="2">
        <v>284</v>
      </c>
      <c r="V404" s="2">
        <v>93</v>
      </c>
      <c r="W404" s="2">
        <v>437</v>
      </c>
      <c r="X404" s="9">
        <v>926222</v>
      </c>
      <c r="Y404" s="2" t="s">
        <v>36</v>
      </c>
      <c r="AA404" s="1" t="str">
        <f>TRIM(RPG_dataset[[#This Row],[Username]])</f>
        <v>percy_225</v>
      </c>
      <c r="AB404" s="1" t="str">
        <f>TRIM(RPG_dataset[[#This Row],[First Name]])</f>
        <v>Percy</v>
      </c>
      <c r="AC404" s="1" t="str">
        <f>PROPER(TRIM(RPG_dataset[[#This Row],[Race]]))</f>
        <v>Tiefling</v>
      </c>
      <c r="AD404" s="1" t="str">
        <f>PROPER(TRIM(RPG_dataset[[#This Row],[Class]]))</f>
        <v>Monk</v>
      </c>
      <c r="AE404" s="1">
        <f>ABS(RPG_dataset[[#This Row],[Level]])</f>
        <v>90</v>
      </c>
      <c r="AF404" s="1">
        <f>ABS(RPG_dataset[[#This Row],[ATK]])</f>
        <v>113</v>
      </c>
      <c r="AG404" s="1">
        <f>ABS(RPG_dataset[[#This Row],[DEF]])</f>
        <v>145</v>
      </c>
      <c r="AH404" s="1">
        <f>ABS(RPG_dataset[[#This Row],[SPD]])</f>
        <v>113</v>
      </c>
      <c r="AI404" s="1">
        <f>ABS(RPG_dataset[[#This Row],[HP]])</f>
        <v>1341</v>
      </c>
      <c r="AJ404" s="1">
        <f>ABS(RPG_dataset[[#This Row],[MP]])</f>
        <v>72</v>
      </c>
      <c r="AK404" s="1">
        <f>ABS(RPG_dataset[[#This Row],[Total Stat]])</f>
        <v>371</v>
      </c>
      <c r="AL404" s="1">
        <f>ABS(RPG_dataset[[#This Row],[Kills]])</f>
        <v>3767</v>
      </c>
      <c r="AM404" s="12">
        <f>ABS(RPG_dataset[[#This Row],[Win Rate (%)]])</f>
        <v>93</v>
      </c>
      <c r="AN404" s="4">
        <f>ABS(RPG_dataset[[#This Row],[Gold Earned]])</f>
        <v>926222</v>
      </c>
      <c r="AO404" s="5" t="str">
        <f t="shared" si="6"/>
        <v>OK</v>
      </c>
      <c r="AP404" s="5">
        <f>RANK(clean[[#This Row],[Clean Gold]],clean[Clean Gold], 0)</f>
        <v>36</v>
      </c>
      <c r="AQ404" s="1">
        <v>261</v>
      </c>
      <c r="AR404" s="1" t="str" cm="1">
        <f t="array" ref="AR404">_xlfn.IFS(clean[[#This Row],[Clean Level]]&gt;=76, "Legend", clean[[#This Row],[Clean Level]]&gt;=51, "Elite", clean[[#This Row],[Clean Level]]&gt;=26, "Veteran", TRUE, "Rookie")</f>
        <v>Legend</v>
      </c>
      <c r="AS404" s="1" t="str">
        <f>IF(RPG_dataset[[#This Row],[Status]]="Active", "TRUE", "FALSE")</f>
        <v>FALSE</v>
      </c>
      <c r="AT404" s="1" t="str" cm="1">
        <f t="array" ref="AT404">_xlfn.IFS(clean[[#This Row],[Clean Win Rate]]&gt;70, "Excellent", clean[[#This Row],[Clean Win Rate]]&gt;=40, "Average", TRUE, "Poor")</f>
        <v>Excellent</v>
      </c>
      <c r="AU404" s="1" t="str">
        <f>IF(AND(clean[[#This Row],[Clean Level]]&gt;80, clean[[#This Row],[Clean Total Stat]]&gt;350, clean[[#This Row],[Clean Gold]]&gt;500000), "Overpowered", "Normal")</f>
        <v>Overpowered</v>
      </c>
      <c r="AV404" s="1" t="str" cm="1">
        <f t="array" ref="AV404">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404" s="1" t="str" cm="1">
        <f t="array" ref="AW40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404" s="1"/>
    </row>
    <row r="405" spans="1:50" x14ac:dyDescent="0.3">
      <c r="A405" s="2" t="s">
        <v>1392</v>
      </c>
      <c r="B405" s="2" t="s">
        <v>1393</v>
      </c>
      <c r="C405" s="2" t="s">
        <v>517</v>
      </c>
      <c r="D405" s="2" t="s">
        <v>150</v>
      </c>
      <c r="E405" s="2" t="s">
        <v>169</v>
      </c>
      <c r="F405" s="2" t="s">
        <v>72</v>
      </c>
      <c r="G405" s="2">
        <v>18</v>
      </c>
      <c r="H405" s="2" t="s">
        <v>43</v>
      </c>
      <c r="I405" s="2" t="s">
        <v>63</v>
      </c>
      <c r="J405" s="2" t="s">
        <v>88</v>
      </c>
      <c r="K405" s="2" t="s">
        <v>106</v>
      </c>
      <c r="L405" s="6" t="s">
        <v>1394</v>
      </c>
      <c r="M405" s="2">
        <v>51</v>
      </c>
      <c r="N405" s="2">
        <v>131</v>
      </c>
      <c r="O405" s="2">
        <v>129</v>
      </c>
      <c r="P405" s="2">
        <v>2330</v>
      </c>
      <c r="Q405" s="2">
        <v>2497</v>
      </c>
      <c r="R405" s="2">
        <v>311</v>
      </c>
      <c r="S405" s="2">
        <v>1913</v>
      </c>
      <c r="T405" s="2">
        <v>923</v>
      </c>
      <c r="U405" s="2">
        <v>236</v>
      </c>
      <c r="V405" s="2">
        <v>67</v>
      </c>
      <c r="W405" s="2">
        <v>6996</v>
      </c>
      <c r="X405" s="9">
        <v>287992</v>
      </c>
      <c r="Y405" s="2" t="s">
        <v>46</v>
      </c>
      <c r="AA405" s="1" t="str">
        <f>TRIM(RPG_dataset[[#This Row],[Username]])</f>
        <v>myra_898</v>
      </c>
      <c r="AB405" s="1" t="str">
        <f>TRIM(RPG_dataset[[#This Row],[First Name]])</f>
        <v>Myra</v>
      </c>
      <c r="AC405" s="1" t="str">
        <f>PROPER(TRIM(RPG_dataset[[#This Row],[Race]]))</f>
        <v>Halfling</v>
      </c>
      <c r="AD405" s="1" t="str">
        <f>PROPER(TRIM(RPG_dataset[[#This Row],[Class]]))</f>
        <v>Warrior</v>
      </c>
      <c r="AE405" s="1">
        <f>ABS(RPG_dataset[[#This Row],[Level]])</f>
        <v>18</v>
      </c>
      <c r="AF405" s="1">
        <f>ABS(RPG_dataset[[#This Row],[ATK]])</f>
        <v>51</v>
      </c>
      <c r="AG405" s="1">
        <f>ABS(RPG_dataset[[#This Row],[DEF]])</f>
        <v>131</v>
      </c>
      <c r="AH405" s="1">
        <f>ABS(RPG_dataset[[#This Row],[SPD]])</f>
        <v>129</v>
      </c>
      <c r="AI405" s="1">
        <f>ABS(RPG_dataset[[#This Row],[HP]])</f>
        <v>2330</v>
      </c>
      <c r="AJ405" s="1">
        <f>ABS(RPG_dataset[[#This Row],[MP]])</f>
        <v>2497</v>
      </c>
      <c r="AK405" s="1">
        <f>ABS(RPG_dataset[[#This Row],[Total Stat]])</f>
        <v>311</v>
      </c>
      <c r="AL405" s="1">
        <f>ABS(RPG_dataset[[#This Row],[Kills]])</f>
        <v>1913</v>
      </c>
      <c r="AM405" s="12">
        <f>ABS(RPG_dataset[[#This Row],[Win Rate (%)]])</f>
        <v>67</v>
      </c>
      <c r="AN405" s="4">
        <f>ABS(RPG_dataset[[#This Row],[Gold Earned]])</f>
        <v>287992</v>
      </c>
      <c r="AO405" s="5" t="str">
        <f t="shared" si="6"/>
        <v>OK</v>
      </c>
      <c r="AP405" s="5">
        <f>RANK(clean[[#This Row],[Clean Gold]],clean[Clean Gold], 0)</f>
        <v>359</v>
      </c>
      <c r="AQ405" s="1">
        <v>289</v>
      </c>
      <c r="AR405" s="1" t="str" cm="1">
        <f t="array" ref="AR405">_xlfn.IFS(clean[[#This Row],[Clean Level]]&gt;=76, "Legend", clean[[#This Row],[Clean Level]]&gt;=51, "Elite", clean[[#This Row],[Clean Level]]&gt;=26, "Veteran", TRUE, "Rookie")</f>
        <v>Rookie</v>
      </c>
      <c r="AS405" s="1" t="str">
        <f>IF(RPG_dataset[[#This Row],[Status]]="Active", "TRUE", "FALSE")</f>
        <v>FALSE</v>
      </c>
      <c r="AT405" s="1" t="str" cm="1">
        <f t="array" ref="AT405">_xlfn.IFS(clean[[#This Row],[Clean Win Rate]]&gt;70, "Excellent", clean[[#This Row],[Clean Win Rate]]&gt;=40, "Average", TRUE, "Poor")</f>
        <v>Average</v>
      </c>
      <c r="AU405" s="1" t="str">
        <f>IF(AND(clean[[#This Row],[Clean Level]]&gt;80, clean[[#This Row],[Clean Total Stat]]&gt;350, clean[[#This Row],[Clean Gold]]&gt;500000), "Overpowered", "Normal")</f>
        <v>Normal</v>
      </c>
      <c r="AV405" s="1" t="str" cm="1">
        <f t="array" ref="AV405">_xlfn.IFS(
(AND(OR(clean[[#This Row],[Tier]]="Elite", clean[[#This Row],[Tier]]="Legend"), clean[[#This Row],[Performance]]="Excellent", RPG_dataset[[#This Row],[Is Premium]]="Yes")), "High", OR(OR(clean[[#This Row],[Tier]]="Elite", clean[[#This Row],[Tier]]="Legend"), clean[[#This Row],[Performance]]="Excellent", RPG_dataset[[#This Row],[Is Premium]]="Yes"), "Medium", TRUE, "Low")</f>
        <v>Low</v>
      </c>
      <c r="AW405" s="1" t="str" cm="1">
        <f t="array" ref="AW40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Squad Inti</v>
      </c>
      <c r="AX405" s="1"/>
    </row>
    <row r="406" spans="1:50" x14ac:dyDescent="0.3">
      <c r="A406" s="2" t="s">
        <v>1395</v>
      </c>
      <c r="B406" s="2" t="s">
        <v>1396</v>
      </c>
      <c r="C406" s="2" t="s">
        <v>154</v>
      </c>
      <c r="D406" s="2" t="s">
        <v>349</v>
      </c>
      <c r="E406" s="2" t="s">
        <v>51</v>
      </c>
      <c r="F406" s="2" t="s">
        <v>72</v>
      </c>
      <c r="G406" s="2">
        <v>38</v>
      </c>
      <c r="H406" s="2" t="s">
        <v>62</v>
      </c>
      <c r="I406" s="2" t="s">
        <v>126</v>
      </c>
      <c r="J406" s="2" t="s">
        <v>163</v>
      </c>
      <c r="K406" s="2" t="s">
        <v>44</v>
      </c>
      <c r="L406" s="6" t="s">
        <v>1397</v>
      </c>
      <c r="M406" s="2">
        <v>16</v>
      </c>
      <c r="N406" s="2">
        <v>65</v>
      </c>
      <c r="O406" s="2">
        <v>39</v>
      </c>
      <c r="P406" s="2">
        <v>4829</v>
      </c>
      <c r="Q406" s="2">
        <v>1416</v>
      </c>
      <c r="R406" s="2">
        <v>120</v>
      </c>
      <c r="S406" s="2">
        <v>3783</v>
      </c>
      <c r="T406" s="2">
        <v>649</v>
      </c>
      <c r="U406" s="2">
        <v>69</v>
      </c>
      <c r="V406" s="2">
        <v>85</v>
      </c>
      <c r="W406" s="2">
        <v>422</v>
      </c>
      <c r="X406" s="9">
        <v>547147</v>
      </c>
      <c r="Y406" s="2" t="s">
        <v>46</v>
      </c>
      <c r="AA406" s="1" t="str">
        <f>TRIM(RPG_dataset[[#This Row],[Username]])</f>
        <v>nolan_119</v>
      </c>
      <c r="AB406" s="1" t="str">
        <f>TRIM(RPG_dataset[[#This Row],[First Name]])</f>
        <v>Nolan</v>
      </c>
      <c r="AC406" s="1" t="str">
        <f>PROPER(TRIM(RPG_dataset[[#This Row],[Race]]))</f>
        <v>Tiefling</v>
      </c>
      <c r="AD406" s="1" t="str">
        <f>PROPER(TRIM(RPG_dataset[[#This Row],[Class]]))</f>
        <v>Warrior</v>
      </c>
      <c r="AE406" s="1">
        <f>ABS(RPG_dataset[[#This Row],[Level]])</f>
        <v>38</v>
      </c>
      <c r="AF406" s="1">
        <f>ABS(RPG_dataset[[#This Row],[ATK]])</f>
        <v>16</v>
      </c>
      <c r="AG406" s="1">
        <f>ABS(RPG_dataset[[#This Row],[DEF]])</f>
        <v>65</v>
      </c>
      <c r="AH406" s="1">
        <f>ABS(RPG_dataset[[#This Row],[SPD]])</f>
        <v>39</v>
      </c>
      <c r="AI406" s="1">
        <f>ABS(RPG_dataset[[#This Row],[HP]])</f>
        <v>4829</v>
      </c>
      <c r="AJ406" s="1">
        <f>ABS(RPG_dataset[[#This Row],[MP]])</f>
        <v>1416</v>
      </c>
      <c r="AK406" s="1">
        <f>ABS(RPG_dataset[[#This Row],[Total Stat]])</f>
        <v>120</v>
      </c>
      <c r="AL406" s="1">
        <f>ABS(RPG_dataset[[#This Row],[Kills]])</f>
        <v>3783</v>
      </c>
      <c r="AM406" s="12">
        <f>ABS(RPG_dataset[[#This Row],[Win Rate (%)]])</f>
        <v>85</v>
      </c>
      <c r="AN406" s="4">
        <f>ABS(RPG_dataset[[#This Row],[Gold Earned]])</f>
        <v>547147</v>
      </c>
      <c r="AO406" s="5" t="str">
        <f t="shared" si="6"/>
        <v>OK</v>
      </c>
      <c r="AP406" s="5">
        <f>RANK(clean[[#This Row],[Clean Gold]],clean[Clean Gold], 0)</f>
        <v>229</v>
      </c>
      <c r="AQ406" s="1">
        <v>250</v>
      </c>
      <c r="AR406" s="1" t="str" cm="1">
        <f t="array" ref="AR406">_xlfn.IFS(clean[[#This Row],[Clean Level]]&gt;=76, "Legend", clean[[#This Row],[Clean Level]]&gt;=51, "Elite", clean[[#This Row],[Clean Level]]&gt;=26, "Veteran", TRUE, "Rookie")</f>
        <v>Veteran</v>
      </c>
      <c r="AS406" s="1" t="str">
        <f>IF(RPG_dataset[[#This Row],[Status]]="Active", "TRUE", "FALSE")</f>
        <v>TRUE</v>
      </c>
      <c r="AT406" s="1" t="str" cm="1">
        <f t="array" ref="AT406">_xlfn.IFS(clean[[#This Row],[Clean Win Rate]]&gt;70, "Excellent", clean[[#This Row],[Clean Win Rate]]&gt;=40, "Average", TRUE, "Poor")</f>
        <v>Excellent</v>
      </c>
      <c r="AU406" s="1" t="str">
        <f>IF(AND(clean[[#This Row],[Clean Level]]&gt;80, clean[[#This Row],[Clean Total Stat]]&gt;350, clean[[#This Row],[Clean Gold]]&gt;500000), "Overpowered", "Normal")</f>
        <v>Normal</v>
      </c>
      <c r="AV406" s="1" t="str" cm="1">
        <f t="array" ref="AV40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06" s="1" t="str" cm="1">
        <f t="array" ref="AW40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406" s="1"/>
    </row>
    <row r="407" spans="1:50" x14ac:dyDescent="0.3">
      <c r="A407" s="2" t="s">
        <v>1398</v>
      </c>
      <c r="B407" s="2" t="s">
        <v>1399</v>
      </c>
      <c r="C407" s="2" t="s">
        <v>360</v>
      </c>
      <c r="D407" s="2" t="s">
        <v>349</v>
      </c>
      <c r="E407" s="2" t="s">
        <v>60</v>
      </c>
      <c r="F407" s="2" t="s">
        <v>194</v>
      </c>
      <c r="G407" s="2">
        <v>80</v>
      </c>
      <c r="H407" s="2" t="s">
        <v>125</v>
      </c>
      <c r="I407" s="2" t="s">
        <v>32</v>
      </c>
      <c r="J407" s="2" t="s">
        <v>64</v>
      </c>
      <c r="K407" s="2" t="s">
        <v>44</v>
      </c>
      <c r="L407" s="6" t="s">
        <v>1400</v>
      </c>
      <c r="M407" s="2">
        <v>46</v>
      </c>
      <c r="N407" s="2">
        <v>74</v>
      </c>
      <c r="O407" s="2">
        <v>28</v>
      </c>
      <c r="P407" s="2">
        <v>4879</v>
      </c>
      <c r="Q407" s="2">
        <v>993</v>
      </c>
      <c r="R407" s="2">
        <v>148</v>
      </c>
      <c r="S407" s="2">
        <v>4736</v>
      </c>
      <c r="T407" s="2">
        <v>965</v>
      </c>
      <c r="U407" s="2">
        <v>290</v>
      </c>
      <c r="V407" s="2">
        <v>83</v>
      </c>
      <c r="W407" s="2">
        <v>9888</v>
      </c>
      <c r="X407" s="9">
        <v>760750</v>
      </c>
      <c r="Y407" s="2" t="s">
        <v>46</v>
      </c>
      <c r="AA407" s="1" t="str">
        <f>TRIM(RPG_dataset[[#This Row],[Username]])</f>
        <v>oryn_676</v>
      </c>
      <c r="AB407" s="1" t="str">
        <f>TRIM(RPG_dataset[[#This Row],[First Name]])</f>
        <v>Oryn</v>
      </c>
      <c r="AC407" s="1" t="str">
        <f>PROPER(TRIM(RPG_dataset[[#This Row],[Race]]))</f>
        <v>Human</v>
      </c>
      <c r="AD407" s="1" t="str">
        <f>PROPER(TRIM(RPG_dataset[[#This Row],[Class]]))</f>
        <v>Paladin</v>
      </c>
      <c r="AE407" s="1">
        <f>ABS(RPG_dataset[[#This Row],[Level]])</f>
        <v>80</v>
      </c>
      <c r="AF407" s="1">
        <f>ABS(RPG_dataset[[#This Row],[ATK]])</f>
        <v>46</v>
      </c>
      <c r="AG407" s="1">
        <f>ABS(RPG_dataset[[#This Row],[DEF]])</f>
        <v>74</v>
      </c>
      <c r="AH407" s="1">
        <f>ABS(RPG_dataset[[#This Row],[SPD]])</f>
        <v>28</v>
      </c>
      <c r="AI407" s="1">
        <f>ABS(RPG_dataset[[#This Row],[HP]])</f>
        <v>4879</v>
      </c>
      <c r="AJ407" s="1">
        <f>ABS(RPG_dataset[[#This Row],[MP]])</f>
        <v>993</v>
      </c>
      <c r="AK407" s="1">
        <f>ABS(RPG_dataset[[#This Row],[Total Stat]])</f>
        <v>148</v>
      </c>
      <c r="AL407" s="1">
        <f>ABS(RPG_dataset[[#This Row],[Kills]])</f>
        <v>4736</v>
      </c>
      <c r="AM407" s="12">
        <f>ABS(RPG_dataset[[#This Row],[Win Rate (%)]])</f>
        <v>83</v>
      </c>
      <c r="AN407" s="4">
        <f>ABS(RPG_dataset[[#This Row],[Gold Earned]])</f>
        <v>760750</v>
      </c>
      <c r="AO407" s="5" t="str">
        <f t="shared" si="6"/>
        <v>Fix This</v>
      </c>
      <c r="AP407" s="5">
        <f>RANK(clean[[#This Row],[Clean Gold]],clean[Clean Gold], 0)</f>
        <v>123</v>
      </c>
      <c r="AQ407" s="1">
        <v>289</v>
      </c>
      <c r="AR407" s="1" t="str" cm="1">
        <f t="array" ref="AR407">_xlfn.IFS(clean[[#This Row],[Clean Level]]&gt;=76, "Legend", clean[[#This Row],[Clean Level]]&gt;=51, "Elite", clean[[#This Row],[Clean Level]]&gt;=26, "Veteran", TRUE, "Rookie")</f>
        <v>Legend</v>
      </c>
      <c r="AS407" s="1" t="str">
        <f>IF(RPG_dataset[[#This Row],[Status]]="Active", "TRUE", "FALSE")</f>
        <v>TRUE</v>
      </c>
      <c r="AT407" s="1" t="str" cm="1">
        <f t="array" ref="AT407">_xlfn.IFS(clean[[#This Row],[Clean Win Rate]]&gt;70, "Excellent", clean[[#This Row],[Clean Win Rate]]&gt;=40, "Average", TRUE, "Poor")</f>
        <v>Excellent</v>
      </c>
      <c r="AU407" s="1" t="str">
        <f>IF(AND(clean[[#This Row],[Clean Level]]&gt;80, clean[[#This Row],[Clean Total Stat]]&gt;350, clean[[#This Row],[Clean Gold]]&gt;500000), "Overpowered", "Normal")</f>
        <v>Normal</v>
      </c>
      <c r="AV407" s="1" t="str" cm="1">
        <f t="array" ref="AV40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07" s="1" t="str" cm="1">
        <f t="array" ref="AW40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407" s="1"/>
    </row>
    <row r="408" spans="1:50" x14ac:dyDescent="0.3">
      <c r="A408" s="2" t="s">
        <v>1401</v>
      </c>
      <c r="B408" s="2" t="s">
        <v>1402</v>
      </c>
      <c r="C408" s="2" t="s">
        <v>97</v>
      </c>
      <c r="D408" s="2" t="s">
        <v>131</v>
      </c>
      <c r="E408" s="2" t="s">
        <v>1403</v>
      </c>
      <c r="F408" s="2" t="s">
        <v>145</v>
      </c>
      <c r="G408" s="2">
        <v>73</v>
      </c>
      <c r="H408" s="2" t="s">
        <v>53</v>
      </c>
      <c r="I408" s="2" t="s">
        <v>63</v>
      </c>
      <c r="J408" s="2" t="s">
        <v>92</v>
      </c>
      <c r="K408" s="2" t="s">
        <v>44</v>
      </c>
      <c r="L408" s="6" t="s">
        <v>1404</v>
      </c>
      <c r="M408" s="2">
        <v>144</v>
      </c>
      <c r="N408" s="2">
        <v>107</v>
      </c>
      <c r="O408" s="2">
        <v>66</v>
      </c>
      <c r="P408" s="2">
        <v>4207</v>
      </c>
      <c r="Q408" s="2">
        <v>320</v>
      </c>
      <c r="R408" s="2">
        <v>317</v>
      </c>
      <c r="S408" s="2">
        <v>4764</v>
      </c>
      <c r="T408" s="2">
        <v>318</v>
      </c>
      <c r="U408" s="2">
        <v>137</v>
      </c>
      <c r="V408" s="2">
        <v>94</v>
      </c>
      <c r="W408" s="2">
        <v>6219</v>
      </c>
      <c r="X408" s="9">
        <v>319637</v>
      </c>
      <c r="Y408" s="2" t="s">
        <v>46</v>
      </c>
      <c r="AA408" s="1" t="str">
        <f>TRIM(RPG_dataset[[#This Row],[Username]])</f>
        <v>hana_415</v>
      </c>
      <c r="AB408" s="1" t="str">
        <f>TRIM(RPG_dataset[[#This Row],[First Name]])</f>
        <v>Hana</v>
      </c>
      <c r="AC408" s="1" t="str">
        <f>PROPER(TRIM(RPG_dataset[[#This Row],[Race]]))</f>
        <v>Dwarf</v>
      </c>
      <c r="AD408" s="1" t="str">
        <f>PROPER(TRIM(RPG_dataset[[#This Row],[Class]]))</f>
        <v>Ranger</v>
      </c>
      <c r="AE408" s="1">
        <f>ABS(RPG_dataset[[#This Row],[Level]])</f>
        <v>73</v>
      </c>
      <c r="AF408" s="1">
        <f>ABS(RPG_dataset[[#This Row],[ATK]])</f>
        <v>144</v>
      </c>
      <c r="AG408" s="1">
        <f>ABS(RPG_dataset[[#This Row],[DEF]])</f>
        <v>107</v>
      </c>
      <c r="AH408" s="1">
        <f>ABS(RPG_dataset[[#This Row],[SPD]])</f>
        <v>66</v>
      </c>
      <c r="AI408" s="1">
        <f>ABS(RPG_dataset[[#This Row],[HP]])</f>
        <v>4207</v>
      </c>
      <c r="AJ408" s="1">
        <f>ABS(RPG_dataset[[#This Row],[MP]])</f>
        <v>320</v>
      </c>
      <c r="AK408" s="1">
        <f>ABS(RPG_dataset[[#This Row],[Total Stat]])</f>
        <v>317</v>
      </c>
      <c r="AL408" s="1">
        <f>ABS(RPG_dataset[[#This Row],[Kills]])</f>
        <v>4764</v>
      </c>
      <c r="AM408" s="12">
        <f>ABS(RPG_dataset[[#This Row],[Win Rate (%)]])</f>
        <v>94</v>
      </c>
      <c r="AN408" s="4">
        <f>ABS(RPG_dataset[[#This Row],[Gold Earned]])</f>
        <v>319637</v>
      </c>
      <c r="AO408" s="5" t="str">
        <f t="shared" si="6"/>
        <v>OK</v>
      </c>
      <c r="AP408" s="5">
        <f>RANK(clean[[#This Row],[Clean Gold]],clean[Clean Gold], 0)</f>
        <v>346</v>
      </c>
      <c r="AQ408" s="1">
        <v>233</v>
      </c>
      <c r="AR408" s="1" t="str" cm="1">
        <f t="array" ref="AR408">_xlfn.IFS(clean[[#This Row],[Clean Level]]&gt;=76, "Legend", clean[[#This Row],[Clean Level]]&gt;=51, "Elite", clean[[#This Row],[Clean Level]]&gt;=26, "Veteran", TRUE, "Rookie")</f>
        <v>Elite</v>
      </c>
      <c r="AS408" s="1" t="str">
        <f>IF(RPG_dataset[[#This Row],[Status]]="Active", "TRUE", "FALSE")</f>
        <v>TRUE</v>
      </c>
      <c r="AT408" s="1" t="str" cm="1">
        <f t="array" ref="AT408">_xlfn.IFS(clean[[#This Row],[Clean Win Rate]]&gt;70, "Excellent", clean[[#This Row],[Clean Win Rate]]&gt;=40, "Average", TRUE, "Poor")</f>
        <v>Excellent</v>
      </c>
      <c r="AU408" s="1" t="str">
        <f>IF(AND(clean[[#This Row],[Clean Level]]&gt;80, clean[[#This Row],[Clean Total Stat]]&gt;350, clean[[#This Row],[Clean Gold]]&gt;500000), "Overpowered", "Normal")</f>
        <v>Normal</v>
      </c>
      <c r="AV408" s="1" t="str" cm="1">
        <f t="array" ref="AV40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08" s="1" t="str" cm="1">
        <f t="array" ref="AW40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408" s="1"/>
    </row>
    <row r="409" spans="1:50" x14ac:dyDescent="0.3">
      <c r="A409" s="2" t="s">
        <v>1405</v>
      </c>
      <c r="B409" s="2" t="s">
        <v>1406</v>
      </c>
      <c r="C409" s="2" t="s">
        <v>281</v>
      </c>
      <c r="D409" s="2" t="s">
        <v>104</v>
      </c>
      <c r="E409" s="2" t="s">
        <v>29</v>
      </c>
      <c r="F409" s="2" t="s">
        <v>98</v>
      </c>
      <c r="G409" s="2">
        <v>14</v>
      </c>
      <c r="H409" s="2" t="s">
        <v>80</v>
      </c>
      <c r="I409" s="2" t="s">
        <v>54</v>
      </c>
      <c r="J409" s="2" t="s">
        <v>81</v>
      </c>
      <c r="K409" s="2" t="s">
        <v>44</v>
      </c>
      <c r="L409" s="6" t="s">
        <v>1407</v>
      </c>
      <c r="M409" s="2">
        <v>86</v>
      </c>
      <c r="N409" s="2">
        <v>88</v>
      </c>
      <c r="O409" s="2">
        <v>126</v>
      </c>
      <c r="P409" s="2">
        <v>3059</v>
      </c>
      <c r="Q409" s="2">
        <v>1001</v>
      </c>
      <c r="R409" s="2">
        <v>300</v>
      </c>
      <c r="S409" s="2">
        <v>4972</v>
      </c>
      <c r="T409" s="2">
        <v>908</v>
      </c>
      <c r="U409" s="2">
        <v>129</v>
      </c>
      <c r="V409" s="2">
        <v>85</v>
      </c>
      <c r="W409" s="2">
        <v>9040</v>
      </c>
      <c r="X409" s="9">
        <v>110702</v>
      </c>
      <c r="Y409" s="2" t="s">
        <v>46</v>
      </c>
      <c r="AA409" s="1" t="str">
        <f>TRIM(RPG_dataset[[#This Row],[Username]])</f>
        <v>nova_836</v>
      </c>
      <c r="AB409" s="1" t="str">
        <f>TRIM(RPG_dataset[[#This Row],[First Name]])</f>
        <v>Nova</v>
      </c>
      <c r="AC409" s="1" t="str">
        <f>PROPER(TRIM(RPG_dataset[[#This Row],[Race]]))</f>
        <v>Dwarf</v>
      </c>
      <c r="AD409" s="1" t="str">
        <f>PROPER(TRIM(RPG_dataset[[#This Row],[Class]]))</f>
        <v>Mage</v>
      </c>
      <c r="AE409" s="1">
        <f>ABS(RPG_dataset[[#This Row],[Level]])</f>
        <v>14</v>
      </c>
      <c r="AF409" s="1">
        <f>ABS(RPG_dataset[[#This Row],[ATK]])</f>
        <v>86</v>
      </c>
      <c r="AG409" s="1">
        <f>ABS(RPG_dataset[[#This Row],[DEF]])</f>
        <v>88</v>
      </c>
      <c r="AH409" s="1">
        <f>ABS(RPG_dataset[[#This Row],[SPD]])</f>
        <v>126</v>
      </c>
      <c r="AI409" s="1">
        <f>ABS(RPG_dataset[[#This Row],[HP]])</f>
        <v>3059</v>
      </c>
      <c r="AJ409" s="1">
        <f>ABS(RPG_dataset[[#This Row],[MP]])</f>
        <v>1001</v>
      </c>
      <c r="AK409" s="1">
        <f>ABS(RPG_dataset[[#This Row],[Total Stat]])</f>
        <v>300</v>
      </c>
      <c r="AL409" s="1">
        <f>ABS(RPG_dataset[[#This Row],[Kills]])</f>
        <v>4972</v>
      </c>
      <c r="AM409" s="12">
        <f>ABS(RPG_dataset[[#This Row],[Win Rate (%)]])</f>
        <v>85</v>
      </c>
      <c r="AN409" s="4">
        <f>ABS(RPG_dataset[[#This Row],[Gold Earned]])</f>
        <v>110702</v>
      </c>
      <c r="AO409" s="5" t="str">
        <f t="shared" si="6"/>
        <v>OK</v>
      </c>
      <c r="AP409" s="5">
        <f>RANK(clean[[#This Row],[Clean Gold]],clean[Clean Gold], 0)</f>
        <v>431</v>
      </c>
      <c r="AQ409" s="1">
        <v>183</v>
      </c>
      <c r="AR409" s="1" t="str" cm="1">
        <f t="array" ref="AR409">_xlfn.IFS(clean[[#This Row],[Clean Level]]&gt;=76, "Legend", clean[[#This Row],[Clean Level]]&gt;=51, "Elite", clean[[#This Row],[Clean Level]]&gt;=26, "Veteran", TRUE, "Rookie")</f>
        <v>Rookie</v>
      </c>
      <c r="AS409" s="1" t="str">
        <f>IF(RPG_dataset[[#This Row],[Status]]="Active", "TRUE", "FALSE")</f>
        <v>TRUE</v>
      </c>
      <c r="AT409" s="1" t="str" cm="1">
        <f t="array" ref="AT409">_xlfn.IFS(clean[[#This Row],[Clean Win Rate]]&gt;70, "Excellent", clean[[#This Row],[Clean Win Rate]]&gt;=40, "Average", TRUE, "Poor")</f>
        <v>Excellent</v>
      </c>
      <c r="AU409" s="1" t="str">
        <f>IF(AND(clean[[#This Row],[Clean Level]]&gt;80, clean[[#This Row],[Clean Total Stat]]&gt;350, clean[[#This Row],[Clean Gold]]&gt;500000), "Overpowered", "Normal")</f>
        <v>Normal</v>
      </c>
      <c r="AV409" s="1" t="str" cm="1">
        <f t="array" ref="AV40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09" s="1" t="str" cm="1">
        <f t="array" ref="AW40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09" s="1"/>
    </row>
    <row r="410" spans="1:50" x14ac:dyDescent="0.3">
      <c r="A410" s="2" t="s">
        <v>1408</v>
      </c>
      <c r="B410" s="2" t="s">
        <v>1409</v>
      </c>
      <c r="C410" s="2" t="s">
        <v>227</v>
      </c>
      <c r="D410" s="2" t="s">
        <v>50</v>
      </c>
      <c r="E410" s="2" t="s">
        <v>51</v>
      </c>
      <c r="F410" s="2" t="s">
        <v>145</v>
      </c>
      <c r="G410" s="2">
        <v>29</v>
      </c>
      <c r="H410" s="2" t="s">
        <v>31</v>
      </c>
      <c r="I410" s="2" t="s">
        <v>63</v>
      </c>
      <c r="J410" s="2" t="s">
        <v>163</v>
      </c>
      <c r="K410" s="2" t="s">
        <v>106</v>
      </c>
      <c r="L410" s="6" t="s">
        <v>1410</v>
      </c>
      <c r="M410" s="2">
        <v>22</v>
      </c>
      <c r="N410" s="2">
        <v>54</v>
      </c>
      <c r="O410" s="2">
        <v>82</v>
      </c>
      <c r="P410" s="2">
        <v>2710</v>
      </c>
      <c r="Q410" s="2">
        <v>137</v>
      </c>
      <c r="R410" s="2">
        <v>158</v>
      </c>
      <c r="S410" s="2">
        <v>2238</v>
      </c>
      <c r="T410" s="2">
        <v>397</v>
      </c>
      <c r="U410" s="2">
        <v>65</v>
      </c>
      <c r="V410" s="2">
        <v>85</v>
      </c>
      <c r="W410" s="2">
        <v>9432</v>
      </c>
      <c r="X410" s="9">
        <v>981906</v>
      </c>
      <c r="Y410" s="2" t="s">
        <v>36</v>
      </c>
      <c r="AA410" s="1" t="str">
        <f>TRIM(RPG_dataset[[#This Row],[Username]])</f>
        <v>nyx_664</v>
      </c>
      <c r="AB410" s="1" t="str">
        <f>TRIM(RPG_dataset[[#This Row],[First Name]])</f>
        <v>Nyx</v>
      </c>
      <c r="AC410" s="1" t="str">
        <f>PROPER(TRIM(RPG_dataset[[#This Row],[Race]]))</f>
        <v>Tiefling</v>
      </c>
      <c r="AD410" s="1" t="str">
        <f>PROPER(TRIM(RPG_dataset[[#This Row],[Class]]))</f>
        <v>Ranger</v>
      </c>
      <c r="AE410" s="1">
        <f>ABS(RPG_dataset[[#This Row],[Level]])</f>
        <v>29</v>
      </c>
      <c r="AF410" s="1">
        <f>ABS(RPG_dataset[[#This Row],[ATK]])</f>
        <v>22</v>
      </c>
      <c r="AG410" s="1">
        <f>ABS(RPG_dataset[[#This Row],[DEF]])</f>
        <v>54</v>
      </c>
      <c r="AH410" s="1">
        <f>ABS(RPG_dataset[[#This Row],[SPD]])</f>
        <v>82</v>
      </c>
      <c r="AI410" s="1">
        <f>ABS(RPG_dataset[[#This Row],[HP]])</f>
        <v>2710</v>
      </c>
      <c r="AJ410" s="1">
        <f>ABS(RPG_dataset[[#This Row],[MP]])</f>
        <v>137</v>
      </c>
      <c r="AK410" s="1">
        <f>ABS(RPG_dataset[[#This Row],[Total Stat]])</f>
        <v>158</v>
      </c>
      <c r="AL410" s="1">
        <f>ABS(RPG_dataset[[#This Row],[Kills]])</f>
        <v>2238</v>
      </c>
      <c r="AM410" s="12">
        <f>ABS(RPG_dataset[[#This Row],[Win Rate (%)]])</f>
        <v>85</v>
      </c>
      <c r="AN410" s="4">
        <f>ABS(RPG_dataset[[#This Row],[Gold Earned]])</f>
        <v>981906</v>
      </c>
      <c r="AO410" s="5" t="str">
        <f t="shared" si="6"/>
        <v>OK</v>
      </c>
      <c r="AP410" s="5">
        <f>RANK(clean[[#This Row],[Clean Gold]],clean[Clean Gold], 0)</f>
        <v>10</v>
      </c>
      <c r="AQ410" s="1">
        <v>138</v>
      </c>
      <c r="AR410" s="1" t="str" cm="1">
        <f t="array" ref="AR410">_xlfn.IFS(clean[[#This Row],[Clean Level]]&gt;=76, "Legend", clean[[#This Row],[Clean Level]]&gt;=51, "Elite", clean[[#This Row],[Clean Level]]&gt;=26, "Veteran", TRUE, "Rookie")</f>
        <v>Veteran</v>
      </c>
      <c r="AS410" s="1" t="str">
        <f>IF(RPG_dataset[[#This Row],[Status]]="Active", "TRUE", "FALSE")</f>
        <v>FALSE</v>
      </c>
      <c r="AT410" s="1" t="str" cm="1">
        <f t="array" ref="AT410">_xlfn.IFS(clean[[#This Row],[Clean Win Rate]]&gt;70, "Excellent", clean[[#This Row],[Clean Win Rate]]&gt;=40, "Average", TRUE, "Poor")</f>
        <v>Excellent</v>
      </c>
      <c r="AU410" s="1" t="str">
        <f>IF(AND(clean[[#This Row],[Clean Level]]&gt;80, clean[[#This Row],[Clean Total Stat]]&gt;350, clean[[#This Row],[Clean Gold]]&gt;500000), "Overpowered", "Normal")</f>
        <v>Normal</v>
      </c>
      <c r="AV410" s="1" t="str" cm="1">
        <f t="array" ref="AV41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10" s="1" t="str" cm="1">
        <f t="array" ref="AW41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410" s="1"/>
    </row>
    <row r="411" spans="1:50" x14ac:dyDescent="0.3">
      <c r="A411" s="2" t="s">
        <v>1411</v>
      </c>
      <c r="B411" s="2" t="s">
        <v>1412</v>
      </c>
      <c r="C411" s="2" t="s">
        <v>360</v>
      </c>
      <c r="D411" s="2" t="s">
        <v>254</v>
      </c>
      <c r="E411" s="2" t="s">
        <v>60</v>
      </c>
      <c r="F411" s="2" t="s">
        <v>42</v>
      </c>
      <c r="G411" s="2">
        <v>68</v>
      </c>
      <c r="H411" s="2" t="s">
        <v>73</v>
      </c>
      <c r="I411" s="2" t="s">
        <v>87</v>
      </c>
      <c r="J411" s="2" t="s">
        <v>111</v>
      </c>
      <c r="K411" s="2" t="s">
        <v>75</v>
      </c>
      <c r="L411" s="6" t="s">
        <v>1413</v>
      </c>
      <c r="M411" s="2">
        <v>67</v>
      </c>
      <c r="N411" s="2">
        <v>32</v>
      </c>
      <c r="O411" s="2">
        <v>33</v>
      </c>
      <c r="P411" s="2">
        <v>3698</v>
      </c>
      <c r="Q411" s="2">
        <v>1065</v>
      </c>
      <c r="R411" s="2">
        <v>132</v>
      </c>
      <c r="S411" s="2">
        <v>97</v>
      </c>
      <c r="T411" s="2">
        <v>85</v>
      </c>
      <c r="U411" s="2">
        <v>186</v>
      </c>
      <c r="V411" s="2">
        <v>53</v>
      </c>
      <c r="W411" s="2">
        <v>8280</v>
      </c>
      <c r="X411" s="9">
        <v>106809</v>
      </c>
      <c r="Y411" s="2" t="s">
        <v>36</v>
      </c>
      <c r="AA411" s="1" t="str">
        <f>TRIM(RPG_dataset[[#This Row],[Username]])</f>
        <v>oryn_583</v>
      </c>
      <c r="AB411" s="1" t="str">
        <f>TRIM(RPG_dataset[[#This Row],[First Name]])</f>
        <v>Oryn</v>
      </c>
      <c r="AC411" s="1" t="str">
        <f>PROPER(TRIM(RPG_dataset[[#This Row],[Race]]))</f>
        <v>Human</v>
      </c>
      <c r="AD411" s="1" t="str">
        <f>PROPER(TRIM(RPG_dataset[[#This Row],[Class]]))</f>
        <v>Monk</v>
      </c>
      <c r="AE411" s="1">
        <f>ABS(RPG_dataset[[#This Row],[Level]])</f>
        <v>68</v>
      </c>
      <c r="AF411" s="1">
        <f>ABS(RPG_dataset[[#This Row],[ATK]])</f>
        <v>67</v>
      </c>
      <c r="AG411" s="1">
        <f>ABS(RPG_dataset[[#This Row],[DEF]])</f>
        <v>32</v>
      </c>
      <c r="AH411" s="1">
        <f>ABS(RPG_dataset[[#This Row],[SPD]])</f>
        <v>33</v>
      </c>
      <c r="AI411" s="1">
        <f>ABS(RPG_dataset[[#This Row],[HP]])</f>
        <v>3698</v>
      </c>
      <c r="AJ411" s="1">
        <f>ABS(RPG_dataset[[#This Row],[MP]])</f>
        <v>1065</v>
      </c>
      <c r="AK411" s="1">
        <f>ABS(RPG_dataset[[#This Row],[Total Stat]])</f>
        <v>132</v>
      </c>
      <c r="AL411" s="1">
        <f>ABS(RPG_dataset[[#This Row],[Kills]])</f>
        <v>97</v>
      </c>
      <c r="AM411" s="12">
        <f>ABS(RPG_dataset[[#This Row],[Win Rate (%)]])</f>
        <v>53</v>
      </c>
      <c r="AN411" s="4">
        <f>ABS(RPG_dataset[[#This Row],[Gold Earned]])</f>
        <v>106809</v>
      </c>
      <c r="AO411" s="5" t="str">
        <f t="shared" si="6"/>
        <v>Fix This</v>
      </c>
      <c r="AP411" s="5">
        <f>RANK(clean[[#This Row],[Clean Gold]],clean[Clean Gold], 0)</f>
        <v>435</v>
      </c>
      <c r="AQ411" s="1">
        <v>358</v>
      </c>
      <c r="AR411" s="1" t="str" cm="1">
        <f t="array" ref="AR411">_xlfn.IFS(clean[[#This Row],[Clean Level]]&gt;=76, "Legend", clean[[#This Row],[Clean Level]]&gt;=51, "Elite", clean[[#This Row],[Clean Level]]&gt;=26, "Veteran", TRUE, "Rookie")</f>
        <v>Elite</v>
      </c>
      <c r="AS411" s="1" t="str">
        <f>IF(RPG_dataset[[#This Row],[Status]]="Active", "TRUE", "FALSE")</f>
        <v>FALSE</v>
      </c>
      <c r="AT411" s="1" t="str" cm="1">
        <f t="array" ref="AT411">_xlfn.IFS(clean[[#This Row],[Clean Win Rate]]&gt;70, "Excellent", clean[[#This Row],[Clean Win Rate]]&gt;=40, "Average", TRUE, "Poor")</f>
        <v>Average</v>
      </c>
      <c r="AU411" s="1" t="str">
        <f>IF(AND(clean[[#This Row],[Clean Level]]&gt;80, clean[[#This Row],[Clean Total Stat]]&gt;350, clean[[#This Row],[Clean Gold]]&gt;500000), "Overpowered", "Normal")</f>
        <v>Normal</v>
      </c>
      <c r="AV411" s="1" t="str" cm="1">
        <f t="array" ref="AV41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11" s="1" t="str" cm="1">
        <f t="array" ref="AW41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411" s="1"/>
    </row>
    <row r="412" spans="1:50" x14ac:dyDescent="0.3">
      <c r="A412" s="2" t="s">
        <v>1414</v>
      </c>
      <c r="B412" s="2" t="s">
        <v>1415</v>
      </c>
      <c r="C412" s="2" t="s">
        <v>1416</v>
      </c>
      <c r="D412" s="2" t="s">
        <v>1417</v>
      </c>
      <c r="E412" s="2" t="s">
        <v>51</v>
      </c>
      <c r="F412" s="2" t="s">
        <v>194</v>
      </c>
      <c r="G412" s="2">
        <v>2</v>
      </c>
      <c r="H412" s="2" t="s">
        <v>157</v>
      </c>
      <c r="I412" s="2" t="s">
        <v>87</v>
      </c>
      <c r="J412" s="2" t="s">
        <v>64</v>
      </c>
      <c r="K412" s="2" t="s">
        <v>44</v>
      </c>
      <c r="L412" s="6" t="s">
        <v>1418</v>
      </c>
      <c r="M412" s="2">
        <v>81</v>
      </c>
      <c r="N412" s="2">
        <v>58</v>
      </c>
      <c r="O412" s="2">
        <v>78</v>
      </c>
      <c r="P412" s="2">
        <v>3857</v>
      </c>
      <c r="Q412" s="2">
        <v>903</v>
      </c>
      <c r="R412" s="2"/>
      <c r="S412" s="2">
        <v>3543</v>
      </c>
      <c r="T412" s="2">
        <v>39</v>
      </c>
      <c r="U412" s="2">
        <v>49</v>
      </c>
      <c r="V412" s="2">
        <v>99</v>
      </c>
      <c r="W412" s="2">
        <v>315</v>
      </c>
      <c r="X412" s="9">
        <v>29105</v>
      </c>
      <c r="Y412" s="2" t="s">
        <v>36</v>
      </c>
      <c r="AA412" s="1" t="str">
        <f>TRIM(RPG_dataset[[#This Row],[Username]])</f>
        <v>mora_721</v>
      </c>
      <c r="AB412" s="1" t="str">
        <f>TRIM(RPG_dataset[[#This Row],[First Name]])</f>
        <v>MORA</v>
      </c>
      <c r="AC412" s="1" t="str">
        <f>PROPER(TRIM(RPG_dataset[[#This Row],[Race]]))</f>
        <v>Tiefling</v>
      </c>
      <c r="AD412" s="1" t="str">
        <f>PROPER(TRIM(RPG_dataset[[#This Row],[Class]]))</f>
        <v>Paladin</v>
      </c>
      <c r="AE412" s="1">
        <f>ABS(RPG_dataset[[#This Row],[Level]])</f>
        <v>2</v>
      </c>
      <c r="AF412" s="1">
        <f>ABS(RPG_dataset[[#This Row],[ATK]])</f>
        <v>81</v>
      </c>
      <c r="AG412" s="1">
        <f>ABS(RPG_dataset[[#This Row],[DEF]])</f>
        <v>58</v>
      </c>
      <c r="AH412" s="1">
        <f>ABS(RPG_dataset[[#This Row],[SPD]])</f>
        <v>78</v>
      </c>
      <c r="AI412" s="1">
        <f>ABS(RPG_dataset[[#This Row],[HP]])</f>
        <v>3857</v>
      </c>
      <c r="AJ412" s="1">
        <f>ABS(RPG_dataset[[#This Row],[MP]])</f>
        <v>903</v>
      </c>
      <c r="AK412" s="1">
        <f>ABS(RPG_dataset[[#This Row],[Total Stat]])</f>
        <v>0</v>
      </c>
      <c r="AL412" s="1">
        <f>ABS(RPG_dataset[[#This Row],[Kills]])</f>
        <v>3543</v>
      </c>
      <c r="AM412" s="12">
        <f>ABS(RPG_dataset[[#This Row],[Win Rate (%)]])</f>
        <v>99</v>
      </c>
      <c r="AN412" s="4">
        <f>ABS(RPG_dataset[[#This Row],[Gold Earned]])</f>
        <v>29105</v>
      </c>
      <c r="AO412" s="5" t="str">
        <f t="shared" si="6"/>
        <v>OK</v>
      </c>
      <c r="AP412" s="5">
        <f>RANK(clean[[#This Row],[Clean Gold]],clean[Clean Gold], 0)</f>
        <v>467</v>
      </c>
      <c r="AQ412" s="1">
        <v>284</v>
      </c>
      <c r="AR412" s="1" t="str" cm="1">
        <f t="array" ref="AR412">_xlfn.IFS(clean[[#This Row],[Clean Level]]&gt;=76, "Legend", clean[[#This Row],[Clean Level]]&gt;=51, "Elite", clean[[#This Row],[Clean Level]]&gt;=26, "Veteran", TRUE, "Rookie")</f>
        <v>Rookie</v>
      </c>
      <c r="AS412" s="1" t="str">
        <f>IF(RPG_dataset[[#This Row],[Status]]="Active", "TRUE", "FALSE")</f>
        <v>TRUE</v>
      </c>
      <c r="AT412" s="1" t="str" cm="1">
        <f t="array" ref="AT412">_xlfn.IFS(clean[[#This Row],[Clean Win Rate]]&gt;70, "Excellent", clean[[#This Row],[Clean Win Rate]]&gt;=40, "Average", TRUE, "Poor")</f>
        <v>Excellent</v>
      </c>
      <c r="AU412" s="1" t="str">
        <f>IF(AND(clean[[#This Row],[Clean Level]]&gt;80, clean[[#This Row],[Clean Total Stat]]&gt;350, clean[[#This Row],[Clean Gold]]&gt;500000), "Overpowered", "Normal")</f>
        <v>Normal</v>
      </c>
      <c r="AV412" s="1" t="str" cm="1">
        <f t="array" ref="AV41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12" s="1" t="str" cm="1">
        <f t="array" ref="AW41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412" s="1"/>
    </row>
    <row r="413" spans="1:50" x14ac:dyDescent="0.3">
      <c r="A413" s="2" t="s">
        <v>1419</v>
      </c>
      <c r="B413" s="2" t="s">
        <v>1420</v>
      </c>
      <c r="C413" s="2" t="s">
        <v>27</v>
      </c>
      <c r="D413" s="2" t="s">
        <v>234</v>
      </c>
      <c r="E413" s="2" t="s">
        <v>105</v>
      </c>
      <c r="F413" s="2" t="s">
        <v>52</v>
      </c>
      <c r="G413" s="2">
        <v>50</v>
      </c>
      <c r="H413" s="2" t="s">
        <v>157</v>
      </c>
      <c r="I413" s="2" t="s">
        <v>87</v>
      </c>
      <c r="J413" s="2" t="s">
        <v>92</v>
      </c>
      <c r="K413" s="2" t="s">
        <v>106</v>
      </c>
      <c r="L413" s="6" t="s">
        <v>1421</v>
      </c>
      <c r="M413" s="2">
        <v>71</v>
      </c>
      <c r="N413" s="2">
        <v>130</v>
      </c>
      <c r="O413" s="2">
        <v>99</v>
      </c>
      <c r="P413" s="2">
        <v>779</v>
      </c>
      <c r="Q413" s="2">
        <v>1635</v>
      </c>
      <c r="R413" s="2">
        <v>300</v>
      </c>
      <c r="S413" s="2">
        <v>4651</v>
      </c>
      <c r="T413" s="2">
        <v>481</v>
      </c>
      <c r="U413" s="2">
        <v>89</v>
      </c>
      <c r="V413" s="2">
        <v>91</v>
      </c>
      <c r="W413" s="2">
        <v>4772</v>
      </c>
      <c r="X413" s="9">
        <v>735863</v>
      </c>
      <c r="Y413" s="2" t="s">
        <v>36</v>
      </c>
      <c r="AA413" s="1" t="str">
        <f>TRIM(RPG_dataset[[#This Row],[Username]])</f>
        <v>aiden_475</v>
      </c>
      <c r="AB413" s="1" t="str">
        <f>TRIM(RPG_dataset[[#This Row],[First Name]])</f>
        <v>Aiden</v>
      </c>
      <c r="AC413" s="1" t="str">
        <f>PROPER(TRIM(RPG_dataset[[#This Row],[Race]]))</f>
        <v>Orc</v>
      </c>
      <c r="AD413" s="1" t="str">
        <f>PROPER(TRIM(RPG_dataset[[#This Row],[Class]]))</f>
        <v>Bard</v>
      </c>
      <c r="AE413" s="1">
        <f>ABS(RPG_dataset[[#This Row],[Level]])</f>
        <v>50</v>
      </c>
      <c r="AF413" s="1">
        <f>ABS(RPG_dataset[[#This Row],[ATK]])</f>
        <v>71</v>
      </c>
      <c r="AG413" s="1">
        <f>ABS(RPG_dataset[[#This Row],[DEF]])</f>
        <v>130</v>
      </c>
      <c r="AH413" s="1">
        <f>ABS(RPG_dataset[[#This Row],[SPD]])</f>
        <v>99</v>
      </c>
      <c r="AI413" s="1">
        <f>ABS(RPG_dataset[[#This Row],[HP]])</f>
        <v>779</v>
      </c>
      <c r="AJ413" s="1">
        <f>ABS(RPG_dataset[[#This Row],[MP]])</f>
        <v>1635</v>
      </c>
      <c r="AK413" s="1">
        <f>ABS(RPG_dataset[[#This Row],[Total Stat]])</f>
        <v>300</v>
      </c>
      <c r="AL413" s="1">
        <f>ABS(RPG_dataset[[#This Row],[Kills]])</f>
        <v>4651</v>
      </c>
      <c r="AM413" s="12">
        <f>ABS(RPG_dataset[[#This Row],[Win Rate (%)]])</f>
        <v>91</v>
      </c>
      <c r="AN413" s="4">
        <f>ABS(RPG_dataset[[#This Row],[Gold Earned]])</f>
        <v>735863</v>
      </c>
      <c r="AO413" s="5" t="str">
        <f t="shared" si="6"/>
        <v>OK</v>
      </c>
      <c r="AP413" s="5">
        <f>RANK(clean[[#This Row],[Clean Gold]],clean[Clean Gold], 0)</f>
        <v>136</v>
      </c>
      <c r="AQ413" s="1">
        <v>85</v>
      </c>
      <c r="AR413" s="1" t="str" cm="1">
        <f t="array" ref="AR413">_xlfn.IFS(clean[[#This Row],[Clean Level]]&gt;=76, "Legend", clean[[#This Row],[Clean Level]]&gt;=51, "Elite", clean[[#This Row],[Clean Level]]&gt;=26, "Veteran", TRUE, "Rookie")</f>
        <v>Veteran</v>
      </c>
      <c r="AS413" s="1" t="str">
        <f>IF(RPG_dataset[[#This Row],[Status]]="Active", "TRUE", "FALSE")</f>
        <v>FALSE</v>
      </c>
      <c r="AT413" s="1" t="str" cm="1">
        <f t="array" ref="AT413">_xlfn.IFS(clean[[#This Row],[Clean Win Rate]]&gt;70, "Excellent", clean[[#This Row],[Clean Win Rate]]&gt;=40, "Average", TRUE, "Poor")</f>
        <v>Excellent</v>
      </c>
      <c r="AU413" s="1" t="str">
        <f>IF(AND(clean[[#This Row],[Clean Level]]&gt;80, clean[[#This Row],[Clean Total Stat]]&gt;350, clean[[#This Row],[Clean Gold]]&gt;500000), "Overpowered", "Normal")</f>
        <v>Normal</v>
      </c>
      <c r="AV413" s="1" t="str" cm="1">
        <f t="array" ref="AV41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13" s="1" t="str" cm="1">
        <f t="array" ref="AW41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13" s="1"/>
    </row>
    <row r="414" spans="1:50" x14ac:dyDescent="0.3">
      <c r="A414" s="2" t="s">
        <v>1422</v>
      </c>
      <c r="B414" s="2" t="s">
        <v>1423</v>
      </c>
      <c r="C414" s="2" t="s">
        <v>79</v>
      </c>
      <c r="D414" s="2" t="s">
        <v>28</v>
      </c>
      <c r="E414" s="2" t="s">
        <v>51</v>
      </c>
      <c r="F414" s="2" t="s">
        <v>61</v>
      </c>
      <c r="G414" s="2">
        <v>15</v>
      </c>
      <c r="H414" s="2" t="s">
        <v>125</v>
      </c>
      <c r="I414" s="2" t="s">
        <v>140</v>
      </c>
      <c r="J414" s="2" t="s">
        <v>163</v>
      </c>
      <c r="K414" s="2" t="s">
        <v>44</v>
      </c>
      <c r="L414" s="6" t="s">
        <v>1424</v>
      </c>
      <c r="M414" s="2">
        <v>48</v>
      </c>
      <c r="N414" s="2">
        <v>15</v>
      </c>
      <c r="O414" s="2">
        <v>113</v>
      </c>
      <c r="P414" s="2">
        <v>2182</v>
      </c>
      <c r="Q414" s="2">
        <v>118</v>
      </c>
      <c r="R414" s="2">
        <v>176</v>
      </c>
      <c r="S414" s="2">
        <v>1039</v>
      </c>
      <c r="T414" s="2">
        <v>465</v>
      </c>
      <c r="U414" s="2">
        <v>31</v>
      </c>
      <c r="V414" s="2">
        <v>69</v>
      </c>
      <c r="W414" s="2">
        <v>3758</v>
      </c>
      <c r="X414" s="9">
        <v>452062</v>
      </c>
      <c r="Y414" s="2" t="s">
        <v>36</v>
      </c>
      <c r="AA414" s="1" t="str">
        <f>TRIM(RPG_dataset[[#This Row],[Username]])</f>
        <v>MIRA_140</v>
      </c>
      <c r="AB414" s="1" t="str">
        <f>TRIM(RPG_dataset[[#This Row],[First Name]])</f>
        <v>Mira</v>
      </c>
      <c r="AC414" s="1" t="str">
        <f>PROPER(TRIM(RPG_dataset[[#This Row],[Race]]))</f>
        <v>Tiefling</v>
      </c>
      <c r="AD414" s="1" t="str">
        <f>PROPER(TRIM(RPG_dataset[[#This Row],[Class]]))</f>
        <v>Ranger</v>
      </c>
      <c r="AE414" s="1">
        <f>ABS(RPG_dataset[[#This Row],[Level]])</f>
        <v>15</v>
      </c>
      <c r="AF414" s="1">
        <f>ABS(RPG_dataset[[#This Row],[ATK]])</f>
        <v>48</v>
      </c>
      <c r="AG414" s="1">
        <f>ABS(RPG_dataset[[#This Row],[DEF]])</f>
        <v>15</v>
      </c>
      <c r="AH414" s="1">
        <f>ABS(RPG_dataset[[#This Row],[SPD]])</f>
        <v>113</v>
      </c>
      <c r="AI414" s="1">
        <f>ABS(RPG_dataset[[#This Row],[HP]])</f>
        <v>2182</v>
      </c>
      <c r="AJ414" s="1">
        <f>ABS(RPG_dataset[[#This Row],[MP]])</f>
        <v>118</v>
      </c>
      <c r="AK414" s="1">
        <f>ABS(RPG_dataset[[#This Row],[Total Stat]])</f>
        <v>176</v>
      </c>
      <c r="AL414" s="1">
        <f>ABS(RPG_dataset[[#This Row],[Kills]])</f>
        <v>1039</v>
      </c>
      <c r="AM414" s="12">
        <f>ABS(RPG_dataset[[#This Row],[Win Rate (%)]])</f>
        <v>69</v>
      </c>
      <c r="AN414" s="4">
        <f>ABS(RPG_dataset[[#This Row],[Gold Earned]])</f>
        <v>452062</v>
      </c>
      <c r="AO414" s="5" t="str">
        <f t="shared" si="6"/>
        <v>OK</v>
      </c>
      <c r="AP414" s="5">
        <f>RANK(clean[[#This Row],[Clean Gold]],clean[Clean Gold], 0)</f>
        <v>278</v>
      </c>
      <c r="AQ414" s="1">
        <v>309</v>
      </c>
      <c r="AR414" s="1" t="str" cm="1">
        <f t="array" ref="AR414">_xlfn.IFS(clean[[#This Row],[Clean Level]]&gt;=76, "Legend", clean[[#This Row],[Clean Level]]&gt;=51, "Elite", clean[[#This Row],[Clean Level]]&gt;=26, "Veteran", TRUE, "Rookie")</f>
        <v>Rookie</v>
      </c>
      <c r="AS414" s="1" t="str">
        <f>IF(RPG_dataset[[#This Row],[Status]]="Active", "TRUE", "FALSE")</f>
        <v>TRUE</v>
      </c>
      <c r="AT414" s="1" t="str" cm="1">
        <f t="array" ref="AT414">_xlfn.IFS(clean[[#This Row],[Clean Win Rate]]&gt;70, "Excellent", clean[[#This Row],[Clean Win Rate]]&gt;=40, "Average", TRUE, "Poor")</f>
        <v>Average</v>
      </c>
      <c r="AU414" s="1" t="str">
        <f>IF(AND(clean[[#This Row],[Clean Level]]&gt;80, clean[[#This Row],[Clean Total Stat]]&gt;350, clean[[#This Row],[Clean Gold]]&gt;500000), "Overpowered", "Normal")</f>
        <v>Normal</v>
      </c>
      <c r="AV414" s="1" t="str" cm="1">
        <f t="array" ref="AV41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14" s="1" t="str" cm="1">
        <f t="array" ref="AW41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414" s="1"/>
    </row>
    <row r="415" spans="1:50" x14ac:dyDescent="0.3">
      <c r="A415" s="2" t="s">
        <v>1425</v>
      </c>
      <c r="B415" s="2" t="s">
        <v>1426</v>
      </c>
      <c r="C415" s="2" t="s">
        <v>276</v>
      </c>
      <c r="D415" s="2" t="s">
        <v>401</v>
      </c>
      <c r="E415" s="2" t="s">
        <v>1427</v>
      </c>
      <c r="F415" s="2" t="s">
        <v>52</v>
      </c>
      <c r="G415" s="2">
        <v>-44</v>
      </c>
      <c r="H415" s="2" t="s">
        <v>31</v>
      </c>
      <c r="I415" s="2" t="s">
        <v>63</v>
      </c>
      <c r="J415" s="2" t="s">
        <v>163</v>
      </c>
      <c r="K415" s="2" t="s">
        <v>99</v>
      </c>
      <c r="L415" s="6" t="s">
        <v>1428</v>
      </c>
      <c r="M415" s="2">
        <v>28</v>
      </c>
      <c r="N415" s="2">
        <v>62</v>
      </c>
      <c r="O415" s="2"/>
      <c r="P415" s="2">
        <v>2801</v>
      </c>
      <c r="Q415" s="2">
        <v>1169</v>
      </c>
      <c r="R415" s="2">
        <v>197</v>
      </c>
      <c r="S415" s="2">
        <v>3836</v>
      </c>
      <c r="T415" s="2">
        <v>45</v>
      </c>
      <c r="U415" s="2">
        <v>16</v>
      </c>
      <c r="V415" s="2">
        <v>99</v>
      </c>
      <c r="W415" s="2">
        <v>8362</v>
      </c>
      <c r="X415" s="9">
        <v>990122</v>
      </c>
      <c r="Y415" s="2" t="s">
        <v>46</v>
      </c>
      <c r="AA415" s="1" t="str">
        <f>TRIM(RPG_dataset[[#This Row],[Username]])</f>
        <v>brynn_601</v>
      </c>
      <c r="AB415" s="1" t="str">
        <f>TRIM(RPG_dataset[[#This Row],[First Name]])</f>
        <v>Brynn</v>
      </c>
      <c r="AC415" s="1" t="str">
        <f>PROPER(TRIM(RPG_dataset[[#This Row],[Race]]))</f>
        <v>Halfling</v>
      </c>
      <c r="AD415" s="1" t="str">
        <f>PROPER(TRIM(RPG_dataset[[#This Row],[Class]]))</f>
        <v>Bard</v>
      </c>
      <c r="AE415" s="1">
        <f>ABS(RPG_dataset[[#This Row],[Level]])</f>
        <v>44</v>
      </c>
      <c r="AF415" s="1">
        <f>ABS(RPG_dataset[[#This Row],[ATK]])</f>
        <v>28</v>
      </c>
      <c r="AG415" s="1">
        <f>ABS(RPG_dataset[[#This Row],[DEF]])</f>
        <v>62</v>
      </c>
      <c r="AH415" s="1">
        <f>ABS(RPG_dataset[[#This Row],[SPD]])</f>
        <v>0</v>
      </c>
      <c r="AI415" s="1">
        <f>ABS(RPG_dataset[[#This Row],[HP]])</f>
        <v>2801</v>
      </c>
      <c r="AJ415" s="1">
        <f>ABS(RPG_dataset[[#This Row],[MP]])</f>
        <v>1169</v>
      </c>
      <c r="AK415" s="1">
        <f>ABS(RPG_dataset[[#This Row],[Total Stat]])</f>
        <v>197</v>
      </c>
      <c r="AL415" s="1">
        <f>ABS(RPG_dataset[[#This Row],[Kills]])</f>
        <v>3836</v>
      </c>
      <c r="AM415" s="12">
        <f>ABS(RPG_dataset[[#This Row],[Win Rate (%)]])</f>
        <v>99</v>
      </c>
      <c r="AN415" s="4">
        <f>ABS(RPG_dataset[[#This Row],[Gold Earned]])</f>
        <v>990122</v>
      </c>
      <c r="AO415" s="5" t="str">
        <f t="shared" si="6"/>
        <v>OK</v>
      </c>
      <c r="AP415" s="5">
        <f>RANK(clean[[#This Row],[Clean Gold]],clean[Clean Gold], 0)</f>
        <v>6</v>
      </c>
      <c r="AQ415" s="1">
        <v>301</v>
      </c>
      <c r="AR415" s="1" t="str" cm="1">
        <f t="array" ref="AR415">_xlfn.IFS(clean[[#This Row],[Clean Level]]&gt;=76, "Legend", clean[[#This Row],[Clean Level]]&gt;=51, "Elite", clean[[#This Row],[Clean Level]]&gt;=26, "Veteran", TRUE, "Rookie")</f>
        <v>Veteran</v>
      </c>
      <c r="AS415" s="1" t="str">
        <f>IF(RPG_dataset[[#This Row],[Status]]="Active", "TRUE", "FALSE")</f>
        <v>FALSE</v>
      </c>
      <c r="AT415" s="1" t="str" cm="1">
        <f t="array" ref="AT415">_xlfn.IFS(clean[[#This Row],[Clean Win Rate]]&gt;70, "Excellent", clean[[#This Row],[Clean Win Rate]]&gt;=40, "Average", TRUE, "Poor")</f>
        <v>Excellent</v>
      </c>
      <c r="AU415" s="1" t="str">
        <f>IF(AND(clean[[#This Row],[Clean Level]]&gt;80, clean[[#This Row],[Clean Total Stat]]&gt;350, clean[[#This Row],[Clean Gold]]&gt;500000), "Overpowered", "Normal")</f>
        <v>Normal</v>
      </c>
      <c r="AV415" s="1" t="str" cm="1">
        <f t="array" ref="AV41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15" s="1" t="str" cm="1">
        <f t="array" ref="AW41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415" s="1"/>
    </row>
    <row r="416" spans="1:50" x14ac:dyDescent="0.3">
      <c r="A416" s="2" t="s">
        <v>1429</v>
      </c>
      <c r="B416" s="2" t="s">
        <v>1430</v>
      </c>
      <c r="C416" s="2" t="s">
        <v>97</v>
      </c>
      <c r="D416" s="2" t="s">
        <v>150</v>
      </c>
      <c r="E416" s="2" t="s">
        <v>60</v>
      </c>
      <c r="F416" s="2" t="s">
        <v>61</v>
      </c>
      <c r="G416" s="2">
        <v>87</v>
      </c>
      <c r="H416" s="2" t="s">
        <v>157</v>
      </c>
      <c r="I416" s="2" t="s">
        <v>126</v>
      </c>
      <c r="J416" s="2" t="s">
        <v>81</v>
      </c>
      <c r="K416" s="2" t="s">
        <v>44</v>
      </c>
      <c r="L416" s="6" t="s">
        <v>1431</v>
      </c>
      <c r="M416" s="2">
        <v>102</v>
      </c>
      <c r="N416" s="2">
        <v>111</v>
      </c>
      <c r="O416" s="2">
        <v>89</v>
      </c>
      <c r="P416" s="2">
        <v>721</v>
      </c>
      <c r="Q416" s="2">
        <v>2491</v>
      </c>
      <c r="R416" s="2">
        <v>302</v>
      </c>
      <c r="S416" s="2">
        <v>3017</v>
      </c>
      <c r="T416" s="2">
        <v>451</v>
      </c>
      <c r="U416" s="2">
        <v>66</v>
      </c>
      <c r="V416" s="2">
        <v>87</v>
      </c>
      <c r="W416" s="2">
        <v>4347</v>
      </c>
      <c r="X416" s="9">
        <v>813373</v>
      </c>
      <c r="Y416" s="2" t="s">
        <v>36</v>
      </c>
      <c r="AA416" s="1" t="str">
        <f>TRIM(RPG_dataset[[#This Row],[Username]])</f>
        <v>hana_234</v>
      </c>
      <c r="AB416" s="1" t="str">
        <f>TRIM(RPG_dataset[[#This Row],[First Name]])</f>
        <v>Hana</v>
      </c>
      <c r="AC416" s="1" t="str">
        <f>PROPER(TRIM(RPG_dataset[[#This Row],[Race]]))</f>
        <v>Human</v>
      </c>
      <c r="AD416" s="1" t="str">
        <f>PROPER(TRIM(RPG_dataset[[#This Row],[Class]]))</f>
        <v>Ranger</v>
      </c>
      <c r="AE416" s="1">
        <f>ABS(RPG_dataset[[#This Row],[Level]])</f>
        <v>87</v>
      </c>
      <c r="AF416" s="1">
        <f>ABS(RPG_dataset[[#This Row],[ATK]])</f>
        <v>102</v>
      </c>
      <c r="AG416" s="1">
        <f>ABS(RPG_dataset[[#This Row],[DEF]])</f>
        <v>111</v>
      </c>
      <c r="AH416" s="1">
        <f>ABS(RPG_dataset[[#This Row],[SPD]])</f>
        <v>89</v>
      </c>
      <c r="AI416" s="1">
        <f>ABS(RPG_dataset[[#This Row],[HP]])</f>
        <v>721</v>
      </c>
      <c r="AJ416" s="1">
        <f>ABS(RPG_dataset[[#This Row],[MP]])</f>
        <v>2491</v>
      </c>
      <c r="AK416" s="1">
        <f>ABS(RPG_dataset[[#This Row],[Total Stat]])</f>
        <v>302</v>
      </c>
      <c r="AL416" s="1">
        <f>ABS(RPG_dataset[[#This Row],[Kills]])</f>
        <v>3017</v>
      </c>
      <c r="AM416" s="12">
        <f>ABS(RPG_dataset[[#This Row],[Win Rate (%)]])</f>
        <v>87</v>
      </c>
      <c r="AN416" s="4">
        <f>ABS(RPG_dataset[[#This Row],[Gold Earned]])</f>
        <v>813373</v>
      </c>
      <c r="AO416" s="5" t="str">
        <f t="shared" si="6"/>
        <v>OK</v>
      </c>
      <c r="AP416" s="5">
        <f>RANK(clean[[#This Row],[Clean Gold]],clean[Clean Gold], 0)</f>
        <v>99</v>
      </c>
      <c r="AQ416" s="1">
        <v>175</v>
      </c>
      <c r="AR416" s="1" t="str" cm="1">
        <f t="array" ref="AR416">_xlfn.IFS(clean[[#This Row],[Clean Level]]&gt;=76, "Legend", clean[[#This Row],[Clean Level]]&gt;=51, "Elite", clean[[#This Row],[Clean Level]]&gt;=26, "Veteran", TRUE, "Rookie")</f>
        <v>Legend</v>
      </c>
      <c r="AS416" s="1" t="str">
        <f>IF(RPG_dataset[[#This Row],[Status]]="Active", "TRUE", "FALSE")</f>
        <v>TRUE</v>
      </c>
      <c r="AT416" s="1" t="str" cm="1">
        <f t="array" ref="AT416">_xlfn.IFS(clean[[#This Row],[Clean Win Rate]]&gt;70, "Excellent", clean[[#This Row],[Clean Win Rate]]&gt;=40, "Average", TRUE, "Poor")</f>
        <v>Excellent</v>
      </c>
      <c r="AU416" s="1" t="str">
        <f>IF(AND(clean[[#This Row],[Clean Level]]&gt;80, clean[[#This Row],[Clean Total Stat]]&gt;350, clean[[#This Row],[Clean Gold]]&gt;500000), "Overpowered", "Normal")</f>
        <v>Normal</v>
      </c>
      <c r="AV416" s="1" t="str" cm="1">
        <f t="array" ref="AV416">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416" s="1" t="str" cm="1">
        <f t="array" ref="AW41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16" s="1"/>
    </row>
    <row r="417" spans="1:50" x14ac:dyDescent="0.3">
      <c r="A417" s="2" t="s">
        <v>1432</v>
      </c>
      <c r="B417" s="2" t="s">
        <v>1433</v>
      </c>
      <c r="C417" s="2" t="s">
        <v>130</v>
      </c>
      <c r="D417" s="2" t="s">
        <v>119</v>
      </c>
      <c r="E417" s="2" t="s">
        <v>51</v>
      </c>
      <c r="F417" s="2" t="s">
        <v>98</v>
      </c>
      <c r="G417" s="2">
        <v>90</v>
      </c>
      <c r="H417" s="2" t="s">
        <v>80</v>
      </c>
      <c r="I417" s="2" t="s">
        <v>74</v>
      </c>
      <c r="J417" s="2" t="s">
        <v>120</v>
      </c>
      <c r="K417" s="2" t="s">
        <v>106</v>
      </c>
      <c r="L417" s="6" t="s">
        <v>1434</v>
      </c>
      <c r="M417" s="2">
        <v>146</v>
      </c>
      <c r="N417" s="2">
        <v>-29</v>
      </c>
      <c r="O417" s="2">
        <v>127</v>
      </c>
      <c r="P417" s="2">
        <v>4576</v>
      </c>
      <c r="Q417" s="2">
        <v>2793</v>
      </c>
      <c r="R417" s="2">
        <v>302</v>
      </c>
      <c r="S417" s="2">
        <v>2610</v>
      </c>
      <c r="T417" s="2">
        <v>998</v>
      </c>
      <c r="U417" s="2">
        <v>124</v>
      </c>
      <c r="V417" s="2">
        <v>72</v>
      </c>
      <c r="W417" s="2">
        <v>1583</v>
      </c>
      <c r="X417" s="9">
        <v>426999</v>
      </c>
      <c r="Y417" s="2" t="s">
        <v>36</v>
      </c>
      <c r="AA417" s="1" t="str">
        <f>TRIM(RPG_dataset[[#This Row],[Username]])</f>
        <v>EWAN_326</v>
      </c>
      <c r="AB417" s="1" t="str">
        <f>TRIM(RPG_dataset[[#This Row],[First Name]])</f>
        <v>Ewan</v>
      </c>
      <c r="AC417" s="1" t="str">
        <f>PROPER(TRIM(RPG_dataset[[#This Row],[Race]]))</f>
        <v>Tiefling</v>
      </c>
      <c r="AD417" s="1" t="str">
        <f>PROPER(TRIM(RPG_dataset[[#This Row],[Class]]))</f>
        <v>Mage</v>
      </c>
      <c r="AE417" s="1">
        <f>ABS(RPG_dataset[[#This Row],[Level]])</f>
        <v>90</v>
      </c>
      <c r="AF417" s="1">
        <f>ABS(RPG_dataset[[#This Row],[ATK]])</f>
        <v>146</v>
      </c>
      <c r="AG417" s="1">
        <f>ABS(RPG_dataset[[#This Row],[DEF]])</f>
        <v>29</v>
      </c>
      <c r="AH417" s="1">
        <f>ABS(RPG_dataset[[#This Row],[SPD]])</f>
        <v>127</v>
      </c>
      <c r="AI417" s="1">
        <f>ABS(RPG_dataset[[#This Row],[HP]])</f>
        <v>4576</v>
      </c>
      <c r="AJ417" s="1">
        <f>ABS(RPG_dataset[[#This Row],[MP]])</f>
        <v>2793</v>
      </c>
      <c r="AK417" s="1">
        <f>ABS(RPG_dataset[[#This Row],[Total Stat]])</f>
        <v>302</v>
      </c>
      <c r="AL417" s="1">
        <f>ABS(RPG_dataset[[#This Row],[Kills]])</f>
        <v>2610</v>
      </c>
      <c r="AM417" s="12">
        <f>ABS(RPG_dataset[[#This Row],[Win Rate (%)]])</f>
        <v>72</v>
      </c>
      <c r="AN417" s="4">
        <f>ABS(RPG_dataset[[#This Row],[Gold Earned]])</f>
        <v>426999</v>
      </c>
      <c r="AO417" s="5" t="str">
        <f t="shared" si="6"/>
        <v>OK</v>
      </c>
      <c r="AP417" s="5">
        <f>RANK(clean[[#This Row],[Clean Gold]],clean[Clean Gold], 0)</f>
        <v>292</v>
      </c>
      <c r="AQ417" s="1">
        <v>308</v>
      </c>
      <c r="AR417" s="1" t="str" cm="1">
        <f t="array" ref="AR417">_xlfn.IFS(clean[[#This Row],[Clean Level]]&gt;=76, "Legend", clean[[#This Row],[Clean Level]]&gt;=51, "Elite", clean[[#This Row],[Clean Level]]&gt;=26, "Veteran", TRUE, "Rookie")</f>
        <v>Legend</v>
      </c>
      <c r="AS417" s="1" t="str">
        <f>IF(RPG_dataset[[#This Row],[Status]]="Active", "TRUE", "FALSE")</f>
        <v>FALSE</v>
      </c>
      <c r="AT417" s="1" t="str" cm="1">
        <f t="array" ref="AT417">_xlfn.IFS(clean[[#This Row],[Clean Win Rate]]&gt;70, "Excellent", clean[[#This Row],[Clean Win Rate]]&gt;=40, "Average", TRUE, "Poor")</f>
        <v>Excellent</v>
      </c>
      <c r="AU417" s="1" t="str">
        <f>IF(AND(clean[[#This Row],[Clean Level]]&gt;80, clean[[#This Row],[Clean Total Stat]]&gt;350, clean[[#This Row],[Clean Gold]]&gt;500000), "Overpowered", "Normal")</f>
        <v>Normal</v>
      </c>
      <c r="AV417" s="1" t="str" cm="1">
        <f t="array" ref="AV417">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417" s="1" t="str" cm="1">
        <f t="array" ref="AW41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17" s="1"/>
    </row>
    <row r="418" spans="1:50" x14ac:dyDescent="0.3">
      <c r="A418" s="2" t="s">
        <v>1435</v>
      </c>
      <c r="B418" s="2" t="s">
        <v>1436</v>
      </c>
      <c r="C418" s="2" t="s">
        <v>130</v>
      </c>
      <c r="D418" s="2" t="s">
        <v>250</v>
      </c>
      <c r="E418" s="2" t="s">
        <v>29</v>
      </c>
      <c r="F418" s="2" t="s">
        <v>194</v>
      </c>
      <c r="G418" s="2">
        <v>16</v>
      </c>
      <c r="H418" s="2" t="s">
        <v>53</v>
      </c>
      <c r="I418" s="2" t="s">
        <v>126</v>
      </c>
      <c r="J418" s="2" t="s">
        <v>88</v>
      </c>
      <c r="K418" s="2" t="s">
        <v>106</v>
      </c>
      <c r="L418" s="6" t="s">
        <v>1437</v>
      </c>
      <c r="M418" s="2">
        <v>84</v>
      </c>
      <c r="N418" s="2"/>
      <c r="O418" s="2">
        <v>74</v>
      </c>
      <c r="P418" s="2">
        <v>4940</v>
      </c>
      <c r="Q418" s="2">
        <v>1174</v>
      </c>
      <c r="R418" s="2">
        <v>264</v>
      </c>
      <c r="S418" s="2">
        <v>1615</v>
      </c>
      <c r="T418" s="2"/>
      <c r="U418" s="2">
        <v>184</v>
      </c>
      <c r="V418" s="2">
        <v>87</v>
      </c>
      <c r="W418" s="2">
        <v>6945</v>
      </c>
      <c r="X418" s="9">
        <v>800361</v>
      </c>
      <c r="Y418" s="2" t="s">
        <v>36</v>
      </c>
      <c r="AA418" s="1" t="str">
        <f>TRIM(RPG_dataset[[#This Row],[Username]])</f>
        <v>ewan_876</v>
      </c>
      <c r="AB418" s="1" t="str">
        <f>TRIM(RPG_dataset[[#This Row],[First Name]])</f>
        <v>Ewan</v>
      </c>
      <c r="AC418" s="1" t="str">
        <f>PROPER(TRIM(RPG_dataset[[#This Row],[Race]]))</f>
        <v>Dwarf</v>
      </c>
      <c r="AD418" s="1" t="str">
        <f>PROPER(TRIM(RPG_dataset[[#This Row],[Class]]))</f>
        <v>Paladin</v>
      </c>
      <c r="AE418" s="1">
        <f>ABS(RPG_dataset[[#This Row],[Level]])</f>
        <v>16</v>
      </c>
      <c r="AF418" s="1">
        <f>ABS(RPG_dataset[[#This Row],[ATK]])</f>
        <v>84</v>
      </c>
      <c r="AG418" s="1">
        <f>ABS(RPG_dataset[[#This Row],[DEF]])</f>
        <v>0</v>
      </c>
      <c r="AH418" s="1">
        <f>ABS(RPG_dataset[[#This Row],[SPD]])</f>
        <v>74</v>
      </c>
      <c r="AI418" s="1">
        <f>ABS(RPG_dataset[[#This Row],[HP]])</f>
        <v>4940</v>
      </c>
      <c r="AJ418" s="1">
        <f>ABS(RPG_dataset[[#This Row],[MP]])</f>
        <v>1174</v>
      </c>
      <c r="AK418" s="1">
        <f>ABS(RPG_dataset[[#This Row],[Total Stat]])</f>
        <v>264</v>
      </c>
      <c r="AL418" s="1">
        <f>ABS(RPG_dataset[[#This Row],[Kills]])</f>
        <v>1615</v>
      </c>
      <c r="AM418" s="12">
        <f>ABS(RPG_dataset[[#This Row],[Win Rate (%)]])</f>
        <v>87</v>
      </c>
      <c r="AN418" s="4">
        <f>ABS(RPG_dataset[[#This Row],[Gold Earned]])</f>
        <v>800361</v>
      </c>
      <c r="AO418" s="5" t="str">
        <f t="shared" si="6"/>
        <v>OK</v>
      </c>
      <c r="AP418" s="5">
        <f>RANK(clean[[#This Row],[Clean Gold]],clean[Clean Gold], 0)</f>
        <v>104</v>
      </c>
      <c r="AQ418" s="1">
        <v>132</v>
      </c>
      <c r="AR418" s="1" t="str" cm="1">
        <f t="array" ref="AR418">_xlfn.IFS(clean[[#This Row],[Clean Level]]&gt;=76, "Legend", clean[[#This Row],[Clean Level]]&gt;=51, "Elite", clean[[#This Row],[Clean Level]]&gt;=26, "Veteran", TRUE, "Rookie")</f>
        <v>Rookie</v>
      </c>
      <c r="AS418" s="1" t="str">
        <f>IF(RPG_dataset[[#This Row],[Status]]="Active", "TRUE", "FALSE")</f>
        <v>FALSE</v>
      </c>
      <c r="AT418" s="1" t="str" cm="1">
        <f t="array" ref="AT418">_xlfn.IFS(clean[[#This Row],[Clean Win Rate]]&gt;70, "Excellent", clean[[#This Row],[Clean Win Rate]]&gt;=40, "Average", TRUE, "Poor")</f>
        <v>Excellent</v>
      </c>
      <c r="AU418" s="1" t="str">
        <f>IF(AND(clean[[#This Row],[Clean Level]]&gt;80, clean[[#This Row],[Clean Total Stat]]&gt;350, clean[[#This Row],[Clean Gold]]&gt;500000), "Overpowered", "Normal")</f>
        <v>Normal</v>
      </c>
      <c r="AV418" s="1" t="str" cm="1">
        <f t="array" ref="AV41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18" s="1" t="str" cm="1">
        <f t="array" ref="AW41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418" s="1"/>
    </row>
    <row r="419" spans="1:50" x14ac:dyDescent="0.3">
      <c r="A419" s="2" t="s">
        <v>1438</v>
      </c>
      <c r="B419" s="2" t="s">
        <v>1439</v>
      </c>
      <c r="C419" s="2" t="s">
        <v>689</v>
      </c>
      <c r="D419" s="2" t="s">
        <v>277</v>
      </c>
      <c r="E419" s="2" t="s">
        <v>60</v>
      </c>
      <c r="F419" s="2" t="s">
        <v>124</v>
      </c>
      <c r="G419" s="2">
        <v>84</v>
      </c>
      <c r="H419" s="2" t="s">
        <v>125</v>
      </c>
      <c r="I419" s="2" t="s">
        <v>126</v>
      </c>
      <c r="J419" s="2" t="s">
        <v>88</v>
      </c>
      <c r="K419" s="2" t="s">
        <v>44</v>
      </c>
      <c r="L419" s="6" t="s">
        <v>1440</v>
      </c>
      <c r="M419" s="2">
        <v>147</v>
      </c>
      <c r="N419" s="2">
        <v>124</v>
      </c>
      <c r="O419" s="2">
        <v>18</v>
      </c>
      <c r="P419" s="2">
        <v>1635</v>
      </c>
      <c r="Q419" s="2">
        <v>829</v>
      </c>
      <c r="R419" s="2">
        <v>289</v>
      </c>
      <c r="S419" s="2">
        <v>2158</v>
      </c>
      <c r="T419" s="2">
        <v>157</v>
      </c>
      <c r="U419" s="2">
        <v>164</v>
      </c>
      <c r="V419" s="2">
        <v>93</v>
      </c>
      <c r="W419" s="2">
        <v>941</v>
      </c>
      <c r="X419" s="9">
        <v>930317</v>
      </c>
      <c r="Y419" s="2" t="s">
        <v>46</v>
      </c>
      <c r="AA419" s="1" t="str">
        <f>TRIM(RPG_dataset[[#This Row],[Username]])</f>
        <v>theron_628</v>
      </c>
      <c r="AB419" s="1" t="str">
        <f>TRIM(RPG_dataset[[#This Row],[First Name]])</f>
        <v>Theron</v>
      </c>
      <c r="AC419" s="1" t="str">
        <f>PROPER(TRIM(RPG_dataset[[#This Row],[Race]]))</f>
        <v>Human</v>
      </c>
      <c r="AD419" s="1" t="str">
        <f>PROPER(TRIM(RPG_dataset[[#This Row],[Class]]))</f>
        <v>Necromancer</v>
      </c>
      <c r="AE419" s="1">
        <f>ABS(RPG_dataset[[#This Row],[Level]])</f>
        <v>84</v>
      </c>
      <c r="AF419" s="1">
        <f>ABS(RPG_dataset[[#This Row],[ATK]])</f>
        <v>147</v>
      </c>
      <c r="AG419" s="1">
        <f>ABS(RPG_dataset[[#This Row],[DEF]])</f>
        <v>124</v>
      </c>
      <c r="AH419" s="1">
        <f>ABS(RPG_dataset[[#This Row],[SPD]])</f>
        <v>18</v>
      </c>
      <c r="AI419" s="1">
        <f>ABS(RPG_dataset[[#This Row],[HP]])</f>
        <v>1635</v>
      </c>
      <c r="AJ419" s="1">
        <f>ABS(RPG_dataset[[#This Row],[MP]])</f>
        <v>829</v>
      </c>
      <c r="AK419" s="1">
        <f>ABS(RPG_dataset[[#This Row],[Total Stat]])</f>
        <v>289</v>
      </c>
      <c r="AL419" s="1">
        <f>ABS(RPG_dataset[[#This Row],[Kills]])</f>
        <v>2158</v>
      </c>
      <c r="AM419" s="12">
        <f>ABS(RPG_dataset[[#This Row],[Win Rate (%)]])</f>
        <v>93</v>
      </c>
      <c r="AN419" s="4">
        <f>ABS(RPG_dataset[[#This Row],[Gold Earned]])</f>
        <v>930317</v>
      </c>
      <c r="AO419" s="5" t="str">
        <f t="shared" si="6"/>
        <v>OK</v>
      </c>
      <c r="AP419" s="5">
        <f>RANK(clean[[#This Row],[Clean Gold]],clean[Clean Gold], 0)</f>
        <v>35</v>
      </c>
      <c r="AQ419" s="1">
        <v>210</v>
      </c>
      <c r="AR419" s="1" t="str" cm="1">
        <f t="array" ref="AR419">_xlfn.IFS(clean[[#This Row],[Clean Level]]&gt;=76, "Legend", clean[[#This Row],[Clean Level]]&gt;=51, "Elite", clean[[#This Row],[Clean Level]]&gt;=26, "Veteran", TRUE, "Rookie")</f>
        <v>Legend</v>
      </c>
      <c r="AS419" s="1" t="str">
        <f>IF(RPG_dataset[[#This Row],[Status]]="Active", "TRUE", "FALSE")</f>
        <v>TRUE</v>
      </c>
      <c r="AT419" s="1" t="str" cm="1">
        <f t="array" ref="AT419">_xlfn.IFS(clean[[#This Row],[Clean Win Rate]]&gt;70, "Excellent", clean[[#This Row],[Clean Win Rate]]&gt;=40, "Average", TRUE, "Poor")</f>
        <v>Excellent</v>
      </c>
      <c r="AU419" s="1" t="str">
        <f>IF(AND(clean[[#This Row],[Clean Level]]&gt;80, clean[[#This Row],[Clean Total Stat]]&gt;350, clean[[#This Row],[Clean Gold]]&gt;500000), "Overpowered", "Normal")</f>
        <v>Normal</v>
      </c>
      <c r="AV419" s="1" t="str" cm="1">
        <f t="array" ref="AV41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19" s="1" t="str" cm="1">
        <f t="array" ref="AW41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419" s="1"/>
    </row>
    <row r="420" spans="1:50" x14ac:dyDescent="0.3">
      <c r="A420" s="2" t="s">
        <v>1441</v>
      </c>
      <c r="B420" s="2" t="s">
        <v>1442</v>
      </c>
      <c r="C420" s="2" t="s">
        <v>543</v>
      </c>
      <c r="D420" s="2" t="s">
        <v>250</v>
      </c>
      <c r="E420" s="2" t="s">
        <v>71</v>
      </c>
      <c r="F420" s="2" t="s">
        <v>42</v>
      </c>
      <c r="G420" s="2">
        <v>66</v>
      </c>
      <c r="H420" s="2" t="s">
        <v>73</v>
      </c>
      <c r="I420" s="2" t="s">
        <v>54</v>
      </c>
      <c r="J420" s="2" t="s">
        <v>88</v>
      </c>
      <c r="K420" s="2" t="s">
        <v>215</v>
      </c>
      <c r="L420" s="6" t="s">
        <v>1443</v>
      </c>
      <c r="M420" s="2">
        <v>-66</v>
      </c>
      <c r="N420" s="2">
        <v>60</v>
      </c>
      <c r="O420" s="2">
        <v>148</v>
      </c>
      <c r="P420" s="2">
        <v>2055</v>
      </c>
      <c r="Q420" s="2">
        <v>604</v>
      </c>
      <c r="R420" s="2">
        <v>274</v>
      </c>
      <c r="S420" s="2">
        <v>1961</v>
      </c>
      <c r="T420" s="2">
        <v>774</v>
      </c>
      <c r="U420" s="2">
        <v>293</v>
      </c>
      <c r="V420" s="2">
        <v>72</v>
      </c>
      <c r="W420" s="2">
        <v>8640</v>
      </c>
      <c r="X420" s="9">
        <v>-502559</v>
      </c>
      <c r="Y420" s="2" t="s">
        <v>36</v>
      </c>
      <c r="AA420" s="1" t="str">
        <f>TRIM(RPG_dataset[[#This Row],[Username]])</f>
        <v>mora_890</v>
      </c>
      <c r="AB420" s="1" t="str">
        <f>TRIM(RPG_dataset[[#This Row],[First Name]])</f>
        <v>Mora</v>
      </c>
      <c r="AC420" s="1" t="str">
        <f>PROPER(TRIM(RPG_dataset[[#This Row],[Race]]))</f>
        <v>Dragonborn</v>
      </c>
      <c r="AD420" s="1" t="str">
        <f>PROPER(TRIM(RPG_dataset[[#This Row],[Class]]))</f>
        <v>Monk</v>
      </c>
      <c r="AE420" s="1">
        <f>ABS(RPG_dataset[[#This Row],[Level]])</f>
        <v>66</v>
      </c>
      <c r="AF420" s="1">
        <f>ABS(RPG_dataset[[#This Row],[ATK]])</f>
        <v>66</v>
      </c>
      <c r="AG420" s="1">
        <f>ABS(RPG_dataset[[#This Row],[DEF]])</f>
        <v>60</v>
      </c>
      <c r="AH420" s="1">
        <f>ABS(RPG_dataset[[#This Row],[SPD]])</f>
        <v>148</v>
      </c>
      <c r="AI420" s="1">
        <f>ABS(RPG_dataset[[#This Row],[HP]])</f>
        <v>2055</v>
      </c>
      <c r="AJ420" s="1">
        <f>ABS(RPG_dataset[[#This Row],[MP]])</f>
        <v>604</v>
      </c>
      <c r="AK420" s="1">
        <f>ABS(RPG_dataset[[#This Row],[Total Stat]])</f>
        <v>274</v>
      </c>
      <c r="AL420" s="1">
        <f>ABS(RPG_dataset[[#This Row],[Kills]])</f>
        <v>1961</v>
      </c>
      <c r="AM420" s="12">
        <f>ABS(RPG_dataset[[#This Row],[Win Rate (%)]])</f>
        <v>72</v>
      </c>
      <c r="AN420" s="4">
        <f>ABS(RPG_dataset[[#This Row],[Gold Earned]])</f>
        <v>502559</v>
      </c>
      <c r="AO420" s="5" t="str">
        <f t="shared" si="6"/>
        <v>OK</v>
      </c>
      <c r="AP420" s="5">
        <f>RANK(clean[[#This Row],[Clean Gold]],clean[Clean Gold], 0)</f>
        <v>250</v>
      </c>
      <c r="AQ420" s="1">
        <v>-255</v>
      </c>
      <c r="AR420" s="1" t="str" cm="1">
        <f t="array" ref="AR420">_xlfn.IFS(clean[[#This Row],[Clean Level]]&gt;=76, "Legend", clean[[#This Row],[Clean Level]]&gt;=51, "Elite", clean[[#This Row],[Clean Level]]&gt;=26, "Veteran", TRUE, "Rookie")</f>
        <v>Elite</v>
      </c>
      <c r="AS420" s="1" t="str">
        <f>IF(RPG_dataset[[#This Row],[Status]]="Active", "TRUE", "FALSE")</f>
        <v>FALSE</v>
      </c>
      <c r="AT420" s="1" t="str" cm="1">
        <f t="array" ref="AT420">_xlfn.IFS(clean[[#This Row],[Clean Win Rate]]&gt;70, "Excellent", clean[[#This Row],[Clean Win Rate]]&gt;=40, "Average", TRUE, "Poor")</f>
        <v>Excellent</v>
      </c>
      <c r="AU420" s="1" t="str">
        <f>IF(AND(clean[[#This Row],[Clean Level]]&gt;80, clean[[#This Row],[Clean Total Stat]]&gt;350, clean[[#This Row],[Clean Gold]]&gt;500000), "Overpowered", "Normal")</f>
        <v>Normal</v>
      </c>
      <c r="AV420" s="1" t="str" cm="1">
        <f t="array" ref="AV420">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420" s="1" t="str" cm="1">
        <f t="array" ref="AW42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20" s="1"/>
    </row>
    <row r="421" spans="1:50" x14ac:dyDescent="0.3">
      <c r="A421" s="2" t="s">
        <v>1444</v>
      </c>
      <c r="B421" s="2" t="s">
        <v>1445</v>
      </c>
      <c r="C421" s="2" t="s">
        <v>58</v>
      </c>
      <c r="D421" s="2" t="s">
        <v>75</v>
      </c>
      <c r="E421" s="2" t="s">
        <v>169</v>
      </c>
      <c r="F421" s="2" t="s">
        <v>61</v>
      </c>
      <c r="G421" s="2">
        <v>92</v>
      </c>
      <c r="H421" s="2" t="s">
        <v>80</v>
      </c>
      <c r="I421" s="2" t="s">
        <v>63</v>
      </c>
      <c r="J421" s="2" t="s">
        <v>33</v>
      </c>
      <c r="K421" s="2" t="s">
        <v>44</v>
      </c>
      <c r="L421" s="6" t="s">
        <v>1446</v>
      </c>
      <c r="M421" s="2">
        <v>11</v>
      </c>
      <c r="N421" s="2">
        <v>148</v>
      </c>
      <c r="O421" s="2">
        <v>134</v>
      </c>
      <c r="P421" s="2">
        <v>3082</v>
      </c>
      <c r="Q421" s="2">
        <v>602</v>
      </c>
      <c r="R421" s="2">
        <v>293</v>
      </c>
      <c r="S421" s="2">
        <v>16</v>
      </c>
      <c r="T421" s="2">
        <v>938</v>
      </c>
      <c r="U421" s="2">
        <v>284</v>
      </c>
      <c r="V421" s="2">
        <v>2</v>
      </c>
      <c r="W421" s="2">
        <v>47</v>
      </c>
      <c r="X421" s="9">
        <v>45907</v>
      </c>
      <c r="Y421" s="2" t="s">
        <v>36</v>
      </c>
      <c r="AA421" s="1" t="str">
        <f>TRIM(RPG_dataset[[#This Row],[Username]])</f>
        <v>kael_506</v>
      </c>
      <c r="AB421" s="1" t="str">
        <f>TRIM(RPG_dataset[[#This Row],[First Name]])</f>
        <v>Kael</v>
      </c>
      <c r="AC421" s="1" t="str">
        <f>PROPER(TRIM(RPG_dataset[[#This Row],[Race]]))</f>
        <v>Halfling</v>
      </c>
      <c r="AD421" s="1" t="str">
        <f>PROPER(TRIM(RPG_dataset[[#This Row],[Class]]))</f>
        <v>Ranger</v>
      </c>
      <c r="AE421" s="1">
        <f>ABS(RPG_dataset[[#This Row],[Level]])</f>
        <v>92</v>
      </c>
      <c r="AF421" s="1">
        <f>ABS(RPG_dataset[[#This Row],[ATK]])</f>
        <v>11</v>
      </c>
      <c r="AG421" s="1">
        <f>ABS(RPG_dataset[[#This Row],[DEF]])</f>
        <v>148</v>
      </c>
      <c r="AH421" s="1">
        <f>ABS(RPG_dataset[[#This Row],[SPD]])</f>
        <v>134</v>
      </c>
      <c r="AI421" s="1">
        <f>ABS(RPG_dataset[[#This Row],[HP]])</f>
        <v>3082</v>
      </c>
      <c r="AJ421" s="1">
        <f>ABS(RPG_dataset[[#This Row],[MP]])</f>
        <v>602</v>
      </c>
      <c r="AK421" s="1">
        <f>ABS(RPG_dataset[[#This Row],[Total Stat]])</f>
        <v>293</v>
      </c>
      <c r="AL421" s="1">
        <f>ABS(RPG_dataset[[#This Row],[Kills]])</f>
        <v>16</v>
      </c>
      <c r="AM421" s="12">
        <f>ABS(RPG_dataset[[#This Row],[Win Rate (%)]])</f>
        <v>2</v>
      </c>
      <c r="AN421" s="4">
        <f>ABS(RPG_dataset[[#This Row],[Gold Earned]])</f>
        <v>45907</v>
      </c>
      <c r="AO421" s="5" t="str">
        <f t="shared" si="6"/>
        <v>OK</v>
      </c>
      <c r="AP421" s="5">
        <f>RANK(clean[[#This Row],[Clean Gold]],clean[Clean Gold], 0)</f>
        <v>460</v>
      </c>
      <c r="AQ421" s="1">
        <v>170</v>
      </c>
      <c r="AR421" s="1" t="str" cm="1">
        <f t="array" ref="AR421">_xlfn.IFS(clean[[#This Row],[Clean Level]]&gt;=76, "Legend", clean[[#This Row],[Clean Level]]&gt;=51, "Elite", clean[[#This Row],[Clean Level]]&gt;=26, "Veteran", TRUE, "Rookie")</f>
        <v>Legend</v>
      </c>
      <c r="AS421" s="1" t="str">
        <f>IF(RPG_dataset[[#This Row],[Status]]="Active", "TRUE", "FALSE")</f>
        <v>TRUE</v>
      </c>
      <c r="AT421" s="1" t="str" cm="1">
        <f t="array" ref="AT421">_xlfn.IFS(clean[[#This Row],[Clean Win Rate]]&gt;70, "Excellent", clean[[#This Row],[Clean Win Rate]]&gt;=40, "Average", TRUE, "Poor")</f>
        <v>Poor</v>
      </c>
      <c r="AU421" s="1" t="str">
        <f>IF(AND(clean[[#This Row],[Clean Level]]&gt;80, clean[[#This Row],[Clean Total Stat]]&gt;350, clean[[#This Row],[Clean Gold]]&gt;500000), "Overpowered", "Normal")</f>
        <v>Normal</v>
      </c>
      <c r="AV421" s="1" t="str" cm="1">
        <f t="array" ref="AV42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21" s="1" t="str" cm="1">
        <f t="array" ref="AW42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21" s="1"/>
    </row>
    <row r="422" spans="1:50" x14ac:dyDescent="0.3">
      <c r="A422" s="2" t="s">
        <v>1447</v>
      </c>
      <c r="B422" s="2" t="s">
        <v>1448</v>
      </c>
      <c r="C422" s="2" t="s">
        <v>79</v>
      </c>
      <c r="D422" s="2" t="s">
        <v>144</v>
      </c>
      <c r="E422" s="2" t="s">
        <v>75</v>
      </c>
      <c r="F422" s="2" t="s">
        <v>124</v>
      </c>
      <c r="G422" s="2">
        <v>42</v>
      </c>
      <c r="H422" s="2" t="s">
        <v>125</v>
      </c>
      <c r="I422" s="2" t="s">
        <v>54</v>
      </c>
      <c r="J422" s="2" t="s">
        <v>64</v>
      </c>
      <c r="K422" s="2" t="s">
        <v>44</v>
      </c>
      <c r="L422" s="6" t="s">
        <v>1449</v>
      </c>
      <c r="M422" s="2">
        <v>127</v>
      </c>
      <c r="N422" s="2">
        <v>10</v>
      </c>
      <c r="O422" s="2">
        <v>147</v>
      </c>
      <c r="P422" s="2">
        <v>1379</v>
      </c>
      <c r="Q422" s="2">
        <v>1681</v>
      </c>
      <c r="R422" s="2">
        <v>284</v>
      </c>
      <c r="S422" s="2"/>
      <c r="T422" s="2">
        <v>874</v>
      </c>
      <c r="U422" s="2">
        <v>81</v>
      </c>
      <c r="V422" s="2">
        <v>72</v>
      </c>
      <c r="W422" s="2">
        <v>8561</v>
      </c>
      <c r="X422" s="9">
        <v>354305</v>
      </c>
      <c r="Y422" s="2" t="s">
        <v>36</v>
      </c>
      <c r="AA422" s="1" t="str">
        <f>TRIM(RPG_dataset[[#This Row],[Username]])</f>
        <v>mira_924</v>
      </c>
      <c r="AB422" s="1" t="str">
        <f>TRIM(RPG_dataset[[#This Row],[First Name]])</f>
        <v>Mira</v>
      </c>
      <c r="AC422" s="1" t="str">
        <f>PROPER(TRIM(RPG_dataset[[#This Row],[Race]]))</f>
        <v/>
      </c>
      <c r="AD422" s="1" t="str">
        <f>PROPER(TRIM(RPG_dataset[[#This Row],[Class]]))</f>
        <v>Necromancer</v>
      </c>
      <c r="AE422" s="1">
        <f>ABS(RPG_dataset[[#This Row],[Level]])</f>
        <v>42</v>
      </c>
      <c r="AF422" s="1">
        <f>ABS(RPG_dataset[[#This Row],[ATK]])</f>
        <v>127</v>
      </c>
      <c r="AG422" s="1">
        <f>ABS(RPG_dataset[[#This Row],[DEF]])</f>
        <v>10</v>
      </c>
      <c r="AH422" s="1">
        <f>ABS(RPG_dataset[[#This Row],[SPD]])</f>
        <v>147</v>
      </c>
      <c r="AI422" s="1">
        <f>ABS(RPG_dataset[[#This Row],[HP]])</f>
        <v>1379</v>
      </c>
      <c r="AJ422" s="1">
        <f>ABS(RPG_dataset[[#This Row],[MP]])</f>
        <v>1681</v>
      </c>
      <c r="AK422" s="1">
        <f>ABS(RPG_dataset[[#This Row],[Total Stat]])</f>
        <v>284</v>
      </c>
      <c r="AL422" s="1">
        <f>ABS(RPG_dataset[[#This Row],[Kills]])</f>
        <v>0</v>
      </c>
      <c r="AM422" s="12">
        <f>ABS(RPG_dataset[[#This Row],[Win Rate (%)]])</f>
        <v>72</v>
      </c>
      <c r="AN422" s="4">
        <f>ABS(RPG_dataset[[#This Row],[Gold Earned]])</f>
        <v>354305</v>
      </c>
      <c r="AO422" s="5" t="str">
        <f t="shared" si="6"/>
        <v>OK</v>
      </c>
      <c r="AP422" s="5">
        <f>RANK(clean[[#This Row],[Clean Gold]],clean[Clean Gold], 0)</f>
        <v>328</v>
      </c>
      <c r="AQ422" s="1">
        <v>122</v>
      </c>
      <c r="AR422" s="1" t="str" cm="1">
        <f t="array" ref="AR422">_xlfn.IFS(clean[[#This Row],[Clean Level]]&gt;=76, "Legend", clean[[#This Row],[Clean Level]]&gt;=51, "Elite", clean[[#This Row],[Clean Level]]&gt;=26, "Veteran", TRUE, "Rookie")</f>
        <v>Veteran</v>
      </c>
      <c r="AS422" s="1" t="str">
        <f>IF(RPG_dataset[[#This Row],[Status]]="Active", "TRUE", "FALSE")</f>
        <v>TRUE</v>
      </c>
      <c r="AT422" s="1" t="str" cm="1">
        <f t="array" ref="AT422">_xlfn.IFS(clean[[#This Row],[Clean Win Rate]]&gt;70, "Excellent", clean[[#This Row],[Clean Win Rate]]&gt;=40, "Average", TRUE, "Poor")</f>
        <v>Excellent</v>
      </c>
      <c r="AU422" s="1" t="str">
        <f>IF(AND(clean[[#This Row],[Clean Level]]&gt;80, clean[[#This Row],[Clean Total Stat]]&gt;350, clean[[#This Row],[Clean Gold]]&gt;500000), "Overpowered", "Normal")</f>
        <v>Normal</v>
      </c>
      <c r="AV422" s="1" t="str" cm="1">
        <f t="array" ref="AV42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22" s="1" t="str" cm="1">
        <f t="array" ref="AW42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22" s="1"/>
    </row>
    <row r="423" spans="1:50" x14ac:dyDescent="0.3">
      <c r="A423" s="2" t="s">
        <v>1450</v>
      </c>
      <c r="B423" s="2" t="s">
        <v>1451</v>
      </c>
      <c r="C423" s="2" t="s">
        <v>693</v>
      </c>
      <c r="D423" s="2" t="s">
        <v>40</v>
      </c>
      <c r="E423" s="2" t="s">
        <v>105</v>
      </c>
      <c r="F423" s="2" t="s">
        <v>42</v>
      </c>
      <c r="G423" s="2">
        <v>31</v>
      </c>
      <c r="H423" s="2" t="s">
        <v>125</v>
      </c>
      <c r="I423" s="2" t="s">
        <v>140</v>
      </c>
      <c r="J423" s="2" t="s">
        <v>111</v>
      </c>
      <c r="K423" s="2" t="s">
        <v>106</v>
      </c>
      <c r="L423" s="6" t="s">
        <v>1452</v>
      </c>
      <c r="M423" s="2">
        <v>34</v>
      </c>
      <c r="N423" s="2">
        <v>23</v>
      </c>
      <c r="O423" s="2">
        <v>52</v>
      </c>
      <c r="P423" s="2">
        <v>2029</v>
      </c>
      <c r="Q423" s="2">
        <v>357</v>
      </c>
      <c r="R423" s="2">
        <v>109</v>
      </c>
      <c r="S423" s="2">
        <v>4966</v>
      </c>
      <c r="T423" s="2">
        <v>901</v>
      </c>
      <c r="U423" s="2">
        <v>167</v>
      </c>
      <c r="V423" s="2">
        <v>85</v>
      </c>
      <c r="W423" s="2">
        <v>7122</v>
      </c>
      <c r="X423" s="9">
        <v>84095</v>
      </c>
      <c r="Y423" s="2" t="s">
        <v>36</v>
      </c>
      <c r="AA423" s="1" t="str">
        <f>TRIM(RPG_dataset[[#This Row],[Username]])</f>
        <v>elara_148</v>
      </c>
      <c r="AB423" s="1" t="str">
        <f>TRIM(RPG_dataset[[#This Row],[First Name]])</f>
        <v>Elara</v>
      </c>
      <c r="AC423" s="1" t="str">
        <f>PROPER(TRIM(RPG_dataset[[#This Row],[Race]]))</f>
        <v>Orc</v>
      </c>
      <c r="AD423" s="1" t="str">
        <f>PROPER(TRIM(RPG_dataset[[#This Row],[Class]]))</f>
        <v>Monk</v>
      </c>
      <c r="AE423" s="1">
        <f>ABS(RPG_dataset[[#This Row],[Level]])</f>
        <v>31</v>
      </c>
      <c r="AF423" s="1">
        <f>ABS(RPG_dataset[[#This Row],[ATK]])</f>
        <v>34</v>
      </c>
      <c r="AG423" s="1">
        <f>ABS(RPG_dataset[[#This Row],[DEF]])</f>
        <v>23</v>
      </c>
      <c r="AH423" s="1">
        <f>ABS(RPG_dataset[[#This Row],[SPD]])</f>
        <v>52</v>
      </c>
      <c r="AI423" s="1">
        <f>ABS(RPG_dataset[[#This Row],[HP]])</f>
        <v>2029</v>
      </c>
      <c r="AJ423" s="1">
        <f>ABS(RPG_dataset[[#This Row],[MP]])</f>
        <v>357</v>
      </c>
      <c r="AK423" s="1">
        <f>ABS(RPG_dataset[[#This Row],[Total Stat]])</f>
        <v>109</v>
      </c>
      <c r="AL423" s="1">
        <f>ABS(RPG_dataset[[#This Row],[Kills]])</f>
        <v>4966</v>
      </c>
      <c r="AM423" s="12">
        <f>ABS(RPG_dataset[[#This Row],[Win Rate (%)]])</f>
        <v>85</v>
      </c>
      <c r="AN423" s="4">
        <f>ABS(RPG_dataset[[#This Row],[Gold Earned]])</f>
        <v>84095</v>
      </c>
      <c r="AO423" s="5" t="str">
        <f t="shared" si="6"/>
        <v>OK</v>
      </c>
      <c r="AP423" s="5">
        <f>RANK(clean[[#This Row],[Clean Gold]],clean[Clean Gold], 0)</f>
        <v>445</v>
      </c>
      <c r="AQ423" s="1">
        <v>199</v>
      </c>
      <c r="AR423" s="1" t="str" cm="1">
        <f t="array" ref="AR423">_xlfn.IFS(clean[[#This Row],[Clean Level]]&gt;=76, "Legend", clean[[#This Row],[Clean Level]]&gt;=51, "Elite", clean[[#This Row],[Clean Level]]&gt;=26, "Veteran", TRUE, "Rookie")</f>
        <v>Veteran</v>
      </c>
      <c r="AS423" s="1" t="str">
        <f>IF(RPG_dataset[[#This Row],[Status]]="Active", "TRUE", "FALSE")</f>
        <v>FALSE</v>
      </c>
      <c r="AT423" s="1" t="str" cm="1">
        <f t="array" ref="AT423">_xlfn.IFS(clean[[#This Row],[Clean Win Rate]]&gt;70, "Excellent", clean[[#This Row],[Clean Win Rate]]&gt;=40, "Average", TRUE, "Poor")</f>
        <v>Excellent</v>
      </c>
      <c r="AU423" s="1" t="str">
        <f>IF(AND(clean[[#This Row],[Clean Level]]&gt;80, clean[[#This Row],[Clean Total Stat]]&gt;350, clean[[#This Row],[Clean Gold]]&gt;500000), "Overpowered", "Normal")</f>
        <v>Normal</v>
      </c>
      <c r="AV423" s="1" t="str" cm="1">
        <f t="array" ref="AV42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23" s="1" t="str" cm="1">
        <f t="array" ref="AW42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423" s="1"/>
    </row>
    <row r="424" spans="1:50" x14ac:dyDescent="0.3">
      <c r="A424" s="2" t="s">
        <v>1453</v>
      </c>
      <c r="B424" s="2" t="s">
        <v>1454</v>
      </c>
      <c r="C424" s="2" t="s">
        <v>223</v>
      </c>
      <c r="D424" s="2" t="s">
        <v>349</v>
      </c>
      <c r="E424" s="2" t="s">
        <v>169</v>
      </c>
      <c r="F424" s="2" t="s">
        <v>72</v>
      </c>
      <c r="G424" s="2">
        <v>51</v>
      </c>
      <c r="H424" s="2" t="s">
        <v>62</v>
      </c>
      <c r="I424" s="2" t="s">
        <v>54</v>
      </c>
      <c r="J424" s="2" t="s">
        <v>163</v>
      </c>
      <c r="K424" s="2" t="s">
        <v>44</v>
      </c>
      <c r="L424" s="6" t="s">
        <v>1455</v>
      </c>
      <c r="M424" s="2">
        <v>146</v>
      </c>
      <c r="N424" s="2">
        <v>140</v>
      </c>
      <c r="O424" s="2">
        <v>124</v>
      </c>
      <c r="P424" s="2">
        <v>3321</v>
      </c>
      <c r="Q424" s="2">
        <v>1288</v>
      </c>
      <c r="R424" s="2">
        <v>410</v>
      </c>
      <c r="S424" s="2">
        <v>3914</v>
      </c>
      <c r="T424" s="2">
        <v>902</v>
      </c>
      <c r="U424" s="2">
        <v>48</v>
      </c>
      <c r="V424" s="2">
        <v>81</v>
      </c>
      <c r="W424" s="2">
        <v>9993</v>
      </c>
      <c r="X424" s="9">
        <v>291652</v>
      </c>
      <c r="Y424" s="2" t="s">
        <v>46</v>
      </c>
      <c r="AA424" s="1" t="str">
        <f>TRIM(RPG_dataset[[#This Row],[Username]])</f>
        <v>lyra_742</v>
      </c>
      <c r="AB424" s="1" t="str">
        <f>TRIM(RPG_dataset[[#This Row],[First Name]])</f>
        <v>Lyra</v>
      </c>
      <c r="AC424" s="1" t="str">
        <f>PROPER(TRIM(RPG_dataset[[#This Row],[Race]]))</f>
        <v>Halfling</v>
      </c>
      <c r="AD424" s="1" t="str">
        <f>PROPER(TRIM(RPG_dataset[[#This Row],[Class]]))</f>
        <v>Warrior</v>
      </c>
      <c r="AE424" s="1">
        <f>ABS(RPG_dataset[[#This Row],[Level]])</f>
        <v>51</v>
      </c>
      <c r="AF424" s="1">
        <f>ABS(RPG_dataset[[#This Row],[ATK]])</f>
        <v>146</v>
      </c>
      <c r="AG424" s="1">
        <f>ABS(RPG_dataset[[#This Row],[DEF]])</f>
        <v>140</v>
      </c>
      <c r="AH424" s="1">
        <f>ABS(RPG_dataset[[#This Row],[SPD]])</f>
        <v>124</v>
      </c>
      <c r="AI424" s="1">
        <f>ABS(RPG_dataset[[#This Row],[HP]])</f>
        <v>3321</v>
      </c>
      <c r="AJ424" s="1">
        <f>ABS(RPG_dataset[[#This Row],[MP]])</f>
        <v>1288</v>
      </c>
      <c r="AK424" s="1">
        <f>ABS(RPG_dataset[[#This Row],[Total Stat]])</f>
        <v>410</v>
      </c>
      <c r="AL424" s="1">
        <f>ABS(RPG_dataset[[#This Row],[Kills]])</f>
        <v>3914</v>
      </c>
      <c r="AM424" s="12">
        <f>ABS(RPG_dataset[[#This Row],[Win Rate (%)]])</f>
        <v>81</v>
      </c>
      <c r="AN424" s="4">
        <f>ABS(RPG_dataset[[#This Row],[Gold Earned]])</f>
        <v>291652</v>
      </c>
      <c r="AO424" s="5" t="str">
        <f t="shared" si="6"/>
        <v>OK</v>
      </c>
      <c r="AP424" s="5">
        <f>RANK(clean[[#This Row],[Clean Gold]],clean[Clean Gold], 0)</f>
        <v>355</v>
      </c>
      <c r="AQ424" s="1">
        <v>217</v>
      </c>
      <c r="AR424" s="1" t="str" cm="1">
        <f t="array" ref="AR424">_xlfn.IFS(clean[[#This Row],[Clean Level]]&gt;=76, "Legend", clean[[#This Row],[Clean Level]]&gt;=51, "Elite", clean[[#This Row],[Clean Level]]&gt;=26, "Veteran", TRUE, "Rookie")</f>
        <v>Elite</v>
      </c>
      <c r="AS424" s="1" t="str">
        <f>IF(RPG_dataset[[#This Row],[Status]]="Active", "TRUE", "FALSE")</f>
        <v>TRUE</v>
      </c>
      <c r="AT424" s="1" t="str" cm="1">
        <f t="array" ref="AT424">_xlfn.IFS(clean[[#This Row],[Clean Win Rate]]&gt;70, "Excellent", clean[[#This Row],[Clean Win Rate]]&gt;=40, "Average", TRUE, "Poor")</f>
        <v>Excellent</v>
      </c>
      <c r="AU424" s="1" t="str">
        <f>IF(AND(clean[[#This Row],[Clean Level]]&gt;80, clean[[#This Row],[Clean Total Stat]]&gt;350, clean[[#This Row],[Clean Gold]]&gt;500000), "Overpowered", "Normal")</f>
        <v>Normal</v>
      </c>
      <c r="AV424" s="1" t="str" cm="1">
        <f t="array" ref="AV42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24" s="1" t="str" cm="1">
        <f t="array" ref="AW42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Squad Inti</v>
      </c>
      <c r="AX424" s="1"/>
    </row>
    <row r="425" spans="1:50" x14ac:dyDescent="0.3">
      <c r="A425" s="2" t="s">
        <v>1456</v>
      </c>
      <c r="B425" s="2" t="s">
        <v>1457</v>
      </c>
      <c r="C425" s="2" t="s">
        <v>39</v>
      </c>
      <c r="D425" s="2" t="s">
        <v>174</v>
      </c>
      <c r="E425" s="2" t="s">
        <v>71</v>
      </c>
      <c r="F425" s="2" t="s">
        <v>124</v>
      </c>
      <c r="G425" s="2">
        <v>30</v>
      </c>
      <c r="H425" s="2" t="s">
        <v>31</v>
      </c>
      <c r="I425" s="2" t="s">
        <v>140</v>
      </c>
      <c r="J425" s="2" t="s">
        <v>33</v>
      </c>
      <c r="K425" s="2" t="s">
        <v>99</v>
      </c>
      <c r="L425" s="6" t="s">
        <v>1458</v>
      </c>
      <c r="M425" s="2">
        <v>69</v>
      </c>
      <c r="N425" s="2">
        <v>69</v>
      </c>
      <c r="O425" s="2">
        <v>101</v>
      </c>
      <c r="P425" s="2">
        <v>503</v>
      </c>
      <c r="Q425" s="2">
        <v>2505</v>
      </c>
      <c r="R425" s="2">
        <v>239</v>
      </c>
      <c r="S425" s="2">
        <v>4945</v>
      </c>
      <c r="T425" s="2">
        <v>707</v>
      </c>
      <c r="U425" s="2">
        <v>175</v>
      </c>
      <c r="V425" s="2">
        <v>87</v>
      </c>
      <c r="W425" s="2">
        <v>7987</v>
      </c>
      <c r="X425" s="9">
        <v>986359</v>
      </c>
      <c r="Y425" s="2" t="s">
        <v>46</v>
      </c>
      <c r="AA425" s="1" t="str">
        <f>TRIM(RPG_dataset[[#This Row],[Username]])</f>
        <v>yara_325</v>
      </c>
      <c r="AB425" s="1" t="str">
        <f>TRIM(RPG_dataset[[#This Row],[First Name]])</f>
        <v>Yara</v>
      </c>
      <c r="AC425" s="1" t="str">
        <f>PROPER(TRIM(RPG_dataset[[#This Row],[Race]]))</f>
        <v>Dragonborn</v>
      </c>
      <c r="AD425" s="1" t="str">
        <f>PROPER(TRIM(RPG_dataset[[#This Row],[Class]]))</f>
        <v>Necromancer</v>
      </c>
      <c r="AE425" s="1">
        <f>ABS(RPG_dataset[[#This Row],[Level]])</f>
        <v>30</v>
      </c>
      <c r="AF425" s="1">
        <f>ABS(RPG_dataset[[#This Row],[ATK]])</f>
        <v>69</v>
      </c>
      <c r="AG425" s="1">
        <f>ABS(RPG_dataset[[#This Row],[DEF]])</f>
        <v>69</v>
      </c>
      <c r="AH425" s="1">
        <f>ABS(RPG_dataset[[#This Row],[SPD]])</f>
        <v>101</v>
      </c>
      <c r="AI425" s="1">
        <f>ABS(RPG_dataset[[#This Row],[HP]])</f>
        <v>503</v>
      </c>
      <c r="AJ425" s="1">
        <f>ABS(RPG_dataset[[#This Row],[MP]])</f>
        <v>2505</v>
      </c>
      <c r="AK425" s="1">
        <f>ABS(RPG_dataset[[#This Row],[Total Stat]])</f>
        <v>239</v>
      </c>
      <c r="AL425" s="1">
        <f>ABS(RPG_dataset[[#This Row],[Kills]])</f>
        <v>4945</v>
      </c>
      <c r="AM425" s="12">
        <f>ABS(RPG_dataset[[#This Row],[Win Rate (%)]])</f>
        <v>87</v>
      </c>
      <c r="AN425" s="4">
        <f>ABS(RPG_dataset[[#This Row],[Gold Earned]])</f>
        <v>986359</v>
      </c>
      <c r="AO425" s="5" t="str">
        <f t="shared" si="6"/>
        <v>Fix This</v>
      </c>
      <c r="AP425" s="5">
        <f>RANK(clean[[#This Row],[Clean Gold]],clean[Clean Gold], 0)</f>
        <v>8</v>
      </c>
      <c r="AQ425" s="1">
        <v>207</v>
      </c>
      <c r="AR425" s="1" t="str" cm="1">
        <f t="array" ref="AR425">_xlfn.IFS(clean[[#This Row],[Clean Level]]&gt;=76, "Legend", clean[[#This Row],[Clean Level]]&gt;=51, "Elite", clean[[#This Row],[Clean Level]]&gt;=26, "Veteran", TRUE, "Rookie")</f>
        <v>Veteran</v>
      </c>
      <c r="AS425" s="1" t="str">
        <f>IF(RPG_dataset[[#This Row],[Status]]="Active", "TRUE", "FALSE")</f>
        <v>FALSE</v>
      </c>
      <c r="AT425" s="1" t="str" cm="1">
        <f t="array" ref="AT425">_xlfn.IFS(clean[[#This Row],[Clean Win Rate]]&gt;70, "Excellent", clean[[#This Row],[Clean Win Rate]]&gt;=40, "Average", TRUE, "Poor")</f>
        <v>Excellent</v>
      </c>
      <c r="AU425" s="1" t="str">
        <f>IF(AND(clean[[#This Row],[Clean Level]]&gt;80, clean[[#This Row],[Clean Total Stat]]&gt;350, clean[[#This Row],[Clean Gold]]&gt;500000), "Overpowered", "Normal")</f>
        <v>Normal</v>
      </c>
      <c r="AV425" s="1" t="str" cm="1">
        <f t="array" ref="AV42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25" s="1" t="str" cm="1">
        <f t="array" ref="AW42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425" s="1"/>
    </row>
    <row r="426" spans="1:50" x14ac:dyDescent="0.3">
      <c r="A426" s="2" t="s">
        <v>1459</v>
      </c>
      <c r="B426" s="2" t="s">
        <v>1460</v>
      </c>
      <c r="C426" s="2" t="s">
        <v>238</v>
      </c>
      <c r="D426" s="2" t="s">
        <v>28</v>
      </c>
      <c r="E426" s="2" t="s">
        <v>60</v>
      </c>
      <c r="F426" s="2" t="s">
        <v>98</v>
      </c>
      <c r="G426" s="2">
        <v>52</v>
      </c>
      <c r="H426" s="2" t="s">
        <v>73</v>
      </c>
      <c r="I426" s="2" t="s">
        <v>63</v>
      </c>
      <c r="J426" s="2" t="s">
        <v>88</v>
      </c>
      <c r="K426" s="2" t="s">
        <v>34</v>
      </c>
      <c r="L426" s="6" t="s">
        <v>1461</v>
      </c>
      <c r="M426" s="2">
        <v>28</v>
      </c>
      <c r="N426" s="2">
        <v>73</v>
      </c>
      <c r="O426" s="2">
        <v>143</v>
      </c>
      <c r="P426" s="2"/>
      <c r="Q426" s="2">
        <v>2246</v>
      </c>
      <c r="R426" s="2">
        <v>244</v>
      </c>
      <c r="S426" s="2">
        <v>3585</v>
      </c>
      <c r="T426" s="2">
        <v>450</v>
      </c>
      <c r="U426" s="2">
        <v>205</v>
      </c>
      <c r="V426" s="2">
        <v>89</v>
      </c>
      <c r="W426" s="2">
        <v>4798</v>
      </c>
      <c r="X426" s="9">
        <v>424915</v>
      </c>
      <c r="Y426" s="2" t="s">
        <v>46</v>
      </c>
      <c r="AA426" s="1" t="str">
        <f>TRIM(RPG_dataset[[#This Row],[Username]])</f>
        <v>cael_856</v>
      </c>
      <c r="AB426" s="1" t="str">
        <f>TRIM(RPG_dataset[[#This Row],[First Name]])</f>
        <v>Cael</v>
      </c>
      <c r="AC426" s="1" t="str">
        <f>PROPER(TRIM(RPG_dataset[[#This Row],[Race]]))</f>
        <v>Human</v>
      </c>
      <c r="AD426" s="1" t="str">
        <f>PROPER(TRIM(RPG_dataset[[#This Row],[Class]]))</f>
        <v>Mage</v>
      </c>
      <c r="AE426" s="1">
        <f>ABS(RPG_dataset[[#This Row],[Level]])</f>
        <v>52</v>
      </c>
      <c r="AF426" s="1">
        <f>ABS(RPG_dataset[[#This Row],[ATK]])</f>
        <v>28</v>
      </c>
      <c r="AG426" s="1">
        <f>ABS(RPG_dataset[[#This Row],[DEF]])</f>
        <v>73</v>
      </c>
      <c r="AH426" s="1">
        <f>ABS(RPG_dataset[[#This Row],[SPD]])</f>
        <v>143</v>
      </c>
      <c r="AI426" s="1">
        <f>ABS(RPG_dataset[[#This Row],[HP]])</f>
        <v>0</v>
      </c>
      <c r="AJ426" s="1">
        <f>ABS(RPG_dataset[[#This Row],[MP]])</f>
        <v>2246</v>
      </c>
      <c r="AK426" s="1">
        <f>ABS(RPG_dataset[[#This Row],[Total Stat]])</f>
        <v>244</v>
      </c>
      <c r="AL426" s="1">
        <f>ABS(RPG_dataset[[#This Row],[Kills]])</f>
        <v>3585</v>
      </c>
      <c r="AM426" s="12">
        <f>ABS(RPG_dataset[[#This Row],[Win Rate (%)]])</f>
        <v>89</v>
      </c>
      <c r="AN426" s="4">
        <f>ABS(RPG_dataset[[#This Row],[Gold Earned]])</f>
        <v>424915</v>
      </c>
      <c r="AO426" s="5" t="str">
        <f t="shared" si="6"/>
        <v>OK</v>
      </c>
      <c r="AP426" s="5">
        <f>RANK(clean[[#This Row],[Clean Gold]],clean[Clean Gold], 0)</f>
        <v>294</v>
      </c>
      <c r="AQ426" s="1">
        <v>200</v>
      </c>
      <c r="AR426" s="1" t="str" cm="1">
        <f t="array" ref="AR426">_xlfn.IFS(clean[[#This Row],[Clean Level]]&gt;=76, "Legend", clean[[#This Row],[Clean Level]]&gt;=51, "Elite", clean[[#This Row],[Clean Level]]&gt;=26, "Veteran", TRUE, "Rookie")</f>
        <v>Elite</v>
      </c>
      <c r="AS426" s="1" t="str">
        <f>IF(RPG_dataset[[#This Row],[Status]]="Active", "TRUE", "FALSE")</f>
        <v>FALSE</v>
      </c>
      <c r="AT426" s="1" t="str" cm="1">
        <f t="array" ref="AT426">_xlfn.IFS(clean[[#This Row],[Clean Win Rate]]&gt;70, "Excellent", clean[[#This Row],[Clean Win Rate]]&gt;=40, "Average", TRUE, "Poor")</f>
        <v>Excellent</v>
      </c>
      <c r="AU426" s="1" t="str">
        <f>IF(AND(clean[[#This Row],[Clean Level]]&gt;80, clean[[#This Row],[Clean Total Stat]]&gt;350, clean[[#This Row],[Clean Gold]]&gt;500000), "Overpowered", "Normal")</f>
        <v>Normal</v>
      </c>
      <c r="AV426" s="1" t="str" cm="1">
        <f t="array" ref="AV42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26" s="1" t="str" cm="1">
        <f t="array" ref="AW42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26" s="1"/>
    </row>
    <row r="427" spans="1:50" x14ac:dyDescent="0.3">
      <c r="A427" s="2" t="s">
        <v>1462</v>
      </c>
      <c r="B427" s="2" t="s">
        <v>1463</v>
      </c>
      <c r="C427" s="2" t="s">
        <v>253</v>
      </c>
      <c r="D427" s="2" t="s">
        <v>155</v>
      </c>
      <c r="E427" s="2" t="s">
        <v>41</v>
      </c>
      <c r="F427" s="2" t="s">
        <v>194</v>
      </c>
      <c r="G427" s="2">
        <v>33</v>
      </c>
      <c r="H427" s="2" t="s">
        <v>53</v>
      </c>
      <c r="I427" s="2" t="s">
        <v>126</v>
      </c>
      <c r="J427" s="2" t="s">
        <v>81</v>
      </c>
      <c r="K427" s="2" t="s">
        <v>34</v>
      </c>
      <c r="L427" s="6" t="s">
        <v>1464</v>
      </c>
      <c r="M427" s="2">
        <v>47</v>
      </c>
      <c r="N427" s="2">
        <v>49</v>
      </c>
      <c r="O427" s="2">
        <v>56</v>
      </c>
      <c r="P427" s="2">
        <v>480</v>
      </c>
      <c r="Q427" s="2">
        <v>2452</v>
      </c>
      <c r="R427" s="2">
        <v>152</v>
      </c>
      <c r="S427" s="2">
        <v>1513</v>
      </c>
      <c r="T427" s="2">
        <v>563</v>
      </c>
      <c r="U427" s="2">
        <v>123</v>
      </c>
      <c r="V427" s="2">
        <v>73</v>
      </c>
      <c r="W427" s="2">
        <v>2963</v>
      </c>
      <c r="X427" s="2"/>
      <c r="Y427" s="2" t="s">
        <v>36</v>
      </c>
      <c r="AA427" s="1" t="str">
        <f>TRIM(RPG_dataset[[#This Row],[Username]])</f>
        <v>freya_712</v>
      </c>
      <c r="AB427" s="1" t="str">
        <f>TRIM(RPG_dataset[[#This Row],[First Name]])</f>
        <v>Freya</v>
      </c>
      <c r="AC427" s="1" t="str">
        <f>PROPER(TRIM(RPG_dataset[[#This Row],[Race]]))</f>
        <v>Gnome</v>
      </c>
      <c r="AD427" s="1" t="str">
        <f>PROPER(TRIM(RPG_dataset[[#This Row],[Class]]))</f>
        <v>Paladin</v>
      </c>
      <c r="AE427" s="1">
        <f>ABS(RPG_dataset[[#This Row],[Level]])</f>
        <v>33</v>
      </c>
      <c r="AF427" s="1">
        <f>ABS(RPG_dataset[[#This Row],[ATK]])</f>
        <v>47</v>
      </c>
      <c r="AG427" s="1">
        <f>ABS(RPG_dataset[[#This Row],[DEF]])</f>
        <v>49</v>
      </c>
      <c r="AH427" s="1">
        <f>ABS(RPG_dataset[[#This Row],[SPD]])</f>
        <v>56</v>
      </c>
      <c r="AI427" s="1">
        <f>ABS(RPG_dataset[[#This Row],[HP]])</f>
        <v>480</v>
      </c>
      <c r="AJ427" s="1">
        <f>ABS(RPG_dataset[[#This Row],[MP]])</f>
        <v>2452</v>
      </c>
      <c r="AK427" s="1">
        <f>ABS(RPG_dataset[[#This Row],[Total Stat]])</f>
        <v>152</v>
      </c>
      <c r="AL427" s="1">
        <f>ABS(RPG_dataset[[#This Row],[Kills]])</f>
        <v>1513</v>
      </c>
      <c r="AM427" s="12">
        <f>ABS(RPG_dataset[[#This Row],[Win Rate (%)]])</f>
        <v>73</v>
      </c>
      <c r="AN427" s="4">
        <f>ABS(RPG_dataset[[#This Row],[Gold Earned]])</f>
        <v>0</v>
      </c>
      <c r="AO427" s="5" t="str">
        <f t="shared" si="6"/>
        <v>OK</v>
      </c>
      <c r="AP427" s="5">
        <f>RANK(clean[[#This Row],[Clean Gold]],clean[Clean Gold], 0)</f>
        <v>486</v>
      </c>
      <c r="AQ427" s="1">
        <v>302</v>
      </c>
      <c r="AR427" s="1" t="str" cm="1">
        <f t="array" ref="AR427">_xlfn.IFS(clean[[#This Row],[Clean Level]]&gt;=76, "Legend", clean[[#This Row],[Clean Level]]&gt;=51, "Elite", clean[[#This Row],[Clean Level]]&gt;=26, "Veteran", TRUE, "Rookie")</f>
        <v>Veteran</v>
      </c>
      <c r="AS427" s="1" t="str">
        <f>IF(RPG_dataset[[#This Row],[Status]]="Active", "TRUE", "FALSE")</f>
        <v>FALSE</v>
      </c>
      <c r="AT427" s="1" t="str" cm="1">
        <f t="array" ref="AT427">_xlfn.IFS(clean[[#This Row],[Clean Win Rate]]&gt;70, "Excellent", clean[[#This Row],[Clean Win Rate]]&gt;=40, "Average", TRUE, "Poor")</f>
        <v>Excellent</v>
      </c>
      <c r="AU427" s="1" t="str">
        <f>IF(AND(clean[[#This Row],[Clean Level]]&gt;80, clean[[#This Row],[Clean Total Stat]]&gt;350, clean[[#This Row],[Clean Gold]]&gt;500000), "Overpowered", "Normal")</f>
        <v>Normal</v>
      </c>
      <c r="AV427" s="1" t="str" cm="1">
        <f t="array" ref="AV42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27" s="1" t="str" cm="1">
        <f t="array" ref="AW42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427" s="1"/>
    </row>
    <row r="428" spans="1:50" x14ac:dyDescent="0.3">
      <c r="A428" s="2" t="s">
        <v>1465</v>
      </c>
      <c r="B428" s="2" t="s">
        <v>1466</v>
      </c>
      <c r="C428" s="2" t="s">
        <v>223</v>
      </c>
      <c r="D428" s="2" t="s">
        <v>155</v>
      </c>
      <c r="E428" s="2" t="s">
        <v>60</v>
      </c>
      <c r="F428" s="2" t="s">
        <v>499</v>
      </c>
      <c r="G428" s="2"/>
      <c r="H428" s="2" t="s">
        <v>43</v>
      </c>
      <c r="I428" s="2" t="s">
        <v>87</v>
      </c>
      <c r="J428" s="2" t="s">
        <v>64</v>
      </c>
      <c r="K428" s="2" t="s">
        <v>44</v>
      </c>
      <c r="L428" s="6" t="s">
        <v>1467</v>
      </c>
      <c r="M428" s="2">
        <v>70</v>
      </c>
      <c r="N428" s="2">
        <v>25</v>
      </c>
      <c r="O428" s="2">
        <v>121</v>
      </c>
      <c r="P428" s="2">
        <v>4103</v>
      </c>
      <c r="Q428" s="2">
        <v>817</v>
      </c>
      <c r="R428" s="2">
        <v>216</v>
      </c>
      <c r="S428" s="2">
        <v>818</v>
      </c>
      <c r="T428" s="2">
        <v>948</v>
      </c>
      <c r="U428" s="2">
        <v>222</v>
      </c>
      <c r="V428" s="2">
        <v>46</v>
      </c>
      <c r="W428" s="2">
        <v>139</v>
      </c>
      <c r="X428" s="9">
        <v>161850</v>
      </c>
      <c r="Y428" s="2" t="s">
        <v>36</v>
      </c>
      <c r="AA428" s="1" t="str">
        <f>TRIM(RPG_dataset[[#This Row],[Username]])</f>
        <v>lyra_593</v>
      </c>
      <c r="AB428" s="1" t="str">
        <f>TRIM(RPG_dataset[[#This Row],[First Name]])</f>
        <v>Lyra</v>
      </c>
      <c r="AC428" s="1" t="str">
        <f>PROPER(TRIM(RPG_dataset[[#This Row],[Race]]))</f>
        <v>Human</v>
      </c>
      <c r="AD428" s="1" t="str">
        <f>PROPER(TRIM(RPG_dataset[[#This Row],[Class]]))</f>
        <v>Monk</v>
      </c>
      <c r="AE428" s="1">
        <f>ABS(RPG_dataset[[#This Row],[Level]])</f>
        <v>0</v>
      </c>
      <c r="AF428" s="1">
        <f>ABS(RPG_dataset[[#This Row],[ATK]])</f>
        <v>70</v>
      </c>
      <c r="AG428" s="1">
        <f>ABS(RPG_dataset[[#This Row],[DEF]])</f>
        <v>25</v>
      </c>
      <c r="AH428" s="1">
        <f>ABS(RPG_dataset[[#This Row],[SPD]])</f>
        <v>121</v>
      </c>
      <c r="AI428" s="1">
        <f>ABS(RPG_dataset[[#This Row],[HP]])</f>
        <v>4103</v>
      </c>
      <c r="AJ428" s="1">
        <f>ABS(RPG_dataset[[#This Row],[MP]])</f>
        <v>817</v>
      </c>
      <c r="AK428" s="1">
        <f>ABS(RPG_dataset[[#This Row],[Total Stat]])</f>
        <v>216</v>
      </c>
      <c r="AL428" s="1">
        <f>ABS(RPG_dataset[[#This Row],[Kills]])</f>
        <v>818</v>
      </c>
      <c r="AM428" s="12">
        <f>ABS(RPG_dataset[[#This Row],[Win Rate (%)]])</f>
        <v>46</v>
      </c>
      <c r="AN428" s="4">
        <f>ABS(RPG_dataset[[#This Row],[Gold Earned]])</f>
        <v>161850</v>
      </c>
      <c r="AO428" s="5" t="str">
        <f t="shared" si="6"/>
        <v>OK</v>
      </c>
      <c r="AP428" s="5">
        <f>RANK(clean[[#This Row],[Clean Gold]],clean[Clean Gold], 0)</f>
        <v>418</v>
      </c>
      <c r="AQ428" s="1">
        <v>274</v>
      </c>
      <c r="AR428" s="1" t="str" cm="1">
        <f t="array" ref="AR428">_xlfn.IFS(clean[[#This Row],[Clean Level]]&gt;=76, "Legend", clean[[#This Row],[Clean Level]]&gt;=51, "Elite", clean[[#This Row],[Clean Level]]&gt;=26, "Veteran", TRUE, "Rookie")</f>
        <v>Rookie</v>
      </c>
      <c r="AS428" s="1" t="str">
        <f>IF(RPG_dataset[[#This Row],[Status]]="Active", "TRUE", "FALSE")</f>
        <v>TRUE</v>
      </c>
      <c r="AT428" s="1" t="str" cm="1">
        <f t="array" ref="AT428">_xlfn.IFS(clean[[#This Row],[Clean Win Rate]]&gt;70, "Excellent", clean[[#This Row],[Clean Win Rate]]&gt;=40, "Average", TRUE, "Poor")</f>
        <v>Average</v>
      </c>
      <c r="AU428" s="1" t="str">
        <f>IF(AND(clean[[#This Row],[Clean Level]]&gt;80, clean[[#This Row],[Clean Total Stat]]&gt;350, clean[[#This Row],[Clean Gold]]&gt;500000), "Overpowered", "Normal")</f>
        <v>Normal</v>
      </c>
      <c r="AV428" s="1" t="str" cm="1">
        <f t="array" ref="AV42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28" s="1" t="str" cm="1">
        <f t="array" ref="AW42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28" s="1"/>
    </row>
    <row r="429" spans="1:50" x14ac:dyDescent="0.3">
      <c r="A429" s="2" t="s">
        <v>1468</v>
      </c>
      <c r="B429" s="2" t="s">
        <v>1469</v>
      </c>
      <c r="C429" s="2" t="s">
        <v>173</v>
      </c>
      <c r="D429" s="2" t="s">
        <v>144</v>
      </c>
      <c r="E429" s="2" t="s">
        <v>71</v>
      </c>
      <c r="F429" s="2" t="s">
        <v>72</v>
      </c>
      <c r="G429" s="2">
        <v>100</v>
      </c>
      <c r="H429" s="2" t="s">
        <v>157</v>
      </c>
      <c r="I429" s="2" t="s">
        <v>74</v>
      </c>
      <c r="J429" s="2" t="s">
        <v>88</v>
      </c>
      <c r="K429" s="2" t="s">
        <v>44</v>
      </c>
      <c r="L429" s="6" t="s">
        <v>1470</v>
      </c>
      <c r="M429" s="2">
        <v>54</v>
      </c>
      <c r="N429" s="2">
        <v>10</v>
      </c>
      <c r="O429" s="2">
        <v>132</v>
      </c>
      <c r="P429" s="2">
        <v>421</v>
      </c>
      <c r="Q429" s="2">
        <v>444</v>
      </c>
      <c r="R429" s="2">
        <v>-196</v>
      </c>
      <c r="S429" s="2">
        <v>1719</v>
      </c>
      <c r="T429" s="2">
        <v>817</v>
      </c>
      <c r="U429" s="2">
        <v>62</v>
      </c>
      <c r="V429" s="2">
        <v>68</v>
      </c>
      <c r="W429" s="2">
        <v>1679</v>
      </c>
      <c r="X429" s="9">
        <v>134947</v>
      </c>
      <c r="Y429" s="2" t="s">
        <v>36</v>
      </c>
      <c r="AA429" s="1" t="str">
        <f>TRIM(RPG_dataset[[#This Row],[Username]])</f>
        <v>ROSA_861</v>
      </c>
      <c r="AB429" s="1" t="str">
        <f>TRIM(RPG_dataset[[#This Row],[First Name]])</f>
        <v>Rosa</v>
      </c>
      <c r="AC429" s="1" t="str">
        <f>PROPER(TRIM(RPG_dataset[[#This Row],[Race]]))</f>
        <v>Dragonborn</v>
      </c>
      <c r="AD429" s="1" t="str">
        <f>PROPER(TRIM(RPG_dataset[[#This Row],[Class]]))</f>
        <v>Warrior</v>
      </c>
      <c r="AE429" s="1">
        <f>ABS(RPG_dataset[[#This Row],[Level]])</f>
        <v>100</v>
      </c>
      <c r="AF429" s="1">
        <f>ABS(RPG_dataset[[#This Row],[ATK]])</f>
        <v>54</v>
      </c>
      <c r="AG429" s="1">
        <f>ABS(RPG_dataset[[#This Row],[DEF]])</f>
        <v>10</v>
      </c>
      <c r="AH429" s="1">
        <f>ABS(RPG_dataset[[#This Row],[SPD]])</f>
        <v>132</v>
      </c>
      <c r="AI429" s="1">
        <f>ABS(RPG_dataset[[#This Row],[HP]])</f>
        <v>421</v>
      </c>
      <c r="AJ429" s="1">
        <f>ABS(RPG_dataset[[#This Row],[MP]])</f>
        <v>444</v>
      </c>
      <c r="AK429" s="1">
        <f>ABS(RPG_dataset[[#This Row],[Total Stat]])</f>
        <v>196</v>
      </c>
      <c r="AL429" s="1">
        <f>ABS(RPG_dataset[[#This Row],[Kills]])</f>
        <v>1719</v>
      </c>
      <c r="AM429" s="12">
        <f>ABS(RPG_dataset[[#This Row],[Win Rate (%)]])</f>
        <v>68</v>
      </c>
      <c r="AN429" s="4">
        <f>ABS(RPG_dataset[[#This Row],[Gold Earned]])</f>
        <v>134947</v>
      </c>
      <c r="AO429" s="5" t="str">
        <f t="shared" si="6"/>
        <v>OK</v>
      </c>
      <c r="AP429" s="5">
        <f>RANK(clean[[#This Row],[Clean Gold]],clean[Clean Gold], 0)</f>
        <v>425</v>
      </c>
      <c r="AQ429" s="1">
        <v>275</v>
      </c>
      <c r="AR429" s="1" t="str" cm="1">
        <f t="array" ref="AR429">_xlfn.IFS(clean[[#This Row],[Clean Level]]&gt;=76, "Legend", clean[[#This Row],[Clean Level]]&gt;=51, "Elite", clean[[#This Row],[Clean Level]]&gt;=26, "Veteran", TRUE, "Rookie")</f>
        <v>Legend</v>
      </c>
      <c r="AS429" s="1" t="str">
        <f>IF(RPG_dataset[[#This Row],[Status]]="Active", "TRUE", "FALSE")</f>
        <v>TRUE</v>
      </c>
      <c r="AT429" s="1" t="str" cm="1">
        <f t="array" ref="AT429">_xlfn.IFS(clean[[#This Row],[Clean Win Rate]]&gt;70, "Excellent", clean[[#This Row],[Clean Win Rate]]&gt;=40, "Average", TRUE, "Poor")</f>
        <v>Average</v>
      </c>
      <c r="AU429" s="1" t="str">
        <f>IF(AND(clean[[#This Row],[Clean Level]]&gt;80, clean[[#This Row],[Clean Total Stat]]&gt;350, clean[[#This Row],[Clean Gold]]&gt;500000), "Overpowered", "Normal")</f>
        <v>Normal</v>
      </c>
      <c r="AV429" s="1" t="str" cm="1">
        <f t="array" ref="AV42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29" s="1" t="str" cm="1">
        <f t="array" ref="AW42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29" s="1"/>
    </row>
    <row r="430" spans="1:50" x14ac:dyDescent="0.3">
      <c r="A430" s="2" t="s">
        <v>1471</v>
      </c>
      <c r="B430" s="2" t="s">
        <v>1472</v>
      </c>
      <c r="C430" s="2" t="s">
        <v>103</v>
      </c>
      <c r="D430" s="2" t="s">
        <v>174</v>
      </c>
      <c r="E430" s="2" t="s">
        <v>169</v>
      </c>
      <c r="F430" s="2" t="s">
        <v>194</v>
      </c>
      <c r="G430" s="2">
        <v>43</v>
      </c>
      <c r="H430" s="2" t="s">
        <v>62</v>
      </c>
      <c r="I430" s="2" t="s">
        <v>63</v>
      </c>
      <c r="J430" s="2" t="s">
        <v>81</v>
      </c>
      <c r="K430" s="2" t="s">
        <v>215</v>
      </c>
      <c r="L430" s="6" t="s">
        <v>1473</v>
      </c>
      <c r="M430" s="2">
        <v>25</v>
      </c>
      <c r="N430" s="2">
        <v>72</v>
      </c>
      <c r="O430" s="2">
        <v>136</v>
      </c>
      <c r="P430" s="2">
        <v>1641</v>
      </c>
      <c r="Q430" s="2">
        <v>2429</v>
      </c>
      <c r="R430" s="2">
        <v>233</v>
      </c>
      <c r="S430" s="2">
        <v>2369</v>
      </c>
      <c r="T430" s="2">
        <v>787</v>
      </c>
      <c r="U430" s="2">
        <v>159</v>
      </c>
      <c r="V430" s="2">
        <v>75</v>
      </c>
      <c r="W430" s="2">
        <v>3764</v>
      </c>
      <c r="X430" s="9">
        <v>627261</v>
      </c>
      <c r="Y430" s="2" t="s">
        <v>36</v>
      </c>
      <c r="AA430" s="1" t="str">
        <f>TRIM(RPG_dataset[[#This Row],[Username]])</f>
        <v>aria_621</v>
      </c>
      <c r="AB430" s="1" t="str">
        <f>TRIM(RPG_dataset[[#This Row],[First Name]])</f>
        <v>Aria</v>
      </c>
      <c r="AC430" s="1" t="str">
        <f>PROPER(TRIM(RPG_dataset[[#This Row],[Race]]))</f>
        <v>Halfling</v>
      </c>
      <c r="AD430" s="1" t="str">
        <f>PROPER(TRIM(RPG_dataset[[#This Row],[Class]]))</f>
        <v>Paladin</v>
      </c>
      <c r="AE430" s="1">
        <f>ABS(RPG_dataset[[#This Row],[Level]])</f>
        <v>43</v>
      </c>
      <c r="AF430" s="1">
        <f>ABS(RPG_dataset[[#This Row],[ATK]])</f>
        <v>25</v>
      </c>
      <c r="AG430" s="1">
        <f>ABS(RPG_dataset[[#This Row],[DEF]])</f>
        <v>72</v>
      </c>
      <c r="AH430" s="1">
        <f>ABS(RPG_dataset[[#This Row],[SPD]])</f>
        <v>136</v>
      </c>
      <c r="AI430" s="1">
        <f>ABS(RPG_dataset[[#This Row],[HP]])</f>
        <v>1641</v>
      </c>
      <c r="AJ430" s="1">
        <f>ABS(RPG_dataset[[#This Row],[MP]])</f>
        <v>2429</v>
      </c>
      <c r="AK430" s="1">
        <f>ABS(RPG_dataset[[#This Row],[Total Stat]])</f>
        <v>233</v>
      </c>
      <c r="AL430" s="1">
        <f>ABS(RPG_dataset[[#This Row],[Kills]])</f>
        <v>2369</v>
      </c>
      <c r="AM430" s="12">
        <f>ABS(RPG_dataset[[#This Row],[Win Rate (%)]])</f>
        <v>75</v>
      </c>
      <c r="AN430" s="4">
        <f>ABS(RPG_dataset[[#This Row],[Gold Earned]])</f>
        <v>627261</v>
      </c>
      <c r="AO430" s="5" t="str">
        <f t="shared" si="6"/>
        <v>OK</v>
      </c>
      <c r="AP430" s="5">
        <f>RANK(clean[[#This Row],[Clean Gold]],clean[Clean Gold], 0)</f>
        <v>189</v>
      </c>
      <c r="AQ430" s="1">
        <v>215</v>
      </c>
      <c r="AR430" s="1" t="str" cm="1">
        <f t="array" ref="AR430">_xlfn.IFS(clean[[#This Row],[Clean Level]]&gt;=76, "Legend", clean[[#This Row],[Clean Level]]&gt;=51, "Elite", clean[[#This Row],[Clean Level]]&gt;=26, "Veteran", TRUE, "Rookie")</f>
        <v>Veteran</v>
      </c>
      <c r="AS430" s="1" t="str">
        <f>IF(RPG_dataset[[#This Row],[Status]]="Active", "TRUE", "FALSE")</f>
        <v>FALSE</v>
      </c>
      <c r="AT430" s="1" t="str" cm="1">
        <f t="array" ref="AT430">_xlfn.IFS(clean[[#This Row],[Clean Win Rate]]&gt;70, "Excellent", clean[[#This Row],[Clean Win Rate]]&gt;=40, "Average", TRUE, "Poor")</f>
        <v>Excellent</v>
      </c>
      <c r="AU430" s="1" t="str">
        <f>IF(AND(clean[[#This Row],[Clean Level]]&gt;80, clean[[#This Row],[Clean Total Stat]]&gt;350, clean[[#This Row],[Clean Gold]]&gt;500000), "Overpowered", "Normal")</f>
        <v>Normal</v>
      </c>
      <c r="AV430" s="1" t="str" cm="1">
        <f t="array" ref="AV43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30" s="1" t="str" cm="1">
        <f t="array" ref="AW43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30" s="1"/>
    </row>
    <row r="431" spans="1:50" x14ac:dyDescent="0.3">
      <c r="A431" s="2" t="s">
        <v>1474</v>
      </c>
      <c r="B431" s="2" t="s">
        <v>1475</v>
      </c>
      <c r="C431" s="2" t="s">
        <v>123</v>
      </c>
      <c r="D431" s="2" t="s">
        <v>139</v>
      </c>
      <c r="E431" s="2" t="s">
        <v>228</v>
      </c>
      <c r="F431" s="2" t="s">
        <v>72</v>
      </c>
      <c r="G431" s="2">
        <v>78</v>
      </c>
      <c r="H431" s="2" t="s">
        <v>73</v>
      </c>
      <c r="I431" s="2" t="s">
        <v>54</v>
      </c>
      <c r="J431" s="2" t="s">
        <v>120</v>
      </c>
      <c r="K431" s="2" t="s">
        <v>44</v>
      </c>
      <c r="L431" s="6" t="s">
        <v>1476</v>
      </c>
      <c r="M431" s="2">
        <v>120</v>
      </c>
      <c r="N431" s="2">
        <v>46</v>
      </c>
      <c r="O431" s="2">
        <v>17</v>
      </c>
      <c r="P431" s="2">
        <v>4680</v>
      </c>
      <c r="Q431" s="2">
        <v>2623</v>
      </c>
      <c r="R431" s="2">
        <v>183</v>
      </c>
      <c r="S431" s="2">
        <v>4916</v>
      </c>
      <c r="T431" s="2">
        <v>498</v>
      </c>
      <c r="U431" s="2">
        <v>31</v>
      </c>
      <c r="V431" s="2">
        <v>91</v>
      </c>
      <c r="W431" s="2">
        <v>4809</v>
      </c>
      <c r="X431" s="9">
        <v>504525</v>
      </c>
      <c r="Y431" s="2" t="s">
        <v>46</v>
      </c>
      <c r="AA431" s="1" t="str">
        <f>TRIM(RPG_dataset[[#This Row],[Username]])</f>
        <v>faye_224</v>
      </c>
      <c r="AB431" s="1" t="str">
        <f>TRIM(RPG_dataset[[#This Row],[First Name]])</f>
        <v>Faye</v>
      </c>
      <c r="AC431" s="1" t="str">
        <f>PROPER(TRIM(RPG_dataset[[#This Row],[Race]]))</f>
        <v>Elf</v>
      </c>
      <c r="AD431" s="1" t="str">
        <f>PROPER(TRIM(RPG_dataset[[#This Row],[Class]]))</f>
        <v>Warrior</v>
      </c>
      <c r="AE431" s="1">
        <f>ABS(RPG_dataset[[#This Row],[Level]])</f>
        <v>78</v>
      </c>
      <c r="AF431" s="1">
        <f>ABS(RPG_dataset[[#This Row],[ATK]])</f>
        <v>120</v>
      </c>
      <c r="AG431" s="1">
        <f>ABS(RPG_dataset[[#This Row],[DEF]])</f>
        <v>46</v>
      </c>
      <c r="AH431" s="1">
        <f>ABS(RPG_dataset[[#This Row],[SPD]])</f>
        <v>17</v>
      </c>
      <c r="AI431" s="1">
        <f>ABS(RPG_dataset[[#This Row],[HP]])</f>
        <v>4680</v>
      </c>
      <c r="AJ431" s="1">
        <f>ABS(RPG_dataset[[#This Row],[MP]])</f>
        <v>2623</v>
      </c>
      <c r="AK431" s="1">
        <f>ABS(RPG_dataset[[#This Row],[Total Stat]])</f>
        <v>183</v>
      </c>
      <c r="AL431" s="1">
        <f>ABS(RPG_dataset[[#This Row],[Kills]])</f>
        <v>4916</v>
      </c>
      <c r="AM431" s="12">
        <f>ABS(RPG_dataset[[#This Row],[Win Rate (%)]])</f>
        <v>91</v>
      </c>
      <c r="AN431" s="4">
        <f>ABS(RPG_dataset[[#This Row],[Gold Earned]])</f>
        <v>504525</v>
      </c>
      <c r="AO431" s="5" t="str">
        <f t="shared" si="6"/>
        <v>OK</v>
      </c>
      <c r="AP431" s="5">
        <f>RANK(clean[[#This Row],[Clean Gold]],clean[Clean Gold], 0)</f>
        <v>248</v>
      </c>
      <c r="AQ431" s="1">
        <v>246</v>
      </c>
      <c r="AR431" s="1" t="str" cm="1">
        <f t="array" ref="AR431">_xlfn.IFS(clean[[#This Row],[Clean Level]]&gt;=76, "Legend", clean[[#This Row],[Clean Level]]&gt;=51, "Elite", clean[[#This Row],[Clean Level]]&gt;=26, "Veteran", TRUE, "Rookie")</f>
        <v>Legend</v>
      </c>
      <c r="AS431" s="1" t="str">
        <f>IF(RPG_dataset[[#This Row],[Status]]="Active", "TRUE", "FALSE")</f>
        <v>TRUE</v>
      </c>
      <c r="AT431" s="1" t="str" cm="1">
        <f t="array" ref="AT431">_xlfn.IFS(clean[[#This Row],[Clean Win Rate]]&gt;70, "Excellent", clean[[#This Row],[Clean Win Rate]]&gt;=40, "Average", TRUE, "Poor")</f>
        <v>Excellent</v>
      </c>
      <c r="AU431" s="1" t="str">
        <f>IF(AND(clean[[#This Row],[Clean Level]]&gt;80, clean[[#This Row],[Clean Total Stat]]&gt;350, clean[[#This Row],[Clean Gold]]&gt;500000), "Overpowered", "Normal")</f>
        <v>Normal</v>
      </c>
      <c r="AV431" s="1" t="str" cm="1">
        <f t="array" ref="AV43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31" s="1" t="str" cm="1">
        <f t="array" ref="AW43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431" s="1"/>
    </row>
    <row r="432" spans="1:50" x14ac:dyDescent="0.3">
      <c r="A432" s="2" t="s">
        <v>1477</v>
      </c>
      <c r="B432" s="2" t="s">
        <v>1478</v>
      </c>
      <c r="C432" s="2" t="s">
        <v>154</v>
      </c>
      <c r="D432" s="2" t="s">
        <v>349</v>
      </c>
      <c r="E432" s="2" t="s">
        <v>29</v>
      </c>
      <c r="F432" s="2" t="s">
        <v>124</v>
      </c>
      <c r="G432" s="2">
        <v>2</v>
      </c>
      <c r="H432" s="2" t="s">
        <v>43</v>
      </c>
      <c r="I432" s="2" t="s">
        <v>54</v>
      </c>
      <c r="J432" s="2" t="s">
        <v>33</v>
      </c>
      <c r="K432" s="2" t="s">
        <v>34</v>
      </c>
      <c r="L432" s="6" t="s">
        <v>1479</v>
      </c>
      <c r="M432" s="2">
        <v>136</v>
      </c>
      <c r="N432" s="2">
        <v>15</v>
      </c>
      <c r="O432" s="2">
        <v>129</v>
      </c>
      <c r="P432" s="2">
        <v>2606</v>
      </c>
      <c r="Q432" s="2">
        <v>1393</v>
      </c>
      <c r="R432" s="2">
        <v>280</v>
      </c>
      <c r="S432" s="2">
        <v>1900</v>
      </c>
      <c r="T432" s="2">
        <v>378</v>
      </c>
      <c r="U432" s="2">
        <v>75</v>
      </c>
      <c r="V432" s="2">
        <v>83</v>
      </c>
      <c r="W432" s="2">
        <v>7389</v>
      </c>
      <c r="X432" s="9">
        <v>697241</v>
      </c>
      <c r="Y432" s="2" t="s">
        <v>46</v>
      </c>
      <c r="AA432" s="1" t="str">
        <f>TRIM(RPG_dataset[[#This Row],[Username]])</f>
        <v>nolan_159</v>
      </c>
      <c r="AB432" s="1" t="str">
        <f>TRIM(RPG_dataset[[#This Row],[First Name]])</f>
        <v>Nolan</v>
      </c>
      <c r="AC432" s="1" t="str">
        <f>PROPER(TRIM(RPG_dataset[[#This Row],[Race]]))</f>
        <v>Dwarf</v>
      </c>
      <c r="AD432" s="1" t="str">
        <f>PROPER(TRIM(RPG_dataset[[#This Row],[Class]]))</f>
        <v>Necromancer</v>
      </c>
      <c r="AE432" s="1">
        <f>ABS(RPG_dataset[[#This Row],[Level]])</f>
        <v>2</v>
      </c>
      <c r="AF432" s="1">
        <f>ABS(RPG_dataset[[#This Row],[ATK]])</f>
        <v>136</v>
      </c>
      <c r="AG432" s="1">
        <f>ABS(RPG_dataset[[#This Row],[DEF]])</f>
        <v>15</v>
      </c>
      <c r="AH432" s="1">
        <f>ABS(RPG_dataset[[#This Row],[SPD]])</f>
        <v>129</v>
      </c>
      <c r="AI432" s="1">
        <f>ABS(RPG_dataset[[#This Row],[HP]])</f>
        <v>2606</v>
      </c>
      <c r="AJ432" s="1">
        <f>ABS(RPG_dataset[[#This Row],[MP]])</f>
        <v>1393</v>
      </c>
      <c r="AK432" s="1">
        <f>ABS(RPG_dataset[[#This Row],[Total Stat]])</f>
        <v>280</v>
      </c>
      <c r="AL432" s="1">
        <f>ABS(RPG_dataset[[#This Row],[Kills]])</f>
        <v>1900</v>
      </c>
      <c r="AM432" s="12">
        <f>ABS(RPG_dataset[[#This Row],[Win Rate (%)]])</f>
        <v>83</v>
      </c>
      <c r="AN432" s="4">
        <f>ABS(RPG_dataset[[#This Row],[Gold Earned]])</f>
        <v>697241</v>
      </c>
      <c r="AO432" s="5" t="str">
        <f t="shared" si="6"/>
        <v>OK</v>
      </c>
      <c r="AP432" s="5">
        <f>RANK(clean[[#This Row],[Clean Gold]],clean[Clean Gold], 0)</f>
        <v>151</v>
      </c>
      <c r="AQ432" s="1">
        <v>257</v>
      </c>
      <c r="AR432" s="1" t="str" cm="1">
        <f t="array" ref="AR432">_xlfn.IFS(clean[[#This Row],[Clean Level]]&gt;=76, "Legend", clean[[#This Row],[Clean Level]]&gt;=51, "Elite", clean[[#This Row],[Clean Level]]&gt;=26, "Veteran", TRUE, "Rookie")</f>
        <v>Rookie</v>
      </c>
      <c r="AS432" s="1" t="str">
        <f>IF(RPG_dataset[[#This Row],[Status]]="Active", "TRUE", "FALSE")</f>
        <v>FALSE</v>
      </c>
      <c r="AT432" s="1" t="str" cm="1">
        <f t="array" ref="AT432">_xlfn.IFS(clean[[#This Row],[Clean Win Rate]]&gt;70, "Excellent", clean[[#This Row],[Clean Win Rate]]&gt;=40, "Average", TRUE, "Poor")</f>
        <v>Excellent</v>
      </c>
      <c r="AU432" s="1" t="str">
        <f>IF(AND(clean[[#This Row],[Clean Level]]&gt;80, clean[[#This Row],[Clean Total Stat]]&gt;350, clean[[#This Row],[Clean Gold]]&gt;500000), "Overpowered", "Normal")</f>
        <v>Normal</v>
      </c>
      <c r="AV432" s="1" t="str" cm="1">
        <f t="array" ref="AV43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32" s="1" t="str" cm="1">
        <f t="array" ref="AW43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32" s="1"/>
    </row>
    <row r="433" spans="1:50" x14ac:dyDescent="0.3">
      <c r="A433" s="2" t="s">
        <v>1480</v>
      </c>
      <c r="B433" s="2" t="s">
        <v>1481</v>
      </c>
      <c r="C433" s="2" t="s">
        <v>689</v>
      </c>
      <c r="D433" s="2" t="s">
        <v>277</v>
      </c>
      <c r="E433" s="2" t="s">
        <v>51</v>
      </c>
      <c r="F433" s="2" t="s">
        <v>194</v>
      </c>
      <c r="G433" s="2">
        <v>31</v>
      </c>
      <c r="H433" s="2" t="s">
        <v>62</v>
      </c>
      <c r="I433" s="2" t="s">
        <v>32</v>
      </c>
      <c r="J433" s="2" t="s">
        <v>33</v>
      </c>
      <c r="K433" s="2" t="s">
        <v>44</v>
      </c>
      <c r="L433" s="6" t="s">
        <v>1075</v>
      </c>
      <c r="M433" s="2">
        <v>140</v>
      </c>
      <c r="N433" s="2">
        <v>66</v>
      </c>
      <c r="O433" s="2">
        <v>15</v>
      </c>
      <c r="P433" s="2">
        <v>706</v>
      </c>
      <c r="Q433" s="2">
        <v>2565</v>
      </c>
      <c r="R433" s="2"/>
      <c r="S433" s="2">
        <v>4227</v>
      </c>
      <c r="T433" s="2">
        <v>821</v>
      </c>
      <c r="U433" s="2">
        <v>146</v>
      </c>
      <c r="V433" s="2">
        <v>84</v>
      </c>
      <c r="W433" s="2">
        <v>3881</v>
      </c>
      <c r="X433" s="9">
        <v>548888</v>
      </c>
      <c r="Y433" s="2" t="s">
        <v>36</v>
      </c>
      <c r="AA433" s="1" t="str">
        <f>TRIM(RPG_dataset[[#This Row],[Username]])</f>
        <v>theron_499</v>
      </c>
      <c r="AB433" s="1" t="str">
        <f>TRIM(RPG_dataset[[#This Row],[First Name]])</f>
        <v>Theron</v>
      </c>
      <c r="AC433" s="1" t="str">
        <f>PROPER(TRIM(RPG_dataset[[#This Row],[Race]]))</f>
        <v>Tiefling</v>
      </c>
      <c r="AD433" s="1" t="str">
        <f>PROPER(TRIM(RPG_dataset[[#This Row],[Class]]))</f>
        <v>Paladin</v>
      </c>
      <c r="AE433" s="1">
        <f>ABS(RPG_dataset[[#This Row],[Level]])</f>
        <v>31</v>
      </c>
      <c r="AF433" s="1">
        <f>ABS(RPG_dataset[[#This Row],[ATK]])</f>
        <v>140</v>
      </c>
      <c r="AG433" s="1">
        <f>ABS(RPG_dataset[[#This Row],[DEF]])</f>
        <v>66</v>
      </c>
      <c r="AH433" s="1">
        <f>ABS(RPG_dataset[[#This Row],[SPD]])</f>
        <v>15</v>
      </c>
      <c r="AI433" s="1">
        <f>ABS(RPG_dataset[[#This Row],[HP]])</f>
        <v>706</v>
      </c>
      <c r="AJ433" s="1">
        <f>ABS(RPG_dataset[[#This Row],[MP]])</f>
        <v>2565</v>
      </c>
      <c r="AK433" s="1">
        <f>ABS(RPG_dataset[[#This Row],[Total Stat]])</f>
        <v>0</v>
      </c>
      <c r="AL433" s="1">
        <f>ABS(RPG_dataset[[#This Row],[Kills]])</f>
        <v>4227</v>
      </c>
      <c r="AM433" s="12">
        <f>ABS(RPG_dataset[[#This Row],[Win Rate (%)]])</f>
        <v>84</v>
      </c>
      <c r="AN433" s="4">
        <f>ABS(RPG_dataset[[#This Row],[Gold Earned]])</f>
        <v>548888</v>
      </c>
      <c r="AO433" s="5" t="str">
        <f t="shared" si="6"/>
        <v>OK</v>
      </c>
      <c r="AP433" s="5">
        <f>RANK(clean[[#This Row],[Clean Gold]],clean[Clean Gold], 0)</f>
        <v>228</v>
      </c>
      <c r="AQ433" s="1">
        <v>263</v>
      </c>
      <c r="AR433" s="1" t="str" cm="1">
        <f t="array" ref="AR433">_xlfn.IFS(clean[[#This Row],[Clean Level]]&gt;=76, "Legend", clean[[#This Row],[Clean Level]]&gt;=51, "Elite", clean[[#This Row],[Clean Level]]&gt;=26, "Veteran", TRUE, "Rookie")</f>
        <v>Veteran</v>
      </c>
      <c r="AS433" s="1" t="str">
        <f>IF(RPG_dataset[[#This Row],[Status]]="Active", "TRUE", "FALSE")</f>
        <v>TRUE</v>
      </c>
      <c r="AT433" s="1" t="str" cm="1">
        <f t="array" ref="AT433">_xlfn.IFS(clean[[#This Row],[Clean Win Rate]]&gt;70, "Excellent", clean[[#This Row],[Clean Win Rate]]&gt;=40, "Average", TRUE, "Poor")</f>
        <v>Excellent</v>
      </c>
      <c r="AU433" s="1" t="str">
        <f>IF(AND(clean[[#This Row],[Clean Level]]&gt;80, clean[[#This Row],[Clean Total Stat]]&gt;350, clean[[#This Row],[Clean Gold]]&gt;500000), "Overpowered", "Normal")</f>
        <v>Normal</v>
      </c>
      <c r="AV433" s="1" t="str" cm="1">
        <f t="array" ref="AV43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33" s="1" t="str" cm="1">
        <f t="array" ref="AW43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433" s="1"/>
    </row>
    <row r="434" spans="1:50" x14ac:dyDescent="0.3">
      <c r="A434" s="2" t="s">
        <v>1482</v>
      </c>
      <c r="B434" s="2" t="s">
        <v>1483</v>
      </c>
      <c r="C434" s="2" t="s">
        <v>223</v>
      </c>
      <c r="D434" s="2" t="s">
        <v>162</v>
      </c>
      <c r="E434" s="2" t="s">
        <v>51</v>
      </c>
      <c r="F434" s="2" t="s">
        <v>98</v>
      </c>
      <c r="G434" s="2">
        <v>78</v>
      </c>
      <c r="H434" s="2" t="s">
        <v>31</v>
      </c>
      <c r="I434" s="2" t="s">
        <v>63</v>
      </c>
      <c r="J434" s="2" t="s">
        <v>33</v>
      </c>
      <c r="K434" s="2" t="s">
        <v>44</v>
      </c>
      <c r="L434" s="6" t="s">
        <v>1484</v>
      </c>
      <c r="M434" s="2">
        <v>99</v>
      </c>
      <c r="N434" s="2">
        <v>26</v>
      </c>
      <c r="O434" s="2">
        <v>130</v>
      </c>
      <c r="P434" s="2">
        <v>368</v>
      </c>
      <c r="Q434" s="2">
        <v>966</v>
      </c>
      <c r="R434" s="2">
        <v>255</v>
      </c>
      <c r="S434" s="2">
        <v>4542</v>
      </c>
      <c r="T434" s="2">
        <v>824</v>
      </c>
      <c r="U434" s="2">
        <v>250</v>
      </c>
      <c r="V434" s="2">
        <v>85</v>
      </c>
      <c r="W434" s="2">
        <v>1044</v>
      </c>
      <c r="X434" s="9">
        <v>971305</v>
      </c>
      <c r="Y434" s="2" t="s">
        <v>36</v>
      </c>
      <c r="AA434" s="1" t="str">
        <f>TRIM(RPG_dataset[[#This Row],[Username]])</f>
        <v>lyra_610</v>
      </c>
      <c r="AB434" s="1" t="str">
        <f>TRIM(RPG_dataset[[#This Row],[First Name]])</f>
        <v>Lyra</v>
      </c>
      <c r="AC434" s="1" t="str">
        <f>PROPER(TRIM(RPG_dataset[[#This Row],[Race]]))</f>
        <v>Tiefling</v>
      </c>
      <c r="AD434" s="1" t="str">
        <f>PROPER(TRIM(RPG_dataset[[#This Row],[Class]]))</f>
        <v>Mage</v>
      </c>
      <c r="AE434" s="1">
        <f>ABS(RPG_dataset[[#This Row],[Level]])</f>
        <v>78</v>
      </c>
      <c r="AF434" s="1">
        <f>ABS(RPG_dataset[[#This Row],[ATK]])</f>
        <v>99</v>
      </c>
      <c r="AG434" s="1">
        <f>ABS(RPG_dataset[[#This Row],[DEF]])</f>
        <v>26</v>
      </c>
      <c r="AH434" s="1">
        <f>ABS(RPG_dataset[[#This Row],[SPD]])</f>
        <v>130</v>
      </c>
      <c r="AI434" s="1">
        <f>ABS(RPG_dataset[[#This Row],[HP]])</f>
        <v>368</v>
      </c>
      <c r="AJ434" s="1">
        <f>ABS(RPG_dataset[[#This Row],[MP]])</f>
        <v>966</v>
      </c>
      <c r="AK434" s="1">
        <f>ABS(RPG_dataset[[#This Row],[Total Stat]])</f>
        <v>255</v>
      </c>
      <c r="AL434" s="1">
        <f>ABS(RPG_dataset[[#This Row],[Kills]])</f>
        <v>4542</v>
      </c>
      <c r="AM434" s="12">
        <f>ABS(RPG_dataset[[#This Row],[Win Rate (%)]])</f>
        <v>85</v>
      </c>
      <c r="AN434" s="4">
        <f>ABS(RPG_dataset[[#This Row],[Gold Earned]])</f>
        <v>971305</v>
      </c>
      <c r="AO434" s="5" t="str">
        <f t="shared" si="6"/>
        <v>OK</v>
      </c>
      <c r="AP434" s="5">
        <f>RANK(clean[[#This Row],[Clean Gold]],clean[Clean Gold], 0)</f>
        <v>14</v>
      </c>
      <c r="AQ434" s="1">
        <v>242</v>
      </c>
      <c r="AR434" s="1" t="str" cm="1">
        <f t="array" ref="AR434">_xlfn.IFS(clean[[#This Row],[Clean Level]]&gt;=76, "Legend", clean[[#This Row],[Clean Level]]&gt;=51, "Elite", clean[[#This Row],[Clean Level]]&gt;=26, "Veteran", TRUE, "Rookie")</f>
        <v>Legend</v>
      </c>
      <c r="AS434" s="1" t="str">
        <f>IF(RPG_dataset[[#This Row],[Status]]="Active", "TRUE", "FALSE")</f>
        <v>TRUE</v>
      </c>
      <c r="AT434" s="1" t="str" cm="1">
        <f t="array" ref="AT434">_xlfn.IFS(clean[[#This Row],[Clean Win Rate]]&gt;70, "Excellent", clean[[#This Row],[Clean Win Rate]]&gt;=40, "Average", TRUE, "Poor")</f>
        <v>Excellent</v>
      </c>
      <c r="AU434" s="1" t="str">
        <f>IF(AND(clean[[#This Row],[Clean Level]]&gt;80, clean[[#This Row],[Clean Total Stat]]&gt;350, clean[[#This Row],[Clean Gold]]&gt;500000), "Overpowered", "Normal")</f>
        <v>Normal</v>
      </c>
      <c r="AV434" s="1" t="str" cm="1">
        <f t="array" ref="AV434">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434" s="1" t="str" cm="1">
        <f t="array" ref="AW43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34" s="1"/>
    </row>
    <row r="435" spans="1:50" x14ac:dyDescent="0.3">
      <c r="A435" s="2" t="s">
        <v>1485</v>
      </c>
      <c r="B435" s="2" t="s">
        <v>1486</v>
      </c>
      <c r="C435" s="2" t="s">
        <v>138</v>
      </c>
      <c r="D435" s="2" t="s">
        <v>40</v>
      </c>
      <c r="E435" s="2" t="s">
        <v>71</v>
      </c>
      <c r="F435" s="2" t="s">
        <v>42</v>
      </c>
      <c r="G435" s="2">
        <v>-89</v>
      </c>
      <c r="H435" s="2" t="s">
        <v>53</v>
      </c>
      <c r="I435" s="2" t="s">
        <v>54</v>
      </c>
      <c r="J435" s="2" t="s">
        <v>88</v>
      </c>
      <c r="K435" s="2" t="s">
        <v>44</v>
      </c>
      <c r="L435" s="6" t="s">
        <v>1487</v>
      </c>
      <c r="M435" s="2">
        <v>82</v>
      </c>
      <c r="N435" s="2">
        <v>80</v>
      </c>
      <c r="O435" s="2">
        <v>88</v>
      </c>
      <c r="P435" s="2"/>
      <c r="Q435" s="2">
        <v>299</v>
      </c>
      <c r="R435" s="2">
        <v>250</v>
      </c>
      <c r="S435" s="2">
        <v>2505</v>
      </c>
      <c r="T435" s="2">
        <v>725</v>
      </c>
      <c r="U435" s="2">
        <v>220</v>
      </c>
      <c r="V435" s="2">
        <v>78</v>
      </c>
      <c r="W435" s="2">
        <v>5757</v>
      </c>
      <c r="X435" s="9">
        <v>214633</v>
      </c>
      <c r="Y435" s="2" t="s">
        <v>46</v>
      </c>
      <c r="AA435" s="1" t="str">
        <f>TRIM(RPG_dataset[[#This Row],[Username]])</f>
        <v>grim_563</v>
      </c>
      <c r="AB435" s="1" t="str">
        <f>TRIM(RPG_dataset[[#This Row],[First Name]])</f>
        <v>Grim</v>
      </c>
      <c r="AC435" s="1" t="str">
        <f>PROPER(TRIM(RPG_dataset[[#This Row],[Race]]))</f>
        <v>Dragonborn</v>
      </c>
      <c r="AD435" s="1" t="str">
        <f>PROPER(TRIM(RPG_dataset[[#This Row],[Class]]))</f>
        <v>Monk</v>
      </c>
      <c r="AE435" s="1">
        <f>ABS(RPG_dataset[[#This Row],[Level]])</f>
        <v>89</v>
      </c>
      <c r="AF435" s="1">
        <f>ABS(RPG_dataset[[#This Row],[ATK]])</f>
        <v>82</v>
      </c>
      <c r="AG435" s="1">
        <f>ABS(RPG_dataset[[#This Row],[DEF]])</f>
        <v>80</v>
      </c>
      <c r="AH435" s="1">
        <f>ABS(RPG_dataset[[#This Row],[SPD]])</f>
        <v>88</v>
      </c>
      <c r="AI435" s="1">
        <f>ABS(RPG_dataset[[#This Row],[HP]])</f>
        <v>0</v>
      </c>
      <c r="AJ435" s="1">
        <f>ABS(RPG_dataset[[#This Row],[MP]])</f>
        <v>299</v>
      </c>
      <c r="AK435" s="1">
        <f>ABS(RPG_dataset[[#This Row],[Total Stat]])</f>
        <v>250</v>
      </c>
      <c r="AL435" s="1">
        <f>ABS(RPG_dataset[[#This Row],[Kills]])</f>
        <v>2505</v>
      </c>
      <c r="AM435" s="12">
        <f>ABS(RPG_dataset[[#This Row],[Win Rate (%)]])</f>
        <v>78</v>
      </c>
      <c r="AN435" s="4">
        <f>ABS(RPG_dataset[[#This Row],[Gold Earned]])</f>
        <v>214633</v>
      </c>
      <c r="AO435" s="5" t="str">
        <f t="shared" si="6"/>
        <v>OK</v>
      </c>
      <c r="AP435" s="5">
        <f>RANK(clean[[#This Row],[Clean Gold]],clean[Clean Gold], 0)</f>
        <v>394</v>
      </c>
      <c r="AQ435" s="1">
        <v>250</v>
      </c>
      <c r="AR435" s="1" t="str" cm="1">
        <f t="array" ref="AR435">_xlfn.IFS(clean[[#This Row],[Clean Level]]&gt;=76, "Legend", clean[[#This Row],[Clean Level]]&gt;=51, "Elite", clean[[#This Row],[Clean Level]]&gt;=26, "Veteran", TRUE, "Rookie")</f>
        <v>Legend</v>
      </c>
      <c r="AS435" s="1" t="str">
        <f>IF(RPG_dataset[[#This Row],[Status]]="Active", "TRUE", "FALSE")</f>
        <v>TRUE</v>
      </c>
      <c r="AT435" s="1" t="str" cm="1">
        <f t="array" ref="AT435">_xlfn.IFS(clean[[#This Row],[Clean Win Rate]]&gt;70, "Excellent", clean[[#This Row],[Clean Win Rate]]&gt;=40, "Average", TRUE, "Poor")</f>
        <v>Excellent</v>
      </c>
      <c r="AU435" s="1" t="str">
        <f>IF(AND(clean[[#This Row],[Clean Level]]&gt;80, clean[[#This Row],[Clean Total Stat]]&gt;350, clean[[#This Row],[Clean Gold]]&gt;500000), "Overpowered", "Normal")</f>
        <v>Normal</v>
      </c>
      <c r="AV435" s="1" t="str" cm="1">
        <f t="array" ref="AV43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35" s="1" t="str" cm="1">
        <f t="array" ref="AW43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35" s="1"/>
    </row>
    <row r="436" spans="1:50" x14ac:dyDescent="0.3">
      <c r="A436" s="2" t="s">
        <v>1488</v>
      </c>
      <c r="B436" s="2" t="s">
        <v>1489</v>
      </c>
      <c r="C436" s="2" t="s">
        <v>276</v>
      </c>
      <c r="D436" s="2" t="s">
        <v>254</v>
      </c>
      <c r="E436" s="2" t="s">
        <v>105</v>
      </c>
      <c r="F436" s="2" t="s">
        <v>72</v>
      </c>
      <c r="G436" s="2">
        <v>25</v>
      </c>
      <c r="H436" s="2" t="s">
        <v>62</v>
      </c>
      <c r="I436" s="2" t="s">
        <v>32</v>
      </c>
      <c r="J436" s="2" t="s">
        <v>88</v>
      </c>
      <c r="K436" s="2" t="s">
        <v>44</v>
      </c>
      <c r="L436" s="6" t="s">
        <v>1490</v>
      </c>
      <c r="M436" s="2">
        <v>20</v>
      </c>
      <c r="N436" s="2">
        <v>108</v>
      </c>
      <c r="O436" s="2">
        <v>52</v>
      </c>
      <c r="P436" s="2">
        <v>4189</v>
      </c>
      <c r="Q436" s="2">
        <v>2613</v>
      </c>
      <c r="R436" s="2">
        <v>180</v>
      </c>
      <c r="S436" s="2">
        <v>1215</v>
      </c>
      <c r="T436" s="2">
        <v>237</v>
      </c>
      <c r="U436" s="2">
        <v>35</v>
      </c>
      <c r="V436" s="2">
        <v>84</v>
      </c>
      <c r="W436" s="2">
        <v>8955</v>
      </c>
      <c r="X436" s="9">
        <v>207356</v>
      </c>
      <c r="Y436" s="2" t="s">
        <v>46</v>
      </c>
      <c r="AA436" s="1" t="str">
        <f>TRIM(RPG_dataset[[#This Row],[Username]])</f>
        <v>BRYNN_853</v>
      </c>
      <c r="AB436" s="1" t="str">
        <f>TRIM(RPG_dataset[[#This Row],[First Name]])</f>
        <v>Brynn</v>
      </c>
      <c r="AC436" s="1" t="str">
        <f>PROPER(TRIM(RPG_dataset[[#This Row],[Race]]))</f>
        <v>Orc</v>
      </c>
      <c r="AD436" s="1" t="str">
        <f>PROPER(TRIM(RPG_dataset[[#This Row],[Class]]))</f>
        <v>Warrior</v>
      </c>
      <c r="AE436" s="1">
        <f>ABS(RPG_dataset[[#This Row],[Level]])</f>
        <v>25</v>
      </c>
      <c r="AF436" s="1">
        <f>ABS(RPG_dataset[[#This Row],[ATK]])</f>
        <v>20</v>
      </c>
      <c r="AG436" s="1">
        <f>ABS(RPG_dataset[[#This Row],[DEF]])</f>
        <v>108</v>
      </c>
      <c r="AH436" s="1">
        <f>ABS(RPG_dataset[[#This Row],[SPD]])</f>
        <v>52</v>
      </c>
      <c r="AI436" s="1">
        <f>ABS(RPG_dataset[[#This Row],[HP]])</f>
        <v>4189</v>
      </c>
      <c r="AJ436" s="1">
        <f>ABS(RPG_dataset[[#This Row],[MP]])</f>
        <v>2613</v>
      </c>
      <c r="AK436" s="1">
        <f>ABS(RPG_dataset[[#This Row],[Total Stat]])</f>
        <v>180</v>
      </c>
      <c r="AL436" s="1">
        <f>ABS(RPG_dataset[[#This Row],[Kills]])</f>
        <v>1215</v>
      </c>
      <c r="AM436" s="12">
        <f>ABS(RPG_dataset[[#This Row],[Win Rate (%)]])</f>
        <v>84</v>
      </c>
      <c r="AN436" s="4">
        <f>ABS(RPG_dataset[[#This Row],[Gold Earned]])</f>
        <v>207356</v>
      </c>
      <c r="AO436" s="5" t="str">
        <f t="shared" si="6"/>
        <v>OK</v>
      </c>
      <c r="AP436" s="5">
        <f>RANK(clean[[#This Row],[Clean Gold]],clean[Clean Gold], 0)</f>
        <v>396</v>
      </c>
      <c r="AQ436" s="1">
        <v>280</v>
      </c>
      <c r="AR436" s="1" t="str" cm="1">
        <f t="array" ref="AR436">_xlfn.IFS(clean[[#This Row],[Clean Level]]&gt;=76, "Legend", clean[[#This Row],[Clean Level]]&gt;=51, "Elite", clean[[#This Row],[Clean Level]]&gt;=26, "Veteran", TRUE, "Rookie")</f>
        <v>Rookie</v>
      </c>
      <c r="AS436" s="1" t="str">
        <f>IF(RPG_dataset[[#This Row],[Status]]="Active", "TRUE", "FALSE")</f>
        <v>TRUE</v>
      </c>
      <c r="AT436" s="1" t="str" cm="1">
        <f t="array" ref="AT436">_xlfn.IFS(clean[[#This Row],[Clean Win Rate]]&gt;70, "Excellent", clean[[#This Row],[Clean Win Rate]]&gt;=40, "Average", TRUE, "Poor")</f>
        <v>Excellent</v>
      </c>
      <c r="AU436" s="1" t="str">
        <f>IF(AND(clean[[#This Row],[Clean Level]]&gt;80, clean[[#This Row],[Clean Total Stat]]&gt;350, clean[[#This Row],[Clean Gold]]&gt;500000), "Overpowered", "Normal")</f>
        <v>Normal</v>
      </c>
      <c r="AV436" s="1" t="str" cm="1">
        <f t="array" ref="AV43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36" s="1" t="str" cm="1">
        <f t="array" ref="AW43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436" s="1"/>
    </row>
    <row r="437" spans="1:50" x14ac:dyDescent="0.3">
      <c r="A437" s="2" t="s">
        <v>1491</v>
      </c>
      <c r="B437" s="2" t="s">
        <v>1492</v>
      </c>
      <c r="C437" s="2" t="s">
        <v>276</v>
      </c>
      <c r="D437" s="2" t="s">
        <v>174</v>
      </c>
      <c r="E437" s="2" t="s">
        <v>105</v>
      </c>
      <c r="F437" s="2" t="s">
        <v>30</v>
      </c>
      <c r="G437" s="2">
        <v>49</v>
      </c>
      <c r="H437" s="2" t="s">
        <v>125</v>
      </c>
      <c r="I437" s="2" t="s">
        <v>32</v>
      </c>
      <c r="J437" s="2" t="s">
        <v>81</v>
      </c>
      <c r="K437" s="2" t="s">
        <v>44</v>
      </c>
      <c r="L437" s="6" t="s">
        <v>1493</v>
      </c>
      <c r="M437" s="2">
        <v>44</v>
      </c>
      <c r="N437" s="2">
        <v>64</v>
      </c>
      <c r="O437" s="2">
        <v>62</v>
      </c>
      <c r="P437" s="2">
        <v>4897</v>
      </c>
      <c r="Q437" s="2"/>
      <c r="R437" s="2">
        <v>170</v>
      </c>
      <c r="S437" s="2">
        <v>1894</v>
      </c>
      <c r="T437" s="2">
        <v>218</v>
      </c>
      <c r="U437" s="2">
        <v>43</v>
      </c>
      <c r="V437" s="2">
        <v>90</v>
      </c>
      <c r="W437" s="2">
        <v>633</v>
      </c>
      <c r="X437" s="9">
        <v>493928</v>
      </c>
      <c r="Y437" s="2" t="s">
        <v>46</v>
      </c>
      <c r="AA437" s="1" t="str">
        <f>TRIM(RPG_dataset[[#This Row],[Username]])</f>
        <v>brynn_919</v>
      </c>
      <c r="AB437" s="1" t="str">
        <f>TRIM(RPG_dataset[[#This Row],[First Name]])</f>
        <v>Brynn</v>
      </c>
      <c r="AC437" s="1" t="str">
        <f>PROPER(TRIM(RPG_dataset[[#This Row],[Race]]))</f>
        <v>Orc</v>
      </c>
      <c r="AD437" s="1" t="str">
        <f>PROPER(TRIM(RPG_dataset[[#This Row],[Class]]))</f>
        <v>Rogue</v>
      </c>
      <c r="AE437" s="1">
        <f>ABS(RPG_dataset[[#This Row],[Level]])</f>
        <v>49</v>
      </c>
      <c r="AF437" s="1">
        <f>ABS(RPG_dataset[[#This Row],[ATK]])</f>
        <v>44</v>
      </c>
      <c r="AG437" s="1">
        <f>ABS(RPG_dataset[[#This Row],[DEF]])</f>
        <v>64</v>
      </c>
      <c r="AH437" s="1">
        <f>ABS(RPG_dataset[[#This Row],[SPD]])</f>
        <v>62</v>
      </c>
      <c r="AI437" s="1">
        <f>ABS(RPG_dataset[[#This Row],[HP]])</f>
        <v>4897</v>
      </c>
      <c r="AJ437" s="1">
        <f>ABS(RPG_dataset[[#This Row],[MP]])</f>
        <v>0</v>
      </c>
      <c r="AK437" s="1">
        <f>ABS(RPG_dataset[[#This Row],[Total Stat]])</f>
        <v>170</v>
      </c>
      <c r="AL437" s="1">
        <f>ABS(RPG_dataset[[#This Row],[Kills]])</f>
        <v>1894</v>
      </c>
      <c r="AM437" s="12">
        <f>ABS(RPG_dataset[[#This Row],[Win Rate (%)]])</f>
        <v>90</v>
      </c>
      <c r="AN437" s="4">
        <f>ABS(RPG_dataset[[#This Row],[Gold Earned]])</f>
        <v>493928</v>
      </c>
      <c r="AO437" s="5" t="str">
        <f t="shared" si="6"/>
        <v>OK</v>
      </c>
      <c r="AP437" s="5">
        <f>RANK(clean[[#This Row],[Clean Gold]],clean[Clean Gold], 0)</f>
        <v>256</v>
      </c>
      <c r="AQ437" s="1">
        <v>252</v>
      </c>
      <c r="AR437" s="1" t="str" cm="1">
        <f t="array" ref="AR437">_xlfn.IFS(clean[[#This Row],[Clean Level]]&gt;=76, "Legend", clean[[#This Row],[Clean Level]]&gt;=51, "Elite", clean[[#This Row],[Clean Level]]&gt;=26, "Veteran", TRUE, "Rookie")</f>
        <v>Veteran</v>
      </c>
      <c r="AS437" s="1" t="str">
        <f>IF(RPG_dataset[[#This Row],[Status]]="Active", "TRUE", "FALSE")</f>
        <v>TRUE</v>
      </c>
      <c r="AT437" s="1" t="str" cm="1">
        <f t="array" ref="AT437">_xlfn.IFS(clean[[#This Row],[Clean Win Rate]]&gt;70, "Excellent", clean[[#This Row],[Clean Win Rate]]&gt;=40, "Average", TRUE, "Poor")</f>
        <v>Excellent</v>
      </c>
      <c r="AU437" s="1" t="str">
        <f>IF(AND(clean[[#This Row],[Clean Level]]&gt;80, clean[[#This Row],[Clean Total Stat]]&gt;350, clean[[#This Row],[Clean Gold]]&gt;500000), "Overpowered", "Normal")</f>
        <v>Normal</v>
      </c>
      <c r="AV437" s="1" t="str" cm="1">
        <f t="array" ref="AV43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37" s="1" t="str" cm="1">
        <f t="array" ref="AW43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437" s="1"/>
    </row>
    <row r="438" spans="1:50" x14ac:dyDescent="0.3">
      <c r="A438" s="2" t="s">
        <v>1494</v>
      </c>
      <c r="B438" s="2" t="s">
        <v>1495</v>
      </c>
      <c r="C438" s="2" t="s">
        <v>75</v>
      </c>
      <c r="D438" s="2" t="s">
        <v>119</v>
      </c>
      <c r="E438" s="2" t="s">
        <v>75</v>
      </c>
      <c r="F438" s="2" t="s">
        <v>42</v>
      </c>
      <c r="G438" s="2">
        <v>44</v>
      </c>
      <c r="H438" s="2" t="s">
        <v>53</v>
      </c>
      <c r="I438" s="2" t="s">
        <v>74</v>
      </c>
      <c r="J438" s="2" t="s">
        <v>120</v>
      </c>
      <c r="K438" s="2" t="s">
        <v>44</v>
      </c>
      <c r="L438" s="6" t="s">
        <v>1496</v>
      </c>
      <c r="M438" s="2">
        <v>33</v>
      </c>
      <c r="N438" s="2">
        <v>105</v>
      </c>
      <c r="O438" s="2">
        <v>25</v>
      </c>
      <c r="P438" s="2">
        <v>4350</v>
      </c>
      <c r="Q438" s="2">
        <v>156</v>
      </c>
      <c r="R438" s="2">
        <v>-163</v>
      </c>
      <c r="S438" s="2">
        <v>2073</v>
      </c>
      <c r="T438" s="2">
        <v>65</v>
      </c>
      <c r="U438" s="2">
        <v>6</v>
      </c>
      <c r="V438" s="2">
        <v>97</v>
      </c>
      <c r="W438" s="2">
        <v>9610</v>
      </c>
      <c r="X438" s="9">
        <v>523695</v>
      </c>
      <c r="Y438" s="2" t="s">
        <v>36</v>
      </c>
      <c r="AA438" s="1" t="str">
        <f>TRIM(RPG_dataset[[#This Row],[Username]])</f>
        <v>aria_431</v>
      </c>
      <c r="AB438" s="1" t="str">
        <f>TRIM(RPG_dataset[[#This Row],[First Name]])</f>
        <v/>
      </c>
      <c r="AC438" s="1" t="str">
        <f>PROPER(TRIM(RPG_dataset[[#This Row],[Race]]))</f>
        <v/>
      </c>
      <c r="AD438" s="1" t="str">
        <f>PROPER(TRIM(RPG_dataset[[#This Row],[Class]]))</f>
        <v>Monk</v>
      </c>
      <c r="AE438" s="1">
        <f>ABS(RPG_dataset[[#This Row],[Level]])</f>
        <v>44</v>
      </c>
      <c r="AF438" s="1">
        <f>ABS(RPG_dataset[[#This Row],[ATK]])</f>
        <v>33</v>
      </c>
      <c r="AG438" s="1">
        <f>ABS(RPG_dataset[[#This Row],[DEF]])</f>
        <v>105</v>
      </c>
      <c r="AH438" s="1">
        <f>ABS(RPG_dataset[[#This Row],[SPD]])</f>
        <v>25</v>
      </c>
      <c r="AI438" s="1">
        <f>ABS(RPG_dataset[[#This Row],[HP]])</f>
        <v>4350</v>
      </c>
      <c r="AJ438" s="1">
        <f>ABS(RPG_dataset[[#This Row],[MP]])</f>
        <v>156</v>
      </c>
      <c r="AK438" s="1">
        <f>ABS(RPG_dataset[[#This Row],[Total Stat]])</f>
        <v>163</v>
      </c>
      <c r="AL438" s="1">
        <f>ABS(RPG_dataset[[#This Row],[Kills]])</f>
        <v>2073</v>
      </c>
      <c r="AM438" s="12">
        <f>ABS(RPG_dataset[[#This Row],[Win Rate (%)]])</f>
        <v>97</v>
      </c>
      <c r="AN438" s="4">
        <f>ABS(RPG_dataset[[#This Row],[Gold Earned]])</f>
        <v>523695</v>
      </c>
      <c r="AO438" s="5" t="str">
        <f t="shared" si="6"/>
        <v>OK</v>
      </c>
      <c r="AP438" s="5">
        <f>RANK(clean[[#This Row],[Clean Gold]],clean[Clean Gold], 0)</f>
        <v>238</v>
      </c>
      <c r="AQ438" s="1">
        <v>180</v>
      </c>
      <c r="AR438" s="1" t="str" cm="1">
        <f t="array" ref="AR438">_xlfn.IFS(clean[[#This Row],[Clean Level]]&gt;=76, "Legend", clean[[#This Row],[Clean Level]]&gt;=51, "Elite", clean[[#This Row],[Clean Level]]&gt;=26, "Veteran", TRUE, "Rookie")</f>
        <v>Veteran</v>
      </c>
      <c r="AS438" s="1" t="str">
        <f>IF(RPG_dataset[[#This Row],[Status]]="Active", "TRUE", "FALSE")</f>
        <v>TRUE</v>
      </c>
      <c r="AT438" s="1" t="str" cm="1">
        <f t="array" ref="AT438">_xlfn.IFS(clean[[#This Row],[Clean Win Rate]]&gt;70, "Excellent", clean[[#This Row],[Clean Win Rate]]&gt;=40, "Average", TRUE, "Poor")</f>
        <v>Excellent</v>
      </c>
      <c r="AU438" s="1" t="str">
        <f>IF(AND(clean[[#This Row],[Clean Level]]&gt;80, clean[[#This Row],[Clean Total Stat]]&gt;350, clean[[#This Row],[Clean Gold]]&gt;500000), "Overpowered", "Normal")</f>
        <v>Normal</v>
      </c>
      <c r="AV438" s="1" t="str" cm="1">
        <f t="array" ref="AV43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38" s="1" t="str" cm="1">
        <f t="array" ref="AW43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438" s="1"/>
    </row>
    <row r="439" spans="1:50" x14ac:dyDescent="0.3">
      <c r="A439" s="2" t="s">
        <v>1497</v>
      </c>
      <c r="B439" s="2" t="s">
        <v>1498</v>
      </c>
      <c r="C439" s="2" t="s">
        <v>130</v>
      </c>
      <c r="D439" s="2" t="s">
        <v>50</v>
      </c>
      <c r="E439" s="2" t="s">
        <v>169</v>
      </c>
      <c r="F439" s="2" t="s">
        <v>42</v>
      </c>
      <c r="G439" s="2">
        <v>49</v>
      </c>
      <c r="H439" s="2" t="s">
        <v>125</v>
      </c>
      <c r="I439" s="2" t="s">
        <v>140</v>
      </c>
      <c r="J439" s="2" t="s">
        <v>92</v>
      </c>
      <c r="K439" s="2" t="s">
        <v>453</v>
      </c>
      <c r="L439" s="6" t="s">
        <v>1499</v>
      </c>
      <c r="M439" s="2">
        <v>50</v>
      </c>
      <c r="N439" s="2">
        <v>35</v>
      </c>
      <c r="O439" s="2">
        <v>104</v>
      </c>
      <c r="P439" s="2">
        <v>165</v>
      </c>
      <c r="Q439" s="2">
        <v>637</v>
      </c>
      <c r="R439" s="2">
        <v>189</v>
      </c>
      <c r="S439" s="2">
        <v>765</v>
      </c>
      <c r="T439" s="2">
        <v>248</v>
      </c>
      <c r="U439" s="2">
        <v>294</v>
      </c>
      <c r="V439" s="2">
        <v>76</v>
      </c>
      <c r="W439" s="2">
        <v>2843</v>
      </c>
      <c r="X439" s="9">
        <v>656549</v>
      </c>
      <c r="Y439" s="2" t="s">
        <v>46</v>
      </c>
      <c r="AA439" s="1" t="str">
        <f>TRIM(RPG_dataset[[#This Row],[Username]])</f>
        <v>ewan_835</v>
      </c>
      <c r="AB439" s="1" t="str">
        <f>TRIM(RPG_dataset[[#This Row],[First Name]])</f>
        <v>Ewan</v>
      </c>
      <c r="AC439" s="1" t="str">
        <f>PROPER(TRIM(RPG_dataset[[#This Row],[Race]]))</f>
        <v>Halfling</v>
      </c>
      <c r="AD439" s="1" t="str">
        <f>PROPER(TRIM(RPG_dataset[[#This Row],[Class]]))</f>
        <v>Monk</v>
      </c>
      <c r="AE439" s="1">
        <f>ABS(RPG_dataset[[#This Row],[Level]])</f>
        <v>49</v>
      </c>
      <c r="AF439" s="1">
        <f>ABS(RPG_dataset[[#This Row],[ATK]])</f>
        <v>50</v>
      </c>
      <c r="AG439" s="1">
        <f>ABS(RPG_dataset[[#This Row],[DEF]])</f>
        <v>35</v>
      </c>
      <c r="AH439" s="1">
        <f>ABS(RPG_dataset[[#This Row],[SPD]])</f>
        <v>104</v>
      </c>
      <c r="AI439" s="1">
        <f>ABS(RPG_dataset[[#This Row],[HP]])</f>
        <v>165</v>
      </c>
      <c r="AJ439" s="1">
        <f>ABS(RPG_dataset[[#This Row],[MP]])</f>
        <v>637</v>
      </c>
      <c r="AK439" s="1">
        <f>ABS(RPG_dataset[[#This Row],[Total Stat]])</f>
        <v>189</v>
      </c>
      <c r="AL439" s="1">
        <f>ABS(RPG_dataset[[#This Row],[Kills]])</f>
        <v>765</v>
      </c>
      <c r="AM439" s="12">
        <f>ABS(RPG_dataset[[#This Row],[Win Rate (%)]])</f>
        <v>76</v>
      </c>
      <c r="AN439" s="4">
        <f>ABS(RPG_dataset[[#This Row],[Gold Earned]])</f>
        <v>656549</v>
      </c>
      <c r="AO439" s="5" t="str">
        <f t="shared" si="6"/>
        <v>OK</v>
      </c>
      <c r="AP439" s="5">
        <f>RANK(clean[[#This Row],[Clean Gold]],clean[Clean Gold], 0)</f>
        <v>172</v>
      </c>
      <c r="AQ439" s="1">
        <v>371</v>
      </c>
      <c r="AR439" s="1" t="str" cm="1">
        <f t="array" ref="AR439">_xlfn.IFS(clean[[#This Row],[Clean Level]]&gt;=76, "Legend", clean[[#This Row],[Clean Level]]&gt;=51, "Elite", clean[[#This Row],[Clean Level]]&gt;=26, "Veteran", TRUE, "Rookie")</f>
        <v>Veteran</v>
      </c>
      <c r="AS439" s="1" t="str">
        <f>IF(RPG_dataset[[#This Row],[Status]]="Active", "TRUE", "FALSE")</f>
        <v>FALSE</v>
      </c>
      <c r="AT439" s="1" t="str" cm="1">
        <f t="array" ref="AT439">_xlfn.IFS(clean[[#This Row],[Clean Win Rate]]&gt;70, "Excellent", clean[[#This Row],[Clean Win Rate]]&gt;=40, "Average", TRUE, "Poor")</f>
        <v>Excellent</v>
      </c>
      <c r="AU439" s="1" t="str">
        <f>IF(AND(clean[[#This Row],[Clean Level]]&gt;80, clean[[#This Row],[Clean Total Stat]]&gt;350, clean[[#This Row],[Clean Gold]]&gt;500000), "Overpowered", "Normal")</f>
        <v>Normal</v>
      </c>
      <c r="AV439" s="1" t="str" cm="1">
        <f t="array" ref="AV43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39" s="1" t="str" cm="1">
        <f t="array" ref="AW43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439" s="1"/>
    </row>
    <row r="440" spans="1:50" x14ac:dyDescent="0.3">
      <c r="A440" s="2" t="s">
        <v>1500</v>
      </c>
      <c r="B440" s="2" t="s">
        <v>1501</v>
      </c>
      <c r="C440" s="2" t="s">
        <v>161</v>
      </c>
      <c r="D440" s="2" t="s">
        <v>304</v>
      </c>
      <c r="E440" s="2" t="s">
        <v>228</v>
      </c>
      <c r="F440" s="2" t="s">
        <v>30</v>
      </c>
      <c r="G440" s="2">
        <v>56</v>
      </c>
      <c r="H440" s="2" t="s">
        <v>31</v>
      </c>
      <c r="I440" s="2" t="s">
        <v>140</v>
      </c>
      <c r="J440" s="2" t="s">
        <v>92</v>
      </c>
      <c r="K440" s="2" t="s">
        <v>34</v>
      </c>
      <c r="L440" s="6" t="s">
        <v>1502</v>
      </c>
      <c r="M440" s="2">
        <v>30</v>
      </c>
      <c r="N440" s="2">
        <v>122</v>
      </c>
      <c r="O440" s="2">
        <v>79</v>
      </c>
      <c r="P440" s="2"/>
      <c r="Q440" s="2">
        <v>2555</v>
      </c>
      <c r="R440" s="2">
        <v>231</v>
      </c>
      <c r="S440" s="2">
        <v>2190</v>
      </c>
      <c r="T440" s="2">
        <v>90</v>
      </c>
      <c r="U440" s="2">
        <v>83</v>
      </c>
      <c r="V440" s="2">
        <v>96</v>
      </c>
      <c r="W440" s="2">
        <v>7273</v>
      </c>
      <c r="X440" s="9">
        <v>62372</v>
      </c>
      <c r="Y440" s="2" t="s">
        <v>46</v>
      </c>
      <c r="AA440" s="1" t="str">
        <f>TRIM(RPG_dataset[[#This Row],[Username]])</f>
        <v>cedric_134</v>
      </c>
      <c r="AB440" s="1" t="str">
        <f>TRIM(RPG_dataset[[#This Row],[First Name]])</f>
        <v>Cedric</v>
      </c>
      <c r="AC440" s="1" t="str">
        <f>PROPER(TRIM(RPG_dataset[[#This Row],[Race]]))</f>
        <v>Elf</v>
      </c>
      <c r="AD440" s="1" t="str">
        <f>PROPER(TRIM(RPG_dataset[[#This Row],[Class]]))</f>
        <v>Rogue</v>
      </c>
      <c r="AE440" s="1">
        <f>ABS(RPG_dataset[[#This Row],[Level]])</f>
        <v>56</v>
      </c>
      <c r="AF440" s="1">
        <f>ABS(RPG_dataset[[#This Row],[ATK]])</f>
        <v>30</v>
      </c>
      <c r="AG440" s="1">
        <f>ABS(RPG_dataset[[#This Row],[DEF]])</f>
        <v>122</v>
      </c>
      <c r="AH440" s="1">
        <f>ABS(RPG_dataset[[#This Row],[SPD]])</f>
        <v>79</v>
      </c>
      <c r="AI440" s="1">
        <f>ABS(RPG_dataset[[#This Row],[HP]])</f>
        <v>0</v>
      </c>
      <c r="AJ440" s="1">
        <f>ABS(RPG_dataset[[#This Row],[MP]])</f>
        <v>2555</v>
      </c>
      <c r="AK440" s="1">
        <f>ABS(RPG_dataset[[#This Row],[Total Stat]])</f>
        <v>231</v>
      </c>
      <c r="AL440" s="1">
        <f>ABS(RPG_dataset[[#This Row],[Kills]])</f>
        <v>2190</v>
      </c>
      <c r="AM440" s="12">
        <f>ABS(RPG_dataset[[#This Row],[Win Rate (%)]])</f>
        <v>96</v>
      </c>
      <c r="AN440" s="4">
        <f>ABS(RPG_dataset[[#This Row],[Gold Earned]])</f>
        <v>62372</v>
      </c>
      <c r="AO440" s="5" t="str">
        <f t="shared" si="6"/>
        <v>Fix This</v>
      </c>
      <c r="AP440" s="5">
        <f>RANK(clean[[#This Row],[Clean Gold]],clean[Clean Gold], 0)</f>
        <v>454</v>
      </c>
      <c r="AQ440" s="1">
        <v>302</v>
      </c>
      <c r="AR440" s="1" t="str" cm="1">
        <f t="array" ref="AR440">_xlfn.IFS(clean[[#This Row],[Clean Level]]&gt;=76, "Legend", clean[[#This Row],[Clean Level]]&gt;=51, "Elite", clean[[#This Row],[Clean Level]]&gt;=26, "Veteran", TRUE, "Rookie")</f>
        <v>Elite</v>
      </c>
      <c r="AS440" s="1" t="str">
        <f>IF(RPG_dataset[[#This Row],[Status]]="Active", "TRUE", "FALSE")</f>
        <v>FALSE</v>
      </c>
      <c r="AT440" s="1" t="str" cm="1">
        <f t="array" ref="AT440">_xlfn.IFS(clean[[#This Row],[Clean Win Rate]]&gt;70, "Excellent", clean[[#This Row],[Clean Win Rate]]&gt;=40, "Average", TRUE, "Poor")</f>
        <v>Excellent</v>
      </c>
      <c r="AU440" s="1" t="str">
        <f>IF(AND(clean[[#This Row],[Clean Level]]&gt;80, clean[[#This Row],[Clean Total Stat]]&gt;350, clean[[#This Row],[Clean Gold]]&gt;500000), "Overpowered", "Normal")</f>
        <v>Normal</v>
      </c>
      <c r="AV440" s="1" t="str" cm="1">
        <f t="array" ref="AV44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40" s="1" t="str" cm="1">
        <f t="array" ref="AW44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440" s="1"/>
    </row>
    <row r="441" spans="1:50" x14ac:dyDescent="0.3">
      <c r="A441" s="2" t="s">
        <v>1503</v>
      </c>
      <c r="B441" s="2" t="s">
        <v>1504</v>
      </c>
      <c r="C441" s="2" t="s">
        <v>517</v>
      </c>
      <c r="D441" s="2" t="s">
        <v>150</v>
      </c>
      <c r="E441" s="2" t="s">
        <v>51</v>
      </c>
      <c r="F441" s="2" t="s">
        <v>52</v>
      </c>
      <c r="G441" s="2">
        <v>2</v>
      </c>
      <c r="H441" s="2" t="s">
        <v>43</v>
      </c>
      <c r="I441" s="2" t="s">
        <v>87</v>
      </c>
      <c r="J441" s="2" t="s">
        <v>33</v>
      </c>
      <c r="K441" s="2" t="s">
        <v>44</v>
      </c>
      <c r="L441" s="6" t="s">
        <v>1505</v>
      </c>
      <c r="M441" s="2">
        <v>58</v>
      </c>
      <c r="N441" s="2">
        <v>90</v>
      </c>
      <c r="O441" s="2">
        <v>136</v>
      </c>
      <c r="P441" s="2">
        <v>2711</v>
      </c>
      <c r="Q441" s="2">
        <v>2905</v>
      </c>
      <c r="R441" s="2">
        <v>284</v>
      </c>
      <c r="S441" s="2"/>
      <c r="T441" s="2">
        <v>111</v>
      </c>
      <c r="U441" s="2">
        <v>140</v>
      </c>
      <c r="V441" s="2">
        <v>86</v>
      </c>
      <c r="W441" s="2">
        <v>8963</v>
      </c>
      <c r="X441" s="9">
        <v>362743</v>
      </c>
      <c r="Y441" s="2" t="s">
        <v>46</v>
      </c>
      <c r="AA441" s="1" t="str">
        <f>TRIM(RPG_dataset[[#This Row],[Username]])</f>
        <v>myra_422</v>
      </c>
      <c r="AB441" s="1" t="str">
        <f>TRIM(RPG_dataset[[#This Row],[First Name]])</f>
        <v>Myra</v>
      </c>
      <c r="AC441" s="1" t="str">
        <f>PROPER(TRIM(RPG_dataset[[#This Row],[Race]]))</f>
        <v>Tiefling</v>
      </c>
      <c r="AD441" s="1" t="str">
        <f>PROPER(TRIM(RPG_dataset[[#This Row],[Class]]))</f>
        <v>Bard</v>
      </c>
      <c r="AE441" s="1">
        <f>ABS(RPG_dataset[[#This Row],[Level]])</f>
        <v>2</v>
      </c>
      <c r="AF441" s="1">
        <f>ABS(RPG_dataset[[#This Row],[ATK]])</f>
        <v>58</v>
      </c>
      <c r="AG441" s="1">
        <f>ABS(RPG_dataset[[#This Row],[DEF]])</f>
        <v>90</v>
      </c>
      <c r="AH441" s="1">
        <f>ABS(RPG_dataset[[#This Row],[SPD]])</f>
        <v>136</v>
      </c>
      <c r="AI441" s="1">
        <f>ABS(RPG_dataset[[#This Row],[HP]])</f>
        <v>2711</v>
      </c>
      <c r="AJ441" s="1">
        <f>ABS(RPG_dataset[[#This Row],[MP]])</f>
        <v>2905</v>
      </c>
      <c r="AK441" s="1">
        <f>ABS(RPG_dataset[[#This Row],[Total Stat]])</f>
        <v>284</v>
      </c>
      <c r="AL441" s="1">
        <f>ABS(RPG_dataset[[#This Row],[Kills]])</f>
        <v>0</v>
      </c>
      <c r="AM441" s="12">
        <f>ABS(RPG_dataset[[#This Row],[Win Rate (%)]])</f>
        <v>86</v>
      </c>
      <c r="AN441" s="4">
        <f>ABS(RPG_dataset[[#This Row],[Gold Earned]])</f>
        <v>362743</v>
      </c>
      <c r="AO441" s="5" t="str">
        <f t="shared" si="6"/>
        <v>OK</v>
      </c>
      <c r="AP441" s="5">
        <f>RANK(clean[[#This Row],[Clean Gold]],clean[Clean Gold], 0)</f>
        <v>323</v>
      </c>
      <c r="AQ441" s="1">
        <v>381</v>
      </c>
      <c r="AR441" s="1" t="str" cm="1">
        <f t="array" ref="AR441">_xlfn.IFS(clean[[#This Row],[Clean Level]]&gt;=76, "Legend", clean[[#This Row],[Clean Level]]&gt;=51, "Elite", clean[[#This Row],[Clean Level]]&gt;=26, "Veteran", TRUE, "Rookie")</f>
        <v>Rookie</v>
      </c>
      <c r="AS441" s="1" t="str">
        <f>IF(RPG_dataset[[#This Row],[Status]]="Active", "TRUE", "FALSE")</f>
        <v>TRUE</v>
      </c>
      <c r="AT441" s="1" t="str" cm="1">
        <f t="array" ref="AT441">_xlfn.IFS(clean[[#This Row],[Clean Win Rate]]&gt;70, "Excellent", clean[[#This Row],[Clean Win Rate]]&gt;=40, "Average", TRUE, "Poor")</f>
        <v>Excellent</v>
      </c>
      <c r="AU441" s="1" t="str">
        <f>IF(AND(clean[[#This Row],[Clean Level]]&gt;80, clean[[#This Row],[Clean Total Stat]]&gt;350, clean[[#This Row],[Clean Gold]]&gt;500000), "Overpowered", "Normal")</f>
        <v>Normal</v>
      </c>
      <c r="AV441" s="1" t="str" cm="1">
        <f t="array" ref="AV44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41" s="1" t="str" cm="1">
        <f t="array" ref="AW44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41" s="1"/>
    </row>
    <row r="442" spans="1:50" x14ac:dyDescent="0.3">
      <c r="A442" s="2" t="s">
        <v>1506</v>
      </c>
      <c r="B442" s="2" t="s">
        <v>1507</v>
      </c>
      <c r="C442" s="2" t="s">
        <v>203</v>
      </c>
      <c r="D442" s="2" t="s">
        <v>1508</v>
      </c>
      <c r="E442" s="2" t="s">
        <v>71</v>
      </c>
      <c r="F442" s="2" t="s">
        <v>30</v>
      </c>
      <c r="G442" s="2">
        <v>80</v>
      </c>
      <c r="H442" s="2" t="s">
        <v>62</v>
      </c>
      <c r="I442" s="2" t="s">
        <v>63</v>
      </c>
      <c r="J442" s="2" t="s">
        <v>33</v>
      </c>
      <c r="K442" s="2" t="s">
        <v>44</v>
      </c>
      <c r="L442" s="6" t="s">
        <v>1004</v>
      </c>
      <c r="M442" s="2">
        <v>109</v>
      </c>
      <c r="N442" s="2">
        <v>130</v>
      </c>
      <c r="O442" s="2">
        <v>16</v>
      </c>
      <c r="P442" s="2">
        <v>4403</v>
      </c>
      <c r="Q442" s="2">
        <v>173</v>
      </c>
      <c r="R442" s="2">
        <v>-255</v>
      </c>
      <c r="S442" s="2">
        <v>4070</v>
      </c>
      <c r="T442" s="2">
        <v>15</v>
      </c>
      <c r="U442" s="2">
        <v>23</v>
      </c>
      <c r="V442" s="2">
        <v>100</v>
      </c>
      <c r="W442" s="2">
        <v>4294</v>
      </c>
      <c r="X442" s="2"/>
      <c r="Y442" s="2" t="s">
        <v>36</v>
      </c>
      <c r="AA442" s="1" t="str">
        <f>TRIM(RPG_dataset[[#This Row],[Username]])</f>
        <v>leon_608</v>
      </c>
      <c r="AB442" s="1" t="str">
        <f>TRIM(RPG_dataset[[#This Row],[First Name]])</f>
        <v>Leon</v>
      </c>
      <c r="AC442" s="1" t="str">
        <f>PROPER(TRIM(RPG_dataset[[#This Row],[Race]]))</f>
        <v>Dragonborn</v>
      </c>
      <c r="AD442" s="1" t="str">
        <f>PROPER(TRIM(RPG_dataset[[#This Row],[Class]]))</f>
        <v>Rogue</v>
      </c>
      <c r="AE442" s="1">
        <f>ABS(RPG_dataset[[#This Row],[Level]])</f>
        <v>80</v>
      </c>
      <c r="AF442" s="1">
        <f>ABS(RPG_dataset[[#This Row],[ATK]])</f>
        <v>109</v>
      </c>
      <c r="AG442" s="1">
        <f>ABS(RPG_dataset[[#This Row],[DEF]])</f>
        <v>130</v>
      </c>
      <c r="AH442" s="1">
        <f>ABS(RPG_dataset[[#This Row],[SPD]])</f>
        <v>16</v>
      </c>
      <c r="AI442" s="1">
        <f>ABS(RPG_dataset[[#This Row],[HP]])</f>
        <v>4403</v>
      </c>
      <c r="AJ442" s="1">
        <f>ABS(RPG_dataset[[#This Row],[MP]])</f>
        <v>173</v>
      </c>
      <c r="AK442" s="1">
        <f>ABS(RPG_dataset[[#This Row],[Total Stat]])</f>
        <v>255</v>
      </c>
      <c r="AL442" s="1">
        <f>ABS(RPG_dataset[[#This Row],[Kills]])</f>
        <v>4070</v>
      </c>
      <c r="AM442" s="12">
        <f>ABS(RPG_dataset[[#This Row],[Win Rate (%)]])</f>
        <v>100</v>
      </c>
      <c r="AN442" s="4">
        <f>ABS(RPG_dataset[[#This Row],[Gold Earned]])</f>
        <v>0</v>
      </c>
      <c r="AO442" s="5" t="str">
        <f t="shared" si="6"/>
        <v>OK</v>
      </c>
      <c r="AP442" s="5">
        <f>RANK(clean[[#This Row],[Clean Gold]],clean[Clean Gold], 0)</f>
        <v>486</v>
      </c>
      <c r="AQ442" s="1">
        <v>389</v>
      </c>
      <c r="AR442" s="1" t="str" cm="1">
        <f t="array" ref="AR442">_xlfn.IFS(clean[[#This Row],[Clean Level]]&gt;=76, "Legend", clean[[#This Row],[Clean Level]]&gt;=51, "Elite", clean[[#This Row],[Clean Level]]&gt;=26, "Veteran", TRUE, "Rookie")</f>
        <v>Legend</v>
      </c>
      <c r="AS442" s="1" t="str">
        <f>IF(RPG_dataset[[#This Row],[Status]]="Active", "TRUE", "FALSE")</f>
        <v>TRUE</v>
      </c>
      <c r="AT442" s="1" t="str" cm="1">
        <f t="array" ref="AT442">_xlfn.IFS(clean[[#This Row],[Clean Win Rate]]&gt;70, "Excellent", clean[[#This Row],[Clean Win Rate]]&gt;=40, "Average", TRUE, "Poor")</f>
        <v>Excellent</v>
      </c>
      <c r="AU442" s="1" t="str">
        <f>IF(AND(clean[[#This Row],[Clean Level]]&gt;80, clean[[#This Row],[Clean Total Stat]]&gt;350, clean[[#This Row],[Clean Gold]]&gt;500000), "Overpowered", "Normal")</f>
        <v>Normal</v>
      </c>
      <c r="AV442" s="1" t="str" cm="1">
        <f t="array" ref="AV442">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442" s="1" t="str" cm="1">
        <f t="array" ref="AW44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442" s="1"/>
    </row>
    <row r="443" spans="1:50" x14ac:dyDescent="0.3">
      <c r="A443" s="2" t="s">
        <v>1509</v>
      </c>
      <c r="B443" s="2" t="s">
        <v>1510</v>
      </c>
      <c r="C443" s="2" t="s">
        <v>27</v>
      </c>
      <c r="D443" s="2" t="s">
        <v>40</v>
      </c>
      <c r="E443" s="2" t="s">
        <v>51</v>
      </c>
      <c r="F443" s="2" t="s">
        <v>98</v>
      </c>
      <c r="G443" s="2">
        <v>43</v>
      </c>
      <c r="H443" s="2" t="s">
        <v>53</v>
      </c>
      <c r="I443" s="2" t="s">
        <v>54</v>
      </c>
      <c r="J443" s="2" t="s">
        <v>64</v>
      </c>
      <c r="K443" s="2" t="s">
        <v>99</v>
      </c>
      <c r="L443" s="6" t="s">
        <v>1511</v>
      </c>
      <c r="M443" s="2">
        <v>137</v>
      </c>
      <c r="N443" s="2">
        <v>101</v>
      </c>
      <c r="O443" s="2">
        <v>52</v>
      </c>
      <c r="P443" s="2">
        <v>4374</v>
      </c>
      <c r="Q443" s="2">
        <v>964</v>
      </c>
      <c r="R443" s="2">
        <v>290</v>
      </c>
      <c r="S443" s="2">
        <v>4282</v>
      </c>
      <c r="T443" s="2">
        <v>798</v>
      </c>
      <c r="U443" s="2">
        <v>195</v>
      </c>
      <c r="V443" s="2">
        <v>84</v>
      </c>
      <c r="W443" s="2">
        <v>9088</v>
      </c>
      <c r="X443" s="9">
        <v>336695</v>
      </c>
      <c r="Y443" s="2" t="s">
        <v>46</v>
      </c>
      <c r="AA443" s="1" t="str">
        <f>TRIM(RPG_dataset[[#This Row],[Username]])</f>
        <v>aiden_782</v>
      </c>
      <c r="AB443" s="1" t="str">
        <f>TRIM(RPG_dataset[[#This Row],[First Name]])</f>
        <v>Aiden</v>
      </c>
      <c r="AC443" s="1" t="str">
        <f>PROPER(TRIM(RPG_dataset[[#This Row],[Race]]))</f>
        <v>Tiefling</v>
      </c>
      <c r="AD443" s="1" t="str">
        <f>PROPER(TRIM(RPG_dataset[[#This Row],[Class]]))</f>
        <v>Mage</v>
      </c>
      <c r="AE443" s="1">
        <f>ABS(RPG_dataset[[#This Row],[Level]])</f>
        <v>43</v>
      </c>
      <c r="AF443" s="1">
        <f>ABS(RPG_dataset[[#This Row],[ATK]])</f>
        <v>137</v>
      </c>
      <c r="AG443" s="1">
        <f>ABS(RPG_dataset[[#This Row],[DEF]])</f>
        <v>101</v>
      </c>
      <c r="AH443" s="1">
        <f>ABS(RPG_dataset[[#This Row],[SPD]])</f>
        <v>52</v>
      </c>
      <c r="AI443" s="1">
        <f>ABS(RPG_dataset[[#This Row],[HP]])</f>
        <v>4374</v>
      </c>
      <c r="AJ443" s="1">
        <f>ABS(RPG_dataset[[#This Row],[MP]])</f>
        <v>964</v>
      </c>
      <c r="AK443" s="1">
        <f>ABS(RPG_dataset[[#This Row],[Total Stat]])</f>
        <v>290</v>
      </c>
      <c r="AL443" s="1">
        <f>ABS(RPG_dataset[[#This Row],[Kills]])</f>
        <v>4282</v>
      </c>
      <c r="AM443" s="12">
        <f>ABS(RPG_dataset[[#This Row],[Win Rate (%)]])</f>
        <v>84</v>
      </c>
      <c r="AN443" s="4">
        <f>ABS(RPG_dataset[[#This Row],[Gold Earned]])</f>
        <v>336695</v>
      </c>
      <c r="AO443" s="5" t="str">
        <f t="shared" si="6"/>
        <v>OK</v>
      </c>
      <c r="AP443" s="5">
        <f>RANK(clean[[#This Row],[Clean Gold]],clean[Clean Gold], 0)</f>
        <v>340</v>
      </c>
      <c r="AQ443" s="1">
        <v>297</v>
      </c>
      <c r="AR443" s="1" t="str" cm="1">
        <f t="array" ref="AR443">_xlfn.IFS(clean[[#This Row],[Clean Level]]&gt;=76, "Legend", clean[[#This Row],[Clean Level]]&gt;=51, "Elite", clean[[#This Row],[Clean Level]]&gt;=26, "Veteran", TRUE, "Rookie")</f>
        <v>Veteran</v>
      </c>
      <c r="AS443" s="1" t="str">
        <f>IF(RPG_dataset[[#This Row],[Status]]="Active", "TRUE", "FALSE")</f>
        <v>FALSE</v>
      </c>
      <c r="AT443" s="1" t="str" cm="1">
        <f t="array" ref="AT443">_xlfn.IFS(clean[[#This Row],[Clean Win Rate]]&gt;70, "Excellent", clean[[#This Row],[Clean Win Rate]]&gt;=40, "Average", TRUE, "Poor")</f>
        <v>Excellent</v>
      </c>
      <c r="AU443" s="1" t="str">
        <f>IF(AND(clean[[#This Row],[Clean Level]]&gt;80, clean[[#This Row],[Clean Total Stat]]&gt;350, clean[[#This Row],[Clean Gold]]&gt;500000), "Overpowered", "Normal")</f>
        <v>Normal</v>
      </c>
      <c r="AV443" s="1" t="str" cm="1">
        <f t="array" ref="AV44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43" s="1" t="str" cm="1">
        <f t="array" ref="AW44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443" s="1"/>
    </row>
    <row r="444" spans="1:50" x14ac:dyDescent="0.3">
      <c r="A444" s="2" t="s">
        <v>1512</v>
      </c>
      <c r="B444" s="2" t="s">
        <v>1513</v>
      </c>
      <c r="C444" s="2" t="s">
        <v>49</v>
      </c>
      <c r="D444" s="2" t="s">
        <v>272</v>
      </c>
      <c r="E444" s="2" t="s">
        <v>29</v>
      </c>
      <c r="F444" s="2" t="s">
        <v>124</v>
      </c>
      <c r="G444" s="2">
        <v>78</v>
      </c>
      <c r="H444" s="2" t="s">
        <v>62</v>
      </c>
      <c r="I444" s="2" t="s">
        <v>140</v>
      </c>
      <c r="J444" s="2" t="s">
        <v>92</v>
      </c>
      <c r="K444" s="2" t="s">
        <v>106</v>
      </c>
      <c r="L444" s="6" t="s">
        <v>1514</v>
      </c>
      <c r="M444" s="2">
        <v>31</v>
      </c>
      <c r="N444" s="2">
        <v>16</v>
      </c>
      <c r="O444" s="2">
        <v>55</v>
      </c>
      <c r="P444" s="2">
        <v>1403</v>
      </c>
      <c r="Q444" s="2">
        <v>1653</v>
      </c>
      <c r="R444" s="2"/>
      <c r="S444" s="2">
        <v>3615</v>
      </c>
      <c r="T444" s="2">
        <v>778</v>
      </c>
      <c r="U444" s="2">
        <v>70</v>
      </c>
      <c r="V444" s="2">
        <v>82</v>
      </c>
      <c r="W444" s="2">
        <v>4517</v>
      </c>
      <c r="X444" s="2"/>
      <c r="Y444" s="2" t="s">
        <v>46</v>
      </c>
      <c r="AA444" s="1" t="str">
        <f>TRIM(RPG_dataset[[#This Row],[Username]])</f>
        <v>dune_711</v>
      </c>
      <c r="AB444" s="1" t="str">
        <f>TRIM(RPG_dataset[[#This Row],[First Name]])</f>
        <v>Dune</v>
      </c>
      <c r="AC444" s="1" t="str">
        <f>PROPER(TRIM(RPG_dataset[[#This Row],[Race]]))</f>
        <v>Dwarf</v>
      </c>
      <c r="AD444" s="1" t="str">
        <f>PROPER(TRIM(RPG_dataset[[#This Row],[Class]]))</f>
        <v>Necromancer</v>
      </c>
      <c r="AE444" s="1">
        <f>ABS(RPG_dataset[[#This Row],[Level]])</f>
        <v>78</v>
      </c>
      <c r="AF444" s="1">
        <f>ABS(RPG_dataset[[#This Row],[ATK]])</f>
        <v>31</v>
      </c>
      <c r="AG444" s="1">
        <f>ABS(RPG_dataset[[#This Row],[DEF]])</f>
        <v>16</v>
      </c>
      <c r="AH444" s="1">
        <f>ABS(RPG_dataset[[#This Row],[SPD]])</f>
        <v>55</v>
      </c>
      <c r="AI444" s="1">
        <f>ABS(RPG_dataset[[#This Row],[HP]])</f>
        <v>1403</v>
      </c>
      <c r="AJ444" s="1">
        <f>ABS(RPG_dataset[[#This Row],[MP]])</f>
        <v>1653</v>
      </c>
      <c r="AK444" s="1">
        <f>ABS(RPG_dataset[[#This Row],[Total Stat]])</f>
        <v>0</v>
      </c>
      <c r="AL444" s="1">
        <f>ABS(RPG_dataset[[#This Row],[Kills]])</f>
        <v>3615</v>
      </c>
      <c r="AM444" s="12">
        <f>ABS(RPG_dataset[[#This Row],[Win Rate (%)]])</f>
        <v>82</v>
      </c>
      <c r="AN444" s="4">
        <f>ABS(RPG_dataset[[#This Row],[Gold Earned]])</f>
        <v>0</v>
      </c>
      <c r="AO444" s="5" t="str">
        <f t="shared" si="6"/>
        <v>OK</v>
      </c>
      <c r="AP444" s="5">
        <f>RANK(clean[[#This Row],[Clean Gold]],clean[Clean Gold], 0)</f>
        <v>486</v>
      </c>
      <c r="AQ444" s="1">
        <v>184</v>
      </c>
      <c r="AR444" s="1" t="str" cm="1">
        <f t="array" ref="AR444">_xlfn.IFS(clean[[#This Row],[Clean Level]]&gt;=76, "Legend", clean[[#This Row],[Clean Level]]&gt;=51, "Elite", clean[[#This Row],[Clean Level]]&gt;=26, "Veteran", TRUE, "Rookie")</f>
        <v>Legend</v>
      </c>
      <c r="AS444" s="1" t="str">
        <f>IF(RPG_dataset[[#This Row],[Status]]="Active", "TRUE", "FALSE")</f>
        <v>FALSE</v>
      </c>
      <c r="AT444" s="1" t="str" cm="1">
        <f t="array" ref="AT444">_xlfn.IFS(clean[[#This Row],[Clean Win Rate]]&gt;70, "Excellent", clean[[#This Row],[Clean Win Rate]]&gt;=40, "Average", TRUE, "Poor")</f>
        <v>Excellent</v>
      </c>
      <c r="AU444" s="1" t="str">
        <f>IF(AND(clean[[#This Row],[Clean Level]]&gt;80, clean[[#This Row],[Clean Total Stat]]&gt;350, clean[[#This Row],[Clean Gold]]&gt;500000), "Overpowered", "Normal")</f>
        <v>Normal</v>
      </c>
      <c r="AV444" s="1" t="str" cm="1">
        <f t="array" ref="AV44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44" s="1" t="str" cm="1">
        <f t="array" ref="AW44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444" s="1"/>
    </row>
    <row r="445" spans="1:50" x14ac:dyDescent="0.3">
      <c r="A445" s="2" t="s">
        <v>1515</v>
      </c>
      <c r="B445" s="2" t="s">
        <v>1516</v>
      </c>
      <c r="C445" s="2" t="s">
        <v>371</v>
      </c>
      <c r="D445" s="2" t="s">
        <v>250</v>
      </c>
      <c r="E445" s="2" t="s">
        <v>71</v>
      </c>
      <c r="F445" s="2" t="s">
        <v>42</v>
      </c>
      <c r="G445" s="2">
        <v>85</v>
      </c>
      <c r="H445" s="2" t="s">
        <v>157</v>
      </c>
      <c r="I445" s="2" t="s">
        <v>87</v>
      </c>
      <c r="J445" s="2" t="s">
        <v>88</v>
      </c>
      <c r="K445" s="2" t="s">
        <v>44</v>
      </c>
      <c r="L445" s="6" t="s">
        <v>1517</v>
      </c>
      <c r="M445" s="2">
        <v>116</v>
      </c>
      <c r="N445" s="2"/>
      <c r="O445" s="2">
        <v>147</v>
      </c>
      <c r="P445" s="2">
        <v>3662</v>
      </c>
      <c r="Q445" s="2">
        <v>467</v>
      </c>
      <c r="R445" s="2">
        <v>358</v>
      </c>
      <c r="S445" s="2">
        <v>3438</v>
      </c>
      <c r="T445" s="2">
        <v>139</v>
      </c>
      <c r="U445" s="2">
        <v>248</v>
      </c>
      <c r="V445" s="2">
        <v>96</v>
      </c>
      <c r="W445" s="2">
        <v>1282</v>
      </c>
      <c r="X445" s="9">
        <v>960532</v>
      </c>
      <c r="Y445" s="2" t="s">
        <v>36</v>
      </c>
      <c r="AA445" s="1" t="str">
        <f>TRIM(RPG_dataset[[#This Row],[Username]])</f>
        <v>kira_305</v>
      </c>
      <c r="AB445" s="1" t="str">
        <f>TRIM(RPG_dataset[[#This Row],[First Name]])</f>
        <v>Kira</v>
      </c>
      <c r="AC445" s="1" t="str">
        <f>PROPER(TRIM(RPG_dataset[[#This Row],[Race]]))</f>
        <v>Dragonborn</v>
      </c>
      <c r="AD445" s="1" t="str">
        <f>PROPER(TRIM(RPG_dataset[[#This Row],[Class]]))</f>
        <v>Monk</v>
      </c>
      <c r="AE445" s="1">
        <f>ABS(RPG_dataset[[#This Row],[Level]])</f>
        <v>85</v>
      </c>
      <c r="AF445" s="1">
        <f>ABS(RPG_dataset[[#This Row],[ATK]])</f>
        <v>116</v>
      </c>
      <c r="AG445" s="1">
        <f>ABS(RPG_dataset[[#This Row],[DEF]])</f>
        <v>0</v>
      </c>
      <c r="AH445" s="1">
        <f>ABS(RPG_dataset[[#This Row],[SPD]])</f>
        <v>147</v>
      </c>
      <c r="AI445" s="1">
        <f>ABS(RPG_dataset[[#This Row],[HP]])</f>
        <v>3662</v>
      </c>
      <c r="AJ445" s="1">
        <f>ABS(RPG_dataset[[#This Row],[MP]])</f>
        <v>467</v>
      </c>
      <c r="AK445" s="1">
        <f>ABS(RPG_dataset[[#This Row],[Total Stat]])</f>
        <v>358</v>
      </c>
      <c r="AL445" s="1">
        <f>ABS(RPG_dataset[[#This Row],[Kills]])</f>
        <v>3438</v>
      </c>
      <c r="AM445" s="12">
        <f>ABS(RPG_dataset[[#This Row],[Win Rate (%)]])</f>
        <v>96</v>
      </c>
      <c r="AN445" s="4">
        <f>ABS(RPG_dataset[[#This Row],[Gold Earned]])</f>
        <v>960532</v>
      </c>
      <c r="AO445" s="5" t="str">
        <f t="shared" si="6"/>
        <v>OK</v>
      </c>
      <c r="AP445" s="5">
        <f>RANK(clean[[#This Row],[Clean Gold]],clean[Clean Gold], 0)</f>
        <v>18</v>
      </c>
      <c r="AQ445" s="1">
        <v>307</v>
      </c>
      <c r="AR445" s="1" t="str" cm="1">
        <f t="array" ref="AR445">_xlfn.IFS(clean[[#This Row],[Clean Level]]&gt;=76, "Legend", clean[[#This Row],[Clean Level]]&gt;=51, "Elite", clean[[#This Row],[Clean Level]]&gt;=26, "Veteran", TRUE, "Rookie")</f>
        <v>Legend</v>
      </c>
      <c r="AS445" s="1" t="str">
        <f>IF(RPG_dataset[[#This Row],[Status]]="Active", "TRUE", "FALSE")</f>
        <v>TRUE</v>
      </c>
      <c r="AT445" s="1" t="str" cm="1">
        <f t="array" ref="AT445">_xlfn.IFS(clean[[#This Row],[Clean Win Rate]]&gt;70, "Excellent", clean[[#This Row],[Clean Win Rate]]&gt;=40, "Average", TRUE, "Poor")</f>
        <v>Excellent</v>
      </c>
      <c r="AU445" s="1" t="str">
        <f>IF(AND(clean[[#This Row],[Clean Level]]&gt;80, clean[[#This Row],[Clean Total Stat]]&gt;350, clean[[#This Row],[Clean Gold]]&gt;500000), "Overpowered", "Normal")</f>
        <v>Overpowered</v>
      </c>
      <c r="AV445" s="1" t="str" cm="1">
        <f t="array" ref="AV445">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445" s="1" t="str" cm="1">
        <f t="array" ref="AW44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45" s="1"/>
    </row>
    <row r="446" spans="1:50" x14ac:dyDescent="0.3">
      <c r="A446" s="2" t="s">
        <v>1518</v>
      </c>
      <c r="B446" s="2" t="s">
        <v>1519</v>
      </c>
      <c r="C446" s="2" t="s">
        <v>517</v>
      </c>
      <c r="D446" s="2" t="s">
        <v>155</v>
      </c>
      <c r="E446" s="2" t="s">
        <v>29</v>
      </c>
      <c r="F446" s="2" t="s">
        <v>72</v>
      </c>
      <c r="G446" s="2">
        <v>11</v>
      </c>
      <c r="H446" s="2" t="s">
        <v>157</v>
      </c>
      <c r="I446" s="2" t="s">
        <v>74</v>
      </c>
      <c r="J446" s="2" t="s">
        <v>92</v>
      </c>
      <c r="K446" s="2" t="s">
        <v>44</v>
      </c>
      <c r="L446" s="6" t="s">
        <v>1520</v>
      </c>
      <c r="M446" s="2">
        <v>104</v>
      </c>
      <c r="N446" s="2">
        <v>150</v>
      </c>
      <c r="O446" s="2">
        <v>117</v>
      </c>
      <c r="P446" s="2">
        <v>653</v>
      </c>
      <c r="Q446" s="2"/>
      <c r="R446" s="2">
        <v>371</v>
      </c>
      <c r="S446" s="2">
        <v>4200</v>
      </c>
      <c r="T446" s="2">
        <v>502</v>
      </c>
      <c r="U446" s="2">
        <v>19</v>
      </c>
      <c r="V446" s="2">
        <v>89</v>
      </c>
      <c r="W446" s="2">
        <v>1708</v>
      </c>
      <c r="X446" s="9">
        <v>362603</v>
      </c>
      <c r="Y446" s="2" t="s">
        <v>46</v>
      </c>
      <c r="AA446" s="1" t="str">
        <f>TRIM(RPG_dataset[[#This Row],[Username]])</f>
        <v>myra_930</v>
      </c>
      <c r="AB446" s="1" t="str">
        <f>TRIM(RPG_dataset[[#This Row],[First Name]])</f>
        <v>Myra</v>
      </c>
      <c r="AC446" s="1" t="str">
        <f>PROPER(TRIM(RPG_dataset[[#This Row],[Race]]))</f>
        <v>Dwarf</v>
      </c>
      <c r="AD446" s="1" t="str">
        <f>PROPER(TRIM(RPG_dataset[[#This Row],[Class]]))</f>
        <v>Warrior</v>
      </c>
      <c r="AE446" s="1">
        <f>ABS(RPG_dataset[[#This Row],[Level]])</f>
        <v>11</v>
      </c>
      <c r="AF446" s="1">
        <f>ABS(RPG_dataset[[#This Row],[ATK]])</f>
        <v>104</v>
      </c>
      <c r="AG446" s="1">
        <f>ABS(RPG_dataset[[#This Row],[DEF]])</f>
        <v>150</v>
      </c>
      <c r="AH446" s="1">
        <f>ABS(RPG_dataset[[#This Row],[SPD]])</f>
        <v>117</v>
      </c>
      <c r="AI446" s="1">
        <f>ABS(RPG_dataset[[#This Row],[HP]])</f>
        <v>653</v>
      </c>
      <c r="AJ446" s="1">
        <f>ABS(RPG_dataset[[#This Row],[MP]])</f>
        <v>0</v>
      </c>
      <c r="AK446" s="1">
        <f>ABS(RPG_dataset[[#This Row],[Total Stat]])</f>
        <v>371</v>
      </c>
      <c r="AL446" s="1">
        <f>ABS(RPG_dataset[[#This Row],[Kills]])</f>
        <v>4200</v>
      </c>
      <c r="AM446" s="12">
        <f>ABS(RPG_dataset[[#This Row],[Win Rate (%)]])</f>
        <v>89</v>
      </c>
      <c r="AN446" s="4">
        <f>ABS(RPG_dataset[[#This Row],[Gold Earned]])</f>
        <v>362603</v>
      </c>
      <c r="AO446" s="5" t="str">
        <f t="shared" si="6"/>
        <v>OK</v>
      </c>
      <c r="AP446" s="5">
        <f>RANK(clean[[#This Row],[Clean Gold]],clean[Clean Gold], 0)</f>
        <v>324</v>
      </c>
      <c r="AQ446" s="1">
        <v>230</v>
      </c>
      <c r="AR446" s="1" t="str" cm="1">
        <f t="array" ref="AR446">_xlfn.IFS(clean[[#This Row],[Clean Level]]&gt;=76, "Legend", clean[[#This Row],[Clean Level]]&gt;=51, "Elite", clean[[#This Row],[Clean Level]]&gt;=26, "Veteran", TRUE, "Rookie")</f>
        <v>Rookie</v>
      </c>
      <c r="AS446" s="1" t="str">
        <f>IF(RPG_dataset[[#This Row],[Status]]="Active", "TRUE", "FALSE")</f>
        <v>TRUE</v>
      </c>
      <c r="AT446" s="1" t="str" cm="1">
        <f t="array" ref="AT446">_xlfn.IFS(clean[[#This Row],[Clean Win Rate]]&gt;70, "Excellent", clean[[#This Row],[Clean Win Rate]]&gt;=40, "Average", TRUE, "Poor")</f>
        <v>Excellent</v>
      </c>
      <c r="AU446" s="1" t="str">
        <f>IF(AND(clean[[#This Row],[Clean Level]]&gt;80, clean[[#This Row],[Clean Total Stat]]&gt;350, clean[[#This Row],[Clean Gold]]&gt;500000), "Overpowered", "Normal")</f>
        <v>Normal</v>
      </c>
      <c r="AV446" s="1" t="str" cm="1">
        <f t="array" ref="AV44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46" s="1" t="str" cm="1">
        <f t="array" ref="AW44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Squad Inti</v>
      </c>
      <c r="AX446" s="1"/>
    </row>
    <row r="447" spans="1:50" x14ac:dyDescent="0.3">
      <c r="A447" s="2" t="s">
        <v>1521</v>
      </c>
      <c r="B447" s="2" t="s">
        <v>1522</v>
      </c>
      <c r="C447" s="2" t="s">
        <v>604</v>
      </c>
      <c r="D447" s="2" t="s">
        <v>234</v>
      </c>
      <c r="E447" s="2" t="s">
        <v>60</v>
      </c>
      <c r="F447" s="2" t="s">
        <v>194</v>
      </c>
      <c r="G447" s="2">
        <v>37</v>
      </c>
      <c r="H447" s="2" t="s">
        <v>263</v>
      </c>
      <c r="I447" s="2" t="s">
        <v>32</v>
      </c>
      <c r="J447" s="2" t="s">
        <v>111</v>
      </c>
      <c r="K447" s="2" t="s">
        <v>106</v>
      </c>
      <c r="L447" s="6" t="s">
        <v>1523</v>
      </c>
      <c r="M447" s="2">
        <v>130</v>
      </c>
      <c r="N447" s="2">
        <v>90</v>
      </c>
      <c r="O447" s="2">
        <v>31</v>
      </c>
      <c r="P447" s="2">
        <v>298</v>
      </c>
      <c r="Q447" s="2">
        <v>888</v>
      </c>
      <c r="R447" s="2">
        <v>251</v>
      </c>
      <c r="S447" s="2">
        <v>2506</v>
      </c>
      <c r="T447" s="2">
        <v>305</v>
      </c>
      <c r="U447" s="2">
        <v>93</v>
      </c>
      <c r="V447" s="2">
        <v>89</v>
      </c>
      <c r="W447" s="2">
        <v>2337</v>
      </c>
      <c r="X447" s="9">
        <v>45389</v>
      </c>
      <c r="Y447" s="2" t="s">
        <v>46</v>
      </c>
      <c r="AA447" s="1" t="str">
        <f>TRIM(RPG_dataset[[#This Row],[Username]])</f>
        <v>roran_231</v>
      </c>
      <c r="AB447" s="1" t="str">
        <f>TRIM(RPG_dataset[[#This Row],[First Name]])</f>
        <v>Roran</v>
      </c>
      <c r="AC447" s="1" t="str">
        <f>PROPER(TRIM(RPG_dataset[[#This Row],[Race]]))</f>
        <v>Human</v>
      </c>
      <c r="AD447" s="1" t="str">
        <f>PROPER(TRIM(RPG_dataset[[#This Row],[Class]]))</f>
        <v>Paladin</v>
      </c>
      <c r="AE447" s="1">
        <f>ABS(RPG_dataset[[#This Row],[Level]])</f>
        <v>37</v>
      </c>
      <c r="AF447" s="1">
        <f>ABS(RPG_dataset[[#This Row],[ATK]])</f>
        <v>130</v>
      </c>
      <c r="AG447" s="1">
        <f>ABS(RPG_dataset[[#This Row],[DEF]])</f>
        <v>90</v>
      </c>
      <c r="AH447" s="1">
        <f>ABS(RPG_dataset[[#This Row],[SPD]])</f>
        <v>31</v>
      </c>
      <c r="AI447" s="1">
        <f>ABS(RPG_dataset[[#This Row],[HP]])</f>
        <v>298</v>
      </c>
      <c r="AJ447" s="1">
        <f>ABS(RPG_dataset[[#This Row],[MP]])</f>
        <v>888</v>
      </c>
      <c r="AK447" s="1">
        <f>ABS(RPG_dataset[[#This Row],[Total Stat]])</f>
        <v>251</v>
      </c>
      <c r="AL447" s="1">
        <f>ABS(RPG_dataset[[#This Row],[Kills]])</f>
        <v>2506</v>
      </c>
      <c r="AM447" s="12">
        <f>ABS(RPG_dataset[[#This Row],[Win Rate (%)]])</f>
        <v>89</v>
      </c>
      <c r="AN447" s="4">
        <f>ABS(RPG_dataset[[#This Row],[Gold Earned]])</f>
        <v>45389</v>
      </c>
      <c r="AO447" s="5" t="str">
        <f t="shared" si="6"/>
        <v>OK</v>
      </c>
      <c r="AP447" s="5">
        <f>RANK(clean[[#This Row],[Clean Gold]],clean[Clean Gold], 0)</f>
        <v>461</v>
      </c>
      <c r="AQ447" s="1">
        <v>309</v>
      </c>
      <c r="AR447" s="1" t="str" cm="1">
        <f t="array" ref="AR447">_xlfn.IFS(clean[[#This Row],[Clean Level]]&gt;=76, "Legend", clean[[#This Row],[Clean Level]]&gt;=51, "Elite", clean[[#This Row],[Clean Level]]&gt;=26, "Veteran", TRUE, "Rookie")</f>
        <v>Veteran</v>
      </c>
      <c r="AS447" s="1" t="str">
        <f>IF(RPG_dataset[[#This Row],[Status]]="Active", "TRUE", "FALSE")</f>
        <v>FALSE</v>
      </c>
      <c r="AT447" s="1" t="str" cm="1">
        <f t="array" ref="AT447">_xlfn.IFS(clean[[#This Row],[Clean Win Rate]]&gt;70, "Excellent", clean[[#This Row],[Clean Win Rate]]&gt;=40, "Average", TRUE, "Poor")</f>
        <v>Excellent</v>
      </c>
      <c r="AU447" s="1" t="str">
        <f>IF(AND(clean[[#This Row],[Clean Level]]&gt;80, clean[[#This Row],[Clean Total Stat]]&gt;350, clean[[#This Row],[Clean Gold]]&gt;500000), "Overpowered", "Normal")</f>
        <v>Normal</v>
      </c>
      <c r="AV447" s="1" t="str" cm="1">
        <f t="array" ref="AV44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47" s="1" t="str" cm="1">
        <f t="array" ref="AW44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447" s="1"/>
    </row>
    <row r="448" spans="1:50" x14ac:dyDescent="0.3">
      <c r="A448" s="2" t="s">
        <v>1524</v>
      </c>
      <c r="B448" s="2" t="s">
        <v>1525</v>
      </c>
      <c r="C448" s="2" t="s">
        <v>85</v>
      </c>
      <c r="D448" s="2" t="s">
        <v>104</v>
      </c>
      <c r="E448" s="2" t="s">
        <v>169</v>
      </c>
      <c r="F448" s="2" t="s">
        <v>124</v>
      </c>
      <c r="G448" s="2">
        <v>70</v>
      </c>
      <c r="H448" s="2" t="s">
        <v>62</v>
      </c>
      <c r="I448" s="2" t="s">
        <v>87</v>
      </c>
      <c r="J448" s="2" t="s">
        <v>111</v>
      </c>
      <c r="K448" s="2" t="s">
        <v>34</v>
      </c>
      <c r="L448" s="6" t="s">
        <v>1526</v>
      </c>
      <c r="M448" s="2">
        <v>66</v>
      </c>
      <c r="N448" s="2">
        <v>99</v>
      </c>
      <c r="O448" s="2">
        <v>129</v>
      </c>
      <c r="P448" s="2">
        <v>785</v>
      </c>
      <c r="Q448" s="2">
        <v>763</v>
      </c>
      <c r="R448" s="2">
        <v>294</v>
      </c>
      <c r="S448" s="2">
        <v>1918</v>
      </c>
      <c r="T448" s="2"/>
      <c r="U448" s="2">
        <v>202</v>
      </c>
      <c r="V448" s="2">
        <v>69</v>
      </c>
      <c r="W448" s="2">
        <v>6222</v>
      </c>
      <c r="X448" s="9">
        <v>920365</v>
      </c>
      <c r="Y448" s="2" t="s">
        <v>46</v>
      </c>
      <c r="AA448" s="1" t="str">
        <f>TRIM(RPG_dataset[[#This Row],[Username]])</f>
        <v>delia_645</v>
      </c>
      <c r="AB448" s="1" t="str">
        <f>TRIM(RPG_dataset[[#This Row],[First Name]])</f>
        <v>Delia</v>
      </c>
      <c r="AC448" s="1" t="str">
        <f>PROPER(TRIM(RPG_dataset[[#This Row],[Race]]))</f>
        <v>Halfling</v>
      </c>
      <c r="AD448" s="1" t="str">
        <f>PROPER(TRIM(RPG_dataset[[#This Row],[Class]]))</f>
        <v>Necromancer</v>
      </c>
      <c r="AE448" s="1">
        <f>ABS(RPG_dataset[[#This Row],[Level]])</f>
        <v>70</v>
      </c>
      <c r="AF448" s="1">
        <f>ABS(RPG_dataset[[#This Row],[ATK]])</f>
        <v>66</v>
      </c>
      <c r="AG448" s="1">
        <f>ABS(RPG_dataset[[#This Row],[DEF]])</f>
        <v>99</v>
      </c>
      <c r="AH448" s="1">
        <f>ABS(RPG_dataset[[#This Row],[SPD]])</f>
        <v>129</v>
      </c>
      <c r="AI448" s="1">
        <f>ABS(RPG_dataset[[#This Row],[HP]])</f>
        <v>785</v>
      </c>
      <c r="AJ448" s="1">
        <f>ABS(RPG_dataset[[#This Row],[MP]])</f>
        <v>763</v>
      </c>
      <c r="AK448" s="1">
        <f>ABS(RPG_dataset[[#This Row],[Total Stat]])</f>
        <v>294</v>
      </c>
      <c r="AL448" s="1">
        <f>ABS(RPG_dataset[[#This Row],[Kills]])</f>
        <v>1918</v>
      </c>
      <c r="AM448" s="12">
        <f>ABS(RPG_dataset[[#This Row],[Win Rate (%)]])</f>
        <v>69</v>
      </c>
      <c r="AN448" s="4">
        <f>ABS(RPG_dataset[[#This Row],[Gold Earned]])</f>
        <v>920365</v>
      </c>
      <c r="AO448" s="5" t="str">
        <f t="shared" si="6"/>
        <v>OK</v>
      </c>
      <c r="AP448" s="5">
        <f>RANK(clean[[#This Row],[Clean Gold]],clean[Clean Gold], 0)</f>
        <v>39</v>
      </c>
      <c r="AQ448" s="1">
        <v>228</v>
      </c>
      <c r="AR448" s="1" t="str" cm="1">
        <f t="array" ref="AR448">_xlfn.IFS(clean[[#This Row],[Clean Level]]&gt;=76, "Legend", clean[[#This Row],[Clean Level]]&gt;=51, "Elite", clean[[#This Row],[Clean Level]]&gt;=26, "Veteran", TRUE, "Rookie")</f>
        <v>Elite</v>
      </c>
      <c r="AS448" s="1" t="str">
        <f>IF(RPG_dataset[[#This Row],[Status]]="Active", "TRUE", "FALSE")</f>
        <v>FALSE</v>
      </c>
      <c r="AT448" s="1" t="str" cm="1">
        <f t="array" ref="AT448">_xlfn.IFS(clean[[#This Row],[Clean Win Rate]]&gt;70, "Excellent", clean[[#This Row],[Clean Win Rate]]&gt;=40, "Average", TRUE, "Poor")</f>
        <v>Average</v>
      </c>
      <c r="AU448" s="1" t="str">
        <f>IF(AND(clean[[#This Row],[Clean Level]]&gt;80, clean[[#This Row],[Clean Total Stat]]&gt;350, clean[[#This Row],[Clean Gold]]&gt;500000), "Overpowered", "Normal")</f>
        <v>Normal</v>
      </c>
      <c r="AV448" s="1" t="str" cm="1">
        <f t="array" ref="AV44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48" s="1" t="str" cm="1">
        <f t="array" ref="AW44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48" s="1"/>
    </row>
    <row r="449" spans="1:50" x14ac:dyDescent="0.3">
      <c r="A449" s="2" t="s">
        <v>1527</v>
      </c>
      <c r="B449" s="2" t="s">
        <v>1528</v>
      </c>
      <c r="C449" s="2" t="s">
        <v>219</v>
      </c>
      <c r="D449" s="2" t="s">
        <v>168</v>
      </c>
      <c r="E449" s="2" t="s">
        <v>105</v>
      </c>
      <c r="F449" s="2" t="s">
        <v>124</v>
      </c>
      <c r="G449" s="2">
        <v>16</v>
      </c>
      <c r="H449" s="2" t="s">
        <v>73</v>
      </c>
      <c r="I449" s="2" t="s">
        <v>54</v>
      </c>
      <c r="J449" s="2" t="s">
        <v>81</v>
      </c>
      <c r="K449" s="2" t="s">
        <v>44</v>
      </c>
      <c r="L449" s="6" t="s">
        <v>1529</v>
      </c>
      <c r="M449" s="2">
        <v>30</v>
      </c>
      <c r="N449" s="2">
        <v>19</v>
      </c>
      <c r="O449" s="2">
        <v>43</v>
      </c>
      <c r="P449" s="2">
        <v>4902</v>
      </c>
      <c r="Q449" s="2">
        <v>2068</v>
      </c>
      <c r="R449" s="2">
        <v>92</v>
      </c>
      <c r="S449" s="2">
        <v>1436</v>
      </c>
      <c r="T449" s="2">
        <v>382</v>
      </c>
      <c r="U449" s="2">
        <v>218</v>
      </c>
      <c r="V449" s="2">
        <v>79</v>
      </c>
      <c r="W449" s="2">
        <v>9493</v>
      </c>
      <c r="X449" s="9">
        <v>112784</v>
      </c>
      <c r="Y449" s="2" t="s">
        <v>46</v>
      </c>
      <c r="AA449" s="1" t="str">
        <f>TRIM(RPG_dataset[[#This Row],[Username]])</f>
        <v>torin_737</v>
      </c>
      <c r="AB449" s="1" t="str">
        <f>TRIM(RPG_dataset[[#This Row],[First Name]])</f>
        <v>Torin</v>
      </c>
      <c r="AC449" s="1" t="str">
        <f>PROPER(TRIM(RPG_dataset[[#This Row],[Race]]))</f>
        <v>Orc</v>
      </c>
      <c r="AD449" s="1" t="str">
        <f>PROPER(TRIM(RPG_dataset[[#This Row],[Class]]))</f>
        <v>Necromancer</v>
      </c>
      <c r="AE449" s="1">
        <f>ABS(RPG_dataset[[#This Row],[Level]])</f>
        <v>16</v>
      </c>
      <c r="AF449" s="1">
        <f>ABS(RPG_dataset[[#This Row],[ATK]])</f>
        <v>30</v>
      </c>
      <c r="AG449" s="1">
        <f>ABS(RPG_dataset[[#This Row],[DEF]])</f>
        <v>19</v>
      </c>
      <c r="AH449" s="1">
        <f>ABS(RPG_dataset[[#This Row],[SPD]])</f>
        <v>43</v>
      </c>
      <c r="AI449" s="1">
        <f>ABS(RPG_dataset[[#This Row],[HP]])</f>
        <v>4902</v>
      </c>
      <c r="AJ449" s="1">
        <f>ABS(RPG_dataset[[#This Row],[MP]])</f>
        <v>2068</v>
      </c>
      <c r="AK449" s="1">
        <f>ABS(RPG_dataset[[#This Row],[Total Stat]])</f>
        <v>92</v>
      </c>
      <c r="AL449" s="1">
        <f>ABS(RPG_dataset[[#This Row],[Kills]])</f>
        <v>1436</v>
      </c>
      <c r="AM449" s="12">
        <f>ABS(RPG_dataset[[#This Row],[Win Rate (%)]])</f>
        <v>79</v>
      </c>
      <c r="AN449" s="4">
        <f>ABS(RPG_dataset[[#This Row],[Gold Earned]])</f>
        <v>112784</v>
      </c>
      <c r="AO449" s="5" t="str">
        <f t="shared" si="6"/>
        <v>OK</v>
      </c>
      <c r="AP449" s="5">
        <f>RANK(clean[[#This Row],[Clean Gold]],clean[Clean Gold], 0)</f>
        <v>429</v>
      </c>
      <c r="AQ449" s="1"/>
      <c r="AR449" s="1" t="str" cm="1">
        <f t="array" ref="AR449">_xlfn.IFS(clean[[#This Row],[Clean Level]]&gt;=76, "Legend", clean[[#This Row],[Clean Level]]&gt;=51, "Elite", clean[[#This Row],[Clean Level]]&gt;=26, "Veteran", TRUE, "Rookie")</f>
        <v>Rookie</v>
      </c>
      <c r="AS449" s="1" t="str">
        <f>IF(RPG_dataset[[#This Row],[Status]]="Active", "TRUE", "FALSE")</f>
        <v>TRUE</v>
      </c>
      <c r="AT449" s="1" t="str" cm="1">
        <f t="array" ref="AT449">_xlfn.IFS(clean[[#This Row],[Clean Win Rate]]&gt;70, "Excellent", clean[[#This Row],[Clean Win Rate]]&gt;=40, "Average", TRUE, "Poor")</f>
        <v>Excellent</v>
      </c>
      <c r="AU449" s="1" t="str">
        <f>IF(AND(clean[[#This Row],[Clean Level]]&gt;80, clean[[#This Row],[Clean Total Stat]]&gt;350, clean[[#This Row],[Clean Gold]]&gt;500000), "Overpowered", "Normal")</f>
        <v>Normal</v>
      </c>
      <c r="AV449" s="1" t="str" cm="1">
        <f t="array" ref="AV44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49" s="1" t="str" cm="1">
        <f t="array" ref="AW44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449" s="1"/>
    </row>
    <row r="450" spans="1:50" x14ac:dyDescent="0.3">
      <c r="A450" s="2" t="s">
        <v>1530</v>
      </c>
      <c r="B450" s="2" t="s">
        <v>1531</v>
      </c>
      <c r="C450" s="2" t="s">
        <v>507</v>
      </c>
      <c r="D450" s="2" t="s">
        <v>75</v>
      </c>
      <c r="E450" s="2" t="s">
        <v>105</v>
      </c>
      <c r="F450" s="2" t="s">
        <v>42</v>
      </c>
      <c r="G450" s="2">
        <v>49</v>
      </c>
      <c r="H450" s="2" t="s">
        <v>43</v>
      </c>
      <c r="I450" s="2" t="s">
        <v>32</v>
      </c>
      <c r="J450" s="2" t="s">
        <v>163</v>
      </c>
      <c r="K450" s="2" t="s">
        <v>44</v>
      </c>
      <c r="L450" s="6" t="s">
        <v>1532</v>
      </c>
      <c r="M450" s="2">
        <v>50</v>
      </c>
      <c r="N450" s="2">
        <v>86</v>
      </c>
      <c r="O450" s="2">
        <v>72</v>
      </c>
      <c r="P450" s="2">
        <v>2217</v>
      </c>
      <c r="Q450" s="2">
        <v>383</v>
      </c>
      <c r="R450" s="2">
        <v>208</v>
      </c>
      <c r="S450" s="2">
        <v>3014</v>
      </c>
      <c r="T450" s="2">
        <v>601</v>
      </c>
      <c r="U450" s="2">
        <v>167</v>
      </c>
      <c r="V450" s="2">
        <v>83</v>
      </c>
      <c r="W450" s="2">
        <v>9504</v>
      </c>
      <c r="X450" s="9">
        <v>701972</v>
      </c>
      <c r="Y450" s="2" t="s">
        <v>36</v>
      </c>
      <c r="AA450" s="1" t="str">
        <f>TRIM(RPG_dataset[[#This Row],[Username]])</f>
        <v>vex_484</v>
      </c>
      <c r="AB450" s="1" t="str">
        <f>TRIM(RPG_dataset[[#This Row],[First Name]])</f>
        <v>Vex</v>
      </c>
      <c r="AC450" s="1" t="str">
        <f>PROPER(TRIM(RPG_dataset[[#This Row],[Race]]))</f>
        <v>Orc</v>
      </c>
      <c r="AD450" s="1" t="str">
        <f>PROPER(TRIM(RPG_dataset[[#This Row],[Class]]))</f>
        <v>Monk</v>
      </c>
      <c r="AE450" s="1">
        <f>ABS(RPG_dataset[[#This Row],[Level]])</f>
        <v>49</v>
      </c>
      <c r="AF450" s="1">
        <f>ABS(RPG_dataset[[#This Row],[ATK]])</f>
        <v>50</v>
      </c>
      <c r="AG450" s="1">
        <f>ABS(RPG_dataset[[#This Row],[DEF]])</f>
        <v>86</v>
      </c>
      <c r="AH450" s="1">
        <f>ABS(RPG_dataset[[#This Row],[SPD]])</f>
        <v>72</v>
      </c>
      <c r="AI450" s="1">
        <f>ABS(RPG_dataset[[#This Row],[HP]])</f>
        <v>2217</v>
      </c>
      <c r="AJ450" s="1">
        <f>ABS(RPG_dataset[[#This Row],[MP]])</f>
        <v>383</v>
      </c>
      <c r="AK450" s="1">
        <f>ABS(RPG_dataset[[#This Row],[Total Stat]])</f>
        <v>208</v>
      </c>
      <c r="AL450" s="1">
        <f>ABS(RPG_dataset[[#This Row],[Kills]])</f>
        <v>3014</v>
      </c>
      <c r="AM450" s="12">
        <f>ABS(RPG_dataset[[#This Row],[Win Rate (%)]])</f>
        <v>83</v>
      </c>
      <c r="AN450" s="4">
        <f>ABS(RPG_dataset[[#This Row],[Gold Earned]])</f>
        <v>701972</v>
      </c>
      <c r="AO450" s="5" t="str">
        <f t="shared" ref="AO450:AO501" si="7">IF(MID(L450, 5, 1)="-", "OK", "Fix This")</f>
        <v>OK</v>
      </c>
      <c r="AP450" s="5">
        <f>RANK(clean[[#This Row],[Clean Gold]],clean[Clean Gold], 0)</f>
        <v>147</v>
      </c>
      <c r="AQ450" s="1">
        <v>293</v>
      </c>
      <c r="AR450" s="1" t="str" cm="1">
        <f t="array" ref="AR450">_xlfn.IFS(clean[[#This Row],[Clean Level]]&gt;=76, "Legend", clean[[#This Row],[Clean Level]]&gt;=51, "Elite", clean[[#This Row],[Clean Level]]&gt;=26, "Veteran", TRUE, "Rookie")</f>
        <v>Veteran</v>
      </c>
      <c r="AS450" s="1" t="str">
        <f>IF(RPG_dataset[[#This Row],[Status]]="Active", "TRUE", "FALSE")</f>
        <v>TRUE</v>
      </c>
      <c r="AT450" s="1" t="str" cm="1">
        <f t="array" ref="AT450">_xlfn.IFS(clean[[#This Row],[Clean Win Rate]]&gt;70, "Excellent", clean[[#This Row],[Clean Win Rate]]&gt;=40, "Average", TRUE, "Poor")</f>
        <v>Excellent</v>
      </c>
      <c r="AU450" s="1" t="str">
        <f>IF(AND(clean[[#This Row],[Clean Level]]&gt;80, clean[[#This Row],[Clean Total Stat]]&gt;350, clean[[#This Row],[Clean Gold]]&gt;500000), "Overpowered", "Normal")</f>
        <v>Normal</v>
      </c>
      <c r="AV450" s="1" t="str" cm="1">
        <f t="array" ref="AV45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50" s="1" t="str" cm="1">
        <f t="array" ref="AW45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450" s="1"/>
    </row>
    <row r="451" spans="1:50" x14ac:dyDescent="0.3">
      <c r="A451" s="2" t="s">
        <v>1533</v>
      </c>
      <c r="B451" s="2" t="s">
        <v>1534</v>
      </c>
      <c r="C451" s="2" t="s">
        <v>314</v>
      </c>
      <c r="D451" s="2" t="s">
        <v>119</v>
      </c>
      <c r="E451" s="2" t="s">
        <v>29</v>
      </c>
      <c r="F451" s="2" t="s">
        <v>98</v>
      </c>
      <c r="G451" s="2">
        <v>79</v>
      </c>
      <c r="H451" s="2" t="s">
        <v>62</v>
      </c>
      <c r="I451" s="2" t="s">
        <v>74</v>
      </c>
      <c r="J451" s="2" t="s">
        <v>88</v>
      </c>
      <c r="K451" s="2" t="s">
        <v>34</v>
      </c>
      <c r="L451" s="6" t="s">
        <v>1535</v>
      </c>
      <c r="M451" s="2">
        <v>43</v>
      </c>
      <c r="N451" s="2">
        <v>32</v>
      </c>
      <c r="O451" s="2">
        <v>136</v>
      </c>
      <c r="P451" s="2">
        <v>2187</v>
      </c>
      <c r="Q451" s="2">
        <v>2829</v>
      </c>
      <c r="R451" s="2">
        <v>211</v>
      </c>
      <c r="S451" s="2">
        <v>4418</v>
      </c>
      <c r="T451" s="2">
        <v>485</v>
      </c>
      <c r="U451" s="2">
        <v>47</v>
      </c>
      <c r="V451" s="2">
        <v>90</v>
      </c>
      <c r="W451" s="2">
        <v>5368</v>
      </c>
      <c r="X451" s="9">
        <v>367987</v>
      </c>
      <c r="Y451" s="2" t="s">
        <v>36</v>
      </c>
      <c r="AA451" s="1" t="str">
        <f>TRIM(RPG_dataset[[#This Row],[Username]])</f>
        <v>zara_777</v>
      </c>
      <c r="AB451" s="1" t="str">
        <f>TRIM(RPG_dataset[[#This Row],[First Name]])</f>
        <v>Zara</v>
      </c>
      <c r="AC451" s="1" t="str">
        <f>PROPER(TRIM(RPG_dataset[[#This Row],[Race]]))</f>
        <v>Dwarf</v>
      </c>
      <c r="AD451" s="1" t="str">
        <f>PROPER(TRIM(RPG_dataset[[#This Row],[Class]]))</f>
        <v>Mage</v>
      </c>
      <c r="AE451" s="1">
        <f>ABS(RPG_dataset[[#This Row],[Level]])</f>
        <v>79</v>
      </c>
      <c r="AF451" s="1">
        <f>ABS(RPG_dataset[[#This Row],[ATK]])</f>
        <v>43</v>
      </c>
      <c r="AG451" s="1">
        <f>ABS(RPG_dataset[[#This Row],[DEF]])</f>
        <v>32</v>
      </c>
      <c r="AH451" s="1">
        <f>ABS(RPG_dataset[[#This Row],[SPD]])</f>
        <v>136</v>
      </c>
      <c r="AI451" s="1">
        <f>ABS(RPG_dataset[[#This Row],[HP]])</f>
        <v>2187</v>
      </c>
      <c r="AJ451" s="1">
        <f>ABS(RPG_dataset[[#This Row],[MP]])</f>
        <v>2829</v>
      </c>
      <c r="AK451" s="1">
        <f>ABS(RPG_dataset[[#This Row],[Total Stat]])</f>
        <v>211</v>
      </c>
      <c r="AL451" s="1">
        <f>ABS(RPG_dataset[[#This Row],[Kills]])</f>
        <v>4418</v>
      </c>
      <c r="AM451" s="12">
        <f>ABS(RPG_dataset[[#This Row],[Win Rate (%)]])</f>
        <v>90</v>
      </c>
      <c r="AN451" s="4">
        <f>ABS(RPG_dataset[[#This Row],[Gold Earned]])</f>
        <v>367987</v>
      </c>
      <c r="AO451" s="5" t="str">
        <f t="shared" si="7"/>
        <v>OK</v>
      </c>
      <c r="AP451" s="5">
        <f>RANK(clean[[#This Row],[Clean Gold]],clean[Clean Gold], 0)</f>
        <v>320</v>
      </c>
      <c r="AQ451" s="1">
        <v>139</v>
      </c>
      <c r="AR451" s="1" t="str" cm="1">
        <f t="array" ref="AR451">_xlfn.IFS(clean[[#This Row],[Clean Level]]&gt;=76, "Legend", clean[[#This Row],[Clean Level]]&gt;=51, "Elite", clean[[#This Row],[Clean Level]]&gt;=26, "Veteran", TRUE, "Rookie")</f>
        <v>Legend</v>
      </c>
      <c r="AS451" s="1" t="str">
        <f>IF(RPG_dataset[[#This Row],[Status]]="Active", "TRUE", "FALSE")</f>
        <v>FALSE</v>
      </c>
      <c r="AT451" s="1" t="str" cm="1">
        <f t="array" ref="AT451">_xlfn.IFS(clean[[#This Row],[Clean Win Rate]]&gt;70, "Excellent", clean[[#This Row],[Clean Win Rate]]&gt;=40, "Average", TRUE, "Poor")</f>
        <v>Excellent</v>
      </c>
      <c r="AU451" s="1" t="str">
        <f>IF(AND(clean[[#This Row],[Clean Level]]&gt;80, clean[[#This Row],[Clean Total Stat]]&gt;350, clean[[#This Row],[Clean Gold]]&gt;500000), "Overpowered", "Normal")</f>
        <v>Normal</v>
      </c>
      <c r="AV451" s="1" t="str" cm="1">
        <f t="array" ref="AV451">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451" s="1" t="str" cm="1">
        <f t="array" ref="AW45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51" s="1"/>
    </row>
    <row r="452" spans="1:50" x14ac:dyDescent="0.3">
      <c r="A452" s="2" t="s">
        <v>1536</v>
      </c>
      <c r="B452" s="2" t="s">
        <v>1537</v>
      </c>
      <c r="C452" s="2" t="s">
        <v>173</v>
      </c>
      <c r="D452" s="2" t="s">
        <v>254</v>
      </c>
      <c r="E452" s="2" t="s">
        <v>51</v>
      </c>
      <c r="F452" s="2" t="s">
        <v>61</v>
      </c>
      <c r="G452" s="2">
        <v>24</v>
      </c>
      <c r="H452" s="2" t="s">
        <v>43</v>
      </c>
      <c r="I452" s="2" t="s">
        <v>32</v>
      </c>
      <c r="J452" s="2" t="s">
        <v>88</v>
      </c>
      <c r="K452" s="2" t="s">
        <v>34</v>
      </c>
      <c r="L452" s="6" t="s">
        <v>1538</v>
      </c>
      <c r="M452" s="2">
        <v>144</v>
      </c>
      <c r="N452" s="2">
        <v>75</v>
      </c>
      <c r="O452" s="2">
        <v>28</v>
      </c>
      <c r="P452" s="2">
        <v>2842</v>
      </c>
      <c r="Q452" s="2">
        <v>2154</v>
      </c>
      <c r="R452" s="2">
        <v>247</v>
      </c>
      <c r="S452" s="2">
        <v>3978</v>
      </c>
      <c r="T452" s="2">
        <v>157</v>
      </c>
      <c r="U452" s="2">
        <v>32</v>
      </c>
      <c r="V452" s="2">
        <v>96</v>
      </c>
      <c r="W452" s="2">
        <v>6088</v>
      </c>
      <c r="X452" s="9">
        <v>177075</v>
      </c>
      <c r="Y452" s="2" t="s">
        <v>36</v>
      </c>
      <c r="AA452" s="1" t="str">
        <f>TRIM(RPG_dataset[[#This Row],[Username]])</f>
        <v>rosa_579</v>
      </c>
      <c r="AB452" s="1" t="str">
        <f>TRIM(RPG_dataset[[#This Row],[First Name]])</f>
        <v>Rosa</v>
      </c>
      <c r="AC452" s="1" t="str">
        <f>PROPER(TRIM(RPG_dataset[[#This Row],[Race]]))</f>
        <v>Tiefling</v>
      </c>
      <c r="AD452" s="1" t="str">
        <f>PROPER(TRIM(RPG_dataset[[#This Row],[Class]]))</f>
        <v>Ranger</v>
      </c>
      <c r="AE452" s="1">
        <f>ABS(RPG_dataset[[#This Row],[Level]])</f>
        <v>24</v>
      </c>
      <c r="AF452" s="1">
        <f>ABS(RPG_dataset[[#This Row],[ATK]])</f>
        <v>144</v>
      </c>
      <c r="AG452" s="1">
        <f>ABS(RPG_dataset[[#This Row],[DEF]])</f>
        <v>75</v>
      </c>
      <c r="AH452" s="1">
        <f>ABS(RPG_dataset[[#This Row],[SPD]])</f>
        <v>28</v>
      </c>
      <c r="AI452" s="1">
        <f>ABS(RPG_dataset[[#This Row],[HP]])</f>
        <v>2842</v>
      </c>
      <c r="AJ452" s="1">
        <f>ABS(RPG_dataset[[#This Row],[MP]])</f>
        <v>2154</v>
      </c>
      <c r="AK452" s="1">
        <f>ABS(RPG_dataset[[#This Row],[Total Stat]])</f>
        <v>247</v>
      </c>
      <c r="AL452" s="1">
        <f>ABS(RPG_dataset[[#This Row],[Kills]])</f>
        <v>3978</v>
      </c>
      <c r="AM452" s="12">
        <f>ABS(RPG_dataset[[#This Row],[Win Rate (%)]])</f>
        <v>96</v>
      </c>
      <c r="AN452" s="4">
        <f>ABS(RPG_dataset[[#This Row],[Gold Earned]])</f>
        <v>177075</v>
      </c>
      <c r="AO452" s="5" t="str">
        <f t="shared" si="7"/>
        <v>OK</v>
      </c>
      <c r="AP452" s="5">
        <f>RANK(clean[[#This Row],[Clean Gold]],clean[Clean Gold], 0)</f>
        <v>411</v>
      </c>
      <c r="AQ452" s="1">
        <v>351</v>
      </c>
      <c r="AR452" s="1" t="str" cm="1">
        <f t="array" ref="AR452">_xlfn.IFS(clean[[#This Row],[Clean Level]]&gt;=76, "Legend", clean[[#This Row],[Clean Level]]&gt;=51, "Elite", clean[[#This Row],[Clean Level]]&gt;=26, "Veteran", TRUE, "Rookie")</f>
        <v>Rookie</v>
      </c>
      <c r="AS452" s="1" t="str">
        <f>IF(RPG_dataset[[#This Row],[Status]]="Active", "TRUE", "FALSE")</f>
        <v>FALSE</v>
      </c>
      <c r="AT452" s="1" t="str" cm="1">
        <f t="array" ref="AT452">_xlfn.IFS(clean[[#This Row],[Clean Win Rate]]&gt;70, "Excellent", clean[[#This Row],[Clean Win Rate]]&gt;=40, "Average", TRUE, "Poor")</f>
        <v>Excellent</v>
      </c>
      <c r="AU452" s="1" t="str">
        <f>IF(AND(clean[[#This Row],[Clean Level]]&gt;80, clean[[#This Row],[Clean Total Stat]]&gt;350, clean[[#This Row],[Clean Gold]]&gt;500000), "Overpowered", "Normal")</f>
        <v>Normal</v>
      </c>
      <c r="AV452" s="1" t="str" cm="1">
        <f t="array" ref="AV45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52" s="1" t="str" cm="1">
        <f t="array" ref="AW45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452" s="1"/>
    </row>
    <row r="453" spans="1:50" x14ac:dyDescent="0.3">
      <c r="A453" s="2" t="s">
        <v>1539</v>
      </c>
      <c r="B453" s="2" t="s">
        <v>1540</v>
      </c>
      <c r="C453" s="2" t="s">
        <v>253</v>
      </c>
      <c r="D453" s="2" t="s">
        <v>1541</v>
      </c>
      <c r="E453" s="2" t="s">
        <v>71</v>
      </c>
      <c r="F453" s="2" t="s">
        <v>52</v>
      </c>
      <c r="G453" s="2">
        <v>96</v>
      </c>
      <c r="H453" s="2" t="s">
        <v>73</v>
      </c>
      <c r="I453" s="2" t="s">
        <v>63</v>
      </c>
      <c r="J453" s="2" t="s">
        <v>120</v>
      </c>
      <c r="K453" s="2" t="s">
        <v>99</v>
      </c>
      <c r="L453" s="6" t="s">
        <v>1542</v>
      </c>
      <c r="M453" s="2">
        <v>20</v>
      </c>
      <c r="N453" s="2">
        <v>29</v>
      </c>
      <c r="O453" s="2">
        <v>119</v>
      </c>
      <c r="P453" s="2">
        <v>4211</v>
      </c>
      <c r="Q453" s="2">
        <v>52</v>
      </c>
      <c r="R453" s="2">
        <v>168</v>
      </c>
      <c r="S453" s="2">
        <v>2867</v>
      </c>
      <c r="T453" s="2">
        <v>66</v>
      </c>
      <c r="U453" s="2">
        <v>260</v>
      </c>
      <c r="V453" s="2">
        <v>98</v>
      </c>
      <c r="W453" s="2">
        <v>2135</v>
      </c>
      <c r="X453" s="9">
        <v>696503</v>
      </c>
      <c r="Y453" s="2" t="s">
        <v>46</v>
      </c>
      <c r="AA453" s="1" t="str">
        <f>TRIM(RPG_dataset[[#This Row],[Username]])</f>
        <v>freya_913</v>
      </c>
      <c r="AB453" s="1" t="str">
        <f>TRIM(RPG_dataset[[#This Row],[First Name]])</f>
        <v>Freya</v>
      </c>
      <c r="AC453" s="1" t="str">
        <f>PROPER(TRIM(RPG_dataset[[#This Row],[Race]]))</f>
        <v>Dragonborn</v>
      </c>
      <c r="AD453" s="1" t="str">
        <f>PROPER(TRIM(RPG_dataset[[#This Row],[Class]]))</f>
        <v>Bard</v>
      </c>
      <c r="AE453" s="1">
        <f>ABS(RPG_dataset[[#This Row],[Level]])</f>
        <v>96</v>
      </c>
      <c r="AF453" s="1">
        <f>ABS(RPG_dataset[[#This Row],[ATK]])</f>
        <v>20</v>
      </c>
      <c r="AG453" s="1">
        <f>ABS(RPG_dataset[[#This Row],[DEF]])</f>
        <v>29</v>
      </c>
      <c r="AH453" s="1">
        <f>ABS(RPG_dataset[[#This Row],[SPD]])</f>
        <v>119</v>
      </c>
      <c r="AI453" s="1">
        <f>ABS(RPG_dataset[[#This Row],[HP]])</f>
        <v>4211</v>
      </c>
      <c r="AJ453" s="1">
        <f>ABS(RPG_dataset[[#This Row],[MP]])</f>
        <v>52</v>
      </c>
      <c r="AK453" s="1">
        <f>ABS(RPG_dataset[[#This Row],[Total Stat]])</f>
        <v>168</v>
      </c>
      <c r="AL453" s="1">
        <f>ABS(RPG_dataset[[#This Row],[Kills]])</f>
        <v>2867</v>
      </c>
      <c r="AM453" s="12">
        <f>ABS(RPG_dataset[[#This Row],[Win Rate (%)]])</f>
        <v>98</v>
      </c>
      <c r="AN453" s="4">
        <f>ABS(RPG_dataset[[#This Row],[Gold Earned]])</f>
        <v>696503</v>
      </c>
      <c r="AO453" s="5" t="str">
        <f t="shared" si="7"/>
        <v>OK</v>
      </c>
      <c r="AP453" s="5">
        <f>RANK(clean[[#This Row],[Clean Gold]],clean[Clean Gold], 0)</f>
        <v>154</v>
      </c>
      <c r="AQ453" s="1">
        <v>273</v>
      </c>
      <c r="AR453" s="1" t="str" cm="1">
        <f t="array" ref="AR453">_xlfn.IFS(clean[[#This Row],[Clean Level]]&gt;=76, "Legend", clean[[#This Row],[Clean Level]]&gt;=51, "Elite", clean[[#This Row],[Clean Level]]&gt;=26, "Veteran", TRUE, "Rookie")</f>
        <v>Legend</v>
      </c>
      <c r="AS453" s="1" t="str">
        <f>IF(RPG_dataset[[#This Row],[Status]]="Active", "TRUE", "FALSE")</f>
        <v>FALSE</v>
      </c>
      <c r="AT453" s="1" t="str" cm="1">
        <f t="array" ref="AT453">_xlfn.IFS(clean[[#This Row],[Clean Win Rate]]&gt;70, "Excellent", clean[[#This Row],[Clean Win Rate]]&gt;=40, "Average", TRUE, "Poor")</f>
        <v>Excellent</v>
      </c>
      <c r="AU453" s="1" t="str">
        <f>IF(AND(clean[[#This Row],[Clean Level]]&gt;80, clean[[#This Row],[Clean Total Stat]]&gt;350, clean[[#This Row],[Clean Gold]]&gt;500000), "Overpowered", "Normal")</f>
        <v>Normal</v>
      </c>
      <c r="AV453" s="1" t="str" cm="1">
        <f t="array" ref="AV45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53" s="1" t="str" cm="1">
        <f t="array" ref="AW45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53" s="1"/>
    </row>
    <row r="454" spans="1:50" x14ac:dyDescent="0.3">
      <c r="A454" s="2" t="s">
        <v>1543</v>
      </c>
      <c r="B454" s="2" t="s">
        <v>1544</v>
      </c>
      <c r="C454" s="2" t="s">
        <v>85</v>
      </c>
      <c r="D454" s="2" t="s">
        <v>401</v>
      </c>
      <c r="E454" s="2" t="s">
        <v>169</v>
      </c>
      <c r="F454" s="2" t="s">
        <v>52</v>
      </c>
      <c r="G454" s="2">
        <v>-50</v>
      </c>
      <c r="H454" s="2" t="s">
        <v>80</v>
      </c>
      <c r="I454" s="2" t="s">
        <v>32</v>
      </c>
      <c r="J454" s="2" t="s">
        <v>33</v>
      </c>
      <c r="K454" s="2" t="s">
        <v>34</v>
      </c>
      <c r="L454" s="6" t="s">
        <v>1545</v>
      </c>
      <c r="M454" s="2">
        <v>110</v>
      </c>
      <c r="N454" s="2">
        <v>36</v>
      </c>
      <c r="O454" s="2">
        <v>61</v>
      </c>
      <c r="P454" s="2">
        <v>2267</v>
      </c>
      <c r="Q454" s="2">
        <v>1560</v>
      </c>
      <c r="R454" s="2">
        <v>207</v>
      </c>
      <c r="S454" s="2"/>
      <c r="T454" s="2">
        <v>147</v>
      </c>
      <c r="U454" s="2">
        <v>132</v>
      </c>
      <c r="V454" s="2">
        <v>85</v>
      </c>
      <c r="W454" s="2">
        <v>3555</v>
      </c>
      <c r="X454" s="9">
        <v>790213</v>
      </c>
      <c r="Y454" s="2" t="s">
        <v>46</v>
      </c>
      <c r="AA454" s="1" t="str">
        <f>TRIM(RPG_dataset[[#This Row],[Username]])</f>
        <v>delia_982</v>
      </c>
      <c r="AB454" s="1" t="str">
        <f>TRIM(RPG_dataset[[#This Row],[First Name]])</f>
        <v>Delia</v>
      </c>
      <c r="AC454" s="1" t="str">
        <f>PROPER(TRIM(RPG_dataset[[#This Row],[Race]]))</f>
        <v>Halfling</v>
      </c>
      <c r="AD454" s="1" t="str">
        <f>PROPER(TRIM(RPG_dataset[[#This Row],[Class]]))</f>
        <v>Bard</v>
      </c>
      <c r="AE454" s="1">
        <f>ABS(RPG_dataset[[#This Row],[Level]])</f>
        <v>50</v>
      </c>
      <c r="AF454" s="1">
        <f>ABS(RPG_dataset[[#This Row],[ATK]])</f>
        <v>110</v>
      </c>
      <c r="AG454" s="1">
        <f>ABS(RPG_dataset[[#This Row],[DEF]])</f>
        <v>36</v>
      </c>
      <c r="AH454" s="1">
        <f>ABS(RPG_dataset[[#This Row],[SPD]])</f>
        <v>61</v>
      </c>
      <c r="AI454" s="1">
        <f>ABS(RPG_dataset[[#This Row],[HP]])</f>
        <v>2267</v>
      </c>
      <c r="AJ454" s="1">
        <f>ABS(RPG_dataset[[#This Row],[MP]])</f>
        <v>1560</v>
      </c>
      <c r="AK454" s="1">
        <f>ABS(RPG_dataset[[#This Row],[Total Stat]])</f>
        <v>207</v>
      </c>
      <c r="AL454" s="1">
        <f>ABS(RPG_dataset[[#This Row],[Kills]])</f>
        <v>0</v>
      </c>
      <c r="AM454" s="12">
        <f>ABS(RPG_dataset[[#This Row],[Win Rate (%)]])</f>
        <v>85</v>
      </c>
      <c r="AN454" s="4">
        <f>ABS(RPG_dataset[[#This Row],[Gold Earned]])</f>
        <v>790213</v>
      </c>
      <c r="AO454" s="5" t="str">
        <f t="shared" si="7"/>
        <v>OK</v>
      </c>
      <c r="AP454" s="5">
        <f>RANK(clean[[#This Row],[Clean Gold]],clean[Clean Gold], 0)</f>
        <v>114</v>
      </c>
      <c r="AQ454" s="1">
        <v>212</v>
      </c>
      <c r="AR454" s="1" t="str" cm="1">
        <f t="array" ref="AR454">_xlfn.IFS(clean[[#This Row],[Clean Level]]&gt;=76, "Legend", clean[[#This Row],[Clean Level]]&gt;=51, "Elite", clean[[#This Row],[Clean Level]]&gt;=26, "Veteran", TRUE, "Rookie")</f>
        <v>Veteran</v>
      </c>
      <c r="AS454" s="1" t="str">
        <f>IF(RPG_dataset[[#This Row],[Status]]="Active", "TRUE", "FALSE")</f>
        <v>FALSE</v>
      </c>
      <c r="AT454" s="1" t="str" cm="1">
        <f t="array" ref="AT454">_xlfn.IFS(clean[[#This Row],[Clean Win Rate]]&gt;70, "Excellent", clean[[#This Row],[Clean Win Rate]]&gt;=40, "Average", TRUE, "Poor")</f>
        <v>Excellent</v>
      </c>
      <c r="AU454" s="1" t="str">
        <f>IF(AND(clean[[#This Row],[Clean Level]]&gt;80, clean[[#This Row],[Clean Total Stat]]&gt;350, clean[[#This Row],[Clean Gold]]&gt;500000), "Overpowered", "Normal")</f>
        <v>Normal</v>
      </c>
      <c r="AV454" s="1" t="str" cm="1">
        <f t="array" ref="AV45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54" s="1" t="str" cm="1">
        <f t="array" ref="AW45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454" s="1"/>
    </row>
    <row r="455" spans="1:50" x14ac:dyDescent="0.3">
      <c r="A455" s="2" t="s">
        <v>1546</v>
      </c>
      <c r="B455" s="2" t="s">
        <v>1547</v>
      </c>
      <c r="C455" s="2" t="s">
        <v>39</v>
      </c>
      <c r="D455" s="2" t="s">
        <v>40</v>
      </c>
      <c r="E455" s="2" t="s">
        <v>51</v>
      </c>
      <c r="F455" s="2" t="s">
        <v>52</v>
      </c>
      <c r="G455" s="2">
        <v>53</v>
      </c>
      <c r="H455" s="2" t="s">
        <v>125</v>
      </c>
      <c r="I455" s="2" t="s">
        <v>140</v>
      </c>
      <c r="J455" s="2" t="s">
        <v>120</v>
      </c>
      <c r="K455" s="2" t="s">
        <v>106</v>
      </c>
      <c r="L455" s="6" t="s">
        <v>1548</v>
      </c>
      <c r="M455" s="2">
        <v>41</v>
      </c>
      <c r="N455" s="2">
        <v>48</v>
      </c>
      <c r="O455" s="2">
        <v>70</v>
      </c>
      <c r="P455" s="2">
        <v>4211</v>
      </c>
      <c r="Q455" s="2">
        <v>940</v>
      </c>
      <c r="R455" s="2">
        <v>159</v>
      </c>
      <c r="S455" s="2">
        <v>2895</v>
      </c>
      <c r="T455" s="2">
        <v>-647</v>
      </c>
      <c r="U455" s="2">
        <v>12</v>
      </c>
      <c r="V455" s="2"/>
      <c r="W455" s="2">
        <v>9367</v>
      </c>
      <c r="X455" s="9">
        <v>144249</v>
      </c>
      <c r="Y455" s="2" t="s">
        <v>36</v>
      </c>
      <c r="AA455" s="1" t="str">
        <f>TRIM(RPG_dataset[[#This Row],[Username]])</f>
        <v>yara_896</v>
      </c>
      <c r="AB455" s="1" t="str">
        <f>TRIM(RPG_dataset[[#This Row],[First Name]])</f>
        <v>Yara</v>
      </c>
      <c r="AC455" s="1" t="str">
        <f>PROPER(TRIM(RPG_dataset[[#This Row],[Race]]))</f>
        <v>Tiefling</v>
      </c>
      <c r="AD455" s="1" t="str">
        <f>PROPER(TRIM(RPG_dataset[[#This Row],[Class]]))</f>
        <v>Bard</v>
      </c>
      <c r="AE455" s="1">
        <f>ABS(RPG_dataset[[#This Row],[Level]])</f>
        <v>53</v>
      </c>
      <c r="AF455" s="1">
        <f>ABS(RPG_dataset[[#This Row],[ATK]])</f>
        <v>41</v>
      </c>
      <c r="AG455" s="1">
        <f>ABS(RPG_dataset[[#This Row],[DEF]])</f>
        <v>48</v>
      </c>
      <c r="AH455" s="1">
        <f>ABS(RPG_dataset[[#This Row],[SPD]])</f>
        <v>70</v>
      </c>
      <c r="AI455" s="1">
        <f>ABS(RPG_dataset[[#This Row],[HP]])</f>
        <v>4211</v>
      </c>
      <c r="AJ455" s="1">
        <f>ABS(RPG_dataset[[#This Row],[MP]])</f>
        <v>940</v>
      </c>
      <c r="AK455" s="1">
        <f>ABS(RPG_dataset[[#This Row],[Total Stat]])</f>
        <v>159</v>
      </c>
      <c r="AL455" s="1">
        <f>ABS(RPG_dataset[[#This Row],[Kills]])</f>
        <v>2895</v>
      </c>
      <c r="AM455" s="12">
        <f>ABS(RPG_dataset[[#This Row],[Win Rate (%)]])</f>
        <v>0</v>
      </c>
      <c r="AN455" s="4">
        <f>ABS(RPG_dataset[[#This Row],[Gold Earned]])</f>
        <v>144249</v>
      </c>
      <c r="AO455" s="5" t="str">
        <f t="shared" si="7"/>
        <v>OK</v>
      </c>
      <c r="AP455" s="5">
        <f>RANK(clean[[#This Row],[Clean Gold]],clean[Clean Gold], 0)</f>
        <v>421</v>
      </c>
      <c r="AQ455" s="1"/>
      <c r="AR455" s="1" t="str" cm="1">
        <f t="array" ref="AR455">_xlfn.IFS(clean[[#This Row],[Clean Level]]&gt;=76, "Legend", clean[[#This Row],[Clean Level]]&gt;=51, "Elite", clean[[#This Row],[Clean Level]]&gt;=26, "Veteran", TRUE, "Rookie")</f>
        <v>Elite</v>
      </c>
      <c r="AS455" s="1" t="str">
        <f>IF(RPG_dataset[[#This Row],[Status]]="Active", "TRUE", "FALSE")</f>
        <v>FALSE</v>
      </c>
      <c r="AT455" s="1" t="str" cm="1">
        <f t="array" ref="AT455">_xlfn.IFS(clean[[#This Row],[Clean Win Rate]]&gt;70, "Excellent", clean[[#This Row],[Clean Win Rate]]&gt;=40, "Average", TRUE, "Poor")</f>
        <v>Poor</v>
      </c>
      <c r="AU455" s="1" t="str">
        <f>IF(AND(clean[[#This Row],[Clean Level]]&gt;80, clean[[#This Row],[Clean Total Stat]]&gt;350, clean[[#This Row],[Clean Gold]]&gt;500000), "Overpowered", "Normal")</f>
        <v>Normal</v>
      </c>
      <c r="AV455" s="1" t="str" cm="1">
        <f t="array" ref="AV45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55" s="1" t="str" cm="1">
        <f t="array" ref="AW45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455" s="1"/>
    </row>
    <row r="456" spans="1:50" x14ac:dyDescent="0.3">
      <c r="A456" s="2" t="s">
        <v>1549</v>
      </c>
      <c r="B456" s="2" t="s">
        <v>1550</v>
      </c>
      <c r="C456" s="2" t="s">
        <v>75</v>
      </c>
      <c r="D456" s="2" t="s">
        <v>162</v>
      </c>
      <c r="E456" s="2" t="s">
        <v>547</v>
      </c>
      <c r="F456" s="2" t="s">
        <v>30</v>
      </c>
      <c r="G456" s="2">
        <v>81</v>
      </c>
      <c r="H456" s="2" t="s">
        <v>73</v>
      </c>
      <c r="I456" s="2" t="s">
        <v>63</v>
      </c>
      <c r="J456" s="2" t="s">
        <v>33</v>
      </c>
      <c r="K456" s="2" t="s">
        <v>34</v>
      </c>
      <c r="L456" s="6" t="s">
        <v>1085</v>
      </c>
      <c r="M456" s="2">
        <v>123</v>
      </c>
      <c r="N456" s="2">
        <v>75</v>
      </c>
      <c r="O456" s="2">
        <v>60</v>
      </c>
      <c r="P456" s="2">
        <v>2886</v>
      </c>
      <c r="Q456" s="2">
        <v>2679</v>
      </c>
      <c r="R456" s="2">
        <v>258</v>
      </c>
      <c r="S456" s="2">
        <v>1254</v>
      </c>
      <c r="T456" s="2">
        <v>681</v>
      </c>
      <c r="U456" s="2">
        <v>225</v>
      </c>
      <c r="V456" s="2">
        <v>65</v>
      </c>
      <c r="W456" s="2">
        <v>885</v>
      </c>
      <c r="X456" s="9">
        <v>849000</v>
      </c>
      <c r="Y456" s="2" t="s">
        <v>46</v>
      </c>
      <c r="AA456" s="1" t="str">
        <f>TRIM(RPG_dataset[[#This Row],[Username]])</f>
        <v>torin_774</v>
      </c>
      <c r="AB456" s="1" t="str">
        <f>TRIM(RPG_dataset[[#This Row],[First Name]])</f>
        <v/>
      </c>
      <c r="AC456" s="1" t="str">
        <f>PROPER(TRIM(RPG_dataset[[#This Row],[Race]]))</f>
        <v>Dragonborn</v>
      </c>
      <c r="AD456" s="1" t="str">
        <f>PROPER(TRIM(RPG_dataset[[#This Row],[Class]]))</f>
        <v>Rogue</v>
      </c>
      <c r="AE456" s="1">
        <f>ABS(RPG_dataset[[#This Row],[Level]])</f>
        <v>81</v>
      </c>
      <c r="AF456" s="1">
        <f>ABS(RPG_dataset[[#This Row],[ATK]])</f>
        <v>123</v>
      </c>
      <c r="AG456" s="1">
        <f>ABS(RPG_dataset[[#This Row],[DEF]])</f>
        <v>75</v>
      </c>
      <c r="AH456" s="1">
        <f>ABS(RPG_dataset[[#This Row],[SPD]])</f>
        <v>60</v>
      </c>
      <c r="AI456" s="1">
        <f>ABS(RPG_dataset[[#This Row],[HP]])</f>
        <v>2886</v>
      </c>
      <c r="AJ456" s="1">
        <f>ABS(RPG_dataset[[#This Row],[MP]])</f>
        <v>2679</v>
      </c>
      <c r="AK456" s="1">
        <f>ABS(RPG_dataset[[#This Row],[Total Stat]])</f>
        <v>258</v>
      </c>
      <c r="AL456" s="1">
        <f>ABS(RPG_dataset[[#This Row],[Kills]])</f>
        <v>1254</v>
      </c>
      <c r="AM456" s="12">
        <f>ABS(RPG_dataset[[#This Row],[Win Rate (%)]])</f>
        <v>65</v>
      </c>
      <c r="AN456" s="4">
        <f>ABS(RPG_dataset[[#This Row],[Gold Earned]])</f>
        <v>849000</v>
      </c>
      <c r="AO456" s="5" t="str">
        <f t="shared" si="7"/>
        <v>OK</v>
      </c>
      <c r="AP456" s="5">
        <f>RANK(clean[[#This Row],[Clean Gold]],clean[Clean Gold], 0)</f>
        <v>78</v>
      </c>
      <c r="AQ456" s="1">
        <v>168</v>
      </c>
      <c r="AR456" s="1" t="str" cm="1">
        <f t="array" ref="AR456">_xlfn.IFS(clean[[#This Row],[Clean Level]]&gt;=76, "Legend", clean[[#This Row],[Clean Level]]&gt;=51, "Elite", clean[[#This Row],[Clean Level]]&gt;=26, "Veteran", TRUE, "Rookie")</f>
        <v>Legend</v>
      </c>
      <c r="AS456" s="1" t="str">
        <f>IF(RPG_dataset[[#This Row],[Status]]="Active", "TRUE", "FALSE")</f>
        <v>FALSE</v>
      </c>
      <c r="AT456" s="1" t="str" cm="1">
        <f t="array" ref="AT456">_xlfn.IFS(clean[[#This Row],[Clean Win Rate]]&gt;70, "Excellent", clean[[#This Row],[Clean Win Rate]]&gt;=40, "Average", TRUE, "Poor")</f>
        <v>Average</v>
      </c>
      <c r="AU456" s="1" t="str">
        <f>IF(AND(clean[[#This Row],[Clean Level]]&gt;80, clean[[#This Row],[Clean Total Stat]]&gt;350, clean[[#This Row],[Clean Gold]]&gt;500000), "Overpowered", "Normal")</f>
        <v>Normal</v>
      </c>
      <c r="AV456" s="1" t="str" cm="1">
        <f t="array" ref="AV45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56" s="1" t="str" cm="1">
        <f t="array" ref="AW45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456" s="1"/>
    </row>
    <row r="457" spans="1:50" x14ac:dyDescent="0.3">
      <c r="A457" s="2" t="s">
        <v>1551</v>
      </c>
      <c r="B457" s="2" t="s">
        <v>1552</v>
      </c>
      <c r="C457" s="2" t="s">
        <v>233</v>
      </c>
      <c r="D457" s="2" t="s">
        <v>70</v>
      </c>
      <c r="E457" s="2" t="s">
        <v>29</v>
      </c>
      <c r="F457" s="2" t="s">
        <v>30</v>
      </c>
      <c r="G457" s="2">
        <v>86</v>
      </c>
      <c r="H457" s="2" t="s">
        <v>53</v>
      </c>
      <c r="I457" s="2" t="s">
        <v>140</v>
      </c>
      <c r="J457" s="2" t="s">
        <v>111</v>
      </c>
      <c r="K457" s="2" t="s">
        <v>65</v>
      </c>
      <c r="L457" s="6" t="s">
        <v>1553</v>
      </c>
      <c r="M457" s="2">
        <v>17</v>
      </c>
      <c r="N457" s="2">
        <v>22</v>
      </c>
      <c r="O457" s="2">
        <v>65</v>
      </c>
      <c r="P457" s="2">
        <v>1773</v>
      </c>
      <c r="Q457" s="2">
        <v>-1107</v>
      </c>
      <c r="R457" s="2">
        <v>104</v>
      </c>
      <c r="S457" s="2">
        <v>3063</v>
      </c>
      <c r="T457" s="2">
        <v>393</v>
      </c>
      <c r="U457" s="2">
        <v>254</v>
      </c>
      <c r="V457" s="2">
        <v>89</v>
      </c>
      <c r="W457" s="2">
        <v>1328</v>
      </c>
      <c r="X457" s="9">
        <v>82083</v>
      </c>
      <c r="Y457" s="2" t="s">
        <v>46</v>
      </c>
      <c r="AA457" s="1" t="str">
        <f>TRIM(RPG_dataset[[#This Row],[Username]])</f>
        <v>finn_266</v>
      </c>
      <c r="AB457" s="1" t="str">
        <f>TRIM(RPG_dataset[[#This Row],[First Name]])</f>
        <v>Finn</v>
      </c>
      <c r="AC457" s="1" t="str">
        <f>PROPER(TRIM(RPG_dataset[[#This Row],[Race]]))</f>
        <v>Dwarf</v>
      </c>
      <c r="AD457" s="1" t="str">
        <f>PROPER(TRIM(RPG_dataset[[#This Row],[Class]]))</f>
        <v>Rogue</v>
      </c>
      <c r="AE457" s="1">
        <f>ABS(RPG_dataset[[#This Row],[Level]])</f>
        <v>86</v>
      </c>
      <c r="AF457" s="1">
        <f>ABS(RPG_dataset[[#This Row],[ATK]])</f>
        <v>17</v>
      </c>
      <c r="AG457" s="1">
        <f>ABS(RPG_dataset[[#This Row],[DEF]])</f>
        <v>22</v>
      </c>
      <c r="AH457" s="1">
        <f>ABS(RPG_dataset[[#This Row],[SPD]])</f>
        <v>65</v>
      </c>
      <c r="AI457" s="1">
        <f>ABS(RPG_dataset[[#This Row],[HP]])</f>
        <v>1773</v>
      </c>
      <c r="AJ457" s="1">
        <f>ABS(RPG_dataset[[#This Row],[MP]])</f>
        <v>1107</v>
      </c>
      <c r="AK457" s="1">
        <f>ABS(RPG_dataset[[#This Row],[Total Stat]])</f>
        <v>104</v>
      </c>
      <c r="AL457" s="1">
        <f>ABS(RPG_dataset[[#This Row],[Kills]])</f>
        <v>3063</v>
      </c>
      <c r="AM457" s="12">
        <f>ABS(RPG_dataset[[#This Row],[Win Rate (%)]])</f>
        <v>89</v>
      </c>
      <c r="AN457" s="4">
        <f>ABS(RPG_dataset[[#This Row],[Gold Earned]])</f>
        <v>82083</v>
      </c>
      <c r="AO457" s="5" t="str">
        <f t="shared" si="7"/>
        <v>OK</v>
      </c>
      <c r="AP457" s="5">
        <f>RANK(clean[[#This Row],[Clean Gold]],clean[Clean Gold], 0)</f>
        <v>447</v>
      </c>
      <c r="AQ457" s="1">
        <v>292</v>
      </c>
      <c r="AR457" s="1" t="str" cm="1">
        <f t="array" ref="AR457">_xlfn.IFS(clean[[#This Row],[Clean Level]]&gt;=76, "Legend", clean[[#This Row],[Clean Level]]&gt;=51, "Elite", clean[[#This Row],[Clean Level]]&gt;=26, "Veteran", TRUE, "Rookie")</f>
        <v>Legend</v>
      </c>
      <c r="AS457" s="1" t="str">
        <f>IF(RPG_dataset[[#This Row],[Status]]="Active", "TRUE", "FALSE")</f>
        <v>FALSE</v>
      </c>
      <c r="AT457" s="1" t="str" cm="1">
        <f t="array" ref="AT457">_xlfn.IFS(clean[[#This Row],[Clean Win Rate]]&gt;70, "Excellent", clean[[#This Row],[Clean Win Rate]]&gt;=40, "Average", TRUE, "Poor")</f>
        <v>Excellent</v>
      </c>
      <c r="AU457" s="1" t="str">
        <f>IF(AND(clean[[#This Row],[Clean Level]]&gt;80, clean[[#This Row],[Clean Total Stat]]&gt;350, clean[[#This Row],[Clean Gold]]&gt;500000), "Overpowered", "Normal")</f>
        <v>Normal</v>
      </c>
      <c r="AV457" s="1" t="str" cm="1">
        <f t="array" ref="AV45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57" s="1" t="str" cm="1">
        <f t="array" ref="AW45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457" s="1"/>
    </row>
    <row r="458" spans="1:50" x14ac:dyDescent="0.3">
      <c r="A458" s="2" t="s">
        <v>1554</v>
      </c>
      <c r="B458" s="2" t="s">
        <v>1555</v>
      </c>
      <c r="C458" s="2" t="s">
        <v>161</v>
      </c>
      <c r="D458" s="2" t="s">
        <v>75</v>
      </c>
      <c r="E458" s="2" t="s">
        <v>169</v>
      </c>
      <c r="F458" s="2" t="s">
        <v>98</v>
      </c>
      <c r="G458" s="2">
        <v>53</v>
      </c>
      <c r="H458" s="2" t="s">
        <v>53</v>
      </c>
      <c r="I458" s="2" t="s">
        <v>87</v>
      </c>
      <c r="J458" s="2" t="s">
        <v>33</v>
      </c>
      <c r="K458" s="2" t="s">
        <v>44</v>
      </c>
      <c r="L458" s="6" t="s">
        <v>1556</v>
      </c>
      <c r="M458" s="2">
        <v>28</v>
      </c>
      <c r="N458" s="2">
        <v>35</v>
      </c>
      <c r="O458" s="2">
        <v>112</v>
      </c>
      <c r="P458" s="2">
        <v>4730</v>
      </c>
      <c r="Q458" s="2">
        <v>365</v>
      </c>
      <c r="R458" s="2">
        <v>175</v>
      </c>
      <c r="S458" s="2">
        <v>1948</v>
      </c>
      <c r="T458" s="2">
        <v>406</v>
      </c>
      <c r="U458" s="2">
        <v>30</v>
      </c>
      <c r="V458" s="2">
        <v>83</v>
      </c>
      <c r="W458" s="2">
        <v>603</v>
      </c>
      <c r="X458" s="9">
        <v>857803</v>
      </c>
      <c r="Y458" s="2" t="s">
        <v>46</v>
      </c>
      <c r="AA458" s="1" t="str">
        <f>TRIM(RPG_dataset[[#This Row],[Username]])</f>
        <v>cedric_740</v>
      </c>
      <c r="AB458" s="1" t="str">
        <f>TRIM(RPG_dataset[[#This Row],[First Name]])</f>
        <v>Cedric</v>
      </c>
      <c r="AC458" s="1" t="str">
        <f>PROPER(TRIM(RPG_dataset[[#This Row],[Race]]))</f>
        <v>Halfling</v>
      </c>
      <c r="AD458" s="1" t="str">
        <f>PROPER(TRIM(RPG_dataset[[#This Row],[Class]]))</f>
        <v>Mage</v>
      </c>
      <c r="AE458" s="1">
        <f>ABS(RPG_dataset[[#This Row],[Level]])</f>
        <v>53</v>
      </c>
      <c r="AF458" s="1">
        <f>ABS(RPG_dataset[[#This Row],[ATK]])</f>
        <v>28</v>
      </c>
      <c r="AG458" s="1">
        <f>ABS(RPG_dataset[[#This Row],[DEF]])</f>
        <v>35</v>
      </c>
      <c r="AH458" s="1">
        <f>ABS(RPG_dataset[[#This Row],[SPD]])</f>
        <v>112</v>
      </c>
      <c r="AI458" s="1">
        <f>ABS(RPG_dataset[[#This Row],[HP]])</f>
        <v>4730</v>
      </c>
      <c r="AJ458" s="1">
        <f>ABS(RPG_dataset[[#This Row],[MP]])</f>
        <v>365</v>
      </c>
      <c r="AK458" s="1">
        <f>ABS(RPG_dataset[[#This Row],[Total Stat]])</f>
        <v>175</v>
      </c>
      <c r="AL458" s="1">
        <f>ABS(RPG_dataset[[#This Row],[Kills]])</f>
        <v>1948</v>
      </c>
      <c r="AM458" s="12">
        <f>ABS(RPG_dataset[[#This Row],[Win Rate (%)]])</f>
        <v>83</v>
      </c>
      <c r="AN458" s="4">
        <f>ABS(RPG_dataset[[#This Row],[Gold Earned]])</f>
        <v>857803</v>
      </c>
      <c r="AO458" s="5" t="str">
        <f t="shared" si="7"/>
        <v>Fix This</v>
      </c>
      <c r="AP458" s="5">
        <f>RANK(clean[[#This Row],[Clean Gold]],clean[Clean Gold], 0)</f>
        <v>72</v>
      </c>
      <c r="AQ458" s="1">
        <v>228</v>
      </c>
      <c r="AR458" s="1" t="str" cm="1">
        <f t="array" ref="AR458">_xlfn.IFS(clean[[#This Row],[Clean Level]]&gt;=76, "Legend", clean[[#This Row],[Clean Level]]&gt;=51, "Elite", clean[[#This Row],[Clean Level]]&gt;=26, "Veteran", TRUE, "Rookie")</f>
        <v>Elite</v>
      </c>
      <c r="AS458" s="1" t="str">
        <f>IF(RPG_dataset[[#This Row],[Status]]="Active", "TRUE", "FALSE")</f>
        <v>TRUE</v>
      </c>
      <c r="AT458" s="1" t="str" cm="1">
        <f t="array" ref="AT458">_xlfn.IFS(clean[[#This Row],[Clean Win Rate]]&gt;70, "Excellent", clean[[#This Row],[Clean Win Rate]]&gt;=40, "Average", TRUE, "Poor")</f>
        <v>Excellent</v>
      </c>
      <c r="AU458" s="1" t="str">
        <f>IF(AND(clean[[#This Row],[Clean Level]]&gt;80, clean[[#This Row],[Clean Total Stat]]&gt;350, clean[[#This Row],[Clean Gold]]&gt;500000), "Overpowered", "Normal")</f>
        <v>Normal</v>
      </c>
      <c r="AV458" s="1" t="str" cm="1">
        <f t="array" ref="AV45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58" s="1" t="str" cm="1">
        <f t="array" ref="AW45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58" s="1"/>
    </row>
    <row r="459" spans="1:50" x14ac:dyDescent="0.3">
      <c r="A459" s="2" t="s">
        <v>1557</v>
      </c>
      <c r="B459" s="2" t="s">
        <v>1558</v>
      </c>
      <c r="C459" s="2" t="s">
        <v>517</v>
      </c>
      <c r="D459" s="2" t="s">
        <v>40</v>
      </c>
      <c r="E459" s="2" t="s">
        <v>51</v>
      </c>
      <c r="F459" s="2" t="s">
        <v>124</v>
      </c>
      <c r="G459" s="2">
        <v>15</v>
      </c>
      <c r="H459" s="2" t="s">
        <v>31</v>
      </c>
      <c r="I459" s="2" t="s">
        <v>74</v>
      </c>
      <c r="J459" s="2" t="s">
        <v>120</v>
      </c>
      <c r="K459" s="2" t="s">
        <v>44</v>
      </c>
      <c r="L459" s="6" t="s">
        <v>388</v>
      </c>
      <c r="M459" s="2">
        <v>111</v>
      </c>
      <c r="N459" s="2">
        <v>18</v>
      </c>
      <c r="O459" s="2">
        <v>62</v>
      </c>
      <c r="P459" s="2">
        <v>1227</v>
      </c>
      <c r="Q459" s="2">
        <v>1219</v>
      </c>
      <c r="R459" s="2">
        <v>191</v>
      </c>
      <c r="S459" s="2">
        <v>2869</v>
      </c>
      <c r="T459" s="2">
        <v>174</v>
      </c>
      <c r="U459" s="2">
        <v>21</v>
      </c>
      <c r="V459" s="2">
        <v>94</v>
      </c>
      <c r="W459" s="2">
        <v>2182</v>
      </c>
      <c r="X459" s="9">
        <v>425995</v>
      </c>
      <c r="Y459" s="2" t="s">
        <v>36</v>
      </c>
      <c r="AA459" s="1" t="str">
        <f>TRIM(RPG_dataset[[#This Row],[Username]])</f>
        <v>myra_488</v>
      </c>
      <c r="AB459" s="1" t="str">
        <f>TRIM(RPG_dataset[[#This Row],[First Name]])</f>
        <v>Myra</v>
      </c>
      <c r="AC459" s="1" t="str">
        <f>PROPER(TRIM(RPG_dataset[[#This Row],[Race]]))</f>
        <v>Tiefling</v>
      </c>
      <c r="AD459" s="1" t="str">
        <f>PROPER(TRIM(RPG_dataset[[#This Row],[Class]]))</f>
        <v>Necromancer</v>
      </c>
      <c r="AE459" s="1">
        <f>ABS(RPG_dataset[[#This Row],[Level]])</f>
        <v>15</v>
      </c>
      <c r="AF459" s="1">
        <f>ABS(RPG_dataset[[#This Row],[ATK]])</f>
        <v>111</v>
      </c>
      <c r="AG459" s="1">
        <f>ABS(RPG_dataset[[#This Row],[DEF]])</f>
        <v>18</v>
      </c>
      <c r="AH459" s="1">
        <f>ABS(RPG_dataset[[#This Row],[SPD]])</f>
        <v>62</v>
      </c>
      <c r="AI459" s="1">
        <f>ABS(RPG_dataset[[#This Row],[HP]])</f>
        <v>1227</v>
      </c>
      <c r="AJ459" s="1">
        <f>ABS(RPG_dataset[[#This Row],[MP]])</f>
        <v>1219</v>
      </c>
      <c r="AK459" s="1">
        <f>ABS(RPG_dataset[[#This Row],[Total Stat]])</f>
        <v>191</v>
      </c>
      <c r="AL459" s="1">
        <f>ABS(RPG_dataset[[#This Row],[Kills]])</f>
        <v>2869</v>
      </c>
      <c r="AM459" s="12">
        <f>ABS(RPG_dataset[[#This Row],[Win Rate (%)]])</f>
        <v>94</v>
      </c>
      <c r="AN459" s="4">
        <f>ABS(RPG_dataset[[#This Row],[Gold Earned]])</f>
        <v>425995</v>
      </c>
      <c r="AO459" s="5" t="str">
        <f t="shared" si="7"/>
        <v>OK</v>
      </c>
      <c r="AP459" s="5">
        <f>RANK(clean[[#This Row],[Clean Gold]],clean[Clean Gold], 0)</f>
        <v>293</v>
      </c>
      <c r="AQ459" s="1">
        <v>353</v>
      </c>
      <c r="AR459" s="1" t="str" cm="1">
        <f t="array" ref="AR459">_xlfn.IFS(clean[[#This Row],[Clean Level]]&gt;=76, "Legend", clean[[#This Row],[Clean Level]]&gt;=51, "Elite", clean[[#This Row],[Clean Level]]&gt;=26, "Veteran", TRUE, "Rookie")</f>
        <v>Rookie</v>
      </c>
      <c r="AS459" s="1" t="str">
        <f>IF(RPG_dataset[[#This Row],[Status]]="Active", "TRUE", "FALSE")</f>
        <v>TRUE</v>
      </c>
      <c r="AT459" s="1" t="str" cm="1">
        <f t="array" ref="AT459">_xlfn.IFS(clean[[#This Row],[Clean Win Rate]]&gt;70, "Excellent", clean[[#This Row],[Clean Win Rate]]&gt;=40, "Average", TRUE, "Poor")</f>
        <v>Excellent</v>
      </c>
      <c r="AU459" s="1" t="str">
        <f>IF(AND(clean[[#This Row],[Clean Level]]&gt;80, clean[[#This Row],[Clean Total Stat]]&gt;350, clean[[#This Row],[Clean Gold]]&gt;500000), "Overpowered", "Normal")</f>
        <v>Normal</v>
      </c>
      <c r="AV459" s="1" t="str" cm="1">
        <f t="array" ref="AV45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59" s="1" t="str" cm="1">
        <f t="array" ref="AW45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459" s="1"/>
    </row>
    <row r="460" spans="1:50" x14ac:dyDescent="0.3">
      <c r="A460" s="2" t="s">
        <v>1559</v>
      </c>
      <c r="B460" s="2" t="s">
        <v>1560</v>
      </c>
      <c r="C460" s="2" t="s">
        <v>720</v>
      </c>
      <c r="D460" s="2" t="s">
        <v>168</v>
      </c>
      <c r="E460" s="2" t="s">
        <v>105</v>
      </c>
      <c r="F460" s="2" t="s">
        <v>61</v>
      </c>
      <c r="G460" s="2">
        <v>52</v>
      </c>
      <c r="H460" s="2" t="s">
        <v>62</v>
      </c>
      <c r="I460" s="2" t="s">
        <v>126</v>
      </c>
      <c r="J460" s="2" t="s">
        <v>64</v>
      </c>
      <c r="K460" s="2" t="s">
        <v>106</v>
      </c>
      <c r="L460" s="6" t="s">
        <v>1561</v>
      </c>
      <c r="M460" s="2">
        <v>73</v>
      </c>
      <c r="N460" s="2">
        <v>139</v>
      </c>
      <c r="O460" s="2">
        <v>132</v>
      </c>
      <c r="P460" s="2">
        <v>1100</v>
      </c>
      <c r="Q460" s="2">
        <v>2824</v>
      </c>
      <c r="R460" s="2">
        <v>344</v>
      </c>
      <c r="S460" s="2">
        <v>3574</v>
      </c>
      <c r="T460" s="2">
        <v>851</v>
      </c>
      <c r="U460" s="2">
        <v>21</v>
      </c>
      <c r="V460" s="2">
        <v>81</v>
      </c>
      <c r="W460" s="2">
        <v>3414</v>
      </c>
      <c r="X460" s="9">
        <v>309775</v>
      </c>
      <c r="Y460" s="2" t="s">
        <v>46</v>
      </c>
      <c r="AA460" s="1" t="str">
        <f>TRIM(RPG_dataset[[#This Row],[Username]])</f>
        <v>jade_954</v>
      </c>
      <c r="AB460" s="1" t="str">
        <f>TRIM(RPG_dataset[[#This Row],[First Name]])</f>
        <v>Jade</v>
      </c>
      <c r="AC460" s="1" t="str">
        <f>PROPER(TRIM(RPG_dataset[[#This Row],[Race]]))</f>
        <v>Orc</v>
      </c>
      <c r="AD460" s="1" t="str">
        <f>PROPER(TRIM(RPG_dataset[[#This Row],[Class]]))</f>
        <v>Ranger</v>
      </c>
      <c r="AE460" s="1">
        <f>ABS(RPG_dataset[[#This Row],[Level]])</f>
        <v>52</v>
      </c>
      <c r="AF460" s="1">
        <f>ABS(RPG_dataset[[#This Row],[ATK]])</f>
        <v>73</v>
      </c>
      <c r="AG460" s="1">
        <f>ABS(RPG_dataset[[#This Row],[DEF]])</f>
        <v>139</v>
      </c>
      <c r="AH460" s="1">
        <f>ABS(RPG_dataset[[#This Row],[SPD]])</f>
        <v>132</v>
      </c>
      <c r="AI460" s="1">
        <f>ABS(RPG_dataset[[#This Row],[HP]])</f>
        <v>1100</v>
      </c>
      <c r="AJ460" s="1">
        <f>ABS(RPG_dataset[[#This Row],[MP]])</f>
        <v>2824</v>
      </c>
      <c r="AK460" s="1">
        <f>ABS(RPG_dataset[[#This Row],[Total Stat]])</f>
        <v>344</v>
      </c>
      <c r="AL460" s="1">
        <f>ABS(RPG_dataset[[#This Row],[Kills]])</f>
        <v>3574</v>
      </c>
      <c r="AM460" s="12">
        <f>ABS(RPG_dataset[[#This Row],[Win Rate (%)]])</f>
        <v>81</v>
      </c>
      <c r="AN460" s="4">
        <f>ABS(RPG_dataset[[#This Row],[Gold Earned]])</f>
        <v>309775</v>
      </c>
      <c r="AO460" s="5" t="str">
        <f t="shared" si="7"/>
        <v>OK</v>
      </c>
      <c r="AP460" s="5">
        <f>RANK(clean[[#This Row],[Clean Gold]],clean[Clean Gold], 0)</f>
        <v>348</v>
      </c>
      <c r="AQ460" s="1">
        <v>221</v>
      </c>
      <c r="AR460" s="1" t="str" cm="1">
        <f t="array" ref="AR460">_xlfn.IFS(clean[[#This Row],[Clean Level]]&gt;=76, "Legend", clean[[#This Row],[Clean Level]]&gt;=51, "Elite", clean[[#This Row],[Clean Level]]&gt;=26, "Veteran", TRUE, "Rookie")</f>
        <v>Elite</v>
      </c>
      <c r="AS460" s="1" t="str">
        <f>IF(RPG_dataset[[#This Row],[Status]]="Active", "TRUE", "FALSE")</f>
        <v>FALSE</v>
      </c>
      <c r="AT460" s="1" t="str" cm="1">
        <f t="array" ref="AT460">_xlfn.IFS(clean[[#This Row],[Clean Win Rate]]&gt;70, "Excellent", clean[[#This Row],[Clean Win Rate]]&gt;=40, "Average", TRUE, "Poor")</f>
        <v>Excellent</v>
      </c>
      <c r="AU460" s="1" t="str">
        <f>IF(AND(clean[[#This Row],[Clean Level]]&gt;80, clean[[#This Row],[Clean Total Stat]]&gt;350, clean[[#This Row],[Clean Gold]]&gt;500000), "Overpowered", "Normal")</f>
        <v>Normal</v>
      </c>
      <c r="AV460" s="1" t="str" cm="1">
        <f t="array" ref="AV46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60" s="1" t="str" cm="1">
        <f t="array" ref="AW46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60" s="1"/>
    </row>
    <row r="461" spans="1:50" x14ac:dyDescent="0.3">
      <c r="A461" s="2" t="s">
        <v>1562</v>
      </c>
      <c r="B461" s="2" t="s">
        <v>1563</v>
      </c>
      <c r="C461" s="2" t="s">
        <v>371</v>
      </c>
      <c r="D461" s="2" t="s">
        <v>168</v>
      </c>
      <c r="E461" s="2" t="s">
        <v>41</v>
      </c>
      <c r="F461" s="2" t="s">
        <v>30</v>
      </c>
      <c r="G461" s="2">
        <v>72</v>
      </c>
      <c r="H461" s="2" t="s">
        <v>53</v>
      </c>
      <c r="I461" s="2" t="s">
        <v>63</v>
      </c>
      <c r="J461" s="2" t="s">
        <v>111</v>
      </c>
      <c r="K461" s="2" t="s">
        <v>215</v>
      </c>
      <c r="L461" s="6" t="s">
        <v>1564</v>
      </c>
      <c r="M461" s="2">
        <v>12</v>
      </c>
      <c r="N461" s="2">
        <v>148</v>
      </c>
      <c r="O461" s="2">
        <v>138</v>
      </c>
      <c r="P461" s="2">
        <v>1634</v>
      </c>
      <c r="Q461" s="2">
        <v>709</v>
      </c>
      <c r="R461" s="2">
        <v>298</v>
      </c>
      <c r="S461" s="2">
        <v>1215</v>
      </c>
      <c r="T461" s="2">
        <v>782</v>
      </c>
      <c r="U461" s="2">
        <v>268</v>
      </c>
      <c r="V461" s="2">
        <v>61</v>
      </c>
      <c r="W461" s="2">
        <v>6159</v>
      </c>
      <c r="X461" s="9">
        <v>943688</v>
      </c>
      <c r="Y461" s="2" t="s">
        <v>46</v>
      </c>
      <c r="AA461" s="1" t="str">
        <f>TRIM(RPG_dataset[[#This Row],[Username]])</f>
        <v>kira_100</v>
      </c>
      <c r="AB461" s="1" t="str">
        <f>TRIM(RPG_dataset[[#This Row],[First Name]])</f>
        <v>Kira</v>
      </c>
      <c r="AC461" s="1" t="str">
        <f>PROPER(TRIM(RPG_dataset[[#This Row],[Race]]))</f>
        <v>Gnome</v>
      </c>
      <c r="AD461" s="1" t="str">
        <f>PROPER(TRIM(RPG_dataset[[#This Row],[Class]]))</f>
        <v>Rogue</v>
      </c>
      <c r="AE461" s="1">
        <f>ABS(RPG_dataset[[#This Row],[Level]])</f>
        <v>72</v>
      </c>
      <c r="AF461" s="1">
        <f>ABS(RPG_dataset[[#This Row],[ATK]])</f>
        <v>12</v>
      </c>
      <c r="AG461" s="1">
        <f>ABS(RPG_dataset[[#This Row],[DEF]])</f>
        <v>148</v>
      </c>
      <c r="AH461" s="1">
        <f>ABS(RPG_dataset[[#This Row],[SPD]])</f>
        <v>138</v>
      </c>
      <c r="AI461" s="1">
        <f>ABS(RPG_dataset[[#This Row],[HP]])</f>
        <v>1634</v>
      </c>
      <c r="AJ461" s="1">
        <f>ABS(RPG_dataset[[#This Row],[MP]])</f>
        <v>709</v>
      </c>
      <c r="AK461" s="1">
        <f>ABS(RPG_dataset[[#This Row],[Total Stat]])</f>
        <v>298</v>
      </c>
      <c r="AL461" s="1">
        <f>ABS(RPG_dataset[[#This Row],[Kills]])</f>
        <v>1215</v>
      </c>
      <c r="AM461" s="12">
        <f>ABS(RPG_dataset[[#This Row],[Win Rate (%)]])</f>
        <v>61</v>
      </c>
      <c r="AN461" s="4">
        <f>ABS(RPG_dataset[[#This Row],[Gold Earned]])</f>
        <v>943688</v>
      </c>
      <c r="AO461" s="5" t="str">
        <f t="shared" si="7"/>
        <v>OK</v>
      </c>
      <c r="AP461" s="5">
        <f>RANK(clean[[#This Row],[Clean Gold]],clean[Clean Gold], 0)</f>
        <v>27</v>
      </c>
      <c r="AQ461" s="1">
        <v>278</v>
      </c>
      <c r="AR461" s="1" t="str" cm="1">
        <f t="array" ref="AR461">_xlfn.IFS(clean[[#This Row],[Clean Level]]&gt;=76, "Legend", clean[[#This Row],[Clean Level]]&gt;=51, "Elite", clean[[#This Row],[Clean Level]]&gt;=26, "Veteran", TRUE, "Rookie")</f>
        <v>Elite</v>
      </c>
      <c r="AS461" s="1" t="str">
        <f>IF(RPG_dataset[[#This Row],[Status]]="Active", "TRUE", "FALSE")</f>
        <v>FALSE</v>
      </c>
      <c r="AT461" s="1" t="str" cm="1">
        <f t="array" ref="AT461">_xlfn.IFS(clean[[#This Row],[Clean Win Rate]]&gt;70, "Excellent", clean[[#This Row],[Clean Win Rate]]&gt;=40, "Average", TRUE, "Poor")</f>
        <v>Average</v>
      </c>
      <c r="AU461" s="1" t="str">
        <f>IF(AND(clean[[#This Row],[Clean Level]]&gt;80, clean[[#This Row],[Clean Total Stat]]&gt;350, clean[[#This Row],[Clean Gold]]&gt;500000), "Overpowered", "Normal")</f>
        <v>Normal</v>
      </c>
      <c r="AV461" s="1" t="str" cm="1">
        <f t="array" ref="AV46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61" s="1" t="str" cm="1">
        <f t="array" ref="AW46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61" s="1"/>
    </row>
    <row r="462" spans="1:50" x14ac:dyDescent="0.3">
      <c r="A462" s="2" t="s">
        <v>1565</v>
      </c>
      <c r="B462" s="2" t="s">
        <v>1566</v>
      </c>
      <c r="C462" s="2" t="s">
        <v>367</v>
      </c>
      <c r="D462" s="2" t="s">
        <v>250</v>
      </c>
      <c r="E462" s="2" t="s">
        <v>105</v>
      </c>
      <c r="F462" s="2" t="s">
        <v>194</v>
      </c>
      <c r="G462" s="2">
        <v>18</v>
      </c>
      <c r="H462" s="2" t="s">
        <v>125</v>
      </c>
      <c r="I462" s="2" t="s">
        <v>63</v>
      </c>
      <c r="J462" s="2" t="s">
        <v>88</v>
      </c>
      <c r="K462" s="2" t="s">
        <v>44</v>
      </c>
      <c r="L462" s="6" t="s">
        <v>877</v>
      </c>
      <c r="M462" s="2">
        <v>113</v>
      </c>
      <c r="N462" s="2">
        <v>27</v>
      </c>
      <c r="O462" s="2">
        <v>125</v>
      </c>
      <c r="P462" s="2">
        <v>813</v>
      </c>
      <c r="Q462" s="2">
        <v>1039</v>
      </c>
      <c r="R462" s="2"/>
      <c r="S462" s="2">
        <v>2171</v>
      </c>
      <c r="T462" s="2">
        <v>972</v>
      </c>
      <c r="U462" s="2">
        <v>107</v>
      </c>
      <c r="V462" s="2">
        <v>69</v>
      </c>
      <c r="W462" s="2">
        <v>9165</v>
      </c>
      <c r="X462" s="9">
        <v>884369</v>
      </c>
      <c r="Y462" s="2" t="s">
        <v>46</v>
      </c>
      <c r="AA462" s="1" t="str">
        <f>TRIM(RPG_dataset[[#This Row],[Username]])</f>
        <v>sable_492</v>
      </c>
      <c r="AB462" s="1" t="str">
        <f>TRIM(RPG_dataset[[#This Row],[First Name]])</f>
        <v>Sable</v>
      </c>
      <c r="AC462" s="1" t="str">
        <f>PROPER(TRIM(RPG_dataset[[#This Row],[Race]]))</f>
        <v>Orc</v>
      </c>
      <c r="AD462" s="1" t="str">
        <f>PROPER(TRIM(RPG_dataset[[#This Row],[Class]]))</f>
        <v>Paladin</v>
      </c>
      <c r="AE462" s="1">
        <f>ABS(RPG_dataset[[#This Row],[Level]])</f>
        <v>18</v>
      </c>
      <c r="AF462" s="1">
        <f>ABS(RPG_dataset[[#This Row],[ATK]])</f>
        <v>113</v>
      </c>
      <c r="AG462" s="1">
        <f>ABS(RPG_dataset[[#This Row],[DEF]])</f>
        <v>27</v>
      </c>
      <c r="AH462" s="1">
        <f>ABS(RPG_dataset[[#This Row],[SPD]])</f>
        <v>125</v>
      </c>
      <c r="AI462" s="1">
        <f>ABS(RPG_dataset[[#This Row],[HP]])</f>
        <v>813</v>
      </c>
      <c r="AJ462" s="1">
        <f>ABS(RPG_dataset[[#This Row],[MP]])</f>
        <v>1039</v>
      </c>
      <c r="AK462" s="1">
        <f>ABS(RPG_dataset[[#This Row],[Total Stat]])</f>
        <v>0</v>
      </c>
      <c r="AL462" s="1">
        <f>ABS(RPG_dataset[[#This Row],[Kills]])</f>
        <v>2171</v>
      </c>
      <c r="AM462" s="12">
        <f>ABS(RPG_dataset[[#This Row],[Win Rate (%)]])</f>
        <v>69</v>
      </c>
      <c r="AN462" s="4">
        <f>ABS(RPG_dataset[[#This Row],[Gold Earned]])</f>
        <v>884369</v>
      </c>
      <c r="AO462" s="5" t="str">
        <f t="shared" si="7"/>
        <v>OK</v>
      </c>
      <c r="AP462" s="5">
        <f>RANK(clean[[#This Row],[Clean Gold]],clean[Clean Gold], 0)</f>
        <v>60</v>
      </c>
      <c r="AQ462" s="1">
        <v>208</v>
      </c>
      <c r="AR462" s="1" t="str" cm="1">
        <f t="array" ref="AR462">_xlfn.IFS(clean[[#This Row],[Clean Level]]&gt;=76, "Legend", clean[[#This Row],[Clean Level]]&gt;=51, "Elite", clean[[#This Row],[Clean Level]]&gt;=26, "Veteran", TRUE, "Rookie")</f>
        <v>Rookie</v>
      </c>
      <c r="AS462" s="1" t="str">
        <f>IF(RPG_dataset[[#This Row],[Status]]="Active", "TRUE", "FALSE")</f>
        <v>TRUE</v>
      </c>
      <c r="AT462" s="1" t="str" cm="1">
        <f t="array" ref="AT462">_xlfn.IFS(clean[[#This Row],[Clean Win Rate]]&gt;70, "Excellent", clean[[#This Row],[Clean Win Rate]]&gt;=40, "Average", TRUE, "Poor")</f>
        <v>Average</v>
      </c>
      <c r="AU462" s="1" t="str">
        <f>IF(AND(clean[[#This Row],[Clean Level]]&gt;80, clean[[#This Row],[Clean Total Stat]]&gt;350, clean[[#This Row],[Clean Gold]]&gt;500000), "Overpowered", "Normal")</f>
        <v>Normal</v>
      </c>
      <c r="AV462" s="1" t="str" cm="1">
        <f t="array" ref="AV462">_xlfn.IFS(
(AND(OR(clean[[#This Row],[Tier]]="Elite", clean[[#This Row],[Tier]]="Legend"), clean[[#This Row],[Performance]]="Excellent", RPG_dataset[[#This Row],[Is Premium]]="Yes")), "High", OR(OR(clean[[#This Row],[Tier]]="Elite", clean[[#This Row],[Tier]]="Legend"), clean[[#This Row],[Performance]]="Excellent", RPG_dataset[[#This Row],[Is Premium]]="Yes"), "Medium", TRUE, "Low")</f>
        <v>Low</v>
      </c>
      <c r="AW462" s="1" t="str" cm="1">
        <f t="array" ref="AW46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62" s="1"/>
    </row>
    <row r="463" spans="1:50" x14ac:dyDescent="0.3">
      <c r="A463" s="2" t="s">
        <v>1567</v>
      </c>
      <c r="B463" s="2" t="s">
        <v>1568</v>
      </c>
      <c r="C463" s="2" t="s">
        <v>371</v>
      </c>
      <c r="D463" s="2" t="s">
        <v>401</v>
      </c>
      <c r="E463" s="2" t="s">
        <v>105</v>
      </c>
      <c r="F463" s="2" t="s">
        <v>98</v>
      </c>
      <c r="G463" s="2">
        <v>9</v>
      </c>
      <c r="H463" s="2" t="s">
        <v>31</v>
      </c>
      <c r="I463" s="2" t="s">
        <v>54</v>
      </c>
      <c r="J463" s="2" t="s">
        <v>33</v>
      </c>
      <c r="K463" s="2" t="s">
        <v>146</v>
      </c>
      <c r="L463" s="6" t="s">
        <v>1569</v>
      </c>
      <c r="M463" s="2">
        <v>88</v>
      </c>
      <c r="N463" s="2">
        <v>48</v>
      </c>
      <c r="O463" s="2">
        <v>105</v>
      </c>
      <c r="P463" s="2">
        <v>3485</v>
      </c>
      <c r="Q463" s="2">
        <v>463</v>
      </c>
      <c r="R463" s="2">
        <v>241</v>
      </c>
      <c r="S463" s="2">
        <v>1512</v>
      </c>
      <c r="T463" s="2">
        <v>148</v>
      </c>
      <c r="U463" s="2">
        <v>28</v>
      </c>
      <c r="V463" s="2">
        <v>91</v>
      </c>
      <c r="W463" s="2">
        <v>9696</v>
      </c>
      <c r="X463" s="9">
        <v>46231</v>
      </c>
      <c r="Y463" s="2" t="s">
        <v>46</v>
      </c>
      <c r="AA463" s="1" t="str">
        <f>TRIM(RPG_dataset[[#This Row],[Username]])</f>
        <v>kira_470</v>
      </c>
      <c r="AB463" s="1" t="str">
        <f>TRIM(RPG_dataset[[#This Row],[First Name]])</f>
        <v>Kira</v>
      </c>
      <c r="AC463" s="1" t="str">
        <f>PROPER(TRIM(RPG_dataset[[#This Row],[Race]]))</f>
        <v>Orc</v>
      </c>
      <c r="AD463" s="1" t="str">
        <f>PROPER(TRIM(RPG_dataset[[#This Row],[Class]]))</f>
        <v>Mage</v>
      </c>
      <c r="AE463" s="1">
        <f>ABS(RPG_dataset[[#This Row],[Level]])</f>
        <v>9</v>
      </c>
      <c r="AF463" s="1">
        <f>ABS(RPG_dataset[[#This Row],[ATK]])</f>
        <v>88</v>
      </c>
      <c r="AG463" s="1">
        <f>ABS(RPG_dataset[[#This Row],[DEF]])</f>
        <v>48</v>
      </c>
      <c r="AH463" s="1">
        <f>ABS(RPG_dataset[[#This Row],[SPD]])</f>
        <v>105</v>
      </c>
      <c r="AI463" s="1">
        <f>ABS(RPG_dataset[[#This Row],[HP]])</f>
        <v>3485</v>
      </c>
      <c r="AJ463" s="1">
        <f>ABS(RPG_dataset[[#This Row],[MP]])</f>
        <v>463</v>
      </c>
      <c r="AK463" s="1">
        <f>ABS(RPG_dataset[[#This Row],[Total Stat]])</f>
        <v>241</v>
      </c>
      <c r="AL463" s="1">
        <f>ABS(RPG_dataset[[#This Row],[Kills]])</f>
        <v>1512</v>
      </c>
      <c r="AM463" s="12">
        <f>ABS(RPG_dataset[[#This Row],[Win Rate (%)]])</f>
        <v>91</v>
      </c>
      <c r="AN463" s="4">
        <f>ABS(RPG_dataset[[#This Row],[Gold Earned]])</f>
        <v>46231</v>
      </c>
      <c r="AO463" s="5" t="str">
        <f t="shared" si="7"/>
        <v>OK</v>
      </c>
      <c r="AP463" s="5">
        <f>RANK(clean[[#This Row],[Clean Gold]],clean[Clean Gold], 0)</f>
        <v>459</v>
      </c>
      <c r="AQ463" s="1">
        <v>198</v>
      </c>
      <c r="AR463" s="1" t="str" cm="1">
        <f t="array" ref="AR463">_xlfn.IFS(clean[[#This Row],[Clean Level]]&gt;=76, "Legend", clean[[#This Row],[Clean Level]]&gt;=51, "Elite", clean[[#This Row],[Clean Level]]&gt;=26, "Veteran", TRUE, "Rookie")</f>
        <v>Rookie</v>
      </c>
      <c r="AS463" s="1" t="str">
        <f>IF(RPG_dataset[[#This Row],[Status]]="Active", "TRUE", "FALSE")</f>
        <v>TRUE</v>
      </c>
      <c r="AT463" s="1" t="str" cm="1">
        <f t="array" ref="AT463">_xlfn.IFS(clean[[#This Row],[Clean Win Rate]]&gt;70, "Excellent", clean[[#This Row],[Clean Win Rate]]&gt;=40, "Average", TRUE, "Poor")</f>
        <v>Excellent</v>
      </c>
      <c r="AU463" s="1" t="str">
        <f>IF(AND(clean[[#This Row],[Clean Level]]&gt;80, clean[[#This Row],[Clean Total Stat]]&gt;350, clean[[#This Row],[Clean Gold]]&gt;500000), "Overpowered", "Normal")</f>
        <v>Normal</v>
      </c>
      <c r="AV463" s="1" t="str" cm="1">
        <f t="array" ref="AV46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63" s="1" t="str" cm="1">
        <f t="array" ref="AW46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63" s="1"/>
    </row>
    <row r="464" spans="1:50" x14ac:dyDescent="0.3">
      <c r="A464" s="2" t="s">
        <v>1570</v>
      </c>
      <c r="B464" s="2" t="s">
        <v>1571</v>
      </c>
      <c r="C464" s="2" t="s">
        <v>138</v>
      </c>
      <c r="D464" s="2" t="s">
        <v>277</v>
      </c>
      <c r="E464" s="2" t="s">
        <v>29</v>
      </c>
      <c r="F464" s="2" t="s">
        <v>61</v>
      </c>
      <c r="G464" s="2">
        <v>71</v>
      </c>
      <c r="H464" s="2" t="s">
        <v>62</v>
      </c>
      <c r="I464" s="2" t="s">
        <v>54</v>
      </c>
      <c r="J464" s="2" t="s">
        <v>92</v>
      </c>
      <c r="K464" s="2" t="s">
        <v>453</v>
      </c>
      <c r="L464" s="6" t="s">
        <v>615</v>
      </c>
      <c r="M464" s="2">
        <v>89</v>
      </c>
      <c r="N464" s="2">
        <v>55</v>
      </c>
      <c r="O464" s="2">
        <v>34</v>
      </c>
      <c r="P464" s="2">
        <v>4208</v>
      </c>
      <c r="Q464" s="2">
        <v>1404</v>
      </c>
      <c r="R464" s="2">
        <v>178</v>
      </c>
      <c r="S464" s="2">
        <v>3511</v>
      </c>
      <c r="T464" s="2">
        <v>874</v>
      </c>
      <c r="U464" s="2">
        <v>256</v>
      </c>
      <c r="V464" s="2">
        <v>80</v>
      </c>
      <c r="W464" s="2">
        <v>9488</v>
      </c>
      <c r="X464" s="9">
        <v>108077</v>
      </c>
      <c r="Y464" s="2" t="s">
        <v>46</v>
      </c>
      <c r="AA464" s="1" t="str">
        <f>TRIM(RPG_dataset[[#This Row],[Username]])</f>
        <v>grim_548</v>
      </c>
      <c r="AB464" s="1" t="str">
        <f>TRIM(RPG_dataset[[#This Row],[First Name]])</f>
        <v>Grim</v>
      </c>
      <c r="AC464" s="1" t="str">
        <f>PROPER(TRIM(RPG_dataset[[#This Row],[Race]]))</f>
        <v>Dwarf</v>
      </c>
      <c r="AD464" s="1" t="str">
        <f>PROPER(TRIM(RPG_dataset[[#This Row],[Class]]))</f>
        <v>Ranger</v>
      </c>
      <c r="AE464" s="1">
        <f>ABS(RPG_dataset[[#This Row],[Level]])</f>
        <v>71</v>
      </c>
      <c r="AF464" s="1">
        <f>ABS(RPG_dataset[[#This Row],[ATK]])</f>
        <v>89</v>
      </c>
      <c r="AG464" s="1">
        <f>ABS(RPG_dataset[[#This Row],[DEF]])</f>
        <v>55</v>
      </c>
      <c r="AH464" s="1">
        <f>ABS(RPG_dataset[[#This Row],[SPD]])</f>
        <v>34</v>
      </c>
      <c r="AI464" s="1">
        <f>ABS(RPG_dataset[[#This Row],[HP]])</f>
        <v>4208</v>
      </c>
      <c r="AJ464" s="1">
        <f>ABS(RPG_dataset[[#This Row],[MP]])</f>
        <v>1404</v>
      </c>
      <c r="AK464" s="1">
        <f>ABS(RPG_dataset[[#This Row],[Total Stat]])</f>
        <v>178</v>
      </c>
      <c r="AL464" s="1">
        <f>ABS(RPG_dataset[[#This Row],[Kills]])</f>
        <v>3511</v>
      </c>
      <c r="AM464" s="12">
        <f>ABS(RPG_dataset[[#This Row],[Win Rate (%)]])</f>
        <v>80</v>
      </c>
      <c r="AN464" s="4">
        <f>ABS(RPG_dataset[[#This Row],[Gold Earned]])</f>
        <v>108077</v>
      </c>
      <c r="AO464" s="5" t="str">
        <f t="shared" si="7"/>
        <v>OK</v>
      </c>
      <c r="AP464" s="5">
        <f>RANK(clean[[#This Row],[Clean Gold]],clean[Clean Gold], 0)</f>
        <v>434</v>
      </c>
      <c r="AQ464" s="1">
        <v>200</v>
      </c>
      <c r="AR464" s="1" t="str" cm="1">
        <f t="array" ref="AR464">_xlfn.IFS(clean[[#This Row],[Clean Level]]&gt;=76, "Legend", clean[[#This Row],[Clean Level]]&gt;=51, "Elite", clean[[#This Row],[Clean Level]]&gt;=26, "Veteran", TRUE, "Rookie")</f>
        <v>Elite</v>
      </c>
      <c r="AS464" s="1" t="str">
        <f>IF(RPG_dataset[[#This Row],[Status]]="Active", "TRUE", "FALSE")</f>
        <v>FALSE</v>
      </c>
      <c r="AT464" s="1" t="str" cm="1">
        <f t="array" ref="AT464">_xlfn.IFS(clean[[#This Row],[Clean Win Rate]]&gt;70, "Excellent", clean[[#This Row],[Clean Win Rate]]&gt;=40, "Average", TRUE, "Poor")</f>
        <v>Excellent</v>
      </c>
      <c r="AU464" s="1" t="str">
        <f>IF(AND(clean[[#This Row],[Clean Level]]&gt;80, clean[[#This Row],[Clean Total Stat]]&gt;350, clean[[#This Row],[Clean Gold]]&gt;500000), "Overpowered", "Normal")</f>
        <v>Normal</v>
      </c>
      <c r="AV464" s="1" t="str" cm="1">
        <f t="array" ref="AV46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64" s="1" t="str" cm="1">
        <f t="array" ref="AW46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464" s="1"/>
    </row>
    <row r="465" spans="1:50" x14ac:dyDescent="0.3">
      <c r="A465" s="2" t="s">
        <v>1572</v>
      </c>
      <c r="B465" s="2" t="s">
        <v>1573</v>
      </c>
      <c r="C465" s="2" t="s">
        <v>296</v>
      </c>
      <c r="D465" s="2" t="s">
        <v>155</v>
      </c>
      <c r="E465" s="2" t="s">
        <v>60</v>
      </c>
      <c r="F465" s="2" t="s">
        <v>194</v>
      </c>
      <c r="G465" s="2">
        <v>55</v>
      </c>
      <c r="H465" s="2" t="s">
        <v>125</v>
      </c>
      <c r="I465" s="2" t="s">
        <v>63</v>
      </c>
      <c r="J465" s="2" t="s">
        <v>111</v>
      </c>
      <c r="K465" s="2" t="s">
        <v>99</v>
      </c>
      <c r="L465" s="6" t="s">
        <v>924</v>
      </c>
      <c r="M465" s="2">
        <v>144</v>
      </c>
      <c r="N465" s="2">
        <v>50</v>
      </c>
      <c r="O465" s="2">
        <v>18</v>
      </c>
      <c r="P465" s="2">
        <v>3220</v>
      </c>
      <c r="Q465" s="2">
        <v>409</v>
      </c>
      <c r="R465" s="2">
        <v>212</v>
      </c>
      <c r="S465" s="2">
        <v>1991</v>
      </c>
      <c r="T465" s="2">
        <v>198</v>
      </c>
      <c r="U465" s="2">
        <v>111</v>
      </c>
      <c r="V465" s="2"/>
      <c r="W465" s="2">
        <v>5816</v>
      </c>
      <c r="X465" s="9">
        <v>512892</v>
      </c>
      <c r="Y465" s="2" t="s">
        <v>46</v>
      </c>
      <c r="AA465" s="1" t="str">
        <f>TRIM(RPG_dataset[[#This Row],[Username]])</f>
        <v>gareth_708</v>
      </c>
      <c r="AB465" s="1" t="str">
        <f>TRIM(RPG_dataset[[#This Row],[First Name]])</f>
        <v>Gareth</v>
      </c>
      <c r="AC465" s="1" t="str">
        <f>PROPER(TRIM(RPG_dataset[[#This Row],[Race]]))</f>
        <v>Human</v>
      </c>
      <c r="AD465" s="1" t="str">
        <f>PROPER(TRIM(RPG_dataset[[#This Row],[Class]]))</f>
        <v>Paladin</v>
      </c>
      <c r="AE465" s="1">
        <f>ABS(RPG_dataset[[#This Row],[Level]])</f>
        <v>55</v>
      </c>
      <c r="AF465" s="1">
        <f>ABS(RPG_dataset[[#This Row],[ATK]])</f>
        <v>144</v>
      </c>
      <c r="AG465" s="1">
        <f>ABS(RPG_dataset[[#This Row],[DEF]])</f>
        <v>50</v>
      </c>
      <c r="AH465" s="1">
        <f>ABS(RPG_dataset[[#This Row],[SPD]])</f>
        <v>18</v>
      </c>
      <c r="AI465" s="1">
        <f>ABS(RPG_dataset[[#This Row],[HP]])</f>
        <v>3220</v>
      </c>
      <c r="AJ465" s="1">
        <f>ABS(RPG_dataset[[#This Row],[MP]])</f>
        <v>409</v>
      </c>
      <c r="AK465" s="1">
        <f>ABS(RPG_dataset[[#This Row],[Total Stat]])</f>
        <v>212</v>
      </c>
      <c r="AL465" s="1">
        <f>ABS(RPG_dataset[[#This Row],[Kills]])</f>
        <v>1991</v>
      </c>
      <c r="AM465" s="12">
        <f>ABS(RPG_dataset[[#This Row],[Win Rate (%)]])</f>
        <v>0</v>
      </c>
      <c r="AN465" s="4">
        <f>ABS(RPG_dataset[[#This Row],[Gold Earned]])</f>
        <v>512892</v>
      </c>
      <c r="AO465" s="5" t="str">
        <f t="shared" si="7"/>
        <v>OK</v>
      </c>
      <c r="AP465" s="5">
        <f>RANK(clean[[#This Row],[Clean Gold]],clean[Clean Gold], 0)</f>
        <v>243</v>
      </c>
      <c r="AQ465" s="1">
        <v>159</v>
      </c>
      <c r="AR465" s="1" t="str" cm="1">
        <f t="array" ref="AR465">_xlfn.IFS(clean[[#This Row],[Clean Level]]&gt;=76, "Legend", clean[[#This Row],[Clean Level]]&gt;=51, "Elite", clean[[#This Row],[Clean Level]]&gt;=26, "Veteran", TRUE, "Rookie")</f>
        <v>Elite</v>
      </c>
      <c r="AS465" s="1" t="str">
        <f>IF(RPG_dataset[[#This Row],[Status]]="Active", "TRUE", "FALSE")</f>
        <v>FALSE</v>
      </c>
      <c r="AT465" s="1" t="str" cm="1">
        <f t="array" ref="AT465">_xlfn.IFS(clean[[#This Row],[Clean Win Rate]]&gt;70, "Excellent", clean[[#This Row],[Clean Win Rate]]&gt;=40, "Average", TRUE, "Poor")</f>
        <v>Poor</v>
      </c>
      <c r="AU465" s="1" t="str">
        <f>IF(AND(clean[[#This Row],[Clean Level]]&gt;80, clean[[#This Row],[Clean Total Stat]]&gt;350, clean[[#This Row],[Clean Gold]]&gt;500000), "Overpowered", "Normal")</f>
        <v>Normal</v>
      </c>
      <c r="AV465" s="1" t="str" cm="1">
        <f t="array" ref="AV46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65" s="1" t="str" cm="1">
        <f t="array" ref="AW46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465" s="1"/>
    </row>
    <row r="466" spans="1:50" x14ac:dyDescent="0.3">
      <c r="A466" s="2" t="s">
        <v>1574</v>
      </c>
      <c r="B466" s="2" t="s">
        <v>1575</v>
      </c>
      <c r="C466" s="2" t="s">
        <v>367</v>
      </c>
      <c r="D466" s="2" t="s">
        <v>40</v>
      </c>
      <c r="E466" s="2" t="s">
        <v>71</v>
      </c>
      <c r="F466" s="2" t="s">
        <v>72</v>
      </c>
      <c r="G466" s="2">
        <v>68</v>
      </c>
      <c r="H466" s="2" t="s">
        <v>125</v>
      </c>
      <c r="I466" s="2" t="s">
        <v>54</v>
      </c>
      <c r="J466" s="2" t="s">
        <v>88</v>
      </c>
      <c r="K466" s="2" t="s">
        <v>44</v>
      </c>
      <c r="L466" s="6" t="s">
        <v>1576</v>
      </c>
      <c r="M466" s="2">
        <v>90</v>
      </c>
      <c r="N466" s="2">
        <v>108</v>
      </c>
      <c r="O466" s="2">
        <v>68</v>
      </c>
      <c r="P466" s="2">
        <v>199</v>
      </c>
      <c r="Q466" s="2">
        <v>1969</v>
      </c>
      <c r="R466" s="2">
        <v>266</v>
      </c>
      <c r="S466" s="2">
        <v>3628</v>
      </c>
      <c r="T466" s="2">
        <v>537</v>
      </c>
      <c r="U466" s="2">
        <v>78</v>
      </c>
      <c r="V466" s="2">
        <v>87</v>
      </c>
      <c r="W466" s="2">
        <v>6658</v>
      </c>
      <c r="X466" s="9">
        <v>3185</v>
      </c>
      <c r="Y466" s="2" t="s">
        <v>36</v>
      </c>
      <c r="AA466" s="1" t="str">
        <f>TRIM(RPG_dataset[[#This Row],[Username]])</f>
        <v>sable_668</v>
      </c>
      <c r="AB466" s="1" t="str">
        <f>TRIM(RPG_dataset[[#This Row],[First Name]])</f>
        <v>Sable</v>
      </c>
      <c r="AC466" s="1" t="str">
        <f>PROPER(TRIM(RPG_dataset[[#This Row],[Race]]))</f>
        <v>Dragonborn</v>
      </c>
      <c r="AD466" s="1" t="str">
        <f>PROPER(TRIM(RPG_dataset[[#This Row],[Class]]))</f>
        <v>Warrior</v>
      </c>
      <c r="AE466" s="1">
        <f>ABS(RPG_dataset[[#This Row],[Level]])</f>
        <v>68</v>
      </c>
      <c r="AF466" s="1">
        <f>ABS(RPG_dataset[[#This Row],[ATK]])</f>
        <v>90</v>
      </c>
      <c r="AG466" s="1">
        <f>ABS(RPG_dataset[[#This Row],[DEF]])</f>
        <v>108</v>
      </c>
      <c r="AH466" s="1">
        <f>ABS(RPG_dataset[[#This Row],[SPD]])</f>
        <v>68</v>
      </c>
      <c r="AI466" s="1">
        <f>ABS(RPG_dataset[[#This Row],[HP]])</f>
        <v>199</v>
      </c>
      <c r="AJ466" s="1">
        <f>ABS(RPG_dataset[[#This Row],[MP]])</f>
        <v>1969</v>
      </c>
      <c r="AK466" s="1">
        <f>ABS(RPG_dataset[[#This Row],[Total Stat]])</f>
        <v>266</v>
      </c>
      <c r="AL466" s="1">
        <f>ABS(RPG_dataset[[#This Row],[Kills]])</f>
        <v>3628</v>
      </c>
      <c r="AM466" s="12">
        <f>ABS(RPG_dataset[[#This Row],[Win Rate (%)]])</f>
        <v>87</v>
      </c>
      <c r="AN466" s="4">
        <f>ABS(RPG_dataset[[#This Row],[Gold Earned]])</f>
        <v>3185</v>
      </c>
      <c r="AO466" s="5" t="str">
        <f t="shared" si="7"/>
        <v>OK</v>
      </c>
      <c r="AP466" s="5">
        <f>RANK(clean[[#This Row],[Clean Gold]],clean[Clean Gold], 0)</f>
        <v>485</v>
      </c>
      <c r="AQ466" s="1">
        <v>177</v>
      </c>
      <c r="AR466" s="1" t="str" cm="1">
        <f t="array" ref="AR466">_xlfn.IFS(clean[[#This Row],[Clean Level]]&gt;=76, "Legend", clean[[#This Row],[Clean Level]]&gt;=51, "Elite", clean[[#This Row],[Clean Level]]&gt;=26, "Veteran", TRUE, "Rookie")</f>
        <v>Elite</v>
      </c>
      <c r="AS466" s="1" t="str">
        <f>IF(RPG_dataset[[#This Row],[Status]]="Active", "TRUE", "FALSE")</f>
        <v>TRUE</v>
      </c>
      <c r="AT466" s="1" t="str" cm="1">
        <f t="array" ref="AT466">_xlfn.IFS(clean[[#This Row],[Clean Win Rate]]&gt;70, "Excellent", clean[[#This Row],[Clean Win Rate]]&gt;=40, "Average", TRUE, "Poor")</f>
        <v>Excellent</v>
      </c>
      <c r="AU466" s="1" t="str">
        <f>IF(AND(clean[[#This Row],[Clean Level]]&gt;80, clean[[#This Row],[Clean Total Stat]]&gt;350, clean[[#This Row],[Clean Gold]]&gt;500000), "Overpowered", "Normal")</f>
        <v>Normal</v>
      </c>
      <c r="AV466" s="1" t="str" cm="1">
        <f t="array" ref="AV466">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466" s="1" t="str" cm="1">
        <f t="array" ref="AW46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466" s="1"/>
    </row>
    <row r="467" spans="1:50" x14ac:dyDescent="0.3">
      <c r="A467" s="2" t="s">
        <v>1577</v>
      </c>
      <c r="B467" s="2" t="s">
        <v>1578</v>
      </c>
      <c r="C467" s="2" t="s">
        <v>680</v>
      </c>
      <c r="D467" s="2" t="s">
        <v>168</v>
      </c>
      <c r="E467" s="2" t="s">
        <v>105</v>
      </c>
      <c r="F467" s="2" t="s">
        <v>194</v>
      </c>
      <c r="G467" s="2">
        <v>51</v>
      </c>
      <c r="H467" s="2" t="s">
        <v>80</v>
      </c>
      <c r="I467" s="2" t="s">
        <v>87</v>
      </c>
      <c r="J467" s="2" t="s">
        <v>92</v>
      </c>
      <c r="K467" s="2" t="s">
        <v>44</v>
      </c>
      <c r="L467" s="6" t="s">
        <v>1579</v>
      </c>
      <c r="M467" s="2">
        <v>144</v>
      </c>
      <c r="N467" s="2">
        <v>123</v>
      </c>
      <c r="O467" s="2">
        <v>137</v>
      </c>
      <c r="P467" s="2">
        <v>1194</v>
      </c>
      <c r="Q467" s="2">
        <v>598</v>
      </c>
      <c r="R467" s="2">
        <v>404</v>
      </c>
      <c r="S467" s="2">
        <v>2306</v>
      </c>
      <c r="T467" s="2">
        <v>208</v>
      </c>
      <c r="U467" s="2">
        <v>291</v>
      </c>
      <c r="V467" s="2">
        <v>92</v>
      </c>
      <c r="W467" s="2">
        <v>7250</v>
      </c>
      <c r="X467" s="9">
        <v>611480</v>
      </c>
      <c r="Y467" s="2" t="s">
        <v>46</v>
      </c>
      <c r="AA467" s="1" t="str">
        <f>TRIM(RPG_dataset[[#This Row],[Username]])</f>
        <v>brix_401</v>
      </c>
      <c r="AB467" s="1" t="str">
        <f>TRIM(RPG_dataset[[#This Row],[First Name]])</f>
        <v>Brix</v>
      </c>
      <c r="AC467" s="1" t="str">
        <f>PROPER(TRIM(RPG_dataset[[#This Row],[Race]]))</f>
        <v>Orc</v>
      </c>
      <c r="AD467" s="1" t="str">
        <f>PROPER(TRIM(RPG_dataset[[#This Row],[Class]]))</f>
        <v>Paladin</v>
      </c>
      <c r="AE467" s="1">
        <f>ABS(RPG_dataset[[#This Row],[Level]])</f>
        <v>51</v>
      </c>
      <c r="AF467" s="1">
        <f>ABS(RPG_dataset[[#This Row],[ATK]])</f>
        <v>144</v>
      </c>
      <c r="AG467" s="1">
        <f>ABS(RPG_dataset[[#This Row],[DEF]])</f>
        <v>123</v>
      </c>
      <c r="AH467" s="1">
        <f>ABS(RPG_dataset[[#This Row],[SPD]])</f>
        <v>137</v>
      </c>
      <c r="AI467" s="1">
        <f>ABS(RPG_dataset[[#This Row],[HP]])</f>
        <v>1194</v>
      </c>
      <c r="AJ467" s="1">
        <f>ABS(RPG_dataset[[#This Row],[MP]])</f>
        <v>598</v>
      </c>
      <c r="AK467" s="1">
        <f>ABS(RPG_dataset[[#This Row],[Total Stat]])</f>
        <v>404</v>
      </c>
      <c r="AL467" s="1">
        <f>ABS(RPG_dataset[[#This Row],[Kills]])</f>
        <v>2306</v>
      </c>
      <c r="AM467" s="12">
        <f>ABS(RPG_dataset[[#This Row],[Win Rate (%)]])</f>
        <v>92</v>
      </c>
      <c r="AN467" s="4">
        <f>ABS(RPG_dataset[[#This Row],[Gold Earned]])</f>
        <v>611480</v>
      </c>
      <c r="AO467" s="5" t="str">
        <f t="shared" si="7"/>
        <v>OK</v>
      </c>
      <c r="AP467" s="5">
        <f>RANK(clean[[#This Row],[Clean Gold]],clean[Clean Gold], 0)</f>
        <v>197</v>
      </c>
      <c r="AQ467" s="1">
        <v>260</v>
      </c>
      <c r="AR467" s="1" t="str" cm="1">
        <f t="array" ref="AR467">_xlfn.IFS(clean[[#This Row],[Clean Level]]&gt;=76, "Legend", clean[[#This Row],[Clean Level]]&gt;=51, "Elite", clean[[#This Row],[Clean Level]]&gt;=26, "Veteran", TRUE, "Rookie")</f>
        <v>Elite</v>
      </c>
      <c r="AS467" s="1" t="str">
        <f>IF(RPG_dataset[[#This Row],[Status]]="Active", "TRUE", "FALSE")</f>
        <v>TRUE</v>
      </c>
      <c r="AT467" s="1" t="str" cm="1">
        <f t="array" ref="AT467">_xlfn.IFS(clean[[#This Row],[Clean Win Rate]]&gt;70, "Excellent", clean[[#This Row],[Clean Win Rate]]&gt;=40, "Average", TRUE, "Poor")</f>
        <v>Excellent</v>
      </c>
      <c r="AU467" s="1" t="str">
        <f>IF(AND(clean[[#This Row],[Clean Level]]&gt;80, clean[[#This Row],[Clean Total Stat]]&gt;350, clean[[#This Row],[Clean Gold]]&gt;500000), "Overpowered", "Normal")</f>
        <v>Normal</v>
      </c>
      <c r="AV467" s="1" t="str" cm="1">
        <f t="array" ref="AV46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67" s="1" t="str" cm="1">
        <f t="array" ref="AW46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67" s="1"/>
    </row>
    <row r="468" spans="1:50" x14ac:dyDescent="0.3">
      <c r="A468" s="2" t="s">
        <v>1580</v>
      </c>
      <c r="B468" s="2" t="s">
        <v>1581</v>
      </c>
      <c r="C468" s="2" t="s">
        <v>1582</v>
      </c>
      <c r="D468" s="2" t="s">
        <v>168</v>
      </c>
      <c r="E468" s="2" t="s">
        <v>51</v>
      </c>
      <c r="F468" s="2" t="s">
        <v>98</v>
      </c>
      <c r="G468" s="2">
        <v>8</v>
      </c>
      <c r="H468" s="2" t="s">
        <v>62</v>
      </c>
      <c r="I468" s="2" t="s">
        <v>74</v>
      </c>
      <c r="J468" s="2" t="s">
        <v>33</v>
      </c>
      <c r="K468" s="2" t="s">
        <v>34</v>
      </c>
      <c r="L468" s="6" t="s">
        <v>1583</v>
      </c>
      <c r="M468" s="2">
        <v>-60</v>
      </c>
      <c r="N468" s="2">
        <v>104</v>
      </c>
      <c r="O468" s="2">
        <v>39</v>
      </c>
      <c r="P468" s="2">
        <v>3110</v>
      </c>
      <c r="Q468" s="2">
        <v>538</v>
      </c>
      <c r="R468" s="2">
        <v>203</v>
      </c>
      <c r="S468" s="2">
        <v>2309</v>
      </c>
      <c r="T468" s="2">
        <v>603</v>
      </c>
      <c r="U468" s="2">
        <v>293</v>
      </c>
      <c r="V468" s="2">
        <v>79</v>
      </c>
      <c r="W468" s="2">
        <v>1001</v>
      </c>
      <c r="X468" s="9">
        <v>837410</v>
      </c>
      <c r="Y468" s="2" t="s">
        <v>46</v>
      </c>
      <c r="AA468" s="1" t="str">
        <f>TRIM(RPG_dataset[[#This Row],[Username]])</f>
        <v>gareth_524</v>
      </c>
      <c r="AB468" s="1" t="str">
        <f>TRIM(RPG_dataset[[#This Row],[First Name]])</f>
        <v>Gareth</v>
      </c>
      <c r="AC468" s="1" t="str">
        <f>PROPER(TRIM(RPG_dataset[[#This Row],[Race]]))</f>
        <v>Tiefling</v>
      </c>
      <c r="AD468" s="1" t="str">
        <f>PROPER(TRIM(RPG_dataset[[#This Row],[Class]]))</f>
        <v>Mage</v>
      </c>
      <c r="AE468" s="1">
        <f>ABS(RPG_dataset[[#This Row],[Level]])</f>
        <v>8</v>
      </c>
      <c r="AF468" s="1">
        <f>ABS(RPG_dataset[[#This Row],[ATK]])</f>
        <v>60</v>
      </c>
      <c r="AG468" s="1">
        <f>ABS(RPG_dataset[[#This Row],[DEF]])</f>
        <v>104</v>
      </c>
      <c r="AH468" s="1">
        <f>ABS(RPG_dataset[[#This Row],[SPD]])</f>
        <v>39</v>
      </c>
      <c r="AI468" s="1">
        <f>ABS(RPG_dataset[[#This Row],[HP]])</f>
        <v>3110</v>
      </c>
      <c r="AJ468" s="1">
        <f>ABS(RPG_dataset[[#This Row],[MP]])</f>
        <v>538</v>
      </c>
      <c r="AK468" s="1">
        <f>ABS(RPG_dataset[[#This Row],[Total Stat]])</f>
        <v>203</v>
      </c>
      <c r="AL468" s="1">
        <f>ABS(RPG_dataset[[#This Row],[Kills]])</f>
        <v>2309</v>
      </c>
      <c r="AM468" s="12">
        <f>ABS(RPG_dataset[[#This Row],[Win Rate (%)]])</f>
        <v>79</v>
      </c>
      <c r="AN468" s="4">
        <f>ABS(RPG_dataset[[#This Row],[Gold Earned]])</f>
        <v>837410</v>
      </c>
      <c r="AO468" s="5" t="str">
        <f t="shared" si="7"/>
        <v>OK</v>
      </c>
      <c r="AP468" s="5">
        <f>RANK(clean[[#This Row],[Clean Gold]],clean[Clean Gold], 0)</f>
        <v>87</v>
      </c>
      <c r="AQ468" s="1">
        <v>269</v>
      </c>
      <c r="AR468" s="1" t="str" cm="1">
        <f t="array" ref="AR468">_xlfn.IFS(clean[[#This Row],[Clean Level]]&gt;=76, "Legend", clean[[#This Row],[Clean Level]]&gt;=51, "Elite", clean[[#This Row],[Clean Level]]&gt;=26, "Veteran", TRUE, "Rookie")</f>
        <v>Rookie</v>
      </c>
      <c r="AS468" s="1" t="str">
        <f>IF(RPG_dataset[[#This Row],[Status]]="Active", "TRUE", "FALSE")</f>
        <v>FALSE</v>
      </c>
      <c r="AT468" s="1" t="str" cm="1">
        <f t="array" ref="AT468">_xlfn.IFS(clean[[#This Row],[Clean Win Rate]]&gt;70, "Excellent", clean[[#This Row],[Clean Win Rate]]&gt;=40, "Average", TRUE, "Poor")</f>
        <v>Excellent</v>
      </c>
      <c r="AU468" s="1" t="str">
        <f>IF(AND(clean[[#This Row],[Clean Level]]&gt;80, clean[[#This Row],[Clean Total Stat]]&gt;350, clean[[#This Row],[Clean Gold]]&gt;500000), "Overpowered", "Normal")</f>
        <v>Normal</v>
      </c>
      <c r="AV468" s="1" t="str" cm="1">
        <f t="array" ref="AV46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68" s="1" t="str" cm="1">
        <f t="array" ref="AW46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468" s="1"/>
    </row>
    <row r="469" spans="1:50" x14ac:dyDescent="0.3">
      <c r="A469" s="2" t="s">
        <v>1584</v>
      </c>
      <c r="B469" s="2" t="s">
        <v>1585</v>
      </c>
      <c r="C469" s="2" t="s">
        <v>69</v>
      </c>
      <c r="D469" s="2" t="s">
        <v>70</v>
      </c>
      <c r="E469" s="2" t="s">
        <v>169</v>
      </c>
      <c r="F469" s="2" t="s">
        <v>72</v>
      </c>
      <c r="G469" s="2"/>
      <c r="H469" s="2" t="s">
        <v>80</v>
      </c>
      <c r="I469" s="2" t="s">
        <v>140</v>
      </c>
      <c r="J469" s="2" t="s">
        <v>88</v>
      </c>
      <c r="K469" s="2" t="s">
        <v>34</v>
      </c>
      <c r="L469" s="6" t="s">
        <v>1586</v>
      </c>
      <c r="M469" s="2">
        <v>53</v>
      </c>
      <c r="N469" s="2">
        <v>115</v>
      </c>
      <c r="O469" s="2">
        <v>77</v>
      </c>
      <c r="P469" s="2">
        <v>1546</v>
      </c>
      <c r="Q469" s="2"/>
      <c r="R469" s="2">
        <v>245</v>
      </c>
      <c r="S469" s="2">
        <v>4433</v>
      </c>
      <c r="T469" s="2">
        <v>120</v>
      </c>
      <c r="U469" s="2">
        <v>222</v>
      </c>
      <c r="V469" s="2">
        <v>97</v>
      </c>
      <c r="W469" s="2">
        <v>4921</v>
      </c>
      <c r="X469" s="9">
        <v>226409</v>
      </c>
      <c r="Y469" s="2" t="s">
        <v>46</v>
      </c>
      <c r="AA469" s="1" t="str">
        <f>TRIM(RPG_dataset[[#This Row],[Username]])</f>
        <v>seth_649</v>
      </c>
      <c r="AB469" s="1" t="str">
        <f>TRIM(RPG_dataset[[#This Row],[First Name]])</f>
        <v>Seth</v>
      </c>
      <c r="AC469" s="1" t="str">
        <f>PROPER(TRIM(RPG_dataset[[#This Row],[Race]]))</f>
        <v>Halfling</v>
      </c>
      <c r="AD469" s="1" t="str">
        <f>PROPER(TRIM(RPG_dataset[[#This Row],[Class]]))</f>
        <v>Warrior</v>
      </c>
      <c r="AE469" s="1">
        <f>ABS(RPG_dataset[[#This Row],[Level]])</f>
        <v>0</v>
      </c>
      <c r="AF469" s="1">
        <f>ABS(RPG_dataset[[#This Row],[ATK]])</f>
        <v>53</v>
      </c>
      <c r="AG469" s="1">
        <f>ABS(RPG_dataset[[#This Row],[DEF]])</f>
        <v>115</v>
      </c>
      <c r="AH469" s="1">
        <f>ABS(RPG_dataset[[#This Row],[SPD]])</f>
        <v>77</v>
      </c>
      <c r="AI469" s="1">
        <f>ABS(RPG_dataset[[#This Row],[HP]])</f>
        <v>1546</v>
      </c>
      <c r="AJ469" s="1">
        <f>ABS(RPG_dataset[[#This Row],[MP]])</f>
        <v>0</v>
      </c>
      <c r="AK469" s="1">
        <f>ABS(RPG_dataset[[#This Row],[Total Stat]])</f>
        <v>245</v>
      </c>
      <c r="AL469" s="1">
        <f>ABS(RPG_dataset[[#This Row],[Kills]])</f>
        <v>4433</v>
      </c>
      <c r="AM469" s="12">
        <f>ABS(RPG_dataset[[#This Row],[Win Rate (%)]])</f>
        <v>97</v>
      </c>
      <c r="AN469" s="4">
        <f>ABS(RPG_dataset[[#This Row],[Gold Earned]])</f>
        <v>226409</v>
      </c>
      <c r="AO469" s="5" t="str">
        <f t="shared" si="7"/>
        <v>OK</v>
      </c>
      <c r="AP469" s="5">
        <f>RANK(clean[[#This Row],[Clean Gold]],clean[Clean Gold], 0)</f>
        <v>388</v>
      </c>
      <c r="AQ469" s="1">
        <v>218</v>
      </c>
      <c r="AR469" s="1" t="str" cm="1">
        <f t="array" ref="AR469">_xlfn.IFS(clean[[#This Row],[Clean Level]]&gt;=76, "Legend", clean[[#This Row],[Clean Level]]&gt;=51, "Elite", clean[[#This Row],[Clean Level]]&gt;=26, "Veteran", TRUE, "Rookie")</f>
        <v>Rookie</v>
      </c>
      <c r="AS469" s="1" t="str">
        <f>IF(RPG_dataset[[#This Row],[Status]]="Active", "TRUE", "FALSE")</f>
        <v>FALSE</v>
      </c>
      <c r="AT469" s="1" t="str" cm="1">
        <f t="array" ref="AT469">_xlfn.IFS(clean[[#This Row],[Clean Win Rate]]&gt;70, "Excellent", clean[[#This Row],[Clean Win Rate]]&gt;=40, "Average", TRUE, "Poor")</f>
        <v>Excellent</v>
      </c>
      <c r="AU469" s="1" t="str">
        <f>IF(AND(clean[[#This Row],[Clean Level]]&gt;80, clean[[#This Row],[Clean Total Stat]]&gt;350, clean[[#This Row],[Clean Gold]]&gt;500000), "Overpowered", "Normal")</f>
        <v>Normal</v>
      </c>
      <c r="AV469" s="1" t="str" cm="1">
        <f t="array" ref="AV46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69" s="1" t="str" cm="1">
        <f t="array" ref="AW46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469" s="1"/>
    </row>
    <row r="470" spans="1:50" x14ac:dyDescent="0.3">
      <c r="A470" s="2" t="s">
        <v>1587</v>
      </c>
      <c r="B470" s="2" t="s">
        <v>1588</v>
      </c>
      <c r="C470" s="2" t="s">
        <v>75</v>
      </c>
      <c r="D470" s="2" t="s">
        <v>162</v>
      </c>
      <c r="E470" s="2" t="s">
        <v>228</v>
      </c>
      <c r="F470" s="2" t="s">
        <v>98</v>
      </c>
      <c r="G470" s="2">
        <v>68</v>
      </c>
      <c r="H470" s="2" t="s">
        <v>62</v>
      </c>
      <c r="I470" s="2" t="s">
        <v>63</v>
      </c>
      <c r="J470" s="2" t="s">
        <v>33</v>
      </c>
      <c r="K470" s="2" t="s">
        <v>44</v>
      </c>
      <c r="L470" s="6" t="s">
        <v>1089</v>
      </c>
      <c r="M470" s="2">
        <v>51</v>
      </c>
      <c r="N470" s="2">
        <v>22</v>
      </c>
      <c r="O470" s="2">
        <v>75</v>
      </c>
      <c r="P470" s="2">
        <v>2149</v>
      </c>
      <c r="Q470" s="2">
        <v>2332</v>
      </c>
      <c r="R470" s="2">
        <v>148</v>
      </c>
      <c r="S470" s="2">
        <v>2438</v>
      </c>
      <c r="T470" s="2">
        <v>228</v>
      </c>
      <c r="U470" s="2">
        <v>3</v>
      </c>
      <c r="V470" s="2">
        <v>91</v>
      </c>
      <c r="W470" s="2">
        <v>9119</v>
      </c>
      <c r="X470" s="9">
        <v>610682</v>
      </c>
      <c r="Y470" s="2" t="s">
        <v>36</v>
      </c>
      <c r="AA470" s="1" t="str">
        <f>TRIM(RPG_dataset[[#This Row],[Username]])</f>
        <v>aiden_822</v>
      </c>
      <c r="AB470" s="1" t="str">
        <f>TRIM(RPG_dataset[[#This Row],[First Name]])</f>
        <v/>
      </c>
      <c r="AC470" s="1" t="str">
        <f>PROPER(TRIM(RPG_dataset[[#This Row],[Race]]))</f>
        <v>Elf</v>
      </c>
      <c r="AD470" s="1" t="str">
        <f>PROPER(TRIM(RPG_dataset[[#This Row],[Class]]))</f>
        <v>Mage</v>
      </c>
      <c r="AE470" s="1">
        <f>ABS(RPG_dataset[[#This Row],[Level]])</f>
        <v>68</v>
      </c>
      <c r="AF470" s="1">
        <f>ABS(RPG_dataset[[#This Row],[ATK]])</f>
        <v>51</v>
      </c>
      <c r="AG470" s="1">
        <f>ABS(RPG_dataset[[#This Row],[DEF]])</f>
        <v>22</v>
      </c>
      <c r="AH470" s="1">
        <f>ABS(RPG_dataset[[#This Row],[SPD]])</f>
        <v>75</v>
      </c>
      <c r="AI470" s="1">
        <f>ABS(RPG_dataset[[#This Row],[HP]])</f>
        <v>2149</v>
      </c>
      <c r="AJ470" s="1">
        <f>ABS(RPG_dataset[[#This Row],[MP]])</f>
        <v>2332</v>
      </c>
      <c r="AK470" s="1">
        <f>ABS(RPG_dataset[[#This Row],[Total Stat]])</f>
        <v>148</v>
      </c>
      <c r="AL470" s="1">
        <f>ABS(RPG_dataset[[#This Row],[Kills]])</f>
        <v>2438</v>
      </c>
      <c r="AM470" s="12">
        <f>ABS(RPG_dataset[[#This Row],[Win Rate (%)]])</f>
        <v>91</v>
      </c>
      <c r="AN470" s="4">
        <f>ABS(RPG_dataset[[#This Row],[Gold Earned]])</f>
        <v>610682</v>
      </c>
      <c r="AO470" s="5" t="str">
        <f t="shared" si="7"/>
        <v>OK</v>
      </c>
      <c r="AP470" s="5">
        <f>RANK(clean[[#This Row],[Clean Gold]],clean[Clean Gold], 0)</f>
        <v>199</v>
      </c>
      <c r="AQ470" s="1">
        <v>220</v>
      </c>
      <c r="AR470" s="1" t="str" cm="1">
        <f t="array" ref="AR470">_xlfn.IFS(clean[[#This Row],[Clean Level]]&gt;=76, "Legend", clean[[#This Row],[Clean Level]]&gt;=51, "Elite", clean[[#This Row],[Clean Level]]&gt;=26, "Veteran", TRUE, "Rookie")</f>
        <v>Elite</v>
      </c>
      <c r="AS470" s="1" t="str">
        <f>IF(RPG_dataset[[#This Row],[Status]]="Active", "TRUE", "FALSE")</f>
        <v>TRUE</v>
      </c>
      <c r="AT470" s="1" t="str" cm="1">
        <f t="array" ref="AT470">_xlfn.IFS(clean[[#This Row],[Clean Win Rate]]&gt;70, "Excellent", clean[[#This Row],[Clean Win Rate]]&gt;=40, "Average", TRUE, "Poor")</f>
        <v>Excellent</v>
      </c>
      <c r="AU470" s="1" t="str">
        <f>IF(AND(clean[[#This Row],[Clean Level]]&gt;80, clean[[#This Row],[Clean Total Stat]]&gt;350, clean[[#This Row],[Clean Gold]]&gt;500000), "Overpowered", "Normal")</f>
        <v>Normal</v>
      </c>
      <c r="AV470" s="1" t="str" cm="1">
        <f t="array" ref="AV470">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470" s="1" t="str" cm="1">
        <f t="array" ref="AW47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470" s="1"/>
    </row>
    <row r="471" spans="1:50" x14ac:dyDescent="0.3">
      <c r="A471" s="2" t="s">
        <v>1589</v>
      </c>
      <c r="B471" s="2" t="s">
        <v>1590</v>
      </c>
      <c r="C471" s="2" t="s">
        <v>1226</v>
      </c>
      <c r="D471" s="2" t="s">
        <v>40</v>
      </c>
      <c r="E471" s="2" t="s">
        <v>71</v>
      </c>
      <c r="F471" s="2" t="s">
        <v>42</v>
      </c>
      <c r="G471" s="2">
        <v>88</v>
      </c>
      <c r="H471" s="2" t="s">
        <v>73</v>
      </c>
      <c r="I471" s="2" t="s">
        <v>140</v>
      </c>
      <c r="J471" s="2" t="s">
        <v>120</v>
      </c>
      <c r="K471" s="2" t="s">
        <v>34</v>
      </c>
      <c r="L471" s="6" t="s">
        <v>1591</v>
      </c>
      <c r="M471" s="2">
        <v>113</v>
      </c>
      <c r="N471" s="2">
        <v>-88</v>
      </c>
      <c r="O471" s="2">
        <v>45</v>
      </c>
      <c r="P471" s="2">
        <v>808</v>
      </c>
      <c r="Q471" s="2">
        <v>1601</v>
      </c>
      <c r="R471" s="2">
        <v>246</v>
      </c>
      <c r="S471" s="2">
        <v>3833</v>
      </c>
      <c r="T471" s="2">
        <v>798</v>
      </c>
      <c r="U471" s="2">
        <v>91</v>
      </c>
      <c r="V471" s="2">
        <v>83</v>
      </c>
      <c r="W471" s="2">
        <v>7578</v>
      </c>
      <c r="X471" s="9">
        <v>218831</v>
      </c>
      <c r="Y471" s="2" t="s">
        <v>46</v>
      </c>
      <c r="AA471" s="1" t="str">
        <f>TRIM(RPG_dataset[[#This Row],[Username]])</f>
        <v>quinn_456</v>
      </c>
      <c r="AB471" s="1" t="str">
        <f>TRIM(RPG_dataset[[#This Row],[First Name]])</f>
        <v>Quinn</v>
      </c>
      <c r="AC471" s="1" t="str">
        <f>PROPER(TRIM(RPG_dataset[[#This Row],[Race]]))</f>
        <v>Dragonborn</v>
      </c>
      <c r="AD471" s="1" t="str">
        <f>PROPER(TRIM(RPG_dataset[[#This Row],[Class]]))</f>
        <v>Monk</v>
      </c>
      <c r="AE471" s="1">
        <f>ABS(RPG_dataset[[#This Row],[Level]])</f>
        <v>88</v>
      </c>
      <c r="AF471" s="1">
        <f>ABS(RPG_dataset[[#This Row],[ATK]])</f>
        <v>113</v>
      </c>
      <c r="AG471" s="1">
        <f>ABS(RPG_dataset[[#This Row],[DEF]])</f>
        <v>88</v>
      </c>
      <c r="AH471" s="1">
        <f>ABS(RPG_dataset[[#This Row],[SPD]])</f>
        <v>45</v>
      </c>
      <c r="AI471" s="1">
        <f>ABS(RPG_dataset[[#This Row],[HP]])</f>
        <v>808</v>
      </c>
      <c r="AJ471" s="1">
        <f>ABS(RPG_dataset[[#This Row],[MP]])</f>
        <v>1601</v>
      </c>
      <c r="AK471" s="1">
        <f>ABS(RPG_dataset[[#This Row],[Total Stat]])</f>
        <v>246</v>
      </c>
      <c r="AL471" s="1">
        <f>ABS(RPG_dataset[[#This Row],[Kills]])</f>
        <v>3833</v>
      </c>
      <c r="AM471" s="12">
        <f>ABS(RPG_dataset[[#This Row],[Win Rate (%)]])</f>
        <v>83</v>
      </c>
      <c r="AN471" s="4">
        <f>ABS(RPG_dataset[[#This Row],[Gold Earned]])</f>
        <v>218831</v>
      </c>
      <c r="AO471" s="5" t="str">
        <f t="shared" si="7"/>
        <v>OK</v>
      </c>
      <c r="AP471" s="5">
        <f>RANK(clean[[#This Row],[Clean Gold]],clean[Clean Gold], 0)</f>
        <v>391</v>
      </c>
      <c r="AQ471" s="1">
        <v>100</v>
      </c>
      <c r="AR471" s="1" t="str" cm="1">
        <f t="array" ref="AR471">_xlfn.IFS(clean[[#This Row],[Clean Level]]&gt;=76, "Legend", clean[[#This Row],[Clean Level]]&gt;=51, "Elite", clean[[#This Row],[Clean Level]]&gt;=26, "Veteran", TRUE, "Rookie")</f>
        <v>Legend</v>
      </c>
      <c r="AS471" s="1" t="str">
        <f>IF(RPG_dataset[[#This Row],[Status]]="Active", "TRUE", "FALSE")</f>
        <v>FALSE</v>
      </c>
      <c r="AT471" s="1" t="str" cm="1">
        <f t="array" ref="AT471">_xlfn.IFS(clean[[#This Row],[Clean Win Rate]]&gt;70, "Excellent", clean[[#This Row],[Clean Win Rate]]&gt;=40, "Average", TRUE, "Poor")</f>
        <v>Excellent</v>
      </c>
      <c r="AU471" s="1" t="str">
        <f>IF(AND(clean[[#This Row],[Clean Level]]&gt;80, clean[[#This Row],[Clean Total Stat]]&gt;350, clean[[#This Row],[Clean Gold]]&gt;500000), "Overpowered", "Normal")</f>
        <v>Normal</v>
      </c>
      <c r="AV471" s="1" t="str" cm="1">
        <f t="array" ref="AV47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71" s="1" t="str" cm="1">
        <f t="array" ref="AW47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471" s="1"/>
    </row>
    <row r="472" spans="1:50" x14ac:dyDescent="0.3">
      <c r="A472" s="2" t="s">
        <v>1592</v>
      </c>
      <c r="B472" s="2" t="s">
        <v>1593</v>
      </c>
      <c r="C472" s="2" t="s">
        <v>724</v>
      </c>
      <c r="D472" s="2" t="s">
        <v>104</v>
      </c>
      <c r="E472" s="2" t="s">
        <v>29</v>
      </c>
      <c r="F472" s="2" t="s">
        <v>42</v>
      </c>
      <c r="G472" s="2">
        <v>42</v>
      </c>
      <c r="H472" s="2" t="s">
        <v>31</v>
      </c>
      <c r="I472" s="2" t="s">
        <v>54</v>
      </c>
      <c r="J472" s="2" t="s">
        <v>120</v>
      </c>
      <c r="K472" s="2" t="s">
        <v>44</v>
      </c>
      <c r="L472" s="6" t="s">
        <v>1594</v>
      </c>
      <c r="M472" s="2">
        <v>124</v>
      </c>
      <c r="N472" s="2">
        <v>41</v>
      </c>
      <c r="O472" s="2">
        <v>26</v>
      </c>
      <c r="P472" s="2"/>
      <c r="Q472" s="2">
        <v>336</v>
      </c>
      <c r="R472" s="2">
        <v>191</v>
      </c>
      <c r="S472" s="2">
        <v>3075</v>
      </c>
      <c r="T472" s="2">
        <v>164</v>
      </c>
      <c r="U472" s="2">
        <v>100</v>
      </c>
      <c r="V472" s="2">
        <v>95</v>
      </c>
      <c r="W472" s="2">
        <v>4052</v>
      </c>
      <c r="X472" s="9">
        <v>228585</v>
      </c>
      <c r="Y472" s="2" t="s">
        <v>36</v>
      </c>
      <c r="AA472" s="1" t="str">
        <f>TRIM(RPG_dataset[[#This Row],[Username]])</f>
        <v>borin_179</v>
      </c>
      <c r="AB472" s="1" t="str">
        <f>TRIM(RPG_dataset[[#This Row],[First Name]])</f>
        <v>Borin</v>
      </c>
      <c r="AC472" s="1" t="str">
        <f>PROPER(TRIM(RPG_dataset[[#This Row],[Race]]))</f>
        <v>Dwarf</v>
      </c>
      <c r="AD472" s="1" t="str">
        <f>PROPER(TRIM(RPG_dataset[[#This Row],[Class]]))</f>
        <v>Monk</v>
      </c>
      <c r="AE472" s="1">
        <f>ABS(RPG_dataset[[#This Row],[Level]])</f>
        <v>42</v>
      </c>
      <c r="AF472" s="1">
        <f>ABS(RPG_dataset[[#This Row],[ATK]])</f>
        <v>124</v>
      </c>
      <c r="AG472" s="1">
        <f>ABS(RPG_dataset[[#This Row],[DEF]])</f>
        <v>41</v>
      </c>
      <c r="AH472" s="1">
        <f>ABS(RPG_dataset[[#This Row],[SPD]])</f>
        <v>26</v>
      </c>
      <c r="AI472" s="1">
        <f>ABS(RPG_dataset[[#This Row],[HP]])</f>
        <v>0</v>
      </c>
      <c r="AJ472" s="1">
        <f>ABS(RPG_dataset[[#This Row],[MP]])</f>
        <v>336</v>
      </c>
      <c r="AK472" s="1">
        <f>ABS(RPG_dataset[[#This Row],[Total Stat]])</f>
        <v>191</v>
      </c>
      <c r="AL472" s="1">
        <f>ABS(RPG_dataset[[#This Row],[Kills]])</f>
        <v>3075</v>
      </c>
      <c r="AM472" s="12">
        <f>ABS(RPG_dataset[[#This Row],[Win Rate (%)]])</f>
        <v>95</v>
      </c>
      <c r="AN472" s="4">
        <f>ABS(RPG_dataset[[#This Row],[Gold Earned]])</f>
        <v>228585</v>
      </c>
      <c r="AO472" s="5" t="str">
        <f t="shared" si="7"/>
        <v>OK</v>
      </c>
      <c r="AP472" s="5">
        <f>RANK(clean[[#This Row],[Clean Gold]],clean[Clean Gold], 0)</f>
        <v>386</v>
      </c>
      <c r="AQ472" s="1">
        <v>168</v>
      </c>
      <c r="AR472" s="1" t="str" cm="1">
        <f t="array" ref="AR472">_xlfn.IFS(clean[[#This Row],[Clean Level]]&gt;=76, "Legend", clean[[#This Row],[Clean Level]]&gt;=51, "Elite", clean[[#This Row],[Clean Level]]&gt;=26, "Veteran", TRUE, "Rookie")</f>
        <v>Veteran</v>
      </c>
      <c r="AS472" s="1" t="str">
        <f>IF(RPG_dataset[[#This Row],[Status]]="Active", "TRUE", "FALSE")</f>
        <v>TRUE</v>
      </c>
      <c r="AT472" s="1" t="str" cm="1">
        <f t="array" ref="AT472">_xlfn.IFS(clean[[#This Row],[Clean Win Rate]]&gt;70, "Excellent", clean[[#This Row],[Clean Win Rate]]&gt;=40, "Average", TRUE, "Poor")</f>
        <v>Excellent</v>
      </c>
      <c r="AU472" s="1" t="str">
        <f>IF(AND(clean[[#This Row],[Clean Level]]&gt;80, clean[[#This Row],[Clean Total Stat]]&gt;350, clean[[#This Row],[Clean Gold]]&gt;500000), "Overpowered", "Normal")</f>
        <v>Normal</v>
      </c>
      <c r="AV472" s="1" t="str" cm="1">
        <f t="array" ref="AV47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72" s="1" t="str" cm="1">
        <f t="array" ref="AW47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472" s="1"/>
    </row>
    <row r="473" spans="1:50" x14ac:dyDescent="0.3">
      <c r="A473" s="2" t="s">
        <v>1595</v>
      </c>
      <c r="B473" s="2" t="s">
        <v>1596</v>
      </c>
      <c r="C473" s="2" t="s">
        <v>281</v>
      </c>
      <c r="D473" s="2" t="s">
        <v>1597</v>
      </c>
      <c r="E473" s="2" t="s">
        <v>51</v>
      </c>
      <c r="F473" s="2" t="s">
        <v>194</v>
      </c>
      <c r="G473" s="2">
        <v>59</v>
      </c>
      <c r="H473" s="2" t="s">
        <v>53</v>
      </c>
      <c r="I473" s="2" t="s">
        <v>87</v>
      </c>
      <c r="J473" s="2" t="s">
        <v>88</v>
      </c>
      <c r="K473" s="2" t="s">
        <v>44</v>
      </c>
      <c r="L473" s="6" t="s">
        <v>1598</v>
      </c>
      <c r="M473" s="2">
        <v>129</v>
      </c>
      <c r="N473" s="2">
        <v>13</v>
      </c>
      <c r="O473" s="2">
        <v>25</v>
      </c>
      <c r="P473" s="2">
        <v>2677</v>
      </c>
      <c r="Q473" s="2"/>
      <c r="R473" s="2">
        <v>167</v>
      </c>
      <c r="S473" s="2">
        <v>3094</v>
      </c>
      <c r="T473" s="2">
        <v>360</v>
      </c>
      <c r="U473" s="2">
        <v>106</v>
      </c>
      <c r="V473" s="2">
        <v>90</v>
      </c>
      <c r="W473" s="2">
        <v>7516</v>
      </c>
      <c r="X473" s="9">
        <v>920184</v>
      </c>
      <c r="Y473" s="2" t="s">
        <v>36</v>
      </c>
      <c r="AA473" s="1" t="str">
        <f>TRIM(RPG_dataset[[#This Row],[Username]])</f>
        <v>nova_311</v>
      </c>
      <c r="AB473" s="1" t="str">
        <f>TRIM(RPG_dataset[[#This Row],[First Name]])</f>
        <v>Nova</v>
      </c>
      <c r="AC473" s="1" t="str">
        <f>PROPER(TRIM(RPG_dataset[[#This Row],[Race]]))</f>
        <v>Tiefling</v>
      </c>
      <c r="AD473" s="1" t="str">
        <f>PROPER(TRIM(RPG_dataset[[#This Row],[Class]]))</f>
        <v>Paladin</v>
      </c>
      <c r="AE473" s="1">
        <f>ABS(RPG_dataset[[#This Row],[Level]])</f>
        <v>59</v>
      </c>
      <c r="AF473" s="1">
        <f>ABS(RPG_dataset[[#This Row],[ATK]])</f>
        <v>129</v>
      </c>
      <c r="AG473" s="1">
        <f>ABS(RPG_dataset[[#This Row],[DEF]])</f>
        <v>13</v>
      </c>
      <c r="AH473" s="1">
        <f>ABS(RPG_dataset[[#This Row],[SPD]])</f>
        <v>25</v>
      </c>
      <c r="AI473" s="1">
        <f>ABS(RPG_dataset[[#This Row],[HP]])</f>
        <v>2677</v>
      </c>
      <c r="AJ473" s="1">
        <f>ABS(RPG_dataset[[#This Row],[MP]])</f>
        <v>0</v>
      </c>
      <c r="AK473" s="1">
        <f>ABS(RPG_dataset[[#This Row],[Total Stat]])</f>
        <v>167</v>
      </c>
      <c r="AL473" s="1">
        <f>ABS(RPG_dataset[[#This Row],[Kills]])</f>
        <v>3094</v>
      </c>
      <c r="AM473" s="12">
        <f>ABS(RPG_dataset[[#This Row],[Win Rate (%)]])</f>
        <v>90</v>
      </c>
      <c r="AN473" s="4">
        <f>ABS(RPG_dataset[[#This Row],[Gold Earned]])</f>
        <v>920184</v>
      </c>
      <c r="AO473" s="5" t="str">
        <f t="shared" si="7"/>
        <v>OK</v>
      </c>
      <c r="AP473" s="5">
        <f>RANK(clean[[#This Row],[Clean Gold]],clean[Clean Gold], 0)</f>
        <v>40</v>
      </c>
      <c r="AQ473" s="1">
        <v>241</v>
      </c>
      <c r="AR473" s="1" t="str" cm="1">
        <f t="array" ref="AR473">_xlfn.IFS(clean[[#This Row],[Clean Level]]&gt;=76, "Legend", clean[[#This Row],[Clean Level]]&gt;=51, "Elite", clean[[#This Row],[Clean Level]]&gt;=26, "Veteran", TRUE, "Rookie")</f>
        <v>Elite</v>
      </c>
      <c r="AS473" s="1" t="str">
        <f>IF(RPG_dataset[[#This Row],[Status]]="Active", "TRUE", "FALSE")</f>
        <v>TRUE</v>
      </c>
      <c r="AT473" s="1" t="str" cm="1">
        <f t="array" ref="AT473">_xlfn.IFS(clean[[#This Row],[Clean Win Rate]]&gt;70, "Excellent", clean[[#This Row],[Clean Win Rate]]&gt;=40, "Average", TRUE, "Poor")</f>
        <v>Excellent</v>
      </c>
      <c r="AU473" s="1" t="str">
        <f>IF(AND(clean[[#This Row],[Clean Level]]&gt;80, clean[[#This Row],[Clean Total Stat]]&gt;350, clean[[#This Row],[Clean Gold]]&gt;500000), "Overpowered", "Normal")</f>
        <v>Normal</v>
      </c>
      <c r="AV473" s="1" t="str" cm="1">
        <f t="array" ref="AV473">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473" s="1" t="str" cm="1">
        <f t="array" ref="AW47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473" s="1"/>
    </row>
    <row r="474" spans="1:50" x14ac:dyDescent="0.3">
      <c r="A474" s="2" t="s">
        <v>1599</v>
      </c>
      <c r="B474" s="2" t="s">
        <v>1600</v>
      </c>
      <c r="C474" s="2" t="s">
        <v>314</v>
      </c>
      <c r="D474" s="2" t="s">
        <v>304</v>
      </c>
      <c r="E474" s="2" t="s">
        <v>60</v>
      </c>
      <c r="F474" s="2" t="s">
        <v>124</v>
      </c>
      <c r="G474" s="2">
        <v>-98</v>
      </c>
      <c r="H474" s="2" t="s">
        <v>157</v>
      </c>
      <c r="I474" s="2" t="s">
        <v>54</v>
      </c>
      <c r="J474" s="2" t="s">
        <v>81</v>
      </c>
      <c r="K474" s="2" t="s">
        <v>44</v>
      </c>
      <c r="L474" s="6" t="s">
        <v>1601</v>
      </c>
      <c r="M474" s="2">
        <v>29</v>
      </c>
      <c r="N474" s="2">
        <v>87</v>
      </c>
      <c r="O474" s="2">
        <v>113</v>
      </c>
      <c r="P474" s="2">
        <v>309</v>
      </c>
      <c r="Q474" s="2">
        <v>1909</v>
      </c>
      <c r="R474" s="2">
        <v>229</v>
      </c>
      <c r="S474" s="2">
        <v>983</v>
      </c>
      <c r="T474" s="2">
        <v>785</v>
      </c>
      <c r="U474" s="2">
        <v>243</v>
      </c>
      <c r="V474" s="2">
        <v>56</v>
      </c>
      <c r="W474" s="2">
        <v>9272</v>
      </c>
      <c r="X474" s="9">
        <v>939403</v>
      </c>
      <c r="Y474" s="2" t="s">
        <v>36</v>
      </c>
      <c r="AA474" s="1" t="str">
        <f>TRIM(RPG_dataset[[#This Row],[Username]])</f>
        <v>zara_369</v>
      </c>
      <c r="AB474" s="1" t="str">
        <f>TRIM(RPG_dataset[[#This Row],[First Name]])</f>
        <v>Zara</v>
      </c>
      <c r="AC474" s="1" t="str">
        <f>PROPER(TRIM(RPG_dataset[[#This Row],[Race]]))</f>
        <v>Human</v>
      </c>
      <c r="AD474" s="1" t="str">
        <f>PROPER(TRIM(RPG_dataset[[#This Row],[Class]]))</f>
        <v>Necromancer</v>
      </c>
      <c r="AE474" s="1">
        <f>ABS(RPG_dataset[[#This Row],[Level]])</f>
        <v>98</v>
      </c>
      <c r="AF474" s="1">
        <f>ABS(RPG_dataset[[#This Row],[ATK]])</f>
        <v>29</v>
      </c>
      <c r="AG474" s="1">
        <f>ABS(RPG_dataset[[#This Row],[DEF]])</f>
        <v>87</v>
      </c>
      <c r="AH474" s="1">
        <f>ABS(RPG_dataset[[#This Row],[SPD]])</f>
        <v>113</v>
      </c>
      <c r="AI474" s="1">
        <f>ABS(RPG_dataset[[#This Row],[HP]])</f>
        <v>309</v>
      </c>
      <c r="AJ474" s="1">
        <f>ABS(RPG_dataset[[#This Row],[MP]])</f>
        <v>1909</v>
      </c>
      <c r="AK474" s="1">
        <f>ABS(RPG_dataset[[#This Row],[Total Stat]])</f>
        <v>229</v>
      </c>
      <c r="AL474" s="1">
        <f>ABS(RPG_dataset[[#This Row],[Kills]])</f>
        <v>983</v>
      </c>
      <c r="AM474" s="12">
        <f>ABS(RPG_dataset[[#This Row],[Win Rate (%)]])</f>
        <v>56</v>
      </c>
      <c r="AN474" s="4">
        <f>ABS(RPG_dataset[[#This Row],[Gold Earned]])</f>
        <v>939403</v>
      </c>
      <c r="AO474" s="5" t="str">
        <f t="shared" si="7"/>
        <v>Fix This</v>
      </c>
      <c r="AP474" s="5">
        <f>RANK(clean[[#This Row],[Clean Gold]],clean[Clean Gold], 0)</f>
        <v>29</v>
      </c>
      <c r="AQ474" s="1">
        <v>299</v>
      </c>
      <c r="AR474" s="1" t="str" cm="1">
        <f t="array" ref="AR474">_xlfn.IFS(clean[[#This Row],[Clean Level]]&gt;=76, "Legend", clean[[#This Row],[Clean Level]]&gt;=51, "Elite", clean[[#This Row],[Clean Level]]&gt;=26, "Veteran", TRUE, "Rookie")</f>
        <v>Legend</v>
      </c>
      <c r="AS474" s="1" t="str">
        <f>IF(RPG_dataset[[#This Row],[Status]]="Active", "TRUE", "FALSE")</f>
        <v>TRUE</v>
      </c>
      <c r="AT474" s="1" t="str" cm="1">
        <f t="array" ref="AT474">_xlfn.IFS(clean[[#This Row],[Clean Win Rate]]&gt;70, "Excellent", clean[[#This Row],[Clean Win Rate]]&gt;=40, "Average", TRUE, "Poor")</f>
        <v>Average</v>
      </c>
      <c r="AU474" s="1" t="str">
        <f>IF(AND(clean[[#This Row],[Clean Level]]&gt;80, clean[[#This Row],[Clean Total Stat]]&gt;350, clean[[#This Row],[Clean Gold]]&gt;500000), "Overpowered", "Normal")</f>
        <v>Normal</v>
      </c>
      <c r="AV474" s="1" t="str" cm="1">
        <f t="array" ref="AV47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74" s="1" t="str" cm="1">
        <f t="array" ref="AW47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74" s="1"/>
    </row>
    <row r="475" spans="1:50" x14ac:dyDescent="0.3">
      <c r="A475" s="2" t="s">
        <v>1602</v>
      </c>
      <c r="B475" s="2" t="s">
        <v>1603</v>
      </c>
      <c r="C475" s="2" t="s">
        <v>154</v>
      </c>
      <c r="D475" s="2" t="s">
        <v>618</v>
      </c>
      <c r="E475" s="2" t="s">
        <v>105</v>
      </c>
      <c r="F475" s="2" t="s">
        <v>98</v>
      </c>
      <c r="G475" s="2">
        <v>97</v>
      </c>
      <c r="H475" s="2" t="s">
        <v>80</v>
      </c>
      <c r="I475" s="2" t="s">
        <v>32</v>
      </c>
      <c r="J475" s="2" t="s">
        <v>120</v>
      </c>
      <c r="K475" s="2" t="s">
        <v>44</v>
      </c>
      <c r="L475" s="6" t="s">
        <v>1604</v>
      </c>
      <c r="M475" s="2">
        <v>89</v>
      </c>
      <c r="N475" s="2"/>
      <c r="O475" s="2">
        <v>66</v>
      </c>
      <c r="P475" s="2">
        <v>1312</v>
      </c>
      <c r="Q475" s="2">
        <v>1351</v>
      </c>
      <c r="R475" s="2">
        <v>296</v>
      </c>
      <c r="S475" s="2">
        <v>3043</v>
      </c>
      <c r="T475" s="2">
        <v>829</v>
      </c>
      <c r="U475" s="2">
        <v>65</v>
      </c>
      <c r="V475" s="2">
        <v>79</v>
      </c>
      <c r="W475" s="2">
        <v>7982</v>
      </c>
      <c r="X475" s="9">
        <v>975314</v>
      </c>
      <c r="Y475" s="2" t="s">
        <v>46</v>
      </c>
      <c r="AA475" s="1" t="str">
        <f>TRIM(RPG_dataset[[#This Row],[Username]])</f>
        <v>nolan_968</v>
      </c>
      <c r="AB475" s="1" t="str">
        <f>TRIM(RPG_dataset[[#This Row],[First Name]])</f>
        <v>Nolan</v>
      </c>
      <c r="AC475" s="1" t="str">
        <f>PROPER(TRIM(RPG_dataset[[#This Row],[Race]]))</f>
        <v>Orc</v>
      </c>
      <c r="AD475" s="1" t="str">
        <f>PROPER(TRIM(RPG_dataset[[#This Row],[Class]]))</f>
        <v>Mage</v>
      </c>
      <c r="AE475" s="1">
        <f>ABS(RPG_dataset[[#This Row],[Level]])</f>
        <v>97</v>
      </c>
      <c r="AF475" s="1">
        <f>ABS(RPG_dataset[[#This Row],[ATK]])</f>
        <v>89</v>
      </c>
      <c r="AG475" s="1">
        <f>ABS(RPG_dataset[[#This Row],[DEF]])</f>
        <v>0</v>
      </c>
      <c r="AH475" s="1">
        <f>ABS(RPG_dataset[[#This Row],[SPD]])</f>
        <v>66</v>
      </c>
      <c r="AI475" s="1">
        <f>ABS(RPG_dataset[[#This Row],[HP]])</f>
        <v>1312</v>
      </c>
      <c r="AJ475" s="1">
        <f>ABS(RPG_dataset[[#This Row],[MP]])</f>
        <v>1351</v>
      </c>
      <c r="AK475" s="1">
        <f>ABS(RPG_dataset[[#This Row],[Total Stat]])</f>
        <v>296</v>
      </c>
      <c r="AL475" s="1">
        <f>ABS(RPG_dataset[[#This Row],[Kills]])</f>
        <v>3043</v>
      </c>
      <c r="AM475" s="12">
        <f>ABS(RPG_dataset[[#This Row],[Win Rate (%)]])</f>
        <v>79</v>
      </c>
      <c r="AN475" s="4">
        <f>ABS(RPG_dataset[[#This Row],[Gold Earned]])</f>
        <v>975314</v>
      </c>
      <c r="AO475" s="5" t="str">
        <f t="shared" si="7"/>
        <v>OK</v>
      </c>
      <c r="AP475" s="5">
        <f>RANK(clean[[#This Row],[Clean Gold]],clean[Clean Gold], 0)</f>
        <v>13</v>
      </c>
      <c r="AQ475" s="1"/>
      <c r="AR475" s="1" t="str" cm="1">
        <f t="array" ref="AR475">_xlfn.IFS(clean[[#This Row],[Clean Level]]&gt;=76, "Legend", clean[[#This Row],[Clean Level]]&gt;=51, "Elite", clean[[#This Row],[Clean Level]]&gt;=26, "Veteran", TRUE, "Rookie")</f>
        <v>Legend</v>
      </c>
      <c r="AS475" s="1" t="str">
        <f>IF(RPG_dataset[[#This Row],[Status]]="Active", "TRUE", "FALSE")</f>
        <v>TRUE</v>
      </c>
      <c r="AT475" s="1" t="str" cm="1">
        <f t="array" ref="AT475">_xlfn.IFS(clean[[#This Row],[Clean Win Rate]]&gt;70, "Excellent", clean[[#This Row],[Clean Win Rate]]&gt;=40, "Average", TRUE, "Poor")</f>
        <v>Excellent</v>
      </c>
      <c r="AU475" s="1" t="str">
        <f>IF(AND(clean[[#This Row],[Clean Level]]&gt;80, clean[[#This Row],[Clean Total Stat]]&gt;350, clean[[#This Row],[Clean Gold]]&gt;500000), "Overpowered", "Normal")</f>
        <v>Normal</v>
      </c>
      <c r="AV475" s="1" t="str" cm="1">
        <f t="array" ref="AV47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75" s="1" t="str" cm="1">
        <f t="array" ref="AW47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475" s="1"/>
    </row>
    <row r="476" spans="1:50" x14ac:dyDescent="0.3">
      <c r="A476" s="2" t="s">
        <v>1605</v>
      </c>
      <c r="B476" s="2" t="s">
        <v>1606</v>
      </c>
      <c r="C476" s="2" t="s">
        <v>198</v>
      </c>
      <c r="D476" s="2" t="s">
        <v>59</v>
      </c>
      <c r="E476" s="2" t="s">
        <v>169</v>
      </c>
      <c r="F476" s="2" t="s">
        <v>52</v>
      </c>
      <c r="G476" s="2">
        <v>61</v>
      </c>
      <c r="H476" s="2" t="s">
        <v>73</v>
      </c>
      <c r="I476" s="2" t="s">
        <v>63</v>
      </c>
      <c r="J476" s="2" t="s">
        <v>33</v>
      </c>
      <c r="K476" s="2" t="s">
        <v>106</v>
      </c>
      <c r="L476" s="6" t="s">
        <v>1607</v>
      </c>
      <c r="M476" s="2">
        <v>75</v>
      </c>
      <c r="N476" s="2">
        <v>94</v>
      </c>
      <c r="O476" s="2">
        <v>-143</v>
      </c>
      <c r="P476" s="2">
        <v>4863</v>
      </c>
      <c r="Q476" s="2">
        <v>512</v>
      </c>
      <c r="R476" s="2">
        <v>312</v>
      </c>
      <c r="S476" s="2">
        <v>3587</v>
      </c>
      <c r="T476" s="2">
        <v>163</v>
      </c>
      <c r="U476" s="2">
        <v>125</v>
      </c>
      <c r="V476" s="2">
        <v>96</v>
      </c>
      <c r="W476" s="2">
        <v>8900</v>
      </c>
      <c r="X476" s="9">
        <v>574898</v>
      </c>
      <c r="Y476" s="2" t="s">
        <v>46</v>
      </c>
      <c r="AA476" s="1" t="str">
        <f>TRIM(RPG_dataset[[#This Row],[Username]])</f>
        <v>lira_293</v>
      </c>
      <c r="AB476" s="1" t="str">
        <f>TRIM(RPG_dataset[[#This Row],[First Name]])</f>
        <v>Lira</v>
      </c>
      <c r="AC476" s="1" t="str">
        <f>PROPER(TRIM(RPG_dataset[[#This Row],[Race]]))</f>
        <v>Halfling</v>
      </c>
      <c r="AD476" s="1" t="str">
        <f>PROPER(TRIM(RPG_dataset[[#This Row],[Class]]))</f>
        <v>Bard</v>
      </c>
      <c r="AE476" s="1">
        <f>ABS(RPG_dataset[[#This Row],[Level]])</f>
        <v>61</v>
      </c>
      <c r="AF476" s="1">
        <f>ABS(RPG_dataset[[#This Row],[ATK]])</f>
        <v>75</v>
      </c>
      <c r="AG476" s="1">
        <f>ABS(RPG_dataset[[#This Row],[DEF]])</f>
        <v>94</v>
      </c>
      <c r="AH476" s="1">
        <f>ABS(RPG_dataset[[#This Row],[SPD]])</f>
        <v>143</v>
      </c>
      <c r="AI476" s="1">
        <f>ABS(RPG_dataset[[#This Row],[HP]])</f>
        <v>4863</v>
      </c>
      <c r="AJ476" s="1">
        <f>ABS(RPG_dataset[[#This Row],[MP]])</f>
        <v>512</v>
      </c>
      <c r="AK476" s="1">
        <f>ABS(RPG_dataset[[#This Row],[Total Stat]])</f>
        <v>312</v>
      </c>
      <c r="AL476" s="1">
        <f>ABS(RPG_dataset[[#This Row],[Kills]])</f>
        <v>3587</v>
      </c>
      <c r="AM476" s="12">
        <f>ABS(RPG_dataset[[#This Row],[Win Rate (%)]])</f>
        <v>96</v>
      </c>
      <c r="AN476" s="4">
        <f>ABS(RPG_dataset[[#This Row],[Gold Earned]])</f>
        <v>574898</v>
      </c>
      <c r="AO476" s="5" t="str">
        <f t="shared" si="7"/>
        <v>OK</v>
      </c>
      <c r="AP476" s="5">
        <f>RANK(clean[[#This Row],[Clean Gold]],clean[Clean Gold], 0)</f>
        <v>214</v>
      </c>
      <c r="AQ476" s="1">
        <v>266</v>
      </c>
      <c r="AR476" s="1" t="str" cm="1">
        <f t="array" ref="AR476">_xlfn.IFS(clean[[#This Row],[Clean Level]]&gt;=76, "Legend", clean[[#This Row],[Clean Level]]&gt;=51, "Elite", clean[[#This Row],[Clean Level]]&gt;=26, "Veteran", TRUE, "Rookie")</f>
        <v>Elite</v>
      </c>
      <c r="AS476" s="1" t="str">
        <f>IF(RPG_dataset[[#This Row],[Status]]="Active", "TRUE", "FALSE")</f>
        <v>FALSE</v>
      </c>
      <c r="AT476" s="1" t="str" cm="1">
        <f t="array" ref="AT476">_xlfn.IFS(clean[[#This Row],[Clean Win Rate]]&gt;70, "Excellent", clean[[#This Row],[Clean Win Rate]]&gt;=40, "Average", TRUE, "Poor")</f>
        <v>Excellent</v>
      </c>
      <c r="AU476" s="1" t="str">
        <f>IF(AND(clean[[#This Row],[Clean Level]]&gt;80, clean[[#This Row],[Clean Total Stat]]&gt;350, clean[[#This Row],[Clean Gold]]&gt;500000), "Overpowered", "Normal")</f>
        <v>Normal</v>
      </c>
      <c r="AV476" s="1" t="str" cm="1">
        <f t="array" ref="AV47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76" s="1" t="str" cm="1">
        <f t="array" ref="AW47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76" s="1"/>
    </row>
    <row r="477" spans="1:50" x14ac:dyDescent="0.3">
      <c r="A477" s="2" t="s">
        <v>1608</v>
      </c>
      <c r="B477" s="2" t="s">
        <v>1609</v>
      </c>
      <c r="C477" s="2" t="s">
        <v>167</v>
      </c>
      <c r="D477" s="2" t="s">
        <v>139</v>
      </c>
      <c r="E477" s="2" t="s">
        <v>51</v>
      </c>
      <c r="F477" s="2" t="s">
        <v>42</v>
      </c>
      <c r="G477" s="2">
        <v>75</v>
      </c>
      <c r="H477" s="2" t="s">
        <v>157</v>
      </c>
      <c r="I477" s="2" t="s">
        <v>32</v>
      </c>
      <c r="J477" s="2" t="s">
        <v>111</v>
      </c>
      <c r="K477" s="2" t="s">
        <v>99</v>
      </c>
      <c r="L477" s="6" t="s">
        <v>1610</v>
      </c>
      <c r="M477" s="2">
        <v>106</v>
      </c>
      <c r="N477" s="2">
        <v>128</v>
      </c>
      <c r="O477" s="2">
        <v>135</v>
      </c>
      <c r="P477" s="2">
        <v>613</v>
      </c>
      <c r="Q477" s="2">
        <v>1919</v>
      </c>
      <c r="R477" s="2">
        <v>369</v>
      </c>
      <c r="S477" s="2">
        <v>4504</v>
      </c>
      <c r="T477" s="2">
        <v>898</v>
      </c>
      <c r="U477" s="2">
        <v>160</v>
      </c>
      <c r="V477" s="2">
        <v>83</v>
      </c>
      <c r="W477" s="2">
        <v>5476</v>
      </c>
      <c r="X477" s="9">
        <v>258704</v>
      </c>
      <c r="Y477" s="2" t="s">
        <v>46</v>
      </c>
      <c r="AA477" s="1" t="str">
        <f>TRIM(RPG_dataset[[#This Row],[Username]])</f>
        <v>tilda_107</v>
      </c>
      <c r="AB477" s="1" t="str">
        <f>TRIM(RPG_dataset[[#This Row],[First Name]])</f>
        <v>Tilda</v>
      </c>
      <c r="AC477" s="1" t="str">
        <f>PROPER(TRIM(RPG_dataset[[#This Row],[Race]]))</f>
        <v>Tiefling</v>
      </c>
      <c r="AD477" s="1" t="str">
        <f>PROPER(TRIM(RPG_dataset[[#This Row],[Class]]))</f>
        <v>Monk</v>
      </c>
      <c r="AE477" s="1">
        <f>ABS(RPG_dataset[[#This Row],[Level]])</f>
        <v>75</v>
      </c>
      <c r="AF477" s="1">
        <f>ABS(RPG_dataset[[#This Row],[ATK]])</f>
        <v>106</v>
      </c>
      <c r="AG477" s="1">
        <f>ABS(RPG_dataset[[#This Row],[DEF]])</f>
        <v>128</v>
      </c>
      <c r="AH477" s="1">
        <f>ABS(RPG_dataset[[#This Row],[SPD]])</f>
        <v>135</v>
      </c>
      <c r="AI477" s="1">
        <f>ABS(RPG_dataset[[#This Row],[HP]])</f>
        <v>613</v>
      </c>
      <c r="AJ477" s="1">
        <f>ABS(RPG_dataset[[#This Row],[MP]])</f>
        <v>1919</v>
      </c>
      <c r="AK477" s="1">
        <f>ABS(RPG_dataset[[#This Row],[Total Stat]])</f>
        <v>369</v>
      </c>
      <c r="AL477" s="1">
        <f>ABS(RPG_dataset[[#This Row],[Kills]])</f>
        <v>4504</v>
      </c>
      <c r="AM477" s="12">
        <f>ABS(RPG_dataset[[#This Row],[Win Rate (%)]])</f>
        <v>83</v>
      </c>
      <c r="AN477" s="4">
        <f>ABS(RPG_dataset[[#This Row],[Gold Earned]])</f>
        <v>258704</v>
      </c>
      <c r="AO477" s="5" t="str">
        <f t="shared" si="7"/>
        <v>OK</v>
      </c>
      <c r="AP477" s="5">
        <f>RANK(clean[[#This Row],[Clean Gold]],clean[Clean Gold], 0)</f>
        <v>372</v>
      </c>
      <c r="AQ477" s="1">
        <v>162</v>
      </c>
      <c r="AR477" s="1" t="str" cm="1">
        <f t="array" ref="AR477">_xlfn.IFS(clean[[#This Row],[Clean Level]]&gt;=76, "Legend", clean[[#This Row],[Clean Level]]&gt;=51, "Elite", clean[[#This Row],[Clean Level]]&gt;=26, "Veteran", TRUE, "Rookie")</f>
        <v>Elite</v>
      </c>
      <c r="AS477" s="1" t="str">
        <f>IF(RPG_dataset[[#This Row],[Status]]="Active", "TRUE", "FALSE")</f>
        <v>FALSE</v>
      </c>
      <c r="AT477" s="1" t="str" cm="1">
        <f t="array" ref="AT477">_xlfn.IFS(clean[[#This Row],[Clean Win Rate]]&gt;70, "Excellent", clean[[#This Row],[Clean Win Rate]]&gt;=40, "Average", TRUE, "Poor")</f>
        <v>Excellent</v>
      </c>
      <c r="AU477" s="1" t="str">
        <f>IF(AND(clean[[#This Row],[Clean Level]]&gt;80, clean[[#This Row],[Clean Total Stat]]&gt;350, clean[[#This Row],[Clean Gold]]&gt;500000), "Overpowered", "Normal")</f>
        <v>Normal</v>
      </c>
      <c r="AV477" s="1" t="str" cm="1">
        <f t="array" ref="AV47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77" s="1" t="str" cm="1">
        <f t="array" ref="AW47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77" s="1"/>
    </row>
    <row r="478" spans="1:50" x14ac:dyDescent="0.3">
      <c r="A478" s="2" t="s">
        <v>1611</v>
      </c>
      <c r="B478" s="2" t="s">
        <v>1612</v>
      </c>
      <c r="C478" s="2" t="s">
        <v>27</v>
      </c>
      <c r="D478" s="2" t="s">
        <v>618</v>
      </c>
      <c r="E478" s="2" t="s">
        <v>41</v>
      </c>
      <c r="F478" s="2" t="s">
        <v>124</v>
      </c>
      <c r="G478" s="2">
        <v>80</v>
      </c>
      <c r="H478" s="2" t="s">
        <v>80</v>
      </c>
      <c r="I478" s="2" t="s">
        <v>87</v>
      </c>
      <c r="J478" s="2" t="s">
        <v>81</v>
      </c>
      <c r="K478" s="2" t="s">
        <v>44</v>
      </c>
      <c r="L478" s="6" t="s">
        <v>1613</v>
      </c>
      <c r="M478" s="2">
        <v>35</v>
      </c>
      <c r="N478" s="2">
        <v>42</v>
      </c>
      <c r="O478" s="2">
        <v>142</v>
      </c>
      <c r="P478" s="2">
        <v>2359</v>
      </c>
      <c r="Q478" s="2">
        <v>1930</v>
      </c>
      <c r="R478" s="2">
        <v>219</v>
      </c>
      <c r="S478" s="2">
        <v>938</v>
      </c>
      <c r="T478" s="2">
        <v>409</v>
      </c>
      <c r="U478" s="2">
        <v>138</v>
      </c>
      <c r="V478" s="2">
        <v>70</v>
      </c>
      <c r="W478" s="2">
        <v>7068</v>
      </c>
      <c r="X478" s="9">
        <v>858849</v>
      </c>
      <c r="Y478" s="2" t="s">
        <v>46</v>
      </c>
      <c r="AA478" s="1" t="str">
        <f>TRIM(RPG_dataset[[#This Row],[Username]])</f>
        <v>aiden_364</v>
      </c>
      <c r="AB478" s="1" t="str">
        <f>TRIM(RPG_dataset[[#This Row],[First Name]])</f>
        <v>Aiden</v>
      </c>
      <c r="AC478" s="1" t="str">
        <f>PROPER(TRIM(RPG_dataset[[#This Row],[Race]]))</f>
        <v>Gnome</v>
      </c>
      <c r="AD478" s="1" t="str">
        <f>PROPER(TRIM(RPG_dataset[[#This Row],[Class]]))</f>
        <v>Necromancer</v>
      </c>
      <c r="AE478" s="1">
        <f>ABS(RPG_dataset[[#This Row],[Level]])</f>
        <v>80</v>
      </c>
      <c r="AF478" s="1">
        <f>ABS(RPG_dataset[[#This Row],[ATK]])</f>
        <v>35</v>
      </c>
      <c r="AG478" s="1">
        <f>ABS(RPG_dataset[[#This Row],[DEF]])</f>
        <v>42</v>
      </c>
      <c r="AH478" s="1">
        <f>ABS(RPG_dataset[[#This Row],[SPD]])</f>
        <v>142</v>
      </c>
      <c r="AI478" s="1">
        <f>ABS(RPG_dataset[[#This Row],[HP]])</f>
        <v>2359</v>
      </c>
      <c r="AJ478" s="1">
        <f>ABS(RPG_dataset[[#This Row],[MP]])</f>
        <v>1930</v>
      </c>
      <c r="AK478" s="1">
        <f>ABS(RPG_dataset[[#This Row],[Total Stat]])</f>
        <v>219</v>
      </c>
      <c r="AL478" s="1">
        <f>ABS(RPG_dataset[[#This Row],[Kills]])</f>
        <v>938</v>
      </c>
      <c r="AM478" s="12">
        <f>ABS(RPG_dataset[[#This Row],[Win Rate (%)]])</f>
        <v>70</v>
      </c>
      <c r="AN478" s="4">
        <f>ABS(RPG_dataset[[#This Row],[Gold Earned]])</f>
        <v>858849</v>
      </c>
      <c r="AO478" s="5" t="str">
        <f t="shared" si="7"/>
        <v>OK</v>
      </c>
      <c r="AP478" s="5">
        <f>RANK(clean[[#This Row],[Clean Gold]],clean[Clean Gold], 0)</f>
        <v>68</v>
      </c>
      <c r="AQ478" s="1">
        <v>231</v>
      </c>
      <c r="AR478" s="1" t="str" cm="1">
        <f t="array" ref="AR478">_xlfn.IFS(clean[[#This Row],[Clean Level]]&gt;=76, "Legend", clean[[#This Row],[Clean Level]]&gt;=51, "Elite", clean[[#This Row],[Clean Level]]&gt;=26, "Veteran", TRUE, "Rookie")</f>
        <v>Legend</v>
      </c>
      <c r="AS478" s="1" t="str">
        <f>IF(RPG_dataset[[#This Row],[Status]]="Active", "TRUE", "FALSE")</f>
        <v>TRUE</v>
      </c>
      <c r="AT478" s="1" t="str" cm="1">
        <f t="array" ref="AT478">_xlfn.IFS(clean[[#This Row],[Clean Win Rate]]&gt;70, "Excellent", clean[[#This Row],[Clean Win Rate]]&gt;=40, "Average", TRUE, "Poor")</f>
        <v>Average</v>
      </c>
      <c r="AU478" s="1" t="str">
        <f>IF(AND(clean[[#This Row],[Clean Level]]&gt;80, clean[[#This Row],[Clean Total Stat]]&gt;350, clean[[#This Row],[Clean Gold]]&gt;500000), "Overpowered", "Normal")</f>
        <v>Normal</v>
      </c>
      <c r="AV478" s="1" t="str" cm="1">
        <f t="array" ref="AV47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78" s="1" t="str" cm="1">
        <f t="array" ref="AW47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78" s="1"/>
    </row>
    <row r="479" spans="1:50" x14ac:dyDescent="0.3">
      <c r="A479" s="2" t="s">
        <v>1614</v>
      </c>
      <c r="B479" s="2" t="s">
        <v>1615</v>
      </c>
      <c r="C479" s="2" t="s">
        <v>233</v>
      </c>
      <c r="D479" s="2" t="s">
        <v>272</v>
      </c>
      <c r="E479" s="2" t="s">
        <v>71</v>
      </c>
      <c r="F479" s="2" t="s">
        <v>61</v>
      </c>
      <c r="G479" s="2">
        <v>26</v>
      </c>
      <c r="H479" s="2" t="s">
        <v>73</v>
      </c>
      <c r="I479" s="2" t="s">
        <v>87</v>
      </c>
      <c r="J479" s="2" t="s">
        <v>81</v>
      </c>
      <c r="K479" s="2" t="s">
        <v>215</v>
      </c>
      <c r="L479" s="6" t="s">
        <v>1616</v>
      </c>
      <c r="M479" s="2">
        <v>24</v>
      </c>
      <c r="N479" s="2">
        <v>144</v>
      </c>
      <c r="O479" s="2">
        <v>74</v>
      </c>
      <c r="P479" s="2">
        <v>3217</v>
      </c>
      <c r="Q479" s="2">
        <v>1215</v>
      </c>
      <c r="R479" s="2">
        <v>242</v>
      </c>
      <c r="S479" s="2">
        <v>610</v>
      </c>
      <c r="T479" s="2">
        <v>989</v>
      </c>
      <c r="U479" s="2">
        <v>214</v>
      </c>
      <c r="V479" s="2">
        <v>38</v>
      </c>
      <c r="W479" s="2">
        <v>6102</v>
      </c>
      <c r="X479" s="9">
        <v>751926</v>
      </c>
      <c r="Y479" s="2" t="s">
        <v>36</v>
      </c>
      <c r="AA479" s="1" t="str">
        <f>TRIM(RPG_dataset[[#This Row],[Username]])</f>
        <v>finn_997</v>
      </c>
      <c r="AB479" s="1" t="str">
        <f>TRIM(RPG_dataset[[#This Row],[First Name]])</f>
        <v>Finn</v>
      </c>
      <c r="AC479" s="1" t="str">
        <f>PROPER(TRIM(RPG_dataset[[#This Row],[Race]]))</f>
        <v>Dragonborn</v>
      </c>
      <c r="AD479" s="1" t="str">
        <f>PROPER(TRIM(RPG_dataset[[#This Row],[Class]]))</f>
        <v>Ranger</v>
      </c>
      <c r="AE479" s="1">
        <f>ABS(RPG_dataset[[#This Row],[Level]])</f>
        <v>26</v>
      </c>
      <c r="AF479" s="1">
        <f>ABS(RPG_dataset[[#This Row],[ATK]])</f>
        <v>24</v>
      </c>
      <c r="AG479" s="1">
        <f>ABS(RPG_dataset[[#This Row],[DEF]])</f>
        <v>144</v>
      </c>
      <c r="AH479" s="1">
        <f>ABS(RPG_dataset[[#This Row],[SPD]])</f>
        <v>74</v>
      </c>
      <c r="AI479" s="1">
        <f>ABS(RPG_dataset[[#This Row],[HP]])</f>
        <v>3217</v>
      </c>
      <c r="AJ479" s="1">
        <f>ABS(RPG_dataset[[#This Row],[MP]])</f>
        <v>1215</v>
      </c>
      <c r="AK479" s="1">
        <f>ABS(RPG_dataset[[#This Row],[Total Stat]])</f>
        <v>242</v>
      </c>
      <c r="AL479" s="1">
        <f>ABS(RPG_dataset[[#This Row],[Kills]])</f>
        <v>610</v>
      </c>
      <c r="AM479" s="12">
        <f>ABS(RPG_dataset[[#This Row],[Win Rate (%)]])</f>
        <v>38</v>
      </c>
      <c r="AN479" s="4">
        <f>ABS(RPG_dataset[[#This Row],[Gold Earned]])</f>
        <v>751926</v>
      </c>
      <c r="AO479" s="5" t="str">
        <f t="shared" si="7"/>
        <v>OK</v>
      </c>
      <c r="AP479" s="5">
        <f>RANK(clean[[#This Row],[Clean Gold]],clean[Clean Gold], 0)</f>
        <v>129</v>
      </c>
      <c r="AQ479" s="1">
        <v>271</v>
      </c>
      <c r="AR479" s="1" t="str" cm="1">
        <f t="array" ref="AR479">_xlfn.IFS(clean[[#This Row],[Clean Level]]&gt;=76, "Legend", clean[[#This Row],[Clean Level]]&gt;=51, "Elite", clean[[#This Row],[Clean Level]]&gt;=26, "Veteran", TRUE, "Rookie")</f>
        <v>Veteran</v>
      </c>
      <c r="AS479" s="1" t="str">
        <f>IF(RPG_dataset[[#This Row],[Status]]="Active", "TRUE", "FALSE")</f>
        <v>FALSE</v>
      </c>
      <c r="AT479" s="1" t="str" cm="1">
        <f t="array" ref="AT479">_xlfn.IFS(clean[[#This Row],[Clean Win Rate]]&gt;70, "Excellent", clean[[#This Row],[Clean Win Rate]]&gt;=40, "Average", TRUE, "Poor")</f>
        <v>Poor</v>
      </c>
      <c r="AU479" s="1" t="str">
        <f>IF(AND(clean[[#This Row],[Clean Level]]&gt;80, clean[[#This Row],[Clean Total Stat]]&gt;350, clean[[#This Row],[Clean Gold]]&gt;500000), "Overpowered", "Normal")</f>
        <v>Normal</v>
      </c>
      <c r="AV479" s="1" t="str" cm="1">
        <f t="array" ref="AV47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79" s="1" t="str" cm="1">
        <f t="array" ref="AW47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Tanker</v>
      </c>
      <c r="AX479" s="1"/>
    </row>
    <row r="480" spans="1:50" x14ac:dyDescent="0.3">
      <c r="A480" s="2" t="s">
        <v>1617</v>
      </c>
      <c r="B480" s="2" t="s">
        <v>1618</v>
      </c>
      <c r="C480" s="2" t="s">
        <v>154</v>
      </c>
      <c r="D480" s="2" t="s">
        <v>1619</v>
      </c>
      <c r="E480" s="2" t="s">
        <v>105</v>
      </c>
      <c r="F480" s="2" t="s">
        <v>72</v>
      </c>
      <c r="G480" s="2">
        <v>28</v>
      </c>
      <c r="H480" s="2" t="s">
        <v>62</v>
      </c>
      <c r="I480" s="2" t="s">
        <v>87</v>
      </c>
      <c r="J480" s="2" t="s">
        <v>33</v>
      </c>
      <c r="K480" s="2" t="s">
        <v>44</v>
      </c>
      <c r="L480" s="6" t="s">
        <v>1620</v>
      </c>
      <c r="M480" s="2">
        <v>101</v>
      </c>
      <c r="N480" s="2">
        <v>105</v>
      </c>
      <c r="O480" s="2">
        <v>57</v>
      </c>
      <c r="P480" s="2">
        <v>2395</v>
      </c>
      <c r="Q480" s="2">
        <v>2761</v>
      </c>
      <c r="R480" s="2">
        <v>263</v>
      </c>
      <c r="S480" s="2">
        <v>586</v>
      </c>
      <c r="T480" s="2">
        <v>368</v>
      </c>
      <c r="U480" s="2">
        <v>131</v>
      </c>
      <c r="V480" s="2">
        <v>61</v>
      </c>
      <c r="W480" s="2">
        <v>9807</v>
      </c>
      <c r="X480" s="9">
        <v>993117</v>
      </c>
      <c r="Y480" s="2" t="s">
        <v>46</v>
      </c>
      <c r="AA480" s="1" t="str">
        <f>TRIM(RPG_dataset[[#This Row],[Username]])</f>
        <v>nolan_774</v>
      </c>
      <c r="AB480" s="1" t="str">
        <f>TRIM(RPG_dataset[[#This Row],[First Name]])</f>
        <v>Nolan</v>
      </c>
      <c r="AC480" s="1" t="str">
        <f>PROPER(TRIM(RPG_dataset[[#This Row],[Race]]))</f>
        <v>Orc</v>
      </c>
      <c r="AD480" s="1" t="str">
        <f>PROPER(TRIM(RPG_dataset[[#This Row],[Class]]))</f>
        <v>Warrior</v>
      </c>
      <c r="AE480" s="1">
        <f>ABS(RPG_dataset[[#This Row],[Level]])</f>
        <v>28</v>
      </c>
      <c r="AF480" s="1">
        <f>ABS(RPG_dataset[[#This Row],[ATK]])</f>
        <v>101</v>
      </c>
      <c r="AG480" s="1">
        <f>ABS(RPG_dataset[[#This Row],[DEF]])</f>
        <v>105</v>
      </c>
      <c r="AH480" s="1">
        <f>ABS(RPG_dataset[[#This Row],[SPD]])</f>
        <v>57</v>
      </c>
      <c r="AI480" s="1">
        <f>ABS(RPG_dataset[[#This Row],[HP]])</f>
        <v>2395</v>
      </c>
      <c r="AJ480" s="1">
        <f>ABS(RPG_dataset[[#This Row],[MP]])</f>
        <v>2761</v>
      </c>
      <c r="AK480" s="1">
        <f>ABS(RPG_dataset[[#This Row],[Total Stat]])</f>
        <v>263</v>
      </c>
      <c r="AL480" s="1">
        <f>ABS(RPG_dataset[[#This Row],[Kills]])</f>
        <v>586</v>
      </c>
      <c r="AM480" s="12">
        <f>ABS(RPG_dataset[[#This Row],[Win Rate (%)]])</f>
        <v>61</v>
      </c>
      <c r="AN480" s="4">
        <f>ABS(RPG_dataset[[#This Row],[Gold Earned]])</f>
        <v>993117</v>
      </c>
      <c r="AO480" s="5" t="str">
        <f t="shared" si="7"/>
        <v>OK</v>
      </c>
      <c r="AP480" s="5">
        <f>RANK(clean[[#This Row],[Clean Gold]],clean[Clean Gold], 0)</f>
        <v>3</v>
      </c>
      <c r="AQ480" s="1">
        <v>148</v>
      </c>
      <c r="AR480" s="1" t="str" cm="1">
        <f t="array" ref="AR480">_xlfn.IFS(clean[[#This Row],[Clean Level]]&gt;=76, "Legend", clean[[#This Row],[Clean Level]]&gt;=51, "Elite", clean[[#This Row],[Clean Level]]&gt;=26, "Veteran", TRUE, "Rookie")</f>
        <v>Veteran</v>
      </c>
      <c r="AS480" s="1" t="str">
        <f>IF(RPG_dataset[[#This Row],[Status]]="Active", "TRUE", "FALSE")</f>
        <v>TRUE</v>
      </c>
      <c r="AT480" s="1" t="str" cm="1">
        <f t="array" ref="AT480">_xlfn.IFS(clean[[#This Row],[Clean Win Rate]]&gt;70, "Excellent", clean[[#This Row],[Clean Win Rate]]&gt;=40, "Average", TRUE, "Poor")</f>
        <v>Average</v>
      </c>
      <c r="AU480" s="1" t="str">
        <f>IF(AND(clean[[#This Row],[Clean Level]]&gt;80, clean[[#This Row],[Clean Total Stat]]&gt;350, clean[[#This Row],[Clean Gold]]&gt;500000), "Overpowered", "Normal")</f>
        <v>Normal</v>
      </c>
      <c r="AV480" s="1" t="str" cm="1">
        <f t="array" ref="AV480">_xlfn.IFS(
(AND(OR(clean[[#This Row],[Tier]]="Elite", clean[[#This Row],[Tier]]="Legend"), clean[[#This Row],[Performance]]="Excellent", RPG_dataset[[#This Row],[Is Premium]]="Yes")), "High", OR(OR(clean[[#This Row],[Tier]]="Elite", clean[[#This Row],[Tier]]="Legend"), clean[[#This Row],[Performance]]="Excellent", RPG_dataset[[#This Row],[Is Premium]]="Yes"), "Medium", TRUE, "Low")</f>
        <v>Low</v>
      </c>
      <c r="AW480" s="1" t="str" cm="1">
        <f t="array" ref="AW48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480" s="1"/>
    </row>
    <row r="481" spans="1:50" x14ac:dyDescent="0.3">
      <c r="A481" s="2" t="s">
        <v>1621</v>
      </c>
      <c r="B481" s="2" t="s">
        <v>1622</v>
      </c>
      <c r="C481" s="2" t="s">
        <v>154</v>
      </c>
      <c r="D481" s="2" t="s">
        <v>155</v>
      </c>
      <c r="E481" s="2" t="s">
        <v>51</v>
      </c>
      <c r="F481" s="2" t="s">
        <v>42</v>
      </c>
      <c r="G481" s="2">
        <v>73</v>
      </c>
      <c r="H481" s="2" t="s">
        <v>125</v>
      </c>
      <c r="I481" s="2" t="s">
        <v>54</v>
      </c>
      <c r="J481" s="2" t="s">
        <v>88</v>
      </c>
      <c r="K481" s="2" t="s">
        <v>44</v>
      </c>
      <c r="L481" s="6" t="s">
        <v>1623</v>
      </c>
      <c r="M481" s="2">
        <v>44</v>
      </c>
      <c r="N481" s="2">
        <v>142</v>
      </c>
      <c r="O481" s="2">
        <v>65</v>
      </c>
      <c r="P481" s="2">
        <v>2215</v>
      </c>
      <c r="Q481" s="2">
        <v>1185</v>
      </c>
      <c r="R481" s="2">
        <v>251</v>
      </c>
      <c r="S481" s="2"/>
      <c r="T481" s="2">
        <v>644</v>
      </c>
      <c r="U481" s="2">
        <v>114</v>
      </c>
      <c r="V481" s="2">
        <v>83</v>
      </c>
      <c r="W481" s="2">
        <v>1005</v>
      </c>
      <c r="X481" s="2"/>
      <c r="Y481" s="2" t="s">
        <v>36</v>
      </c>
      <c r="AA481" s="1" t="str">
        <f>TRIM(RPG_dataset[[#This Row],[Username]])</f>
        <v>nolan_750</v>
      </c>
      <c r="AB481" s="1" t="str">
        <f>TRIM(RPG_dataset[[#This Row],[First Name]])</f>
        <v>Nolan</v>
      </c>
      <c r="AC481" s="1" t="str">
        <f>PROPER(TRIM(RPG_dataset[[#This Row],[Race]]))</f>
        <v>Tiefling</v>
      </c>
      <c r="AD481" s="1" t="str">
        <f>PROPER(TRIM(RPG_dataset[[#This Row],[Class]]))</f>
        <v>Monk</v>
      </c>
      <c r="AE481" s="1">
        <f>ABS(RPG_dataset[[#This Row],[Level]])</f>
        <v>73</v>
      </c>
      <c r="AF481" s="1">
        <f>ABS(RPG_dataset[[#This Row],[ATK]])</f>
        <v>44</v>
      </c>
      <c r="AG481" s="1">
        <f>ABS(RPG_dataset[[#This Row],[DEF]])</f>
        <v>142</v>
      </c>
      <c r="AH481" s="1">
        <f>ABS(RPG_dataset[[#This Row],[SPD]])</f>
        <v>65</v>
      </c>
      <c r="AI481" s="1">
        <f>ABS(RPG_dataset[[#This Row],[HP]])</f>
        <v>2215</v>
      </c>
      <c r="AJ481" s="1">
        <f>ABS(RPG_dataset[[#This Row],[MP]])</f>
        <v>1185</v>
      </c>
      <c r="AK481" s="1">
        <f>ABS(RPG_dataset[[#This Row],[Total Stat]])</f>
        <v>251</v>
      </c>
      <c r="AL481" s="1">
        <f>ABS(RPG_dataset[[#This Row],[Kills]])</f>
        <v>0</v>
      </c>
      <c r="AM481" s="12">
        <f>ABS(RPG_dataset[[#This Row],[Win Rate (%)]])</f>
        <v>83</v>
      </c>
      <c r="AN481" s="4">
        <f>ABS(RPG_dataset[[#This Row],[Gold Earned]])</f>
        <v>0</v>
      </c>
      <c r="AO481" s="5" t="str">
        <f t="shared" si="7"/>
        <v>OK</v>
      </c>
      <c r="AP481" s="5">
        <f>RANK(clean[[#This Row],[Clean Gold]],clean[Clean Gold], 0)</f>
        <v>486</v>
      </c>
      <c r="AQ481" s="1">
        <v>254</v>
      </c>
      <c r="AR481" s="1" t="str" cm="1">
        <f t="array" ref="AR481">_xlfn.IFS(clean[[#This Row],[Clean Level]]&gt;=76, "Legend", clean[[#This Row],[Clean Level]]&gt;=51, "Elite", clean[[#This Row],[Clean Level]]&gt;=26, "Veteran", TRUE, "Rookie")</f>
        <v>Elite</v>
      </c>
      <c r="AS481" s="1" t="str">
        <f>IF(RPG_dataset[[#This Row],[Status]]="Active", "TRUE", "FALSE")</f>
        <v>TRUE</v>
      </c>
      <c r="AT481" s="1" t="str" cm="1">
        <f t="array" ref="AT481">_xlfn.IFS(clean[[#This Row],[Clean Win Rate]]&gt;70, "Excellent", clean[[#This Row],[Clean Win Rate]]&gt;=40, "Average", TRUE, "Poor")</f>
        <v>Excellent</v>
      </c>
      <c r="AU481" s="1" t="str">
        <f>IF(AND(clean[[#This Row],[Clean Level]]&gt;80, clean[[#This Row],[Clean Total Stat]]&gt;350, clean[[#This Row],[Clean Gold]]&gt;500000), "Overpowered", "Normal")</f>
        <v>Normal</v>
      </c>
      <c r="AV481" s="1" t="str" cm="1">
        <f t="array" ref="AV481">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481" s="1" t="str" cm="1">
        <f t="array" ref="AW48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481" s="1"/>
    </row>
    <row r="482" spans="1:50" x14ac:dyDescent="0.3">
      <c r="A482" s="2" t="s">
        <v>1624</v>
      </c>
      <c r="B482" s="2" t="s">
        <v>1625</v>
      </c>
      <c r="C482" s="2" t="s">
        <v>1626</v>
      </c>
      <c r="D482" s="2" t="s">
        <v>304</v>
      </c>
      <c r="E482" s="2" t="s">
        <v>71</v>
      </c>
      <c r="F482" s="2" t="s">
        <v>72</v>
      </c>
      <c r="G482" s="2">
        <v>4</v>
      </c>
      <c r="H482" s="2" t="s">
        <v>62</v>
      </c>
      <c r="I482" s="2" t="s">
        <v>54</v>
      </c>
      <c r="J482" s="2" t="s">
        <v>64</v>
      </c>
      <c r="K482" s="2" t="s">
        <v>44</v>
      </c>
      <c r="L482" s="6" t="s">
        <v>1627</v>
      </c>
      <c r="M482" s="2">
        <v>119</v>
      </c>
      <c r="N482" s="2">
        <v>94</v>
      </c>
      <c r="O482" s="2">
        <v>49</v>
      </c>
      <c r="P482" s="2">
        <v>2506</v>
      </c>
      <c r="Q482" s="2">
        <v>661</v>
      </c>
      <c r="R482" s="2">
        <v>262</v>
      </c>
      <c r="S482" s="2">
        <v>800</v>
      </c>
      <c r="T482" s="2">
        <v>149</v>
      </c>
      <c r="U482" s="2">
        <v>81</v>
      </c>
      <c r="V482" s="2">
        <v>84</v>
      </c>
      <c r="W482" s="2">
        <v>6686</v>
      </c>
      <c r="X482" s="9">
        <v>381395</v>
      </c>
      <c r="Y482" s="2" t="s">
        <v>36</v>
      </c>
      <c r="AA482" s="1" t="str">
        <f>TRIM(RPG_dataset[[#This Row],[Username]])</f>
        <v>theron_433</v>
      </c>
      <c r="AB482" s="1" t="str">
        <f>TRIM(RPG_dataset[[#This Row],[First Name]])</f>
        <v>THERON</v>
      </c>
      <c r="AC482" s="1" t="str">
        <f>PROPER(TRIM(RPG_dataset[[#This Row],[Race]]))</f>
        <v>Dragonborn</v>
      </c>
      <c r="AD482" s="1" t="str">
        <f>PROPER(TRIM(RPG_dataset[[#This Row],[Class]]))</f>
        <v>Warrior</v>
      </c>
      <c r="AE482" s="1">
        <f>ABS(RPG_dataset[[#This Row],[Level]])</f>
        <v>4</v>
      </c>
      <c r="AF482" s="1">
        <f>ABS(RPG_dataset[[#This Row],[ATK]])</f>
        <v>119</v>
      </c>
      <c r="AG482" s="1">
        <f>ABS(RPG_dataset[[#This Row],[DEF]])</f>
        <v>94</v>
      </c>
      <c r="AH482" s="1">
        <f>ABS(RPG_dataset[[#This Row],[SPD]])</f>
        <v>49</v>
      </c>
      <c r="AI482" s="1">
        <f>ABS(RPG_dataset[[#This Row],[HP]])</f>
        <v>2506</v>
      </c>
      <c r="AJ482" s="1">
        <f>ABS(RPG_dataset[[#This Row],[MP]])</f>
        <v>661</v>
      </c>
      <c r="AK482" s="1">
        <f>ABS(RPG_dataset[[#This Row],[Total Stat]])</f>
        <v>262</v>
      </c>
      <c r="AL482" s="1">
        <f>ABS(RPG_dataset[[#This Row],[Kills]])</f>
        <v>800</v>
      </c>
      <c r="AM482" s="12">
        <f>ABS(RPG_dataset[[#This Row],[Win Rate (%)]])</f>
        <v>84</v>
      </c>
      <c r="AN482" s="4">
        <f>ABS(RPG_dataset[[#This Row],[Gold Earned]])</f>
        <v>381395</v>
      </c>
      <c r="AO482" s="5" t="str">
        <f t="shared" si="7"/>
        <v>OK</v>
      </c>
      <c r="AP482" s="5">
        <f>RANK(clean[[#This Row],[Clean Gold]],clean[Clean Gold], 0)</f>
        <v>314</v>
      </c>
      <c r="AQ482" s="1">
        <v>296</v>
      </c>
      <c r="AR482" s="1" t="str" cm="1">
        <f t="array" ref="AR482">_xlfn.IFS(clean[[#This Row],[Clean Level]]&gt;=76, "Legend", clean[[#This Row],[Clean Level]]&gt;=51, "Elite", clean[[#This Row],[Clean Level]]&gt;=26, "Veteran", TRUE, "Rookie")</f>
        <v>Rookie</v>
      </c>
      <c r="AS482" s="1" t="str">
        <f>IF(RPG_dataset[[#This Row],[Status]]="Active", "TRUE", "FALSE")</f>
        <v>TRUE</v>
      </c>
      <c r="AT482" s="1" t="str" cm="1">
        <f t="array" ref="AT482">_xlfn.IFS(clean[[#This Row],[Clean Win Rate]]&gt;70, "Excellent", clean[[#This Row],[Clean Win Rate]]&gt;=40, "Average", TRUE, "Poor")</f>
        <v>Excellent</v>
      </c>
      <c r="AU482" s="1" t="str">
        <f>IF(AND(clean[[#This Row],[Clean Level]]&gt;80, clean[[#This Row],[Clean Total Stat]]&gt;350, clean[[#This Row],[Clean Gold]]&gt;500000), "Overpowered", "Normal")</f>
        <v>Normal</v>
      </c>
      <c r="AV482" s="1" t="str" cm="1">
        <f t="array" ref="AV48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82" s="1" t="str" cm="1">
        <f t="array" ref="AW48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482" s="1"/>
    </row>
    <row r="483" spans="1:50" x14ac:dyDescent="0.3">
      <c r="A483" s="2" t="s">
        <v>1628</v>
      </c>
      <c r="B483" s="2" t="s">
        <v>1629</v>
      </c>
      <c r="C483" s="2" t="s">
        <v>288</v>
      </c>
      <c r="D483" s="2" t="s">
        <v>1368</v>
      </c>
      <c r="E483" s="2" t="s">
        <v>228</v>
      </c>
      <c r="F483" s="2" t="s">
        <v>42</v>
      </c>
      <c r="G483" s="2">
        <v>77</v>
      </c>
      <c r="H483" s="2" t="s">
        <v>157</v>
      </c>
      <c r="I483" s="2" t="s">
        <v>140</v>
      </c>
      <c r="J483" s="2" t="s">
        <v>64</v>
      </c>
      <c r="K483" s="2" t="s">
        <v>44</v>
      </c>
      <c r="L483" s="6" t="s">
        <v>1630</v>
      </c>
      <c r="M483" s="2">
        <v>130</v>
      </c>
      <c r="N483" s="2">
        <v>94</v>
      </c>
      <c r="O483" s="2">
        <v>96</v>
      </c>
      <c r="P483" s="2">
        <v>3552</v>
      </c>
      <c r="Q483" s="2">
        <v>1523</v>
      </c>
      <c r="R483" s="2">
        <v>320</v>
      </c>
      <c r="S483" s="2">
        <v>4227</v>
      </c>
      <c r="T483" s="2">
        <v>803</v>
      </c>
      <c r="U483" s="2">
        <v>254</v>
      </c>
      <c r="V483" s="2">
        <v>84</v>
      </c>
      <c r="W483" s="2">
        <v>1235</v>
      </c>
      <c r="X483" s="9">
        <v>66919</v>
      </c>
      <c r="Y483" s="2" t="s">
        <v>46</v>
      </c>
      <c r="AA483" s="1" t="str">
        <f>TRIM(RPG_dataset[[#This Row],[Username]])</f>
        <v>opal_761</v>
      </c>
      <c r="AB483" s="1" t="str">
        <f>TRIM(RPG_dataset[[#This Row],[First Name]])</f>
        <v>Opal</v>
      </c>
      <c r="AC483" s="1" t="str">
        <f>PROPER(TRIM(RPG_dataset[[#This Row],[Race]]))</f>
        <v>Elf</v>
      </c>
      <c r="AD483" s="1" t="str">
        <f>PROPER(TRIM(RPG_dataset[[#This Row],[Class]]))</f>
        <v>Monk</v>
      </c>
      <c r="AE483" s="1">
        <f>ABS(RPG_dataset[[#This Row],[Level]])</f>
        <v>77</v>
      </c>
      <c r="AF483" s="1">
        <f>ABS(RPG_dataset[[#This Row],[ATK]])</f>
        <v>130</v>
      </c>
      <c r="AG483" s="1">
        <f>ABS(RPG_dataset[[#This Row],[DEF]])</f>
        <v>94</v>
      </c>
      <c r="AH483" s="1">
        <f>ABS(RPG_dataset[[#This Row],[SPD]])</f>
        <v>96</v>
      </c>
      <c r="AI483" s="1">
        <f>ABS(RPG_dataset[[#This Row],[HP]])</f>
        <v>3552</v>
      </c>
      <c r="AJ483" s="1">
        <f>ABS(RPG_dataset[[#This Row],[MP]])</f>
        <v>1523</v>
      </c>
      <c r="AK483" s="1">
        <f>ABS(RPG_dataset[[#This Row],[Total Stat]])</f>
        <v>320</v>
      </c>
      <c r="AL483" s="1">
        <f>ABS(RPG_dataset[[#This Row],[Kills]])</f>
        <v>4227</v>
      </c>
      <c r="AM483" s="12">
        <f>ABS(RPG_dataset[[#This Row],[Win Rate (%)]])</f>
        <v>84</v>
      </c>
      <c r="AN483" s="4">
        <f>ABS(RPG_dataset[[#This Row],[Gold Earned]])</f>
        <v>66919</v>
      </c>
      <c r="AO483" s="5" t="str">
        <f t="shared" si="7"/>
        <v>OK</v>
      </c>
      <c r="AP483" s="5">
        <f>RANK(clean[[#This Row],[Clean Gold]],clean[Clean Gold], 0)</f>
        <v>451</v>
      </c>
      <c r="AQ483" s="1">
        <v>274</v>
      </c>
      <c r="AR483" s="1" t="str" cm="1">
        <f t="array" ref="AR483">_xlfn.IFS(clean[[#This Row],[Clean Level]]&gt;=76, "Legend", clean[[#This Row],[Clean Level]]&gt;=51, "Elite", clean[[#This Row],[Clean Level]]&gt;=26, "Veteran", TRUE, "Rookie")</f>
        <v>Legend</v>
      </c>
      <c r="AS483" s="1" t="str">
        <f>IF(RPG_dataset[[#This Row],[Status]]="Active", "TRUE", "FALSE")</f>
        <v>TRUE</v>
      </c>
      <c r="AT483" s="1" t="str" cm="1">
        <f t="array" ref="AT483">_xlfn.IFS(clean[[#This Row],[Clean Win Rate]]&gt;70, "Excellent", clean[[#This Row],[Clean Win Rate]]&gt;=40, "Average", TRUE, "Poor")</f>
        <v>Excellent</v>
      </c>
      <c r="AU483" s="1" t="str">
        <f>IF(AND(clean[[#This Row],[Clean Level]]&gt;80, clean[[#This Row],[Clean Total Stat]]&gt;350, clean[[#This Row],[Clean Gold]]&gt;500000), "Overpowered", "Normal")</f>
        <v>Normal</v>
      </c>
      <c r="AV483" s="1" t="str" cm="1">
        <f t="array" ref="AV48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83" s="1" t="str" cm="1">
        <f t="array" ref="AW48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483" s="1"/>
    </row>
    <row r="484" spans="1:50" x14ac:dyDescent="0.3">
      <c r="A484" s="2" t="s">
        <v>1631</v>
      </c>
      <c r="B484" s="2" t="s">
        <v>1632</v>
      </c>
      <c r="C484" s="2" t="s">
        <v>720</v>
      </c>
      <c r="D484" s="2" t="s">
        <v>349</v>
      </c>
      <c r="E484" s="2" t="s">
        <v>51</v>
      </c>
      <c r="F484" s="2" t="s">
        <v>42</v>
      </c>
      <c r="G484" s="2">
        <v>96</v>
      </c>
      <c r="H484" s="2" t="s">
        <v>62</v>
      </c>
      <c r="I484" s="2" t="s">
        <v>54</v>
      </c>
      <c r="J484" s="2" t="s">
        <v>120</v>
      </c>
      <c r="K484" s="2" t="s">
        <v>44</v>
      </c>
      <c r="L484" s="6" t="s">
        <v>1633</v>
      </c>
      <c r="M484" s="2">
        <v>32</v>
      </c>
      <c r="N484" s="2">
        <v>72</v>
      </c>
      <c r="O484" s="2">
        <v>137</v>
      </c>
      <c r="P484" s="2"/>
      <c r="Q484" s="2">
        <v>2707</v>
      </c>
      <c r="R484" s="2">
        <v>241</v>
      </c>
      <c r="S484" s="2">
        <v>3991</v>
      </c>
      <c r="T484" s="2">
        <v>477</v>
      </c>
      <c r="U484" s="2">
        <v>69</v>
      </c>
      <c r="V484" s="2">
        <v>89</v>
      </c>
      <c r="W484" s="2">
        <v>210</v>
      </c>
      <c r="X484" s="9">
        <v>350490</v>
      </c>
      <c r="Y484" s="2" t="s">
        <v>46</v>
      </c>
      <c r="AA484" s="1" t="str">
        <f>TRIM(RPG_dataset[[#This Row],[Username]])</f>
        <v>jade_236</v>
      </c>
      <c r="AB484" s="1" t="str">
        <f>TRIM(RPG_dataset[[#This Row],[First Name]])</f>
        <v>Jade</v>
      </c>
      <c r="AC484" s="1" t="str">
        <f>PROPER(TRIM(RPG_dataset[[#This Row],[Race]]))</f>
        <v>Tiefling</v>
      </c>
      <c r="AD484" s="1" t="str">
        <f>PROPER(TRIM(RPG_dataset[[#This Row],[Class]]))</f>
        <v>Monk</v>
      </c>
      <c r="AE484" s="1">
        <f>ABS(RPG_dataset[[#This Row],[Level]])</f>
        <v>96</v>
      </c>
      <c r="AF484" s="1">
        <f>ABS(RPG_dataset[[#This Row],[ATK]])</f>
        <v>32</v>
      </c>
      <c r="AG484" s="1">
        <f>ABS(RPG_dataset[[#This Row],[DEF]])</f>
        <v>72</v>
      </c>
      <c r="AH484" s="1">
        <f>ABS(RPG_dataset[[#This Row],[SPD]])</f>
        <v>137</v>
      </c>
      <c r="AI484" s="1">
        <f>ABS(RPG_dataset[[#This Row],[HP]])</f>
        <v>0</v>
      </c>
      <c r="AJ484" s="1">
        <f>ABS(RPG_dataset[[#This Row],[MP]])</f>
        <v>2707</v>
      </c>
      <c r="AK484" s="1">
        <f>ABS(RPG_dataset[[#This Row],[Total Stat]])</f>
        <v>241</v>
      </c>
      <c r="AL484" s="1">
        <f>ABS(RPG_dataset[[#This Row],[Kills]])</f>
        <v>3991</v>
      </c>
      <c r="AM484" s="12">
        <f>ABS(RPG_dataset[[#This Row],[Win Rate (%)]])</f>
        <v>89</v>
      </c>
      <c r="AN484" s="4">
        <f>ABS(RPG_dataset[[#This Row],[Gold Earned]])</f>
        <v>350490</v>
      </c>
      <c r="AO484" s="5" t="str">
        <f t="shared" si="7"/>
        <v>OK</v>
      </c>
      <c r="AP484" s="5">
        <f>RANK(clean[[#This Row],[Clean Gold]],clean[Clean Gold], 0)</f>
        <v>329</v>
      </c>
      <c r="AQ484" s="1">
        <v>291</v>
      </c>
      <c r="AR484" s="1" t="str" cm="1">
        <f t="array" ref="AR484">_xlfn.IFS(clean[[#This Row],[Clean Level]]&gt;=76, "Legend", clean[[#This Row],[Clean Level]]&gt;=51, "Elite", clean[[#This Row],[Clean Level]]&gt;=26, "Veteran", TRUE, "Rookie")</f>
        <v>Legend</v>
      </c>
      <c r="AS484" s="1" t="str">
        <f>IF(RPG_dataset[[#This Row],[Status]]="Active", "TRUE", "FALSE")</f>
        <v>TRUE</v>
      </c>
      <c r="AT484" s="1" t="str" cm="1">
        <f t="array" ref="AT484">_xlfn.IFS(clean[[#This Row],[Clean Win Rate]]&gt;70, "Excellent", clean[[#This Row],[Clean Win Rate]]&gt;=40, "Average", TRUE, "Poor")</f>
        <v>Excellent</v>
      </c>
      <c r="AU484" s="1" t="str">
        <f>IF(AND(clean[[#This Row],[Clean Level]]&gt;80, clean[[#This Row],[Clean Total Stat]]&gt;350, clean[[#This Row],[Clean Gold]]&gt;500000), "Overpowered", "Normal")</f>
        <v>Normal</v>
      </c>
      <c r="AV484" s="1" t="str" cm="1">
        <f t="array" ref="AV484">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84" s="1" t="str" cm="1">
        <f t="array" ref="AW48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84" s="1"/>
    </row>
    <row r="485" spans="1:50" x14ac:dyDescent="0.3">
      <c r="A485" s="2" t="s">
        <v>1634</v>
      </c>
      <c r="B485" s="2" t="s">
        <v>1635</v>
      </c>
      <c r="C485" s="2" t="s">
        <v>49</v>
      </c>
      <c r="D485" s="2" t="s">
        <v>618</v>
      </c>
      <c r="E485" s="2" t="s">
        <v>41</v>
      </c>
      <c r="F485" s="2" t="s">
        <v>98</v>
      </c>
      <c r="G485" s="2">
        <v>99</v>
      </c>
      <c r="H485" s="2" t="s">
        <v>125</v>
      </c>
      <c r="I485" s="2" t="s">
        <v>63</v>
      </c>
      <c r="J485" s="2" t="s">
        <v>92</v>
      </c>
      <c r="K485" s="2" t="s">
        <v>44</v>
      </c>
      <c r="L485" s="6" t="s">
        <v>1586</v>
      </c>
      <c r="M485" s="2">
        <v>56</v>
      </c>
      <c r="N485" s="2">
        <v>17</v>
      </c>
      <c r="O485" s="2"/>
      <c r="P485" s="2">
        <v>3867</v>
      </c>
      <c r="Q485" s="2">
        <v>1036</v>
      </c>
      <c r="R485" s="2">
        <v>123</v>
      </c>
      <c r="S485" s="2">
        <v>4934</v>
      </c>
      <c r="T485" s="2">
        <v>119</v>
      </c>
      <c r="U485" s="2">
        <v>196</v>
      </c>
      <c r="V485" s="2">
        <v>98</v>
      </c>
      <c r="W485" s="2">
        <v>2425</v>
      </c>
      <c r="X485" s="9">
        <v>696778</v>
      </c>
      <c r="Y485" s="2" t="s">
        <v>46</v>
      </c>
      <c r="AA485" s="1" t="str">
        <f>TRIM(RPG_dataset[[#This Row],[Username]])</f>
        <v>dune_576</v>
      </c>
      <c r="AB485" s="1" t="str">
        <f>TRIM(RPG_dataset[[#This Row],[First Name]])</f>
        <v>Dune</v>
      </c>
      <c r="AC485" s="1" t="str">
        <f>PROPER(TRIM(RPG_dataset[[#This Row],[Race]]))</f>
        <v>Gnome</v>
      </c>
      <c r="AD485" s="1" t="str">
        <f>PROPER(TRIM(RPG_dataset[[#This Row],[Class]]))</f>
        <v>Mage</v>
      </c>
      <c r="AE485" s="1">
        <f>ABS(RPG_dataset[[#This Row],[Level]])</f>
        <v>99</v>
      </c>
      <c r="AF485" s="1">
        <f>ABS(RPG_dataset[[#This Row],[ATK]])</f>
        <v>56</v>
      </c>
      <c r="AG485" s="1">
        <f>ABS(RPG_dataset[[#This Row],[DEF]])</f>
        <v>17</v>
      </c>
      <c r="AH485" s="1">
        <f>ABS(RPG_dataset[[#This Row],[SPD]])</f>
        <v>0</v>
      </c>
      <c r="AI485" s="1">
        <f>ABS(RPG_dataset[[#This Row],[HP]])</f>
        <v>3867</v>
      </c>
      <c r="AJ485" s="1">
        <f>ABS(RPG_dataset[[#This Row],[MP]])</f>
        <v>1036</v>
      </c>
      <c r="AK485" s="1">
        <f>ABS(RPG_dataset[[#This Row],[Total Stat]])</f>
        <v>123</v>
      </c>
      <c r="AL485" s="1">
        <f>ABS(RPG_dataset[[#This Row],[Kills]])</f>
        <v>4934</v>
      </c>
      <c r="AM485" s="12">
        <f>ABS(RPG_dataset[[#This Row],[Win Rate (%)]])</f>
        <v>98</v>
      </c>
      <c r="AN485" s="4">
        <f>ABS(RPG_dataset[[#This Row],[Gold Earned]])</f>
        <v>696778</v>
      </c>
      <c r="AO485" s="5" t="str">
        <f t="shared" si="7"/>
        <v>OK</v>
      </c>
      <c r="AP485" s="5">
        <f>RANK(clean[[#This Row],[Clean Gold]],clean[Clean Gold], 0)</f>
        <v>153</v>
      </c>
      <c r="AQ485" s="1">
        <v>403</v>
      </c>
      <c r="AR485" s="1" t="str" cm="1">
        <f t="array" ref="AR485">_xlfn.IFS(clean[[#This Row],[Clean Level]]&gt;=76, "Legend", clean[[#This Row],[Clean Level]]&gt;=51, "Elite", clean[[#This Row],[Clean Level]]&gt;=26, "Veteran", TRUE, "Rookie")</f>
        <v>Legend</v>
      </c>
      <c r="AS485" s="1" t="str">
        <f>IF(RPG_dataset[[#This Row],[Status]]="Active", "TRUE", "FALSE")</f>
        <v>TRUE</v>
      </c>
      <c r="AT485" s="1" t="str" cm="1">
        <f t="array" ref="AT485">_xlfn.IFS(clean[[#This Row],[Clean Win Rate]]&gt;70, "Excellent", clean[[#This Row],[Clean Win Rate]]&gt;=40, "Average", TRUE, "Poor")</f>
        <v>Excellent</v>
      </c>
      <c r="AU485" s="1" t="str">
        <f>IF(AND(clean[[#This Row],[Clean Level]]&gt;80, clean[[#This Row],[Clean Total Stat]]&gt;350, clean[[#This Row],[Clean Gold]]&gt;500000), "Overpowered", "Normal")</f>
        <v>Normal</v>
      </c>
      <c r="AV485" s="1" t="str" cm="1">
        <f t="array" ref="AV48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85" s="1" t="str" cm="1">
        <f t="array" ref="AW48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485" s="1"/>
    </row>
    <row r="486" spans="1:50" x14ac:dyDescent="0.3">
      <c r="A486" s="2" t="s">
        <v>1636</v>
      </c>
      <c r="B486" s="2" t="s">
        <v>1637</v>
      </c>
      <c r="C486" s="2" t="s">
        <v>720</v>
      </c>
      <c r="D486" s="2" t="s">
        <v>75</v>
      </c>
      <c r="E486" s="2" t="s">
        <v>51</v>
      </c>
      <c r="F486" s="2" t="s">
        <v>42</v>
      </c>
      <c r="G486" s="2">
        <v>96</v>
      </c>
      <c r="H486" s="2" t="s">
        <v>31</v>
      </c>
      <c r="I486" s="2" t="s">
        <v>63</v>
      </c>
      <c r="J486" s="2" t="s">
        <v>33</v>
      </c>
      <c r="K486" s="2" t="s">
        <v>44</v>
      </c>
      <c r="L486" s="6" t="s">
        <v>1638</v>
      </c>
      <c r="M486" s="2">
        <v>75</v>
      </c>
      <c r="N486" s="2">
        <v>129</v>
      </c>
      <c r="O486" s="2">
        <v>95</v>
      </c>
      <c r="P486" s="2">
        <v>2731</v>
      </c>
      <c r="Q486" s="2"/>
      <c r="R486" s="2">
        <v>299</v>
      </c>
      <c r="S486" s="2">
        <v>3238</v>
      </c>
      <c r="T486" s="2">
        <v>367</v>
      </c>
      <c r="U486" s="2">
        <v>165</v>
      </c>
      <c r="V486" s="2">
        <v>90</v>
      </c>
      <c r="W486" s="2">
        <v>8320</v>
      </c>
      <c r="X486" s="9">
        <v>248969</v>
      </c>
      <c r="Y486" s="2" t="s">
        <v>46</v>
      </c>
      <c r="AA486" s="1" t="str">
        <f>TRIM(RPG_dataset[[#This Row],[Username]])</f>
        <v>jade_112</v>
      </c>
      <c r="AB486" s="1" t="str">
        <f>TRIM(RPG_dataset[[#This Row],[First Name]])</f>
        <v>Jade</v>
      </c>
      <c r="AC486" s="1" t="str">
        <f>PROPER(TRIM(RPG_dataset[[#This Row],[Race]]))</f>
        <v>Tiefling</v>
      </c>
      <c r="AD486" s="1" t="str">
        <f>PROPER(TRIM(RPG_dataset[[#This Row],[Class]]))</f>
        <v>Monk</v>
      </c>
      <c r="AE486" s="1">
        <f>ABS(RPG_dataset[[#This Row],[Level]])</f>
        <v>96</v>
      </c>
      <c r="AF486" s="1">
        <f>ABS(RPG_dataset[[#This Row],[ATK]])</f>
        <v>75</v>
      </c>
      <c r="AG486" s="1">
        <f>ABS(RPG_dataset[[#This Row],[DEF]])</f>
        <v>129</v>
      </c>
      <c r="AH486" s="1">
        <f>ABS(RPG_dataset[[#This Row],[SPD]])</f>
        <v>95</v>
      </c>
      <c r="AI486" s="1">
        <f>ABS(RPG_dataset[[#This Row],[HP]])</f>
        <v>2731</v>
      </c>
      <c r="AJ486" s="1">
        <f>ABS(RPG_dataset[[#This Row],[MP]])</f>
        <v>0</v>
      </c>
      <c r="AK486" s="1">
        <f>ABS(RPG_dataset[[#This Row],[Total Stat]])</f>
        <v>299</v>
      </c>
      <c r="AL486" s="1">
        <f>ABS(RPG_dataset[[#This Row],[Kills]])</f>
        <v>3238</v>
      </c>
      <c r="AM486" s="12">
        <f>ABS(RPG_dataset[[#This Row],[Win Rate (%)]])</f>
        <v>90</v>
      </c>
      <c r="AN486" s="4">
        <f>ABS(RPG_dataset[[#This Row],[Gold Earned]])</f>
        <v>248969</v>
      </c>
      <c r="AO486" s="5" t="str">
        <f t="shared" si="7"/>
        <v>OK</v>
      </c>
      <c r="AP486" s="5">
        <f>RANK(clean[[#This Row],[Clean Gold]],clean[Clean Gold], 0)</f>
        <v>375</v>
      </c>
      <c r="AQ486" s="1">
        <v>315</v>
      </c>
      <c r="AR486" s="1" t="str" cm="1">
        <f t="array" ref="AR486">_xlfn.IFS(clean[[#This Row],[Clean Level]]&gt;=76, "Legend", clean[[#This Row],[Clean Level]]&gt;=51, "Elite", clean[[#This Row],[Clean Level]]&gt;=26, "Veteran", TRUE, "Rookie")</f>
        <v>Legend</v>
      </c>
      <c r="AS486" s="1" t="str">
        <f>IF(RPG_dataset[[#This Row],[Status]]="Active", "TRUE", "FALSE")</f>
        <v>TRUE</v>
      </c>
      <c r="AT486" s="1" t="str" cm="1">
        <f t="array" ref="AT486">_xlfn.IFS(clean[[#This Row],[Clean Win Rate]]&gt;70, "Excellent", clean[[#This Row],[Clean Win Rate]]&gt;=40, "Average", TRUE, "Poor")</f>
        <v>Excellent</v>
      </c>
      <c r="AU486" s="1" t="str">
        <f>IF(AND(clean[[#This Row],[Clean Level]]&gt;80, clean[[#This Row],[Clean Total Stat]]&gt;350, clean[[#This Row],[Clean Gold]]&gt;500000), "Overpowered", "Normal")</f>
        <v>Normal</v>
      </c>
      <c r="AV486" s="1" t="str" cm="1">
        <f t="array" ref="AV48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86" s="1" t="str" cm="1">
        <f t="array" ref="AW48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86" s="1"/>
    </row>
    <row r="487" spans="1:50" x14ac:dyDescent="0.3">
      <c r="A487" s="2" t="s">
        <v>1639</v>
      </c>
      <c r="B487" s="2" t="s">
        <v>1640</v>
      </c>
      <c r="C487" s="2" t="s">
        <v>353</v>
      </c>
      <c r="D487" s="2" t="s">
        <v>59</v>
      </c>
      <c r="E487" s="2" t="s">
        <v>29</v>
      </c>
      <c r="F487" s="2" t="s">
        <v>42</v>
      </c>
      <c r="G487" s="2"/>
      <c r="H487" s="2" t="s">
        <v>289</v>
      </c>
      <c r="I487" s="2" t="s">
        <v>140</v>
      </c>
      <c r="J487" s="2" t="s">
        <v>92</v>
      </c>
      <c r="K487" s="2" t="s">
        <v>44</v>
      </c>
      <c r="L487" s="6" t="s">
        <v>1641</v>
      </c>
      <c r="M487" s="2">
        <v>81</v>
      </c>
      <c r="N487" s="2">
        <v>16</v>
      </c>
      <c r="O487" s="2">
        <v>30</v>
      </c>
      <c r="P487" s="2">
        <v>443</v>
      </c>
      <c r="Q487" s="2">
        <v>1650</v>
      </c>
      <c r="R487" s="2">
        <v>127</v>
      </c>
      <c r="S487" s="2">
        <v>3720</v>
      </c>
      <c r="T487" s="2">
        <v>980</v>
      </c>
      <c r="U487" s="2">
        <v>128</v>
      </c>
      <c r="V487" s="2">
        <v>79</v>
      </c>
      <c r="W487" s="2">
        <v>4858</v>
      </c>
      <c r="X487" s="9">
        <v>-9522</v>
      </c>
      <c r="Y487" s="2" t="s">
        <v>46</v>
      </c>
      <c r="AA487" s="1" t="str">
        <f>TRIM(RPG_dataset[[#This Row],[Username]])</f>
        <v>percy_532</v>
      </c>
      <c r="AB487" s="1" t="str">
        <f>TRIM(RPG_dataset[[#This Row],[First Name]])</f>
        <v>Percy</v>
      </c>
      <c r="AC487" s="1" t="str">
        <f>PROPER(TRIM(RPG_dataset[[#This Row],[Race]]))</f>
        <v>Dwarf</v>
      </c>
      <c r="AD487" s="1" t="str">
        <f>PROPER(TRIM(RPG_dataset[[#This Row],[Class]]))</f>
        <v>Monk</v>
      </c>
      <c r="AE487" s="1">
        <f>ABS(RPG_dataset[[#This Row],[Level]])</f>
        <v>0</v>
      </c>
      <c r="AF487" s="1">
        <f>ABS(RPG_dataset[[#This Row],[ATK]])</f>
        <v>81</v>
      </c>
      <c r="AG487" s="1">
        <f>ABS(RPG_dataset[[#This Row],[DEF]])</f>
        <v>16</v>
      </c>
      <c r="AH487" s="1">
        <f>ABS(RPG_dataset[[#This Row],[SPD]])</f>
        <v>30</v>
      </c>
      <c r="AI487" s="1">
        <f>ABS(RPG_dataset[[#This Row],[HP]])</f>
        <v>443</v>
      </c>
      <c r="AJ487" s="1">
        <f>ABS(RPG_dataset[[#This Row],[MP]])</f>
        <v>1650</v>
      </c>
      <c r="AK487" s="1">
        <f>ABS(RPG_dataset[[#This Row],[Total Stat]])</f>
        <v>127</v>
      </c>
      <c r="AL487" s="1">
        <f>ABS(RPG_dataset[[#This Row],[Kills]])</f>
        <v>3720</v>
      </c>
      <c r="AM487" s="12">
        <f>ABS(RPG_dataset[[#This Row],[Win Rate (%)]])</f>
        <v>79</v>
      </c>
      <c r="AN487" s="4">
        <f>ABS(RPG_dataset[[#This Row],[Gold Earned]])</f>
        <v>9522</v>
      </c>
      <c r="AO487" s="5" t="str">
        <f t="shared" si="7"/>
        <v>OK</v>
      </c>
      <c r="AP487" s="5">
        <f>RANK(clean[[#This Row],[Clean Gold]],clean[Clean Gold], 0)</f>
        <v>481</v>
      </c>
      <c r="AQ487" s="1"/>
      <c r="AR487" s="1" t="str" cm="1">
        <f t="array" ref="AR487">_xlfn.IFS(clean[[#This Row],[Clean Level]]&gt;=76, "Legend", clean[[#This Row],[Clean Level]]&gt;=51, "Elite", clean[[#This Row],[Clean Level]]&gt;=26, "Veteran", TRUE, "Rookie")</f>
        <v>Rookie</v>
      </c>
      <c r="AS487" s="1" t="str">
        <f>IF(RPG_dataset[[#This Row],[Status]]="Active", "TRUE", "FALSE")</f>
        <v>TRUE</v>
      </c>
      <c r="AT487" s="1" t="str" cm="1">
        <f t="array" ref="AT487">_xlfn.IFS(clean[[#This Row],[Clean Win Rate]]&gt;70, "Excellent", clean[[#This Row],[Clean Win Rate]]&gt;=40, "Average", TRUE, "Poor")</f>
        <v>Excellent</v>
      </c>
      <c r="AU487" s="1" t="str">
        <f>IF(AND(clean[[#This Row],[Clean Level]]&gt;80, clean[[#This Row],[Clean Total Stat]]&gt;350, clean[[#This Row],[Clean Gold]]&gt;500000), "Overpowered", "Normal")</f>
        <v>Normal</v>
      </c>
      <c r="AV487" s="1" t="str" cm="1">
        <f t="array" ref="AV48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87" s="1" t="str" cm="1">
        <f t="array" ref="AW48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487" s="1"/>
    </row>
    <row r="488" spans="1:50" x14ac:dyDescent="0.3">
      <c r="A488" s="2" t="s">
        <v>1642</v>
      </c>
      <c r="B488" s="2" t="s">
        <v>1643</v>
      </c>
      <c r="C488" s="2" t="s">
        <v>173</v>
      </c>
      <c r="D488" s="2" t="s">
        <v>210</v>
      </c>
      <c r="E488" s="2" t="s">
        <v>169</v>
      </c>
      <c r="F488" s="2" t="s">
        <v>1644</v>
      </c>
      <c r="G488" s="2">
        <v>2</v>
      </c>
      <c r="H488" s="2" t="s">
        <v>75</v>
      </c>
      <c r="I488" s="2" t="s">
        <v>126</v>
      </c>
      <c r="J488" s="2" t="s">
        <v>120</v>
      </c>
      <c r="K488" s="2" t="s">
        <v>44</v>
      </c>
      <c r="L488" s="6" t="s">
        <v>1645</v>
      </c>
      <c r="M488" s="2">
        <v>72</v>
      </c>
      <c r="N488" s="2">
        <v>73</v>
      </c>
      <c r="O488" s="2">
        <v>130</v>
      </c>
      <c r="P488" s="2">
        <v>4510</v>
      </c>
      <c r="Q488" s="2">
        <v>1584</v>
      </c>
      <c r="R488" s="2">
        <v>275</v>
      </c>
      <c r="S488" s="2">
        <v>3938</v>
      </c>
      <c r="T488" s="2">
        <v>459</v>
      </c>
      <c r="U488" s="2">
        <v>1</v>
      </c>
      <c r="V488" s="2">
        <v>90</v>
      </c>
      <c r="W488" s="2">
        <v>1496</v>
      </c>
      <c r="X488" s="9">
        <v>445843</v>
      </c>
      <c r="Y488" s="2" t="s">
        <v>46</v>
      </c>
      <c r="AA488" s="1" t="str">
        <f>TRIM(RPG_dataset[[#This Row],[Username]])</f>
        <v>rosa_705</v>
      </c>
      <c r="AB488" s="1" t="str">
        <f>TRIM(RPG_dataset[[#This Row],[First Name]])</f>
        <v>Rosa</v>
      </c>
      <c r="AC488" s="1" t="str">
        <f>PROPER(TRIM(RPG_dataset[[#This Row],[Race]]))</f>
        <v>Halfling</v>
      </c>
      <c r="AD488" s="1" t="str">
        <f>PROPER(TRIM(RPG_dataset[[#This Row],[Class]]))</f>
        <v>Rogue</v>
      </c>
      <c r="AE488" s="1">
        <f>ABS(RPG_dataset[[#This Row],[Level]])</f>
        <v>2</v>
      </c>
      <c r="AF488" s="1">
        <f>ABS(RPG_dataset[[#This Row],[ATK]])</f>
        <v>72</v>
      </c>
      <c r="AG488" s="1">
        <f>ABS(RPG_dataset[[#This Row],[DEF]])</f>
        <v>73</v>
      </c>
      <c r="AH488" s="1">
        <f>ABS(RPG_dataset[[#This Row],[SPD]])</f>
        <v>130</v>
      </c>
      <c r="AI488" s="1">
        <f>ABS(RPG_dataset[[#This Row],[HP]])</f>
        <v>4510</v>
      </c>
      <c r="AJ488" s="1">
        <f>ABS(RPG_dataset[[#This Row],[MP]])</f>
        <v>1584</v>
      </c>
      <c r="AK488" s="1">
        <f>ABS(RPG_dataset[[#This Row],[Total Stat]])</f>
        <v>275</v>
      </c>
      <c r="AL488" s="1">
        <f>ABS(RPG_dataset[[#This Row],[Kills]])</f>
        <v>3938</v>
      </c>
      <c r="AM488" s="12">
        <f>ABS(RPG_dataset[[#This Row],[Win Rate (%)]])</f>
        <v>90</v>
      </c>
      <c r="AN488" s="4">
        <f>ABS(RPG_dataset[[#This Row],[Gold Earned]])</f>
        <v>445843</v>
      </c>
      <c r="AO488" s="5" t="str">
        <f t="shared" si="7"/>
        <v>OK</v>
      </c>
      <c r="AP488" s="5">
        <f>RANK(clean[[#This Row],[Clean Gold]],clean[Clean Gold], 0)</f>
        <v>281</v>
      </c>
      <c r="AQ488" s="1">
        <v>283</v>
      </c>
      <c r="AR488" s="1" t="str" cm="1">
        <f t="array" ref="AR488">_xlfn.IFS(clean[[#This Row],[Clean Level]]&gt;=76, "Legend", clean[[#This Row],[Clean Level]]&gt;=51, "Elite", clean[[#This Row],[Clean Level]]&gt;=26, "Veteran", TRUE, "Rookie")</f>
        <v>Rookie</v>
      </c>
      <c r="AS488" s="1" t="str">
        <f>IF(RPG_dataset[[#This Row],[Status]]="Active", "TRUE", "FALSE")</f>
        <v>TRUE</v>
      </c>
      <c r="AT488" s="1" t="str" cm="1">
        <f t="array" ref="AT488">_xlfn.IFS(clean[[#This Row],[Clean Win Rate]]&gt;70, "Excellent", clean[[#This Row],[Clean Win Rate]]&gt;=40, "Average", TRUE, "Poor")</f>
        <v>Excellent</v>
      </c>
      <c r="AU488" s="1" t="str">
        <f>IF(AND(clean[[#This Row],[Clean Level]]&gt;80, clean[[#This Row],[Clean Total Stat]]&gt;350, clean[[#This Row],[Clean Gold]]&gt;500000), "Overpowered", "Normal")</f>
        <v>Normal</v>
      </c>
      <c r="AV488" s="1" t="str" cm="1">
        <f t="array" ref="AV48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88" s="1" t="str" cm="1">
        <f t="array" ref="AW48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88" s="1"/>
    </row>
    <row r="489" spans="1:50" x14ac:dyDescent="0.3">
      <c r="A489" s="2" t="s">
        <v>1646</v>
      </c>
      <c r="B489" s="2" t="s">
        <v>1647</v>
      </c>
      <c r="C489" s="2" t="s">
        <v>178</v>
      </c>
      <c r="D489" s="2" t="s">
        <v>144</v>
      </c>
      <c r="E489" s="2" t="s">
        <v>71</v>
      </c>
      <c r="F489" s="2" t="s">
        <v>30</v>
      </c>
      <c r="G489" s="2">
        <v>73</v>
      </c>
      <c r="H489" s="2" t="s">
        <v>157</v>
      </c>
      <c r="I489" s="2" t="s">
        <v>63</v>
      </c>
      <c r="J489" s="2" t="s">
        <v>111</v>
      </c>
      <c r="K489" s="2" t="s">
        <v>106</v>
      </c>
      <c r="L489" s="6" t="s">
        <v>1648</v>
      </c>
      <c r="M489" s="2">
        <v>62</v>
      </c>
      <c r="N489" s="2">
        <v>51</v>
      </c>
      <c r="O489" s="2">
        <v>112</v>
      </c>
      <c r="P489" s="2">
        <v>4625</v>
      </c>
      <c r="Q489" s="2"/>
      <c r="R489" s="2">
        <v>225</v>
      </c>
      <c r="S489" s="2">
        <v>3641</v>
      </c>
      <c r="T489" s="2">
        <v>979</v>
      </c>
      <c r="U489" s="2">
        <v>92</v>
      </c>
      <c r="V489" s="2">
        <v>79</v>
      </c>
      <c r="W489" s="2">
        <v>8943</v>
      </c>
      <c r="X489" s="9">
        <v>341034</v>
      </c>
      <c r="Y489" s="2" t="s">
        <v>36</v>
      </c>
      <c r="AA489" s="1" t="str">
        <f>TRIM(RPG_dataset[[#This Row],[Username]])</f>
        <v>crix_924</v>
      </c>
      <c r="AB489" s="1" t="str">
        <f>TRIM(RPG_dataset[[#This Row],[First Name]])</f>
        <v>Crix</v>
      </c>
      <c r="AC489" s="1" t="str">
        <f>PROPER(TRIM(RPG_dataset[[#This Row],[Race]]))</f>
        <v>Dragonborn</v>
      </c>
      <c r="AD489" s="1" t="str">
        <f>PROPER(TRIM(RPG_dataset[[#This Row],[Class]]))</f>
        <v>Rogue</v>
      </c>
      <c r="AE489" s="1">
        <f>ABS(RPG_dataset[[#This Row],[Level]])</f>
        <v>73</v>
      </c>
      <c r="AF489" s="1">
        <f>ABS(RPG_dataset[[#This Row],[ATK]])</f>
        <v>62</v>
      </c>
      <c r="AG489" s="1">
        <f>ABS(RPG_dataset[[#This Row],[DEF]])</f>
        <v>51</v>
      </c>
      <c r="AH489" s="1">
        <f>ABS(RPG_dataset[[#This Row],[SPD]])</f>
        <v>112</v>
      </c>
      <c r="AI489" s="1">
        <f>ABS(RPG_dataset[[#This Row],[HP]])</f>
        <v>4625</v>
      </c>
      <c r="AJ489" s="1">
        <f>ABS(RPG_dataset[[#This Row],[MP]])</f>
        <v>0</v>
      </c>
      <c r="AK489" s="1">
        <f>ABS(RPG_dataset[[#This Row],[Total Stat]])</f>
        <v>225</v>
      </c>
      <c r="AL489" s="1">
        <f>ABS(RPG_dataset[[#This Row],[Kills]])</f>
        <v>3641</v>
      </c>
      <c r="AM489" s="12">
        <f>ABS(RPG_dataset[[#This Row],[Win Rate (%)]])</f>
        <v>79</v>
      </c>
      <c r="AN489" s="4">
        <f>ABS(RPG_dataset[[#This Row],[Gold Earned]])</f>
        <v>341034</v>
      </c>
      <c r="AO489" s="5" t="str">
        <f t="shared" si="7"/>
        <v>OK</v>
      </c>
      <c r="AP489" s="5">
        <f>RANK(clean[[#This Row],[Clean Gold]],clean[Clean Gold], 0)</f>
        <v>336</v>
      </c>
      <c r="AQ489" s="1">
        <v>229</v>
      </c>
      <c r="AR489" s="1" t="str" cm="1">
        <f t="array" ref="AR489">_xlfn.IFS(clean[[#This Row],[Clean Level]]&gt;=76, "Legend", clean[[#This Row],[Clean Level]]&gt;=51, "Elite", clean[[#This Row],[Clean Level]]&gt;=26, "Veteran", TRUE, "Rookie")</f>
        <v>Elite</v>
      </c>
      <c r="AS489" s="1" t="str">
        <f>IF(RPG_dataset[[#This Row],[Status]]="Active", "TRUE", "FALSE")</f>
        <v>FALSE</v>
      </c>
      <c r="AT489" s="1" t="str" cm="1">
        <f t="array" ref="AT489">_xlfn.IFS(clean[[#This Row],[Clean Win Rate]]&gt;70, "Excellent", clean[[#This Row],[Clean Win Rate]]&gt;=40, "Average", TRUE, "Poor")</f>
        <v>Excellent</v>
      </c>
      <c r="AU489" s="1" t="str">
        <f>IF(AND(clean[[#This Row],[Clean Level]]&gt;80, clean[[#This Row],[Clean Total Stat]]&gt;350, clean[[#This Row],[Clean Gold]]&gt;500000), "Overpowered", "Normal")</f>
        <v>Normal</v>
      </c>
      <c r="AV489" s="1" t="str" cm="1">
        <f t="array" ref="AV489">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489" s="1" t="str" cm="1">
        <f t="array" ref="AW48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89" s="1"/>
    </row>
    <row r="490" spans="1:50" x14ac:dyDescent="0.3">
      <c r="A490" s="2" t="s">
        <v>1649</v>
      </c>
      <c r="B490" s="2" t="s">
        <v>1650</v>
      </c>
      <c r="C490" s="2" t="s">
        <v>680</v>
      </c>
      <c r="D490" s="2" t="s">
        <v>75</v>
      </c>
      <c r="E490" s="2" t="s">
        <v>105</v>
      </c>
      <c r="F490" s="2" t="s">
        <v>194</v>
      </c>
      <c r="G490" s="2">
        <v>76</v>
      </c>
      <c r="H490" s="2" t="s">
        <v>43</v>
      </c>
      <c r="I490" s="2" t="s">
        <v>63</v>
      </c>
      <c r="J490" s="2" t="s">
        <v>163</v>
      </c>
      <c r="K490" s="2" t="s">
        <v>44</v>
      </c>
      <c r="L490" s="6" t="s">
        <v>555</v>
      </c>
      <c r="M490" s="2">
        <v>148</v>
      </c>
      <c r="N490" s="2">
        <v>32</v>
      </c>
      <c r="O490" s="2">
        <v>122</v>
      </c>
      <c r="P490" s="2">
        <v>4205</v>
      </c>
      <c r="Q490" s="2">
        <v>593</v>
      </c>
      <c r="R490" s="2">
        <v>302</v>
      </c>
      <c r="S490" s="2">
        <v>2716</v>
      </c>
      <c r="T490" s="2">
        <v>717</v>
      </c>
      <c r="U490" s="2">
        <v>62</v>
      </c>
      <c r="V490" s="2">
        <v>79</v>
      </c>
      <c r="W490" s="2">
        <v>1698</v>
      </c>
      <c r="X490" s="9">
        <v>373665</v>
      </c>
      <c r="Y490" s="2" t="s">
        <v>46</v>
      </c>
      <c r="AA490" s="1" t="str">
        <f>TRIM(RPG_dataset[[#This Row],[Username]])</f>
        <v>brix_323</v>
      </c>
      <c r="AB490" s="1" t="str">
        <f>TRIM(RPG_dataset[[#This Row],[First Name]])</f>
        <v>Brix</v>
      </c>
      <c r="AC490" s="1" t="str">
        <f>PROPER(TRIM(RPG_dataset[[#This Row],[Race]]))</f>
        <v>Orc</v>
      </c>
      <c r="AD490" s="1" t="str">
        <f>PROPER(TRIM(RPG_dataset[[#This Row],[Class]]))</f>
        <v>Paladin</v>
      </c>
      <c r="AE490" s="1">
        <f>ABS(RPG_dataset[[#This Row],[Level]])</f>
        <v>76</v>
      </c>
      <c r="AF490" s="1">
        <f>ABS(RPG_dataset[[#This Row],[ATK]])</f>
        <v>148</v>
      </c>
      <c r="AG490" s="1">
        <f>ABS(RPG_dataset[[#This Row],[DEF]])</f>
        <v>32</v>
      </c>
      <c r="AH490" s="1">
        <f>ABS(RPG_dataset[[#This Row],[SPD]])</f>
        <v>122</v>
      </c>
      <c r="AI490" s="1">
        <f>ABS(RPG_dataset[[#This Row],[HP]])</f>
        <v>4205</v>
      </c>
      <c r="AJ490" s="1">
        <f>ABS(RPG_dataset[[#This Row],[MP]])</f>
        <v>593</v>
      </c>
      <c r="AK490" s="1">
        <f>ABS(RPG_dataset[[#This Row],[Total Stat]])</f>
        <v>302</v>
      </c>
      <c r="AL490" s="1">
        <f>ABS(RPG_dataset[[#This Row],[Kills]])</f>
        <v>2716</v>
      </c>
      <c r="AM490" s="12">
        <f>ABS(RPG_dataset[[#This Row],[Win Rate (%)]])</f>
        <v>79</v>
      </c>
      <c r="AN490" s="4">
        <f>ABS(RPG_dataset[[#This Row],[Gold Earned]])</f>
        <v>373665</v>
      </c>
      <c r="AO490" s="5" t="str">
        <f t="shared" si="7"/>
        <v>OK</v>
      </c>
      <c r="AP490" s="5">
        <f>RANK(clean[[#This Row],[Clean Gold]],clean[Clean Gold], 0)</f>
        <v>317</v>
      </c>
      <c r="AQ490" s="1">
        <v>330</v>
      </c>
      <c r="AR490" s="1" t="str" cm="1">
        <f t="array" ref="AR490">_xlfn.IFS(clean[[#This Row],[Clean Level]]&gt;=76, "Legend", clean[[#This Row],[Clean Level]]&gt;=51, "Elite", clean[[#This Row],[Clean Level]]&gt;=26, "Veteran", TRUE, "Rookie")</f>
        <v>Legend</v>
      </c>
      <c r="AS490" s="1" t="str">
        <f>IF(RPG_dataset[[#This Row],[Status]]="Active", "TRUE", "FALSE")</f>
        <v>TRUE</v>
      </c>
      <c r="AT490" s="1" t="str" cm="1">
        <f t="array" ref="AT490">_xlfn.IFS(clean[[#This Row],[Clean Win Rate]]&gt;70, "Excellent", clean[[#This Row],[Clean Win Rate]]&gt;=40, "Average", TRUE, "Poor")</f>
        <v>Excellent</v>
      </c>
      <c r="AU490" s="1" t="str">
        <f>IF(AND(clean[[#This Row],[Clean Level]]&gt;80, clean[[#This Row],[Clean Total Stat]]&gt;350, clean[[#This Row],[Clean Gold]]&gt;500000), "Overpowered", "Normal")</f>
        <v>Normal</v>
      </c>
      <c r="AV490" s="1" t="str" cm="1">
        <f t="array" ref="AV49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90" s="1" t="str" cm="1">
        <f t="array" ref="AW49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90" s="1"/>
    </row>
    <row r="491" spans="1:50" x14ac:dyDescent="0.3">
      <c r="A491" s="2" t="s">
        <v>1651</v>
      </c>
      <c r="B491" s="2" t="s">
        <v>1652</v>
      </c>
      <c r="C491" s="2" t="s">
        <v>1653</v>
      </c>
      <c r="D491" s="2" t="s">
        <v>139</v>
      </c>
      <c r="E491" s="2" t="s">
        <v>228</v>
      </c>
      <c r="F491" s="2" t="s">
        <v>52</v>
      </c>
      <c r="G491" s="2">
        <v>88</v>
      </c>
      <c r="H491" s="2" t="s">
        <v>43</v>
      </c>
      <c r="I491" s="2" t="s">
        <v>63</v>
      </c>
      <c r="J491" s="2" t="s">
        <v>81</v>
      </c>
      <c r="K491" s="2" t="s">
        <v>34</v>
      </c>
      <c r="L491" s="6" t="s">
        <v>1654</v>
      </c>
      <c r="M491" s="2">
        <v>53</v>
      </c>
      <c r="N491" s="2">
        <v>60</v>
      </c>
      <c r="O491" s="2">
        <v>144</v>
      </c>
      <c r="P491" s="2">
        <v>819</v>
      </c>
      <c r="Q491" s="2">
        <v>1116</v>
      </c>
      <c r="R491" s="2">
        <v>257</v>
      </c>
      <c r="S491" s="2"/>
      <c r="T491" s="2">
        <v>632</v>
      </c>
      <c r="U491" s="2">
        <v>265</v>
      </c>
      <c r="V491" s="2">
        <v>85</v>
      </c>
      <c r="W491" s="2">
        <v>1024</v>
      </c>
      <c r="X491" s="9">
        <v>507098</v>
      </c>
      <c r="Y491" s="2" t="s">
        <v>36</v>
      </c>
      <c r="AA491" s="1" t="str">
        <f>TRIM(RPG_dataset[[#This Row],[Username]])</f>
        <v>lyra_549</v>
      </c>
      <c r="AB491" s="1" t="str">
        <f>TRIM(RPG_dataset[[#This Row],[First Name]])</f>
        <v>Lyra</v>
      </c>
      <c r="AC491" s="1" t="str">
        <f>PROPER(TRIM(RPG_dataset[[#This Row],[Race]]))</f>
        <v>Elf</v>
      </c>
      <c r="AD491" s="1" t="str">
        <f>PROPER(TRIM(RPG_dataset[[#This Row],[Class]]))</f>
        <v>Bard</v>
      </c>
      <c r="AE491" s="1">
        <f>ABS(RPG_dataset[[#This Row],[Level]])</f>
        <v>88</v>
      </c>
      <c r="AF491" s="1">
        <f>ABS(RPG_dataset[[#This Row],[ATK]])</f>
        <v>53</v>
      </c>
      <c r="AG491" s="1">
        <f>ABS(RPG_dataset[[#This Row],[DEF]])</f>
        <v>60</v>
      </c>
      <c r="AH491" s="1">
        <f>ABS(RPG_dataset[[#This Row],[SPD]])</f>
        <v>144</v>
      </c>
      <c r="AI491" s="1">
        <f>ABS(RPG_dataset[[#This Row],[HP]])</f>
        <v>819</v>
      </c>
      <c r="AJ491" s="1">
        <f>ABS(RPG_dataset[[#This Row],[MP]])</f>
        <v>1116</v>
      </c>
      <c r="AK491" s="1">
        <f>ABS(RPG_dataset[[#This Row],[Total Stat]])</f>
        <v>257</v>
      </c>
      <c r="AL491" s="1">
        <f>ABS(RPG_dataset[[#This Row],[Kills]])</f>
        <v>0</v>
      </c>
      <c r="AM491" s="12">
        <f>ABS(RPG_dataset[[#This Row],[Win Rate (%)]])</f>
        <v>85</v>
      </c>
      <c r="AN491" s="4">
        <f>ABS(RPG_dataset[[#This Row],[Gold Earned]])</f>
        <v>507098</v>
      </c>
      <c r="AO491" s="5" t="str">
        <f t="shared" si="7"/>
        <v>OK</v>
      </c>
      <c r="AP491" s="5">
        <f>RANK(clean[[#This Row],[Clean Gold]],clean[Clean Gold], 0)</f>
        <v>246</v>
      </c>
      <c r="AQ491" s="1">
        <v>306</v>
      </c>
      <c r="AR491" s="1" t="str" cm="1">
        <f t="array" ref="AR491">_xlfn.IFS(clean[[#This Row],[Clean Level]]&gt;=76, "Legend", clean[[#This Row],[Clean Level]]&gt;=51, "Elite", clean[[#This Row],[Clean Level]]&gt;=26, "Veteran", TRUE, "Rookie")</f>
        <v>Legend</v>
      </c>
      <c r="AS491" s="1" t="str">
        <f>IF(RPG_dataset[[#This Row],[Status]]="Active", "TRUE", "FALSE")</f>
        <v>FALSE</v>
      </c>
      <c r="AT491" s="1" t="str" cm="1">
        <f t="array" ref="AT491">_xlfn.IFS(clean[[#This Row],[Clean Win Rate]]&gt;70, "Excellent", clean[[#This Row],[Clean Win Rate]]&gt;=40, "Average", TRUE, "Poor")</f>
        <v>Excellent</v>
      </c>
      <c r="AU491" s="1" t="str">
        <f>IF(AND(clean[[#This Row],[Clean Level]]&gt;80, clean[[#This Row],[Clean Total Stat]]&gt;350, clean[[#This Row],[Clean Gold]]&gt;500000), "Overpowered", "Normal")</f>
        <v>Normal</v>
      </c>
      <c r="AV491" s="1" t="str" cm="1">
        <f t="array" ref="AV491">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491" s="1" t="str" cm="1">
        <f t="array" ref="AW49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91" s="1"/>
    </row>
    <row r="492" spans="1:50" x14ac:dyDescent="0.3">
      <c r="A492" s="2" t="s">
        <v>1655</v>
      </c>
      <c r="B492" s="2" t="s">
        <v>1656</v>
      </c>
      <c r="C492" s="2" t="s">
        <v>604</v>
      </c>
      <c r="D492" s="2" t="s">
        <v>349</v>
      </c>
      <c r="E492" s="2" t="s">
        <v>60</v>
      </c>
      <c r="F492" s="2" t="s">
        <v>75</v>
      </c>
      <c r="G492" s="2">
        <v>13</v>
      </c>
      <c r="H492" s="2" t="s">
        <v>53</v>
      </c>
      <c r="I492" s="2" t="s">
        <v>63</v>
      </c>
      <c r="J492" s="2" t="s">
        <v>163</v>
      </c>
      <c r="K492" s="2" t="s">
        <v>44</v>
      </c>
      <c r="L492" s="6" t="s">
        <v>1657</v>
      </c>
      <c r="M492" s="2">
        <v>133</v>
      </c>
      <c r="N492" s="2">
        <v>69</v>
      </c>
      <c r="O492" s="2">
        <v>62</v>
      </c>
      <c r="P492" s="2">
        <v>1435</v>
      </c>
      <c r="Q492" s="2">
        <v>2050</v>
      </c>
      <c r="R492" s="2">
        <v>264</v>
      </c>
      <c r="S492" s="2">
        <v>2816</v>
      </c>
      <c r="T492" s="2">
        <v>398</v>
      </c>
      <c r="U492" s="2">
        <v>150</v>
      </c>
      <c r="V492" s="2">
        <v>88</v>
      </c>
      <c r="W492" s="2">
        <v>2725</v>
      </c>
      <c r="X492" s="9">
        <v>217079</v>
      </c>
      <c r="Y492" s="2" t="s">
        <v>46</v>
      </c>
      <c r="AA492" s="1" t="str">
        <f>TRIM(RPG_dataset[[#This Row],[Username]])</f>
        <v>roran_648</v>
      </c>
      <c r="AB492" s="1" t="str">
        <f>TRIM(RPG_dataset[[#This Row],[First Name]])</f>
        <v>Roran</v>
      </c>
      <c r="AC492" s="1" t="str">
        <f>PROPER(TRIM(RPG_dataset[[#This Row],[Race]]))</f>
        <v>Human</v>
      </c>
      <c r="AD492" s="1" t="str">
        <f>PROPER(TRIM(RPG_dataset[[#This Row],[Class]]))</f>
        <v/>
      </c>
      <c r="AE492" s="1">
        <f>ABS(RPG_dataset[[#This Row],[Level]])</f>
        <v>13</v>
      </c>
      <c r="AF492" s="1">
        <f>ABS(RPG_dataset[[#This Row],[ATK]])</f>
        <v>133</v>
      </c>
      <c r="AG492" s="1">
        <f>ABS(RPG_dataset[[#This Row],[DEF]])</f>
        <v>69</v>
      </c>
      <c r="AH492" s="1">
        <f>ABS(RPG_dataset[[#This Row],[SPD]])</f>
        <v>62</v>
      </c>
      <c r="AI492" s="1">
        <f>ABS(RPG_dataset[[#This Row],[HP]])</f>
        <v>1435</v>
      </c>
      <c r="AJ492" s="1">
        <f>ABS(RPG_dataset[[#This Row],[MP]])</f>
        <v>2050</v>
      </c>
      <c r="AK492" s="1">
        <f>ABS(RPG_dataset[[#This Row],[Total Stat]])</f>
        <v>264</v>
      </c>
      <c r="AL492" s="1">
        <f>ABS(RPG_dataset[[#This Row],[Kills]])</f>
        <v>2816</v>
      </c>
      <c r="AM492" s="12">
        <f>ABS(RPG_dataset[[#This Row],[Win Rate (%)]])</f>
        <v>88</v>
      </c>
      <c r="AN492" s="4">
        <f>ABS(RPG_dataset[[#This Row],[Gold Earned]])</f>
        <v>217079</v>
      </c>
      <c r="AO492" s="5" t="str">
        <f t="shared" si="7"/>
        <v>OK</v>
      </c>
      <c r="AP492" s="5">
        <f>RANK(clean[[#This Row],[Clean Gold]],clean[Clean Gold], 0)</f>
        <v>392</v>
      </c>
      <c r="AQ492" s="1">
        <v>244</v>
      </c>
      <c r="AR492" s="1" t="str" cm="1">
        <f t="array" ref="AR492">_xlfn.IFS(clean[[#This Row],[Clean Level]]&gt;=76, "Legend", clean[[#This Row],[Clean Level]]&gt;=51, "Elite", clean[[#This Row],[Clean Level]]&gt;=26, "Veteran", TRUE, "Rookie")</f>
        <v>Rookie</v>
      </c>
      <c r="AS492" s="1" t="str">
        <f>IF(RPG_dataset[[#This Row],[Status]]="Active", "TRUE", "FALSE")</f>
        <v>TRUE</v>
      </c>
      <c r="AT492" s="1" t="str" cm="1">
        <f t="array" ref="AT492">_xlfn.IFS(clean[[#This Row],[Clean Win Rate]]&gt;70, "Excellent", clean[[#This Row],[Clean Win Rate]]&gt;=40, "Average", TRUE, "Poor")</f>
        <v>Excellent</v>
      </c>
      <c r="AU492" s="1" t="str">
        <f>IF(AND(clean[[#This Row],[Clean Level]]&gt;80, clean[[#This Row],[Clean Total Stat]]&gt;350, clean[[#This Row],[Clean Gold]]&gt;500000), "Overpowered", "Normal")</f>
        <v>Normal</v>
      </c>
      <c r="AV492" s="1" t="str" cm="1">
        <f t="array" ref="AV492">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92" s="1" t="str" cm="1">
        <f t="array" ref="AW492">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492" s="1"/>
    </row>
    <row r="493" spans="1:50" x14ac:dyDescent="0.3">
      <c r="A493" s="2" t="s">
        <v>1658</v>
      </c>
      <c r="B493" s="2" t="s">
        <v>1659</v>
      </c>
      <c r="C493" s="2" t="s">
        <v>276</v>
      </c>
      <c r="D493" s="2" t="s">
        <v>349</v>
      </c>
      <c r="E493" s="2" t="s">
        <v>71</v>
      </c>
      <c r="F493" s="2" t="s">
        <v>72</v>
      </c>
      <c r="G493" s="2">
        <v>15</v>
      </c>
      <c r="H493" s="2" t="s">
        <v>73</v>
      </c>
      <c r="I493" s="2" t="s">
        <v>140</v>
      </c>
      <c r="J493" s="2" t="s">
        <v>163</v>
      </c>
      <c r="K493" s="2" t="s">
        <v>44</v>
      </c>
      <c r="L493" s="6" t="s">
        <v>1660</v>
      </c>
      <c r="M493" s="2">
        <v>68</v>
      </c>
      <c r="N493" s="2">
        <v>128</v>
      </c>
      <c r="O493" s="2">
        <v>145</v>
      </c>
      <c r="P493" s="2">
        <v>1150</v>
      </c>
      <c r="Q493" s="2">
        <v>1901</v>
      </c>
      <c r="R493" s="2">
        <v>341</v>
      </c>
      <c r="S493" s="2">
        <v>2047</v>
      </c>
      <c r="T493" s="2">
        <v>338</v>
      </c>
      <c r="U493" s="2">
        <v>99</v>
      </c>
      <c r="V493" s="2">
        <v>86</v>
      </c>
      <c r="W493" s="2">
        <v>8676</v>
      </c>
      <c r="X493" s="9">
        <v>20985</v>
      </c>
      <c r="Y493" s="2" t="s">
        <v>46</v>
      </c>
      <c r="AA493" s="1" t="str">
        <f>TRIM(RPG_dataset[[#This Row],[Username]])</f>
        <v>brynn_251</v>
      </c>
      <c r="AB493" s="1" t="str">
        <f>TRIM(RPG_dataset[[#This Row],[First Name]])</f>
        <v>Brynn</v>
      </c>
      <c r="AC493" s="1" t="str">
        <f>PROPER(TRIM(RPG_dataset[[#This Row],[Race]]))</f>
        <v>Dragonborn</v>
      </c>
      <c r="AD493" s="1" t="str">
        <f>PROPER(TRIM(RPG_dataset[[#This Row],[Class]]))</f>
        <v>Warrior</v>
      </c>
      <c r="AE493" s="1">
        <f>ABS(RPG_dataset[[#This Row],[Level]])</f>
        <v>15</v>
      </c>
      <c r="AF493" s="1">
        <f>ABS(RPG_dataset[[#This Row],[ATK]])</f>
        <v>68</v>
      </c>
      <c r="AG493" s="1">
        <f>ABS(RPG_dataset[[#This Row],[DEF]])</f>
        <v>128</v>
      </c>
      <c r="AH493" s="1">
        <f>ABS(RPG_dataset[[#This Row],[SPD]])</f>
        <v>145</v>
      </c>
      <c r="AI493" s="1">
        <f>ABS(RPG_dataset[[#This Row],[HP]])</f>
        <v>1150</v>
      </c>
      <c r="AJ493" s="1">
        <f>ABS(RPG_dataset[[#This Row],[MP]])</f>
        <v>1901</v>
      </c>
      <c r="AK493" s="1">
        <f>ABS(RPG_dataset[[#This Row],[Total Stat]])</f>
        <v>341</v>
      </c>
      <c r="AL493" s="1">
        <f>ABS(RPG_dataset[[#This Row],[Kills]])</f>
        <v>2047</v>
      </c>
      <c r="AM493" s="12">
        <f>ABS(RPG_dataset[[#This Row],[Win Rate (%)]])</f>
        <v>86</v>
      </c>
      <c r="AN493" s="4">
        <f>ABS(RPG_dataset[[#This Row],[Gold Earned]])</f>
        <v>20985</v>
      </c>
      <c r="AO493" s="5" t="str">
        <f t="shared" si="7"/>
        <v>OK</v>
      </c>
      <c r="AP493" s="5">
        <f>RANK(clean[[#This Row],[Clean Gold]],clean[Clean Gold], 0)</f>
        <v>475</v>
      </c>
      <c r="AQ493" s="1">
        <v>236</v>
      </c>
      <c r="AR493" s="1" t="str" cm="1">
        <f t="array" ref="AR493">_xlfn.IFS(clean[[#This Row],[Clean Level]]&gt;=76, "Legend", clean[[#This Row],[Clean Level]]&gt;=51, "Elite", clean[[#This Row],[Clean Level]]&gt;=26, "Veteran", TRUE, "Rookie")</f>
        <v>Rookie</v>
      </c>
      <c r="AS493" s="1" t="str">
        <f>IF(RPG_dataset[[#This Row],[Status]]="Active", "TRUE", "FALSE")</f>
        <v>TRUE</v>
      </c>
      <c r="AT493" s="1" t="str" cm="1">
        <f t="array" ref="AT493">_xlfn.IFS(clean[[#This Row],[Clean Win Rate]]&gt;70, "Excellent", clean[[#This Row],[Clean Win Rate]]&gt;=40, "Average", TRUE, "Poor")</f>
        <v>Excellent</v>
      </c>
      <c r="AU493" s="1" t="str">
        <f>IF(AND(clean[[#This Row],[Clean Level]]&gt;80, clean[[#This Row],[Clean Total Stat]]&gt;350, clean[[#This Row],[Clean Gold]]&gt;500000), "Overpowered", "Normal")</f>
        <v>Normal</v>
      </c>
      <c r="AV493" s="1" t="str" cm="1">
        <f t="array" ref="AV493">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93" s="1" t="str" cm="1">
        <f t="array" ref="AW493">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Squad Inti</v>
      </c>
      <c r="AX493" s="1"/>
    </row>
    <row r="494" spans="1:50" x14ac:dyDescent="0.3">
      <c r="A494" s="2" t="s">
        <v>1661</v>
      </c>
      <c r="B494" s="2" t="s">
        <v>1662</v>
      </c>
      <c r="C494" s="2" t="s">
        <v>79</v>
      </c>
      <c r="D494" s="2" t="s">
        <v>618</v>
      </c>
      <c r="E494" s="2" t="s">
        <v>169</v>
      </c>
      <c r="F494" s="2" t="s">
        <v>194</v>
      </c>
      <c r="G494" s="2">
        <v>53</v>
      </c>
      <c r="H494" s="2" t="s">
        <v>80</v>
      </c>
      <c r="I494" s="2" t="s">
        <v>87</v>
      </c>
      <c r="J494" s="2" t="s">
        <v>33</v>
      </c>
      <c r="K494" s="2" t="s">
        <v>34</v>
      </c>
      <c r="L494" s="6" t="s">
        <v>1075</v>
      </c>
      <c r="M494" s="2">
        <v>44</v>
      </c>
      <c r="N494" s="2">
        <v>72</v>
      </c>
      <c r="O494" s="2">
        <v>141</v>
      </c>
      <c r="P494" s="2">
        <v>4920</v>
      </c>
      <c r="Q494" s="2">
        <v>-964</v>
      </c>
      <c r="R494" s="2">
        <v>257</v>
      </c>
      <c r="S494" s="2">
        <v>1745</v>
      </c>
      <c r="T494" s="2">
        <v>522</v>
      </c>
      <c r="U494" s="2">
        <v>11</v>
      </c>
      <c r="V494" s="2">
        <v>77</v>
      </c>
      <c r="W494" s="2">
        <v>8381</v>
      </c>
      <c r="X494" s="9">
        <v>828756</v>
      </c>
      <c r="Y494" s="2" t="s">
        <v>36</v>
      </c>
      <c r="AA494" s="1" t="str">
        <f>TRIM(RPG_dataset[[#This Row],[Username]])</f>
        <v>mira_344</v>
      </c>
      <c r="AB494" s="1" t="str">
        <f>TRIM(RPG_dataset[[#This Row],[First Name]])</f>
        <v>Mira</v>
      </c>
      <c r="AC494" s="1" t="str">
        <f>PROPER(TRIM(RPG_dataset[[#This Row],[Race]]))</f>
        <v>Halfling</v>
      </c>
      <c r="AD494" s="1" t="str">
        <f>PROPER(TRIM(RPG_dataset[[#This Row],[Class]]))</f>
        <v>Paladin</v>
      </c>
      <c r="AE494" s="1">
        <f>ABS(RPG_dataset[[#This Row],[Level]])</f>
        <v>53</v>
      </c>
      <c r="AF494" s="1">
        <f>ABS(RPG_dataset[[#This Row],[ATK]])</f>
        <v>44</v>
      </c>
      <c r="AG494" s="1">
        <f>ABS(RPG_dataset[[#This Row],[DEF]])</f>
        <v>72</v>
      </c>
      <c r="AH494" s="1">
        <f>ABS(RPG_dataset[[#This Row],[SPD]])</f>
        <v>141</v>
      </c>
      <c r="AI494" s="1">
        <f>ABS(RPG_dataset[[#This Row],[HP]])</f>
        <v>4920</v>
      </c>
      <c r="AJ494" s="1">
        <f>ABS(RPG_dataset[[#This Row],[MP]])</f>
        <v>964</v>
      </c>
      <c r="AK494" s="1">
        <f>ABS(RPG_dataset[[#This Row],[Total Stat]])</f>
        <v>257</v>
      </c>
      <c r="AL494" s="1">
        <f>ABS(RPG_dataset[[#This Row],[Kills]])</f>
        <v>1745</v>
      </c>
      <c r="AM494" s="12">
        <f>ABS(RPG_dataset[[#This Row],[Win Rate (%)]])</f>
        <v>77</v>
      </c>
      <c r="AN494" s="4">
        <f>ABS(RPG_dataset[[#This Row],[Gold Earned]])</f>
        <v>828756</v>
      </c>
      <c r="AO494" s="5" t="str">
        <f t="shared" si="7"/>
        <v>OK</v>
      </c>
      <c r="AP494" s="5">
        <f>RANK(clean[[#This Row],[Clean Gold]],clean[Clean Gold], 0)</f>
        <v>89</v>
      </c>
      <c r="AQ494" s="1">
        <v>158</v>
      </c>
      <c r="AR494" s="1" t="str" cm="1">
        <f t="array" ref="AR494">_xlfn.IFS(clean[[#This Row],[Clean Level]]&gt;=76, "Legend", clean[[#This Row],[Clean Level]]&gt;=51, "Elite", clean[[#This Row],[Clean Level]]&gt;=26, "Veteran", TRUE, "Rookie")</f>
        <v>Elite</v>
      </c>
      <c r="AS494" s="1" t="str">
        <f>IF(RPG_dataset[[#This Row],[Status]]="Active", "TRUE", "FALSE")</f>
        <v>FALSE</v>
      </c>
      <c r="AT494" s="1" t="str" cm="1">
        <f t="array" ref="AT494">_xlfn.IFS(clean[[#This Row],[Clean Win Rate]]&gt;70, "Excellent", clean[[#This Row],[Clean Win Rate]]&gt;=40, "Average", TRUE, "Poor")</f>
        <v>Excellent</v>
      </c>
      <c r="AU494" s="1" t="str">
        <f>IF(AND(clean[[#This Row],[Clean Level]]&gt;80, clean[[#This Row],[Clean Total Stat]]&gt;350, clean[[#This Row],[Clean Gold]]&gt;500000), "Overpowered", "Normal")</f>
        <v>Normal</v>
      </c>
      <c r="AV494" s="1" t="str" cm="1">
        <f t="array" ref="AV494">_xlfn.IFS(
(AND(OR(clean[[#This Row],[Tier]]="Elite", clean[[#This Row],[Tier]]="Legend"), clean[[#This Row],[Performance]]="Excellent", RPG_dataset[[#This Row],[Is Premium]]="Yes")), "High", OR(OR(clean[[#This Row],[Tier]]="Elite", clean[[#This Row],[Tier]]="Legend"), clean[[#This Row],[Performance]]="Excellent", RPG_dataset[[#This Row],[Is Premium]]="Yes"), "Medium", TRUE, "Low")</f>
        <v>High</v>
      </c>
      <c r="AW494" s="1" t="str" cm="1">
        <f t="array" ref="AW494">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94" s="1"/>
    </row>
    <row r="495" spans="1:50" x14ac:dyDescent="0.3">
      <c r="A495" s="2" t="s">
        <v>1663</v>
      </c>
      <c r="B495" s="2" t="s">
        <v>75</v>
      </c>
      <c r="C495" s="2" t="s">
        <v>97</v>
      </c>
      <c r="D495" s="2" t="s">
        <v>131</v>
      </c>
      <c r="E495" s="2" t="s">
        <v>105</v>
      </c>
      <c r="F495" s="2" t="s">
        <v>124</v>
      </c>
      <c r="G495" s="2">
        <v>17</v>
      </c>
      <c r="H495" s="2" t="s">
        <v>157</v>
      </c>
      <c r="I495" s="2" t="s">
        <v>74</v>
      </c>
      <c r="J495" s="2" t="s">
        <v>88</v>
      </c>
      <c r="K495" s="2" t="s">
        <v>99</v>
      </c>
      <c r="L495" s="6" t="s">
        <v>1664</v>
      </c>
      <c r="M495" s="2">
        <v>128</v>
      </c>
      <c r="N495" s="2">
        <v>87</v>
      </c>
      <c r="O495" s="2">
        <v>50</v>
      </c>
      <c r="P495" s="2">
        <v>4347</v>
      </c>
      <c r="Q495" s="2">
        <v>1277</v>
      </c>
      <c r="R495" s="2">
        <v>265</v>
      </c>
      <c r="S495" s="2">
        <v>1681</v>
      </c>
      <c r="T495" s="2">
        <v>922</v>
      </c>
      <c r="U495" s="2">
        <v>49</v>
      </c>
      <c r="V495" s="2">
        <v>65</v>
      </c>
      <c r="W495" s="2">
        <v>9574</v>
      </c>
      <c r="X495" s="9">
        <v>32883</v>
      </c>
      <c r="Y495" s="2" t="s">
        <v>36</v>
      </c>
      <c r="AA495" s="1" t="str">
        <f>TRIM(RPG_dataset[[#This Row],[Username]])</f>
        <v/>
      </c>
      <c r="AB495" s="1" t="str">
        <f>TRIM(RPG_dataset[[#This Row],[First Name]])</f>
        <v>Hana</v>
      </c>
      <c r="AC495" s="1" t="str">
        <f>PROPER(TRIM(RPG_dataset[[#This Row],[Race]]))</f>
        <v>Orc</v>
      </c>
      <c r="AD495" s="1" t="str">
        <f>PROPER(TRIM(RPG_dataset[[#This Row],[Class]]))</f>
        <v>Necromancer</v>
      </c>
      <c r="AE495" s="1">
        <f>ABS(RPG_dataset[[#This Row],[Level]])</f>
        <v>17</v>
      </c>
      <c r="AF495" s="1">
        <f>ABS(RPG_dataset[[#This Row],[ATK]])</f>
        <v>128</v>
      </c>
      <c r="AG495" s="1">
        <f>ABS(RPG_dataset[[#This Row],[DEF]])</f>
        <v>87</v>
      </c>
      <c r="AH495" s="1">
        <f>ABS(RPG_dataset[[#This Row],[SPD]])</f>
        <v>50</v>
      </c>
      <c r="AI495" s="1">
        <f>ABS(RPG_dataset[[#This Row],[HP]])</f>
        <v>4347</v>
      </c>
      <c r="AJ495" s="1">
        <f>ABS(RPG_dataset[[#This Row],[MP]])</f>
        <v>1277</v>
      </c>
      <c r="AK495" s="1">
        <f>ABS(RPG_dataset[[#This Row],[Total Stat]])</f>
        <v>265</v>
      </c>
      <c r="AL495" s="1">
        <f>ABS(RPG_dataset[[#This Row],[Kills]])</f>
        <v>1681</v>
      </c>
      <c r="AM495" s="12">
        <f>ABS(RPG_dataset[[#This Row],[Win Rate (%)]])</f>
        <v>65</v>
      </c>
      <c r="AN495" s="4">
        <f>ABS(RPG_dataset[[#This Row],[Gold Earned]])</f>
        <v>32883</v>
      </c>
      <c r="AO495" s="5" t="str">
        <f t="shared" si="7"/>
        <v>OK</v>
      </c>
      <c r="AP495" s="5">
        <f>RANK(clean[[#This Row],[Clean Gold]],clean[Clean Gold], 0)</f>
        <v>464</v>
      </c>
      <c r="AQ495" s="1">
        <v>156</v>
      </c>
      <c r="AR495" s="1" t="str" cm="1">
        <f t="array" ref="AR495">_xlfn.IFS(clean[[#This Row],[Clean Level]]&gt;=76, "Legend", clean[[#This Row],[Clean Level]]&gt;=51, "Elite", clean[[#This Row],[Clean Level]]&gt;=26, "Veteran", TRUE, "Rookie")</f>
        <v>Rookie</v>
      </c>
      <c r="AS495" s="1" t="str">
        <f>IF(RPG_dataset[[#This Row],[Status]]="Active", "TRUE", "FALSE")</f>
        <v>FALSE</v>
      </c>
      <c r="AT495" s="1" t="str" cm="1">
        <f t="array" ref="AT495">_xlfn.IFS(clean[[#This Row],[Clean Win Rate]]&gt;70, "Excellent", clean[[#This Row],[Clean Win Rate]]&gt;=40, "Average", TRUE, "Poor")</f>
        <v>Average</v>
      </c>
      <c r="AU495" s="1" t="str">
        <f>IF(AND(clean[[#This Row],[Clean Level]]&gt;80, clean[[#This Row],[Clean Total Stat]]&gt;350, clean[[#This Row],[Clean Gold]]&gt;500000), "Overpowered", "Normal")</f>
        <v>Normal</v>
      </c>
      <c r="AV495" s="1" t="str" cm="1">
        <f t="array" ref="AV495">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95" s="1" t="str" cm="1">
        <f t="array" ref="AW495">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Reguler</v>
      </c>
      <c r="AX495" s="1"/>
    </row>
    <row r="496" spans="1:50" x14ac:dyDescent="0.3">
      <c r="A496" s="2" t="s">
        <v>1665</v>
      </c>
      <c r="B496" s="2" t="s">
        <v>1666</v>
      </c>
      <c r="C496" s="2" t="s">
        <v>97</v>
      </c>
      <c r="D496" s="2" t="s">
        <v>40</v>
      </c>
      <c r="E496" s="2" t="s">
        <v>169</v>
      </c>
      <c r="F496" s="2" t="s">
        <v>30</v>
      </c>
      <c r="G496" s="2">
        <v>96</v>
      </c>
      <c r="H496" s="2" t="s">
        <v>73</v>
      </c>
      <c r="I496" s="2" t="s">
        <v>54</v>
      </c>
      <c r="J496" s="2" t="s">
        <v>33</v>
      </c>
      <c r="K496" s="2" t="s">
        <v>44</v>
      </c>
      <c r="L496" s="6" t="s">
        <v>1667</v>
      </c>
      <c r="M496" s="2">
        <v>101</v>
      </c>
      <c r="N496" s="2">
        <v>143</v>
      </c>
      <c r="O496" s="2">
        <v>137</v>
      </c>
      <c r="P496" s="2">
        <v>2793</v>
      </c>
      <c r="Q496" s="2">
        <v>547</v>
      </c>
      <c r="R496" s="2">
        <v>381</v>
      </c>
      <c r="S496" s="2">
        <v>260</v>
      </c>
      <c r="T496" s="2">
        <v>988</v>
      </c>
      <c r="U496" s="2">
        <v>191</v>
      </c>
      <c r="V496" s="2">
        <v>21</v>
      </c>
      <c r="W496" s="2">
        <v>9882</v>
      </c>
      <c r="X496" s="9">
        <v>796173</v>
      </c>
      <c r="Y496" s="2" t="s">
        <v>36</v>
      </c>
      <c r="AA496" s="1" t="str">
        <f>TRIM(RPG_dataset[[#This Row],[Username]])</f>
        <v>hana_792</v>
      </c>
      <c r="AB496" s="1" t="str">
        <f>TRIM(RPG_dataset[[#This Row],[First Name]])</f>
        <v>Hana</v>
      </c>
      <c r="AC496" s="1" t="str">
        <f>PROPER(TRIM(RPG_dataset[[#This Row],[Race]]))</f>
        <v>Halfling</v>
      </c>
      <c r="AD496" s="1" t="str">
        <f>PROPER(TRIM(RPG_dataset[[#This Row],[Class]]))</f>
        <v>Rogue</v>
      </c>
      <c r="AE496" s="1">
        <f>ABS(RPG_dataset[[#This Row],[Level]])</f>
        <v>96</v>
      </c>
      <c r="AF496" s="1">
        <f>ABS(RPG_dataset[[#This Row],[ATK]])</f>
        <v>101</v>
      </c>
      <c r="AG496" s="1">
        <f>ABS(RPG_dataset[[#This Row],[DEF]])</f>
        <v>143</v>
      </c>
      <c r="AH496" s="1">
        <f>ABS(RPG_dataset[[#This Row],[SPD]])</f>
        <v>137</v>
      </c>
      <c r="AI496" s="1">
        <f>ABS(RPG_dataset[[#This Row],[HP]])</f>
        <v>2793</v>
      </c>
      <c r="AJ496" s="1">
        <f>ABS(RPG_dataset[[#This Row],[MP]])</f>
        <v>547</v>
      </c>
      <c r="AK496" s="1">
        <f>ABS(RPG_dataset[[#This Row],[Total Stat]])</f>
        <v>381</v>
      </c>
      <c r="AL496" s="1">
        <f>ABS(RPG_dataset[[#This Row],[Kills]])</f>
        <v>260</v>
      </c>
      <c r="AM496" s="12">
        <f>ABS(RPG_dataset[[#This Row],[Win Rate (%)]])</f>
        <v>21</v>
      </c>
      <c r="AN496" s="4">
        <f>ABS(RPG_dataset[[#This Row],[Gold Earned]])</f>
        <v>796173</v>
      </c>
      <c r="AO496" s="5" t="str">
        <f t="shared" si="7"/>
        <v>OK</v>
      </c>
      <c r="AP496" s="5">
        <f>RANK(clean[[#This Row],[Clean Gold]],clean[Clean Gold], 0)</f>
        <v>108</v>
      </c>
      <c r="AQ496" s="1">
        <v>123</v>
      </c>
      <c r="AR496" s="1" t="str" cm="1">
        <f t="array" ref="AR496">_xlfn.IFS(clean[[#This Row],[Clean Level]]&gt;=76, "Legend", clean[[#This Row],[Clean Level]]&gt;=51, "Elite", clean[[#This Row],[Clean Level]]&gt;=26, "Veteran", TRUE, "Rookie")</f>
        <v>Legend</v>
      </c>
      <c r="AS496" s="1" t="str">
        <f>IF(RPG_dataset[[#This Row],[Status]]="Active", "TRUE", "FALSE")</f>
        <v>TRUE</v>
      </c>
      <c r="AT496" s="1" t="str" cm="1">
        <f t="array" ref="AT496">_xlfn.IFS(clean[[#This Row],[Clean Win Rate]]&gt;70, "Excellent", clean[[#This Row],[Clean Win Rate]]&gt;=40, "Average", TRUE, "Poor")</f>
        <v>Poor</v>
      </c>
      <c r="AU496" s="1" t="str">
        <f>IF(AND(clean[[#This Row],[Clean Level]]&gt;80, clean[[#This Row],[Clean Total Stat]]&gt;350, clean[[#This Row],[Clean Gold]]&gt;500000), "Overpowered", "Normal")</f>
        <v>Overpowered</v>
      </c>
      <c r="AV496" s="1" t="str" cm="1">
        <f t="array" ref="AV496">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96" s="1" t="str" cm="1">
        <f t="array" ref="AW496">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496" s="1"/>
    </row>
    <row r="497" spans="1:50" x14ac:dyDescent="0.3">
      <c r="A497" s="2" t="s">
        <v>1668</v>
      </c>
      <c r="B497" s="2" t="s">
        <v>1669</v>
      </c>
      <c r="C497" s="2" t="s">
        <v>276</v>
      </c>
      <c r="D497" s="2" t="s">
        <v>250</v>
      </c>
      <c r="E497" s="2" t="s">
        <v>41</v>
      </c>
      <c r="F497" s="2" t="s">
        <v>72</v>
      </c>
      <c r="G497" s="2">
        <v>26</v>
      </c>
      <c r="H497" s="2" t="s">
        <v>31</v>
      </c>
      <c r="I497" s="2" t="s">
        <v>140</v>
      </c>
      <c r="J497" s="2" t="s">
        <v>88</v>
      </c>
      <c r="K497" s="2" t="s">
        <v>44</v>
      </c>
      <c r="L497" s="6" t="s">
        <v>1670</v>
      </c>
      <c r="M497" s="2">
        <v>40</v>
      </c>
      <c r="N497" s="2">
        <v>12</v>
      </c>
      <c r="O497" s="2">
        <v>60</v>
      </c>
      <c r="P497" s="2">
        <v>3879</v>
      </c>
      <c r="Q497" s="2">
        <v>1038</v>
      </c>
      <c r="R497" s="2">
        <v>112</v>
      </c>
      <c r="S497" s="2">
        <v>1972</v>
      </c>
      <c r="T497" s="2">
        <v>391</v>
      </c>
      <c r="U497" s="2">
        <v>49</v>
      </c>
      <c r="V497" s="2">
        <v>83</v>
      </c>
      <c r="W497" s="2">
        <v>2843</v>
      </c>
      <c r="X497" s="9">
        <v>492393</v>
      </c>
      <c r="Y497" s="2" t="s">
        <v>46</v>
      </c>
      <c r="AA497" s="1" t="str">
        <f>TRIM(RPG_dataset[[#This Row],[Username]])</f>
        <v>brynn_569</v>
      </c>
      <c r="AB497" s="1" t="str">
        <f>TRIM(RPG_dataset[[#This Row],[First Name]])</f>
        <v>Brynn</v>
      </c>
      <c r="AC497" s="1" t="str">
        <f>PROPER(TRIM(RPG_dataset[[#This Row],[Race]]))</f>
        <v>Gnome</v>
      </c>
      <c r="AD497" s="1" t="str">
        <f>PROPER(TRIM(RPG_dataset[[#This Row],[Class]]))</f>
        <v>Warrior</v>
      </c>
      <c r="AE497" s="1">
        <f>ABS(RPG_dataset[[#This Row],[Level]])</f>
        <v>26</v>
      </c>
      <c r="AF497" s="1">
        <f>ABS(RPG_dataset[[#This Row],[ATK]])</f>
        <v>40</v>
      </c>
      <c r="AG497" s="1">
        <f>ABS(RPG_dataset[[#This Row],[DEF]])</f>
        <v>12</v>
      </c>
      <c r="AH497" s="1">
        <f>ABS(RPG_dataset[[#This Row],[SPD]])</f>
        <v>60</v>
      </c>
      <c r="AI497" s="1">
        <f>ABS(RPG_dataset[[#This Row],[HP]])</f>
        <v>3879</v>
      </c>
      <c r="AJ497" s="1">
        <f>ABS(RPG_dataset[[#This Row],[MP]])</f>
        <v>1038</v>
      </c>
      <c r="AK497" s="1">
        <f>ABS(RPG_dataset[[#This Row],[Total Stat]])</f>
        <v>112</v>
      </c>
      <c r="AL497" s="1">
        <f>ABS(RPG_dataset[[#This Row],[Kills]])</f>
        <v>1972</v>
      </c>
      <c r="AM497" s="12">
        <f>ABS(RPG_dataset[[#This Row],[Win Rate (%)]])</f>
        <v>83</v>
      </c>
      <c r="AN497" s="4">
        <f>ABS(RPG_dataset[[#This Row],[Gold Earned]])</f>
        <v>492393</v>
      </c>
      <c r="AO497" s="5" t="str">
        <f t="shared" si="7"/>
        <v>OK</v>
      </c>
      <c r="AP497" s="5">
        <f>RANK(clean[[#This Row],[Clean Gold]],clean[Clean Gold], 0)</f>
        <v>258</v>
      </c>
      <c r="AQ497" s="1">
        <v>200</v>
      </c>
      <c r="AR497" s="1" t="str" cm="1">
        <f t="array" ref="AR497">_xlfn.IFS(clean[[#This Row],[Clean Level]]&gt;=76, "Legend", clean[[#This Row],[Clean Level]]&gt;=51, "Elite", clean[[#This Row],[Clean Level]]&gt;=26, "Veteran", TRUE, "Rookie")</f>
        <v>Veteran</v>
      </c>
      <c r="AS497" s="1" t="str">
        <f>IF(RPG_dataset[[#This Row],[Status]]="Active", "TRUE", "FALSE")</f>
        <v>TRUE</v>
      </c>
      <c r="AT497" s="1" t="str" cm="1">
        <f t="array" ref="AT497">_xlfn.IFS(clean[[#This Row],[Clean Win Rate]]&gt;70, "Excellent", clean[[#This Row],[Clean Win Rate]]&gt;=40, "Average", TRUE, "Poor")</f>
        <v>Excellent</v>
      </c>
      <c r="AU497" s="1" t="str">
        <f>IF(AND(clean[[#This Row],[Clean Level]]&gt;80, clean[[#This Row],[Clean Total Stat]]&gt;350, clean[[#This Row],[Clean Gold]]&gt;500000), "Overpowered", "Normal")</f>
        <v>Normal</v>
      </c>
      <c r="AV497" s="1" t="str" cm="1">
        <f t="array" ref="AV497">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97" s="1" t="str" cm="1">
        <f t="array" ref="AW497">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497" s="1"/>
    </row>
    <row r="498" spans="1:50" x14ac:dyDescent="0.3">
      <c r="A498" s="2" t="s">
        <v>1671</v>
      </c>
      <c r="B498" s="2" t="s">
        <v>75</v>
      </c>
      <c r="C498" s="2" t="s">
        <v>110</v>
      </c>
      <c r="D498" s="2" t="s">
        <v>168</v>
      </c>
      <c r="E498" s="2" t="s">
        <v>169</v>
      </c>
      <c r="F498" s="2" t="s">
        <v>61</v>
      </c>
      <c r="G498" s="2">
        <v>85</v>
      </c>
      <c r="H498" s="2" t="s">
        <v>53</v>
      </c>
      <c r="I498" s="2" t="s">
        <v>140</v>
      </c>
      <c r="J498" s="2" t="s">
        <v>111</v>
      </c>
      <c r="K498" s="2" t="s">
        <v>44</v>
      </c>
      <c r="L498" s="6" t="s">
        <v>1672</v>
      </c>
      <c r="M498" s="2">
        <v>107</v>
      </c>
      <c r="N498" s="2">
        <v>51</v>
      </c>
      <c r="O498" s="2">
        <v>126</v>
      </c>
      <c r="P498" s="2">
        <v>950</v>
      </c>
      <c r="Q498" s="2">
        <v>868</v>
      </c>
      <c r="R498" s="2">
        <v>284</v>
      </c>
      <c r="S498" s="2">
        <v>1898</v>
      </c>
      <c r="T498" s="2">
        <v>319</v>
      </c>
      <c r="U498" s="2">
        <v>99</v>
      </c>
      <c r="V498" s="2"/>
      <c r="W498" s="2">
        <v>9390</v>
      </c>
      <c r="X498" s="9">
        <v>272805</v>
      </c>
      <c r="Y498" s="2" t="s">
        <v>36</v>
      </c>
      <c r="AA498" s="1" t="str">
        <f>TRIM(RPG_dataset[[#This Row],[Username]])</f>
        <v/>
      </c>
      <c r="AB498" s="1" t="str">
        <f>TRIM(RPG_dataset[[#This Row],[First Name]])</f>
        <v>Tara</v>
      </c>
      <c r="AC498" s="1" t="str">
        <f>PROPER(TRIM(RPG_dataset[[#This Row],[Race]]))</f>
        <v>Halfling</v>
      </c>
      <c r="AD498" s="1" t="str">
        <f>PROPER(TRIM(RPG_dataset[[#This Row],[Class]]))</f>
        <v>Ranger</v>
      </c>
      <c r="AE498" s="1">
        <f>ABS(RPG_dataset[[#This Row],[Level]])</f>
        <v>85</v>
      </c>
      <c r="AF498" s="1">
        <f>ABS(RPG_dataset[[#This Row],[ATK]])</f>
        <v>107</v>
      </c>
      <c r="AG498" s="1">
        <f>ABS(RPG_dataset[[#This Row],[DEF]])</f>
        <v>51</v>
      </c>
      <c r="AH498" s="1">
        <f>ABS(RPG_dataset[[#This Row],[SPD]])</f>
        <v>126</v>
      </c>
      <c r="AI498" s="1">
        <f>ABS(RPG_dataset[[#This Row],[HP]])</f>
        <v>950</v>
      </c>
      <c r="AJ498" s="1">
        <f>ABS(RPG_dataset[[#This Row],[MP]])</f>
        <v>868</v>
      </c>
      <c r="AK498" s="1">
        <f>ABS(RPG_dataset[[#This Row],[Total Stat]])</f>
        <v>284</v>
      </c>
      <c r="AL498" s="1">
        <f>ABS(RPG_dataset[[#This Row],[Kills]])</f>
        <v>1898</v>
      </c>
      <c r="AM498" s="12">
        <f>ABS(RPG_dataset[[#This Row],[Win Rate (%)]])</f>
        <v>0</v>
      </c>
      <c r="AN498" s="4">
        <f>ABS(RPG_dataset[[#This Row],[Gold Earned]])</f>
        <v>272805</v>
      </c>
      <c r="AO498" s="5" t="str">
        <f t="shared" si="7"/>
        <v>OK</v>
      </c>
      <c r="AP498" s="5">
        <f>RANK(clean[[#This Row],[Clean Gold]],clean[Clean Gold], 0)</f>
        <v>365</v>
      </c>
      <c r="AQ498" s="1">
        <v>231</v>
      </c>
      <c r="AR498" s="1" t="str" cm="1">
        <f t="array" ref="AR498">_xlfn.IFS(clean[[#This Row],[Clean Level]]&gt;=76, "Legend", clean[[#This Row],[Clean Level]]&gt;=51, "Elite", clean[[#This Row],[Clean Level]]&gt;=26, "Veteran", TRUE, "Rookie")</f>
        <v>Legend</v>
      </c>
      <c r="AS498" s="1" t="str">
        <f>IF(RPG_dataset[[#This Row],[Status]]="Active", "TRUE", "FALSE")</f>
        <v>TRUE</v>
      </c>
      <c r="AT498" s="1" t="str" cm="1">
        <f t="array" ref="AT498">_xlfn.IFS(clean[[#This Row],[Clean Win Rate]]&gt;70, "Excellent", clean[[#This Row],[Clean Win Rate]]&gt;=40, "Average", TRUE, "Poor")</f>
        <v>Poor</v>
      </c>
      <c r="AU498" s="1" t="str">
        <f>IF(AND(clean[[#This Row],[Clean Level]]&gt;80, clean[[#This Row],[Clean Total Stat]]&gt;350, clean[[#This Row],[Clean Gold]]&gt;500000), "Overpowered", "Normal")</f>
        <v>Normal</v>
      </c>
      <c r="AV498" s="1" t="str" cm="1">
        <f t="array" ref="AV498">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98" s="1" t="str" cm="1">
        <f t="array" ref="AW498">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Tactician</v>
      </c>
      <c r="AX498" s="1"/>
    </row>
    <row r="499" spans="1:50" x14ac:dyDescent="0.3">
      <c r="A499" s="2" t="s">
        <v>1673</v>
      </c>
      <c r="B499" s="2" t="s">
        <v>1674</v>
      </c>
      <c r="C499" s="2" t="s">
        <v>233</v>
      </c>
      <c r="D499" s="2" t="s">
        <v>131</v>
      </c>
      <c r="E499" s="2" t="s">
        <v>169</v>
      </c>
      <c r="F499" s="2" t="s">
        <v>194</v>
      </c>
      <c r="G499" s="2">
        <v>4</v>
      </c>
      <c r="H499" s="2" t="s">
        <v>53</v>
      </c>
      <c r="I499" s="2" t="s">
        <v>54</v>
      </c>
      <c r="J499" s="2" t="s">
        <v>81</v>
      </c>
      <c r="K499" s="2" t="s">
        <v>99</v>
      </c>
      <c r="L499" s="6" t="s">
        <v>1675</v>
      </c>
      <c r="M499" s="2">
        <v>-95</v>
      </c>
      <c r="N499" s="2">
        <v>101</v>
      </c>
      <c r="O499" s="2">
        <v>31</v>
      </c>
      <c r="P499" s="2">
        <v>471</v>
      </c>
      <c r="Q499" s="2">
        <v>2939</v>
      </c>
      <c r="R499" s="2">
        <v>227</v>
      </c>
      <c r="S499" s="2">
        <v>3925</v>
      </c>
      <c r="T499" s="2">
        <v>124</v>
      </c>
      <c r="U499" s="2">
        <v>129</v>
      </c>
      <c r="V499" s="2">
        <v>97</v>
      </c>
      <c r="W499" s="2">
        <v>6130</v>
      </c>
      <c r="X499" s="9">
        <v>333113</v>
      </c>
      <c r="Y499" s="2" t="s">
        <v>36</v>
      </c>
      <c r="AA499" s="1" t="str">
        <f>TRIM(RPG_dataset[[#This Row],[Username]])</f>
        <v>finn_736</v>
      </c>
      <c r="AB499" s="1" t="str">
        <f>TRIM(RPG_dataset[[#This Row],[First Name]])</f>
        <v>Finn</v>
      </c>
      <c r="AC499" s="1" t="str">
        <f>PROPER(TRIM(RPG_dataset[[#This Row],[Race]]))</f>
        <v>Halfling</v>
      </c>
      <c r="AD499" s="1" t="str">
        <f>PROPER(TRIM(RPG_dataset[[#This Row],[Class]]))</f>
        <v>Paladin</v>
      </c>
      <c r="AE499" s="1">
        <f>ABS(RPG_dataset[[#This Row],[Level]])</f>
        <v>4</v>
      </c>
      <c r="AF499" s="1">
        <f>ABS(RPG_dataset[[#This Row],[ATK]])</f>
        <v>95</v>
      </c>
      <c r="AG499" s="1">
        <f>ABS(RPG_dataset[[#This Row],[DEF]])</f>
        <v>101</v>
      </c>
      <c r="AH499" s="1">
        <f>ABS(RPG_dataset[[#This Row],[SPD]])</f>
        <v>31</v>
      </c>
      <c r="AI499" s="1">
        <f>ABS(RPG_dataset[[#This Row],[HP]])</f>
        <v>471</v>
      </c>
      <c r="AJ499" s="1">
        <f>ABS(RPG_dataset[[#This Row],[MP]])</f>
        <v>2939</v>
      </c>
      <c r="AK499" s="1">
        <f>ABS(RPG_dataset[[#This Row],[Total Stat]])</f>
        <v>227</v>
      </c>
      <c r="AL499" s="1">
        <f>ABS(RPG_dataset[[#This Row],[Kills]])</f>
        <v>3925</v>
      </c>
      <c r="AM499" s="12">
        <f>ABS(RPG_dataset[[#This Row],[Win Rate (%)]])</f>
        <v>97</v>
      </c>
      <c r="AN499" s="4">
        <f>ABS(RPG_dataset[[#This Row],[Gold Earned]])</f>
        <v>333113</v>
      </c>
      <c r="AO499" s="5" t="str">
        <f t="shared" si="7"/>
        <v>OK</v>
      </c>
      <c r="AP499" s="5">
        <f>RANK(clean[[#This Row],[Clean Gold]],clean[Clean Gold], 0)</f>
        <v>343</v>
      </c>
      <c r="AQ499" s="1">
        <v>301</v>
      </c>
      <c r="AR499" s="1" t="str" cm="1">
        <f t="array" ref="AR499">_xlfn.IFS(clean[[#This Row],[Clean Level]]&gt;=76, "Legend", clean[[#This Row],[Clean Level]]&gt;=51, "Elite", clean[[#This Row],[Clean Level]]&gt;=26, "Veteran", TRUE, "Rookie")</f>
        <v>Rookie</v>
      </c>
      <c r="AS499" s="1" t="str">
        <f>IF(RPG_dataset[[#This Row],[Status]]="Active", "TRUE", "FALSE")</f>
        <v>FALSE</v>
      </c>
      <c r="AT499" s="1" t="str" cm="1">
        <f t="array" ref="AT499">_xlfn.IFS(clean[[#This Row],[Clean Win Rate]]&gt;70, "Excellent", clean[[#This Row],[Clean Win Rate]]&gt;=40, "Average", TRUE, "Poor")</f>
        <v>Excellent</v>
      </c>
      <c r="AU499" s="1" t="str">
        <f>IF(AND(clean[[#This Row],[Clean Level]]&gt;80, clean[[#This Row],[Clean Total Stat]]&gt;350, clean[[#This Row],[Clean Gold]]&gt;500000), "Overpowered", "Normal")</f>
        <v>Normal</v>
      </c>
      <c r="AV499" s="1" t="str" cm="1">
        <f t="array" ref="AV499">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499" s="1" t="str" cm="1">
        <f t="array" ref="AW499">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Ranger</v>
      </c>
      <c r="AX499" s="1"/>
    </row>
    <row r="500" spans="1:50" x14ac:dyDescent="0.3">
      <c r="A500" s="2" t="s">
        <v>1676</v>
      </c>
      <c r="B500" s="2" t="s">
        <v>1677</v>
      </c>
      <c r="C500" s="2" t="s">
        <v>276</v>
      </c>
      <c r="D500" s="2" t="s">
        <v>304</v>
      </c>
      <c r="E500" s="2" t="s">
        <v>29</v>
      </c>
      <c r="F500" s="2" t="s">
        <v>98</v>
      </c>
      <c r="G500" s="2">
        <v>19</v>
      </c>
      <c r="H500" s="2" t="s">
        <v>80</v>
      </c>
      <c r="I500" s="2" t="s">
        <v>74</v>
      </c>
      <c r="J500" s="2" t="s">
        <v>33</v>
      </c>
      <c r="K500" s="2" t="s">
        <v>44</v>
      </c>
      <c r="L500" s="6" t="s">
        <v>1233</v>
      </c>
      <c r="M500" s="2">
        <v>88</v>
      </c>
      <c r="N500" s="2">
        <v>15</v>
      </c>
      <c r="O500" s="2">
        <v>61</v>
      </c>
      <c r="P500" s="2">
        <v>638</v>
      </c>
      <c r="Q500" s="2">
        <v>469</v>
      </c>
      <c r="R500" s="2">
        <v>164</v>
      </c>
      <c r="S500" s="2">
        <v>4903</v>
      </c>
      <c r="T500" s="2">
        <v>982</v>
      </c>
      <c r="U500" s="2">
        <v>206</v>
      </c>
      <c r="V500" s="2">
        <v>83</v>
      </c>
      <c r="W500" s="2">
        <v>9726</v>
      </c>
      <c r="X500" s="9">
        <v>514150</v>
      </c>
      <c r="Y500" s="2" t="s">
        <v>46</v>
      </c>
      <c r="AA500" s="1" t="str">
        <f>TRIM(RPG_dataset[[#This Row],[Username]])</f>
        <v>brynn_765</v>
      </c>
      <c r="AB500" s="1" t="str">
        <f>TRIM(RPG_dataset[[#This Row],[First Name]])</f>
        <v>Brynn</v>
      </c>
      <c r="AC500" s="1" t="str">
        <f>PROPER(TRIM(RPG_dataset[[#This Row],[Race]]))</f>
        <v>Dwarf</v>
      </c>
      <c r="AD500" s="1" t="str">
        <f>PROPER(TRIM(RPG_dataset[[#This Row],[Class]]))</f>
        <v>Mage</v>
      </c>
      <c r="AE500" s="1">
        <f>ABS(RPG_dataset[[#This Row],[Level]])</f>
        <v>19</v>
      </c>
      <c r="AF500" s="1">
        <f>ABS(RPG_dataset[[#This Row],[ATK]])</f>
        <v>88</v>
      </c>
      <c r="AG500" s="1">
        <f>ABS(RPG_dataset[[#This Row],[DEF]])</f>
        <v>15</v>
      </c>
      <c r="AH500" s="1">
        <f>ABS(RPG_dataset[[#This Row],[SPD]])</f>
        <v>61</v>
      </c>
      <c r="AI500" s="1">
        <f>ABS(RPG_dataset[[#This Row],[HP]])</f>
        <v>638</v>
      </c>
      <c r="AJ500" s="1">
        <f>ABS(RPG_dataset[[#This Row],[MP]])</f>
        <v>469</v>
      </c>
      <c r="AK500" s="1">
        <f>ABS(RPG_dataset[[#This Row],[Total Stat]])</f>
        <v>164</v>
      </c>
      <c r="AL500" s="1">
        <f>ABS(RPG_dataset[[#This Row],[Kills]])</f>
        <v>4903</v>
      </c>
      <c r="AM500" s="12">
        <f>ABS(RPG_dataset[[#This Row],[Win Rate (%)]])</f>
        <v>83</v>
      </c>
      <c r="AN500" s="4">
        <f>ABS(RPG_dataset[[#This Row],[Gold Earned]])</f>
        <v>514150</v>
      </c>
      <c r="AO500" s="5" t="str">
        <f t="shared" si="7"/>
        <v>OK</v>
      </c>
      <c r="AP500" s="5">
        <f>RANK(clean[[#This Row],[Clean Gold]],clean[Clean Gold], 0)</f>
        <v>242</v>
      </c>
      <c r="AQ500" s="1">
        <v>323</v>
      </c>
      <c r="AR500" s="1" t="str" cm="1">
        <f t="array" ref="AR500">_xlfn.IFS(clean[[#This Row],[Clean Level]]&gt;=76, "Legend", clean[[#This Row],[Clean Level]]&gt;=51, "Elite", clean[[#This Row],[Clean Level]]&gt;=26, "Veteran", TRUE, "Rookie")</f>
        <v>Rookie</v>
      </c>
      <c r="AS500" s="1" t="str">
        <f>IF(RPG_dataset[[#This Row],[Status]]="Active", "TRUE", "FALSE")</f>
        <v>TRUE</v>
      </c>
      <c r="AT500" s="1" t="str" cm="1">
        <f t="array" ref="AT500">_xlfn.IFS(clean[[#This Row],[Clean Win Rate]]&gt;70, "Excellent", clean[[#This Row],[Clean Win Rate]]&gt;=40, "Average", TRUE, "Poor")</f>
        <v>Excellent</v>
      </c>
      <c r="AU500" s="1" t="str">
        <f>IF(AND(clean[[#This Row],[Clean Level]]&gt;80, clean[[#This Row],[Clean Total Stat]]&gt;350, clean[[#This Row],[Clean Gold]]&gt;500000), "Overpowered", "Normal")</f>
        <v>Normal</v>
      </c>
      <c r="AV500" s="1" t="str" cm="1">
        <f t="array" ref="AV500">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500" s="1" t="str" cm="1">
        <f t="array" ref="AW500">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Brawler</v>
      </c>
      <c r="AX500" s="1"/>
    </row>
    <row r="501" spans="1:50" x14ac:dyDescent="0.3">
      <c r="A501" s="2" t="s">
        <v>1678</v>
      </c>
      <c r="B501" s="2" t="s">
        <v>1679</v>
      </c>
      <c r="C501" s="2" t="s">
        <v>238</v>
      </c>
      <c r="D501" s="2" t="s">
        <v>210</v>
      </c>
      <c r="E501" s="2" t="s">
        <v>228</v>
      </c>
      <c r="F501" s="2" t="s">
        <v>61</v>
      </c>
      <c r="G501" s="2">
        <v>12</v>
      </c>
      <c r="H501" s="2" t="s">
        <v>31</v>
      </c>
      <c r="I501" s="2" t="s">
        <v>63</v>
      </c>
      <c r="J501" s="2" t="s">
        <v>163</v>
      </c>
      <c r="K501" s="2" t="s">
        <v>44</v>
      </c>
      <c r="L501" s="6" t="s">
        <v>1680</v>
      </c>
      <c r="M501" s="2">
        <v>99</v>
      </c>
      <c r="N501" s="2">
        <v>16</v>
      </c>
      <c r="O501" s="2">
        <v>115</v>
      </c>
      <c r="P501" s="2">
        <v>4559</v>
      </c>
      <c r="Q501" s="2">
        <v>2857</v>
      </c>
      <c r="R501" s="2"/>
      <c r="S501" s="2">
        <v>1590</v>
      </c>
      <c r="T501" s="2">
        <v>50</v>
      </c>
      <c r="U501" s="2">
        <v>227</v>
      </c>
      <c r="V501" s="2">
        <v>97</v>
      </c>
      <c r="W501" s="2">
        <v>9756</v>
      </c>
      <c r="X501" s="9">
        <v>586676</v>
      </c>
      <c r="Y501" s="2" t="s">
        <v>36</v>
      </c>
      <c r="AA501" s="1" t="str">
        <f>TRIM(RPG_dataset[[#This Row],[Username]])</f>
        <v>cael_209</v>
      </c>
      <c r="AB501" s="1" t="str">
        <f>TRIM(RPG_dataset[[#This Row],[First Name]])</f>
        <v>Cael</v>
      </c>
      <c r="AC501" s="1" t="str">
        <f>PROPER(TRIM(RPG_dataset[[#This Row],[Race]]))</f>
        <v>Elf</v>
      </c>
      <c r="AD501" s="1" t="str">
        <f>PROPER(TRIM(RPG_dataset[[#This Row],[Class]]))</f>
        <v>Ranger</v>
      </c>
      <c r="AE501" s="1">
        <f>ABS(RPG_dataset[[#This Row],[Level]])</f>
        <v>12</v>
      </c>
      <c r="AF501" s="1">
        <f>ABS(RPG_dataset[[#This Row],[ATK]])</f>
        <v>99</v>
      </c>
      <c r="AG501" s="1">
        <f>ABS(RPG_dataset[[#This Row],[DEF]])</f>
        <v>16</v>
      </c>
      <c r="AH501" s="1">
        <f>ABS(RPG_dataset[[#This Row],[SPD]])</f>
        <v>115</v>
      </c>
      <c r="AI501" s="1">
        <f>ABS(RPG_dataset[[#This Row],[HP]])</f>
        <v>4559</v>
      </c>
      <c r="AJ501" s="1">
        <f>ABS(RPG_dataset[[#This Row],[MP]])</f>
        <v>2857</v>
      </c>
      <c r="AK501" s="1">
        <f>ABS(RPG_dataset[[#This Row],[Total Stat]])</f>
        <v>0</v>
      </c>
      <c r="AL501" s="1">
        <f>ABS(RPG_dataset[[#This Row],[Kills]])</f>
        <v>1590</v>
      </c>
      <c r="AM501" s="12">
        <f>ABS(RPG_dataset[[#This Row],[Win Rate (%)]])</f>
        <v>97</v>
      </c>
      <c r="AN501" s="4">
        <f>ABS(RPG_dataset[[#This Row],[Gold Earned]])</f>
        <v>586676</v>
      </c>
      <c r="AO501" s="5" t="str">
        <f t="shared" si="7"/>
        <v>OK</v>
      </c>
      <c r="AP501" s="5">
        <f>RANK(clean[[#This Row],[Clean Gold]],clean[Clean Gold], 0)</f>
        <v>208</v>
      </c>
      <c r="AQ501" s="1">
        <v>-196</v>
      </c>
      <c r="AR501" s="1" t="str" cm="1">
        <f t="array" ref="AR501">_xlfn.IFS(clean[[#This Row],[Clean Level]]&gt;=76, "Legend", clean[[#This Row],[Clean Level]]&gt;=51, "Elite", clean[[#This Row],[Clean Level]]&gt;=26, "Veteran", TRUE, "Rookie")</f>
        <v>Rookie</v>
      </c>
      <c r="AS501" s="1" t="str">
        <f>IF(RPG_dataset[[#This Row],[Status]]="Active", "TRUE", "FALSE")</f>
        <v>TRUE</v>
      </c>
      <c r="AT501" s="1" t="str" cm="1">
        <f t="array" ref="AT501">_xlfn.IFS(clean[[#This Row],[Clean Win Rate]]&gt;70, "Excellent", clean[[#This Row],[Clean Win Rate]]&gt;=40, "Average", TRUE, "Poor")</f>
        <v>Excellent</v>
      </c>
      <c r="AU501" s="1" t="str">
        <f>IF(AND(clean[[#This Row],[Clean Level]]&gt;80, clean[[#This Row],[Clean Total Stat]]&gt;350, clean[[#This Row],[Clean Gold]]&gt;500000), "Overpowered", "Normal")</f>
        <v>Normal</v>
      </c>
      <c r="AV501" s="1" t="str" cm="1">
        <f t="array" ref="AV501">_xlfn.IFS(
(AND(OR(clean[[#This Row],[Tier]]="Elite", clean[[#This Row],[Tier]]="Legend"), clean[[#This Row],[Performance]]="Excellent", RPG_dataset[[#This Row],[Is Premium]]="Yes")), "High", OR(OR(clean[[#This Row],[Tier]]="Elite", clean[[#This Row],[Tier]]="Legend"), clean[[#This Row],[Performance]]="Excellent", RPG_dataset[[#This Row],[Is Premium]]="Yes"), "Medium", TRUE, "Low")</f>
        <v>Medium</v>
      </c>
      <c r="AW501" s="1" t="str" cm="1">
        <f t="array" ref="AW501">_xlfn.IFS(AND(clean[[#This Row],[Clean Total Stat]]&gt;=300, clean[[#This Row],[Clean Class]]="Warrior"), "Squad Inti", RPG_dataset[[#This Row],[Guild]]="Arcane Order", "Tactician", clean[[#This Row],[Clean SPD]]&gt;=83, "Elity Spy", AND(clean[[#This Row],[Clean HP]]&gt;=3000, clean[[#This Row],[Clean DEF]]&gt;=90), "Tanker", AND(clean[[#This Row],[Clean ATK]]&gt;=82, clean[[#This Row],[Clean SPD]]&gt;=60), "Brawler", RPG_dataset[[#This Row],[Guild]]="Golden Leaf", "Ranger", TRUE, "Reguler")</f>
        <v>Elity Spy</v>
      </c>
      <c r="AX501" s="1"/>
    </row>
  </sheetData>
  <mergeCells count="2">
    <mergeCell ref="AY1:AZ1"/>
    <mergeCell ref="AY8:AZ8"/>
  </mergeCells>
  <dataValidations count="2">
    <dataValidation type="list" allowBlank="1" showInputMessage="1" showErrorMessage="1" sqref="AZ13 AZ19" xr:uid="{76F26318-5353-430F-BD91-CC697A1D2F8D}">
      <formula1>$BH$2:$BH$9</formula1>
    </dataValidation>
    <dataValidation type="list" allowBlank="1" showInputMessage="1" showErrorMessage="1" sqref="AZ16" xr:uid="{B5F64C4D-7CC1-4D92-99C1-8693C7EF6EC0}">
      <formula1>$BF$2:$BF$3</formula1>
    </dataValidation>
  </dataValidation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EF29E-1C8D-41A2-B51C-075C0CBD4B9D}">
  <dimension ref="A3:N48"/>
  <sheetViews>
    <sheetView topLeftCell="A40" workbookViewId="0">
      <selection activeCell="A52" sqref="A52:B191"/>
    </sheetView>
  </sheetViews>
  <sheetFormatPr defaultRowHeight="14.4" x14ac:dyDescent="0.3"/>
  <cols>
    <col min="1" max="1" width="12.77734375" bestFit="1" customWidth="1"/>
    <col min="2" max="2" width="16.33203125" bestFit="1" customWidth="1"/>
    <col min="3" max="3" width="13.5546875" bestFit="1" customWidth="1"/>
    <col min="4" max="4" width="12.5546875" bestFit="1" customWidth="1"/>
    <col min="5" max="5" width="17.88671875" bestFit="1" customWidth="1"/>
    <col min="6" max="6" width="17.21875" bestFit="1" customWidth="1"/>
    <col min="7" max="7" width="5.5546875" bestFit="1" customWidth="1"/>
    <col min="8" max="8" width="5.6640625" bestFit="1" customWidth="1"/>
    <col min="9" max="9" width="12.109375" bestFit="1" customWidth="1"/>
    <col min="10" max="10" width="6.88671875" bestFit="1" customWidth="1"/>
    <col min="11" max="11" width="6.6640625" bestFit="1" customWidth="1"/>
    <col min="12" max="12" width="6.109375" bestFit="1" customWidth="1"/>
    <col min="13" max="13" width="7.33203125" bestFit="1" customWidth="1"/>
    <col min="14" max="14" width="10.5546875" bestFit="1" customWidth="1"/>
  </cols>
  <sheetData>
    <row r="3" spans="1:14" x14ac:dyDescent="0.3">
      <c r="A3" s="18" t="s">
        <v>5</v>
      </c>
      <c r="B3" s="1" t="s">
        <v>1746</v>
      </c>
      <c r="D3" s="18" t="s">
        <v>1746</v>
      </c>
      <c r="E3" s="18" t="s">
        <v>5</v>
      </c>
      <c r="F3" s="1"/>
      <c r="G3" s="1"/>
      <c r="H3" s="1"/>
      <c r="I3" s="1"/>
      <c r="J3" s="1"/>
      <c r="K3" s="1"/>
      <c r="L3" s="1"/>
      <c r="M3" s="1"/>
      <c r="N3" s="1"/>
    </row>
    <row r="4" spans="1:14" x14ac:dyDescent="0.3">
      <c r="A4" s="1"/>
      <c r="B4" s="19">
        <v>8</v>
      </c>
      <c r="D4" s="18" t="s">
        <v>4</v>
      </c>
      <c r="E4" s="1"/>
      <c r="F4" s="1" t="s">
        <v>52</v>
      </c>
      <c r="G4" s="1" t="s">
        <v>98</v>
      </c>
      <c r="H4" s="1" t="s">
        <v>42</v>
      </c>
      <c r="I4" s="1" t="s">
        <v>124</v>
      </c>
      <c r="J4" s="1" t="s">
        <v>194</v>
      </c>
      <c r="K4" s="1" t="s">
        <v>61</v>
      </c>
      <c r="L4" s="1" t="s">
        <v>30</v>
      </c>
      <c r="M4" s="1" t="s">
        <v>72</v>
      </c>
      <c r="N4" s="1" t="s">
        <v>1745</v>
      </c>
    </row>
    <row r="5" spans="1:14" x14ac:dyDescent="0.3">
      <c r="A5" s="1" t="s">
        <v>52</v>
      </c>
      <c r="B5" s="19">
        <v>68</v>
      </c>
      <c r="D5" s="1"/>
      <c r="E5" s="19"/>
      <c r="F5" s="19">
        <v>2</v>
      </c>
      <c r="G5" s="19">
        <v>1</v>
      </c>
      <c r="H5" s="19">
        <v>1</v>
      </c>
      <c r="I5" s="19">
        <v>3</v>
      </c>
      <c r="J5" s="19">
        <v>2</v>
      </c>
      <c r="K5" s="19">
        <v>1</v>
      </c>
      <c r="L5" s="19">
        <v>2</v>
      </c>
      <c r="M5" s="19">
        <v>2</v>
      </c>
      <c r="N5" s="19">
        <v>14</v>
      </c>
    </row>
    <row r="6" spans="1:14" x14ac:dyDescent="0.3">
      <c r="A6" s="1" t="s">
        <v>98</v>
      </c>
      <c r="B6" s="19">
        <v>62</v>
      </c>
      <c r="D6" s="1" t="s">
        <v>71</v>
      </c>
      <c r="E6" s="19">
        <v>2</v>
      </c>
      <c r="F6" s="19">
        <v>6</v>
      </c>
      <c r="G6" s="19">
        <v>8</v>
      </c>
      <c r="H6" s="19">
        <v>12</v>
      </c>
      <c r="I6" s="19">
        <v>6</v>
      </c>
      <c r="J6" s="19">
        <v>4</v>
      </c>
      <c r="K6" s="19">
        <v>7</v>
      </c>
      <c r="L6" s="19">
        <v>13</v>
      </c>
      <c r="M6" s="19">
        <v>13</v>
      </c>
      <c r="N6" s="19">
        <v>71</v>
      </c>
    </row>
    <row r="7" spans="1:14" x14ac:dyDescent="0.3">
      <c r="A7" s="1" t="s">
        <v>42</v>
      </c>
      <c r="B7" s="19">
        <v>60</v>
      </c>
      <c r="D7" s="1" t="s">
        <v>29</v>
      </c>
      <c r="E7" s="19">
        <v>1</v>
      </c>
      <c r="F7" s="19">
        <v>9</v>
      </c>
      <c r="G7" s="19">
        <v>6</v>
      </c>
      <c r="H7" s="19">
        <v>5</v>
      </c>
      <c r="I7" s="19">
        <v>6</v>
      </c>
      <c r="J7" s="19">
        <v>14</v>
      </c>
      <c r="K7" s="19">
        <v>7</v>
      </c>
      <c r="L7" s="19">
        <v>6</v>
      </c>
      <c r="M7" s="19">
        <v>9</v>
      </c>
      <c r="N7" s="19">
        <v>63</v>
      </c>
    </row>
    <row r="8" spans="1:14" x14ac:dyDescent="0.3">
      <c r="A8" s="1" t="s">
        <v>124</v>
      </c>
      <c r="B8" s="19">
        <v>53</v>
      </c>
      <c r="D8" s="1" t="s">
        <v>228</v>
      </c>
      <c r="E8" s="19"/>
      <c r="F8" s="19">
        <v>11</v>
      </c>
      <c r="G8" s="19">
        <v>6</v>
      </c>
      <c r="H8" s="19">
        <v>5</v>
      </c>
      <c r="I8" s="19">
        <v>5</v>
      </c>
      <c r="J8" s="19">
        <v>3</v>
      </c>
      <c r="K8" s="19">
        <v>7</v>
      </c>
      <c r="L8" s="19">
        <v>6</v>
      </c>
      <c r="M8" s="19">
        <v>6</v>
      </c>
      <c r="N8" s="19">
        <v>49</v>
      </c>
    </row>
    <row r="9" spans="1:14" x14ac:dyDescent="0.3">
      <c r="A9" s="1" t="s">
        <v>194</v>
      </c>
      <c r="B9" s="19">
        <v>74</v>
      </c>
      <c r="D9" s="1" t="s">
        <v>41</v>
      </c>
      <c r="E9" s="19">
        <v>1</v>
      </c>
      <c r="F9" s="19">
        <v>3</v>
      </c>
      <c r="G9" s="19">
        <v>4</v>
      </c>
      <c r="H9" s="19">
        <v>5</v>
      </c>
      <c r="I9" s="19">
        <v>9</v>
      </c>
      <c r="J9" s="19">
        <v>9</v>
      </c>
      <c r="K9" s="19">
        <v>7</v>
      </c>
      <c r="L9" s="19">
        <v>10</v>
      </c>
      <c r="M9" s="19">
        <v>4</v>
      </c>
      <c r="N9" s="19">
        <v>52</v>
      </c>
    </row>
    <row r="10" spans="1:14" x14ac:dyDescent="0.3">
      <c r="A10" s="1" t="s">
        <v>61</v>
      </c>
      <c r="B10" s="19">
        <v>50</v>
      </c>
      <c r="D10" s="1" t="s">
        <v>169</v>
      </c>
      <c r="E10" s="19">
        <v>1</v>
      </c>
      <c r="F10" s="19">
        <v>11</v>
      </c>
      <c r="G10" s="19">
        <v>5</v>
      </c>
      <c r="H10" s="19">
        <v>4</v>
      </c>
      <c r="I10" s="19">
        <v>5</v>
      </c>
      <c r="J10" s="19">
        <v>11</v>
      </c>
      <c r="K10" s="19">
        <v>6</v>
      </c>
      <c r="L10" s="19">
        <v>7</v>
      </c>
      <c r="M10" s="19">
        <v>7</v>
      </c>
      <c r="N10" s="19">
        <v>57</v>
      </c>
    </row>
    <row r="11" spans="1:14" x14ac:dyDescent="0.3">
      <c r="A11" s="1" t="s">
        <v>30</v>
      </c>
      <c r="B11" s="19">
        <v>62</v>
      </c>
      <c r="D11" s="1" t="s">
        <v>60</v>
      </c>
      <c r="E11" s="19">
        <v>2</v>
      </c>
      <c r="F11" s="19">
        <v>7</v>
      </c>
      <c r="G11" s="19">
        <v>10</v>
      </c>
      <c r="H11" s="19">
        <v>8</v>
      </c>
      <c r="I11" s="19">
        <v>10</v>
      </c>
      <c r="J11" s="19">
        <v>13</v>
      </c>
      <c r="K11" s="19">
        <v>7</v>
      </c>
      <c r="L11" s="19">
        <v>6</v>
      </c>
      <c r="M11" s="19">
        <v>3</v>
      </c>
      <c r="N11" s="19">
        <v>66</v>
      </c>
    </row>
    <row r="12" spans="1:14" x14ac:dyDescent="0.3">
      <c r="A12" s="1" t="s">
        <v>72</v>
      </c>
      <c r="B12" s="19">
        <v>63</v>
      </c>
      <c r="D12" s="1" t="s">
        <v>105</v>
      </c>
      <c r="E12" s="19">
        <v>1</v>
      </c>
      <c r="F12" s="19">
        <v>8</v>
      </c>
      <c r="G12" s="19">
        <v>13</v>
      </c>
      <c r="H12" s="19">
        <v>10</v>
      </c>
      <c r="I12" s="19">
        <v>6</v>
      </c>
      <c r="J12" s="19">
        <v>11</v>
      </c>
      <c r="K12" s="19">
        <v>3</v>
      </c>
      <c r="L12" s="19">
        <v>7</v>
      </c>
      <c r="M12" s="19">
        <v>14</v>
      </c>
      <c r="N12" s="19">
        <v>73</v>
      </c>
    </row>
    <row r="13" spans="1:14" x14ac:dyDescent="0.3">
      <c r="A13" s="1" t="s">
        <v>1745</v>
      </c>
      <c r="B13" s="19">
        <v>500</v>
      </c>
      <c r="D13" s="1" t="s">
        <v>51</v>
      </c>
      <c r="E13" s="19"/>
      <c r="F13" s="19">
        <v>11</v>
      </c>
      <c r="G13" s="19">
        <v>9</v>
      </c>
      <c r="H13" s="19">
        <v>10</v>
      </c>
      <c r="I13" s="19">
        <v>3</v>
      </c>
      <c r="J13" s="19">
        <v>7</v>
      </c>
      <c r="K13" s="19">
        <v>5</v>
      </c>
      <c r="L13" s="19">
        <v>5</v>
      </c>
      <c r="M13" s="19">
        <v>5</v>
      </c>
      <c r="N13" s="19">
        <v>55</v>
      </c>
    </row>
    <row r="14" spans="1:14" x14ac:dyDescent="0.3">
      <c r="D14" s="1" t="s">
        <v>1745</v>
      </c>
      <c r="E14" s="19">
        <v>8</v>
      </c>
      <c r="F14" s="19">
        <v>68</v>
      </c>
      <c r="G14" s="19">
        <v>62</v>
      </c>
      <c r="H14" s="19">
        <v>60</v>
      </c>
      <c r="I14" s="19">
        <v>53</v>
      </c>
      <c r="J14" s="19">
        <v>74</v>
      </c>
      <c r="K14" s="19">
        <v>50</v>
      </c>
      <c r="L14" s="19">
        <v>62</v>
      </c>
      <c r="M14" s="19">
        <v>63</v>
      </c>
      <c r="N14" s="19">
        <v>500</v>
      </c>
    </row>
    <row r="16" spans="1:14" x14ac:dyDescent="0.3">
      <c r="A16" s="18" t="s">
        <v>1744</v>
      </c>
      <c r="B16" s="1" t="s">
        <v>1747</v>
      </c>
    </row>
    <row r="17" spans="1:6" x14ac:dyDescent="0.3">
      <c r="A17" s="1"/>
      <c r="B17" s="20">
        <v>6161371</v>
      </c>
      <c r="D17" s="18" t="s">
        <v>8</v>
      </c>
      <c r="E17" s="1" t="s">
        <v>1757</v>
      </c>
      <c r="F17" s="1" t="s">
        <v>1747</v>
      </c>
    </row>
    <row r="18" spans="1:6" x14ac:dyDescent="0.3">
      <c r="A18" s="1" t="s">
        <v>80</v>
      </c>
      <c r="B18" s="20">
        <v>36544192</v>
      </c>
      <c r="D18" s="1" t="s">
        <v>140</v>
      </c>
      <c r="E18" s="19">
        <v>167686</v>
      </c>
      <c r="F18" s="20">
        <v>29451408</v>
      </c>
    </row>
    <row r="19" spans="1:6" x14ac:dyDescent="0.3">
      <c r="A19" s="1" t="s">
        <v>53</v>
      </c>
      <c r="B19" s="20">
        <v>31384974</v>
      </c>
      <c r="D19" s="1" t="s">
        <v>87</v>
      </c>
      <c r="E19" s="19">
        <v>125601</v>
      </c>
      <c r="F19" s="20">
        <v>29642572</v>
      </c>
    </row>
    <row r="20" spans="1:6" x14ac:dyDescent="0.3">
      <c r="A20" s="1" t="s">
        <v>125</v>
      </c>
      <c r="B20" s="20">
        <v>30848550</v>
      </c>
      <c r="D20" s="1" t="s">
        <v>54</v>
      </c>
      <c r="E20" s="19">
        <v>194066</v>
      </c>
      <c r="F20" s="20">
        <v>33800134</v>
      </c>
    </row>
    <row r="21" spans="1:6" x14ac:dyDescent="0.3">
      <c r="A21" s="1" t="s">
        <v>157</v>
      </c>
      <c r="B21" s="20">
        <v>31425753</v>
      </c>
      <c r="D21" s="1" t="s">
        <v>74</v>
      </c>
      <c r="E21" s="19">
        <v>128798</v>
      </c>
      <c r="F21" s="20">
        <v>32888720</v>
      </c>
    </row>
    <row r="22" spans="1:6" x14ac:dyDescent="0.3">
      <c r="A22" s="1" t="s">
        <v>43</v>
      </c>
      <c r="B22" s="20">
        <v>25080946</v>
      </c>
      <c r="D22" s="1" t="s">
        <v>63</v>
      </c>
      <c r="E22" s="19">
        <v>283677</v>
      </c>
      <c r="F22" s="20">
        <v>57341794</v>
      </c>
    </row>
    <row r="23" spans="1:6" x14ac:dyDescent="0.3">
      <c r="A23" s="1" t="s">
        <v>31</v>
      </c>
      <c r="B23" s="20">
        <v>34996539</v>
      </c>
      <c r="D23" s="1" t="s">
        <v>126</v>
      </c>
      <c r="E23" s="19">
        <v>149747</v>
      </c>
      <c r="F23" s="20">
        <v>33460854</v>
      </c>
    </row>
    <row r="24" spans="1:6" x14ac:dyDescent="0.3">
      <c r="A24" s="1" t="s">
        <v>73</v>
      </c>
      <c r="B24" s="20">
        <v>22505843</v>
      </c>
      <c r="D24" s="1" t="s">
        <v>32</v>
      </c>
      <c r="E24" s="19">
        <v>181759</v>
      </c>
      <c r="F24" s="20">
        <v>32627348</v>
      </c>
    </row>
    <row r="25" spans="1:6" x14ac:dyDescent="0.3">
      <c r="A25" s="1" t="s">
        <v>62</v>
      </c>
      <c r="B25" s="20">
        <v>30264662</v>
      </c>
      <c r="D25" s="1" t="s">
        <v>1745</v>
      </c>
      <c r="E25" s="19">
        <v>1231334</v>
      </c>
      <c r="F25" s="20">
        <v>249212830</v>
      </c>
    </row>
    <row r="26" spans="1:6" x14ac:dyDescent="0.3">
      <c r="A26" s="1" t="s">
        <v>1745</v>
      </c>
      <c r="B26" s="20">
        <v>249212830</v>
      </c>
    </row>
    <row r="29" spans="1:6" x14ac:dyDescent="0.3">
      <c r="A29" s="18" t="s">
        <v>1755</v>
      </c>
      <c r="B29" s="1" t="s">
        <v>1746</v>
      </c>
      <c r="C29" s="1" t="s">
        <v>1756</v>
      </c>
    </row>
    <row r="30" spans="1:6" x14ac:dyDescent="0.3">
      <c r="A30" s="21" t="s">
        <v>1748</v>
      </c>
      <c r="B30" s="22">
        <v>80</v>
      </c>
      <c r="C30" s="22">
        <v>49.363636363636367</v>
      </c>
    </row>
    <row r="31" spans="1:6" x14ac:dyDescent="0.3">
      <c r="A31" s="21" t="s">
        <v>1749</v>
      </c>
      <c r="B31" s="22">
        <v>68</v>
      </c>
      <c r="C31" s="22">
        <v>57.060606060606062</v>
      </c>
    </row>
    <row r="32" spans="1:6" x14ac:dyDescent="0.3">
      <c r="A32" s="21" t="s">
        <v>1750</v>
      </c>
      <c r="B32" s="22">
        <v>84</v>
      </c>
      <c r="C32" s="22">
        <v>53.604938271604937</v>
      </c>
    </row>
    <row r="33" spans="1:3" x14ac:dyDescent="0.3">
      <c r="A33" s="21" t="s">
        <v>1751</v>
      </c>
      <c r="B33" s="22">
        <v>68</v>
      </c>
      <c r="C33" s="22">
        <v>48.151515151515149</v>
      </c>
    </row>
    <row r="34" spans="1:3" x14ac:dyDescent="0.3">
      <c r="A34" s="21" t="s">
        <v>1752</v>
      </c>
      <c r="B34" s="22">
        <v>70</v>
      </c>
      <c r="C34" s="22">
        <v>50.637681159420289</v>
      </c>
    </row>
    <row r="35" spans="1:3" x14ac:dyDescent="0.3">
      <c r="A35" s="21" t="s">
        <v>1753</v>
      </c>
      <c r="B35" s="22">
        <v>60</v>
      </c>
      <c r="C35" s="22">
        <v>53.981818181818184</v>
      </c>
    </row>
    <row r="36" spans="1:3" x14ac:dyDescent="0.3">
      <c r="A36" s="21" t="s">
        <v>1754</v>
      </c>
      <c r="B36" s="22">
        <v>70</v>
      </c>
      <c r="C36" s="22">
        <v>51.161764705882355</v>
      </c>
    </row>
    <row r="37" spans="1:3" x14ac:dyDescent="0.3">
      <c r="A37" s="1" t="s">
        <v>1745</v>
      </c>
      <c r="B37" s="19">
        <v>500</v>
      </c>
      <c r="C37" s="19">
        <v>51.927385892116185</v>
      </c>
    </row>
    <row r="40" spans="1:3" x14ac:dyDescent="0.3">
      <c r="A40" s="18" t="s">
        <v>8</v>
      </c>
      <c r="B40" s="1" t="s">
        <v>1746</v>
      </c>
    </row>
    <row r="41" spans="1:3" x14ac:dyDescent="0.3">
      <c r="A41" s="1" t="s">
        <v>140</v>
      </c>
      <c r="B41" s="19">
        <v>62</v>
      </c>
    </row>
    <row r="42" spans="1:3" x14ac:dyDescent="0.3">
      <c r="A42" s="1" t="s">
        <v>87</v>
      </c>
      <c r="B42" s="19">
        <v>52</v>
      </c>
    </row>
    <row r="43" spans="1:3" x14ac:dyDescent="0.3">
      <c r="A43" s="1" t="s">
        <v>54</v>
      </c>
      <c r="B43" s="19">
        <v>76</v>
      </c>
    </row>
    <row r="44" spans="1:3" x14ac:dyDescent="0.3">
      <c r="A44" s="1" t="s">
        <v>74</v>
      </c>
      <c r="B44" s="19">
        <v>65</v>
      </c>
    </row>
    <row r="45" spans="1:3" x14ac:dyDescent="0.3">
      <c r="A45" s="1" t="s">
        <v>63</v>
      </c>
      <c r="B45" s="19">
        <v>118</v>
      </c>
    </row>
    <row r="46" spans="1:3" x14ac:dyDescent="0.3">
      <c r="A46" s="1" t="s">
        <v>126</v>
      </c>
      <c r="B46" s="19">
        <v>63</v>
      </c>
    </row>
    <row r="47" spans="1:3" x14ac:dyDescent="0.3">
      <c r="A47" s="1" t="s">
        <v>32</v>
      </c>
      <c r="B47" s="19">
        <v>64</v>
      </c>
    </row>
    <row r="48" spans="1:3" x14ac:dyDescent="0.3">
      <c r="A48" s="1" t="s">
        <v>1745</v>
      </c>
      <c r="B48" s="19">
        <v>500</v>
      </c>
    </row>
  </sheetData>
  <conditionalFormatting pivot="1" sqref="E5:M13">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48082-52C2-49E5-8A63-3B79843F18C1}">
  <dimension ref="L2:DD197"/>
  <sheetViews>
    <sheetView showGridLines="0" topLeftCell="F1" zoomScale="18" zoomScaleNormal="15" workbookViewId="0">
      <selection activeCell="BA157" sqref="BA157"/>
    </sheetView>
  </sheetViews>
  <sheetFormatPr defaultRowHeight="14.4" x14ac:dyDescent="0.3"/>
  <cols>
    <col min="1" max="16384" width="8.88671875" style="23"/>
  </cols>
  <sheetData>
    <row r="2" spans="12:108" x14ac:dyDescent="0.3">
      <c r="L2" s="25" t="s">
        <v>1758</v>
      </c>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S2" s="25" t="s">
        <v>1759</v>
      </c>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Z2" s="25" t="s">
        <v>1760</v>
      </c>
      <c r="CA2" s="25"/>
      <c r="CB2" s="25"/>
      <c r="CC2" s="25"/>
      <c r="CD2" s="25"/>
      <c r="CE2" s="25"/>
      <c r="CF2" s="25"/>
      <c r="CG2" s="25"/>
      <c r="CH2" s="25"/>
      <c r="CI2" s="25"/>
      <c r="CJ2" s="25"/>
      <c r="CK2" s="25"/>
      <c r="CL2" s="25"/>
      <c r="CM2" s="25"/>
      <c r="CN2" s="25"/>
      <c r="CO2" s="25"/>
      <c r="CP2" s="25"/>
      <c r="CQ2" s="25"/>
      <c r="CR2" s="25"/>
      <c r="CS2" s="25"/>
      <c r="CT2" s="25"/>
      <c r="CU2" s="25"/>
      <c r="CV2" s="25"/>
      <c r="CW2" s="25"/>
      <c r="CX2" s="25"/>
      <c r="CY2" s="25"/>
      <c r="CZ2" s="25"/>
      <c r="DA2" s="25"/>
      <c r="DB2" s="25"/>
      <c r="DC2" s="25"/>
      <c r="DD2" s="25"/>
    </row>
    <row r="3" spans="12:108" x14ac:dyDescent="0.3">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row>
    <row r="4" spans="12:108" x14ac:dyDescent="0.3">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Z4" s="25"/>
      <c r="CA4" s="25"/>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row>
    <row r="5" spans="12:108" x14ac:dyDescent="0.3">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row>
    <row r="6" spans="12:108" x14ac:dyDescent="0.3">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Z6" s="25"/>
      <c r="CA6" s="25"/>
      <c r="CB6" s="25"/>
      <c r="CC6" s="25"/>
      <c r="CD6" s="25"/>
      <c r="CE6" s="25"/>
      <c r="CF6" s="25"/>
      <c r="CG6" s="25"/>
      <c r="CH6" s="25"/>
      <c r="CI6" s="25"/>
      <c r="CJ6" s="25"/>
      <c r="CK6" s="25"/>
      <c r="CL6" s="25"/>
      <c r="CM6" s="25"/>
      <c r="CN6" s="25"/>
      <c r="CO6" s="25"/>
      <c r="CP6" s="25"/>
      <c r="CQ6" s="25"/>
      <c r="CR6" s="25"/>
      <c r="CS6" s="25"/>
      <c r="CT6" s="25"/>
      <c r="CU6" s="25"/>
      <c r="CV6" s="25"/>
      <c r="CW6" s="25"/>
      <c r="CX6" s="25"/>
      <c r="CY6" s="25"/>
      <c r="CZ6" s="25"/>
      <c r="DA6" s="25"/>
      <c r="DB6" s="25"/>
      <c r="DC6" s="25"/>
      <c r="DD6" s="25"/>
    </row>
    <row r="7" spans="12:108" x14ac:dyDescent="0.3">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Z7" s="25"/>
      <c r="CA7" s="25"/>
      <c r="CB7" s="25"/>
      <c r="CC7" s="25"/>
      <c r="CD7" s="25"/>
      <c r="CE7" s="25"/>
      <c r="CF7" s="25"/>
      <c r="CG7" s="25"/>
      <c r="CH7" s="25"/>
      <c r="CI7" s="25"/>
      <c r="CJ7" s="25"/>
      <c r="CK7" s="25"/>
      <c r="CL7" s="25"/>
      <c r="CM7" s="25"/>
      <c r="CN7" s="25"/>
      <c r="CO7" s="25"/>
      <c r="CP7" s="25"/>
      <c r="CQ7" s="25"/>
      <c r="CR7" s="25"/>
      <c r="CS7" s="25"/>
      <c r="CT7" s="25"/>
      <c r="CU7" s="25"/>
      <c r="CV7" s="25"/>
      <c r="CW7" s="25"/>
      <c r="CX7" s="25"/>
      <c r="CY7" s="25"/>
      <c r="CZ7" s="25"/>
      <c r="DA7" s="25"/>
      <c r="DB7" s="25"/>
      <c r="DC7" s="25"/>
      <c r="DD7" s="25"/>
    </row>
    <row r="8" spans="12:108" x14ac:dyDescent="0.3">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row>
    <row r="9" spans="12:108" x14ac:dyDescent="0.3">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row>
    <row r="10" spans="12:108" x14ac:dyDescent="0.3">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row>
    <row r="11" spans="12:108" x14ac:dyDescent="0.3">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row>
    <row r="12" spans="12:108" x14ac:dyDescent="0.3">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row>
    <row r="13" spans="12:108" x14ac:dyDescent="0.3">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row>
    <row r="14" spans="12:108" x14ac:dyDescent="0.3">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row>
    <row r="15" spans="12:108" x14ac:dyDescent="0.3">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row>
    <row r="16" spans="12:108" x14ac:dyDescent="0.3">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row>
    <row r="17" spans="12:108" x14ac:dyDescent="0.3">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row>
    <row r="18" spans="12:108" x14ac:dyDescent="0.3">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row>
    <row r="19" spans="12:108" x14ac:dyDescent="0.3">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row>
    <row r="20" spans="12:108" x14ac:dyDescent="0.3">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c r="CX20" s="25"/>
      <c r="CY20" s="25"/>
      <c r="CZ20" s="25"/>
      <c r="DA20" s="25"/>
      <c r="DB20" s="25"/>
      <c r="DC20" s="25"/>
      <c r="DD20" s="25"/>
    </row>
    <row r="21" spans="12:108" x14ac:dyDescent="0.3">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row>
    <row r="22" spans="12:108" x14ac:dyDescent="0.3">
      <c r="L22" s="25">
        <f>COUNTA(clean_data[Player ID])</f>
        <v>500</v>
      </c>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S22" s="26">
        <f>AVERAGE(clean_data[Level])</f>
        <v>51.927385892116185</v>
      </c>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Z22" s="27">
        <f>SUM(clean_data[Gold Earned])</f>
        <v>249212830</v>
      </c>
      <c r="CA22" s="27"/>
      <c r="CB22" s="27"/>
      <c r="CC22" s="27"/>
      <c r="CD22" s="27"/>
      <c r="CE22" s="27"/>
      <c r="CF22" s="27"/>
      <c r="CG22" s="27"/>
      <c r="CH22" s="27"/>
      <c r="CI22" s="27"/>
      <c r="CJ22" s="27"/>
      <c r="CK22" s="27"/>
      <c r="CL22" s="27"/>
      <c r="CM22" s="27"/>
      <c r="CN22" s="27"/>
      <c r="CO22" s="27"/>
      <c r="CP22" s="27"/>
      <c r="CQ22" s="27"/>
      <c r="CR22" s="27"/>
      <c r="CS22" s="27"/>
      <c r="CT22" s="27"/>
      <c r="CU22" s="27"/>
      <c r="CV22" s="27"/>
      <c r="CW22" s="27"/>
      <c r="CX22" s="27"/>
      <c r="CY22" s="27"/>
      <c r="CZ22" s="27"/>
      <c r="DA22" s="27"/>
      <c r="DB22" s="27"/>
      <c r="DC22" s="27"/>
      <c r="DD22" s="27"/>
    </row>
    <row r="23" spans="12:108" x14ac:dyDescent="0.3">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Z23" s="27"/>
      <c r="CA23" s="27"/>
      <c r="CB23" s="27"/>
      <c r="CC23" s="27"/>
      <c r="CD23" s="27"/>
      <c r="CE23" s="27"/>
      <c r="CF23" s="27"/>
      <c r="CG23" s="27"/>
      <c r="CH23" s="27"/>
      <c r="CI23" s="27"/>
      <c r="CJ23" s="27"/>
      <c r="CK23" s="27"/>
      <c r="CL23" s="27"/>
      <c r="CM23" s="27"/>
      <c r="CN23" s="27"/>
      <c r="CO23" s="27"/>
      <c r="CP23" s="27"/>
      <c r="CQ23" s="27"/>
      <c r="CR23" s="27"/>
      <c r="CS23" s="27"/>
      <c r="CT23" s="27"/>
      <c r="CU23" s="27"/>
      <c r="CV23" s="27"/>
      <c r="CW23" s="27"/>
      <c r="CX23" s="27"/>
      <c r="CY23" s="27"/>
      <c r="CZ23" s="27"/>
      <c r="DA23" s="27"/>
      <c r="DB23" s="27"/>
      <c r="DC23" s="27"/>
      <c r="DD23" s="27"/>
    </row>
    <row r="24" spans="12:108" x14ac:dyDescent="0.3">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Z24" s="27"/>
      <c r="CA24" s="27"/>
      <c r="CB24" s="27"/>
      <c r="CC24" s="27"/>
      <c r="CD24" s="27"/>
      <c r="CE24" s="27"/>
      <c r="CF24" s="27"/>
      <c r="CG24" s="27"/>
      <c r="CH24" s="27"/>
      <c r="CI24" s="27"/>
      <c r="CJ24" s="27"/>
      <c r="CK24" s="27"/>
      <c r="CL24" s="27"/>
      <c r="CM24" s="27"/>
      <c r="CN24" s="27"/>
      <c r="CO24" s="27"/>
      <c r="CP24" s="27"/>
      <c r="CQ24" s="27"/>
      <c r="CR24" s="27"/>
      <c r="CS24" s="27"/>
      <c r="CT24" s="27"/>
      <c r="CU24" s="27"/>
      <c r="CV24" s="27"/>
      <c r="CW24" s="27"/>
      <c r="CX24" s="27"/>
      <c r="CY24" s="27"/>
      <c r="CZ24" s="27"/>
      <c r="DA24" s="27"/>
      <c r="DB24" s="27"/>
      <c r="DC24" s="27"/>
      <c r="DD24" s="27"/>
    </row>
    <row r="25" spans="12:108" x14ac:dyDescent="0.3">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Z25" s="27"/>
      <c r="CA25" s="27"/>
      <c r="CB25" s="27"/>
      <c r="CC25" s="27"/>
      <c r="CD25" s="27"/>
      <c r="CE25" s="27"/>
      <c r="CF25" s="27"/>
      <c r="CG25" s="27"/>
      <c r="CH25" s="27"/>
      <c r="CI25" s="27"/>
      <c r="CJ25" s="27"/>
      <c r="CK25" s="27"/>
      <c r="CL25" s="27"/>
      <c r="CM25" s="27"/>
      <c r="CN25" s="27"/>
      <c r="CO25" s="27"/>
      <c r="CP25" s="27"/>
      <c r="CQ25" s="27"/>
      <c r="CR25" s="27"/>
      <c r="CS25" s="27"/>
      <c r="CT25" s="27"/>
      <c r="CU25" s="27"/>
      <c r="CV25" s="27"/>
      <c r="CW25" s="27"/>
      <c r="CX25" s="27"/>
      <c r="CY25" s="27"/>
      <c r="CZ25" s="27"/>
      <c r="DA25" s="27"/>
      <c r="DB25" s="27"/>
      <c r="DC25" s="27"/>
      <c r="DD25" s="27"/>
    </row>
    <row r="26" spans="12:108" x14ac:dyDescent="0.3">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Z26" s="27"/>
      <c r="CA26" s="27"/>
      <c r="CB26" s="27"/>
      <c r="CC26" s="27"/>
      <c r="CD26" s="27"/>
      <c r="CE26" s="27"/>
      <c r="CF26" s="27"/>
      <c r="CG26" s="27"/>
      <c r="CH26" s="27"/>
      <c r="CI26" s="27"/>
      <c r="CJ26" s="27"/>
      <c r="CK26" s="27"/>
      <c r="CL26" s="27"/>
      <c r="CM26" s="27"/>
      <c r="CN26" s="27"/>
      <c r="CO26" s="27"/>
      <c r="CP26" s="27"/>
      <c r="CQ26" s="27"/>
      <c r="CR26" s="27"/>
      <c r="CS26" s="27"/>
      <c r="CT26" s="27"/>
      <c r="CU26" s="27"/>
      <c r="CV26" s="27"/>
      <c r="CW26" s="27"/>
      <c r="CX26" s="27"/>
      <c r="CY26" s="27"/>
      <c r="CZ26" s="27"/>
      <c r="DA26" s="27"/>
      <c r="DB26" s="27"/>
      <c r="DC26" s="27"/>
      <c r="DD26" s="27"/>
    </row>
    <row r="27" spans="12:108" x14ac:dyDescent="0.3">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Z27" s="27"/>
      <c r="CA27" s="27"/>
      <c r="CB27" s="27"/>
      <c r="CC27" s="27"/>
      <c r="CD27" s="27"/>
      <c r="CE27" s="27"/>
      <c r="CF27" s="27"/>
      <c r="CG27" s="27"/>
      <c r="CH27" s="27"/>
      <c r="CI27" s="27"/>
      <c r="CJ27" s="27"/>
      <c r="CK27" s="27"/>
      <c r="CL27" s="27"/>
      <c r="CM27" s="27"/>
      <c r="CN27" s="27"/>
      <c r="CO27" s="27"/>
      <c r="CP27" s="27"/>
      <c r="CQ27" s="27"/>
      <c r="CR27" s="27"/>
      <c r="CS27" s="27"/>
      <c r="CT27" s="27"/>
      <c r="CU27" s="27"/>
      <c r="CV27" s="27"/>
      <c r="CW27" s="27"/>
      <c r="CX27" s="27"/>
      <c r="CY27" s="27"/>
      <c r="CZ27" s="27"/>
      <c r="DA27" s="27"/>
      <c r="DB27" s="27"/>
      <c r="DC27" s="27"/>
      <c r="DD27" s="27"/>
    </row>
    <row r="28" spans="12:108" x14ac:dyDescent="0.3">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Z28" s="27"/>
      <c r="CA28" s="27"/>
      <c r="CB28" s="27"/>
      <c r="CC28" s="27"/>
      <c r="CD28" s="27"/>
      <c r="CE28" s="27"/>
      <c r="CF28" s="27"/>
      <c r="CG28" s="27"/>
      <c r="CH28" s="27"/>
      <c r="CI28" s="27"/>
      <c r="CJ28" s="27"/>
      <c r="CK28" s="27"/>
      <c r="CL28" s="27"/>
      <c r="CM28" s="27"/>
      <c r="CN28" s="27"/>
      <c r="CO28" s="27"/>
      <c r="CP28" s="27"/>
      <c r="CQ28" s="27"/>
      <c r="CR28" s="27"/>
      <c r="CS28" s="27"/>
      <c r="CT28" s="27"/>
      <c r="CU28" s="27"/>
      <c r="CV28" s="27"/>
      <c r="CW28" s="27"/>
      <c r="CX28" s="27"/>
      <c r="CY28" s="27"/>
      <c r="CZ28" s="27"/>
      <c r="DA28" s="27"/>
      <c r="DB28" s="27"/>
      <c r="DC28" s="27"/>
      <c r="DD28" s="27"/>
    </row>
    <row r="29" spans="12:108" x14ac:dyDescent="0.3">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Z29" s="27"/>
      <c r="CA29" s="27"/>
      <c r="CB29" s="27"/>
      <c r="CC29" s="27"/>
      <c r="CD29" s="27"/>
      <c r="CE29" s="27"/>
      <c r="CF29" s="27"/>
      <c r="CG29" s="27"/>
      <c r="CH29" s="27"/>
      <c r="CI29" s="27"/>
      <c r="CJ29" s="27"/>
      <c r="CK29" s="27"/>
      <c r="CL29" s="27"/>
      <c r="CM29" s="27"/>
      <c r="CN29" s="27"/>
      <c r="CO29" s="27"/>
      <c r="CP29" s="27"/>
      <c r="CQ29" s="27"/>
      <c r="CR29" s="27"/>
      <c r="CS29" s="27"/>
      <c r="CT29" s="27"/>
      <c r="CU29" s="27"/>
      <c r="CV29" s="27"/>
      <c r="CW29" s="27"/>
      <c r="CX29" s="27"/>
      <c r="CY29" s="27"/>
      <c r="CZ29" s="27"/>
      <c r="DA29" s="27"/>
      <c r="DB29" s="27"/>
      <c r="DC29" s="27"/>
      <c r="DD29" s="27"/>
    </row>
    <row r="30" spans="12:108" x14ac:dyDescent="0.3">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Z30" s="27"/>
      <c r="CA30" s="27"/>
      <c r="CB30" s="27"/>
      <c r="CC30" s="27"/>
      <c r="CD30" s="27"/>
      <c r="CE30" s="27"/>
      <c r="CF30" s="27"/>
      <c r="CG30" s="27"/>
      <c r="CH30" s="27"/>
      <c r="CI30" s="27"/>
      <c r="CJ30" s="27"/>
      <c r="CK30" s="27"/>
      <c r="CL30" s="27"/>
      <c r="CM30" s="27"/>
      <c r="CN30" s="27"/>
      <c r="CO30" s="27"/>
      <c r="CP30" s="27"/>
      <c r="CQ30" s="27"/>
      <c r="CR30" s="27"/>
      <c r="CS30" s="27"/>
      <c r="CT30" s="27"/>
      <c r="CU30" s="27"/>
      <c r="CV30" s="27"/>
      <c r="CW30" s="27"/>
      <c r="CX30" s="27"/>
      <c r="CY30" s="27"/>
      <c r="CZ30" s="27"/>
      <c r="DA30" s="27"/>
      <c r="DB30" s="27"/>
      <c r="DC30" s="27"/>
      <c r="DD30" s="27"/>
    </row>
    <row r="31" spans="12:108" x14ac:dyDescent="0.3">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Z31" s="27"/>
      <c r="CA31" s="27"/>
      <c r="CB31" s="27"/>
      <c r="CC31" s="27"/>
      <c r="CD31" s="27"/>
      <c r="CE31" s="27"/>
      <c r="CF31" s="27"/>
      <c r="CG31" s="27"/>
      <c r="CH31" s="27"/>
      <c r="CI31" s="27"/>
      <c r="CJ31" s="27"/>
      <c r="CK31" s="27"/>
      <c r="CL31" s="27"/>
      <c r="CM31" s="27"/>
      <c r="CN31" s="27"/>
      <c r="CO31" s="27"/>
      <c r="CP31" s="27"/>
      <c r="CQ31" s="27"/>
      <c r="CR31" s="27"/>
      <c r="CS31" s="27"/>
      <c r="CT31" s="27"/>
      <c r="CU31" s="27"/>
      <c r="CV31" s="27"/>
      <c r="CW31" s="27"/>
      <c r="CX31" s="27"/>
      <c r="CY31" s="27"/>
      <c r="CZ31" s="27"/>
      <c r="DA31" s="27"/>
      <c r="DB31" s="27"/>
      <c r="DC31" s="27"/>
      <c r="DD31" s="27"/>
    </row>
    <row r="32" spans="12:108" x14ac:dyDescent="0.3">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Z32" s="27"/>
      <c r="CA32" s="27"/>
      <c r="CB32" s="27"/>
      <c r="CC32" s="27"/>
      <c r="CD32" s="27"/>
      <c r="CE32" s="27"/>
      <c r="CF32" s="27"/>
      <c r="CG32" s="27"/>
      <c r="CH32" s="27"/>
      <c r="CI32" s="27"/>
      <c r="CJ32" s="27"/>
      <c r="CK32" s="27"/>
      <c r="CL32" s="27"/>
      <c r="CM32" s="27"/>
      <c r="CN32" s="27"/>
      <c r="CO32" s="27"/>
      <c r="CP32" s="27"/>
      <c r="CQ32" s="27"/>
      <c r="CR32" s="27"/>
      <c r="CS32" s="27"/>
      <c r="CT32" s="27"/>
      <c r="CU32" s="27"/>
      <c r="CV32" s="27"/>
      <c r="CW32" s="27"/>
      <c r="CX32" s="27"/>
      <c r="CY32" s="27"/>
      <c r="CZ32" s="27"/>
      <c r="DA32" s="27"/>
      <c r="DB32" s="27"/>
      <c r="DC32" s="27"/>
      <c r="DD32" s="27"/>
    </row>
    <row r="33" spans="12:108" x14ac:dyDescent="0.3">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Z33" s="27"/>
      <c r="CA33" s="27"/>
      <c r="CB33" s="27"/>
      <c r="CC33" s="27"/>
      <c r="CD33" s="27"/>
      <c r="CE33" s="27"/>
      <c r="CF33" s="27"/>
      <c r="CG33" s="27"/>
      <c r="CH33" s="27"/>
      <c r="CI33" s="27"/>
      <c r="CJ33" s="27"/>
      <c r="CK33" s="27"/>
      <c r="CL33" s="27"/>
      <c r="CM33" s="27"/>
      <c r="CN33" s="27"/>
      <c r="CO33" s="27"/>
      <c r="CP33" s="27"/>
      <c r="CQ33" s="27"/>
      <c r="CR33" s="27"/>
      <c r="CS33" s="27"/>
      <c r="CT33" s="27"/>
      <c r="CU33" s="27"/>
      <c r="CV33" s="27"/>
      <c r="CW33" s="27"/>
      <c r="CX33" s="27"/>
      <c r="CY33" s="27"/>
      <c r="CZ33" s="27"/>
      <c r="DA33" s="27"/>
      <c r="DB33" s="27"/>
      <c r="DC33" s="27"/>
      <c r="DD33" s="27"/>
    </row>
    <row r="34" spans="12:108" x14ac:dyDescent="0.3">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Z34" s="27"/>
      <c r="CA34" s="27"/>
      <c r="CB34" s="27"/>
      <c r="CC34" s="27"/>
      <c r="CD34" s="27"/>
      <c r="CE34" s="27"/>
      <c r="CF34" s="27"/>
      <c r="CG34" s="27"/>
      <c r="CH34" s="27"/>
      <c r="CI34" s="27"/>
      <c r="CJ34" s="27"/>
      <c r="CK34" s="27"/>
      <c r="CL34" s="27"/>
      <c r="CM34" s="27"/>
      <c r="CN34" s="27"/>
      <c r="CO34" s="27"/>
      <c r="CP34" s="27"/>
      <c r="CQ34" s="27"/>
      <c r="CR34" s="27"/>
      <c r="CS34" s="27"/>
      <c r="CT34" s="27"/>
      <c r="CU34" s="27"/>
      <c r="CV34" s="27"/>
      <c r="CW34" s="27"/>
      <c r="CX34" s="27"/>
      <c r="CY34" s="27"/>
      <c r="CZ34" s="27"/>
      <c r="DA34" s="27"/>
      <c r="DB34" s="27"/>
      <c r="DC34" s="27"/>
      <c r="DD34" s="27"/>
    </row>
    <row r="35" spans="12:108" x14ac:dyDescent="0.3">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Z35" s="27"/>
      <c r="CA35" s="27"/>
      <c r="CB35" s="27"/>
      <c r="CC35" s="27"/>
      <c r="CD35" s="27"/>
      <c r="CE35" s="27"/>
      <c r="CF35" s="27"/>
      <c r="CG35" s="27"/>
      <c r="CH35" s="27"/>
      <c r="CI35" s="27"/>
      <c r="CJ35" s="27"/>
      <c r="CK35" s="27"/>
      <c r="CL35" s="27"/>
      <c r="CM35" s="27"/>
      <c r="CN35" s="27"/>
      <c r="CO35" s="27"/>
      <c r="CP35" s="27"/>
      <c r="CQ35" s="27"/>
      <c r="CR35" s="27"/>
      <c r="CS35" s="27"/>
      <c r="CT35" s="27"/>
      <c r="CU35" s="27"/>
      <c r="CV35" s="27"/>
      <c r="CW35" s="27"/>
      <c r="CX35" s="27"/>
      <c r="CY35" s="27"/>
      <c r="CZ35" s="27"/>
      <c r="DA35" s="27"/>
      <c r="DB35" s="27"/>
      <c r="DC35" s="27"/>
      <c r="DD35" s="27"/>
    </row>
    <row r="36" spans="12:108" x14ac:dyDescent="0.3">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Z36" s="27"/>
      <c r="CA36" s="27"/>
      <c r="CB36" s="27"/>
      <c r="CC36" s="27"/>
      <c r="CD36" s="27"/>
      <c r="CE36" s="27"/>
      <c r="CF36" s="27"/>
      <c r="CG36" s="27"/>
      <c r="CH36" s="27"/>
      <c r="CI36" s="27"/>
      <c r="CJ36" s="27"/>
      <c r="CK36" s="27"/>
      <c r="CL36" s="27"/>
      <c r="CM36" s="27"/>
      <c r="CN36" s="27"/>
      <c r="CO36" s="27"/>
      <c r="CP36" s="27"/>
      <c r="CQ36" s="27"/>
      <c r="CR36" s="27"/>
      <c r="CS36" s="27"/>
      <c r="CT36" s="27"/>
      <c r="CU36" s="27"/>
      <c r="CV36" s="27"/>
      <c r="CW36" s="27"/>
      <c r="CX36" s="27"/>
      <c r="CY36" s="27"/>
      <c r="CZ36" s="27"/>
      <c r="DA36" s="27"/>
      <c r="DB36" s="27"/>
      <c r="DC36" s="27"/>
      <c r="DD36" s="27"/>
    </row>
    <row r="37" spans="12:108" x14ac:dyDescent="0.3">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row>
    <row r="38" spans="12:108" x14ac:dyDescent="0.3">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Z38" s="27"/>
      <c r="CA38" s="27"/>
      <c r="CB38" s="27"/>
      <c r="CC38" s="27"/>
      <c r="CD38" s="27"/>
      <c r="CE38" s="27"/>
      <c r="CF38" s="27"/>
      <c r="CG38" s="27"/>
      <c r="CH38" s="27"/>
      <c r="CI38" s="27"/>
      <c r="CJ38" s="27"/>
      <c r="CK38" s="27"/>
      <c r="CL38" s="27"/>
      <c r="CM38" s="27"/>
      <c r="CN38" s="27"/>
      <c r="CO38" s="27"/>
      <c r="CP38" s="27"/>
      <c r="CQ38" s="27"/>
      <c r="CR38" s="27"/>
      <c r="CS38" s="27"/>
      <c r="CT38" s="27"/>
      <c r="CU38" s="27"/>
      <c r="CV38" s="27"/>
      <c r="CW38" s="27"/>
      <c r="CX38" s="27"/>
      <c r="CY38" s="27"/>
      <c r="CZ38" s="27"/>
      <c r="DA38" s="27"/>
      <c r="DB38" s="27"/>
      <c r="DC38" s="27"/>
      <c r="DD38" s="27"/>
    </row>
    <row r="39" spans="12:108" x14ac:dyDescent="0.3">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Z39" s="27"/>
      <c r="CA39" s="27"/>
      <c r="CB39" s="27"/>
      <c r="CC39" s="27"/>
      <c r="CD39" s="27"/>
      <c r="CE39" s="27"/>
      <c r="CF39" s="27"/>
      <c r="CG39" s="27"/>
      <c r="CH39" s="27"/>
      <c r="CI39" s="27"/>
      <c r="CJ39" s="27"/>
      <c r="CK39" s="27"/>
      <c r="CL39" s="27"/>
      <c r="CM39" s="27"/>
      <c r="CN39" s="27"/>
      <c r="CO39" s="27"/>
      <c r="CP39" s="27"/>
      <c r="CQ39" s="27"/>
      <c r="CR39" s="27"/>
      <c r="CS39" s="27"/>
      <c r="CT39" s="27"/>
      <c r="CU39" s="27"/>
      <c r="CV39" s="27"/>
      <c r="CW39" s="27"/>
      <c r="CX39" s="27"/>
      <c r="CY39" s="27"/>
      <c r="CZ39" s="27"/>
      <c r="DA39" s="27"/>
      <c r="DB39" s="27"/>
      <c r="DC39" s="27"/>
      <c r="DD39" s="27"/>
    </row>
    <row r="40" spans="12:108" x14ac:dyDescent="0.3">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Z40" s="27"/>
      <c r="CA40" s="27"/>
      <c r="CB40" s="27"/>
      <c r="CC40" s="27"/>
      <c r="CD40" s="27"/>
      <c r="CE40" s="27"/>
      <c r="CF40" s="27"/>
      <c r="CG40" s="27"/>
      <c r="CH40" s="27"/>
      <c r="CI40" s="27"/>
      <c r="CJ40" s="27"/>
      <c r="CK40" s="27"/>
      <c r="CL40" s="27"/>
      <c r="CM40" s="27"/>
      <c r="CN40" s="27"/>
      <c r="CO40" s="27"/>
      <c r="CP40" s="27"/>
      <c r="CQ40" s="27"/>
      <c r="CR40" s="27"/>
      <c r="CS40" s="27"/>
      <c r="CT40" s="27"/>
      <c r="CU40" s="27"/>
      <c r="CV40" s="27"/>
      <c r="CW40" s="27"/>
      <c r="CX40" s="27"/>
      <c r="CY40" s="27"/>
      <c r="CZ40" s="27"/>
      <c r="DA40" s="27"/>
      <c r="DB40" s="27"/>
      <c r="DC40" s="27"/>
      <c r="DD40" s="27"/>
    </row>
    <row r="41" spans="12:108" x14ac:dyDescent="0.3">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Z41" s="27"/>
      <c r="CA41" s="27"/>
      <c r="CB41" s="27"/>
      <c r="CC41" s="27"/>
      <c r="CD41" s="27"/>
      <c r="CE41" s="27"/>
      <c r="CF41" s="27"/>
      <c r="CG41" s="27"/>
      <c r="CH41" s="27"/>
      <c r="CI41" s="27"/>
      <c r="CJ41" s="27"/>
      <c r="CK41" s="27"/>
      <c r="CL41" s="27"/>
      <c r="CM41" s="27"/>
      <c r="CN41" s="27"/>
      <c r="CO41" s="27"/>
      <c r="CP41" s="27"/>
      <c r="CQ41" s="27"/>
      <c r="CR41" s="27"/>
      <c r="CS41" s="27"/>
      <c r="CT41" s="27"/>
      <c r="CU41" s="27"/>
      <c r="CV41" s="27"/>
      <c r="CW41" s="27"/>
      <c r="CX41" s="27"/>
      <c r="CY41" s="27"/>
      <c r="CZ41" s="27"/>
      <c r="DA41" s="27"/>
      <c r="DB41" s="27"/>
      <c r="DC41" s="27"/>
      <c r="DD41" s="27"/>
    </row>
    <row r="42" spans="12:108" x14ac:dyDescent="0.3">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Z42" s="27"/>
      <c r="CA42" s="27"/>
      <c r="CB42" s="27"/>
      <c r="CC42" s="27"/>
      <c r="CD42" s="27"/>
      <c r="CE42" s="27"/>
      <c r="CF42" s="27"/>
      <c r="CG42" s="27"/>
      <c r="CH42" s="27"/>
      <c r="CI42" s="27"/>
      <c r="CJ42" s="27"/>
      <c r="CK42" s="27"/>
      <c r="CL42" s="27"/>
      <c r="CM42" s="27"/>
      <c r="CN42" s="27"/>
      <c r="CO42" s="27"/>
      <c r="CP42" s="27"/>
      <c r="CQ42" s="27"/>
      <c r="CR42" s="27"/>
      <c r="CS42" s="27"/>
      <c r="CT42" s="27"/>
      <c r="CU42" s="27"/>
      <c r="CV42" s="27"/>
      <c r="CW42" s="27"/>
      <c r="CX42" s="27"/>
      <c r="CY42" s="27"/>
      <c r="CZ42" s="27"/>
      <c r="DA42" s="27"/>
      <c r="DB42" s="27"/>
      <c r="DC42" s="27"/>
      <c r="DD42" s="27"/>
    </row>
    <row r="43" spans="12:108" x14ac:dyDescent="0.3">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Z43" s="27"/>
      <c r="CA43" s="27"/>
      <c r="CB43" s="27"/>
      <c r="CC43" s="27"/>
      <c r="CD43" s="27"/>
      <c r="CE43" s="27"/>
      <c r="CF43" s="27"/>
      <c r="CG43" s="27"/>
      <c r="CH43" s="27"/>
      <c r="CI43" s="27"/>
      <c r="CJ43" s="27"/>
      <c r="CK43" s="27"/>
      <c r="CL43" s="27"/>
      <c r="CM43" s="27"/>
      <c r="CN43" s="27"/>
      <c r="CO43" s="27"/>
      <c r="CP43" s="27"/>
      <c r="CQ43" s="27"/>
      <c r="CR43" s="27"/>
      <c r="CS43" s="27"/>
      <c r="CT43" s="27"/>
      <c r="CU43" s="27"/>
      <c r="CV43" s="27"/>
      <c r="CW43" s="27"/>
      <c r="CX43" s="27"/>
      <c r="CY43" s="27"/>
      <c r="CZ43" s="27"/>
      <c r="DA43" s="27"/>
      <c r="DB43" s="27"/>
      <c r="DC43" s="27"/>
      <c r="DD43" s="27"/>
    </row>
    <row r="44" spans="12:108" x14ac:dyDescent="0.3">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Z44" s="27"/>
      <c r="CA44" s="27"/>
      <c r="CB44" s="27"/>
      <c r="CC44" s="27"/>
      <c r="CD44" s="27"/>
      <c r="CE44" s="27"/>
      <c r="CF44" s="27"/>
      <c r="CG44" s="27"/>
      <c r="CH44" s="27"/>
      <c r="CI44" s="27"/>
      <c r="CJ44" s="27"/>
      <c r="CK44" s="27"/>
      <c r="CL44" s="27"/>
      <c r="CM44" s="27"/>
      <c r="CN44" s="27"/>
      <c r="CO44" s="27"/>
      <c r="CP44" s="27"/>
      <c r="CQ44" s="27"/>
      <c r="CR44" s="27"/>
      <c r="CS44" s="27"/>
      <c r="CT44" s="27"/>
      <c r="CU44" s="27"/>
      <c r="CV44" s="27"/>
      <c r="CW44" s="27"/>
      <c r="CX44" s="27"/>
      <c r="CY44" s="27"/>
      <c r="CZ44" s="27"/>
      <c r="DA44" s="27"/>
      <c r="DB44" s="27"/>
      <c r="DC44" s="27"/>
      <c r="DD44" s="27"/>
    </row>
    <row r="45" spans="12:108" x14ac:dyDescent="0.3">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Z45" s="27"/>
      <c r="CA45" s="27"/>
      <c r="CB45" s="27"/>
      <c r="CC45" s="27"/>
      <c r="CD45" s="27"/>
      <c r="CE45" s="27"/>
      <c r="CF45" s="27"/>
      <c r="CG45" s="27"/>
      <c r="CH45" s="27"/>
      <c r="CI45" s="27"/>
      <c r="CJ45" s="27"/>
      <c r="CK45" s="27"/>
      <c r="CL45" s="27"/>
      <c r="CM45" s="27"/>
      <c r="CN45" s="27"/>
      <c r="CO45" s="27"/>
      <c r="CP45" s="27"/>
      <c r="CQ45" s="27"/>
      <c r="CR45" s="27"/>
      <c r="CS45" s="27"/>
      <c r="CT45" s="27"/>
      <c r="CU45" s="27"/>
      <c r="CV45" s="27"/>
      <c r="CW45" s="27"/>
      <c r="CX45" s="27"/>
      <c r="CY45" s="27"/>
      <c r="CZ45" s="27"/>
      <c r="DA45" s="27"/>
      <c r="DB45" s="27"/>
      <c r="DC45" s="27"/>
      <c r="DD45" s="27"/>
    </row>
    <row r="46" spans="12:108" x14ac:dyDescent="0.3">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Z46" s="27"/>
      <c r="CA46" s="27"/>
      <c r="CB46" s="27"/>
      <c r="CC46" s="27"/>
      <c r="CD46" s="27"/>
      <c r="CE46" s="27"/>
      <c r="CF46" s="27"/>
      <c r="CG46" s="27"/>
      <c r="CH46" s="27"/>
      <c r="CI46" s="27"/>
      <c r="CJ46" s="27"/>
      <c r="CK46" s="27"/>
      <c r="CL46" s="27"/>
      <c r="CM46" s="27"/>
      <c r="CN46" s="27"/>
      <c r="CO46" s="27"/>
      <c r="CP46" s="27"/>
      <c r="CQ46" s="27"/>
      <c r="CR46" s="27"/>
      <c r="CS46" s="27"/>
      <c r="CT46" s="27"/>
      <c r="CU46" s="27"/>
      <c r="CV46" s="27"/>
      <c r="CW46" s="27"/>
      <c r="CX46" s="27"/>
      <c r="CY46" s="27"/>
      <c r="CZ46" s="27"/>
      <c r="DA46" s="27"/>
      <c r="DB46" s="27"/>
      <c r="DC46" s="27"/>
      <c r="DD46" s="27"/>
    </row>
    <row r="47" spans="12:108" x14ac:dyDescent="0.3">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Z47" s="27"/>
      <c r="CA47" s="27"/>
      <c r="CB47" s="27"/>
      <c r="CC47" s="27"/>
      <c r="CD47" s="27"/>
      <c r="CE47" s="27"/>
      <c r="CF47" s="27"/>
      <c r="CG47" s="27"/>
      <c r="CH47" s="27"/>
      <c r="CI47" s="27"/>
      <c r="CJ47" s="27"/>
      <c r="CK47" s="27"/>
      <c r="CL47" s="27"/>
      <c r="CM47" s="27"/>
      <c r="CN47" s="27"/>
      <c r="CO47" s="27"/>
      <c r="CP47" s="27"/>
      <c r="CQ47" s="27"/>
      <c r="CR47" s="27"/>
      <c r="CS47" s="27"/>
      <c r="CT47" s="27"/>
      <c r="CU47" s="27"/>
      <c r="CV47" s="27"/>
      <c r="CW47" s="27"/>
      <c r="CX47" s="27"/>
      <c r="CY47" s="27"/>
      <c r="CZ47" s="27"/>
      <c r="DA47" s="27"/>
      <c r="DB47" s="27"/>
      <c r="DC47" s="27"/>
      <c r="DD47" s="27"/>
    </row>
    <row r="194" spans="14:16" x14ac:dyDescent="0.3">
      <c r="N194" s="24"/>
      <c r="O194" s="24"/>
      <c r="P194" s="24"/>
    </row>
    <row r="195" spans="14:16" x14ac:dyDescent="0.3">
      <c r="N195" s="24"/>
      <c r="O195" s="24"/>
      <c r="P195" s="24"/>
    </row>
    <row r="196" spans="14:16" x14ac:dyDescent="0.3">
      <c r="N196" s="24"/>
      <c r="O196" s="24"/>
      <c r="P196" s="24"/>
    </row>
    <row r="197" spans="14:16" x14ac:dyDescent="0.3">
      <c r="N197" s="24"/>
      <c r="O197" s="24"/>
      <c r="P197" s="24"/>
    </row>
  </sheetData>
  <mergeCells count="7">
    <mergeCell ref="N194:P197"/>
    <mergeCell ref="L22:AP47"/>
    <mergeCell ref="AS22:BW47"/>
    <mergeCell ref="BZ22:DD47"/>
    <mergeCell ref="L2:AP21"/>
    <mergeCell ref="AS2:BW21"/>
    <mergeCell ref="BZ2:DD21"/>
  </mergeCells>
  <pageMargins left="0.7" right="0.7" top="0.75" bottom="0.75" header="0.3" footer="0.3"/>
  <pageSetup scale="23" fitToWidth="0"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3D0A4-C9C6-4A2D-B183-BCDE2151C292}">
  <dimension ref="A1:AQ501"/>
  <sheetViews>
    <sheetView tabSelected="1" workbookViewId="0">
      <selection activeCell="G18" sqref="G18"/>
    </sheetView>
  </sheetViews>
  <sheetFormatPr defaultRowHeight="14.4" x14ac:dyDescent="0.3"/>
  <cols>
    <col min="1" max="1" width="12.88671875" customWidth="1"/>
    <col min="2" max="2" width="14" bestFit="1" customWidth="1"/>
    <col min="3" max="3" width="14.33203125" bestFit="1" customWidth="1"/>
    <col min="4" max="4" width="14.21875" bestFit="1" customWidth="1"/>
    <col min="5" max="5" width="10.6640625" bestFit="1" customWidth="1"/>
    <col min="6" max="6" width="12.109375" bestFit="1" customWidth="1"/>
    <col min="7" max="7" width="9.77734375" bestFit="1" customWidth="1"/>
    <col min="8" max="8" width="11.21875" bestFit="1" customWidth="1"/>
    <col min="9" max="9" width="12.77734375" bestFit="1" customWidth="1"/>
    <col min="10" max="10" width="12.5546875" bestFit="1" customWidth="1"/>
    <col min="11" max="11" width="10.6640625" bestFit="1" customWidth="1"/>
    <col min="12" max="12" width="13.109375" bestFit="1" customWidth="1"/>
    <col min="13" max="13" width="8.77734375" bestFit="1" customWidth="1"/>
    <col min="14" max="14" width="8.5546875" bestFit="1" customWidth="1"/>
    <col min="15" max="15" width="8.77734375" bestFit="1" customWidth="1"/>
    <col min="16" max="16" width="7.77734375" bestFit="1" customWidth="1"/>
    <col min="17" max="17" width="8.33203125" bestFit="1" customWidth="1"/>
    <col min="18" max="18" width="13.44140625" bestFit="1" customWidth="1"/>
    <col min="19" max="19" width="8.6640625" bestFit="1" customWidth="1"/>
    <col min="20" max="20" width="11.21875" bestFit="1" customWidth="1"/>
    <col min="21" max="21" width="20.88671875" bestFit="1" customWidth="1"/>
    <col min="22" max="22" width="16.21875" bestFit="1" customWidth="1"/>
    <col min="23" max="23" width="17.109375" bestFit="1" customWidth="1"/>
    <col min="24" max="24" width="17" style="14" bestFit="1" customWidth="1"/>
    <col min="25" max="25" width="14.88671875" bestFit="1" customWidth="1"/>
    <col min="26" max="26" width="14" bestFit="1" customWidth="1"/>
    <col min="27" max="27" width="8.5546875" bestFit="1" customWidth="1"/>
    <col min="28" max="28" width="15.109375" bestFit="1" customWidth="1"/>
    <col min="29" max="29" width="16.33203125" bestFit="1" customWidth="1"/>
    <col min="30" max="30" width="13.6640625" bestFit="1" customWidth="1"/>
    <col min="31" max="31" width="22.5546875" bestFit="1" customWidth="1"/>
    <col min="32" max="32" width="16.44140625" bestFit="1" customWidth="1"/>
    <col min="33" max="33" width="18.33203125" bestFit="1" customWidth="1"/>
    <col min="34" max="34" width="19.77734375" bestFit="1" customWidth="1"/>
    <col min="36" max="36" width="14.5546875" customWidth="1"/>
    <col min="37" max="37" width="19" customWidth="1"/>
    <col min="38" max="38" width="13.44140625" customWidth="1"/>
    <col min="39" max="39" width="11.109375" customWidth="1"/>
    <col min="40" max="40" width="8.88671875" customWidth="1"/>
    <col min="41" max="41" width="15.21875" customWidth="1"/>
    <col min="42" max="42" width="15.77734375" customWidth="1"/>
  </cols>
  <sheetData>
    <row r="1" spans="1:43"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9" t="s">
        <v>23</v>
      </c>
      <c r="Y1" s="2" t="s">
        <v>24</v>
      </c>
      <c r="Z1" s="2" t="s">
        <v>1724</v>
      </c>
      <c r="AA1" s="2" t="s">
        <v>1707</v>
      </c>
      <c r="AB1" s="2" t="s">
        <v>1708</v>
      </c>
      <c r="AC1" s="2" t="s">
        <v>1710</v>
      </c>
      <c r="AD1" s="2" t="s">
        <v>1709</v>
      </c>
      <c r="AE1" s="2" t="s">
        <v>1712</v>
      </c>
      <c r="AF1" s="2" t="s">
        <v>1713</v>
      </c>
      <c r="AG1" s="2" t="s">
        <v>1761</v>
      </c>
      <c r="AH1" s="2" t="s">
        <v>1762</v>
      </c>
    </row>
    <row r="2" spans="1:43" x14ac:dyDescent="0.3">
      <c r="A2" s="2" t="s">
        <v>25</v>
      </c>
      <c r="B2" s="2" t="s">
        <v>26</v>
      </c>
      <c r="C2" s="2" t="s">
        <v>27</v>
      </c>
      <c r="D2" s="2" t="s">
        <v>28</v>
      </c>
      <c r="E2" s="2" t="s">
        <v>29</v>
      </c>
      <c r="F2" s="2" t="s">
        <v>30</v>
      </c>
      <c r="G2" s="2">
        <v>75</v>
      </c>
      <c r="H2" s="2" t="s">
        <v>31</v>
      </c>
      <c r="I2" s="2" t="s">
        <v>32</v>
      </c>
      <c r="J2" s="2" t="s">
        <v>33</v>
      </c>
      <c r="K2" s="2" t="s">
        <v>34</v>
      </c>
      <c r="L2" s="13">
        <v>44241</v>
      </c>
      <c r="M2" s="2">
        <v>128</v>
      </c>
      <c r="N2" s="2">
        <v>63</v>
      </c>
      <c r="O2" s="2">
        <v>27</v>
      </c>
      <c r="P2" s="2">
        <v>4917</v>
      </c>
      <c r="Q2" s="2">
        <v>2081</v>
      </c>
      <c r="R2" s="2">
        <v>218</v>
      </c>
      <c r="S2" s="2">
        <v>148</v>
      </c>
      <c r="T2" s="2">
        <v>267</v>
      </c>
      <c r="U2" s="2">
        <v>200</v>
      </c>
      <c r="V2" s="12">
        <f>ABS(RPG_dataset[[#This Row],[Win Rate (%)]])</f>
        <v>36</v>
      </c>
      <c r="W2" s="2">
        <v>7574</v>
      </c>
      <c r="X2" s="9">
        <v>533299</v>
      </c>
      <c r="Y2" s="2" t="s">
        <v>36</v>
      </c>
      <c r="Z2" s="2">
        <v>235</v>
      </c>
      <c r="AA2" s="2" t="s">
        <v>1725</v>
      </c>
      <c r="AB2" s="2" t="b">
        <v>0</v>
      </c>
      <c r="AC2" s="2" t="s">
        <v>1726</v>
      </c>
      <c r="AD2" s="2" t="s">
        <v>1727</v>
      </c>
      <c r="AE2" s="2" t="s">
        <v>1728</v>
      </c>
      <c r="AF2" s="2" t="s">
        <v>1729</v>
      </c>
      <c r="AG2" s="28">
        <f>MAX(clean_data[[#This Row],[ATK]:[SPD]]) - MIN(clean_data[[#This Row],[ATK]:[SPD]])</f>
        <v>101</v>
      </c>
      <c r="AH2" s="28" t="str">
        <f>IF(clean_data[[#This Row],[Balanced Score]] = MIN(clean_data[Balanced Score]), "Most Balanced", "")</f>
        <v/>
      </c>
      <c r="AJ2" s="15" t="s">
        <v>1685</v>
      </c>
      <c r="AK2" s="16"/>
    </row>
    <row r="3" spans="1:43" x14ac:dyDescent="0.3">
      <c r="A3" s="2" t="s">
        <v>37</v>
      </c>
      <c r="B3" s="2" t="s">
        <v>38</v>
      </c>
      <c r="C3" s="2" t="s">
        <v>39</v>
      </c>
      <c r="D3" s="2" t="s">
        <v>40</v>
      </c>
      <c r="E3" s="2" t="s">
        <v>41</v>
      </c>
      <c r="F3" s="2" t="s">
        <v>42</v>
      </c>
      <c r="G3" s="2">
        <v>55</v>
      </c>
      <c r="H3" s="2" t="s">
        <v>43</v>
      </c>
      <c r="I3" s="2" t="s">
        <v>32</v>
      </c>
      <c r="J3" s="2" t="s">
        <v>33</v>
      </c>
      <c r="K3" s="2" t="s">
        <v>44</v>
      </c>
      <c r="L3" s="13">
        <v>43705</v>
      </c>
      <c r="M3" s="2">
        <v>88</v>
      </c>
      <c r="N3" s="2">
        <v>33</v>
      </c>
      <c r="O3" s="2">
        <v>37</v>
      </c>
      <c r="P3" s="2">
        <v>4482</v>
      </c>
      <c r="Q3" s="2">
        <v>2100</v>
      </c>
      <c r="R3" s="2">
        <v>158</v>
      </c>
      <c r="S3" s="2">
        <v>1865</v>
      </c>
      <c r="T3" s="2">
        <v>412</v>
      </c>
      <c r="U3" s="2">
        <v>109</v>
      </c>
      <c r="V3" s="12">
        <f>ABS(RPG_dataset[[#This Row],[Win Rate (%)]])</f>
        <v>82</v>
      </c>
      <c r="W3" s="2"/>
      <c r="X3" s="9">
        <v>187683</v>
      </c>
      <c r="Y3" s="2" t="s">
        <v>46</v>
      </c>
      <c r="Z3" s="2">
        <v>405</v>
      </c>
      <c r="AA3" s="2" t="s">
        <v>1725</v>
      </c>
      <c r="AB3" s="2" t="b">
        <v>1</v>
      </c>
      <c r="AC3" s="2" t="s">
        <v>1730</v>
      </c>
      <c r="AD3" s="2" t="s">
        <v>1727</v>
      </c>
      <c r="AE3" s="2" t="s">
        <v>1728</v>
      </c>
      <c r="AF3" s="2" t="s">
        <v>1729</v>
      </c>
      <c r="AG3" s="28">
        <f>MAX(clean_data[[#This Row],[ATK]:[SPD]]) - MIN(clean_data[[#This Row],[ATK]:[SPD]])</f>
        <v>55</v>
      </c>
      <c r="AH3" s="28" t="str">
        <f>IF(clean_data[[#This Row],[Balanced Score]] = MIN(clean_data[Balanced Score]), "Most Balanced", "")</f>
        <v/>
      </c>
      <c r="AJ3" s="3" t="s">
        <v>12</v>
      </c>
      <c r="AK3" s="3">
        <f>COUNTBLANK(clean_data[ATK])</f>
        <v>11</v>
      </c>
      <c r="AO3" s="1" t="s">
        <v>36</v>
      </c>
      <c r="AQ3" t="str" cm="1">
        <f t="array" ref="AQ3:AQ10">_xlfn.UNIQUE(_xlfn._xlws.FILTER(clean_data[Class],clean_data[Class]&lt;&gt;""))</f>
        <v>Rogue</v>
      </c>
    </row>
    <row r="4" spans="1:43" x14ac:dyDescent="0.3">
      <c r="A4" s="2" t="s">
        <v>47</v>
      </c>
      <c r="B4" s="2" t="s">
        <v>48</v>
      </c>
      <c r="C4" s="2" t="s">
        <v>49</v>
      </c>
      <c r="D4" s="2" t="s">
        <v>50</v>
      </c>
      <c r="E4" s="2" t="s">
        <v>51</v>
      </c>
      <c r="F4" s="2" t="s">
        <v>52</v>
      </c>
      <c r="G4" s="2">
        <v>73</v>
      </c>
      <c r="H4" s="2" t="s">
        <v>53</v>
      </c>
      <c r="I4" s="2" t="s">
        <v>54</v>
      </c>
      <c r="J4" s="2" t="s">
        <v>33</v>
      </c>
      <c r="K4" s="2" t="s">
        <v>34</v>
      </c>
      <c r="L4" s="13">
        <v>43969</v>
      </c>
      <c r="M4" s="2">
        <v>92</v>
      </c>
      <c r="N4" s="2">
        <v>60</v>
      </c>
      <c r="O4" s="2">
        <v>60</v>
      </c>
      <c r="P4" s="2">
        <v>853</v>
      </c>
      <c r="Q4" s="2">
        <v>556</v>
      </c>
      <c r="R4" s="2">
        <v>212</v>
      </c>
      <c r="S4" s="2">
        <v>3889</v>
      </c>
      <c r="T4" s="2">
        <v>844</v>
      </c>
      <c r="U4" s="2">
        <v>66</v>
      </c>
      <c r="V4" s="12">
        <f>ABS(RPG_dataset[[#This Row],[Win Rate (%)]])</f>
        <v>82</v>
      </c>
      <c r="W4" s="2">
        <v>1423</v>
      </c>
      <c r="X4" s="9">
        <v>334478</v>
      </c>
      <c r="Y4" s="2" t="s">
        <v>36</v>
      </c>
      <c r="Z4" s="2">
        <v>341</v>
      </c>
      <c r="AA4" s="2" t="s">
        <v>1725</v>
      </c>
      <c r="AB4" s="2" t="b">
        <v>0</v>
      </c>
      <c r="AC4" s="2" t="s">
        <v>1730</v>
      </c>
      <c r="AD4" s="2" t="s">
        <v>1727</v>
      </c>
      <c r="AE4" s="2" t="s">
        <v>1731</v>
      </c>
      <c r="AF4" s="2" t="s">
        <v>1732</v>
      </c>
      <c r="AG4" s="28">
        <f>MAX(clean_data[[#This Row],[ATK]:[SPD]]) - MIN(clean_data[[#This Row],[ATK]:[SPD]])</f>
        <v>32</v>
      </c>
      <c r="AH4" s="28" t="str">
        <f>IF(clean_data[[#This Row],[Balanced Score]] = MIN(clean_data[Balanced Score]), "Most Balanced", "")</f>
        <v/>
      </c>
      <c r="AJ4" s="3" t="s">
        <v>13</v>
      </c>
      <c r="AK4" s="3">
        <f>COUNTBLANK(clean_data[DEF])</f>
        <v>16</v>
      </c>
      <c r="AO4" s="1" t="s">
        <v>46</v>
      </c>
      <c r="AQ4" t="str">
        <v>Monk</v>
      </c>
    </row>
    <row r="5" spans="1:43" x14ac:dyDescent="0.3">
      <c r="A5" s="2" t="s">
        <v>56</v>
      </c>
      <c r="B5" s="2" t="s">
        <v>57</v>
      </c>
      <c r="C5" s="2" t="s">
        <v>58</v>
      </c>
      <c r="D5" s="2" t="s">
        <v>59</v>
      </c>
      <c r="E5" s="2" t="s">
        <v>60</v>
      </c>
      <c r="F5" s="2" t="s">
        <v>61</v>
      </c>
      <c r="G5" s="2">
        <v>50</v>
      </c>
      <c r="H5" s="2" t="s">
        <v>62</v>
      </c>
      <c r="I5" s="2" t="s">
        <v>63</v>
      </c>
      <c r="J5" s="2" t="s">
        <v>64</v>
      </c>
      <c r="K5" s="2" t="s">
        <v>34</v>
      </c>
      <c r="L5" s="13">
        <v>44540</v>
      </c>
      <c r="M5" s="2">
        <v>113</v>
      </c>
      <c r="N5" s="2">
        <v>108</v>
      </c>
      <c r="O5" s="2">
        <v>77</v>
      </c>
      <c r="P5" s="2">
        <v>2644</v>
      </c>
      <c r="Q5" s="2">
        <v>512</v>
      </c>
      <c r="R5" s="2">
        <v>298</v>
      </c>
      <c r="S5" s="2">
        <v>2605</v>
      </c>
      <c r="T5" s="2">
        <v>905</v>
      </c>
      <c r="U5" s="2">
        <v>204</v>
      </c>
      <c r="V5" s="12">
        <f>ABS(RPG_dataset[[#This Row],[Win Rate (%)]])</f>
        <v>74</v>
      </c>
      <c r="W5" s="2">
        <v>3900</v>
      </c>
      <c r="X5" s="9">
        <v>798358</v>
      </c>
      <c r="Y5" s="2" t="s">
        <v>36</v>
      </c>
      <c r="Z5" s="2">
        <v>105</v>
      </c>
      <c r="AA5" s="2" t="s">
        <v>1733</v>
      </c>
      <c r="AB5" s="2" t="b">
        <v>0</v>
      </c>
      <c r="AC5" s="2" t="s">
        <v>1730</v>
      </c>
      <c r="AD5" s="2" t="s">
        <v>1727</v>
      </c>
      <c r="AE5" s="2" t="s">
        <v>1728</v>
      </c>
      <c r="AF5" s="2" t="s">
        <v>1732</v>
      </c>
      <c r="AG5" s="28">
        <f>MAX(clean_data[[#This Row],[ATK]:[SPD]]) - MIN(clean_data[[#This Row],[ATK]:[SPD]])</f>
        <v>36</v>
      </c>
      <c r="AH5" s="28" t="str">
        <f>IF(clean_data[[#This Row],[Balanced Score]] = MIN(clean_data[Balanced Score]), "Most Balanced", "")</f>
        <v/>
      </c>
      <c r="AJ5" s="3" t="s">
        <v>14</v>
      </c>
      <c r="AK5" s="3">
        <f>COUNTBLANK(clean_data[SPD])</f>
        <v>13</v>
      </c>
      <c r="AQ5" t="str">
        <v>Bard</v>
      </c>
    </row>
    <row r="6" spans="1:43" x14ac:dyDescent="0.3">
      <c r="A6" s="2" t="s">
        <v>67</v>
      </c>
      <c r="B6" s="2" t="s">
        <v>68</v>
      </c>
      <c r="C6" s="2" t="s">
        <v>69</v>
      </c>
      <c r="D6" s="2" t="s">
        <v>70</v>
      </c>
      <c r="E6" s="2" t="s">
        <v>71</v>
      </c>
      <c r="F6" s="2" t="s">
        <v>72</v>
      </c>
      <c r="G6" s="2">
        <v>64</v>
      </c>
      <c r="H6" s="2" t="s">
        <v>73</v>
      </c>
      <c r="I6" s="2" t="s">
        <v>74</v>
      </c>
      <c r="J6" s="2" t="s">
        <v>64</v>
      </c>
      <c r="K6" s="2" t="s">
        <v>75</v>
      </c>
      <c r="L6" s="13">
        <v>43171</v>
      </c>
      <c r="M6" s="2">
        <v>46</v>
      </c>
      <c r="N6" s="2">
        <v>51</v>
      </c>
      <c r="O6" s="2">
        <v>43</v>
      </c>
      <c r="P6" s="2">
        <v>4009</v>
      </c>
      <c r="Q6" s="2">
        <v>71</v>
      </c>
      <c r="R6" s="2">
        <v>140</v>
      </c>
      <c r="S6" s="2">
        <v>242</v>
      </c>
      <c r="T6" s="2">
        <v>444</v>
      </c>
      <c r="U6" s="2">
        <v>232</v>
      </c>
      <c r="V6" s="12">
        <f>ABS(RPG_dataset[[#This Row],[Win Rate (%)]])</f>
        <v>35</v>
      </c>
      <c r="W6" s="2">
        <v>8531</v>
      </c>
      <c r="X6" s="9">
        <v>607955</v>
      </c>
      <c r="Y6" s="2" t="s">
        <v>36</v>
      </c>
      <c r="Z6" s="2">
        <v>201</v>
      </c>
      <c r="AA6" s="2" t="s">
        <v>1725</v>
      </c>
      <c r="AB6" s="2" t="b">
        <v>0</v>
      </c>
      <c r="AC6" s="2" t="s">
        <v>1726</v>
      </c>
      <c r="AD6" s="2" t="s">
        <v>1727</v>
      </c>
      <c r="AE6" s="2" t="s">
        <v>1728</v>
      </c>
      <c r="AF6" s="2" t="s">
        <v>1729</v>
      </c>
      <c r="AG6" s="28">
        <f>MAX(clean_data[[#This Row],[ATK]:[SPD]]) - MIN(clean_data[[#This Row],[ATK]:[SPD]])</f>
        <v>8</v>
      </c>
      <c r="AH6" s="28" t="str">
        <f>IF(clean_data[[#This Row],[Balanced Score]] = MIN(clean_data[Balanced Score]), "Most Balanced", "")</f>
        <v/>
      </c>
      <c r="AJ6" s="3" t="s">
        <v>15</v>
      </c>
      <c r="AK6" s="3">
        <f>COUNTBLANK(clean_data[HP])</f>
        <v>23</v>
      </c>
      <c r="AQ6" t="str">
        <v>Ranger</v>
      </c>
    </row>
    <row r="7" spans="1:43" x14ac:dyDescent="0.3">
      <c r="A7" s="2" t="s">
        <v>77</v>
      </c>
      <c r="B7" s="2" t="s">
        <v>78</v>
      </c>
      <c r="C7" s="2" t="s">
        <v>79</v>
      </c>
      <c r="D7" s="2" t="s">
        <v>28</v>
      </c>
      <c r="E7" s="2" t="s">
        <v>75</v>
      </c>
      <c r="F7" s="2" t="s">
        <v>72</v>
      </c>
      <c r="G7" s="2">
        <v>43</v>
      </c>
      <c r="H7" s="2" t="s">
        <v>80</v>
      </c>
      <c r="I7" s="2" t="s">
        <v>63</v>
      </c>
      <c r="J7" s="2" t="s">
        <v>81</v>
      </c>
      <c r="K7" s="2" t="s">
        <v>34</v>
      </c>
      <c r="L7" s="13">
        <v>44871</v>
      </c>
      <c r="M7" s="2">
        <v>14</v>
      </c>
      <c r="N7" s="2">
        <v>123</v>
      </c>
      <c r="O7" s="2">
        <v>23</v>
      </c>
      <c r="P7" s="2">
        <v>4104</v>
      </c>
      <c r="Q7" s="2">
        <v>1355</v>
      </c>
      <c r="R7" s="2">
        <v>160</v>
      </c>
      <c r="S7" s="2">
        <v>1108</v>
      </c>
      <c r="T7" s="2">
        <v>229</v>
      </c>
      <c r="U7" s="2">
        <v>7</v>
      </c>
      <c r="V7" s="12">
        <f>ABS(RPG_dataset[[#This Row],[Win Rate (%)]])</f>
        <v>83</v>
      </c>
      <c r="W7" s="2">
        <v>1499</v>
      </c>
      <c r="X7" s="9">
        <v>864710</v>
      </c>
      <c r="Y7" s="2" t="s">
        <v>46</v>
      </c>
      <c r="Z7" s="2">
        <v>65</v>
      </c>
      <c r="AA7" s="2" t="s">
        <v>1733</v>
      </c>
      <c r="AB7" s="2" t="b">
        <v>0</v>
      </c>
      <c r="AC7" s="2" t="s">
        <v>1730</v>
      </c>
      <c r="AD7" s="2" t="s">
        <v>1727</v>
      </c>
      <c r="AE7" s="2" t="s">
        <v>1728</v>
      </c>
      <c r="AF7" s="2" t="s">
        <v>1734</v>
      </c>
      <c r="AG7" s="28">
        <f>MAX(clean_data[[#This Row],[ATK]:[SPD]]) - MIN(clean_data[[#This Row],[ATK]:[SPD]])</f>
        <v>109</v>
      </c>
      <c r="AH7" s="28" t="str">
        <f>IF(clean_data[[#This Row],[Balanced Score]] = MIN(clean_data[Balanced Score]), "Most Balanced", "")</f>
        <v/>
      </c>
      <c r="AJ7" s="3" t="s">
        <v>16</v>
      </c>
      <c r="AK7" s="3">
        <f>COUNTBLANK(clean_data[MP])</f>
        <v>25</v>
      </c>
      <c r="AQ7" t="str">
        <v>Warrior</v>
      </c>
    </row>
    <row r="8" spans="1:43" x14ac:dyDescent="0.3">
      <c r="A8" s="2" t="s">
        <v>83</v>
      </c>
      <c r="B8" s="2" t="s">
        <v>84</v>
      </c>
      <c r="C8" s="2" t="s">
        <v>85</v>
      </c>
      <c r="D8" s="2" t="s">
        <v>254</v>
      </c>
      <c r="E8" s="2" t="s">
        <v>60</v>
      </c>
      <c r="F8" s="2" t="s">
        <v>75</v>
      </c>
      <c r="G8" s="2">
        <v>22</v>
      </c>
      <c r="H8" s="2" t="s">
        <v>31</v>
      </c>
      <c r="I8" s="2" t="s">
        <v>87</v>
      </c>
      <c r="J8" s="2" t="s">
        <v>88</v>
      </c>
      <c r="K8" s="2" t="s">
        <v>44</v>
      </c>
      <c r="L8" s="13">
        <v>44826</v>
      </c>
      <c r="M8" s="2">
        <v>68</v>
      </c>
      <c r="N8" s="2">
        <v>129</v>
      </c>
      <c r="O8" s="2">
        <v>139</v>
      </c>
      <c r="P8" s="2">
        <v>2832</v>
      </c>
      <c r="Q8" s="2">
        <v>1161</v>
      </c>
      <c r="R8" s="2">
        <v>336</v>
      </c>
      <c r="S8" s="2">
        <v>4545</v>
      </c>
      <c r="T8" s="2">
        <v>178</v>
      </c>
      <c r="U8" s="2">
        <v>255</v>
      </c>
      <c r="V8" s="12">
        <f>ABS(RPG_dataset[[#This Row],[Win Rate (%)]])</f>
        <v>96</v>
      </c>
      <c r="W8" s="2">
        <v>4184</v>
      </c>
      <c r="X8" s="9">
        <v>954984</v>
      </c>
      <c r="Y8" s="2" t="s">
        <v>36</v>
      </c>
      <c r="Z8" s="2">
        <v>23</v>
      </c>
      <c r="AA8" s="2" t="s">
        <v>1735</v>
      </c>
      <c r="AB8" s="2" t="b">
        <v>1</v>
      </c>
      <c r="AC8" s="2" t="s">
        <v>1730</v>
      </c>
      <c r="AD8" s="2" t="s">
        <v>1727</v>
      </c>
      <c r="AE8" s="2" t="s">
        <v>1728</v>
      </c>
      <c r="AF8" s="2" t="s">
        <v>1736</v>
      </c>
      <c r="AG8" s="28">
        <f>MAX(clean_data[[#This Row],[ATK]:[SPD]]) - MIN(clean_data[[#This Row],[ATK]:[SPD]])</f>
        <v>71</v>
      </c>
      <c r="AH8" s="28" t="str">
        <f>IF(clean_data[[#This Row],[Balanced Score]] = MIN(clean_data[Balanced Score]), "Most Balanced", "")</f>
        <v/>
      </c>
      <c r="AQ8" t="str">
        <v>Mage</v>
      </c>
    </row>
    <row r="9" spans="1:43" x14ac:dyDescent="0.3">
      <c r="A9" s="2" t="s">
        <v>90</v>
      </c>
      <c r="B9" s="2" t="s">
        <v>91</v>
      </c>
      <c r="C9" s="2" t="s">
        <v>39</v>
      </c>
      <c r="D9" s="2" t="s">
        <v>70</v>
      </c>
      <c r="E9" s="2" t="s">
        <v>29</v>
      </c>
      <c r="F9" s="2" t="s">
        <v>72</v>
      </c>
      <c r="G9" s="2">
        <v>39</v>
      </c>
      <c r="H9" s="2" t="s">
        <v>75</v>
      </c>
      <c r="I9" s="2" t="s">
        <v>32</v>
      </c>
      <c r="J9" s="2" t="s">
        <v>92</v>
      </c>
      <c r="K9" s="2" t="s">
        <v>106</v>
      </c>
      <c r="L9" s="13">
        <v>43892</v>
      </c>
      <c r="M9" s="2">
        <v>66</v>
      </c>
      <c r="N9" s="2">
        <v>139</v>
      </c>
      <c r="O9" s="2">
        <v>31</v>
      </c>
      <c r="P9" s="2">
        <v>3035</v>
      </c>
      <c r="Q9" s="2">
        <v>715</v>
      </c>
      <c r="R9" s="2">
        <v>236</v>
      </c>
      <c r="S9" s="2">
        <v>3617</v>
      </c>
      <c r="T9" s="2">
        <v>487</v>
      </c>
      <c r="U9" s="2">
        <v>18</v>
      </c>
      <c r="V9" s="12">
        <f>ABS(RPG_dataset[[#This Row],[Win Rate (%)]])</f>
        <v>88</v>
      </c>
      <c r="W9" s="2">
        <v>9899</v>
      </c>
      <c r="X9" s="9">
        <v>629663</v>
      </c>
      <c r="Y9" s="2" t="s">
        <v>46</v>
      </c>
      <c r="Z9" s="2">
        <v>185</v>
      </c>
      <c r="AA9" s="2" t="s">
        <v>1733</v>
      </c>
      <c r="AB9" s="2" t="b">
        <v>0</v>
      </c>
      <c r="AC9" s="2" t="s">
        <v>1730</v>
      </c>
      <c r="AD9" s="2" t="s">
        <v>1727</v>
      </c>
      <c r="AE9" s="2" t="s">
        <v>1728</v>
      </c>
      <c r="AF9" s="2" t="s">
        <v>1734</v>
      </c>
      <c r="AG9" s="28">
        <f>MAX(clean_data[[#This Row],[ATK]:[SPD]]) - MIN(clean_data[[#This Row],[ATK]:[SPD]])</f>
        <v>108</v>
      </c>
      <c r="AH9" s="28" t="str">
        <f>IF(clean_data[[#This Row],[Balanced Score]] = MIN(clean_data[Balanced Score]), "Most Balanced", "")</f>
        <v/>
      </c>
      <c r="AJ9" s="17" t="s">
        <v>1692</v>
      </c>
      <c r="AK9" s="17"/>
      <c r="AL9" s="3" t="s">
        <v>1694</v>
      </c>
      <c r="AM9" s="3" t="s">
        <v>1695</v>
      </c>
      <c r="AQ9" t="str">
        <v>Necromancer</v>
      </c>
    </row>
    <row r="10" spans="1:43" x14ac:dyDescent="0.3">
      <c r="A10" s="2" t="s">
        <v>95</v>
      </c>
      <c r="B10" s="2" t="s">
        <v>96</v>
      </c>
      <c r="C10" s="2" t="s">
        <v>97</v>
      </c>
      <c r="D10" s="2" t="s">
        <v>28</v>
      </c>
      <c r="E10" s="2" t="s">
        <v>71</v>
      </c>
      <c r="F10" s="2" t="s">
        <v>98</v>
      </c>
      <c r="G10" s="2">
        <v>66</v>
      </c>
      <c r="H10" s="2" t="s">
        <v>31</v>
      </c>
      <c r="I10" s="2" t="s">
        <v>74</v>
      </c>
      <c r="J10" s="2" t="s">
        <v>33</v>
      </c>
      <c r="K10" s="2" t="s">
        <v>99</v>
      </c>
      <c r="L10" s="13">
        <v>44841</v>
      </c>
      <c r="M10" s="2">
        <v>87</v>
      </c>
      <c r="N10" s="2">
        <v>60</v>
      </c>
      <c r="O10" s="2">
        <v>72</v>
      </c>
      <c r="P10" s="2">
        <v>1712</v>
      </c>
      <c r="Q10" s="2">
        <v>121</v>
      </c>
      <c r="R10" s="2">
        <v>219</v>
      </c>
      <c r="S10" s="2">
        <v>2633</v>
      </c>
      <c r="T10" s="2">
        <v>147</v>
      </c>
      <c r="U10" s="2">
        <v>121</v>
      </c>
      <c r="V10" s="12">
        <f>ABS(RPG_dataset[[#This Row],[Win Rate (%)]])</f>
        <v>95</v>
      </c>
      <c r="W10" s="2">
        <v>457</v>
      </c>
      <c r="X10" s="9">
        <v>806099</v>
      </c>
      <c r="Y10" s="2" t="s">
        <v>46</v>
      </c>
      <c r="Z10" s="2">
        <v>102</v>
      </c>
      <c r="AA10" s="2" t="s">
        <v>1725</v>
      </c>
      <c r="AB10" s="2" t="b">
        <v>0</v>
      </c>
      <c r="AC10" s="2" t="s">
        <v>1730</v>
      </c>
      <c r="AD10" s="2" t="s">
        <v>1727</v>
      </c>
      <c r="AE10" s="2" t="s">
        <v>1728</v>
      </c>
      <c r="AF10" s="2" t="s">
        <v>1732</v>
      </c>
      <c r="AG10" s="28">
        <f>MAX(clean_data[[#This Row],[ATK]:[SPD]]) - MIN(clean_data[[#This Row],[ATK]:[SPD]])</f>
        <v>27</v>
      </c>
      <c r="AH10" s="28" t="str">
        <f>IF(clean_data[[#This Row],[Balanced Score]] = MIN(clean_data[Balanced Score]), "Most Balanced", "")</f>
        <v/>
      </c>
      <c r="AJ10" s="3" t="s">
        <v>6</v>
      </c>
      <c r="AK10" s="7">
        <f>AVERAGE(clean_data[Level])</f>
        <v>51.927385892116185</v>
      </c>
      <c r="AL10" s="3">
        <f>MAX(clean_data[Level])</f>
        <v>100</v>
      </c>
      <c r="AM10" s="3">
        <f>MIN(clean_data[Level])</f>
        <v>1</v>
      </c>
      <c r="AQ10" t="str">
        <v>Paladin</v>
      </c>
    </row>
    <row r="11" spans="1:43" x14ac:dyDescent="0.3">
      <c r="A11" s="2" t="s">
        <v>101</v>
      </c>
      <c r="B11" s="2" t="s">
        <v>102</v>
      </c>
      <c r="C11" s="2" t="s">
        <v>103</v>
      </c>
      <c r="D11" s="2" t="s">
        <v>104</v>
      </c>
      <c r="E11" s="2" t="s">
        <v>105</v>
      </c>
      <c r="F11" s="2" t="s">
        <v>42</v>
      </c>
      <c r="G11" s="2">
        <v>98</v>
      </c>
      <c r="H11" s="2" t="s">
        <v>80</v>
      </c>
      <c r="I11" s="2" t="s">
        <v>74</v>
      </c>
      <c r="J11" s="2" t="s">
        <v>81</v>
      </c>
      <c r="K11" s="2" t="s">
        <v>106</v>
      </c>
      <c r="L11" s="13">
        <v>43324</v>
      </c>
      <c r="M11" s="2">
        <v>76</v>
      </c>
      <c r="N11" s="2">
        <v>107</v>
      </c>
      <c r="O11" s="2">
        <v>91</v>
      </c>
      <c r="P11" s="2">
        <v>1624</v>
      </c>
      <c r="Q11" s="2">
        <v>630</v>
      </c>
      <c r="R11" s="2">
        <v>274</v>
      </c>
      <c r="S11" s="2">
        <v>1747</v>
      </c>
      <c r="T11" s="2">
        <v>672</v>
      </c>
      <c r="U11" s="2">
        <v>293</v>
      </c>
      <c r="V11" s="12">
        <f>ABS(RPG_dataset[[#This Row],[Win Rate (%)]])</f>
        <v>72</v>
      </c>
      <c r="W11" s="2">
        <v>5441</v>
      </c>
      <c r="X11" s="9">
        <v>652078</v>
      </c>
      <c r="Y11" s="2" t="s">
        <v>46</v>
      </c>
      <c r="Z11" s="2">
        <v>174</v>
      </c>
      <c r="AA11" s="2" t="s">
        <v>1737</v>
      </c>
      <c r="AB11" s="2" t="b">
        <v>0</v>
      </c>
      <c r="AC11" s="2" t="s">
        <v>1730</v>
      </c>
      <c r="AD11" s="2" t="s">
        <v>1727</v>
      </c>
      <c r="AE11" s="2" t="s">
        <v>1728</v>
      </c>
      <c r="AF11" s="2" t="s">
        <v>1736</v>
      </c>
      <c r="AG11" s="28">
        <f>MAX(clean_data[[#This Row],[ATK]:[SPD]]) - MIN(clean_data[[#This Row],[ATK]:[SPD]])</f>
        <v>31</v>
      </c>
      <c r="AH11" s="28" t="str">
        <f>IF(clean_data[[#This Row],[Balanced Score]] = MIN(clean_data[Balanced Score]), "Most Balanced", "")</f>
        <v/>
      </c>
      <c r="AJ11" s="3" t="s">
        <v>12</v>
      </c>
      <c r="AK11" s="7">
        <f>AVERAGE(clean_data[ATK])</f>
        <v>81.030674846625772</v>
      </c>
      <c r="AL11" s="3">
        <f>MAX(clean_data[ATK])</f>
        <v>150</v>
      </c>
      <c r="AM11" s="3">
        <f>MIN(clean_data[ATK])</f>
        <v>10</v>
      </c>
    </row>
    <row r="12" spans="1:43" x14ac:dyDescent="0.3">
      <c r="A12" s="2" t="s">
        <v>108</v>
      </c>
      <c r="B12" s="2" t="s">
        <v>109</v>
      </c>
      <c r="C12" s="2" t="s">
        <v>110</v>
      </c>
      <c r="D12" s="2" t="s">
        <v>40</v>
      </c>
      <c r="E12" s="2" t="s">
        <v>51</v>
      </c>
      <c r="F12" s="2" t="s">
        <v>30</v>
      </c>
      <c r="G12" s="2">
        <v>7</v>
      </c>
      <c r="H12" s="2" t="s">
        <v>80</v>
      </c>
      <c r="I12" s="2" t="s">
        <v>32</v>
      </c>
      <c r="J12" s="2" t="s">
        <v>111</v>
      </c>
      <c r="K12" s="2" t="s">
        <v>44</v>
      </c>
      <c r="L12" s="13">
        <v>44901</v>
      </c>
      <c r="M12" s="2"/>
      <c r="N12" s="2">
        <v>86</v>
      </c>
      <c r="O12" s="2"/>
      <c r="P12" s="2">
        <v>2823</v>
      </c>
      <c r="Q12" s="2">
        <v>2095</v>
      </c>
      <c r="R12" s="2">
        <v>280</v>
      </c>
      <c r="S12" s="2">
        <v>4899</v>
      </c>
      <c r="T12" s="2">
        <v>257</v>
      </c>
      <c r="U12" s="2">
        <v>56</v>
      </c>
      <c r="V12" s="12">
        <f>ABS(RPG_dataset[[#This Row],[Win Rate (%)]])</f>
        <v>95</v>
      </c>
      <c r="W12" s="2">
        <v>5690</v>
      </c>
      <c r="X12" s="9">
        <v>858203</v>
      </c>
      <c r="Y12" s="2" t="s">
        <v>46</v>
      </c>
      <c r="Z12" s="2">
        <v>70</v>
      </c>
      <c r="AA12" s="2" t="s">
        <v>1735</v>
      </c>
      <c r="AB12" s="2" t="b">
        <v>1</v>
      </c>
      <c r="AC12" s="2" t="s">
        <v>1730</v>
      </c>
      <c r="AD12" s="2" t="s">
        <v>1727</v>
      </c>
      <c r="AE12" s="2" t="s">
        <v>1728</v>
      </c>
      <c r="AF12" s="2" t="s">
        <v>1729</v>
      </c>
      <c r="AG12" s="28">
        <f>MAX(clean_data[[#This Row],[ATK]:[SPD]]) - MIN(clean_data[[#This Row],[ATK]:[SPD]])</f>
        <v>0</v>
      </c>
      <c r="AH12" s="28" t="str">
        <f>IF(clean_data[[#This Row],[Balanced Score]] = MIN(clean_data[Balanced Score]), "Most Balanced", "")</f>
        <v>Most Balanced</v>
      </c>
      <c r="AJ12" s="3" t="s">
        <v>1693</v>
      </c>
      <c r="AK12" s="8">
        <f>AVERAGE(clean_data[Gold Earned])</f>
        <v>513840.88659793814</v>
      </c>
      <c r="AL12" s="8">
        <f>MAX(clean_data[Gold Earned])</f>
        <v>999412</v>
      </c>
      <c r="AM12" s="8">
        <f>MIN(clean_data[Gold Earned])</f>
        <v>3185</v>
      </c>
    </row>
    <row r="13" spans="1:43" x14ac:dyDescent="0.3">
      <c r="A13" s="2" t="s">
        <v>113</v>
      </c>
      <c r="B13" s="2" t="s">
        <v>114</v>
      </c>
      <c r="C13" s="2" t="s">
        <v>69</v>
      </c>
      <c r="D13" s="2" t="s">
        <v>75</v>
      </c>
      <c r="E13" s="2" t="s">
        <v>29</v>
      </c>
      <c r="F13" s="2" t="s">
        <v>30</v>
      </c>
      <c r="G13" s="2">
        <v>70</v>
      </c>
      <c r="H13" s="2" t="s">
        <v>62</v>
      </c>
      <c r="I13" s="2" t="s">
        <v>63</v>
      </c>
      <c r="J13" s="2" t="s">
        <v>81</v>
      </c>
      <c r="K13" s="2" t="s">
        <v>75</v>
      </c>
      <c r="L13" s="13">
        <v>45446</v>
      </c>
      <c r="M13" s="2">
        <v>95</v>
      </c>
      <c r="N13" s="2">
        <v>42</v>
      </c>
      <c r="O13" s="2">
        <v>147</v>
      </c>
      <c r="P13" s="2">
        <v>3213</v>
      </c>
      <c r="Q13" s="2">
        <v>2265</v>
      </c>
      <c r="R13" s="2">
        <v>284</v>
      </c>
      <c r="S13" s="2">
        <v>504</v>
      </c>
      <c r="T13" s="2">
        <v>336</v>
      </c>
      <c r="U13" s="2">
        <v>252</v>
      </c>
      <c r="V13" s="12">
        <f>ABS(RPG_dataset[[#This Row],[Win Rate (%)]])</f>
        <v>60</v>
      </c>
      <c r="W13" s="2">
        <v>5495</v>
      </c>
      <c r="X13" s="9">
        <v>73314</v>
      </c>
      <c r="Y13" s="2" t="s">
        <v>46</v>
      </c>
      <c r="Z13" s="2">
        <v>448</v>
      </c>
      <c r="AA13" s="2" t="s">
        <v>1725</v>
      </c>
      <c r="AB13" s="2" t="b">
        <v>0</v>
      </c>
      <c r="AC13" s="2" t="s">
        <v>1738</v>
      </c>
      <c r="AD13" s="2" t="s">
        <v>1727</v>
      </c>
      <c r="AE13" s="2" t="s">
        <v>1728</v>
      </c>
      <c r="AF13" s="2" t="s">
        <v>1736</v>
      </c>
      <c r="AG13" s="28">
        <f>MAX(clean_data[[#This Row],[ATK]:[SPD]]) - MIN(clean_data[[#This Row],[ATK]:[SPD]])</f>
        <v>105</v>
      </c>
      <c r="AH13" s="28" t="str">
        <f>IF(clean_data[[#This Row],[Balanced Score]] = MIN(clean_data[Balanced Score]), "Most Balanced", "")</f>
        <v/>
      </c>
    </row>
    <row r="14" spans="1:43" x14ac:dyDescent="0.3">
      <c r="A14" s="2" t="s">
        <v>116</v>
      </c>
      <c r="B14" s="2" t="s">
        <v>117</v>
      </c>
      <c r="C14" s="2" t="s">
        <v>118</v>
      </c>
      <c r="D14" s="2" t="s">
        <v>119</v>
      </c>
      <c r="E14" s="2" t="s">
        <v>29</v>
      </c>
      <c r="F14" s="2" t="s">
        <v>98</v>
      </c>
      <c r="G14" s="2">
        <v>53</v>
      </c>
      <c r="H14" s="2" t="s">
        <v>62</v>
      </c>
      <c r="I14" s="2" t="s">
        <v>54</v>
      </c>
      <c r="J14" s="2" t="s">
        <v>120</v>
      </c>
      <c r="K14" s="2" t="s">
        <v>44</v>
      </c>
      <c r="L14" s="13">
        <v>45446</v>
      </c>
      <c r="M14" s="2">
        <v>48</v>
      </c>
      <c r="N14" s="2">
        <v>51</v>
      </c>
      <c r="O14" s="2">
        <v>139</v>
      </c>
      <c r="P14" s="2">
        <v>4833</v>
      </c>
      <c r="Q14" s="2">
        <v>1088</v>
      </c>
      <c r="R14" s="2">
        <v>238</v>
      </c>
      <c r="S14" s="2">
        <v>1262</v>
      </c>
      <c r="T14" s="2">
        <v>722</v>
      </c>
      <c r="U14" s="2">
        <v>265</v>
      </c>
      <c r="V14" s="12">
        <f>ABS(RPG_dataset[[#This Row],[Win Rate (%)]])</f>
        <v>64</v>
      </c>
      <c r="W14" s="2">
        <v>9944</v>
      </c>
      <c r="X14" s="9">
        <v>156160</v>
      </c>
      <c r="Y14" s="2" t="s">
        <v>36</v>
      </c>
      <c r="Z14" s="2">
        <v>419</v>
      </c>
      <c r="AA14" s="2" t="s">
        <v>1725</v>
      </c>
      <c r="AB14" s="2" t="b">
        <v>1</v>
      </c>
      <c r="AC14" s="2" t="s">
        <v>1738</v>
      </c>
      <c r="AD14" s="2" t="s">
        <v>1727</v>
      </c>
      <c r="AE14" s="2" t="s">
        <v>1728</v>
      </c>
      <c r="AF14" s="2" t="s">
        <v>1736</v>
      </c>
      <c r="AG14" s="28">
        <f>MAX(clean_data[[#This Row],[ATK]:[SPD]]) - MIN(clean_data[[#This Row],[ATK]:[SPD]])</f>
        <v>91</v>
      </c>
      <c r="AH14" s="28" t="str">
        <f>IF(clean_data[[#This Row],[Balanced Score]] = MIN(clean_data[Balanced Score]), "Most Balanced", "")</f>
        <v/>
      </c>
      <c r="AJ14" s="3" t="s">
        <v>5</v>
      </c>
      <c r="AK14" s="3" t="s">
        <v>42</v>
      </c>
    </row>
    <row r="15" spans="1:43" x14ac:dyDescent="0.3">
      <c r="A15" s="2" t="s">
        <v>121</v>
      </c>
      <c r="B15" s="2" t="s">
        <v>122</v>
      </c>
      <c r="C15" s="2" t="s">
        <v>123</v>
      </c>
      <c r="D15" s="2" t="s">
        <v>70</v>
      </c>
      <c r="E15" s="2" t="s">
        <v>41</v>
      </c>
      <c r="F15" s="2" t="s">
        <v>124</v>
      </c>
      <c r="G15" s="2">
        <v>15</v>
      </c>
      <c r="H15" s="2" t="s">
        <v>125</v>
      </c>
      <c r="I15" s="2" t="s">
        <v>126</v>
      </c>
      <c r="J15" s="2" t="s">
        <v>92</v>
      </c>
      <c r="K15" s="2" t="s">
        <v>106</v>
      </c>
      <c r="L15" s="13">
        <v>45063</v>
      </c>
      <c r="M15" s="2">
        <v>127</v>
      </c>
      <c r="N15" s="2">
        <v>51</v>
      </c>
      <c r="O15" s="2">
        <v>134</v>
      </c>
      <c r="P15" s="2">
        <v>363</v>
      </c>
      <c r="Q15" s="2">
        <v>1870</v>
      </c>
      <c r="R15" s="2">
        <v>312</v>
      </c>
      <c r="S15" s="2">
        <v>453</v>
      </c>
      <c r="T15" s="2">
        <v>188</v>
      </c>
      <c r="U15" s="2">
        <v>276</v>
      </c>
      <c r="V15" s="12">
        <f>ABS(RPG_dataset[[#This Row],[Win Rate (%)]])</f>
        <v>71</v>
      </c>
      <c r="W15" s="2">
        <v>539</v>
      </c>
      <c r="X15" s="9">
        <v>63346</v>
      </c>
      <c r="Y15" s="2" t="s">
        <v>36</v>
      </c>
      <c r="Z15" s="2">
        <v>453</v>
      </c>
      <c r="AA15" s="2" t="s">
        <v>1735</v>
      </c>
      <c r="AB15" s="2" t="b">
        <v>0</v>
      </c>
      <c r="AC15" s="2" t="s">
        <v>1730</v>
      </c>
      <c r="AD15" s="2" t="s">
        <v>1727</v>
      </c>
      <c r="AE15" s="2" t="s">
        <v>1728</v>
      </c>
      <c r="AF15" s="2" t="s">
        <v>1736</v>
      </c>
      <c r="AG15" s="28">
        <f>MAX(clean_data[[#This Row],[ATK]:[SPD]]) - MIN(clean_data[[#This Row],[ATK]:[SPD]])</f>
        <v>83</v>
      </c>
      <c r="AH15" s="28" t="str">
        <f>IF(clean_data[[#This Row],[Balanced Score]] = MIN(clean_data[Balanced Score]), "Most Balanced", "")</f>
        <v/>
      </c>
      <c r="AJ15" s="3" t="s">
        <v>10</v>
      </c>
      <c r="AK15" s="3">
        <f>COUNTIF(clean_data[Class],AK14)</f>
        <v>60</v>
      </c>
      <c r="AN15" s="3" t="s">
        <v>5</v>
      </c>
      <c r="AO15" s="3" t="s">
        <v>30</v>
      </c>
    </row>
    <row r="16" spans="1:43" x14ac:dyDescent="0.3">
      <c r="A16" s="2" t="s">
        <v>128</v>
      </c>
      <c r="B16" s="2" t="s">
        <v>129</v>
      </c>
      <c r="C16" s="2" t="s">
        <v>130</v>
      </c>
      <c r="D16" s="2" t="s">
        <v>131</v>
      </c>
      <c r="E16" s="2" t="s">
        <v>105</v>
      </c>
      <c r="F16" s="2" t="s">
        <v>72</v>
      </c>
      <c r="G16" s="2">
        <v>47</v>
      </c>
      <c r="H16" s="2" t="s">
        <v>125</v>
      </c>
      <c r="I16" s="2" t="s">
        <v>126</v>
      </c>
      <c r="J16" s="2" t="s">
        <v>92</v>
      </c>
      <c r="K16" s="2" t="s">
        <v>44</v>
      </c>
      <c r="L16" s="13">
        <v>43399</v>
      </c>
      <c r="M16" s="2">
        <v>105</v>
      </c>
      <c r="N16" s="2">
        <v>141</v>
      </c>
      <c r="O16" s="2">
        <v>81</v>
      </c>
      <c r="P16" s="2">
        <v>4225</v>
      </c>
      <c r="Q16" s="2">
        <v>1976</v>
      </c>
      <c r="R16" s="2">
        <v>327</v>
      </c>
      <c r="S16" s="2">
        <v>1389</v>
      </c>
      <c r="T16" s="2">
        <v>46</v>
      </c>
      <c r="U16" s="2">
        <v>89</v>
      </c>
      <c r="V16" s="12">
        <f>ABS(RPG_dataset[[#This Row],[Win Rate (%)]])</f>
        <v>97</v>
      </c>
      <c r="W16" s="2">
        <v>7877</v>
      </c>
      <c r="X16" s="9">
        <v>631609</v>
      </c>
      <c r="Y16" s="2" t="s">
        <v>46</v>
      </c>
      <c r="Z16" s="2">
        <v>183</v>
      </c>
      <c r="AA16" s="2" t="s">
        <v>1733</v>
      </c>
      <c r="AB16" s="2" t="b">
        <v>1</v>
      </c>
      <c r="AC16" s="2" t="s">
        <v>1730</v>
      </c>
      <c r="AD16" s="2" t="s">
        <v>1727</v>
      </c>
      <c r="AE16" s="2" t="s">
        <v>1728</v>
      </c>
      <c r="AF16" s="2" t="s">
        <v>1739</v>
      </c>
      <c r="AG16" s="28">
        <f>MAX(clean_data[[#This Row],[ATK]:[SPD]]) - MIN(clean_data[[#This Row],[ATK]:[SPD]])</f>
        <v>60</v>
      </c>
      <c r="AH16" s="28" t="str">
        <f>IF(clean_data[[#This Row],[Balanced Score]] = MIN(clean_data[Balanced Score]), "Most Balanced", "")</f>
        <v/>
      </c>
      <c r="AN16" s="3" t="s">
        <v>1743</v>
      </c>
      <c r="AO16" s="3">
        <f>AVERAGEIF(clean_data[Class],AO15, clean_data[Win Rate (%)])</f>
        <v>75.016129032258064</v>
      </c>
    </row>
    <row r="17" spans="1:37" x14ac:dyDescent="0.3">
      <c r="A17" s="2" t="s">
        <v>133</v>
      </c>
      <c r="B17" s="2" t="s">
        <v>134</v>
      </c>
      <c r="C17" s="2" t="s">
        <v>85</v>
      </c>
      <c r="D17" s="2" t="s">
        <v>119</v>
      </c>
      <c r="E17" s="2" t="s">
        <v>29</v>
      </c>
      <c r="F17" s="2" t="s">
        <v>52</v>
      </c>
      <c r="G17" s="2">
        <v>51</v>
      </c>
      <c r="H17" s="2" t="s">
        <v>53</v>
      </c>
      <c r="I17" s="2" t="s">
        <v>63</v>
      </c>
      <c r="J17" s="2" t="s">
        <v>92</v>
      </c>
      <c r="K17" s="2" t="s">
        <v>99</v>
      </c>
      <c r="L17" s="13">
        <v>45069</v>
      </c>
      <c r="M17" s="2">
        <v>16</v>
      </c>
      <c r="N17" s="2">
        <v>27</v>
      </c>
      <c r="O17" s="2">
        <v>130</v>
      </c>
      <c r="P17" s="2">
        <v>3640</v>
      </c>
      <c r="Q17" s="2">
        <v>2506</v>
      </c>
      <c r="R17" s="2">
        <v>173</v>
      </c>
      <c r="S17" s="2">
        <v>4567</v>
      </c>
      <c r="T17" s="2">
        <v>683</v>
      </c>
      <c r="U17" s="2">
        <v>200</v>
      </c>
      <c r="V17" s="12">
        <f>ABS(RPG_dataset[[#This Row],[Win Rate (%)]])</f>
        <v>87</v>
      </c>
      <c r="W17" s="2">
        <v>3708</v>
      </c>
      <c r="X17" s="9">
        <v>384813</v>
      </c>
      <c r="Y17" s="2" t="s">
        <v>46</v>
      </c>
      <c r="Z17" s="2">
        <v>313</v>
      </c>
      <c r="AA17" s="2" t="s">
        <v>1725</v>
      </c>
      <c r="AB17" s="2" t="b">
        <v>0</v>
      </c>
      <c r="AC17" s="2" t="s">
        <v>1730</v>
      </c>
      <c r="AD17" s="2" t="s">
        <v>1727</v>
      </c>
      <c r="AE17" s="2" t="s">
        <v>1728</v>
      </c>
      <c r="AF17" s="2" t="s">
        <v>1736</v>
      </c>
      <c r="AG17" s="28">
        <f>MAX(clean_data[[#This Row],[ATK]:[SPD]]) - MIN(clean_data[[#This Row],[ATK]:[SPD]])</f>
        <v>114</v>
      </c>
      <c r="AH17" s="28" t="str">
        <f>IF(clean_data[[#This Row],[Balanced Score]] = MIN(clean_data[Balanced Score]), "Most Balanced", "")</f>
        <v/>
      </c>
      <c r="AJ17" s="3" t="s">
        <v>1696</v>
      </c>
      <c r="AK17" s="3" t="s">
        <v>36</v>
      </c>
    </row>
    <row r="18" spans="1:37" x14ac:dyDescent="0.3">
      <c r="A18" s="2" t="s">
        <v>136</v>
      </c>
      <c r="B18" s="2" t="s">
        <v>137</v>
      </c>
      <c r="C18" s="2" t="s">
        <v>138</v>
      </c>
      <c r="D18" s="2" t="s">
        <v>139</v>
      </c>
      <c r="E18" s="2" t="s">
        <v>41</v>
      </c>
      <c r="F18" s="2" t="s">
        <v>30</v>
      </c>
      <c r="G18" s="2">
        <v>55</v>
      </c>
      <c r="H18" s="2" t="s">
        <v>53</v>
      </c>
      <c r="I18" s="2" t="s">
        <v>140</v>
      </c>
      <c r="J18" s="2" t="s">
        <v>120</v>
      </c>
      <c r="K18" s="2" t="s">
        <v>99</v>
      </c>
      <c r="L18" s="13">
        <v>45652</v>
      </c>
      <c r="M18" s="2">
        <v>10</v>
      </c>
      <c r="N18" s="2">
        <v>63</v>
      </c>
      <c r="O18" s="2">
        <v>138</v>
      </c>
      <c r="P18" s="2">
        <v>2931</v>
      </c>
      <c r="Q18" s="2">
        <v>2865</v>
      </c>
      <c r="R18" s="2"/>
      <c r="S18" s="2">
        <v>4870</v>
      </c>
      <c r="T18" s="2">
        <v>750</v>
      </c>
      <c r="U18" s="2">
        <v>194</v>
      </c>
      <c r="V18" s="12">
        <f>ABS(RPG_dataset[[#This Row],[Win Rate (%)]])</f>
        <v>87</v>
      </c>
      <c r="W18" s="2"/>
      <c r="X18" s="9">
        <v>374988</v>
      </c>
      <c r="Y18" s="2" t="s">
        <v>36</v>
      </c>
      <c r="Z18" s="2">
        <v>316</v>
      </c>
      <c r="AA18" s="2" t="s">
        <v>1725</v>
      </c>
      <c r="AB18" s="2" t="b">
        <v>0</v>
      </c>
      <c r="AC18" s="2" t="s">
        <v>1730</v>
      </c>
      <c r="AD18" s="2" t="s">
        <v>1727</v>
      </c>
      <c r="AE18" s="2" t="s">
        <v>1731</v>
      </c>
      <c r="AF18" s="2" t="s">
        <v>1740</v>
      </c>
      <c r="AG18" s="28">
        <f>MAX(clean_data[[#This Row],[ATK]:[SPD]]) - MIN(clean_data[[#This Row],[ATK]:[SPD]])</f>
        <v>128</v>
      </c>
      <c r="AH18" s="28" t="str">
        <f>IF(clean_data[[#This Row],[Balanced Score]] = MIN(clean_data[Balanced Score]), "Most Balanced", "")</f>
        <v/>
      </c>
      <c r="AJ18" s="3" t="s">
        <v>1697</v>
      </c>
      <c r="AK18" s="8">
        <f>SUMIF(RPG_dataset[Is Premium],AK17, RPG_dataset[Gold Earned])</f>
        <v>94144859</v>
      </c>
    </row>
    <row r="19" spans="1:37" x14ac:dyDescent="0.3">
      <c r="A19" s="2" t="s">
        <v>142</v>
      </c>
      <c r="B19" s="2" t="s">
        <v>143</v>
      </c>
      <c r="C19" s="2" t="s">
        <v>27</v>
      </c>
      <c r="D19" s="2" t="s">
        <v>144</v>
      </c>
      <c r="E19" s="2" t="s">
        <v>71</v>
      </c>
      <c r="F19" s="2" t="s">
        <v>61</v>
      </c>
      <c r="G19" s="2">
        <v>91</v>
      </c>
      <c r="H19" s="2" t="s">
        <v>62</v>
      </c>
      <c r="I19" s="2" t="s">
        <v>126</v>
      </c>
      <c r="J19" s="2" t="s">
        <v>64</v>
      </c>
      <c r="K19" s="2" t="s">
        <v>44</v>
      </c>
      <c r="L19" s="13">
        <v>43519</v>
      </c>
      <c r="M19" s="2">
        <v>112</v>
      </c>
      <c r="N19" s="2">
        <v>124</v>
      </c>
      <c r="O19" s="2">
        <v>145</v>
      </c>
      <c r="P19" s="2">
        <v>179</v>
      </c>
      <c r="Q19" s="2">
        <v>382</v>
      </c>
      <c r="R19" s="2">
        <v>381</v>
      </c>
      <c r="S19" s="2">
        <v>2451</v>
      </c>
      <c r="T19" s="2">
        <v>533</v>
      </c>
      <c r="U19" s="2">
        <v>148</v>
      </c>
      <c r="V19" s="12">
        <f>ABS(RPG_dataset[[#This Row],[Win Rate (%)]])</f>
        <v>82</v>
      </c>
      <c r="W19" s="2">
        <v>2807</v>
      </c>
      <c r="X19" s="9">
        <v>700363</v>
      </c>
      <c r="Y19" s="2" t="s">
        <v>36</v>
      </c>
      <c r="Z19" s="2">
        <v>150</v>
      </c>
      <c r="AA19" s="2" t="s">
        <v>1737</v>
      </c>
      <c r="AB19" s="2" t="b">
        <v>1</v>
      </c>
      <c r="AC19" s="2" t="s">
        <v>1730</v>
      </c>
      <c r="AD19" s="2" t="s">
        <v>1741</v>
      </c>
      <c r="AE19" s="2" t="s">
        <v>1731</v>
      </c>
      <c r="AF19" s="2" t="s">
        <v>1736</v>
      </c>
      <c r="AG19" s="28">
        <f>MAX(clean_data[[#This Row],[ATK]:[SPD]]) - MIN(clean_data[[#This Row],[ATK]:[SPD]])</f>
        <v>33</v>
      </c>
      <c r="AH19" s="28" t="str">
        <f>IF(clean_data[[#This Row],[Balanced Score]] = MIN(clean_data[Balanced Score]), "Most Balanced", "")</f>
        <v/>
      </c>
    </row>
    <row r="20" spans="1:37" x14ac:dyDescent="0.3">
      <c r="A20" s="2" t="s">
        <v>148</v>
      </c>
      <c r="B20" s="2" t="s">
        <v>149</v>
      </c>
      <c r="C20" s="2" t="s">
        <v>118</v>
      </c>
      <c r="D20" s="2" t="s">
        <v>150</v>
      </c>
      <c r="E20" s="2" t="s">
        <v>105</v>
      </c>
      <c r="F20" s="2" t="s">
        <v>98</v>
      </c>
      <c r="G20" s="2">
        <v>3</v>
      </c>
      <c r="H20" s="2" t="s">
        <v>80</v>
      </c>
      <c r="I20" s="2" t="s">
        <v>32</v>
      </c>
      <c r="J20" s="2" t="s">
        <v>64</v>
      </c>
      <c r="K20" s="2" t="s">
        <v>34</v>
      </c>
      <c r="L20" s="13">
        <v>43387</v>
      </c>
      <c r="M20" s="2">
        <v>31</v>
      </c>
      <c r="N20" s="2">
        <v>57</v>
      </c>
      <c r="O20" s="2">
        <v>96</v>
      </c>
      <c r="P20" s="2">
        <v>1322</v>
      </c>
      <c r="Q20" s="2">
        <v>1851</v>
      </c>
      <c r="R20" s="2">
        <v>184</v>
      </c>
      <c r="S20" s="2">
        <v>4749</v>
      </c>
      <c r="T20" s="2">
        <v>685</v>
      </c>
      <c r="U20" s="2">
        <v>264</v>
      </c>
      <c r="V20" s="12">
        <f>ABS(RPG_dataset[[#This Row],[Win Rate (%)]])</f>
        <v>87</v>
      </c>
      <c r="W20" s="2">
        <v>5309</v>
      </c>
      <c r="X20" s="9">
        <v>469301</v>
      </c>
      <c r="Y20" s="2" t="s">
        <v>46</v>
      </c>
      <c r="Z20" s="2">
        <v>270</v>
      </c>
      <c r="AA20" s="2" t="s">
        <v>1735</v>
      </c>
      <c r="AB20" s="2" t="b">
        <v>0</v>
      </c>
      <c r="AC20" s="2" t="s">
        <v>1730</v>
      </c>
      <c r="AD20" s="2" t="s">
        <v>1727</v>
      </c>
      <c r="AE20" s="2" t="s">
        <v>1728</v>
      </c>
      <c r="AF20" s="2" t="s">
        <v>1736</v>
      </c>
      <c r="AG20" s="28">
        <f>MAX(clean_data[[#This Row],[ATK]:[SPD]]) - MIN(clean_data[[#This Row],[ATK]:[SPD]])</f>
        <v>65</v>
      </c>
      <c r="AH20" s="28" t="str">
        <f>IF(clean_data[[#This Row],[Balanced Score]] = MIN(clean_data[Balanced Score]), "Most Balanced", "")</f>
        <v/>
      </c>
      <c r="AJ20" s="3" t="s">
        <v>5</v>
      </c>
      <c r="AK20" s="3" t="s">
        <v>61</v>
      </c>
    </row>
    <row r="21" spans="1:37" x14ac:dyDescent="0.3">
      <c r="A21" s="2" t="s">
        <v>152</v>
      </c>
      <c r="B21" s="2" t="s">
        <v>153</v>
      </c>
      <c r="C21" s="2" t="s">
        <v>154</v>
      </c>
      <c r="D21" s="2" t="s">
        <v>155</v>
      </c>
      <c r="E21" s="2" t="s">
        <v>60</v>
      </c>
      <c r="F21" s="2" t="s">
        <v>124</v>
      </c>
      <c r="G21" s="2">
        <v>7</v>
      </c>
      <c r="H21" s="2" t="s">
        <v>157</v>
      </c>
      <c r="I21" s="2" t="s">
        <v>74</v>
      </c>
      <c r="J21" s="2" t="s">
        <v>33</v>
      </c>
      <c r="K21" s="2" t="s">
        <v>75</v>
      </c>
      <c r="L21" s="13">
        <v>44670</v>
      </c>
      <c r="M21" s="2">
        <v>146</v>
      </c>
      <c r="N21" s="2">
        <v>140</v>
      </c>
      <c r="O21" s="2">
        <v>27</v>
      </c>
      <c r="P21" s="2">
        <v>211</v>
      </c>
      <c r="Q21" s="2">
        <v>2833</v>
      </c>
      <c r="R21" s="2">
        <v>313</v>
      </c>
      <c r="S21" s="2">
        <v>1649</v>
      </c>
      <c r="T21" s="2">
        <v>149</v>
      </c>
      <c r="U21" s="2">
        <v>226</v>
      </c>
      <c r="V21" s="12">
        <f>ABS(RPG_dataset[[#This Row],[Win Rate (%)]])</f>
        <v>92</v>
      </c>
      <c r="W21" s="2"/>
      <c r="X21" s="9">
        <v>152375</v>
      </c>
      <c r="Y21" s="2" t="s">
        <v>36</v>
      </c>
      <c r="Z21" s="2">
        <v>420</v>
      </c>
      <c r="AA21" s="2" t="s">
        <v>1735</v>
      </c>
      <c r="AB21" s="2" t="b">
        <v>0</v>
      </c>
      <c r="AC21" s="2" t="s">
        <v>1730</v>
      </c>
      <c r="AD21" s="2" t="s">
        <v>1727</v>
      </c>
      <c r="AE21" s="2" t="s">
        <v>1728</v>
      </c>
      <c r="AF21" s="2" t="s">
        <v>1729</v>
      </c>
      <c r="AG21" s="28">
        <f>MAX(clean_data[[#This Row],[ATK]:[SPD]]) - MIN(clean_data[[#This Row],[ATK]:[SPD]])</f>
        <v>119</v>
      </c>
      <c r="AH21" s="28" t="str">
        <f>IF(clean_data[[#This Row],[Balanced Score]] = MIN(clean_data[Balanced Score]), "Most Balanced", "")</f>
        <v/>
      </c>
      <c r="AJ21" s="3" t="s">
        <v>1699</v>
      </c>
      <c r="AK21" s="3" t="s">
        <v>1700</v>
      </c>
    </row>
    <row r="22" spans="1:37" x14ac:dyDescent="0.3">
      <c r="A22" s="2" t="s">
        <v>159</v>
      </c>
      <c r="B22" s="2" t="s">
        <v>160</v>
      </c>
      <c r="C22" s="2" t="s">
        <v>161</v>
      </c>
      <c r="D22" s="2" t="s">
        <v>162</v>
      </c>
      <c r="E22" s="2" t="s">
        <v>105</v>
      </c>
      <c r="F22" s="2" t="s">
        <v>98</v>
      </c>
      <c r="G22" s="2">
        <v>26</v>
      </c>
      <c r="H22" s="2" t="s">
        <v>125</v>
      </c>
      <c r="I22" s="2" t="s">
        <v>32</v>
      </c>
      <c r="J22" s="2" t="s">
        <v>163</v>
      </c>
      <c r="K22" s="2" t="s">
        <v>99</v>
      </c>
      <c r="L22" s="13">
        <v>44229</v>
      </c>
      <c r="M22" s="2">
        <v>149</v>
      </c>
      <c r="N22" s="2">
        <v>50</v>
      </c>
      <c r="O22" s="2">
        <v>75</v>
      </c>
      <c r="P22" s="2">
        <v>1023</v>
      </c>
      <c r="Q22" s="2">
        <v>2897</v>
      </c>
      <c r="R22" s="2">
        <v>274</v>
      </c>
      <c r="S22" s="2">
        <v>2873</v>
      </c>
      <c r="T22" s="2">
        <v>558</v>
      </c>
      <c r="U22" s="2">
        <v>112</v>
      </c>
      <c r="V22" s="12">
        <f>ABS(RPG_dataset[[#This Row],[Win Rate (%)]])</f>
        <v>0</v>
      </c>
      <c r="W22" s="2"/>
      <c r="X22" s="9">
        <v>106423</v>
      </c>
      <c r="Y22" s="2" t="s">
        <v>46</v>
      </c>
      <c r="Z22" s="2">
        <v>436</v>
      </c>
      <c r="AA22" s="2" t="s">
        <v>1733</v>
      </c>
      <c r="AB22" s="2" t="b">
        <v>0</v>
      </c>
      <c r="AC22" s="2" t="s">
        <v>1726</v>
      </c>
      <c r="AD22" s="2" t="s">
        <v>1727</v>
      </c>
      <c r="AE22" s="2" t="s">
        <v>1742</v>
      </c>
      <c r="AF22" s="2" t="s">
        <v>1732</v>
      </c>
      <c r="AG22" s="28">
        <f>MAX(clean_data[[#This Row],[ATK]:[SPD]]) - MIN(clean_data[[#This Row],[ATK]:[SPD]])</f>
        <v>99</v>
      </c>
      <c r="AH22" s="28" t="str">
        <f>IF(clean_data[[#This Row],[Balanced Score]] = MIN(clean_data[Balanced Score]), "Most Balanced", "")</f>
        <v/>
      </c>
      <c r="AJ22" s="3" t="s">
        <v>1698</v>
      </c>
      <c r="AK22" s="3">
        <f>COUNTIFS(clean_data[Class],AK20,clean_data[Level], "&gt;50")</f>
        <v>23</v>
      </c>
    </row>
    <row r="23" spans="1:37" x14ac:dyDescent="0.3">
      <c r="A23" s="2" t="s">
        <v>165</v>
      </c>
      <c r="B23" s="2" t="s">
        <v>166</v>
      </c>
      <c r="C23" s="2" t="s">
        <v>167</v>
      </c>
      <c r="D23" s="2" t="s">
        <v>168</v>
      </c>
      <c r="E23" s="2" t="s">
        <v>169</v>
      </c>
      <c r="F23" s="2" t="s">
        <v>42</v>
      </c>
      <c r="G23" s="2">
        <v>29</v>
      </c>
      <c r="H23" s="2" t="s">
        <v>125</v>
      </c>
      <c r="I23" s="2" t="s">
        <v>74</v>
      </c>
      <c r="J23" s="2" t="s">
        <v>88</v>
      </c>
      <c r="K23" s="2" t="s">
        <v>44</v>
      </c>
      <c r="L23" s="13">
        <v>45429</v>
      </c>
      <c r="M23" s="2">
        <v>140</v>
      </c>
      <c r="N23" s="2"/>
      <c r="O23" s="2">
        <v>78</v>
      </c>
      <c r="P23" s="2">
        <v>3141</v>
      </c>
      <c r="Q23" s="2">
        <v>758</v>
      </c>
      <c r="R23" s="2">
        <v>270</v>
      </c>
      <c r="S23" s="2">
        <v>423</v>
      </c>
      <c r="T23" s="2">
        <v>795</v>
      </c>
      <c r="U23" s="2">
        <v>218</v>
      </c>
      <c r="V23" s="12">
        <f>ABS(RPG_dataset[[#This Row],[Win Rate (%)]])</f>
        <v>35</v>
      </c>
      <c r="W23" s="2">
        <v>9823</v>
      </c>
      <c r="X23" s="9">
        <v>58595</v>
      </c>
      <c r="Y23" s="2" t="s">
        <v>36</v>
      </c>
      <c r="Z23" s="2">
        <v>456</v>
      </c>
      <c r="AA23" s="2" t="s">
        <v>1733</v>
      </c>
      <c r="AB23" s="2" t="b">
        <v>1</v>
      </c>
      <c r="AC23" s="2" t="s">
        <v>1726</v>
      </c>
      <c r="AD23" s="2" t="s">
        <v>1727</v>
      </c>
      <c r="AE23" s="2" t="s">
        <v>1728</v>
      </c>
      <c r="AF23" s="2" t="s">
        <v>1732</v>
      </c>
      <c r="AG23" s="28">
        <f>MAX(clean_data[[#This Row],[ATK]:[SPD]]) - MIN(clean_data[[#This Row],[ATK]:[SPD]])</f>
        <v>62</v>
      </c>
      <c r="AH23" s="28" t="str">
        <f>IF(clean_data[[#This Row],[Balanced Score]] = MIN(clean_data[Balanced Score]), "Most Balanced", "")</f>
        <v/>
      </c>
    </row>
    <row r="24" spans="1:37" x14ac:dyDescent="0.3">
      <c r="A24" s="2" t="s">
        <v>171</v>
      </c>
      <c r="B24" s="2" t="s">
        <v>172</v>
      </c>
      <c r="C24" s="2" t="s">
        <v>173</v>
      </c>
      <c r="D24" s="2" t="s">
        <v>174</v>
      </c>
      <c r="E24" s="2" t="s">
        <v>51</v>
      </c>
      <c r="F24" s="2" t="s">
        <v>98</v>
      </c>
      <c r="G24" s="2">
        <v>39</v>
      </c>
      <c r="H24" s="2" t="s">
        <v>31</v>
      </c>
      <c r="I24" s="2" t="s">
        <v>74</v>
      </c>
      <c r="J24" s="2" t="s">
        <v>33</v>
      </c>
      <c r="K24" s="2" t="s">
        <v>34</v>
      </c>
      <c r="L24" s="13">
        <v>44613</v>
      </c>
      <c r="M24" s="2">
        <v>97</v>
      </c>
      <c r="N24" s="2">
        <v>57</v>
      </c>
      <c r="O24" s="2">
        <v>139</v>
      </c>
      <c r="P24" s="2">
        <v>109</v>
      </c>
      <c r="Q24" s="2">
        <v>2132</v>
      </c>
      <c r="R24" s="2">
        <v>293</v>
      </c>
      <c r="S24" s="2">
        <v>3196</v>
      </c>
      <c r="T24" s="2">
        <v>732</v>
      </c>
      <c r="U24" s="2">
        <v>199</v>
      </c>
      <c r="V24" s="12">
        <f>ABS(RPG_dataset[[#This Row],[Win Rate (%)]])</f>
        <v>81</v>
      </c>
      <c r="W24" s="2">
        <v>5110</v>
      </c>
      <c r="X24" s="9">
        <v>228593</v>
      </c>
      <c r="Y24" s="2" t="s">
        <v>36</v>
      </c>
      <c r="Z24" s="2">
        <v>385</v>
      </c>
      <c r="AA24" s="2" t="s">
        <v>1733</v>
      </c>
      <c r="AB24" s="2" t="b">
        <v>0</v>
      </c>
      <c r="AC24" s="2" t="s">
        <v>1730</v>
      </c>
      <c r="AD24" s="2" t="s">
        <v>1727</v>
      </c>
      <c r="AE24" s="2" t="s">
        <v>1728</v>
      </c>
      <c r="AF24" s="2" t="s">
        <v>1736</v>
      </c>
      <c r="AG24" s="28">
        <f>MAX(clean_data[[#This Row],[ATK]:[SPD]]) - MIN(clean_data[[#This Row],[ATK]:[SPD]])</f>
        <v>82</v>
      </c>
      <c r="AH24" s="28" t="str">
        <f>IF(clean_data[[#This Row],[Balanced Score]] = MIN(clean_data[Balanced Score]), "Most Balanced", "")</f>
        <v/>
      </c>
      <c r="AJ24" s="3" t="str" cm="1">
        <f t="array" ref="AJ24:AJ30">_xlfn.UNIQUE(clean[Status Squad])</f>
        <v>Reguler</v>
      </c>
      <c r="AK24" s="3">
        <f>COUNTIF(clean_data[Status Squad],AJ24)</f>
        <v>138</v>
      </c>
    </row>
    <row r="25" spans="1:37" x14ac:dyDescent="0.3">
      <c r="A25" s="2" t="s">
        <v>176</v>
      </c>
      <c r="B25" s="2" t="s">
        <v>177</v>
      </c>
      <c r="C25" s="2" t="s">
        <v>178</v>
      </c>
      <c r="D25" s="2" t="s">
        <v>162</v>
      </c>
      <c r="E25" s="2" t="s">
        <v>51</v>
      </c>
      <c r="F25" s="2" t="s">
        <v>52</v>
      </c>
      <c r="G25" s="2">
        <v>21</v>
      </c>
      <c r="H25" s="2" t="s">
        <v>73</v>
      </c>
      <c r="I25" s="2" t="s">
        <v>140</v>
      </c>
      <c r="J25" s="2" t="s">
        <v>163</v>
      </c>
      <c r="K25" s="2" t="s">
        <v>44</v>
      </c>
      <c r="L25" s="13">
        <v>45559</v>
      </c>
      <c r="M25" s="2">
        <v>37</v>
      </c>
      <c r="N25" s="2">
        <v>38</v>
      </c>
      <c r="O25" s="2">
        <v>105</v>
      </c>
      <c r="P25" s="2">
        <v>1897</v>
      </c>
      <c r="Q25" s="2">
        <v>2274</v>
      </c>
      <c r="R25" s="2">
        <v>180</v>
      </c>
      <c r="S25" s="2">
        <v>451</v>
      </c>
      <c r="T25" s="2">
        <v>521</v>
      </c>
      <c r="U25" s="2">
        <v>177</v>
      </c>
      <c r="V25" s="12">
        <f>ABS(RPG_dataset[[#This Row],[Win Rate (%)]])</f>
        <v>0</v>
      </c>
      <c r="W25" s="2">
        <v>9761</v>
      </c>
      <c r="X25" s="9">
        <v>431681</v>
      </c>
      <c r="Y25" s="2" t="s">
        <v>46</v>
      </c>
      <c r="Z25" s="2">
        <v>290</v>
      </c>
      <c r="AA25" s="2" t="s">
        <v>1735</v>
      </c>
      <c r="AB25" s="2" t="b">
        <v>1</v>
      </c>
      <c r="AC25" s="2" t="s">
        <v>1726</v>
      </c>
      <c r="AD25" s="2" t="s">
        <v>1727</v>
      </c>
      <c r="AE25" s="2" t="s">
        <v>1742</v>
      </c>
      <c r="AF25" s="2" t="s">
        <v>1740</v>
      </c>
      <c r="AG25" s="28">
        <f>MAX(clean_data[[#This Row],[ATK]:[SPD]]) - MIN(clean_data[[#This Row],[ATK]:[SPD]])</f>
        <v>68</v>
      </c>
      <c r="AH25" s="28" t="str">
        <f>IF(clean_data[[#This Row],[Balanced Score]] = MIN(clean_data[Balanced Score]), "Most Balanced", "")</f>
        <v/>
      </c>
      <c r="AJ25" s="3" t="str">
        <v>Brawler</v>
      </c>
      <c r="AK25" s="3">
        <f>COUNTIF(clean_data[Status Squad],AJ25)</f>
        <v>38</v>
      </c>
    </row>
    <row r="26" spans="1:37" x14ac:dyDescent="0.3">
      <c r="A26" s="2" t="s">
        <v>180</v>
      </c>
      <c r="B26" s="2" t="s">
        <v>181</v>
      </c>
      <c r="C26" s="2" t="s">
        <v>173</v>
      </c>
      <c r="D26" s="2" t="s">
        <v>119</v>
      </c>
      <c r="E26" s="2" t="s">
        <v>41</v>
      </c>
      <c r="F26" s="2" t="s">
        <v>124</v>
      </c>
      <c r="G26" s="2">
        <v>66</v>
      </c>
      <c r="H26" s="2" t="s">
        <v>43</v>
      </c>
      <c r="I26" s="2" t="s">
        <v>54</v>
      </c>
      <c r="J26" s="2" t="s">
        <v>81</v>
      </c>
      <c r="K26" s="2" t="s">
        <v>99</v>
      </c>
      <c r="L26" s="13">
        <v>45491</v>
      </c>
      <c r="M26" s="2">
        <v>110</v>
      </c>
      <c r="N26" s="2">
        <v>19</v>
      </c>
      <c r="O26" s="2">
        <v>112</v>
      </c>
      <c r="P26" s="2">
        <v>3279</v>
      </c>
      <c r="Q26" s="2">
        <v>1354</v>
      </c>
      <c r="R26" s="2">
        <v>241</v>
      </c>
      <c r="S26" s="2">
        <v>3945</v>
      </c>
      <c r="T26" s="2">
        <v>142</v>
      </c>
      <c r="U26" s="2">
        <v>46</v>
      </c>
      <c r="V26" s="12">
        <f>ABS(RPG_dataset[[#This Row],[Win Rate (%)]])</f>
        <v>97</v>
      </c>
      <c r="W26" s="2">
        <v>7037</v>
      </c>
      <c r="X26" s="9">
        <v>202945</v>
      </c>
      <c r="Y26" s="2" t="s">
        <v>46</v>
      </c>
      <c r="Z26" s="2">
        <v>399</v>
      </c>
      <c r="AA26" s="2" t="s">
        <v>1725</v>
      </c>
      <c r="AB26" s="2" t="b">
        <v>0</v>
      </c>
      <c r="AC26" s="2" t="s">
        <v>1730</v>
      </c>
      <c r="AD26" s="2" t="s">
        <v>1727</v>
      </c>
      <c r="AE26" s="2" t="s">
        <v>1728</v>
      </c>
      <c r="AF26" s="2" t="s">
        <v>1736</v>
      </c>
      <c r="AG26" s="28">
        <f>MAX(clean_data[[#This Row],[ATK]:[SPD]]) - MIN(clean_data[[#This Row],[ATK]:[SPD]])</f>
        <v>93</v>
      </c>
      <c r="AH26" s="28" t="str">
        <f>IF(clean_data[[#This Row],[Balanced Score]] = MIN(clean_data[Balanced Score]), "Most Balanced", "")</f>
        <v/>
      </c>
      <c r="AJ26" s="3" t="str">
        <v>Tanker</v>
      </c>
      <c r="AK26" s="3">
        <f>COUNTIF(clean_data[Status Squad],AJ26)</f>
        <v>46</v>
      </c>
    </row>
    <row r="27" spans="1:37" x14ac:dyDescent="0.3">
      <c r="A27" s="2" t="s">
        <v>183</v>
      </c>
      <c r="B27" s="2" t="s">
        <v>184</v>
      </c>
      <c r="C27" s="2" t="s">
        <v>69</v>
      </c>
      <c r="D27" s="2" t="s">
        <v>50</v>
      </c>
      <c r="E27" s="2" t="s">
        <v>169</v>
      </c>
      <c r="F27" s="2" t="s">
        <v>124</v>
      </c>
      <c r="G27" s="2">
        <v>23</v>
      </c>
      <c r="H27" s="2" t="s">
        <v>80</v>
      </c>
      <c r="I27" s="2" t="s">
        <v>74</v>
      </c>
      <c r="J27" s="2" t="s">
        <v>88</v>
      </c>
      <c r="K27" s="2" t="s">
        <v>34</v>
      </c>
      <c r="L27" s="13">
        <v>44374</v>
      </c>
      <c r="M27" s="2">
        <v>133</v>
      </c>
      <c r="N27" s="2">
        <v>65</v>
      </c>
      <c r="O27" s="2">
        <v>39</v>
      </c>
      <c r="P27" s="2">
        <v>2465</v>
      </c>
      <c r="Q27" s="2">
        <v>1025</v>
      </c>
      <c r="R27" s="2">
        <v>237</v>
      </c>
      <c r="S27" s="2">
        <v>2651</v>
      </c>
      <c r="T27" s="2">
        <v>434</v>
      </c>
      <c r="U27" s="2"/>
      <c r="V27" s="12">
        <f>ABS(RPG_dataset[[#This Row],[Win Rate (%)]])</f>
        <v>86</v>
      </c>
      <c r="W27" s="2">
        <v>8791</v>
      </c>
      <c r="X27" s="9">
        <v>455853</v>
      </c>
      <c r="Y27" s="2" t="s">
        <v>36</v>
      </c>
      <c r="Z27" s="2">
        <v>275</v>
      </c>
      <c r="AA27" s="2" t="s">
        <v>1735</v>
      </c>
      <c r="AB27" s="2" t="b">
        <v>0</v>
      </c>
      <c r="AC27" s="2" t="s">
        <v>1730</v>
      </c>
      <c r="AD27" s="2" t="s">
        <v>1727</v>
      </c>
      <c r="AE27" s="2" t="s">
        <v>1728</v>
      </c>
      <c r="AF27" s="2" t="s">
        <v>1729</v>
      </c>
      <c r="AG27" s="28">
        <f>MAX(clean_data[[#This Row],[ATK]:[SPD]]) - MIN(clean_data[[#This Row],[ATK]:[SPD]])</f>
        <v>94</v>
      </c>
      <c r="AH27" s="28" t="str">
        <f>IF(clean_data[[#This Row],[Balanced Score]] = MIN(clean_data[Balanced Score]), "Most Balanced", "")</f>
        <v/>
      </c>
      <c r="AJ27" s="3" t="str">
        <v>Elity Spy</v>
      </c>
      <c r="AK27" s="3">
        <f>COUNTIF(clean_data[Status Squad],AJ27)</f>
        <v>179</v>
      </c>
    </row>
    <row r="28" spans="1:37" x14ac:dyDescent="0.3">
      <c r="A28" s="2" t="s">
        <v>186</v>
      </c>
      <c r="B28" s="2" t="s">
        <v>187</v>
      </c>
      <c r="C28" s="2" t="s">
        <v>161</v>
      </c>
      <c r="D28" s="2" t="s">
        <v>40</v>
      </c>
      <c r="E28" s="2" t="s">
        <v>60</v>
      </c>
      <c r="F28" s="2" t="s">
        <v>124</v>
      </c>
      <c r="G28" s="2">
        <v>77</v>
      </c>
      <c r="H28" s="2" t="s">
        <v>53</v>
      </c>
      <c r="I28" s="2" t="s">
        <v>74</v>
      </c>
      <c r="J28" s="2" t="s">
        <v>163</v>
      </c>
      <c r="K28" s="2" t="s">
        <v>99</v>
      </c>
      <c r="L28" s="13">
        <v>45508</v>
      </c>
      <c r="M28" s="2">
        <v>27</v>
      </c>
      <c r="N28" s="2">
        <v>97</v>
      </c>
      <c r="O28" s="2">
        <v>133</v>
      </c>
      <c r="P28" s="2">
        <v>2660</v>
      </c>
      <c r="Q28" s="2">
        <v>556</v>
      </c>
      <c r="R28" s="2">
        <v>257</v>
      </c>
      <c r="S28" s="2">
        <v>137</v>
      </c>
      <c r="T28" s="2">
        <v>18</v>
      </c>
      <c r="U28" s="2">
        <v>91</v>
      </c>
      <c r="V28" s="12">
        <f>ABS(RPG_dataset[[#This Row],[Win Rate (%)]])</f>
        <v>88</v>
      </c>
      <c r="W28" s="2">
        <v>4126</v>
      </c>
      <c r="X28" s="9">
        <v>445111</v>
      </c>
      <c r="Y28" s="2" t="s">
        <v>36</v>
      </c>
      <c r="Z28" s="2">
        <v>282</v>
      </c>
      <c r="AA28" s="2" t="s">
        <v>1737</v>
      </c>
      <c r="AB28" s="2" t="b">
        <v>0</v>
      </c>
      <c r="AC28" s="2" t="s">
        <v>1730</v>
      </c>
      <c r="AD28" s="2" t="s">
        <v>1727</v>
      </c>
      <c r="AE28" s="2" t="s">
        <v>1731</v>
      </c>
      <c r="AF28" s="2" t="s">
        <v>1736</v>
      </c>
      <c r="AG28" s="28">
        <f>MAX(clean_data[[#This Row],[ATK]:[SPD]]) - MIN(clean_data[[#This Row],[ATK]:[SPD]])</f>
        <v>106</v>
      </c>
      <c r="AH28" s="28" t="str">
        <f>IF(clean_data[[#This Row],[Balanced Score]] = MIN(clean_data[Balanced Score]), "Most Balanced", "")</f>
        <v/>
      </c>
      <c r="AJ28" s="3" t="str">
        <v>Squad Inti</v>
      </c>
      <c r="AK28" s="3">
        <f>COUNTIF(clean_data[Status Squad],AJ28)</f>
        <v>12</v>
      </c>
    </row>
    <row r="29" spans="1:37" x14ac:dyDescent="0.3">
      <c r="A29" s="2" t="s">
        <v>190</v>
      </c>
      <c r="B29" s="2" t="s">
        <v>191</v>
      </c>
      <c r="C29" s="2" t="s">
        <v>360</v>
      </c>
      <c r="D29" s="2" t="s">
        <v>168</v>
      </c>
      <c r="E29" s="2" t="s">
        <v>51</v>
      </c>
      <c r="F29" s="2" t="s">
        <v>194</v>
      </c>
      <c r="G29" s="2">
        <v>58</v>
      </c>
      <c r="H29" s="2" t="s">
        <v>43</v>
      </c>
      <c r="I29" s="2" t="s">
        <v>126</v>
      </c>
      <c r="J29" s="2" t="s">
        <v>81</v>
      </c>
      <c r="K29" s="2" t="s">
        <v>99</v>
      </c>
      <c r="L29" s="13">
        <v>43941</v>
      </c>
      <c r="M29" s="2">
        <v>95</v>
      </c>
      <c r="N29" s="2">
        <v>114</v>
      </c>
      <c r="O29" s="2">
        <v>45</v>
      </c>
      <c r="P29" s="2">
        <v>3044</v>
      </c>
      <c r="Q29" s="2">
        <v>1917</v>
      </c>
      <c r="R29" s="2">
        <v>254</v>
      </c>
      <c r="S29" s="2">
        <v>1154</v>
      </c>
      <c r="T29" s="2">
        <v>830</v>
      </c>
      <c r="U29" s="2">
        <v>29</v>
      </c>
      <c r="V29" s="12">
        <f>ABS(RPG_dataset[[#This Row],[Win Rate (%)]])</f>
        <v>58</v>
      </c>
      <c r="W29" s="2"/>
      <c r="X29" s="9">
        <v>900650</v>
      </c>
      <c r="Y29" s="2" t="s">
        <v>46</v>
      </c>
      <c r="Z29" s="2">
        <v>54</v>
      </c>
      <c r="AA29" s="2" t="s">
        <v>1725</v>
      </c>
      <c r="AB29" s="2" t="b">
        <v>0</v>
      </c>
      <c r="AC29" s="2" t="s">
        <v>1738</v>
      </c>
      <c r="AD29" s="2" t="s">
        <v>1727</v>
      </c>
      <c r="AE29" s="2" t="s">
        <v>1728</v>
      </c>
      <c r="AF29" s="2" t="s">
        <v>1734</v>
      </c>
      <c r="AG29" s="28">
        <f>MAX(clean_data[[#This Row],[ATK]:[SPD]]) - MIN(clean_data[[#This Row],[ATK]:[SPD]])</f>
        <v>69</v>
      </c>
      <c r="AH29" s="28" t="str">
        <f>IF(clean_data[[#This Row],[Balanced Score]] = MIN(clean_data[Balanced Score]), "Most Balanced", "")</f>
        <v/>
      </c>
      <c r="AJ29" s="3" t="str">
        <v>Tactician</v>
      </c>
      <c r="AK29" s="3">
        <f>COUNTIF(clean_data[Status Squad],AJ29)</f>
        <v>60</v>
      </c>
    </row>
    <row r="30" spans="1:37" x14ac:dyDescent="0.3">
      <c r="A30" s="2" t="s">
        <v>196</v>
      </c>
      <c r="B30" s="2" t="s">
        <v>197</v>
      </c>
      <c r="C30" s="2" t="s">
        <v>198</v>
      </c>
      <c r="D30" s="2" t="s">
        <v>131</v>
      </c>
      <c r="E30" s="2" t="s">
        <v>105</v>
      </c>
      <c r="F30" s="2" t="s">
        <v>98</v>
      </c>
      <c r="G30" s="2">
        <v>67</v>
      </c>
      <c r="H30" s="2" t="s">
        <v>31</v>
      </c>
      <c r="I30" s="2" t="s">
        <v>87</v>
      </c>
      <c r="J30" s="2" t="s">
        <v>120</v>
      </c>
      <c r="K30" s="2" t="s">
        <v>44</v>
      </c>
      <c r="L30" s="13">
        <v>45072</v>
      </c>
      <c r="M30" s="2">
        <v>78</v>
      </c>
      <c r="N30" s="2">
        <v>123</v>
      </c>
      <c r="O30" s="2">
        <v>76</v>
      </c>
      <c r="P30" s="2">
        <v>3341</v>
      </c>
      <c r="Q30" s="2">
        <v>931</v>
      </c>
      <c r="R30" s="2">
        <v>277</v>
      </c>
      <c r="S30" s="2">
        <v>1401</v>
      </c>
      <c r="T30" s="2">
        <v>464</v>
      </c>
      <c r="U30" s="2">
        <v>101</v>
      </c>
      <c r="V30" s="12">
        <f>ABS(RPG_dataset[[#This Row],[Win Rate (%)]])</f>
        <v>75</v>
      </c>
      <c r="W30" s="2">
        <v>4750</v>
      </c>
      <c r="X30" s="9">
        <v>610938</v>
      </c>
      <c r="Y30" s="2" t="s">
        <v>36</v>
      </c>
      <c r="Z30" s="2">
        <v>198</v>
      </c>
      <c r="AA30" s="2" t="s">
        <v>1725</v>
      </c>
      <c r="AB30" s="2" t="b">
        <v>1</v>
      </c>
      <c r="AC30" s="2" t="s">
        <v>1730</v>
      </c>
      <c r="AD30" s="2" t="s">
        <v>1727</v>
      </c>
      <c r="AE30" s="2" t="s">
        <v>1731</v>
      </c>
      <c r="AF30" s="2" t="s">
        <v>1734</v>
      </c>
      <c r="AG30" s="28">
        <f>MAX(clean_data[[#This Row],[ATK]:[SPD]]) - MIN(clean_data[[#This Row],[ATK]:[SPD]])</f>
        <v>47</v>
      </c>
      <c r="AH30" s="28" t="str">
        <f>IF(clean_data[[#This Row],[Balanced Score]] = MIN(clean_data[Balanced Score]), "Most Balanced", "")</f>
        <v/>
      </c>
      <c r="AJ30" s="3" t="str">
        <v>Ranger</v>
      </c>
      <c r="AK30" s="3">
        <f>COUNTIF(clean_data[Status Squad],AJ30)</f>
        <v>27</v>
      </c>
    </row>
    <row r="31" spans="1:37" x14ac:dyDescent="0.3">
      <c r="A31" s="2" t="s">
        <v>201</v>
      </c>
      <c r="B31" s="2" t="s">
        <v>202</v>
      </c>
      <c r="C31" s="2" t="s">
        <v>203</v>
      </c>
      <c r="D31" s="2" t="s">
        <v>155</v>
      </c>
      <c r="E31" s="2" t="s">
        <v>169</v>
      </c>
      <c r="F31" s="2" t="s">
        <v>61</v>
      </c>
      <c r="G31" s="2">
        <v>73</v>
      </c>
      <c r="H31" s="2" t="s">
        <v>73</v>
      </c>
      <c r="I31" s="2" t="s">
        <v>74</v>
      </c>
      <c r="J31" s="2" t="s">
        <v>163</v>
      </c>
      <c r="K31" s="2" t="s">
        <v>34</v>
      </c>
      <c r="L31" s="13">
        <v>44089</v>
      </c>
      <c r="M31" s="2">
        <v>76</v>
      </c>
      <c r="N31" s="2">
        <v>139</v>
      </c>
      <c r="O31" s="2">
        <v>53</v>
      </c>
      <c r="P31" s="2"/>
      <c r="Q31" s="2">
        <v>372</v>
      </c>
      <c r="R31" s="2">
        <v>268</v>
      </c>
      <c r="S31" s="2">
        <v>1881</v>
      </c>
      <c r="T31" s="2">
        <v>881</v>
      </c>
      <c r="U31" s="2">
        <v>90</v>
      </c>
      <c r="V31" s="12">
        <f>ABS(RPG_dataset[[#This Row],[Win Rate (%)]])</f>
        <v>68</v>
      </c>
      <c r="W31" s="2">
        <v>5792</v>
      </c>
      <c r="X31" s="9">
        <v>110151</v>
      </c>
      <c r="Y31" s="2" t="s">
        <v>46</v>
      </c>
      <c r="Z31" s="2">
        <v>433</v>
      </c>
      <c r="AA31" s="2" t="s">
        <v>1725</v>
      </c>
      <c r="AB31" s="2" t="b">
        <v>0</v>
      </c>
      <c r="AC31" s="2" t="s">
        <v>1738</v>
      </c>
      <c r="AD31" s="2" t="s">
        <v>1727</v>
      </c>
      <c r="AE31" s="2" t="s">
        <v>1728</v>
      </c>
      <c r="AF31" s="2" t="s">
        <v>1729</v>
      </c>
      <c r="AG31" s="28">
        <f>MAX(clean_data[[#This Row],[ATK]:[SPD]]) - MIN(clean_data[[#This Row],[ATK]:[SPD]])</f>
        <v>86</v>
      </c>
      <c r="AH31" s="28" t="str">
        <f>IF(clean_data[[#This Row],[Balanced Score]] = MIN(clean_data[Balanced Score]), "Most Balanced", "")</f>
        <v/>
      </c>
    </row>
    <row r="32" spans="1:37" x14ac:dyDescent="0.3">
      <c r="A32" s="2" t="s">
        <v>205</v>
      </c>
      <c r="B32" s="2" t="s">
        <v>206</v>
      </c>
      <c r="C32" s="2" t="s">
        <v>138</v>
      </c>
      <c r="D32" s="2" t="s">
        <v>50</v>
      </c>
      <c r="E32" s="2" t="s">
        <v>71</v>
      </c>
      <c r="F32" s="2" t="s">
        <v>72</v>
      </c>
      <c r="G32" s="2">
        <v>31</v>
      </c>
      <c r="H32" s="2" t="s">
        <v>62</v>
      </c>
      <c r="I32" s="2" t="s">
        <v>32</v>
      </c>
      <c r="J32" s="2" t="s">
        <v>92</v>
      </c>
      <c r="K32" s="2" t="s">
        <v>75</v>
      </c>
      <c r="L32" s="13">
        <v>45309</v>
      </c>
      <c r="M32" s="2">
        <v>69</v>
      </c>
      <c r="N32" s="2">
        <v>82</v>
      </c>
      <c r="O32" s="2">
        <v>135</v>
      </c>
      <c r="P32" s="2">
        <v>1943</v>
      </c>
      <c r="Q32" s="2">
        <v>2758</v>
      </c>
      <c r="R32" s="2">
        <v>286</v>
      </c>
      <c r="S32" s="2"/>
      <c r="T32" s="2">
        <v>655</v>
      </c>
      <c r="U32" s="2">
        <v>276</v>
      </c>
      <c r="V32" s="12">
        <f>ABS(RPG_dataset[[#This Row],[Win Rate (%)]])</f>
        <v>87</v>
      </c>
      <c r="W32" s="2">
        <v>3185</v>
      </c>
      <c r="X32" s="9">
        <v>136307</v>
      </c>
      <c r="Y32" s="2" t="s">
        <v>46</v>
      </c>
      <c r="Z32" s="2">
        <v>424</v>
      </c>
      <c r="AA32" s="2" t="s">
        <v>1733</v>
      </c>
      <c r="AB32" s="2" t="b">
        <v>0</v>
      </c>
      <c r="AC32" s="2" t="s">
        <v>1730</v>
      </c>
      <c r="AD32" s="2" t="s">
        <v>1727</v>
      </c>
      <c r="AE32" s="2" t="s">
        <v>1728</v>
      </c>
      <c r="AF32" s="2" t="s">
        <v>1736</v>
      </c>
      <c r="AG32" s="28">
        <f>MAX(clean_data[[#This Row],[ATK]:[SPD]]) - MIN(clean_data[[#This Row],[ATK]:[SPD]])</f>
        <v>66</v>
      </c>
      <c r="AH32" s="28" t="str">
        <f>IF(clean_data[[#This Row],[Balanced Score]] = MIN(clean_data[Balanced Score]), "Most Balanced", "")</f>
        <v/>
      </c>
    </row>
    <row r="33" spans="1:42" x14ac:dyDescent="0.3">
      <c r="A33" s="2" t="s">
        <v>208</v>
      </c>
      <c r="B33" s="2" t="s">
        <v>209</v>
      </c>
      <c r="C33" s="2" t="s">
        <v>49</v>
      </c>
      <c r="D33" s="2" t="s">
        <v>210</v>
      </c>
      <c r="E33" s="2" t="s">
        <v>60</v>
      </c>
      <c r="F33" s="2" t="s">
        <v>30</v>
      </c>
      <c r="G33" s="2">
        <v>2</v>
      </c>
      <c r="H33" s="2" t="s">
        <v>125</v>
      </c>
      <c r="I33" s="2" t="s">
        <v>63</v>
      </c>
      <c r="J33" s="2" t="s">
        <v>33</v>
      </c>
      <c r="K33" s="2" t="s">
        <v>44</v>
      </c>
      <c r="L33" s="13">
        <v>44035</v>
      </c>
      <c r="M33" s="2">
        <v>102</v>
      </c>
      <c r="N33" s="2">
        <v>109</v>
      </c>
      <c r="O33" s="2">
        <v>62</v>
      </c>
      <c r="P33" s="2">
        <v>2990</v>
      </c>
      <c r="Q33" s="2">
        <v>304</v>
      </c>
      <c r="R33" s="2">
        <v>273</v>
      </c>
      <c r="S33" s="2">
        <v>667</v>
      </c>
      <c r="T33" s="2">
        <v>739</v>
      </c>
      <c r="U33" s="2">
        <v>8</v>
      </c>
      <c r="V33" s="12">
        <f>ABS(RPG_dataset[[#This Row],[Win Rate (%)]])</f>
        <v>47</v>
      </c>
      <c r="W33" s="2">
        <v>9553</v>
      </c>
      <c r="X33" s="9">
        <v>637419</v>
      </c>
      <c r="Y33" s="2" t="s">
        <v>46</v>
      </c>
      <c r="Z33" s="2">
        <v>181</v>
      </c>
      <c r="AA33" s="2" t="s">
        <v>1735</v>
      </c>
      <c r="AB33" s="2" t="b">
        <v>1</v>
      </c>
      <c r="AC33" s="2" t="s">
        <v>1738</v>
      </c>
      <c r="AD33" s="2" t="s">
        <v>1727</v>
      </c>
      <c r="AE33" s="2" t="s">
        <v>1742</v>
      </c>
      <c r="AF33" s="2" t="s">
        <v>1732</v>
      </c>
      <c r="AG33" s="28">
        <f>MAX(clean_data[[#This Row],[ATK]:[SPD]]) - MIN(clean_data[[#This Row],[ATK]:[SPD]])</f>
        <v>47</v>
      </c>
      <c r="AH33" s="28" t="str">
        <f>IF(clean_data[[#This Row],[Balanced Score]] = MIN(clean_data[Balanced Score]), "Most Balanced", "")</f>
        <v/>
      </c>
      <c r="AJ33" s="10" t="s">
        <v>0</v>
      </c>
      <c r="AK33" s="10" t="s">
        <v>25</v>
      </c>
      <c r="AL33" s="2"/>
      <c r="AM33" s="2"/>
      <c r="AN33" s="2"/>
      <c r="AO33" s="10" t="s">
        <v>5</v>
      </c>
      <c r="AP33" s="10" t="s">
        <v>1702</v>
      </c>
    </row>
    <row r="34" spans="1:42" x14ac:dyDescent="0.3">
      <c r="A34" s="2" t="s">
        <v>213</v>
      </c>
      <c r="B34" s="2" t="s">
        <v>214</v>
      </c>
      <c r="C34" s="2" t="s">
        <v>110</v>
      </c>
      <c r="D34" s="2" t="s">
        <v>162</v>
      </c>
      <c r="E34" s="2" t="s">
        <v>29</v>
      </c>
      <c r="F34" s="2" t="s">
        <v>194</v>
      </c>
      <c r="G34" s="2">
        <v>1</v>
      </c>
      <c r="H34" s="2" t="s">
        <v>62</v>
      </c>
      <c r="I34" s="2" t="s">
        <v>87</v>
      </c>
      <c r="J34" s="2" t="s">
        <v>111</v>
      </c>
      <c r="K34" s="2" t="s">
        <v>44</v>
      </c>
      <c r="L34" s="13">
        <v>43375</v>
      </c>
      <c r="M34" s="2">
        <v>85</v>
      </c>
      <c r="N34" s="2">
        <v>148</v>
      </c>
      <c r="O34" s="2">
        <v>73</v>
      </c>
      <c r="P34" s="2">
        <v>991</v>
      </c>
      <c r="Q34" s="2">
        <v>2097</v>
      </c>
      <c r="R34" s="2">
        <v>306</v>
      </c>
      <c r="S34" s="2">
        <v>1883</v>
      </c>
      <c r="T34" s="2">
        <v>431</v>
      </c>
      <c r="U34" s="2">
        <v>28</v>
      </c>
      <c r="V34" s="12">
        <f>ABS(RPG_dataset[[#This Row],[Win Rate (%)]])</f>
        <v>81</v>
      </c>
      <c r="W34" s="2">
        <v>3175</v>
      </c>
      <c r="X34" s="9">
        <v>558606</v>
      </c>
      <c r="Y34" s="2" t="s">
        <v>36</v>
      </c>
      <c r="Z34" s="2">
        <v>220</v>
      </c>
      <c r="AA34" s="2" t="s">
        <v>1735</v>
      </c>
      <c r="AB34" s="2" t="b">
        <v>0</v>
      </c>
      <c r="AC34" s="2" t="s">
        <v>1730</v>
      </c>
      <c r="AD34" s="2" t="s">
        <v>1727</v>
      </c>
      <c r="AE34" s="2" t="s">
        <v>1728</v>
      </c>
      <c r="AF34" s="2" t="s">
        <v>1732</v>
      </c>
      <c r="AG34" s="28">
        <f>MAX(clean_data[[#This Row],[ATK]:[SPD]]) - MIN(clean_data[[#This Row],[ATK]:[SPD]])</f>
        <v>75</v>
      </c>
      <c r="AH34" s="28" t="str">
        <f>IF(clean_data[[#This Row],[Balanced Score]] = MIN(clean_data[Balanced Score]), "Most Balanced", "")</f>
        <v/>
      </c>
      <c r="AJ34" s="10" t="s">
        <v>1</v>
      </c>
      <c r="AK34" s="10" t="str">
        <f>VLOOKUP($AK$33,RPG_dataset[],2,FALSE)</f>
        <v>aiden_544</v>
      </c>
      <c r="AL34" s="2"/>
      <c r="AM34" s="2"/>
      <c r="AN34" s="2"/>
      <c r="AO34" s="3" t="str" cm="1">
        <f t="array" ref="AO34:AO41">_xlfn.UNIQUE(_xlfn._xlws.FILTER(TRIM(RPG_dataset[Class]), TRIM(RPG_dataset[Class])&lt;&gt;""))</f>
        <v>Rogue</v>
      </c>
      <c r="AP34" s="10">
        <v>1.8</v>
      </c>
    </row>
    <row r="35" spans="1:42" x14ac:dyDescent="0.3">
      <c r="A35" s="2" t="s">
        <v>217</v>
      </c>
      <c r="B35" s="2" t="s">
        <v>218</v>
      </c>
      <c r="C35" s="2" t="s">
        <v>219</v>
      </c>
      <c r="D35" s="2" t="s">
        <v>139</v>
      </c>
      <c r="E35" s="2" t="s">
        <v>51</v>
      </c>
      <c r="F35" s="2" t="s">
        <v>72</v>
      </c>
      <c r="G35" s="2">
        <v>94</v>
      </c>
      <c r="H35" s="2" t="s">
        <v>157</v>
      </c>
      <c r="I35" s="2" t="s">
        <v>126</v>
      </c>
      <c r="J35" s="2" t="s">
        <v>120</v>
      </c>
      <c r="K35" s="2" t="s">
        <v>44</v>
      </c>
      <c r="L35" s="13">
        <v>43482</v>
      </c>
      <c r="M35" s="2">
        <v>33</v>
      </c>
      <c r="N35" s="2">
        <v>118</v>
      </c>
      <c r="O35" s="2">
        <v>17</v>
      </c>
      <c r="P35" s="2">
        <v>1929</v>
      </c>
      <c r="Q35" s="2">
        <v>1988</v>
      </c>
      <c r="R35" s="2">
        <v>168</v>
      </c>
      <c r="S35" s="2">
        <v>3550</v>
      </c>
      <c r="T35" s="2">
        <v>679</v>
      </c>
      <c r="U35" s="2">
        <v>271</v>
      </c>
      <c r="V35" s="12">
        <f>ABS(RPG_dataset[[#This Row],[Win Rate (%)]])</f>
        <v>84</v>
      </c>
      <c r="W35" s="2">
        <v>8712</v>
      </c>
      <c r="X35" s="9">
        <v>630672</v>
      </c>
      <c r="Y35" s="2" t="s">
        <v>36</v>
      </c>
      <c r="Z35" s="2">
        <v>184</v>
      </c>
      <c r="AA35" s="2" t="s">
        <v>1737</v>
      </c>
      <c r="AB35" s="2" t="b">
        <v>1</v>
      </c>
      <c r="AC35" s="2" t="s">
        <v>1730</v>
      </c>
      <c r="AD35" s="2" t="s">
        <v>1727</v>
      </c>
      <c r="AE35" s="2" t="s">
        <v>1731</v>
      </c>
      <c r="AF35" s="2" t="s">
        <v>1729</v>
      </c>
      <c r="AG35" s="28">
        <f>MAX(clean_data[[#This Row],[ATK]:[SPD]]) - MIN(clean_data[[#This Row],[ATK]:[SPD]])</f>
        <v>101</v>
      </c>
      <c r="AH35" s="28" t="str">
        <f>IF(clean_data[[#This Row],[Balanced Score]] = MIN(clean_data[Balanced Score]), "Most Balanced", "")</f>
        <v/>
      </c>
      <c r="AJ35" s="10" t="s">
        <v>5</v>
      </c>
      <c r="AK35" s="10" t="str">
        <f>VLOOKUP($AK$33,RPG_dataset[],6,FALSE)</f>
        <v>Rogue</v>
      </c>
      <c r="AL35" s="2"/>
      <c r="AM35" s="2"/>
      <c r="AN35" s="2"/>
      <c r="AO35" s="3" t="str">
        <v>Monk</v>
      </c>
      <c r="AP35" s="10">
        <v>1.3</v>
      </c>
    </row>
    <row r="36" spans="1:42" x14ac:dyDescent="0.3">
      <c r="A36" s="2" t="s">
        <v>221</v>
      </c>
      <c r="B36" s="2" t="s">
        <v>222</v>
      </c>
      <c r="C36" s="2" t="s">
        <v>223</v>
      </c>
      <c r="D36" s="2" t="s">
        <v>131</v>
      </c>
      <c r="E36" s="2" t="s">
        <v>29</v>
      </c>
      <c r="F36" s="2" t="s">
        <v>98</v>
      </c>
      <c r="G36" s="2">
        <v>86</v>
      </c>
      <c r="H36" s="2" t="s">
        <v>80</v>
      </c>
      <c r="I36" s="2" t="s">
        <v>126</v>
      </c>
      <c r="J36" s="2" t="s">
        <v>163</v>
      </c>
      <c r="K36" s="2" t="s">
        <v>75</v>
      </c>
      <c r="L36" s="13">
        <v>45578</v>
      </c>
      <c r="M36" s="2">
        <v>29</v>
      </c>
      <c r="N36" s="2">
        <v>16</v>
      </c>
      <c r="O36" s="2">
        <v>40</v>
      </c>
      <c r="P36" s="2">
        <v>3743</v>
      </c>
      <c r="Q36" s="2">
        <v>695</v>
      </c>
      <c r="R36" s="2">
        <v>85</v>
      </c>
      <c r="S36" s="2">
        <v>1415</v>
      </c>
      <c r="T36" s="2">
        <v>299</v>
      </c>
      <c r="U36" s="2">
        <v>214</v>
      </c>
      <c r="V36" s="12">
        <f>ABS(RPG_dataset[[#This Row],[Win Rate (%)]])</f>
        <v>83</v>
      </c>
      <c r="W36" s="2">
        <v>2348</v>
      </c>
      <c r="X36" s="9">
        <v>739463</v>
      </c>
      <c r="Y36" s="2" t="s">
        <v>36</v>
      </c>
      <c r="Z36" s="2">
        <v>134</v>
      </c>
      <c r="AA36" s="2" t="s">
        <v>1737</v>
      </c>
      <c r="AB36" s="2" t="b">
        <v>0</v>
      </c>
      <c r="AC36" s="2" t="s">
        <v>1730</v>
      </c>
      <c r="AD36" s="2" t="s">
        <v>1727</v>
      </c>
      <c r="AE36" s="2" t="s">
        <v>1731</v>
      </c>
      <c r="AF36" s="2" t="s">
        <v>1729</v>
      </c>
      <c r="AG36" s="28">
        <f>MAX(clean_data[[#This Row],[ATK]:[SPD]]) - MIN(clean_data[[#This Row],[ATK]:[SPD]])</f>
        <v>24</v>
      </c>
      <c r="AH36" s="28" t="str">
        <f>IF(clean_data[[#This Row],[Balanced Score]] = MIN(clean_data[Balanced Score]), "Most Balanced", "")</f>
        <v/>
      </c>
      <c r="AJ36" s="10" t="s">
        <v>6</v>
      </c>
      <c r="AK36" s="10">
        <f>VLOOKUP($AK$33,RPG_dataset[],7,FALSE)</f>
        <v>75</v>
      </c>
      <c r="AL36" s="2"/>
      <c r="AM36" s="2"/>
      <c r="AN36" s="2"/>
      <c r="AO36" s="3" t="str">
        <v>Bard</v>
      </c>
      <c r="AP36" s="10">
        <v>1.1000000000000001</v>
      </c>
    </row>
    <row r="37" spans="1:42" x14ac:dyDescent="0.3">
      <c r="A37" s="2" t="s">
        <v>225</v>
      </c>
      <c r="B37" s="2" t="s">
        <v>226</v>
      </c>
      <c r="C37" s="2" t="s">
        <v>227</v>
      </c>
      <c r="D37" s="2" t="s">
        <v>150</v>
      </c>
      <c r="E37" s="2" t="s">
        <v>228</v>
      </c>
      <c r="F37" s="2" t="s">
        <v>194</v>
      </c>
      <c r="G37" s="2">
        <v>78</v>
      </c>
      <c r="H37" s="2" t="s">
        <v>62</v>
      </c>
      <c r="I37" s="2" t="s">
        <v>63</v>
      </c>
      <c r="J37" s="2" t="s">
        <v>81</v>
      </c>
      <c r="K37" s="2" t="s">
        <v>106</v>
      </c>
      <c r="L37" s="13">
        <v>44016</v>
      </c>
      <c r="M37" s="2">
        <v>59</v>
      </c>
      <c r="N37" s="2">
        <v>96</v>
      </c>
      <c r="O37" s="2">
        <v>52</v>
      </c>
      <c r="P37" s="2">
        <v>1781</v>
      </c>
      <c r="Q37" s="2">
        <v>2160</v>
      </c>
      <c r="R37" s="2">
        <v>207</v>
      </c>
      <c r="S37" s="2">
        <v>4068</v>
      </c>
      <c r="T37" s="2">
        <v>655</v>
      </c>
      <c r="U37" s="2">
        <v>264</v>
      </c>
      <c r="V37" s="12">
        <f>ABS(RPG_dataset[[#This Row],[Win Rate (%)]])</f>
        <v>86</v>
      </c>
      <c r="W37" s="2">
        <v>6224</v>
      </c>
      <c r="X37" s="9">
        <v>499403</v>
      </c>
      <c r="Y37" s="2" t="s">
        <v>46</v>
      </c>
      <c r="Z37" s="2">
        <v>252</v>
      </c>
      <c r="AA37" s="2" t="s">
        <v>1737</v>
      </c>
      <c r="AB37" s="2" t="b">
        <v>0</v>
      </c>
      <c r="AC37" s="2" t="s">
        <v>1730</v>
      </c>
      <c r="AD37" s="2" t="s">
        <v>1727</v>
      </c>
      <c r="AE37" s="2" t="s">
        <v>1728</v>
      </c>
      <c r="AF37" s="2" t="s">
        <v>1729</v>
      </c>
      <c r="AG37" s="28">
        <f>MAX(clean_data[[#This Row],[ATK]:[SPD]]) - MIN(clean_data[[#This Row],[ATK]:[SPD]])</f>
        <v>44</v>
      </c>
      <c r="AH37" s="28" t="str">
        <f>IF(clean_data[[#This Row],[Balanced Score]] = MIN(clean_data[Balanced Score]), "Most Balanced", "")</f>
        <v/>
      </c>
      <c r="AJ37" s="10" t="s">
        <v>1702</v>
      </c>
      <c r="AK37" s="10" cm="1">
        <f t="array" ref="AK37">_xlfn.XLOOKUP(AK35,_xlfn.ANCHORARRAY(AO34),AP34:AP41)</f>
        <v>1.8</v>
      </c>
      <c r="AL37" s="2"/>
      <c r="AM37" s="2"/>
      <c r="AN37" s="2"/>
      <c r="AO37" s="3" t="str">
        <v>Ranger</v>
      </c>
      <c r="AP37" s="10">
        <v>1.6</v>
      </c>
    </row>
    <row r="38" spans="1:42" x14ac:dyDescent="0.3">
      <c r="A38" s="2" t="s">
        <v>231</v>
      </c>
      <c r="B38" s="2" t="s">
        <v>232</v>
      </c>
      <c r="C38" s="2" t="s">
        <v>233</v>
      </c>
      <c r="D38" s="2" t="s">
        <v>234</v>
      </c>
      <c r="E38" s="2" t="s">
        <v>169</v>
      </c>
      <c r="F38" s="2" t="s">
        <v>72</v>
      </c>
      <c r="G38" s="2">
        <v>23</v>
      </c>
      <c r="H38" s="2" t="s">
        <v>31</v>
      </c>
      <c r="I38" s="2" t="s">
        <v>54</v>
      </c>
      <c r="J38" s="2" t="s">
        <v>81</v>
      </c>
      <c r="K38" s="2" t="s">
        <v>44</v>
      </c>
      <c r="L38" s="13">
        <v>43415</v>
      </c>
      <c r="M38" s="2">
        <v>117</v>
      </c>
      <c r="N38" s="2">
        <v>25</v>
      </c>
      <c r="O38" s="2">
        <v>131</v>
      </c>
      <c r="P38" s="2">
        <v>4007</v>
      </c>
      <c r="Q38" s="2">
        <v>2012</v>
      </c>
      <c r="R38" s="2">
        <v>273</v>
      </c>
      <c r="S38" s="2">
        <v>4739</v>
      </c>
      <c r="T38" s="2">
        <v>775</v>
      </c>
      <c r="U38" s="2">
        <v>186</v>
      </c>
      <c r="V38" s="12">
        <f>ABS(RPG_dataset[[#This Row],[Win Rate (%)]])</f>
        <v>86</v>
      </c>
      <c r="W38" s="2">
        <v>2237</v>
      </c>
      <c r="X38" s="9">
        <v>573092</v>
      </c>
      <c r="Y38" s="2" t="s">
        <v>36</v>
      </c>
      <c r="Z38" s="2">
        <v>215</v>
      </c>
      <c r="AA38" s="2" t="s">
        <v>1735</v>
      </c>
      <c r="AB38" s="2" t="b">
        <v>1</v>
      </c>
      <c r="AC38" s="2" t="s">
        <v>1730</v>
      </c>
      <c r="AD38" s="2" t="s">
        <v>1727</v>
      </c>
      <c r="AE38" s="2" t="s">
        <v>1728</v>
      </c>
      <c r="AF38" s="2" t="s">
        <v>1736</v>
      </c>
      <c r="AG38" s="28">
        <f>MAX(clean_data[[#This Row],[ATK]:[SPD]]) - MIN(clean_data[[#This Row],[ATK]:[SPD]])</f>
        <v>106</v>
      </c>
      <c r="AH38" s="28" t="str">
        <f>IF(clean_data[[#This Row],[Balanced Score]] = MIN(clean_data[Balanced Score]), "Most Balanced", "")</f>
        <v/>
      </c>
      <c r="AJ38" s="2"/>
      <c r="AK38" s="2"/>
      <c r="AL38" s="2"/>
      <c r="AM38" s="2"/>
      <c r="AN38" s="2"/>
      <c r="AO38" s="3" t="str">
        <v>Warrior</v>
      </c>
      <c r="AP38" s="10">
        <v>1.5</v>
      </c>
    </row>
    <row r="39" spans="1:42" x14ac:dyDescent="0.3">
      <c r="A39" s="2" t="s">
        <v>236</v>
      </c>
      <c r="B39" s="2" t="s">
        <v>237</v>
      </c>
      <c r="C39" s="2" t="s">
        <v>238</v>
      </c>
      <c r="D39" s="2" t="s">
        <v>150</v>
      </c>
      <c r="E39" s="2" t="s">
        <v>169</v>
      </c>
      <c r="F39" s="2" t="s">
        <v>30</v>
      </c>
      <c r="G39" s="2">
        <v>69</v>
      </c>
      <c r="H39" s="2" t="s">
        <v>157</v>
      </c>
      <c r="I39" s="2" t="s">
        <v>126</v>
      </c>
      <c r="J39" s="2" t="s">
        <v>111</v>
      </c>
      <c r="K39" s="2" t="s">
        <v>106</v>
      </c>
      <c r="L39" s="13">
        <v>43947</v>
      </c>
      <c r="M39" s="2">
        <v>150</v>
      </c>
      <c r="N39" s="2">
        <v>124</v>
      </c>
      <c r="O39" s="2">
        <v>96</v>
      </c>
      <c r="P39" s="2">
        <v>3669</v>
      </c>
      <c r="Q39" s="2">
        <v>2324</v>
      </c>
      <c r="R39" s="2">
        <v>370</v>
      </c>
      <c r="S39" s="2">
        <v>3904</v>
      </c>
      <c r="T39" s="2">
        <v>152</v>
      </c>
      <c r="U39" s="2">
        <v>106</v>
      </c>
      <c r="V39" s="12">
        <f>ABS(RPG_dataset[[#This Row],[Win Rate (%)]])</f>
        <v>96</v>
      </c>
      <c r="W39" s="2">
        <v>6089</v>
      </c>
      <c r="X39" s="9">
        <v>991709</v>
      </c>
      <c r="Y39" s="2" t="s">
        <v>46</v>
      </c>
      <c r="Z39" s="2">
        <v>4</v>
      </c>
      <c r="AA39" s="2" t="s">
        <v>1725</v>
      </c>
      <c r="AB39" s="2" t="b">
        <v>0</v>
      </c>
      <c r="AC39" s="2" t="s">
        <v>1730</v>
      </c>
      <c r="AD39" s="2" t="s">
        <v>1727</v>
      </c>
      <c r="AE39" s="2" t="s">
        <v>1728</v>
      </c>
      <c r="AF39" s="2" t="s">
        <v>1736</v>
      </c>
      <c r="AG39" s="28">
        <f>MAX(clean_data[[#This Row],[ATK]:[SPD]]) - MIN(clean_data[[#This Row],[ATK]:[SPD]])</f>
        <v>54</v>
      </c>
      <c r="AH39" s="28" t="str">
        <f>IF(clean_data[[#This Row],[Balanced Score]] = MIN(clean_data[Balanced Score]), "Most Balanced", "")</f>
        <v/>
      </c>
      <c r="AJ39" s="10" t="s">
        <v>1</v>
      </c>
      <c r="AK39" s="10" t="s">
        <v>26</v>
      </c>
      <c r="AL39" s="2"/>
      <c r="AM39" s="2"/>
      <c r="AN39" s="2"/>
      <c r="AO39" s="3" t="str">
        <v>Mage</v>
      </c>
      <c r="AP39" s="10">
        <v>2</v>
      </c>
    </row>
    <row r="40" spans="1:42" x14ac:dyDescent="0.3">
      <c r="A40" s="2" t="s">
        <v>241</v>
      </c>
      <c r="B40" s="2" t="s">
        <v>242</v>
      </c>
      <c r="C40" s="2" t="s">
        <v>75</v>
      </c>
      <c r="D40" s="2" t="s">
        <v>168</v>
      </c>
      <c r="E40" s="2" t="s">
        <v>41</v>
      </c>
      <c r="F40" s="2" t="s">
        <v>98</v>
      </c>
      <c r="G40" s="2">
        <v>83</v>
      </c>
      <c r="H40" s="2" t="s">
        <v>53</v>
      </c>
      <c r="I40" s="2" t="s">
        <v>126</v>
      </c>
      <c r="J40" s="2" t="s">
        <v>33</v>
      </c>
      <c r="K40" s="2" t="s">
        <v>44</v>
      </c>
      <c r="L40" s="13">
        <v>45187</v>
      </c>
      <c r="M40" s="2">
        <v>128</v>
      </c>
      <c r="N40" s="2">
        <v>103</v>
      </c>
      <c r="O40" s="2">
        <v>35</v>
      </c>
      <c r="P40" s="2">
        <v>2201</v>
      </c>
      <c r="Q40" s="2">
        <v>1317</v>
      </c>
      <c r="R40" s="2">
        <v>266</v>
      </c>
      <c r="S40" s="2">
        <v>2296</v>
      </c>
      <c r="T40" s="2">
        <v>427</v>
      </c>
      <c r="U40" s="2">
        <v>298</v>
      </c>
      <c r="V40" s="12">
        <f>ABS(RPG_dataset[[#This Row],[Win Rate (%)]])</f>
        <v>84</v>
      </c>
      <c r="W40" s="2">
        <v>4022</v>
      </c>
      <c r="X40" s="9">
        <v>419793</v>
      </c>
      <c r="Y40" s="2" t="s">
        <v>46</v>
      </c>
      <c r="Z40" s="2">
        <v>297</v>
      </c>
      <c r="AA40" s="2" t="s">
        <v>1737</v>
      </c>
      <c r="AB40" s="2" t="b">
        <v>1</v>
      </c>
      <c r="AC40" s="2" t="s">
        <v>1730</v>
      </c>
      <c r="AD40" s="2" t="s">
        <v>1727</v>
      </c>
      <c r="AE40" s="2" t="s">
        <v>1728</v>
      </c>
      <c r="AF40" s="2" t="s">
        <v>1729</v>
      </c>
      <c r="AG40" s="28">
        <f>MAX(clean_data[[#This Row],[ATK]:[SPD]]) - MIN(clean_data[[#This Row],[ATK]:[SPD]])</f>
        <v>93</v>
      </c>
      <c r="AH40" s="28" t="str">
        <f>IF(clean_data[[#This Row],[Balanced Score]] = MIN(clean_data[Balanced Score]), "Most Balanced", "")</f>
        <v/>
      </c>
      <c r="AJ40" s="10" t="s">
        <v>4</v>
      </c>
      <c r="AK40" s="10" t="str" cm="1">
        <f t="array" ref="AK40">_xlfn.XLOOKUP($AK$39,RPG_dataset[Username], clean[Clean Race])</f>
        <v>Dwarf</v>
      </c>
      <c r="AL40" s="2"/>
      <c r="AM40" s="2"/>
      <c r="AN40" s="2"/>
      <c r="AO40" s="3" t="str">
        <v>Necromancer</v>
      </c>
      <c r="AP40" s="10">
        <v>1.9</v>
      </c>
    </row>
    <row r="41" spans="1:42" x14ac:dyDescent="0.3">
      <c r="A41" s="2" t="s">
        <v>244</v>
      </c>
      <c r="B41" s="2" t="s">
        <v>245</v>
      </c>
      <c r="C41" s="2" t="s">
        <v>173</v>
      </c>
      <c r="D41" s="2" t="s">
        <v>162</v>
      </c>
      <c r="E41" s="2" t="s">
        <v>60</v>
      </c>
      <c r="F41" s="2" t="s">
        <v>61</v>
      </c>
      <c r="G41" s="2">
        <v>29</v>
      </c>
      <c r="H41" s="2" t="s">
        <v>73</v>
      </c>
      <c r="I41" s="2" t="s">
        <v>54</v>
      </c>
      <c r="J41" s="2" t="s">
        <v>111</v>
      </c>
      <c r="K41" s="2" t="s">
        <v>44</v>
      </c>
      <c r="L41" s="13">
        <v>44960</v>
      </c>
      <c r="M41" s="2">
        <v>110</v>
      </c>
      <c r="N41" s="2">
        <v>26</v>
      </c>
      <c r="O41" s="2">
        <v>120</v>
      </c>
      <c r="P41" s="2">
        <v>1625</v>
      </c>
      <c r="Q41" s="2">
        <v>2828</v>
      </c>
      <c r="R41" s="2">
        <v>256</v>
      </c>
      <c r="S41" s="2">
        <v>3983</v>
      </c>
      <c r="T41" s="2">
        <v>454</v>
      </c>
      <c r="U41" s="2">
        <v>7</v>
      </c>
      <c r="V41" s="12">
        <f>ABS(RPG_dataset[[#This Row],[Win Rate (%)]])</f>
        <v>90</v>
      </c>
      <c r="W41" s="2">
        <v>5410</v>
      </c>
      <c r="X41" s="9">
        <v>708023</v>
      </c>
      <c r="Y41" s="2" t="s">
        <v>36</v>
      </c>
      <c r="Z41" s="2">
        <v>144</v>
      </c>
      <c r="AA41" s="2" t="s">
        <v>1733</v>
      </c>
      <c r="AB41" s="2" t="b">
        <v>1</v>
      </c>
      <c r="AC41" s="2" t="s">
        <v>1730</v>
      </c>
      <c r="AD41" s="2" t="s">
        <v>1727</v>
      </c>
      <c r="AE41" s="2" t="s">
        <v>1728</v>
      </c>
      <c r="AF41" s="2" t="s">
        <v>1736</v>
      </c>
      <c r="AG41" s="28">
        <f>MAX(clean_data[[#This Row],[ATK]:[SPD]]) - MIN(clean_data[[#This Row],[ATK]:[SPD]])</f>
        <v>94</v>
      </c>
      <c r="AH41" s="28" t="str">
        <f>IF(clean_data[[#This Row],[Balanced Score]] = MIN(clean_data[Balanced Score]), "Most Balanced", "")</f>
        <v/>
      </c>
      <c r="AJ41" s="10" t="s">
        <v>8</v>
      </c>
      <c r="AK41" s="10" t="str">
        <f>_xlfn.XLOOKUP($AK$39,clean_data[Username], clean_data[Guild])</f>
        <v>Steel Fang</v>
      </c>
      <c r="AL41" s="2"/>
      <c r="AM41" s="2"/>
      <c r="AN41" s="2"/>
      <c r="AO41" s="3" t="str">
        <v>Paladin</v>
      </c>
      <c r="AP41" s="10">
        <v>2.2000000000000002</v>
      </c>
    </row>
    <row r="42" spans="1:42" x14ac:dyDescent="0.3">
      <c r="A42" s="2" t="s">
        <v>247</v>
      </c>
      <c r="B42" s="2" t="s">
        <v>248</v>
      </c>
      <c r="C42" s="2" t="s">
        <v>103</v>
      </c>
      <c r="D42" s="2" t="s">
        <v>250</v>
      </c>
      <c r="E42" s="2" t="s">
        <v>29</v>
      </c>
      <c r="F42" s="2" t="s">
        <v>72</v>
      </c>
      <c r="G42" s="2">
        <v>87</v>
      </c>
      <c r="H42" s="2" t="s">
        <v>157</v>
      </c>
      <c r="I42" s="2" t="s">
        <v>63</v>
      </c>
      <c r="J42" s="2" t="s">
        <v>92</v>
      </c>
      <c r="K42" s="2" t="s">
        <v>44</v>
      </c>
      <c r="L42" s="13">
        <v>43530</v>
      </c>
      <c r="M42" s="2">
        <v>38</v>
      </c>
      <c r="N42" s="2">
        <v>103</v>
      </c>
      <c r="O42" s="2">
        <v>29</v>
      </c>
      <c r="P42" s="2">
        <v>524</v>
      </c>
      <c r="Q42" s="2">
        <v>2725</v>
      </c>
      <c r="R42" s="2">
        <v>170</v>
      </c>
      <c r="S42" s="2">
        <v>88</v>
      </c>
      <c r="T42" s="2">
        <v>864</v>
      </c>
      <c r="U42" s="2">
        <v>259</v>
      </c>
      <c r="V42" s="12">
        <f>ABS(RPG_dataset[[#This Row],[Win Rate (%)]])</f>
        <v>9</v>
      </c>
      <c r="W42" s="2">
        <v>8186</v>
      </c>
      <c r="X42" s="9">
        <v>110358</v>
      </c>
      <c r="Y42" s="2" t="s">
        <v>46</v>
      </c>
      <c r="Z42" s="2">
        <v>432</v>
      </c>
      <c r="AA42" s="2" t="s">
        <v>1737</v>
      </c>
      <c r="AB42" s="2" t="b">
        <v>1</v>
      </c>
      <c r="AC42" s="2" t="s">
        <v>1726</v>
      </c>
      <c r="AD42" s="2" t="s">
        <v>1727</v>
      </c>
      <c r="AE42" s="2" t="s">
        <v>1728</v>
      </c>
      <c r="AF42" s="2" t="s">
        <v>1729</v>
      </c>
      <c r="AG42" s="28">
        <f>MAX(clean_data[[#This Row],[ATK]:[SPD]]) - MIN(clean_data[[#This Row],[ATK]:[SPD]])</f>
        <v>74</v>
      </c>
      <c r="AH42" s="28" t="str">
        <f>IF(clean_data[[#This Row],[Balanced Score]] = MIN(clean_data[Balanced Score]), "Most Balanced", "")</f>
        <v/>
      </c>
      <c r="AJ42" s="10" t="s">
        <v>1693</v>
      </c>
      <c r="AK42" s="11">
        <f>_xlfn.XLOOKUP($AK$39, clean_data[Username], clean_data[Gold Earned])</f>
        <v>533299</v>
      </c>
      <c r="AL42" s="2"/>
      <c r="AM42" s="2"/>
      <c r="AN42" s="2"/>
      <c r="AO42" s="2"/>
      <c r="AP42" s="2"/>
    </row>
    <row r="43" spans="1:42" x14ac:dyDescent="0.3">
      <c r="A43" s="2" t="s">
        <v>252</v>
      </c>
      <c r="B43" s="2" t="s">
        <v>75</v>
      </c>
      <c r="C43" s="2" t="s">
        <v>253</v>
      </c>
      <c r="D43" s="2" t="s">
        <v>254</v>
      </c>
      <c r="E43" s="2" t="s">
        <v>60</v>
      </c>
      <c r="F43" s="2" t="s">
        <v>98</v>
      </c>
      <c r="G43" s="2"/>
      <c r="H43" s="2" t="s">
        <v>125</v>
      </c>
      <c r="I43" s="2" t="s">
        <v>63</v>
      </c>
      <c r="J43" s="2" t="s">
        <v>163</v>
      </c>
      <c r="K43" s="2" t="s">
        <v>44</v>
      </c>
      <c r="L43" s="13">
        <v>45187</v>
      </c>
      <c r="M43" s="2">
        <v>22</v>
      </c>
      <c r="N43" s="2">
        <v>140</v>
      </c>
      <c r="O43" s="2">
        <v>133</v>
      </c>
      <c r="P43" s="2">
        <v>155</v>
      </c>
      <c r="Q43" s="2">
        <v>443</v>
      </c>
      <c r="R43" s="2">
        <v>295</v>
      </c>
      <c r="S43" s="2"/>
      <c r="T43" s="2">
        <v>793</v>
      </c>
      <c r="U43" s="2">
        <v>74</v>
      </c>
      <c r="V43" s="12">
        <f>ABS(RPG_dataset[[#This Row],[Win Rate (%)]])</f>
        <v>50</v>
      </c>
      <c r="W43" s="2">
        <v>7765</v>
      </c>
      <c r="X43" s="9">
        <v>290799</v>
      </c>
      <c r="Y43" s="2" t="s">
        <v>46</v>
      </c>
      <c r="Z43" s="2">
        <v>356</v>
      </c>
      <c r="AA43" s="2" t="s">
        <v>1735</v>
      </c>
      <c r="AB43" s="2" t="b">
        <v>1</v>
      </c>
      <c r="AC43" s="2" t="s">
        <v>1738</v>
      </c>
      <c r="AD43" s="2" t="s">
        <v>1727</v>
      </c>
      <c r="AE43" s="2" t="s">
        <v>1742</v>
      </c>
      <c r="AF43" s="2" t="s">
        <v>1736</v>
      </c>
      <c r="AG43" s="28">
        <f>MAX(clean_data[[#This Row],[ATK]:[SPD]]) - MIN(clean_data[[#This Row],[ATK]:[SPD]])</f>
        <v>118</v>
      </c>
      <c r="AH43" s="28" t="str">
        <f>IF(clean_data[[#This Row],[Balanced Score]] = MIN(clean_data[Balanced Score]), "Most Balanced", "")</f>
        <v/>
      </c>
      <c r="AJ43" s="2"/>
      <c r="AK43" s="2"/>
      <c r="AL43" s="2"/>
      <c r="AM43" s="2"/>
      <c r="AN43" s="2"/>
      <c r="AO43" s="2"/>
      <c r="AP43" s="2"/>
    </row>
    <row r="44" spans="1:42" x14ac:dyDescent="0.3">
      <c r="A44" s="2" t="s">
        <v>256</v>
      </c>
      <c r="B44" s="2" t="s">
        <v>257</v>
      </c>
      <c r="C44" s="2" t="s">
        <v>97</v>
      </c>
      <c r="D44" s="2" t="s">
        <v>139</v>
      </c>
      <c r="E44" s="2" t="s">
        <v>169</v>
      </c>
      <c r="F44" s="2" t="s">
        <v>194</v>
      </c>
      <c r="G44" s="2">
        <v>84</v>
      </c>
      <c r="H44" s="2" t="s">
        <v>125</v>
      </c>
      <c r="I44" s="2" t="s">
        <v>126</v>
      </c>
      <c r="J44" s="2" t="s">
        <v>111</v>
      </c>
      <c r="K44" s="2" t="s">
        <v>44</v>
      </c>
      <c r="L44" s="13">
        <v>44968</v>
      </c>
      <c r="M44" s="2">
        <v>94</v>
      </c>
      <c r="N44" s="2">
        <v>54</v>
      </c>
      <c r="O44" s="2">
        <v>94</v>
      </c>
      <c r="P44" s="2">
        <v>1622</v>
      </c>
      <c r="Q44" s="2"/>
      <c r="R44" s="2">
        <v>242</v>
      </c>
      <c r="S44" s="2">
        <v>3610</v>
      </c>
      <c r="T44" s="2">
        <v>302</v>
      </c>
      <c r="U44" s="2">
        <v>176</v>
      </c>
      <c r="V44" s="12">
        <f>ABS(RPG_dataset[[#This Row],[Win Rate (%)]])</f>
        <v>92</v>
      </c>
      <c r="W44" s="2">
        <v>4388</v>
      </c>
      <c r="X44" s="9">
        <v>957455</v>
      </c>
      <c r="Y44" s="2" t="s">
        <v>46</v>
      </c>
      <c r="Z44" s="2">
        <v>22</v>
      </c>
      <c r="AA44" s="2" t="s">
        <v>1737</v>
      </c>
      <c r="AB44" s="2" t="b">
        <v>1</v>
      </c>
      <c r="AC44" s="2" t="s">
        <v>1730</v>
      </c>
      <c r="AD44" s="2" t="s">
        <v>1727</v>
      </c>
      <c r="AE44" s="2" t="s">
        <v>1728</v>
      </c>
      <c r="AF44" s="2" t="s">
        <v>1736</v>
      </c>
      <c r="AG44" s="28">
        <f>MAX(clean_data[[#This Row],[ATK]:[SPD]]) - MIN(clean_data[[#This Row],[ATK]:[SPD]])</f>
        <v>40</v>
      </c>
      <c r="AH44" s="28" t="str">
        <f>IF(clean_data[[#This Row],[Balanced Score]] = MIN(clean_data[Balanced Score]), "Most Balanced", "")</f>
        <v/>
      </c>
      <c r="AJ44" s="2"/>
      <c r="AK44" s="2"/>
      <c r="AL44" s="2"/>
      <c r="AM44" s="2"/>
      <c r="AN44" s="2"/>
      <c r="AO44" s="2"/>
      <c r="AP44" s="2"/>
    </row>
    <row r="45" spans="1:42" x14ac:dyDescent="0.3">
      <c r="A45" s="2" t="s">
        <v>260</v>
      </c>
      <c r="B45" s="2" t="s">
        <v>261</v>
      </c>
      <c r="C45" s="2" t="s">
        <v>360</v>
      </c>
      <c r="D45" s="2" t="s">
        <v>254</v>
      </c>
      <c r="E45" s="2" t="s">
        <v>71</v>
      </c>
      <c r="F45" s="2" t="s">
        <v>42</v>
      </c>
      <c r="G45" s="2">
        <v>88</v>
      </c>
      <c r="H45" s="2" t="s">
        <v>31</v>
      </c>
      <c r="I45" s="2" t="s">
        <v>32</v>
      </c>
      <c r="J45" s="2" t="s">
        <v>111</v>
      </c>
      <c r="K45" s="2" t="s">
        <v>44</v>
      </c>
      <c r="L45" s="13">
        <v>44131</v>
      </c>
      <c r="M45" s="2">
        <v>78</v>
      </c>
      <c r="N45" s="2">
        <v>55</v>
      </c>
      <c r="O45" s="2">
        <v>141</v>
      </c>
      <c r="P45" s="2">
        <v>3750</v>
      </c>
      <c r="Q45" s="2">
        <v>2935</v>
      </c>
      <c r="R45" s="2">
        <v>274</v>
      </c>
      <c r="S45" s="2">
        <v>2860</v>
      </c>
      <c r="T45" s="2">
        <v>654</v>
      </c>
      <c r="U45" s="2">
        <v>191</v>
      </c>
      <c r="V45" s="12">
        <f>ABS(RPG_dataset[[#This Row],[Win Rate (%)]])</f>
        <v>81</v>
      </c>
      <c r="W45" s="2">
        <v>1392</v>
      </c>
      <c r="X45" s="9">
        <v>170044</v>
      </c>
      <c r="Y45" s="2" t="s">
        <v>46</v>
      </c>
      <c r="Z45" s="2">
        <v>414</v>
      </c>
      <c r="AA45" s="2" t="s">
        <v>1737</v>
      </c>
      <c r="AB45" s="2" t="b">
        <v>1</v>
      </c>
      <c r="AC45" s="2" t="s">
        <v>1730</v>
      </c>
      <c r="AD45" s="2" t="s">
        <v>1727</v>
      </c>
      <c r="AE45" s="2" t="s">
        <v>1728</v>
      </c>
      <c r="AF45" s="2" t="s">
        <v>1736</v>
      </c>
      <c r="AG45" s="28">
        <f>MAX(clean_data[[#This Row],[ATK]:[SPD]]) - MIN(clean_data[[#This Row],[ATK]:[SPD]])</f>
        <v>86</v>
      </c>
      <c r="AH45" s="28" t="str">
        <f>IF(clean_data[[#This Row],[Balanced Score]] = MIN(clean_data[Balanced Score]), "Most Balanced", "")</f>
        <v/>
      </c>
      <c r="AJ45" s="2"/>
      <c r="AK45" s="2"/>
      <c r="AL45" s="2"/>
      <c r="AM45" s="2"/>
      <c r="AN45" s="2"/>
      <c r="AO45" s="2"/>
      <c r="AP45" s="2"/>
    </row>
    <row r="46" spans="1:42" x14ac:dyDescent="0.3">
      <c r="A46" s="2" t="s">
        <v>265</v>
      </c>
      <c r="B46" s="2" t="s">
        <v>266</v>
      </c>
      <c r="C46" s="2" t="s">
        <v>130</v>
      </c>
      <c r="D46" s="2" t="s">
        <v>162</v>
      </c>
      <c r="E46" s="2" t="s">
        <v>41</v>
      </c>
      <c r="F46" s="2" t="s">
        <v>52</v>
      </c>
      <c r="G46" s="2">
        <v>69</v>
      </c>
      <c r="H46" s="2" t="s">
        <v>73</v>
      </c>
      <c r="I46" s="2" t="s">
        <v>140</v>
      </c>
      <c r="J46" s="2" t="s">
        <v>163</v>
      </c>
      <c r="K46" s="2" t="s">
        <v>44</v>
      </c>
      <c r="L46" s="13">
        <v>43436</v>
      </c>
      <c r="M46" s="2">
        <v>31</v>
      </c>
      <c r="N46" s="2">
        <v>52</v>
      </c>
      <c r="O46" s="2">
        <v>48</v>
      </c>
      <c r="P46" s="2">
        <v>627</v>
      </c>
      <c r="Q46" s="2">
        <v>331</v>
      </c>
      <c r="R46" s="2">
        <v>131</v>
      </c>
      <c r="S46" s="2">
        <v>2940</v>
      </c>
      <c r="T46" s="2">
        <v>296</v>
      </c>
      <c r="U46" s="2">
        <v>128</v>
      </c>
      <c r="V46" s="12">
        <f>ABS(RPG_dataset[[#This Row],[Win Rate (%)]])</f>
        <v>91</v>
      </c>
      <c r="W46" s="2">
        <v>3879</v>
      </c>
      <c r="X46" s="9">
        <v>730610</v>
      </c>
      <c r="Y46" s="2" t="s">
        <v>46</v>
      </c>
      <c r="Z46" s="2">
        <v>137</v>
      </c>
      <c r="AA46" s="2" t="s">
        <v>1725</v>
      </c>
      <c r="AB46" s="2" t="b">
        <v>1</v>
      </c>
      <c r="AC46" s="2" t="s">
        <v>1730</v>
      </c>
      <c r="AD46" s="2" t="s">
        <v>1727</v>
      </c>
      <c r="AE46" s="2" t="s">
        <v>1728</v>
      </c>
      <c r="AF46" s="2" t="s">
        <v>1740</v>
      </c>
      <c r="AG46" s="28">
        <f>MAX(clean_data[[#This Row],[ATK]:[SPD]]) - MIN(clean_data[[#This Row],[ATK]:[SPD]])</f>
        <v>21</v>
      </c>
      <c r="AH46" s="28" t="str">
        <f>IF(clean_data[[#This Row],[Balanced Score]] = MIN(clean_data[Balanced Score]), "Most Balanced", "")</f>
        <v/>
      </c>
      <c r="AJ46" s="10" t="s">
        <v>5</v>
      </c>
      <c r="AK46" s="3" t="s">
        <v>124</v>
      </c>
      <c r="AL46" s="2"/>
      <c r="AM46" s="2"/>
      <c r="AN46" s="2"/>
      <c r="AO46" s="2"/>
      <c r="AP46" s="2"/>
    </row>
    <row r="47" spans="1:42" x14ac:dyDescent="0.3">
      <c r="A47" s="2" t="s">
        <v>269</v>
      </c>
      <c r="B47" s="2" t="s">
        <v>270</v>
      </c>
      <c r="C47" s="2" t="s">
        <v>271</v>
      </c>
      <c r="D47" s="2" t="s">
        <v>272</v>
      </c>
      <c r="E47" s="2" t="s">
        <v>228</v>
      </c>
      <c r="F47" s="2" t="s">
        <v>124</v>
      </c>
      <c r="G47" s="2">
        <v>68</v>
      </c>
      <c r="H47" s="2" t="s">
        <v>62</v>
      </c>
      <c r="I47" s="2" t="s">
        <v>63</v>
      </c>
      <c r="J47" s="2" t="s">
        <v>111</v>
      </c>
      <c r="K47" s="2" t="s">
        <v>44</v>
      </c>
      <c r="L47" s="13">
        <v>43182</v>
      </c>
      <c r="M47" s="2">
        <v>95</v>
      </c>
      <c r="N47" s="2">
        <v>74</v>
      </c>
      <c r="O47" s="2">
        <v>19</v>
      </c>
      <c r="P47" s="2">
        <v>4259</v>
      </c>
      <c r="Q47" s="2">
        <v>2911</v>
      </c>
      <c r="R47" s="2">
        <v>188</v>
      </c>
      <c r="S47" s="2">
        <v>932</v>
      </c>
      <c r="T47" s="2">
        <v>518</v>
      </c>
      <c r="U47" s="2">
        <v>102</v>
      </c>
      <c r="V47" s="12">
        <f>ABS(RPG_dataset[[#This Row],[Win Rate (%)]])</f>
        <v>64</v>
      </c>
      <c r="W47" s="2">
        <v>5036</v>
      </c>
      <c r="X47" s="9">
        <v>173793</v>
      </c>
      <c r="Y47" s="2" t="s">
        <v>36</v>
      </c>
      <c r="Z47" s="2">
        <v>412</v>
      </c>
      <c r="AA47" s="2" t="s">
        <v>1725</v>
      </c>
      <c r="AB47" s="2" t="b">
        <v>1</v>
      </c>
      <c r="AC47" s="2" t="s">
        <v>1738</v>
      </c>
      <c r="AD47" s="2" t="s">
        <v>1727</v>
      </c>
      <c r="AE47" s="2" t="s">
        <v>1728</v>
      </c>
      <c r="AF47" s="2" t="s">
        <v>1729</v>
      </c>
      <c r="AG47" s="28">
        <f>MAX(clean_data[[#This Row],[ATK]:[SPD]]) - MIN(clean_data[[#This Row],[ATK]:[SPD]])</f>
        <v>76</v>
      </c>
      <c r="AH47" s="28" t="str">
        <f>IF(clean_data[[#This Row],[Balanced Score]] = MIN(clean_data[Balanced Score]), "Most Balanced", "")</f>
        <v/>
      </c>
      <c r="AJ47" s="10" t="s">
        <v>1703</v>
      </c>
      <c r="AK47" s="10" t="str">
        <f>_xlfn.XLOOKUP(_xlfn.MAXIFS(clean_data[Total Stat],clean_data[Class],AK46), clean_data[Total Stat], clean_data[First Name])</f>
        <v>Brynn</v>
      </c>
      <c r="AL47" s="2"/>
      <c r="AM47" s="2"/>
      <c r="AN47" s="2"/>
      <c r="AO47" s="2"/>
      <c r="AP47" s="2"/>
    </row>
    <row r="48" spans="1:42" x14ac:dyDescent="0.3">
      <c r="A48" s="2" t="s">
        <v>274</v>
      </c>
      <c r="B48" s="2" t="s">
        <v>275</v>
      </c>
      <c r="C48" s="2" t="s">
        <v>276</v>
      </c>
      <c r="D48" s="2" t="s">
        <v>277</v>
      </c>
      <c r="E48" s="2" t="s">
        <v>29</v>
      </c>
      <c r="F48" s="2" t="s">
        <v>194</v>
      </c>
      <c r="G48" s="2">
        <v>91</v>
      </c>
      <c r="H48" s="2" t="s">
        <v>125</v>
      </c>
      <c r="I48" s="2" t="s">
        <v>32</v>
      </c>
      <c r="J48" s="2" t="s">
        <v>33</v>
      </c>
      <c r="K48" s="2" t="s">
        <v>44</v>
      </c>
      <c r="L48" s="13">
        <v>44342</v>
      </c>
      <c r="M48" s="2">
        <v>139</v>
      </c>
      <c r="N48" s="2">
        <v>124</v>
      </c>
      <c r="O48" s="2">
        <v>126</v>
      </c>
      <c r="P48" s="2">
        <v>1587</v>
      </c>
      <c r="Q48" s="2"/>
      <c r="R48" s="2">
        <v>389</v>
      </c>
      <c r="S48" s="2"/>
      <c r="T48" s="2">
        <v>573</v>
      </c>
      <c r="U48" s="2">
        <v>184</v>
      </c>
      <c r="V48" s="12">
        <f>ABS(RPG_dataset[[#This Row],[Win Rate (%)]])</f>
        <v>86</v>
      </c>
      <c r="W48" s="2">
        <v>3941</v>
      </c>
      <c r="X48" s="9">
        <v>612213</v>
      </c>
      <c r="Y48" s="2" t="s">
        <v>46</v>
      </c>
      <c r="Z48" s="2">
        <v>195</v>
      </c>
      <c r="AA48" s="2" t="s">
        <v>1737</v>
      </c>
      <c r="AB48" s="2" t="b">
        <v>1</v>
      </c>
      <c r="AC48" s="2" t="s">
        <v>1730</v>
      </c>
      <c r="AD48" s="2" t="s">
        <v>1741</v>
      </c>
      <c r="AE48" s="2" t="s">
        <v>1728</v>
      </c>
      <c r="AF48" s="2" t="s">
        <v>1736</v>
      </c>
      <c r="AG48" s="28">
        <f>MAX(clean_data[[#This Row],[ATK]:[SPD]]) - MIN(clean_data[[#This Row],[ATK]:[SPD]])</f>
        <v>15</v>
      </c>
      <c r="AH48" s="28" t="str">
        <f>IF(clean_data[[#This Row],[Balanced Score]] = MIN(clean_data[Balanced Score]), "Most Balanced", "")</f>
        <v/>
      </c>
      <c r="AJ48" s="10" t="s">
        <v>12</v>
      </c>
      <c r="AK48" s="10">
        <f>_xlfn.XLOOKUP(AK47,clean_data[First Name],clean_data[ATK])</f>
        <v>139</v>
      </c>
      <c r="AL48" s="2"/>
      <c r="AM48" s="2"/>
      <c r="AN48" s="2"/>
      <c r="AO48" s="2"/>
      <c r="AP48" s="2"/>
    </row>
    <row r="49" spans="1:42" x14ac:dyDescent="0.3">
      <c r="A49" s="2" t="s">
        <v>279</v>
      </c>
      <c r="B49" s="2" t="s">
        <v>280</v>
      </c>
      <c r="C49" s="2" t="s">
        <v>281</v>
      </c>
      <c r="D49" s="2" t="s">
        <v>119</v>
      </c>
      <c r="E49" s="2" t="s">
        <v>75</v>
      </c>
      <c r="F49" s="2" t="s">
        <v>124</v>
      </c>
      <c r="G49" s="2">
        <v>2</v>
      </c>
      <c r="H49" s="2" t="s">
        <v>125</v>
      </c>
      <c r="I49" s="2" t="s">
        <v>87</v>
      </c>
      <c r="J49" s="2" t="s">
        <v>163</v>
      </c>
      <c r="K49" s="2" t="s">
        <v>34</v>
      </c>
      <c r="L49" s="13">
        <v>43732</v>
      </c>
      <c r="M49" s="2">
        <v>53</v>
      </c>
      <c r="N49" s="2">
        <v>134</v>
      </c>
      <c r="O49" s="2">
        <v>99</v>
      </c>
      <c r="P49" s="2">
        <v>3797</v>
      </c>
      <c r="Q49" s="2">
        <v>1390</v>
      </c>
      <c r="R49" s="2">
        <v>286</v>
      </c>
      <c r="S49" s="2">
        <v>2941</v>
      </c>
      <c r="T49" s="2">
        <v>299</v>
      </c>
      <c r="U49" s="2">
        <v>14</v>
      </c>
      <c r="V49" s="12">
        <f>ABS(RPG_dataset[[#This Row],[Win Rate (%)]])</f>
        <v>91</v>
      </c>
      <c r="W49" s="2">
        <v>153</v>
      </c>
      <c r="X49" s="9">
        <v>522412</v>
      </c>
      <c r="Y49" s="2" t="s">
        <v>36</v>
      </c>
      <c r="Z49" s="2">
        <v>239</v>
      </c>
      <c r="AA49" s="2" t="s">
        <v>1735</v>
      </c>
      <c r="AB49" s="2" t="b">
        <v>0</v>
      </c>
      <c r="AC49" s="2" t="s">
        <v>1730</v>
      </c>
      <c r="AD49" s="2" t="s">
        <v>1727</v>
      </c>
      <c r="AE49" s="2" t="s">
        <v>1728</v>
      </c>
      <c r="AF49" s="2" t="s">
        <v>1736</v>
      </c>
      <c r="AG49" s="28">
        <f>MAX(clean_data[[#This Row],[ATK]:[SPD]]) - MIN(clean_data[[#This Row],[ATK]:[SPD]])</f>
        <v>81</v>
      </c>
      <c r="AH49" s="28" t="str">
        <f>IF(clean_data[[#This Row],[Balanced Score]] = MIN(clean_data[Balanced Score]), "Most Balanced", "")</f>
        <v/>
      </c>
      <c r="AJ49" s="10" t="s">
        <v>13</v>
      </c>
      <c r="AK49" s="10">
        <f>_xlfn.XLOOKUP(AK47,clean_data[First Name],clean_data[DEF])</f>
        <v>124</v>
      </c>
      <c r="AL49" s="2"/>
      <c r="AM49" s="2"/>
      <c r="AN49" s="2"/>
      <c r="AO49" s="2"/>
      <c r="AP49" s="2"/>
    </row>
    <row r="50" spans="1:42" x14ac:dyDescent="0.3">
      <c r="A50" s="2" t="s">
        <v>283</v>
      </c>
      <c r="B50" s="2" t="s">
        <v>284</v>
      </c>
      <c r="C50" s="2" t="s">
        <v>161</v>
      </c>
      <c r="D50" s="2" t="s">
        <v>174</v>
      </c>
      <c r="E50" s="2" t="s">
        <v>105</v>
      </c>
      <c r="F50" s="2" t="s">
        <v>194</v>
      </c>
      <c r="G50" s="2">
        <v>98</v>
      </c>
      <c r="H50" s="2" t="s">
        <v>31</v>
      </c>
      <c r="I50" s="2" t="s">
        <v>87</v>
      </c>
      <c r="J50" s="2" t="s">
        <v>163</v>
      </c>
      <c r="K50" s="2" t="s">
        <v>44</v>
      </c>
      <c r="L50" s="13">
        <v>43576</v>
      </c>
      <c r="M50" s="2">
        <v>133</v>
      </c>
      <c r="N50" s="2">
        <v>131</v>
      </c>
      <c r="O50" s="2">
        <v>27</v>
      </c>
      <c r="P50" s="2">
        <v>911</v>
      </c>
      <c r="Q50" s="2">
        <v>1391</v>
      </c>
      <c r="R50" s="2">
        <v>291</v>
      </c>
      <c r="S50" s="2">
        <v>3946</v>
      </c>
      <c r="T50" s="2">
        <v>831</v>
      </c>
      <c r="U50" s="2">
        <v>54</v>
      </c>
      <c r="V50" s="12">
        <f>ABS(RPG_dataset[[#This Row],[Win Rate (%)]])</f>
        <v>83</v>
      </c>
      <c r="W50" s="2">
        <v>6439</v>
      </c>
      <c r="X50" s="9">
        <v>791345</v>
      </c>
      <c r="Y50" s="2" t="s">
        <v>46</v>
      </c>
      <c r="Z50" s="2">
        <v>113</v>
      </c>
      <c r="AA50" s="2" t="s">
        <v>1737</v>
      </c>
      <c r="AB50" s="2" t="b">
        <v>1</v>
      </c>
      <c r="AC50" s="2" t="s">
        <v>1730</v>
      </c>
      <c r="AD50" s="2" t="s">
        <v>1727</v>
      </c>
      <c r="AE50" s="2" t="s">
        <v>1728</v>
      </c>
      <c r="AF50" s="2" t="s">
        <v>1729</v>
      </c>
      <c r="AG50" s="28">
        <f>MAX(clean_data[[#This Row],[ATK]:[SPD]]) - MIN(clean_data[[#This Row],[ATK]:[SPD]])</f>
        <v>106</v>
      </c>
      <c r="AH50" s="28" t="str">
        <f>IF(clean_data[[#This Row],[Balanced Score]] = MIN(clean_data[Balanced Score]), "Most Balanced", "")</f>
        <v/>
      </c>
      <c r="AJ50" s="10" t="s">
        <v>14</v>
      </c>
      <c r="AK50" s="10">
        <f>_xlfn.XLOOKUP(AK47,clean_data[First Name],clean_data[SPD])</f>
        <v>126</v>
      </c>
      <c r="AL50" s="2"/>
      <c r="AM50" s="2"/>
      <c r="AN50" s="2"/>
      <c r="AO50" s="2"/>
      <c r="AP50" s="2"/>
    </row>
    <row r="51" spans="1:42" x14ac:dyDescent="0.3">
      <c r="A51" s="2" t="s">
        <v>286</v>
      </c>
      <c r="B51" s="2" t="s">
        <v>287</v>
      </c>
      <c r="C51" s="2" t="s">
        <v>288</v>
      </c>
      <c r="D51" s="2" t="s">
        <v>254</v>
      </c>
      <c r="E51" s="2" t="s">
        <v>29</v>
      </c>
      <c r="F51" s="2" t="s">
        <v>61</v>
      </c>
      <c r="G51" s="2">
        <v>67</v>
      </c>
      <c r="H51" s="2" t="s">
        <v>80</v>
      </c>
      <c r="I51" s="2" t="s">
        <v>87</v>
      </c>
      <c r="J51" s="2" t="s">
        <v>92</v>
      </c>
      <c r="K51" s="2" t="s">
        <v>99</v>
      </c>
      <c r="L51" s="13">
        <v>44523</v>
      </c>
      <c r="M51" s="2">
        <v>120</v>
      </c>
      <c r="N51" s="2">
        <v>57</v>
      </c>
      <c r="O51" s="2">
        <v>72</v>
      </c>
      <c r="P51" s="2">
        <v>4784</v>
      </c>
      <c r="Q51" s="2">
        <v>2075</v>
      </c>
      <c r="R51" s="2">
        <v>249</v>
      </c>
      <c r="S51" s="2">
        <v>4999</v>
      </c>
      <c r="T51" s="2">
        <v>560</v>
      </c>
      <c r="U51" s="2">
        <v>4</v>
      </c>
      <c r="V51" s="12">
        <f>ABS(RPG_dataset[[#This Row],[Win Rate (%)]])</f>
        <v>90</v>
      </c>
      <c r="W51" s="2">
        <v>9354</v>
      </c>
      <c r="X51" s="9">
        <v>752665</v>
      </c>
      <c r="Y51" s="2" t="s">
        <v>46</v>
      </c>
      <c r="Z51" s="2">
        <v>126</v>
      </c>
      <c r="AA51" s="2" t="s">
        <v>1725</v>
      </c>
      <c r="AB51" s="2" t="b">
        <v>0</v>
      </c>
      <c r="AC51" s="2" t="s">
        <v>1730</v>
      </c>
      <c r="AD51" s="2" t="s">
        <v>1727</v>
      </c>
      <c r="AE51" s="2" t="s">
        <v>1728</v>
      </c>
      <c r="AF51" s="2" t="s">
        <v>1732</v>
      </c>
      <c r="AG51" s="28">
        <f>MAX(clean_data[[#This Row],[ATK]:[SPD]]) - MIN(clean_data[[#This Row],[ATK]:[SPD]])</f>
        <v>63</v>
      </c>
      <c r="AH51" s="28" t="str">
        <f>IF(clean_data[[#This Row],[Balanced Score]] = MIN(clean_data[Balanced Score]), "Most Balanced", "")</f>
        <v/>
      </c>
      <c r="AJ51" s="10" t="s">
        <v>15</v>
      </c>
      <c r="AK51" s="10">
        <f>_xlfn.XLOOKUP(AK47,clean_data[First Name],clean_data[HP])</f>
        <v>1587</v>
      </c>
      <c r="AL51" s="2"/>
      <c r="AM51" s="2"/>
      <c r="AN51" s="2"/>
      <c r="AO51" s="2"/>
      <c r="AP51" s="2"/>
    </row>
    <row r="52" spans="1:42" x14ac:dyDescent="0.3">
      <c r="A52" s="2" t="s">
        <v>291</v>
      </c>
      <c r="B52" s="2" t="s">
        <v>292</v>
      </c>
      <c r="C52" s="2" t="s">
        <v>253</v>
      </c>
      <c r="D52" s="2" t="s">
        <v>277</v>
      </c>
      <c r="E52" s="2" t="s">
        <v>60</v>
      </c>
      <c r="F52" s="2" t="s">
        <v>52</v>
      </c>
      <c r="G52" s="2">
        <v>47</v>
      </c>
      <c r="H52" s="2" t="s">
        <v>31</v>
      </c>
      <c r="I52" s="2" t="s">
        <v>63</v>
      </c>
      <c r="J52" s="2" t="s">
        <v>64</v>
      </c>
      <c r="K52" s="2" t="s">
        <v>99</v>
      </c>
      <c r="L52" s="13">
        <v>44292</v>
      </c>
      <c r="M52" s="2">
        <v>120</v>
      </c>
      <c r="N52" s="2">
        <v>83</v>
      </c>
      <c r="O52" s="2">
        <v>21</v>
      </c>
      <c r="P52" s="2">
        <v>2679</v>
      </c>
      <c r="Q52" s="2"/>
      <c r="R52" s="2"/>
      <c r="S52" s="2">
        <v>4374</v>
      </c>
      <c r="T52" s="2">
        <v>463</v>
      </c>
      <c r="U52" s="2">
        <v>164</v>
      </c>
      <c r="V52" s="12">
        <f>ABS(RPG_dataset[[#This Row],[Win Rate (%)]])</f>
        <v>90</v>
      </c>
      <c r="W52" s="2">
        <v>3664</v>
      </c>
      <c r="X52" s="9">
        <v>211925</v>
      </c>
      <c r="Y52" s="2" t="s">
        <v>36</v>
      </c>
      <c r="Z52" s="2">
        <v>395</v>
      </c>
      <c r="AA52" s="2" t="s">
        <v>1733</v>
      </c>
      <c r="AB52" s="2" t="b">
        <v>0</v>
      </c>
      <c r="AC52" s="2" t="s">
        <v>1730</v>
      </c>
      <c r="AD52" s="2" t="s">
        <v>1727</v>
      </c>
      <c r="AE52" s="2" t="s">
        <v>1728</v>
      </c>
      <c r="AF52" s="2" t="s">
        <v>1729</v>
      </c>
      <c r="AG52" s="28">
        <f>MAX(clean_data[[#This Row],[ATK]:[SPD]]) - MIN(clean_data[[#This Row],[ATK]:[SPD]])</f>
        <v>99</v>
      </c>
      <c r="AH52" s="28" t="str">
        <f>IF(clean_data[[#This Row],[Balanced Score]] = MIN(clean_data[Balanced Score]), "Most Balanced", "")</f>
        <v/>
      </c>
      <c r="AJ52" s="10" t="s">
        <v>16</v>
      </c>
      <c r="AK52" s="10">
        <f>_xlfn.XLOOKUP(AK47,clean_data[First Name],clean_data[MP])</f>
        <v>0</v>
      </c>
      <c r="AL52" s="2"/>
      <c r="AM52" s="2"/>
      <c r="AN52" s="2"/>
      <c r="AO52" s="2"/>
      <c r="AP52" s="2"/>
    </row>
    <row r="53" spans="1:42" x14ac:dyDescent="0.3">
      <c r="A53" s="2" t="s">
        <v>294</v>
      </c>
      <c r="B53" s="2" t="s">
        <v>295</v>
      </c>
      <c r="C53" s="2" t="s">
        <v>296</v>
      </c>
      <c r="D53" s="2" t="s">
        <v>40</v>
      </c>
      <c r="E53" s="2" t="s">
        <v>41</v>
      </c>
      <c r="F53" s="2" t="s">
        <v>42</v>
      </c>
      <c r="G53" s="2">
        <v>37</v>
      </c>
      <c r="H53" s="2" t="s">
        <v>75</v>
      </c>
      <c r="I53" s="2" t="s">
        <v>63</v>
      </c>
      <c r="J53" s="2" t="s">
        <v>33</v>
      </c>
      <c r="K53" s="2" t="s">
        <v>99</v>
      </c>
      <c r="L53" s="13">
        <v>43223</v>
      </c>
      <c r="M53" s="2">
        <v>32</v>
      </c>
      <c r="N53" s="2">
        <v>125</v>
      </c>
      <c r="O53" s="2">
        <v>27</v>
      </c>
      <c r="P53" s="2">
        <v>574</v>
      </c>
      <c r="Q53" s="2">
        <v>702</v>
      </c>
      <c r="R53" s="2"/>
      <c r="S53" s="2">
        <v>4242</v>
      </c>
      <c r="T53" s="2">
        <v>497</v>
      </c>
      <c r="U53" s="2"/>
      <c r="V53" s="12">
        <f>ABS(RPG_dataset[[#This Row],[Win Rate (%)]])</f>
        <v>90</v>
      </c>
      <c r="W53" s="2">
        <v>9619</v>
      </c>
      <c r="X53" s="9">
        <v>901161</v>
      </c>
      <c r="Y53" s="2" t="s">
        <v>36</v>
      </c>
      <c r="Z53" s="2">
        <v>51</v>
      </c>
      <c r="AA53" s="2" t="s">
        <v>1733</v>
      </c>
      <c r="AB53" s="2" t="b">
        <v>0</v>
      </c>
      <c r="AC53" s="2" t="s">
        <v>1730</v>
      </c>
      <c r="AD53" s="2" t="s">
        <v>1727</v>
      </c>
      <c r="AE53" s="2" t="s">
        <v>1728</v>
      </c>
      <c r="AF53" s="2" t="s">
        <v>1729</v>
      </c>
      <c r="AG53" s="28">
        <f>MAX(clean_data[[#This Row],[ATK]:[SPD]]) - MIN(clean_data[[#This Row],[ATK]:[SPD]])</f>
        <v>98</v>
      </c>
      <c r="AH53" s="28" t="str">
        <f>IF(clean_data[[#This Row],[Balanced Score]] = MIN(clean_data[Balanced Score]), "Most Balanced", "")</f>
        <v/>
      </c>
      <c r="AJ53" s="10" t="s">
        <v>17</v>
      </c>
      <c r="AK53" s="10">
        <f>_xlfn.XLOOKUP(AK47,clean_data[First Name],clean_data[Total Stat])</f>
        <v>389</v>
      </c>
      <c r="AL53" s="2"/>
      <c r="AM53" s="2"/>
      <c r="AN53" s="2"/>
      <c r="AO53" s="2"/>
      <c r="AP53" s="2"/>
    </row>
    <row r="54" spans="1:42" x14ac:dyDescent="0.3">
      <c r="A54" s="2" t="s">
        <v>298</v>
      </c>
      <c r="B54" s="2" t="s">
        <v>299</v>
      </c>
      <c r="C54" s="2" t="s">
        <v>253</v>
      </c>
      <c r="D54" s="2" t="s">
        <v>401</v>
      </c>
      <c r="E54" s="2" t="s">
        <v>51</v>
      </c>
      <c r="F54" s="2" t="s">
        <v>98</v>
      </c>
      <c r="G54" s="2">
        <v>10</v>
      </c>
      <c r="H54" s="2" t="s">
        <v>43</v>
      </c>
      <c r="I54" s="2" t="s">
        <v>63</v>
      </c>
      <c r="J54" s="2" t="s">
        <v>111</v>
      </c>
      <c r="K54" s="2" t="s">
        <v>44</v>
      </c>
      <c r="L54" s="13">
        <v>43259</v>
      </c>
      <c r="M54" s="2">
        <v>83</v>
      </c>
      <c r="N54" s="2">
        <v>55</v>
      </c>
      <c r="O54" s="2">
        <v>78</v>
      </c>
      <c r="P54" s="2">
        <v>1518</v>
      </c>
      <c r="Q54" s="2">
        <v>886</v>
      </c>
      <c r="R54" s="2">
        <v>216</v>
      </c>
      <c r="S54" s="2">
        <v>4970</v>
      </c>
      <c r="T54" s="2">
        <v>349</v>
      </c>
      <c r="U54" s="2">
        <v>290</v>
      </c>
      <c r="V54" s="12">
        <f>ABS(RPG_dataset[[#This Row],[Win Rate (%)]])</f>
        <v>93</v>
      </c>
      <c r="W54" s="2">
        <v>6161</v>
      </c>
      <c r="X54" s="9">
        <v>549107</v>
      </c>
      <c r="Y54" s="2" t="s">
        <v>46</v>
      </c>
      <c r="Z54" s="2">
        <v>226</v>
      </c>
      <c r="AA54" s="2" t="s">
        <v>1735</v>
      </c>
      <c r="AB54" s="2" t="b">
        <v>1</v>
      </c>
      <c r="AC54" s="2" t="s">
        <v>1730</v>
      </c>
      <c r="AD54" s="2" t="s">
        <v>1727</v>
      </c>
      <c r="AE54" s="2" t="s">
        <v>1728</v>
      </c>
      <c r="AF54" s="2" t="s">
        <v>1732</v>
      </c>
      <c r="AG54" s="28">
        <f>MAX(clean_data[[#This Row],[ATK]:[SPD]]) - MIN(clean_data[[#This Row],[ATK]:[SPD]])</f>
        <v>28</v>
      </c>
      <c r="AH54" s="28" t="str">
        <f>IF(clean_data[[#This Row],[Balanced Score]] = MIN(clean_data[Balanced Score]), "Most Balanced", "")</f>
        <v/>
      </c>
    </row>
    <row r="55" spans="1:42" x14ac:dyDescent="0.3">
      <c r="A55" s="2" t="s">
        <v>302</v>
      </c>
      <c r="B55" s="2" t="s">
        <v>303</v>
      </c>
      <c r="C55" s="2" t="s">
        <v>103</v>
      </c>
      <c r="D55" s="2" t="s">
        <v>304</v>
      </c>
      <c r="E55" s="2" t="s">
        <v>60</v>
      </c>
      <c r="F55" s="2" t="s">
        <v>72</v>
      </c>
      <c r="G55" s="2">
        <v>78</v>
      </c>
      <c r="H55" s="2" t="s">
        <v>62</v>
      </c>
      <c r="I55" s="2" t="s">
        <v>54</v>
      </c>
      <c r="J55" s="2" t="s">
        <v>64</v>
      </c>
      <c r="K55" s="2" t="s">
        <v>44</v>
      </c>
      <c r="L55" s="13">
        <v>43266</v>
      </c>
      <c r="M55" s="2">
        <v>10</v>
      </c>
      <c r="N55" s="2">
        <v>111</v>
      </c>
      <c r="O55" s="2">
        <v>73</v>
      </c>
      <c r="P55" s="2">
        <v>1292</v>
      </c>
      <c r="Q55" s="2">
        <v>1611</v>
      </c>
      <c r="R55" s="2">
        <v>194</v>
      </c>
      <c r="S55" s="2">
        <v>93</v>
      </c>
      <c r="T55" s="2">
        <v>606</v>
      </c>
      <c r="U55" s="2">
        <v>233</v>
      </c>
      <c r="V55" s="12">
        <f>ABS(RPG_dataset[[#This Row],[Win Rate (%)]])</f>
        <v>13</v>
      </c>
      <c r="W55" s="2">
        <v>2810</v>
      </c>
      <c r="X55" s="9">
        <v>103761</v>
      </c>
      <c r="Y55" s="2" t="s">
        <v>46</v>
      </c>
      <c r="Z55" s="2">
        <v>439</v>
      </c>
      <c r="AA55" s="2" t="s">
        <v>1737</v>
      </c>
      <c r="AB55" s="2" t="b">
        <v>1</v>
      </c>
      <c r="AC55" s="2" t="s">
        <v>1726</v>
      </c>
      <c r="AD55" s="2" t="s">
        <v>1727</v>
      </c>
      <c r="AE55" s="2" t="s">
        <v>1728</v>
      </c>
      <c r="AF55" s="2" t="s">
        <v>61</v>
      </c>
      <c r="AG55" s="28">
        <f>MAX(clean_data[[#This Row],[ATK]:[SPD]]) - MIN(clean_data[[#This Row],[ATK]:[SPD]])</f>
        <v>101</v>
      </c>
      <c r="AH55" s="28" t="str">
        <f>IF(clean_data[[#This Row],[Balanced Score]] = MIN(clean_data[Balanced Score]), "Most Balanced", "")</f>
        <v/>
      </c>
    </row>
    <row r="56" spans="1:42" x14ac:dyDescent="0.3">
      <c r="A56" s="2" t="s">
        <v>306</v>
      </c>
      <c r="B56" s="2" t="s">
        <v>307</v>
      </c>
      <c r="C56" s="2" t="s">
        <v>138</v>
      </c>
      <c r="D56" s="2" t="s">
        <v>174</v>
      </c>
      <c r="E56" s="2" t="s">
        <v>29</v>
      </c>
      <c r="F56" s="2" t="s">
        <v>72</v>
      </c>
      <c r="G56" s="2">
        <v>86</v>
      </c>
      <c r="H56" s="2" t="s">
        <v>73</v>
      </c>
      <c r="I56" s="2" t="s">
        <v>63</v>
      </c>
      <c r="J56" s="2" t="s">
        <v>33</v>
      </c>
      <c r="K56" s="2" t="s">
        <v>106</v>
      </c>
      <c r="L56" s="13">
        <v>43790</v>
      </c>
      <c r="M56" s="2">
        <v>31</v>
      </c>
      <c r="N56" s="2">
        <v>138</v>
      </c>
      <c r="O56" s="2">
        <v>140</v>
      </c>
      <c r="P56" s="2">
        <v>1603</v>
      </c>
      <c r="Q56" s="2">
        <v>2649</v>
      </c>
      <c r="R56" s="2">
        <v>309</v>
      </c>
      <c r="S56" s="2">
        <v>1340</v>
      </c>
      <c r="T56" s="2">
        <v>959</v>
      </c>
      <c r="U56" s="2">
        <v>14</v>
      </c>
      <c r="V56" s="12">
        <f>ABS(RPG_dataset[[#This Row],[Win Rate (%)]])</f>
        <v>58</v>
      </c>
      <c r="W56" s="2">
        <v>120</v>
      </c>
      <c r="X56" s="9">
        <v>458737</v>
      </c>
      <c r="Y56" s="2" t="s">
        <v>46</v>
      </c>
      <c r="Z56" s="2">
        <v>271</v>
      </c>
      <c r="AA56" s="2" t="s">
        <v>1737</v>
      </c>
      <c r="AB56" s="2" t="b">
        <v>0</v>
      </c>
      <c r="AC56" s="2" t="s">
        <v>1738</v>
      </c>
      <c r="AD56" s="2" t="s">
        <v>1727</v>
      </c>
      <c r="AE56" s="2" t="s">
        <v>1728</v>
      </c>
      <c r="AF56" s="2" t="s">
        <v>1739</v>
      </c>
      <c r="AG56" s="28">
        <f>MAX(clean_data[[#This Row],[ATK]:[SPD]]) - MIN(clean_data[[#This Row],[ATK]:[SPD]])</f>
        <v>109</v>
      </c>
      <c r="AH56" s="28" t="str">
        <f>IF(clean_data[[#This Row],[Balanced Score]] = MIN(clean_data[Balanced Score]), "Most Balanced", "")</f>
        <v/>
      </c>
    </row>
    <row r="57" spans="1:42" x14ac:dyDescent="0.3">
      <c r="A57" s="2" t="s">
        <v>309</v>
      </c>
      <c r="B57" s="2" t="s">
        <v>310</v>
      </c>
      <c r="C57" s="2" t="s">
        <v>238</v>
      </c>
      <c r="D57" s="2" t="s">
        <v>304</v>
      </c>
      <c r="E57" s="2" t="s">
        <v>41</v>
      </c>
      <c r="F57" s="2" t="s">
        <v>98</v>
      </c>
      <c r="G57" s="2">
        <v>59</v>
      </c>
      <c r="H57" s="2" t="s">
        <v>125</v>
      </c>
      <c r="I57" s="2" t="s">
        <v>54</v>
      </c>
      <c r="J57" s="2" t="s">
        <v>163</v>
      </c>
      <c r="K57" s="2" t="s">
        <v>44</v>
      </c>
      <c r="L57" s="13">
        <v>45300</v>
      </c>
      <c r="M57" s="2">
        <v>130</v>
      </c>
      <c r="N57" s="2">
        <v>51</v>
      </c>
      <c r="O57" s="2">
        <v>132</v>
      </c>
      <c r="P57" s="2">
        <v>3721</v>
      </c>
      <c r="Q57" s="2">
        <v>1004</v>
      </c>
      <c r="R57" s="2">
        <v>313</v>
      </c>
      <c r="S57" s="2">
        <v>704</v>
      </c>
      <c r="T57" s="2">
        <v>311</v>
      </c>
      <c r="U57" s="2">
        <v>202</v>
      </c>
      <c r="V57" s="12">
        <f>ABS(RPG_dataset[[#This Row],[Win Rate (%)]])</f>
        <v>69</v>
      </c>
      <c r="W57" s="2">
        <v>6192</v>
      </c>
      <c r="X57" s="9">
        <v>4499</v>
      </c>
      <c r="Y57" s="2" t="s">
        <v>36</v>
      </c>
      <c r="Z57" s="2">
        <v>483</v>
      </c>
      <c r="AA57" s="2" t="s">
        <v>1725</v>
      </c>
      <c r="AB57" s="2" t="b">
        <v>1</v>
      </c>
      <c r="AC57" s="2" t="s">
        <v>1738</v>
      </c>
      <c r="AD57" s="2" t="s">
        <v>1727</v>
      </c>
      <c r="AE57" s="2" t="s">
        <v>1728</v>
      </c>
      <c r="AF57" s="2" t="s">
        <v>1736</v>
      </c>
      <c r="AG57" s="28">
        <f>MAX(clean_data[[#This Row],[ATK]:[SPD]]) - MIN(clean_data[[#This Row],[ATK]:[SPD]])</f>
        <v>81</v>
      </c>
      <c r="AH57" s="28" t="str">
        <f>IF(clean_data[[#This Row],[Balanced Score]] = MIN(clean_data[Balanced Score]), "Most Balanced", "")</f>
        <v/>
      </c>
    </row>
    <row r="58" spans="1:42" x14ac:dyDescent="0.3">
      <c r="A58" s="2" t="s">
        <v>312</v>
      </c>
      <c r="B58" s="2" t="s">
        <v>313</v>
      </c>
      <c r="C58" s="2" t="s">
        <v>314</v>
      </c>
      <c r="D58" s="2" t="s">
        <v>50</v>
      </c>
      <c r="E58" s="2" t="s">
        <v>51</v>
      </c>
      <c r="F58" s="2" t="s">
        <v>52</v>
      </c>
      <c r="G58" s="2">
        <v>99</v>
      </c>
      <c r="H58" s="2" t="s">
        <v>157</v>
      </c>
      <c r="I58" s="2" t="s">
        <v>87</v>
      </c>
      <c r="J58" s="2" t="s">
        <v>111</v>
      </c>
      <c r="K58" s="2" t="s">
        <v>106</v>
      </c>
      <c r="L58" s="13">
        <v>43991</v>
      </c>
      <c r="M58" s="2">
        <v>110</v>
      </c>
      <c r="N58" s="2">
        <v>146</v>
      </c>
      <c r="O58" s="2">
        <v>74</v>
      </c>
      <c r="P58" s="2">
        <v>4741</v>
      </c>
      <c r="Q58" s="2">
        <v>2516</v>
      </c>
      <c r="R58" s="2">
        <v>330</v>
      </c>
      <c r="S58" s="2">
        <v>3994</v>
      </c>
      <c r="T58" s="2">
        <v>188</v>
      </c>
      <c r="U58" s="2">
        <v>53</v>
      </c>
      <c r="V58" s="12">
        <f>ABS(RPG_dataset[[#This Row],[Win Rate (%)]])</f>
        <v>96</v>
      </c>
      <c r="W58" s="2">
        <v>9659</v>
      </c>
      <c r="X58" s="9">
        <v>330527</v>
      </c>
      <c r="Y58" s="2" t="s">
        <v>36</v>
      </c>
      <c r="Z58" s="2">
        <v>344</v>
      </c>
      <c r="AA58" s="2" t="s">
        <v>1737</v>
      </c>
      <c r="AB58" s="2" t="b">
        <v>0</v>
      </c>
      <c r="AC58" s="2" t="s">
        <v>1730</v>
      </c>
      <c r="AD58" s="2" t="s">
        <v>1727</v>
      </c>
      <c r="AE58" s="2" t="s">
        <v>1731</v>
      </c>
      <c r="AF58" s="2" t="s">
        <v>1734</v>
      </c>
      <c r="AG58" s="28">
        <f>MAX(clean_data[[#This Row],[ATK]:[SPD]]) - MIN(clean_data[[#This Row],[ATK]:[SPD]])</f>
        <v>72</v>
      </c>
      <c r="AH58" s="28" t="str">
        <f>IF(clean_data[[#This Row],[Balanced Score]] = MIN(clean_data[Balanced Score]), "Most Balanced", "")</f>
        <v/>
      </c>
    </row>
    <row r="59" spans="1:42" x14ac:dyDescent="0.3">
      <c r="A59" s="2" t="s">
        <v>316</v>
      </c>
      <c r="B59" s="2" t="s">
        <v>317</v>
      </c>
      <c r="C59" s="2" t="s">
        <v>227</v>
      </c>
      <c r="D59" s="2" t="s">
        <v>59</v>
      </c>
      <c r="E59" s="2" t="s">
        <v>51</v>
      </c>
      <c r="F59" s="2" t="s">
        <v>98</v>
      </c>
      <c r="G59" s="2">
        <v>76</v>
      </c>
      <c r="H59" s="2" t="s">
        <v>31</v>
      </c>
      <c r="I59" s="2" t="s">
        <v>54</v>
      </c>
      <c r="J59" s="2" t="s">
        <v>88</v>
      </c>
      <c r="K59" s="2" t="s">
        <v>34</v>
      </c>
      <c r="L59" s="13">
        <v>44061</v>
      </c>
      <c r="M59" s="2">
        <v>103</v>
      </c>
      <c r="N59" s="2">
        <v>112</v>
      </c>
      <c r="O59" s="2">
        <v>16</v>
      </c>
      <c r="P59" s="2">
        <v>4489</v>
      </c>
      <c r="Q59" s="2">
        <v>2328</v>
      </c>
      <c r="R59" s="2"/>
      <c r="S59" s="2">
        <v>4797</v>
      </c>
      <c r="T59" s="2"/>
      <c r="U59" s="2">
        <v>6</v>
      </c>
      <c r="V59" s="12">
        <f>ABS(RPG_dataset[[#This Row],[Win Rate (%)]])</f>
        <v>93</v>
      </c>
      <c r="W59" s="2">
        <v>3634</v>
      </c>
      <c r="X59" s="9">
        <v>609620</v>
      </c>
      <c r="Y59" s="2" t="s">
        <v>46</v>
      </c>
      <c r="Z59" s="2">
        <v>200</v>
      </c>
      <c r="AA59" s="2" t="s">
        <v>1737</v>
      </c>
      <c r="AB59" s="2" t="b">
        <v>0</v>
      </c>
      <c r="AC59" s="2" t="s">
        <v>1730</v>
      </c>
      <c r="AD59" s="2" t="s">
        <v>1727</v>
      </c>
      <c r="AE59" s="2" t="s">
        <v>1728</v>
      </c>
      <c r="AF59" s="2" t="s">
        <v>1734</v>
      </c>
      <c r="AG59" s="28">
        <f>MAX(clean_data[[#This Row],[ATK]:[SPD]]) - MIN(clean_data[[#This Row],[ATK]:[SPD]])</f>
        <v>96</v>
      </c>
      <c r="AH59" s="28" t="str">
        <f>IF(clean_data[[#This Row],[Balanced Score]] = MIN(clean_data[Balanced Score]), "Most Balanced", "")</f>
        <v/>
      </c>
    </row>
    <row r="60" spans="1:42" x14ac:dyDescent="0.3">
      <c r="A60" s="2" t="s">
        <v>319</v>
      </c>
      <c r="B60" s="2" t="s">
        <v>320</v>
      </c>
      <c r="C60" s="2" t="s">
        <v>223</v>
      </c>
      <c r="D60" s="2" t="s">
        <v>104</v>
      </c>
      <c r="E60" s="2" t="s">
        <v>228</v>
      </c>
      <c r="F60" s="2" t="s">
        <v>72</v>
      </c>
      <c r="G60" s="2">
        <v>21</v>
      </c>
      <c r="H60" s="2" t="s">
        <v>80</v>
      </c>
      <c r="I60" s="2" t="s">
        <v>63</v>
      </c>
      <c r="J60" s="2" t="s">
        <v>81</v>
      </c>
      <c r="K60" s="2" t="s">
        <v>34</v>
      </c>
      <c r="L60" s="13">
        <v>44743</v>
      </c>
      <c r="M60" s="2">
        <v>100</v>
      </c>
      <c r="N60" s="2">
        <v>120</v>
      </c>
      <c r="O60" s="2">
        <v>28</v>
      </c>
      <c r="P60" s="2">
        <v>4633</v>
      </c>
      <c r="Q60" s="2">
        <v>2172</v>
      </c>
      <c r="R60" s="2">
        <v>248</v>
      </c>
      <c r="S60" s="2">
        <v>937</v>
      </c>
      <c r="T60" s="2">
        <v>987</v>
      </c>
      <c r="U60" s="2">
        <v>2</v>
      </c>
      <c r="V60" s="12">
        <f>ABS(RPG_dataset[[#This Row],[Win Rate (%)]])</f>
        <v>49</v>
      </c>
      <c r="W60" s="2">
        <v>2271</v>
      </c>
      <c r="X60" s="9">
        <v>689730</v>
      </c>
      <c r="Y60" s="2" t="s">
        <v>36</v>
      </c>
      <c r="Z60" s="2">
        <v>155</v>
      </c>
      <c r="AA60" s="2" t="s">
        <v>1735</v>
      </c>
      <c r="AB60" s="2" t="b">
        <v>0</v>
      </c>
      <c r="AC60" s="2" t="s">
        <v>1738</v>
      </c>
      <c r="AD60" s="2" t="s">
        <v>1727</v>
      </c>
      <c r="AE60" s="2" t="s">
        <v>1728</v>
      </c>
      <c r="AF60" s="2" t="s">
        <v>1734</v>
      </c>
      <c r="AG60" s="28">
        <f>MAX(clean_data[[#This Row],[ATK]:[SPD]]) - MIN(clean_data[[#This Row],[ATK]:[SPD]])</f>
        <v>92</v>
      </c>
      <c r="AH60" s="28" t="str">
        <f>IF(clean_data[[#This Row],[Balanced Score]] = MIN(clean_data[Balanced Score]), "Most Balanced", "")</f>
        <v/>
      </c>
    </row>
    <row r="61" spans="1:42" x14ac:dyDescent="0.3">
      <c r="A61" s="2" t="s">
        <v>322</v>
      </c>
      <c r="B61" s="2" t="s">
        <v>323</v>
      </c>
      <c r="C61" s="2" t="s">
        <v>118</v>
      </c>
      <c r="D61" s="2" t="s">
        <v>139</v>
      </c>
      <c r="E61" s="2" t="s">
        <v>228</v>
      </c>
      <c r="F61" s="2" t="s">
        <v>30</v>
      </c>
      <c r="G61" s="2">
        <v>86</v>
      </c>
      <c r="H61" s="2" t="s">
        <v>73</v>
      </c>
      <c r="I61" s="2" t="s">
        <v>54</v>
      </c>
      <c r="J61" s="2" t="s">
        <v>120</v>
      </c>
      <c r="K61" s="2" t="s">
        <v>34</v>
      </c>
      <c r="L61" s="13">
        <v>44565</v>
      </c>
      <c r="M61" s="2">
        <v>117</v>
      </c>
      <c r="N61" s="2">
        <v>56</v>
      </c>
      <c r="O61" s="2">
        <v>101</v>
      </c>
      <c r="P61" s="2">
        <v>2682</v>
      </c>
      <c r="Q61" s="2">
        <v>793</v>
      </c>
      <c r="R61" s="2">
        <v>274</v>
      </c>
      <c r="S61" s="2">
        <v>3735</v>
      </c>
      <c r="T61" s="2">
        <v>279</v>
      </c>
      <c r="U61" s="2">
        <v>99</v>
      </c>
      <c r="V61" s="12">
        <f>ABS(RPG_dataset[[#This Row],[Win Rate (%)]])</f>
        <v>93</v>
      </c>
      <c r="W61" s="2">
        <v>7673</v>
      </c>
      <c r="X61" s="9">
        <v>236718</v>
      </c>
      <c r="Y61" s="2" t="s">
        <v>46</v>
      </c>
      <c r="Z61" s="2">
        <v>377</v>
      </c>
      <c r="AA61" s="2" t="s">
        <v>1737</v>
      </c>
      <c r="AB61" s="2" t="b">
        <v>0</v>
      </c>
      <c r="AC61" s="2" t="s">
        <v>1730</v>
      </c>
      <c r="AD61" s="2" t="s">
        <v>1727</v>
      </c>
      <c r="AE61" s="2" t="s">
        <v>1728</v>
      </c>
      <c r="AF61" s="2" t="s">
        <v>1736</v>
      </c>
      <c r="AG61" s="28">
        <f>MAX(clean_data[[#This Row],[ATK]:[SPD]]) - MIN(clean_data[[#This Row],[ATK]:[SPD]])</f>
        <v>61</v>
      </c>
      <c r="AH61" s="28" t="str">
        <f>IF(clean_data[[#This Row],[Balanced Score]] = MIN(clean_data[Balanced Score]), "Most Balanced", "")</f>
        <v/>
      </c>
    </row>
    <row r="62" spans="1:42" x14ac:dyDescent="0.3">
      <c r="A62" s="2" t="s">
        <v>326</v>
      </c>
      <c r="B62" s="2" t="s">
        <v>327</v>
      </c>
      <c r="C62" s="2" t="s">
        <v>27</v>
      </c>
      <c r="D62" s="2" t="s">
        <v>59</v>
      </c>
      <c r="E62" s="2" t="s">
        <v>51</v>
      </c>
      <c r="F62" s="2" t="s">
        <v>124</v>
      </c>
      <c r="G62" s="2">
        <v>45</v>
      </c>
      <c r="H62" s="2" t="s">
        <v>73</v>
      </c>
      <c r="I62" s="2" t="s">
        <v>126</v>
      </c>
      <c r="J62" s="2" t="s">
        <v>163</v>
      </c>
      <c r="K62" s="2" t="s">
        <v>44</v>
      </c>
      <c r="L62" s="13">
        <v>44606</v>
      </c>
      <c r="M62" s="2">
        <v>36</v>
      </c>
      <c r="N62" s="2">
        <v>41</v>
      </c>
      <c r="O62" s="2">
        <v>13</v>
      </c>
      <c r="P62" s="2">
        <v>3343</v>
      </c>
      <c r="Q62" s="2">
        <v>1457</v>
      </c>
      <c r="R62" s="2">
        <v>90</v>
      </c>
      <c r="S62" s="2">
        <v>4076</v>
      </c>
      <c r="T62" s="2">
        <v>696</v>
      </c>
      <c r="U62" s="2">
        <v>106</v>
      </c>
      <c r="V62" s="12">
        <f>ABS(RPG_dataset[[#This Row],[Win Rate (%)]])</f>
        <v>85</v>
      </c>
      <c r="W62" s="2">
        <v>4612</v>
      </c>
      <c r="X62" s="9">
        <v>603924</v>
      </c>
      <c r="Y62" s="2" t="s">
        <v>46</v>
      </c>
      <c r="Z62" s="2">
        <v>202</v>
      </c>
      <c r="AA62" s="2" t="s">
        <v>1733</v>
      </c>
      <c r="AB62" s="2" t="b">
        <v>1</v>
      </c>
      <c r="AC62" s="2" t="s">
        <v>1730</v>
      </c>
      <c r="AD62" s="2" t="s">
        <v>1727</v>
      </c>
      <c r="AE62" s="2" t="s">
        <v>1728</v>
      </c>
      <c r="AF62" s="2" t="s">
        <v>1729</v>
      </c>
      <c r="AG62" s="28">
        <f>MAX(clean_data[[#This Row],[ATK]:[SPD]]) - MIN(clean_data[[#This Row],[ATK]:[SPD]])</f>
        <v>28</v>
      </c>
      <c r="AH62" s="28" t="str">
        <f>IF(clean_data[[#This Row],[Balanced Score]] = MIN(clean_data[Balanced Score]), "Most Balanced", "")</f>
        <v/>
      </c>
    </row>
    <row r="63" spans="1:42" x14ac:dyDescent="0.3">
      <c r="A63" s="2" t="s">
        <v>329</v>
      </c>
      <c r="B63" s="2" t="s">
        <v>330</v>
      </c>
      <c r="C63" s="2" t="s">
        <v>130</v>
      </c>
      <c r="D63" s="2" t="s">
        <v>139</v>
      </c>
      <c r="E63" s="2" t="s">
        <v>75</v>
      </c>
      <c r="F63" s="2" t="s">
        <v>30</v>
      </c>
      <c r="G63" s="2">
        <v>15</v>
      </c>
      <c r="H63" s="2" t="s">
        <v>80</v>
      </c>
      <c r="I63" s="2" t="s">
        <v>126</v>
      </c>
      <c r="J63" s="2" t="s">
        <v>120</v>
      </c>
      <c r="K63" s="2" t="s">
        <v>44</v>
      </c>
      <c r="L63" s="13">
        <v>45449</v>
      </c>
      <c r="M63" s="2">
        <v>114</v>
      </c>
      <c r="N63" s="2">
        <v>124</v>
      </c>
      <c r="O63" s="2">
        <v>37</v>
      </c>
      <c r="P63" s="2">
        <v>313</v>
      </c>
      <c r="Q63" s="2">
        <v>2917</v>
      </c>
      <c r="R63" s="2">
        <v>275</v>
      </c>
      <c r="S63" s="2">
        <v>1943</v>
      </c>
      <c r="T63" s="2">
        <v>580</v>
      </c>
      <c r="U63" s="2">
        <v>103</v>
      </c>
      <c r="V63" s="12">
        <f>ABS(RPG_dataset[[#This Row],[Win Rate (%)]])</f>
        <v>77</v>
      </c>
      <c r="W63" s="2">
        <v>1655</v>
      </c>
      <c r="X63" s="9">
        <v>517814</v>
      </c>
      <c r="Y63" s="2" t="s">
        <v>46</v>
      </c>
      <c r="Z63" s="2">
        <v>241</v>
      </c>
      <c r="AA63" s="2" t="s">
        <v>1735</v>
      </c>
      <c r="AB63" s="2" t="b">
        <v>1</v>
      </c>
      <c r="AC63" s="2" t="s">
        <v>1730</v>
      </c>
      <c r="AD63" s="2" t="s">
        <v>1727</v>
      </c>
      <c r="AE63" s="2" t="s">
        <v>1728</v>
      </c>
      <c r="AF63" s="2" t="s">
        <v>1729</v>
      </c>
      <c r="AG63" s="28">
        <f>MAX(clean_data[[#This Row],[ATK]:[SPD]]) - MIN(clean_data[[#This Row],[ATK]:[SPD]])</f>
        <v>87</v>
      </c>
      <c r="AH63" s="28" t="str">
        <f>IF(clean_data[[#This Row],[Balanced Score]] = MIN(clean_data[Balanced Score]), "Most Balanced", "")</f>
        <v/>
      </c>
    </row>
    <row r="64" spans="1:42" x14ac:dyDescent="0.3">
      <c r="A64" s="2" t="s">
        <v>334</v>
      </c>
      <c r="B64" s="2" t="s">
        <v>335</v>
      </c>
      <c r="C64" s="2" t="s">
        <v>281</v>
      </c>
      <c r="D64" s="2" t="s">
        <v>304</v>
      </c>
      <c r="E64" s="2" t="s">
        <v>41</v>
      </c>
      <c r="F64" s="2" t="s">
        <v>30</v>
      </c>
      <c r="G64" s="2">
        <v>8</v>
      </c>
      <c r="H64" s="2" t="s">
        <v>53</v>
      </c>
      <c r="I64" s="2" t="s">
        <v>126</v>
      </c>
      <c r="J64" s="2" t="s">
        <v>81</v>
      </c>
      <c r="K64" s="2" t="s">
        <v>44</v>
      </c>
      <c r="L64" s="13">
        <v>43602</v>
      </c>
      <c r="M64" s="2">
        <v>60</v>
      </c>
      <c r="N64" s="2">
        <v>93</v>
      </c>
      <c r="O64" s="2">
        <v>131</v>
      </c>
      <c r="P64" s="2">
        <v>3385</v>
      </c>
      <c r="Q64" s="2">
        <v>1427</v>
      </c>
      <c r="R64" s="2">
        <v>284</v>
      </c>
      <c r="S64" s="2">
        <v>4870</v>
      </c>
      <c r="T64" s="2">
        <v>760</v>
      </c>
      <c r="U64" s="2">
        <v>85</v>
      </c>
      <c r="V64" s="12">
        <f>ABS(RPG_dataset[[#This Row],[Win Rate (%)]])</f>
        <v>87</v>
      </c>
      <c r="W64" s="2">
        <v>5361</v>
      </c>
      <c r="X64" s="9">
        <v>3782</v>
      </c>
      <c r="Y64" s="2" t="s">
        <v>36</v>
      </c>
      <c r="Z64" s="2">
        <v>484</v>
      </c>
      <c r="AA64" s="2" t="s">
        <v>1735</v>
      </c>
      <c r="AB64" s="2" t="b">
        <v>1</v>
      </c>
      <c r="AC64" s="2" t="s">
        <v>1730</v>
      </c>
      <c r="AD64" s="2" t="s">
        <v>1727</v>
      </c>
      <c r="AE64" s="2" t="s">
        <v>1728</v>
      </c>
      <c r="AF64" s="2" t="s">
        <v>1736</v>
      </c>
      <c r="AG64" s="28">
        <f>MAX(clean_data[[#This Row],[ATK]:[SPD]]) - MIN(clean_data[[#This Row],[ATK]:[SPD]])</f>
        <v>71</v>
      </c>
      <c r="AH64" s="28" t="str">
        <f>IF(clean_data[[#This Row],[Balanced Score]] = MIN(clean_data[Balanced Score]), "Most Balanced", "")</f>
        <v/>
      </c>
    </row>
    <row r="65" spans="1:34" x14ac:dyDescent="0.3">
      <c r="A65" s="2" t="s">
        <v>337</v>
      </c>
      <c r="B65" s="2" t="s">
        <v>338</v>
      </c>
      <c r="C65" s="2" t="s">
        <v>339</v>
      </c>
      <c r="D65" s="2" t="s">
        <v>174</v>
      </c>
      <c r="E65" s="2" t="s">
        <v>71</v>
      </c>
      <c r="F65" s="2" t="s">
        <v>30</v>
      </c>
      <c r="G65" s="2">
        <v>71</v>
      </c>
      <c r="H65" s="2" t="s">
        <v>53</v>
      </c>
      <c r="I65" s="2" t="s">
        <v>54</v>
      </c>
      <c r="J65" s="2" t="s">
        <v>163</v>
      </c>
      <c r="K65" s="2" t="s">
        <v>99</v>
      </c>
      <c r="L65" s="13">
        <v>45417</v>
      </c>
      <c r="M65" s="2">
        <v>83</v>
      </c>
      <c r="N65" s="2">
        <v>87</v>
      </c>
      <c r="O65" s="2">
        <v>21</v>
      </c>
      <c r="P65" s="2">
        <v>4924</v>
      </c>
      <c r="Q65" s="2">
        <v>632</v>
      </c>
      <c r="R65" s="2">
        <v>191</v>
      </c>
      <c r="S65" s="2">
        <v>1177</v>
      </c>
      <c r="T65" s="2">
        <v>592</v>
      </c>
      <c r="U65" s="2">
        <v>68</v>
      </c>
      <c r="V65" s="12">
        <f>ABS(RPG_dataset[[#This Row],[Win Rate (%)]])</f>
        <v>67</v>
      </c>
      <c r="W65" s="2">
        <v>6583</v>
      </c>
      <c r="X65" s="9">
        <v>440999</v>
      </c>
      <c r="Y65" s="2" t="s">
        <v>46</v>
      </c>
      <c r="Z65" s="2">
        <v>287</v>
      </c>
      <c r="AA65" s="2" t="s">
        <v>1725</v>
      </c>
      <c r="AB65" s="2" t="b">
        <v>0</v>
      </c>
      <c r="AC65" s="2" t="s">
        <v>1738</v>
      </c>
      <c r="AD65" s="2" t="s">
        <v>1727</v>
      </c>
      <c r="AE65" s="2" t="s">
        <v>1728</v>
      </c>
      <c r="AF65" s="2" t="s">
        <v>61</v>
      </c>
      <c r="AG65" s="28">
        <f>MAX(clean_data[[#This Row],[ATK]:[SPD]]) - MIN(clean_data[[#This Row],[ATK]:[SPD]])</f>
        <v>66</v>
      </c>
      <c r="AH65" s="28" t="str">
        <f>IF(clean_data[[#This Row],[Balanced Score]] = MIN(clean_data[Balanced Score]), "Most Balanced", "")</f>
        <v/>
      </c>
    </row>
    <row r="66" spans="1:34" x14ac:dyDescent="0.3">
      <c r="A66" s="2" t="s">
        <v>341</v>
      </c>
      <c r="B66" s="2" t="s">
        <v>342</v>
      </c>
      <c r="C66" s="2" t="s">
        <v>138</v>
      </c>
      <c r="D66" s="2" t="s">
        <v>174</v>
      </c>
      <c r="E66" s="2" t="s">
        <v>29</v>
      </c>
      <c r="F66" s="2" t="s">
        <v>52</v>
      </c>
      <c r="G66" s="2">
        <v>13</v>
      </c>
      <c r="H66" s="2" t="s">
        <v>53</v>
      </c>
      <c r="I66" s="2" t="s">
        <v>32</v>
      </c>
      <c r="J66" s="2" t="s">
        <v>111</v>
      </c>
      <c r="K66" s="2" t="s">
        <v>99</v>
      </c>
      <c r="L66" s="13">
        <v>43175</v>
      </c>
      <c r="M66" s="2">
        <v>50</v>
      </c>
      <c r="N66" s="2">
        <v>109</v>
      </c>
      <c r="O66" s="2">
        <v>77</v>
      </c>
      <c r="P66" s="2">
        <v>4622</v>
      </c>
      <c r="Q66" s="2">
        <v>354</v>
      </c>
      <c r="R66" s="2">
        <v>236</v>
      </c>
      <c r="S66" s="2">
        <v>3455</v>
      </c>
      <c r="T66" s="2">
        <v>203</v>
      </c>
      <c r="U66" s="2">
        <v>180</v>
      </c>
      <c r="V66" s="12">
        <f>ABS(RPG_dataset[[#This Row],[Win Rate (%)]])</f>
        <v>94</v>
      </c>
      <c r="W66" s="2">
        <v>8366</v>
      </c>
      <c r="X66" s="9">
        <v>561649</v>
      </c>
      <c r="Y66" s="2" t="s">
        <v>36</v>
      </c>
      <c r="Z66" s="2">
        <v>218</v>
      </c>
      <c r="AA66" s="2" t="s">
        <v>1735</v>
      </c>
      <c r="AB66" s="2" t="b">
        <v>0</v>
      </c>
      <c r="AC66" s="2" t="s">
        <v>1730</v>
      </c>
      <c r="AD66" s="2" t="s">
        <v>1727</v>
      </c>
      <c r="AE66" s="2" t="s">
        <v>1728</v>
      </c>
      <c r="AF66" s="2" t="s">
        <v>1734</v>
      </c>
      <c r="AG66" s="28">
        <f>MAX(clean_data[[#This Row],[ATK]:[SPD]]) - MIN(clean_data[[#This Row],[ATK]:[SPD]])</f>
        <v>59</v>
      </c>
      <c r="AH66" s="28" t="str">
        <f>IF(clean_data[[#This Row],[Balanced Score]] = MIN(clean_data[Balanced Score]), "Most Balanced", "")</f>
        <v/>
      </c>
    </row>
    <row r="67" spans="1:34" x14ac:dyDescent="0.3">
      <c r="A67" s="2" t="s">
        <v>344</v>
      </c>
      <c r="B67" s="2" t="s">
        <v>345</v>
      </c>
      <c r="C67" s="2" t="s">
        <v>103</v>
      </c>
      <c r="D67" s="2" t="s">
        <v>162</v>
      </c>
      <c r="E67" s="2" t="s">
        <v>71</v>
      </c>
      <c r="F67" s="2" t="s">
        <v>42</v>
      </c>
      <c r="G67" s="2">
        <v>43</v>
      </c>
      <c r="H67" s="2" t="s">
        <v>53</v>
      </c>
      <c r="I67" s="2" t="s">
        <v>63</v>
      </c>
      <c r="J67" s="2" t="s">
        <v>33</v>
      </c>
      <c r="K67" s="2" t="s">
        <v>44</v>
      </c>
      <c r="L67" s="13">
        <v>44262</v>
      </c>
      <c r="M67" s="2">
        <v>44</v>
      </c>
      <c r="N67" s="2">
        <v>38</v>
      </c>
      <c r="O67" s="2">
        <v>85</v>
      </c>
      <c r="P67" s="2">
        <v>134</v>
      </c>
      <c r="Q67" s="2">
        <v>1128</v>
      </c>
      <c r="R67" s="2">
        <v>167</v>
      </c>
      <c r="S67" s="2">
        <v>489</v>
      </c>
      <c r="T67" s="2">
        <v>293</v>
      </c>
      <c r="U67" s="2">
        <v>235</v>
      </c>
      <c r="V67" s="12">
        <f>ABS(RPG_dataset[[#This Row],[Win Rate (%)]])</f>
        <v>63</v>
      </c>
      <c r="W67" s="2">
        <v>3990</v>
      </c>
      <c r="X67" s="9">
        <v>590957</v>
      </c>
      <c r="Y67" s="2" t="s">
        <v>36</v>
      </c>
      <c r="Z67" s="2">
        <v>206</v>
      </c>
      <c r="AA67" s="2" t="s">
        <v>1733</v>
      </c>
      <c r="AB67" s="2" t="b">
        <v>1</v>
      </c>
      <c r="AC67" s="2" t="s">
        <v>1738</v>
      </c>
      <c r="AD67" s="2" t="s">
        <v>1727</v>
      </c>
      <c r="AE67" s="2" t="s">
        <v>1728</v>
      </c>
      <c r="AF67" s="2" t="s">
        <v>1736</v>
      </c>
      <c r="AG67" s="28">
        <f>MAX(clean_data[[#This Row],[ATK]:[SPD]]) - MIN(clean_data[[#This Row],[ATK]:[SPD]])</f>
        <v>47</v>
      </c>
      <c r="AH67" s="28" t="str">
        <f>IF(clean_data[[#This Row],[Balanced Score]] = MIN(clean_data[Balanced Score]), "Most Balanced", "")</f>
        <v/>
      </c>
    </row>
    <row r="68" spans="1:34" x14ac:dyDescent="0.3">
      <c r="A68" s="2" t="s">
        <v>347</v>
      </c>
      <c r="B68" s="2" t="s">
        <v>348</v>
      </c>
      <c r="C68" s="2" t="s">
        <v>227</v>
      </c>
      <c r="D68" s="2" t="s">
        <v>349</v>
      </c>
      <c r="E68" s="2" t="s">
        <v>51</v>
      </c>
      <c r="F68" s="2" t="s">
        <v>52</v>
      </c>
      <c r="G68" s="2">
        <v>78</v>
      </c>
      <c r="H68" s="2" t="s">
        <v>80</v>
      </c>
      <c r="I68" s="2" t="s">
        <v>126</v>
      </c>
      <c r="J68" s="2" t="s">
        <v>81</v>
      </c>
      <c r="K68" s="2" t="s">
        <v>44</v>
      </c>
      <c r="L68" s="13">
        <v>44648</v>
      </c>
      <c r="M68" s="2">
        <v>108</v>
      </c>
      <c r="N68" s="2">
        <v>95</v>
      </c>
      <c r="O68" s="2">
        <v>148</v>
      </c>
      <c r="P68" s="2">
        <v>2016</v>
      </c>
      <c r="Q68" s="2">
        <v>2953</v>
      </c>
      <c r="R68" s="2">
        <v>351</v>
      </c>
      <c r="S68" s="2">
        <v>1169</v>
      </c>
      <c r="T68" s="2">
        <v>546</v>
      </c>
      <c r="U68" s="2">
        <v>204</v>
      </c>
      <c r="V68" s="12">
        <f>ABS(RPG_dataset[[#This Row],[Win Rate (%)]])</f>
        <v>68</v>
      </c>
      <c r="W68" s="2"/>
      <c r="X68" s="9">
        <v>723128</v>
      </c>
      <c r="Y68" s="2" t="s">
        <v>46</v>
      </c>
      <c r="Z68" s="2">
        <v>139</v>
      </c>
      <c r="AA68" s="2" t="s">
        <v>1737</v>
      </c>
      <c r="AB68" s="2" t="b">
        <v>0</v>
      </c>
      <c r="AC68" s="2" t="s">
        <v>1738</v>
      </c>
      <c r="AD68" s="2" t="s">
        <v>1727</v>
      </c>
      <c r="AE68" s="2" t="s">
        <v>1728</v>
      </c>
      <c r="AF68" s="2" t="s">
        <v>1736</v>
      </c>
      <c r="AG68" s="28">
        <f>MAX(clean_data[[#This Row],[ATK]:[SPD]]) - MIN(clean_data[[#This Row],[ATK]:[SPD]])</f>
        <v>53</v>
      </c>
      <c r="AH68" s="28" t="str">
        <f>IF(clean_data[[#This Row],[Balanced Score]] = MIN(clean_data[Balanced Score]), "Most Balanced", "")</f>
        <v/>
      </c>
    </row>
    <row r="69" spans="1:34" x14ac:dyDescent="0.3">
      <c r="A69" s="2" t="s">
        <v>351</v>
      </c>
      <c r="B69" s="2" t="s">
        <v>352</v>
      </c>
      <c r="C69" s="2" t="s">
        <v>353</v>
      </c>
      <c r="D69" s="2" t="s">
        <v>104</v>
      </c>
      <c r="E69" s="2" t="s">
        <v>60</v>
      </c>
      <c r="F69" s="2" t="s">
        <v>124</v>
      </c>
      <c r="G69" s="2">
        <v>59</v>
      </c>
      <c r="H69" s="2" t="s">
        <v>53</v>
      </c>
      <c r="I69" s="2" t="s">
        <v>140</v>
      </c>
      <c r="J69" s="2" t="s">
        <v>33</v>
      </c>
      <c r="K69" s="2" t="s">
        <v>99</v>
      </c>
      <c r="L69" s="13">
        <v>45330</v>
      </c>
      <c r="M69" s="2">
        <v>142</v>
      </c>
      <c r="N69" s="2">
        <v>121</v>
      </c>
      <c r="O69" s="2">
        <v>126</v>
      </c>
      <c r="P69" s="2">
        <v>1643</v>
      </c>
      <c r="Q69" s="2">
        <v>2486</v>
      </c>
      <c r="R69" s="2">
        <v>389</v>
      </c>
      <c r="S69" s="2">
        <v>3475</v>
      </c>
      <c r="T69" s="2">
        <v>553</v>
      </c>
      <c r="U69" s="2">
        <v>108</v>
      </c>
      <c r="V69" s="12">
        <f>ABS(RPG_dataset[[#This Row],[Win Rate (%)]])</f>
        <v>0</v>
      </c>
      <c r="W69" s="2">
        <v>5550</v>
      </c>
      <c r="X69" s="9">
        <v>806207</v>
      </c>
      <c r="Y69" s="2" t="s">
        <v>36</v>
      </c>
      <c r="Z69" s="2">
        <v>101</v>
      </c>
      <c r="AA69" s="2" t="s">
        <v>1725</v>
      </c>
      <c r="AB69" s="2" t="b">
        <v>0</v>
      </c>
      <c r="AC69" s="2" t="s">
        <v>1726</v>
      </c>
      <c r="AD69" s="2" t="s">
        <v>1727</v>
      </c>
      <c r="AE69" s="2" t="s">
        <v>1728</v>
      </c>
      <c r="AF69" s="2" t="s">
        <v>1740</v>
      </c>
      <c r="AG69" s="28">
        <f>MAX(clean_data[[#This Row],[ATK]:[SPD]]) - MIN(clean_data[[#This Row],[ATK]:[SPD]])</f>
        <v>21</v>
      </c>
      <c r="AH69" s="28" t="str">
        <f>IF(clean_data[[#This Row],[Balanced Score]] = MIN(clean_data[Balanced Score]), "Most Balanced", "")</f>
        <v/>
      </c>
    </row>
    <row r="70" spans="1:34" x14ac:dyDescent="0.3">
      <c r="A70" s="2" t="s">
        <v>355</v>
      </c>
      <c r="B70" s="2" t="s">
        <v>356</v>
      </c>
      <c r="C70" s="2" t="s">
        <v>130</v>
      </c>
      <c r="D70" s="2" t="s">
        <v>50</v>
      </c>
      <c r="E70" s="2" t="s">
        <v>71</v>
      </c>
      <c r="F70" s="2" t="s">
        <v>194</v>
      </c>
      <c r="G70" s="2">
        <v>53</v>
      </c>
      <c r="H70" s="2" t="s">
        <v>73</v>
      </c>
      <c r="I70" s="2" t="s">
        <v>126</v>
      </c>
      <c r="J70" s="2" t="s">
        <v>111</v>
      </c>
      <c r="K70" s="2" t="s">
        <v>99</v>
      </c>
      <c r="L70" s="13">
        <v>45408</v>
      </c>
      <c r="M70" s="2">
        <v>95</v>
      </c>
      <c r="N70" s="2">
        <v>123</v>
      </c>
      <c r="O70" s="2">
        <v>77</v>
      </c>
      <c r="P70" s="2">
        <v>1594</v>
      </c>
      <c r="Q70" s="2">
        <v>825</v>
      </c>
      <c r="R70" s="2">
        <v>295</v>
      </c>
      <c r="S70" s="2">
        <v>1900</v>
      </c>
      <c r="T70" s="2">
        <v>327</v>
      </c>
      <c r="U70" s="2">
        <v>154</v>
      </c>
      <c r="V70" s="12">
        <f>ABS(RPG_dataset[[#This Row],[Win Rate (%)]])</f>
        <v>85</v>
      </c>
      <c r="W70" s="2">
        <v>5318</v>
      </c>
      <c r="X70" s="9">
        <v>97928</v>
      </c>
      <c r="Y70" s="2" t="s">
        <v>46</v>
      </c>
      <c r="Z70" s="2">
        <v>441</v>
      </c>
      <c r="AA70" s="2" t="s">
        <v>1725</v>
      </c>
      <c r="AB70" s="2" t="b">
        <v>0</v>
      </c>
      <c r="AC70" s="2" t="s">
        <v>1730</v>
      </c>
      <c r="AD70" s="2" t="s">
        <v>1727</v>
      </c>
      <c r="AE70" s="2" t="s">
        <v>1728</v>
      </c>
      <c r="AF70" s="2" t="s">
        <v>1732</v>
      </c>
      <c r="AG70" s="28">
        <f>MAX(clean_data[[#This Row],[ATK]:[SPD]]) - MIN(clean_data[[#This Row],[ATK]:[SPD]])</f>
        <v>46</v>
      </c>
      <c r="AH70" s="28" t="str">
        <f>IF(clean_data[[#This Row],[Balanced Score]] = MIN(clean_data[Balanced Score]), "Most Balanced", "")</f>
        <v/>
      </c>
    </row>
    <row r="71" spans="1:34" x14ac:dyDescent="0.3">
      <c r="A71" s="2" t="s">
        <v>358</v>
      </c>
      <c r="B71" s="2" t="s">
        <v>359</v>
      </c>
      <c r="C71" s="2" t="s">
        <v>360</v>
      </c>
      <c r="D71" s="2" t="s">
        <v>131</v>
      </c>
      <c r="E71" s="2" t="s">
        <v>29</v>
      </c>
      <c r="F71" s="2" t="s">
        <v>98</v>
      </c>
      <c r="G71" s="2">
        <v>44</v>
      </c>
      <c r="H71" s="2" t="s">
        <v>125</v>
      </c>
      <c r="I71" s="2" t="s">
        <v>63</v>
      </c>
      <c r="J71" s="2" t="s">
        <v>64</v>
      </c>
      <c r="K71" s="2" t="s">
        <v>99</v>
      </c>
      <c r="L71" s="13">
        <v>43827</v>
      </c>
      <c r="M71" s="2">
        <v>19</v>
      </c>
      <c r="N71" s="2">
        <v>37</v>
      </c>
      <c r="O71" s="2">
        <v>58</v>
      </c>
      <c r="P71" s="2">
        <v>1414</v>
      </c>
      <c r="Q71" s="2">
        <v>1638</v>
      </c>
      <c r="R71" s="2">
        <v>114</v>
      </c>
      <c r="S71" s="2">
        <v>3483</v>
      </c>
      <c r="T71" s="2">
        <v>360</v>
      </c>
      <c r="U71" s="2">
        <v>156</v>
      </c>
      <c r="V71" s="12">
        <f>ABS(RPG_dataset[[#This Row],[Win Rate (%)]])</f>
        <v>91</v>
      </c>
      <c r="W71" s="2"/>
      <c r="X71" s="9">
        <v>712799</v>
      </c>
      <c r="Y71" s="2" t="s">
        <v>36</v>
      </c>
      <c r="Z71" s="2">
        <v>140</v>
      </c>
      <c r="AA71" s="2" t="s">
        <v>1733</v>
      </c>
      <c r="AB71" s="2" t="b">
        <v>0</v>
      </c>
      <c r="AC71" s="2" t="s">
        <v>1730</v>
      </c>
      <c r="AD71" s="2" t="s">
        <v>1727</v>
      </c>
      <c r="AE71" s="2" t="s">
        <v>1728</v>
      </c>
      <c r="AF71" s="2" t="s">
        <v>1729</v>
      </c>
      <c r="AG71" s="28">
        <f>MAX(clean_data[[#This Row],[ATK]:[SPD]]) - MIN(clean_data[[#This Row],[ATK]:[SPD]])</f>
        <v>39</v>
      </c>
      <c r="AH71" s="28" t="str">
        <f>IF(clean_data[[#This Row],[Balanced Score]] = MIN(clean_data[Balanced Score]), "Most Balanced", "")</f>
        <v/>
      </c>
    </row>
    <row r="72" spans="1:34" x14ac:dyDescent="0.3">
      <c r="A72" s="2" t="s">
        <v>362</v>
      </c>
      <c r="B72" s="2" t="s">
        <v>363</v>
      </c>
      <c r="C72" s="2" t="s">
        <v>27</v>
      </c>
      <c r="D72" s="2" t="s">
        <v>150</v>
      </c>
      <c r="E72" s="2" t="s">
        <v>75</v>
      </c>
      <c r="F72" s="2" t="s">
        <v>52</v>
      </c>
      <c r="G72" s="2">
        <v>14</v>
      </c>
      <c r="H72" s="2" t="s">
        <v>80</v>
      </c>
      <c r="I72" s="2" t="s">
        <v>54</v>
      </c>
      <c r="J72" s="2" t="s">
        <v>88</v>
      </c>
      <c r="K72" s="2" t="s">
        <v>44</v>
      </c>
      <c r="L72" s="13">
        <v>43232</v>
      </c>
      <c r="M72" s="2">
        <v>70</v>
      </c>
      <c r="N72" s="2">
        <v>36</v>
      </c>
      <c r="O72" s="2">
        <v>26</v>
      </c>
      <c r="P72" s="2">
        <v>990</v>
      </c>
      <c r="Q72" s="2">
        <v>915</v>
      </c>
      <c r="R72" s="2">
        <v>132</v>
      </c>
      <c r="S72" s="2">
        <v>4449</v>
      </c>
      <c r="T72" s="2">
        <v>314</v>
      </c>
      <c r="U72" s="2">
        <v>173</v>
      </c>
      <c r="V72" s="12">
        <f>ABS(RPG_dataset[[#This Row],[Win Rate (%)]])</f>
        <v>93</v>
      </c>
      <c r="W72" s="2">
        <v>2892</v>
      </c>
      <c r="X72" s="9">
        <v>645682</v>
      </c>
      <c r="Y72" s="2" t="s">
        <v>36</v>
      </c>
      <c r="Z72" s="2">
        <v>176</v>
      </c>
      <c r="AA72" s="2" t="s">
        <v>1735</v>
      </c>
      <c r="AB72" s="2" t="b">
        <v>1</v>
      </c>
      <c r="AC72" s="2" t="s">
        <v>1730</v>
      </c>
      <c r="AD72" s="2" t="s">
        <v>1727</v>
      </c>
      <c r="AE72" s="2" t="s">
        <v>1728</v>
      </c>
      <c r="AF72" s="2" t="s">
        <v>61</v>
      </c>
      <c r="AG72" s="28">
        <f>MAX(clean_data[[#This Row],[ATK]:[SPD]]) - MIN(clean_data[[#This Row],[ATK]:[SPD]])</f>
        <v>44</v>
      </c>
      <c r="AH72" s="28" t="str">
        <f>IF(clean_data[[#This Row],[Balanced Score]] = MIN(clean_data[Balanced Score]), "Most Balanced", "")</f>
        <v/>
      </c>
    </row>
    <row r="73" spans="1:34" x14ac:dyDescent="0.3">
      <c r="A73" s="2" t="s">
        <v>365</v>
      </c>
      <c r="B73" s="2" t="s">
        <v>366</v>
      </c>
      <c r="C73" s="2" t="s">
        <v>367</v>
      </c>
      <c r="D73" s="2" t="s">
        <v>277</v>
      </c>
      <c r="E73" s="2" t="s">
        <v>60</v>
      </c>
      <c r="F73" s="2" t="s">
        <v>124</v>
      </c>
      <c r="G73" s="2"/>
      <c r="H73" s="2" t="s">
        <v>157</v>
      </c>
      <c r="I73" s="2" t="s">
        <v>87</v>
      </c>
      <c r="J73" s="2" t="s">
        <v>64</v>
      </c>
      <c r="K73" s="2" t="s">
        <v>44</v>
      </c>
      <c r="L73" s="13">
        <v>44114</v>
      </c>
      <c r="M73" s="2">
        <v>137</v>
      </c>
      <c r="N73" s="2">
        <v>59</v>
      </c>
      <c r="O73" s="2">
        <v>133</v>
      </c>
      <c r="P73" s="2">
        <v>1131</v>
      </c>
      <c r="Q73" s="2">
        <v>2446</v>
      </c>
      <c r="R73" s="2">
        <v>329</v>
      </c>
      <c r="S73" s="2">
        <v>991</v>
      </c>
      <c r="T73" s="2">
        <v>323</v>
      </c>
      <c r="U73" s="2">
        <v>285</v>
      </c>
      <c r="V73" s="12">
        <f>ABS(RPG_dataset[[#This Row],[Win Rate (%)]])</f>
        <v>75</v>
      </c>
      <c r="W73" s="2">
        <v>3299</v>
      </c>
      <c r="X73" s="9">
        <v>338166</v>
      </c>
      <c r="Y73" s="2" t="s">
        <v>46</v>
      </c>
      <c r="Z73" s="2">
        <v>339</v>
      </c>
      <c r="AA73" s="2" t="s">
        <v>1735</v>
      </c>
      <c r="AB73" s="2" t="b">
        <v>1</v>
      </c>
      <c r="AC73" s="2" t="s">
        <v>1730</v>
      </c>
      <c r="AD73" s="2" t="s">
        <v>1727</v>
      </c>
      <c r="AE73" s="2" t="s">
        <v>1728</v>
      </c>
      <c r="AF73" s="2" t="s">
        <v>1736</v>
      </c>
      <c r="AG73" s="28">
        <f>MAX(clean_data[[#This Row],[ATK]:[SPD]]) - MIN(clean_data[[#This Row],[ATK]:[SPD]])</f>
        <v>78</v>
      </c>
      <c r="AH73" s="28" t="str">
        <f>IF(clean_data[[#This Row],[Balanced Score]] = MIN(clean_data[Balanced Score]), "Most Balanced", "")</f>
        <v/>
      </c>
    </row>
    <row r="74" spans="1:34" x14ac:dyDescent="0.3">
      <c r="A74" s="2" t="s">
        <v>369</v>
      </c>
      <c r="B74" s="2" t="s">
        <v>370</v>
      </c>
      <c r="C74" s="2" t="s">
        <v>371</v>
      </c>
      <c r="D74" s="2" t="s">
        <v>168</v>
      </c>
      <c r="E74" s="2" t="s">
        <v>169</v>
      </c>
      <c r="F74" s="2" t="s">
        <v>194</v>
      </c>
      <c r="G74" s="2">
        <v>48</v>
      </c>
      <c r="H74" s="2" t="s">
        <v>125</v>
      </c>
      <c r="I74" s="2" t="s">
        <v>63</v>
      </c>
      <c r="J74" s="2" t="s">
        <v>64</v>
      </c>
      <c r="K74" s="2" t="s">
        <v>44</v>
      </c>
      <c r="L74" s="13">
        <v>45176</v>
      </c>
      <c r="M74" s="2">
        <v>79</v>
      </c>
      <c r="N74" s="2">
        <v>29</v>
      </c>
      <c r="O74" s="2">
        <v>39</v>
      </c>
      <c r="P74" s="2">
        <v>1710</v>
      </c>
      <c r="Q74" s="2">
        <v>470</v>
      </c>
      <c r="R74" s="2"/>
      <c r="S74" s="2">
        <v>1386</v>
      </c>
      <c r="T74" s="2">
        <v>22</v>
      </c>
      <c r="U74" s="2">
        <v>45</v>
      </c>
      <c r="V74" s="12">
        <f>ABS(RPG_dataset[[#This Row],[Win Rate (%)]])</f>
        <v>98</v>
      </c>
      <c r="W74" s="2">
        <v>7516</v>
      </c>
      <c r="X74" s="9">
        <v>334038</v>
      </c>
      <c r="Y74" s="2" t="s">
        <v>36</v>
      </c>
      <c r="Z74" s="2">
        <v>342</v>
      </c>
      <c r="AA74" s="2" t="s">
        <v>1733</v>
      </c>
      <c r="AB74" s="2" t="b">
        <v>1</v>
      </c>
      <c r="AC74" s="2" t="s">
        <v>1730</v>
      </c>
      <c r="AD74" s="2" t="s">
        <v>1727</v>
      </c>
      <c r="AE74" s="2" t="s">
        <v>1728</v>
      </c>
      <c r="AF74" s="2" t="s">
        <v>1729</v>
      </c>
      <c r="AG74" s="28">
        <f>MAX(clean_data[[#This Row],[ATK]:[SPD]]) - MIN(clean_data[[#This Row],[ATK]:[SPD]])</f>
        <v>50</v>
      </c>
      <c r="AH74" s="28" t="str">
        <f>IF(clean_data[[#This Row],[Balanced Score]] = MIN(clean_data[Balanced Score]), "Most Balanced", "")</f>
        <v/>
      </c>
    </row>
    <row r="75" spans="1:34" x14ac:dyDescent="0.3">
      <c r="A75" s="2" t="s">
        <v>373</v>
      </c>
      <c r="B75" s="2" t="s">
        <v>374</v>
      </c>
      <c r="C75" s="2" t="s">
        <v>79</v>
      </c>
      <c r="D75" s="2" t="s">
        <v>304</v>
      </c>
      <c r="E75" s="2" t="s">
        <v>71</v>
      </c>
      <c r="F75" s="2" t="s">
        <v>61</v>
      </c>
      <c r="G75" s="2">
        <v>79</v>
      </c>
      <c r="H75" s="2" t="s">
        <v>31</v>
      </c>
      <c r="I75" s="2" t="s">
        <v>140</v>
      </c>
      <c r="J75" s="2" t="s">
        <v>81</v>
      </c>
      <c r="K75" s="2" t="s">
        <v>34</v>
      </c>
      <c r="L75" s="13">
        <v>43730</v>
      </c>
      <c r="M75" s="2">
        <v>60</v>
      </c>
      <c r="N75" s="2">
        <v>83</v>
      </c>
      <c r="O75" s="2">
        <v>143</v>
      </c>
      <c r="P75" s="2">
        <v>936</v>
      </c>
      <c r="Q75" s="2">
        <v>155</v>
      </c>
      <c r="R75" s="2">
        <v>286</v>
      </c>
      <c r="S75" s="2">
        <v>2291</v>
      </c>
      <c r="T75" s="2">
        <v>578</v>
      </c>
      <c r="U75" s="2">
        <v>112</v>
      </c>
      <c r="V75" s="12">
        <f>ABS(RPG_dataset[[#This Row],[Win Rate (%)]])</f>
        <v>80</v>
      </c>
      <c r="W75" s="2">
        <v>1640</v>
      </c>
      <c r="X75" s="9">
        <v>343573</v>
      </c>
      <c r="Y75" s="2" t="s">
        <v>36</v>
      </c>
      <c r="Z75" s="2">
        <v>333</v>
      </c>
      <c r="AA75" s="2" t="s">
        <v>1737</v>
      </c>
      <c r="AB75" s="2" t="b">
        <v>0</v>
      </c>
      <c r="AC75" s="2" t="s">
        <v>1730</v>
      </c>
      <c r="AD75" s="2" t="s">
        <v>1727</v>
      </c>
      <c r="AE75" s="2" t="s">
        <v>1731</v>
      </c>
      <c r="AF75" s="2" t="s">
        <v>1740</v>
      </c>
      <c r="AG75" s="28">
        <f>MAX(clean_data[[#This Row],[ATK]:[SPD]]) - MIN(clean_data[[#This Row],[ATK]:[SPD]])</f>
        <v>83</v>
      </c>
      <c r="AH75" s="28" t="str">
        <f>IF(clean_data[[#This Row],[Balanced Score]] = MIN(clean_data[Balanced Score]), "Most Balanced", "")</f>
        <v/>
      </c>
    </row>
    <row r="76" spans="1:34" x14ac:dyDescent="0.3">
      <c r="A76" s="2" t="s">
        <v>376</v>
      </c>
      <c r="B76" s="2" t="s">
        <v>1715</v>
      </c>
      <c r="C76" s="2" t="s">
        <v>167</v>
      </c>
      <c r="D76" s="2" t="s">
        <v>40</v>
      </c>
      <c r="E76" s="2" t="s">
        <v>29</v>
      </c>
      <c r="F76" s="2" t="s">
        <v>194</v>
      </c>
      <c r="G76" s="2">
        <v>73</v>
      </c>
      <c r="H76" s="2" t="s">
        <v>157</v>
      </c>
      <c r="I76" s="2" t="s">
        <v>87</v>
      </c>
      <c r="J76" s="2" t="s">
        <v>81</v>
      </c>
      <c r="K76" s="2" t="s">
        <v>99</v>
      </c>
      <c r="L76" s="13">
        <v>43912</v>
      </c>
      <c r="M76" s="2">
        <v>50</v>
      </c>
      <c r="N76" s="2">
        <v>57</v>
      </c>
      <c r="O76" s="2">
        <v>124</v>
      </c>
      <c r="P76" s="2">
        <v>3049</v>
      </c>
      <c r="Q76" s="2">
        <v>87</v>
      </c>
      <c r="R76" s="2"/>
      <c r="S76" s="2">
        <v>356</v>
      </c>
      <c r="T76" s="2">
        <v>137</v>
      </c>
      <c r="U76" s="2">
        <v>110</v>
      </c>
      <c r="V76" s="12">
        <f>ABS(RPG_dataset[[#This Row],[Win Rate (%)]])</f>
        <v>72</v>
      </c>
      <c r="W76" s="2">
        <v>6620</v>
      </c>
      <c r="X76" s="9">
        <v>187135</v>
      </c>
      <c r="Y76" s="2" t="s">
        <v>36</v>
      </c>
      <c r="Z76" s="2">
        <v>406</v>
      </c>
      <c r="AA76" s="2" t="s">
        <v>1725</v>
      </c>
      <c r="AB76" s="2" t="b">
        <v>0</v>
      </c>
      <c r="AC76" s="2" t="s">
        <v>1730</v>
      </c>
      <c r="AD76" s="2" t="s">
        <v>1727</v>
      </c>
      <c r="AE76" s="2" t="s">
        <v>1731</v>
      </c>
      <c r="AF76" s="2" t="s">
        <v>1736</v>
      </c>
      <c r="AG76" s="28">
        <f>MAX(clean_data[[#This Row],[ATK]:[SPD]]) - MIN(clean_data[[#This Row],[ATK]:[SPD]])</f>
        <v>74</v>
      </c>
      <c r="AH76" s="28" t="str">
        <f>IF(clean_data[[#This Row],[Balanced Score]] = MIN(clean_data[Balanced Score]), "Most Balanced", "")</f>
        <v/>
      </c>
    </row>
    <row r="77" spans="1:34" x14ac:dyDescent="0.3">
      <c r="A77" s="2" t="s">
        <v>380</v>
      </c>
      <c r="B77" s="2" t="s">
        <v>381</v>
      </c>
      <c r="C77" s="2" t="s">
        <v>227</v>
      </c>
      <c r="D77" s="2" t="s">
        <v>59</v>
      </c>
      <c r="E77" s="2" t="s">
        <v>75</v>
      </c>
      <c r="F77" s="2" t="s">
        <v>124</v>
      </c>
      <c r="G77" s="2">
        <v>55</v>
      </c>
      <c r="H77" s="2" t="s">
        <v>53</v>
      </c>
      <c r="I77" s="2" t="s">
        <v>32</v>
      </c>
      <c r="J77" s="2" t="s">
        <v>64</v>
      </c>
      <c r="K77" s="2" t="s">
        <v>44</v>
      </c>
      <c r="L77" s="13">
        <v>43335</v>
      </c>
      <c r="M77" s="2">
        <v>94</v>
      </c>
      <c r="N77" s="2">
        <v>134</v>
      </c>
      <c r="O77" s="2">
        <v>40</v>
      </c>
      <c r="P77" s="2">
        <v>3817</v>
      </c>
      <c r="Q77" s="2">
        <v>2511</v>
      </c>
      <c r="R77" s="2">
        <v>268</v>
      </c>
      <c r="S77" s="2">
        <v>4609</v>
      </c>
      <c r="T77" s="2"/>
      <c r="U77" s="2">
        <v>14</v>
      </c>
      <c r="V77" s="12">
        <f>ABS(RPG_dataset[[#This Row],[Win Rate (%)]])</f>
        <v>93</v>
      </c>
      <c r="W77" s="2">
        <v>1574</v>
      </c>
      <c r="X77" s="9">
        <v>598158</v>
      </c>
      <c r="Y77" s="2" t="s">
        <v>46</v>
      </c>
      <c r="Z77" s="2">
        <v>205</v>
      </c>
      <c r="AA77" s="2" t="s">
        <v>1725</v>
      </c>
      <c r="AB77" s="2" t="b">
        <v>1</v>
      </c>
      <c r="AC77" s="2" t="s">
        <v>1730</v>
      </c>
      <c r="AD77" s="2" t="s">
        <v>1727</v>
      </c>
      <c r="AE77" s="2" t="s">
        <v>1728</v>
      </c>
      <c r="AF77" s="2" t="s">
        <v>1734</v>
      </c>
      <c r="AG77" s="28">
        <f>MAX(clean_data[[#This Row],[ATK]:[SPD]]) - MIN(clean_data[[#This Row],[ATK]:[SPD]])</f>
        <v>94</v>
      </c>
      <c r="AH77" s="28" t="str">
        <f>IF(clean_data[[#This Row],[Balanced Score]] = MIN(clean_data[Balanced Score]), "Most Balanced", "")</f>
        <v/>
      </c>
    </row>
    <row r="78" spans="1:34" x14ac:dyDescent="0.3">
      <c r="A78" s="2" t="s">
        <v>383</v>
      </c>
      <c r="B78" s="2" t="s">
        <v>384</v>
      </c>
      <c r="C78" s="2" t="s">
        <v>238</v>
      </c>
      <c r="D78" s="2" t="s">
        <v>104</v>
      </c>
      <c r="E78" s="2" t="s">
        <v>41</v>
      </c>
      <c r="F78" s="2" t="s">
        <v>72</v>
      </c>
      <c r="G78" s="2">
        <v>67</v>
      </c>
      <c r="H78" s="2" t="s">
        <v>157</v>
      </c>
      <c r="I78" s="2" t="s">
        <v>74</v>
      </c>
      <c r="J78" s="2" t="s">
        <v>111</v>
      </c>
      <c r="K78" s="2" t="s">
        <v>44</v>
      </c>
      <c r="L78" s="13">
        <v>44289</v>
      </c>
      <c r="M78" s="2">
        <v>150</v>
      </c>
      <c r="N78" s="2">
        <v>49</v>
      </c>
      <c r="O78" s="2">
        <v>38</v>
      </c>
      <c r="P78" s="2">
        <v>792</v>
      </c>
      <c r="Q78" s="2"/>
      <c r="R78" s="2">
        <v>237</v>
      </c>
      <c r="S78" s="2">
        <v>4346</v>
      </c>
      <c r="T78" s="2">
        <v>287</v>
      </c>
      <c r="U78" s="2">
        <v>101</v>
      </c>
      <c r="V78" s="12">
        <f>ABS(RPG_dataset[[#This Row],[Win Rate (%)]])</f>
        <v>94</v>
      </c>
      <c r="W78" s="2">
        <v>6612</v>
      </c>
      <c r="X78" s="9">
        <v>687558</v>
      </c>
      <c r="Y78" s="2" t="s">
        <v>46</v>
      </c>
      <c r="Z78" s="2">
        <v>156</v>
      </c>
      <c r="AA78" s="2" t="s">
        <v>1725</v>
      </c>
      <c r="AB78" s="2" t="b">
        <v>1</v>
      </c>
      <c r="AC78" s="2" t="s">
        <v>1730</v>
      </c>
      <c r="AD78" s="2" t="s">
        <v>1727</v>
      </c>
      <c r="AE78" s="2" t="s">
        <v>1728</v>
      </c>
      <c r="AF78" s="2" t="s">
        <v>1729</v>
      </c>
      <c r="AG78" s="28">
        <f>MAX(clean_data[[#This Row],[ATK]:[SPD]]) - MIN(clean_data[[#This Row],[ATK]:[SPD]])</f>
        <v>112</v>
      </c>
      <c r="AH78" s="28" t="str">
        <f>IF(clean_data[[#This Row],[Balanced Score]] = MIN(clean_data[Balanced Score]), "Most Balanced", "")</f>
        <v/>
      </c>
    </row>
    <row r="79" spans="1:34" x14ac:dyDescent="0.3">
      <c r="A79" s="2" t="s">
        <v>386</v>
      </c>
      <c r="B79" s="2" t="s">
        <v>387</v>
      </c>
      <c r="C79" s="2" t="s">
        <v>223</v>
      </c>
      <c r="D79" s="2" t="s">
        <v>139</v>
      </c>
      <c r="E79" s="2" t="s">
        <v>228</v>
      </c>
      <c r="F79" s="2" t="s">
        <v>72</v>
      </c>
      <c r="G79" s="2">
        <v>6</v>
      </c>
      <c r="H79" s="2" t="s">
        <v>43</v>
      </c>
      <c r="I79" s="2" t="s">
        <v>140</v>
      </c>
      <c r="J79" s="2" t="s">
        <v>33</v>
      </c>
      <c r="K79" s="2" t="s">
        <v>99</v>
      </c>
      <c r="L79" s="13">
        <v>43164</v>
      </c>
      <c r="M79" s="2">
        <v>63</v>
      </c>
      <c r="N79" s="2">
        <v>116</v>
      </c>
      <c r="O79" s="2">
        <v>105</v>
      </c>
      <c r="P79" s="2">
        <v>4125</v>
      </c>
      <c r="Q79" s="2">
        <v>1857</v>
      </c>
      <c r="R79" s="2">
        <v>284</v>
      </c>
      <c r="S79" s="2"/>
      <c r="T79" s="2">
        <v>192</v>
      </c>
      <c r="U79" s="2">
        <v>234</v>
      </c>
      <c r="V79" s="12">
        <f>ABS(RPG_dataset[[#This Row],[Win Rate (%)]])</f>
        <v>76</v>
      </c>
      <c r="W79" s="2">
        <v>4152</v>
      </c>
      <c r="X79" s="9">
        <v>273640</v>
      </c>
      <c r="Y79" s="2" t="s">
        <v>36</v>
      </c>
      <c r="Z79" s="2">
        <v>364</v>
      </c>
      <c r="AA79" s="2" t="s">
        <v>1735</v>
      </c>
      <c r="AB79" s="2" t="b">
        <v>0</v>
      </c>
      <c r="AC79" s="2" t="s">
        <v>1730</v>
      </c>
      <c r="AD79" s="2" t="s">
        <v>1727</v>
      </c>
      <c r="AE79" s="2" t="s">
        <v>1728</v>
      </c>
      <c r="AF79" s="2" t="s">
        <v>1740</v>
      </c>
      <c r="AG79" s="28">
        <f>MAX(clean_data[[#This Row],[ATK]:[SPD]]) - MIN(clean_data[[#This Row],[ATK]:[SPD]])</f>
        <v>53</v>
      </c>
      <c r="AH79" s="28" t="str">
        <f>IF(clean_data[[#This Row],[Balanced Score]] = MIN(clean_data[Balanced Score]), "Most Balanced", "")</f>
        <v/>
      </c>
    </row>
    <row r="80" spans="1:34" x14ac:dyDescent="0.3">
      <c r="A80" s="2" t="s">
        <v>389</v>
      </c>
      <c r="B80" s="2" t="s">
        <v>390</v>
      </c>
      <c r="C80" s="2" t="s">
        <v>391</v>
      </c>
      <c r="D80" s="2" t="s">
        <v>210</v>
      </c>
      <c r="E80" s="2" t="s">
        <v>29</v>
      </c>
      <c r="F80" s="2" t="s">
        <v>61</v>
      </c>
      <c r="G80" s="2">
        <v>14</v>
      </c>
      <c r="H80" s="2" t="s">
        <v>53</v>
      </c>
      <c r="I80" s="2" t="s">
        <v>63</v>
      </c>
      <c r="J80" s="2" t="s">
        <v>33</v>
      </c>
      <c r="K80" s="2" t="s">
        <v>44</v>
      </c>
      <c r="L80" s="13">
        <v>43516</v>
      </c>
      <c r="M80" s="2">
        <v>19</v>
      </c>
      <c r="N80" s="2">
        <v>16</v>
      </c>
      <c r="O80" s="2">
        <v>84</v>
      </c>
      <c r="P80" s="2">
        <v>663</v>
      </c>
      <c r="Q80" s="2">
        <v>1083</v>
      </c>
      <c r="R80" s="2"/>
      <c r="S80" s="2">
        <v>337</v>
      </c>
      <c r="T80" s="2">
        <v>971</v>
      </c>
      <c r="U80" s="2">
        <v>83</v>
      </c>
      <c r="V80" s="12">
        <f>ABS(RPG_dataset[[#This Row],[Win Rate (%)]])</f>
        <v>26</v>
      </c>
      <c r="W80" s="2">
        <v>2570</v>
      </c>
      <c r="X80" s="9">
        <v>958221</v>
      </c>
      <c r="Y80" s="2" t="s">
        <v>36</v>
      </c>
      <c r="Z80" s="2">
        <v>21</v>
      </c>
      <c r="AA80" s="2" t="s">
        <v>1735</v>
      </c>
      <c r="AB80" s="2" t="b">
        <v>1</v>
      </c>
      <c r="AC80" s="2" t="s">
        <v>1726</v>
      </c>
      <c r="AD80" s="2" t="s">
        <v>1727</v>
      </c>
      <c r="AE80" s="2" t="s">
        <v>1728</v>
      </c>
      <c r="AF80" s="2" t="s">
        <v>1736</v>
      </c>
      <c r="AG80" s="28">
        <f>MAX(clean_data[[#This Row],[ATK]:[SPD]]) - MIN(clean_data[[#This Row],[ATK]:[SPD]])</f>
        <v>68</v>
      </c>
      <c r="AH80" s="28" t="str">
        <f>IF(clean_data[[#This Row],[Balanced Score]] = MIN(clean_data[Balanced Score]), "Most Balanced", "")</f>
        <v/>
      </c>
    </row>
    <row r="81" spans="1:34" x14ac:dyDescent="0.3">
      <c r="A81" s="2" t="s">
        <v>393</v>
      </c>
      <c r="B81" s="2" t="s">
        <v>394</v>
      </c>
      <c r="C81" s="2" t="s">
        <v>58</v>
      </c>
      <c r="D81" s="2" t="s">
        <v>349</v>
      </c>
      <c r="E81" s="2" t="s">
        <v>228</v>
      </c>
      <c r="F81" s="2" t="s">
        <v>61</v>
      </c>
      <c r="G81" s="2">
        <v>6</v>
      </c>
      <c r="H81" s="2" t="s">
        <v>62</v>
      </c>
      <c r="I81" s="2" t="s">
        <v>54</v>
      </c>
      <c r="J81" s="2" t="s">
        <v>111</v>
      </c>
      <c r="K81" s="2" t="s">
        <v>44</v>
      </c>
      <c r="L81" s="13">
        <v>44934</v>
      </c>
      <c r="M81" s="2">
        <v>60</v>
      </c>
      <c r="N81" s="2">
        <v>57</v>
      </c>
      <c r="O81" s="2">
        <v>26</v>
      </c>
      <c r="P81" s="2">
        <v>523</v>
      </c>
      <c r="Q81" s="2">
        <v>2390</v>
      </c>
      <c r="R81" s="2">
        <v>143</v>
      </c>
      <c r="S81" s="2">
        <v>2412</v>
      </c>
      <c r="T81" s="2">
        <v>577</v>
      </c>
      <c r="U81" s="2">
        <v>56</v>
      </c>
      <c r="V81" s="12">
        <f>ABS(RPG_dataset[[#This Row],[Win Rate (%)]])</f>
        <v>81</v>
      </c>
      <c r="W81" s="2">
        <v>3074</v>
      </c>
      <c r="X81" s="9">
        <v>663012</v>
      </c>
      <c r="Y81" s="2" t="s">
        <v>36</v>
      </c>
      <c r="Z81" s="2">
        <v>168</v>
      </c>
      <c r="AA81" s="2" t="s">
        <v>1735</v>
      </c>
      <c r="AB81" s="2" t="b">
        <v>1</v>
      </c>
      <c r="AC81" s="2" t="s">
        <v>1730</v>
      </c>
      <c r="AD81" s="2" t="s">
        <v>1727</v>
      </c>
      <c r="AE81" s="2" t="s">
        <v>1728</v>
      </c>
      <c r="AF81" s="2" t="s">
        <v>61</v>
      </c>
      <c r="AG81" s="28">
        <f>MAX(clean_data[[#This Row],[ATK]:[SPD]]) - MIN(clean_data[[#This Row],[ATK]:[SPD]])</f>
        <v>34</v>
      </c>
      <c r="AH81" s="28" t="str">
        <f>IF(clean_data[[#This Row],[Balanced Score]] = MIN(clean_data[Balanced Score]), "Most Balanced", "")</f>
        <v/>
      </c>
    </row>
    <row r="82" spans="1:34" x14ac:dyDescent="0.3">
      <c r="A82" s="2" t="s">
        <v>396</v>
      </c>
      <c r="B82" s="2" t="s">
        <v>397</v>
      </c>
      <c r="C82" s="2" t="s">
        <v>276</v>
      </c>
      <c r="D82" s="2" t="s">
        <v>139</v>
      </c>
      <c r="E82" s="2" t="s">
        <v>105</v>
      </c>
      <c r="F82" s="2" t="s">
        <v>61</v>
      </c>
      <c r="G82" s="2">
        <v>21</v>
      </c>
      <c r="H82" s="2" t="s">
        <v>157</v>
      </c>
      <c r="I82" s="2" t="s">
        <v>126</v>
      </c>
      <c r="J82" s="2" t="s">
        <v>120</v>
      </c>
      <c r="K82" s="2" t="s">
        <v>106</v>
      </c>
      <c r="L82" s="13">
        <v>43452</v>
      </c>
      <c r="M82" s="2">
        <v>51</v>
      </c>
      <c r="N82" s="2">
        <v>114</v>
      </c>
      <c r="O82" s="2">
        <v>40</v>
      </c>
      <c r="P82" s="2">
        <v>2864</v>
      </c>
      <c r="Q82" s="2">
        <v>1943</v>
      </c>
      <c r="R82" s="2">
        <v>205</v>
      </c>
      <c r="S82" s="2">
        <v>4637</v>
      </c>
      <c r="T82" s="2">
        <v>354</v>
      </c>
      <c r="U82" s="2">
        <v>244</v>
      </c>
      <c r="V82" s="12">
        <f>ABS(RPG_dataset[[#This Row],[Win Rate (%)]])</f>
        <v>93</v>
      </c>
      <c r="W82" s="2">
        <v>1325</v>
      </c>
      <c r="X82" s="9">
        <v>323751</v>
      </c>
      <c r="Y82" s="2" t="s">
        <v>36</v>
      </c>
      <c r="Z82" s="2">
        <v>345</v>
      </c>
      <c r="AA82" s="2" t="s">
        <v>1735</v>
      </c>
      <c r="AB82" s="2" t="b">
        <v>0</v>
      </c>
      <c r="AC82" s="2" t="s">
        <v>1730</v>
      </c>
      <c r="AD82" s="2" t="s">
        <v>1727</v>
      </c>
      <c r="AE82" s="2" t="s">
        <v>1728</v>
      </c>
      <c r="AF82" s="2" t="s">
        <v>1729</v>
      </c>
      <c r="AG82" s="28">
        <f>MAX(clean_data[[#This Row],[ATK]:[SPD]]) - MIN(clean_data[[#This Row],[ATK]:[SPD]])</f>
        <v>74</v>
      </c>
      <c r="AH82" s="28" t="str">
        <f>IF(clean_data[[#This Row],[Balanced Score]] = MIN(clean_data[Balanced Score]), "Most Balanced", "")</f>
        <v/>
      </c>
    </row>
    <row r="83" spans="1:34" x14ac:dyDescent="0.3">
      <c r="A83" s="2" t="s">
        <v>399</v>
      </c>
      <c r="B83" s="2" t="s">
        <v>400</v>
      </c>
      <c r="C83" s="2" t="s">
        <v>238</v>
      </c>
      <c r="D83" s="2" t="s">
        <v>401</v>
      </c>
      <c r="E83" s="2" t="s">
        <v>51</v>
      </c>
      <c r="F83" s="2" t="s">
        <v>52</v>
      </c>
      <c r="G83" s="2"/>
      <c r="H83" s="2" t="s">
        <v>31</v>
      </c>
      <c r="I83" s="2" t="s">
        <v>63</v>
      </c>
      <c r="J83" s="2" t="s">
        <v>163</v>
      </c>
      <c r="K83" s="2" t="s">
        <v>34</v>
      </c>
      <c r="L83" s="13">
        <v>43406</v>
      </c>
      <c r="M83" s="2">
        <v>27</v>
      </c>
      <c r="N83" s="2">
        <v>40</v>
      </c>
      <c r="O83" s="2">
        <v>126</v>
      </c>
      <c r="P83" s="2">
        <v>1331</v>
      </c>
      <c r="Q83" s="2">
        <v>2652</v>
      </c>
      <c r="R83" s="2">
        <v>193</v>
      </c>
      <c r="S83" s="2">
        <v>4353</v>
      </c>
      <c r="T83" s="2">
        <v>781</v>
      </c>
      <c r="U83" s="2">
        <v>230</v>
      </c>
      <c r="V83" s="12">
        <f>ABS(RPG_dataset[[#This Row],[Win Rate (%)]])</f>
        <v>85</v>
      </c>
      <c r="W83" s="2">
        <v>1690</v>
      </c>
      <c r="X83" s="9">
        <v>427075</v>
      </c>
      <c r="Y83" s="2" t="s">
        <v>46</v>
      </c>
      <c r="Z83" s="2">
        <v>291</v>
      </c>
      <c r="AA83" s="2" t="s">
        <v>1735</v>
      </c>
      <c r="AB83" s="2" t="b">
        <v>0</v>
      </c>
      <c r="AC83" s="2" t="s">
        <v>1730</v>
      </c>
      <c r="AD83" s="2" t="s">
        <v>1727</v>
      </c>
      <c r="AE83" s="2" t="s">
        <v>1728</v>
      </c>
      <c r="AF83" s="2" t="s">
        <v>1736</v>
      </c>
      <c r="AG83" s="28">
        <f>MAX(clean_data[[#This Row],[ATK]:[SPD]]) - MIN(clean_data[[#This Row],[ATK]:[SPD]])</f>
        <v>99</v>
      </c>
      <c r="AH83" s="28" t="str">
        <f>IF(clean_data[[#This Row],[Balanced Score]] = MIN(clean_data[Balanced Score]), "Most Balanced", "")</f>
        <v/>
      </c>
    </row>
    <row r="84" spans="1:34" x14ac:dyDescent="0.3">
      <c r="A84" s="2" t="s">
        <v>403</v>
      </c>
      <c r="B84" s="2" t="s">
        <v>404</v>
      </c>
      <c r="C84" s="2" t="s">
        <v>339</v>
      </c>
      <c r="D84" s="2" t="s">
        <v>254</v>
      </c>
      <c r="E84" s="2" t="s">
        <v>51</v>
      </c>
      <c r="F84" s="2" t="s">
        <v>52</v>
      </c>
      <c r="G84" s="2">
        <v>1</v>
      </c>
      <c r="H84" s="2" t="s">
        <v>157</v>
      </c>
      <c r="I84" s="2" t="s">
        <v>74</v>
      </c>
      <c r="J84" s="2" t="s">
        <v>163</v>
      </c>
      <c r="K84" s="2" t="s">
        <v>44</v>
      </c>
      <c r="L84" s="13">
        <v>44391</v>
      </c>
      <c r="M84" s="2">
        <v>55</v>
      </c>
      <c r="N84" s="2">
        <v>48</v>
      </c>
      <c r="O84" s="2">
        <v>88</v>
      </c>
      <c r="P84" s="2">
        <v>4591</v>
      </c>
      <c r="Q84" s="2">
        <v>2348</v>
      </c>
      <c r="R84" s="2">
        <v>191</v>
      </c>
      <c r="S84" s="2">
        <v>3841</v>
      </c>
      <c r="T84" s="2">
        <v>398</v>
      </c>
      <c r="U84" s="2">
        <v>195</v>
      </c>
      <c r="V84" s="12">
        <f>ABS(RPG_dataset[[#This Row],[Win Rate (%)]])</f>
        <v>91</v>
      </c>
      <c r="W84" s="2">
        <v>7754</v>
      </c>
      <c r="X84" s="9">
        <v>681262</v>
      </c>
      <c r="Y84" s="2" t="s">
        <v>46</v>
      </c>
      <c r="Z84" s="2">
        <v>159</v>
      </c>
      <c r="AA84" s="2" t="s">
        <v>1735</v>
      </c>
      <c r="AB84" s="2" t="b">
        <v>1</v>
      </c>
      <c r="AC84" s="2" t="s">
        <v>1730</v>
      </c>
      <c r="AD84" s="2" t="s">
        <v>1727</v>
      </c>
      <c r="AE84" s="2" t="s">
        <v>1728</v>
      </c>
      <c r="AF84" s="2" t="s">
        <v>1736</v>
      </c>
      <c r="AG84" s="28">
        <f>MAX(clean_data[[#This Row],[ATK]:[SPD]]) - MIN(clean_data[[#This Row],[ATK]:[SPD]])</f>
        <v>40</v>
      </c>
      <c r="AH84" s="28" t="str">
        <f>IF(clean_data[[#This Row],[Balanced Score]] = MIN(clean_data[Balanced Score]), "Most Balanced", "")</f>
        <v/>
      </c>
    </row>
    <row r="85" spans="1:34" x14ac:dyDescent="0.3">
      <c r="A85" s="2" t="s">
        <v>406</v>
      </c>
      <c r="B85" s="2" t="s">
        <v>407</v>
      </c>
      <c r="C85" s="2" t="s">
        <v>167</v>
      </c>
      <c r="D85" s="2" t="s">
        <v>59</v>
      </c>
      <c r="E85" s="2" t="s">
        <v>60</v>
      </c>
      <c r="F85" s="2" t="s">
        <v>194</v>
      </c>
      <c r="G85" s="2">
        <v>87</v>
      </c>
      <c r="H85" s="2" t="s">
        <v>73</v>
      </c>
      <c r="I85" s="2" t="s">
        <v>32</v>
      </c>
      <c r="J85" s="2" t="s">
        <v>33</v>
      </c>
      <c r="K85" s="2" t="s">
        <v>106</v>
      </c>
      <c r="L85" s="13">
        <v>45129</v>
      </c>
      <c r="M85" s="2">
        <v>30</v>
      </c>
      <c r="N85" s="2">
        <v>78</v>
      </c>
      <c r="O85" s="2">
        <v>14</v>
      </c>
      <c r="P85" s="2">
        <v>3662</v>
      </c>
      <c r="Q85" s="2">
        <v>955</v>
      </c>
      <c r="R85" s="2">
        <v>122</v>
      </c>
      <c r="S85" s="2">
        <v>2589</v>
      </c>
      <c r="T85" s="2">
        <v>389</v>
      </c>
      <c r="U85" s="2">
        <v>224</v>
      </c>
      <c r="V85" s="12">
        <f>ABS(RPG_dataset[[#This Row],[Win Rate (%)]])</f>
        <v>87</v>
      </c>
      <c r="W85" s="2"/>
      <c r="X85" s="9">
        <v>759563</v>
      </c>
      <c r="Y85" s="2" t="s">
        <v>46</v>
      </c>
      <c r="Z85" s="2">
        <v>125</v>
      </c>
      <c r="AA85" s="2" t="s">
        <v>1737</v>
      </c>
      <c r="AB85" s="2" t="b">
        <v>0</v>
      </c>
      <c r="AC85" s="2" t="s">
        <v>1730</v>
      </c>
      <c r="AD85" s="2" t="s">
        <v>1727</v>
      </c>
      <c r="AE85" s="2" t="s">
        <v>1728</v>
      </c>
      <c r="AF85" s="2" t="s">
        <v>1729</v>
      </c>
      <c r="AG85" s="28">
        <f>MAX(clean_data[[#This Row],[ATK]:[SPD]]) - MIN(clean_data[[#This Row],[ATK]:[SPD]])</f>
        <v>64</v>
      </c>
      <c r="AH85" s="28" t="str">
        <f>IF(clean_data[[#This Row],[Balanced Score]] = MIN(clean_data[Balanced Score]), "Most Balanced", "")</f>
        <v/>
      </c>
    </row>
    <row r="86" spans="1:34" x14ac:dyDescent="0.3">
      <c r="A86" s="2" t="s">
        <v>409</v>
      </c>
      <c r="B86" s="2" t="s">
        <v>410</v>
      </c>
      <c r="C86" s="2" t="s">
        <v>118</v>
      </c>
      <c r="D86" s="2" t="s">
        <v>75</v>
      </c>
      <c r="E86" s="2" t="s">
        <v>71</v>
      </c>
      <c r="F86" s="2" t="s">
        <v>75</v>
      </c>
      <c r="G86" s="2">
        <v>31</v>
      </c>
      <c r="H86" s="2" t="s">
        <v>125</v>
      </c>
      <c r="I86" s="2" t="s">
        <v>54</v>
      </c>
      <c r="J86" s="2" t="s">
        <v>92</v>
      </c>
      <c r="K86" s="2" t="s">
        <v>106</v>
      </c>
      <c r="L86" s="13">
        <v>45293</v>
      </c>
      <c r="M86" s="2">
        <v>71</v>
      </c>
      <c r="N86" s="2">
        <v>27</v>
      </c>
      <c r="O86" s="2">
        <v>18</v>
      </c>
      <c r="P86" s="2">
        <v>4401</v>
      </c>
      <c r="Q86" s="2">
        <v>2028</v>
      </c>
      <c r="R86" s="2">
        <v>116</v>
      </c>
      <c r="S86" s="2">
        <v>4217</v>
      </c>
      <c r="T86" s="2">
        <v>786</v>
      </c>
      <c r="U86" s="2">
        <v>299</v>
      </c>
      <c r="V86" s="12">
        <f>ABS(RPG_dataset[[#This Row],[Win Rate (%)]])</f>
        <v>84</v>
      </c>
      <c r="W86" s="2">
        <v>3538</v>
      </c>
      <c r="X86" s="9">
        <v>809708</v>
      </c>
      <c r="Y86" s="2" t="s">
        <v>46</v>
      </c>
      <c r="Z86" s="2">
        <v>100</v>
      </c>
      <c r="AA86" s="2" t="s">
        <v>1733</v>
      </c>
      <c r="AB86" s="2" t="b">
        <v>0</v>
      </c>
      <c r="AC86" s="2" t="s">
        <v>1730</v>
      </c>
      <c r="AD86" s="2" t="s">
        <v>1727</v>
      </c>
      <c r="AE86" s="2" t="s">
        <v>1728</v>
      </c>
      <c r="AF86" s="2" t="s">
        <v>61</v>
      </c>
      <c r="AG86" s="28">
        <f>MAX(clean_data[[#This Row],[ATK]:[SPD]]) - MIN(clean_data[[#This Row],[ATK]:[SPD]])</f>
        <v>53</v>
      </c>
      <c r="AH86" s="28" t="str">
        <f>IF(clean_data[[#This Row],[Balanced Score]] = MIN(clean_data[Balanced Score]), "Most Balanced", "")</f>
        <v/>
      </c>
    </row>
    <row r="87" spans="1:34" x14ac:dyDescent="0.3">
      <c r="A87" s="2" t="s">
        <v>412</v>
      </c>
      <c r="B87" s="2" t="s">
        <v>413</v>
      </c>
      <c r="C87" s="2" t="s">
        <v>110</v>
      </c>
      <c r="D87" s="2" t="s">
        <v>250</v>
      </c>
      <c r="E87" s="2" t="s">
        <v>60</v>
      </c>
      <c r="F87" s="2" t="s">
        <v>124</v>
      </c>
      <c r="G87" s="2">
        <v>21</v>
      </c>
      <c r="H87" s="2" t="s">
        <v>62</v>
      </c>
      <c r="I87" s="2" t="s">
        <v>54</v>
      </c>
      <c r="J87" s="2" t="s">
        <v>81</v>
      </c>
      <c r="K87" s="2" t="s">
        <v>99</v>
      </c>
      <c r="L87" s="13">
        <v>44170</v>
      </c>
      <c r="M87" s="2">
        <v>125</v>
      </c>
      <c r="N87" s="2">
        <v>141</v>
      </c>
      <c r="O87" s="2">
        <v>39</v>
      </c>
      <c r="P87" s="2">
        <v>2390</v>
      </c>
      <c r="Q87" s="2">
        <v>2139</v>
      </c>
      <c r="R87" s="2">
        <v>305</v>
      </c>
      <c r="S87" s="2">
        <v>1406</v>
      </c>
      <c r="T87" s="2">
        <v>506</v>
      </c>
      <c r="U87" s="2">
        <v>28</v>
      </c>
      <c r="V87" s="12">
        <f>ABS(RPG_dataset[[#This Row],[Win Rate (%)]])</f>
        <v>74</v>
      </c>
      <c r="W87" s="2">
        <v>5054</v>
      </c>
      <c r="X87" s="9">
        <v>456301</v>
      </c>
      <c r="Y87" s="2" t="s">
        <v>36</v>
      </c>
      <c r="Z87" s="2">
        <v>273</v>
      </c>
      <c r="AA87" s="2" t="s">
        <v>1735</v>
      </c>
      <c r="AB87" s="2" t="b">
        <v>0</v>
      </c>
      <c r="AC87" s="2" t="s">
        <v>1730</v>
      </c>
      <c r="AD87" s="2" t="s">
        <v>1727</v>
      </c>
      <c r="AE87" s="2" t="s">
        <v>1728</v>
      </c>
      <c r="AF87" s="2" t="s">
        <v>61</v>
      </c>
      <c r="AG87" s="28">
        <f>MAX(clean_data[[#This Row],[ATK]:[SPD]]) - MIN(clean_data[[#This Row],[ATK]:[SPD]])</f>
        <v>102</v>
      </c>
      <c r="AH87" s="28" t="str">
        <f>IF(clean_data[[#This Row],[Balanced Score]] = MIN(clean_data[Balanced Score]), "Most Balanced", "")</f>
        <v/>
      </c>
    </row>
    <row r="88" spans="1:34" x14ac:dyDescent="0.3">
      <c r="A88" s="2" t="s">
        <v>416</v>
      </c>
      <c r="B88" s="2" t="s">
        <v>417</v>
      </c>
      <c r="C88" s="2" t="s">
        <v>58</v>
      </c>
      <c r="D88" s="2" t="s">
        <v>59</v>
      </c>
      <c r="E88" s="2" t="s">
        <v>71</v>
      </c>
      <c r="F88" s="2" t="s">
        <v>98</v>
      </c>
      <c r="G88" s="2">
        <v>43</v>
      </c>
      <c r="H88" s="2" t="s">
        <v>62</v>
      </c>
      <c r="I88" s="2" t="s">
        <v>87</v>
      </c>
      <c r="J88" s="2" t="s">
        <v>81</v>
      </c>
      <c r="K88" s="2" t="s">
        <v>44</v>
      </c>
      <c r="L88" s="13">
        <v>44475</v>
      </c>
      <c r="M88" s="2">
        <v>12</v>
      </c>
      <c r="N88" s="2">
        <v>92</v>
      </c>
      <c r="O88" s="2">
        <v>75</v>
      </c>
      <c r="P88" s="2">
        <v>4908</v>
      </c>
      <c r="Q88" s="2">
        <v>486</v>
      </c>
      <c r="R88" s="2">
        <v>179</v>
      </c>
      <c r="S88" s="2">
        <v>4210</v>
      </c>
      <c r="T88" s="2">
        <v>460</v>
      </c>
      <c r="U88" s="2">
        <v>235</v>
      </c>
      <c r="V88" s="12">
        <f>ABS(RPG_dataset[[#This Row],[Win Rate (%)]])</f>
        <v>90</v>
      </c>
      <c r="W88" s="2">
        <v>3122</v>
      </c>
      <c r="X88" s="9">
        <v>552192</v>
      </c>
      <c r="Y88" s="2" t="s">
        <v>36</v>
      </c>
      <c r="Z88" s="2">
        <v>223</v>
      </c>
      <c r="AA88" s="2" t="s">
        <v>1733</v>
      </c>
      <c r="AB88" s="2" t="b">
        <v>1</v>
      </c>
      <c r="AC88" s="2" t="s">
        <v>1730</v>
      </c>
      <c r="AD88" s="2" t="s">
        <v>1727</v>
      </c>
      <c r="AE88" s="2" t="s">
        <v>1728</v>
      </c>
      <c r="AF88" s="2" t="s">
        <v>1734</v>
      </c>
      <c r="AG88" s="28">
        <f>MAX(clean_data[[#This Row],[ATK]:[SPD]]) - MIN(clean_data[[#This Row],[ATK]:[SPD]])</f>
        <v>80</v>
      </c>
      <c r="AH88" s="28" t="str">
        <f>IF(clean_data[[#This Row],[Balanced Score]] = MIN(clean_data[Balanced Score]), "Most Balanced", "")</f>
        <v/>
      </c>
    </row>
    <row r="89" spans="1:34" x14ac:dyDescent="0.3">
      <c r="A89" s="2" t="s">
        <v>419</v>
      </c>
      <c r="B89" s="2" t="s">
        <v>420</v>
      </c>
      <c r="C89" s="2" t="s">
        <v>281</v>
      </c>
      <c r="D89" s="2" t="s">
        <v>401</v>
      </c>
      <c r="E89" s="2" t="s">
        <v>60</v>
      </c>
      <c r="F89" s="2" t="s">
        <v>42</v>
      </c>
      <c r="G89" s="2">
        <v>63</v>
      </c>
      <c r="H89" s="2" t="s">
        <v>80</v>
      </c>
      <c r="I89" s="2" t="s">
        <v>63</v>
      </c>
      <c r="J89" s="2" t="s">
        <v>64</v>
      </c>
      <c r="K89" s="2" t="s">
        <v>34</v>
      </c>
      <c r="L89" s="13">
        <v>44157</v>
      </c>
      <c r="M89" s="2">
        <v>122</v>
      </c>
      <c r="N89" s="2">
        <v>111</v>
      </c>
      <c r="O89" s="2">
        <v>108</v>
      </c>
      <c r="P89" s="2">
        <v>4266</v>
      </c>
      <c r="Q89" s="2">
        <v>1928</v>
      </c>
      <c r="R89" s="2">
        <v>341</v>
      </c>
      <c r="S89" s="2">
        <v>1029</v>
      </c>
      <c r="T89" s="2">
        <v>374</v>
      </c>
      <c r="U89" s="2">
        <v>50</v>
      </c>
      <c r="V89" s="12">
        <f>ABS(RPG_dataset[[#This Row],[Win Rate (%)]])</f>
        <v>73</v>
      </c>
      <c r="W89" s="2">
        <v>6883</v>
      </c>
      <c r="X89" s="9">
        <v>408029</v>
      </c>
      <c r="Y89" s="2" t="s">
        <v>36</v>
      </c>
      <c r="Z89" s="2">
        <v>301</v>
      </c>
      <c r="AA89" s="2" t="s">
        <v>1725</v>
      </c>
      <c r="AB89" s="2" t="b">
        <v>0</v>
      </c>
      <c r="AC89" s="2" t="s">
        <v>1730</v>
      </c>
      <c r="AD89" s="2" t="s">
        <v>1727</v>
      </c>
      <c r="AE89" s="2" t="s">
        <v>1731</v>
      </c>
      <c r="AF89" s="2" t="s">
        <v>1736</v>
      </c>
      <c r="AG89" s="28">
        <f>MAX(clean_data[[#This Row],[ATK]:[SPD]]) - MIN(clean_data[[#This Row],[ATK]:[SPD]])</f>
        <v>14</v>
      </c>
      <c r="AH89" s="28" t="str">
        <f>IF(clean_data[[#This Row],[Balanced Score]] = MIN(clean_data[Balanced Score]), "Most Balanced", "")</f>
        <v/>
      </c>
    </row>
    <row r="90" spans="1:34" x14ac:dyDescent="0.3">
      <c r="A90" s="2" t="s">
        <v>422</v>
      </c>
      <c r="B90" s="2" t="s">
        <v>423</v>
      </c>
      <c r="C90" s="2" t="s">
        <v>253</v>
      </c>
      <c r="D90" s="2" t="s">
        <v>234</v>
      </c>
      <c r="E90" s="2" t="s">
        <v>41</v>
      </c>
      <c r="F90" s="2" t="s">
        <v>30</v>
      </c>
      <c r="G90" s="2"/>
      <c r="H90" s="2" t="s">
        <v>125</v>
      </c>
      <c r="I90" s="2" t="s">
        <v>32</v>
      </c>
      <c r="J90" s="2" t="s">
        <v>33</v>
      </c>
      <c r="K90" s="2" t="s">
        <v>44</v>
      </c>
      <c r="L90" s="13">
        <v>43597</v>
      </c>
      <c r="M90" s="2">
        <v>102</v>
      </c>
      <c r="N90" s="2">
        <v>150</v>
      </c>
      <c r="O90" s="2">
        <v>45</v>
      </c>
      <c r="P90" s="2">
        <v>1762</v>
      </c>
      <c r="Q90" s="2">
        <v>184</v>
      </c>
      <c r="R90" s="2">
        <v>297</v>
      </c>
      <c r="S90" s="2">
        <v>2246</v>
      </c>
      <c r="T90" s="2">
        <v>642</v>
      </c>
      <c r="U90" s="2">
        <v>1</v>
      </c>
      <c r="V90" s="12">
        <f>ABS(RPG_dataset[[#This Row],[Win Rate (%)]])</f>
        <v>78</v>
      </c>
      <c r="W90" s="2">
        <v>3917</v>
      </c>
      <c r="X90" s="9">
        <v>575625</v>
      </c>
      <c r="Y90" s="2" t="s">
        <v>36</v>
      </c>
      <c r="Z90" s="2">
        <v>213</v>
      </c>
      <c r="AA90" s="2" t="s">
        <v>1735</v>
      </c>
      <c r="AB90" s="2" t="b">
        <v>1</v>
      </c>
      <c r="AC90" s="2" t="s">
        <v>1730</v>
      </c>
      <c r="AD90" s="2" t="s">
        <v>1727</v>
      </c>
      <c r="AE90" s="2" t="s">
        <v>1728</v>
      </c>
      <c r="AF90" s="2" t="s">
        <v>1729</v>
      </c>
      <c r="AG90" s="28">
        <f>MAX(clean_data[[#This Row],[ATK]:[SPD]]) - MIN(clean_data[[#This Row],[ATK]:[SPD]])</f>
        <v>105</v>
      </c>
      <c r="AH90" s="28" t="str">
        <f>IF(clean_data[[#This Row],[Balanced Score]] = MIN(clean_data[Balanced Score]), "Most Balanced", "")</f>
        <v/>
      </c>
    </row>
    <row r="91" spans="1:34" x14ac:dyDescent="0.3">
      <c r="A91" s="2" t="s">
        <v>425</v>
      </c>
      <c r="B91" s="2" t="s">
        <v>426</v>
      </c>
      <c r="C91" s="2" t="s">
        <v>517</v>
      </c>
      <c r="D91" s="2" t="s">
        <v>272</v>
      </c>
      <c r="E91" s="2" t="s">
        <v>60</v>
      </c>
      <c r="F91" s="2" t="s">
        <v>194</v>
      </c>
      <c r="G91" s="2">
        <v>25</v>
      </c>
      <c r="H91" s="2" t="s">
        <v>157</v>
      </c>
      <c r="I91" s="2" t="s">
        <v>32</v>
      </c>
      <c r="J91" s="2" t="s">
        <v>64</v>
      </c>
      <c r="K91" s="2" t="s">
        <v>44</v>
      </c>
      <c r="L91" s="13">
        <v>44521</v>
      </c>
      <c r="M91" s="2">
        <v>92</v>
      </c>
      <c r="N91" s="2">
        <v>118</v>
      </c>
      <c r="O91" s="2">
        <v>68</v>
      </c>
      <c r="P91" s="2">
        <v>3175</v>
      </c>
      <c r="Q91" s="2">
        <v>2668</v>
      </c>
      <c r="R91" s="2">
        <v>278</v>
      </c>
      <c r="S91" s="2">
        <v>4612</v>
      </c>
      <c r="T91" s="2">
        <v>461</v>
      </c>
      <c r="U91" s="2">
        <v>270</v>
      </c>
      <c r="V91" s="12">
        <f>ABS(RPG_dataset[[#This Row],[Win Rate (%)]])</f>
        <v>91</v>
      </c>
      <c r="W91" s="2">
        <v>714</v>
      </c>
      <c r="X91" s="9">
        <v>631917</v>
      </c>
      <c r="Y91" s="2" t="s">
        <v>36</v>
      </c>
      <c r="Z91" s="2">
        <v>182</v>
      </c>
      <c r="AA91" s="2" t="s">
        <v>1735</v>
      </c>
      <c r="AB91" s="2" t="b">
        <v>1</v>
      </c>
      <c r="AC91" s="2" t="s">
        <v>1730</v>
      </c>
      <c r="AD91" s="2" t="s">
        <v>1727</v>
      </c>
      <c r="AE91" s="2" t="s">
        <v>1728</v>
      </c>
      <c r="AF91" s="2" t="s">
        <v>1734</v>
      </c>
      <c r="AG91" s="28">
        <f>MAX(clean_data[[#This Row],[ATK]:[SPD]]) - MIN(clean_data[[#This Row],[ATK]:[SPD]])</f>
        <v>50</v>
      </c>
      <c r="AH91" s="28" t="str">
        <f>IF(clean_data[[#This Row],[Balanced Score]] = MIN(clean_data[Balanced Score]), "Most Balanced", "")</f>
        <v/>
      </c>
    </row>
    <row r="92" spans="1:34" x14ac:dyDescent="0.3">
      <c r="A92" s="2" t="s">
        <v>429</v>
      </c>
      <c r="B92" s="2" t="s">
        <v>430</v>
      </c>
      <c r="C92" s="2" t="s">
        <v>69</v>
      </c>
      <c r="D92" s="2" t="s">
        <v>131</v>
      </c>
      <c r="E92" s="2" t="s">
        <v>51</v>
      </c>
      <c r="F92" s="2" t="s">
        <v>52</v>
      </c>
      <c r="G92" s="2">
        <v>71</v>
      </c>
      <c r="H92" s="2" t="s">
        <v>125</v>
      </c>
      <c r="I92" s="2" t="s">
        <v>140</v>
      </c>
      <c r="J92" s="2" t="s">
        <v>88</v>
      </c>
      <c r="K92" s="2" t="s">
        <v>44</v>
      </c>
      <c r="L92" s="13">
        <v>43582</v>
      </c>
      <c r="M92" s="2">
        <v>70</v>
      </c>
      <c r="N92" s="2">
        <v>10</v>
      </c>
      <c r="O92" s="2">
        <v>76</v>
      </c>
      <c r="P92" s="2">
        <v>110</v>
      </c>
      <c r="Q92" s="2">
        <v>1034</v>
      </c>
      <c r="R92" s="2">
        <v>156</v>
      </c>
      <c r="S92" s="2">
        <v>109</v>
      </c>
      <c r="T92" s="2">
        <v>198</v>
      </c>
      <c r="U92" s="2">
        <v>13</v>
      </c>
      <c r="V92" s="12">
        <f>ABS(RPG_dataset[[#This Row],[Win Rate (%)]])</f>
        <v>36</v>
      </c>
      <c r="W92" s="2">
        <v>8981</v>
      </c>
      <c r="X92" s="9">
        <v>761233</v>
      </c>
      <c r="Y92" s="2" t="s">
        <v>46</v>
      </c>
      <c r="Z92" s="2">
        <v>122</v>
      </c>
      <c r="AA92" s="2" t="s">
        <v>1725</v>
      </c>
      <c r="AB92" s="2" t="b">
        <v>1</v>
      </c>
      <c r="AC92" s="2" t="s">
        <v>1726</v>
      </c>
      <c r="AD92" s="2" t="s">
        <v>1727</v>
      </c>
      <c r="AE92" s="2" t="s">
        <v>1728</v>
      </c>
      <c r="AF92" s="2" t="s">
        <v>1740</v>
      </c>
      <c r="AG92" s="28">
        <f>MAX(clean_data[[#This Row],[ATK]:[SPD]]) - MIN(clean_data[[#This Row],[ATK]:[SPD]])</f>
        <v>66</v>
      </c>
      <c r="AH92" s="28" t="str">
        <f>IF(clean_data[[#This Row],[Balanced Score]] = MIN(clean_data[Balanced Score]), "Most Balanced", "")</f>
        <v/>
      </c>
    </row>
    <row r="93" spans="1:34" x14ac:dyDescent="0.3">
      <c r="A93" s="2" t="s">
        <v>434</v>
      </c>
      <c r="B93" s="2" t="s">
        <v>435</v>
      </c>
      <c r="C93" s="2" t="s">
        <v>367</v>
      </c>
      <c r="D93" s="2" t="s">
        <v>150</v>
      </c>
      <c r="E93" s="2" t="s">
        <v>41</v>
      </c>
      <c r="F93" s="2" t="s">
        <v>124</v>
      </c>
      <c r="G93" s="2">
        <v>9</v>
      </c>
      <c r="H93" s="2" t="s">
        <v>80</v>
      </c>
      <c r="I93" s="2" t="s">
        <v>126</v>
      </c>
      <c r="J93" s="2" t="s">
        <v>111</v>
      </c>
      <c r="K93" s="2" t="s">
        <v>44</v>
      </c>
      <c r="L93" s="13">
        <v>44748</v>
      </c>
      <c r="M93" s="2">
        <v>26</v>
      </c>
      <c r="N93" s="2">
        <v>28</v>
      </c>
      <c r="O93" s="2">
        <v>30</v>
      </c>
      <c r="P93" s="2">
        <v>2239</v>
      </c>
      <c r="Q93" s="2">
        <v>2399</v>
      </c>
      <c r="R93" s="2">
        <v>84</v>
      </c>
      <c r="S93" s="2">
        <v>1822</v>
      </c>
      <c r="T93" s="2">
        <v>61</v>
      </c>
      <c r="U93" s="2">
        <v>108</v>
      </c>
      <c r="V93" s="12">
        <f>ABS(RPG_dataset[[#This Row],[Win Rate (%)]])</f>
        <v>97</v>
      </c>
      <c r="W93" s="2">
        <v>2385</v>
      </c>
      <c r="X93" s="9">
        <v>793446</v>
      </c>
      <c r="Y93" s="2" t="s">
        <v>46</v>
      </c>
      <c r="Z93" s="2">
        <v>109</v>
      </c>
      <c r="AA93" s="2" t="s">
        <v>1735</v>
      </c>
      <c r="AB93" s="2" t="b">
        <v>1</v>
      </c>
      <c r="AC93" s="2" t="s">
        <v>1730</v>
      </c>
      <c r="AD93" s="2" t="s">
        <v>1727</v>
      </c>
      <c r="AE93" s="2" t="s">
        <v>1728</v>
      </c>
      <c r="AF93" s="2" t="s">
        <v>1729</v>
      </c>
      <c r="AG93" s="28">
        <f>MAX(clean_data[[#This Row],[ATK]:[SPD]]) - MIN(clean_data[[#This Row],[ATK]:[SPD]])</f>
        <v>4</v>
      </c>
      <c r="AH93" s="28" t="str">
        <f>IF(clean_data[[#This Row],[Balanced Score]] = MIN(clean_data[Balanced Score]), "Most Balanced", "")</f>
        <v/>
      </c>
    </row>
    <row r="94" spans="1:34" x14ac:dyDescent="0.3">
      <c r="A94" s="2" t="s">
        <v>437</v>
      </c>
      <c r="B94" s="2" t="s">
        <v>438</v>
      </c>
      <c r="C94" s="2" t="s">
        <v>227</v>
      </c>
      <c r="D94" s="2" t="s">
        <v>131</v>
      </c>
      <c r="E94" s="2" t="s">
        <v>105</v>
      </c>
      <c r="F94" s="2" t="s">
        <v>42</v>
      </c>
      <c r="G94" s="2">
        <v>7</v>
      </c>
      <c r="H94" s="2" t="s">
        <v>43</v>
      </c>
      <c r="I94" s="2" t="s">
        <v>63</v>
      </c>
      <c r="J94" s="2" t="s">
        <v>111</v>
      </c>
      <c r="K94" s="2" t="s">
        <v>34</v>
      </c>
      <c r="L94" s="13">
        <v>45497</v>
      </c>
      <c r="M94" s="2">
        <v>82</v>
      </c>
      <c r="N94" s="2">
        <v>102</v>
      </c>
      <c r="O94" s="2">
        <v>81</v>
      </c>
      <c r="P94" s="2">
        <v>118</v>
      </c>
      <c r="Q94" s="2">
        <v>2605</v>
      </c>
      <c r="R94" s="2">
        <v>265</v>
      </c>
      <c r="S94" s="2">
        <v>3965</v>
      </c>
      <c r="T94" s="2">
        <v>909</v>
      </c>
      <c r="U94" s="2"/>
      <c r="V94" s="12">
        <f>ABS(RPG_dataset[[#This Row],[Win Rate (%)]])</f>
        <v>81</v>
      </c>
      <c r="W94" s="2">
        <v>3834</v>
      </c>
      <c r="X94" s="9">
        <v>388067</v>
      </c>
      <c r="Y94" s="2" t="s">
        <v>36</v>
      </c>
      <c r="Z94" s="2">
        <v>312</v>
      </c>
      <c r="AA94" s="2" t="s">
        <v>1735</v>
      </c>
      <c r="AB94" s="2" t="b">
        <v>0</v>
      </c>
      <c r="AC94" s="2" t="s">
        <v>1730</v>
      </c>
      <c r="AD94" s="2" t="s">
        <v>1727</v>
      </c>
      <c r="AE94" s="2" t="s">
        <v>1728</v>
      </c>
      <c r="AF94" s="2" t="s">
        <v>1732</v>
      </c>
      <c r="AG94" s="28">
        <f>MAX(clean_data[[#This Row],[ATK]:[SPD]]) - MIN(clean_data[[#This Row],[ATK]:[SPD]])</f>
        <v>21</v>
      </c>
      <c r="AH94" s="28" t="str">
        <f>IF(clean_data[[#This Row],[Balanced Score]] = MIN(clean_data[Balanced Score]), "Most Balanced", "")</f>
        <v/>
      </c>
    </row>
    <row r="95" spans="1:34" x14ac:dyDescent="0.3">
      <c r="A95" s="2" t="s">
        <v>440</v>
      </c>
      <c r="B95" s="2" t="s">
        <v>441</v>
      </c>
      <c r="C95" s="2" t="s">
        <v>103</v>
      </c>
      <c r="D95" s="2" t="s">
        <v>155</v>
      </c>
      <c r="E95" s="2" t="s">
        <v>41</v>
      </c>
      <c r="F95" s="2" t="s">
        <v>61</v>
      </c>
      <c r="G95" s="2">
        <v>65</v>
      </c>
      <c r="H95" s="2" t="s">
        <v>62</v>
      </c>
      <c r="I95" s="2" t="s">
        <v>54</v>
      </c>
      <c r="J95" s="2" t="s">
        <v>88</v>
      </c>
      <c r="K95" s="2" t="s">
        <v>99</v>
      </c>
      <c r="L95" s="13">
        <v>44391</v>
      </c>
      <c r="M95" s="2">
        <v>15</v>
      </c>
      <c r="N95" s="2">
        <v>65</v>
      </c>
      <c r="O95" s="2">
        <v>76</v>
      </c>
      <c r="P95" s="2">
        <v>4066</v>
      </c>
      <c r="Q95" s="2">
        <v>2938</v>
      </c>
      <c r="R95" s="2">
        <v>156</v>
      </c>
      <c r="S95" s="2">
        <v>676</v>
      </c>
      <c r="T95" s="2">
        <v>415</v>
      </c>
      <c r="U95" s="2">
        <v>32</v>
      </c>
      <c r="V95" s="12">
        <f>ABS(RPG_dataset[[#This Row],[Win Rate (%)]])</f>
        <v>62</v>
      </c>
      <c r="W95" s="2">
        <v>6617</v>
      </c>
      <c r="X95" s="9">
        <v>915539</v>
      </c>
      <c r="Y95" s="2" t="s">
        <v>46</v>
      </c>
      <c r="Z95" s="2">
        <v>45</v>
      </c>
      <c r="AA95" s="2" t="s">
        <v>1725</v>
      </c>
      <c r="AB95" s="2" t="b">
        <v>0</v>
      </c>
      <c r="AC95" s="2" t="s">
        <v>1738</v>
      </c>
      <c r="AD95" s="2" t="s">
        <v>1727</v>
      </c>
      <c r="AE95" s="2" t="s">
        <v>1728</v>
      </c>
      <c r="AF95" s="2" t="s">
        <v>61</v>
      </c>
      <c r="AG95" s="28">
        <f>MAX(clean_data[[#This Row],[ATK]:[SPD]]) - MIN(clean_data[[#This Row],[ATK]:[SPD]])</f>
        <v>61</v>
      </c>
      <c r="AH95" s="28" t="str">
        <f>IF(clean_data[[#This Row],[Balanced Score]] = MIN(clean_data[Balanced Score]), "Most Balanced", "")</f>
        <v/>
      </c>
    </row>
    <row r="96" spans="1:34" x14ac:dyDescent="0.3">
      <c r="A96" s="2" t="s">
        <v>442</v>
      </c>
      <c r="B96" s="2" t="s">
        <v>443</v>
      </c>
      <c r="C96" s="2" t="s">
        <v>85</v>
      </c>
      <c r="D96" s="2" t="s">
        <v>174</v>
      </c>
      <c r="E96" s="2" t="s">
        <v>60</v>
      </c>
      <c r="F96" s="2" t="s">
        <v>61</v>
      </c>
      <c r="G96" s="2">
        <v>10</v>
      </c>
      <c r="H96" s="2" t="s">
        <v>62</v>
      </c>
      <c r="I96" s="2" t="s">
        <v>140</v>
      </c>
      <c r="J96" s="2" t="s">
        <v>64</v>
      </c>
      <c r="K96" s="2" t="s">
        <v>44</v>
      </c>
      <c r="L96" s="13">
        <v>44412</v>
      </c>
      <c r="M96" s="2">
        <v>107</v>
      </c>
      <c r="N96" s="2">
        <v>98</v>
      </c>
      <c r="O96" s="2">
        <v>22</v>
      </c>
      <c r="P96" s="2">
        <v>2016</v>
      </c>
      <c r="Q96" s="2">
        <v>805</v>
      </c>
      <c r="R96" s="2">
        <v>227</v>
      </c>
      <c r="S96" s="2">
        <v>4591</v>
      </c>
      <c r="T96" s="2">
        <v>196</v>
      </c>
      <c r="U96" s="2">
        <v>143</v>
      </c>
      <c r="V96" s="12">
        <f>ABS(RPG_dataset[[#This Row],[Win Rate (%)]])</f>
        <v>96</v>
      </c>
      <c r="W96" s="2">
        <v>4206</v>
      </c>
      <c r="X96" s="9">
        <v>944012</v>
      </c>
      <c r="Y96" s="2" t="s">
        <v>46</v>
      </c>
      <c r="Z96" s="2">
        <v>25</v>
      </c>
      <c r="AA96" s="2" t="s">
        <v>1735</v>
      </c>
      <c r="AB96" s="2" t="b">
        <v>1</v>
      </c>
      <c r="AC96" s="2" t="s">
        <v>1730</v>
      </c>
      <c r="AD96" s="2" t="s">
        <v>1727</v>
      </c>
      <c r="AE96" s="2" t="s">
        <v>1728</v>
      </c>
      <c r="AF96" s="2" t="s">
        <v>1740</v>
      </c>
      <c r="AG96" s="28">
        <f>MAX(clean_data[[#This Row],[ATK]:[SPD]]) - MIN(clean_data[[#This Row],[ATK]:[SPD]])</f>
        <v>85</v>
      </c>
      <c r="AH96" s="28" t="str">
        <f>IF(clean_data[[#This Row],[Balanced Score]] = MIN(clean_data[Balanced Score]), "Most Balanced", "")</f>
        <v/>
      </c>
    </row>
    <row r="97" spans="1:34" x14ac:dyDescent="0.3">
      <c r="A97" s="2" t="s">
        <v>445</v>
      </c>
      <c r="B97" s="2" t="s">
        <v>446</v>
      </c>
      <c r="C97" s="2" t="s">
        <v>238</v>
      </c>
      <c r="D97" s="2" t="s">
        <v>210</v>
      </c>
      <c r="E97" s="2" t="s">
        <v>60</v>
      </c>
      <c r="F97" s="2" t="s">
        <v>194</v>
      </c>
      <c r="G97" s="2">
        <v>1</v>
      </c>
      <c r="H97" s="2" t="s">
        <v>53</v>
      </c>
      <c r="I97" s="2" t="s">
        <v>63</v>
      </c>
      <c r="J97" s="2" t="s">
        <v>81</v>
      </c>
      <c r="K97" s="2" t="s">
        <v>44</v>
      </c>
      <c r="L97" s="13">
        <v>44429</v>
      </c>
      <c r="M97" s="2">
        <v>123</v>
      </c>
      <c r="N97" s="2">
        <v>85</v>
      </c>
      <c r="O97" s="2">
        <v>15</v>
      </c>
      <c r="P97" s="2">
        <v>3156</v>
      </c>
      <c r="Q97" s="2">
        <v>531</v>
      </c>
      <c r="R97" s="2">
        <v>223</v>
      </c>
      <c r="S97" s="2">
        <v>3468</v>
      </c>
      <c r="T97" s="2"/>
      <c r="U97" s="2">
        <v>273</v>
      </c>
      <c r="V97" s="12">
        <f>ABS(RPG_dataset[[#This Row],[Win Rate (%)]])</f>
        <v>94</v>
      </c>
      <c r="W97" s="2">
        <v>3993</v>
      </c>
      <c r="X97" s="9">
        <v>791613</v>
      </c>
      <c r="Y97" s="2" t="s">
        <v>46</v>
      </c>
      <c r="Z97" s="2">
        <v>112</v>
      </c>
      <c r="AA97" s="2" t="s">
        <v>1735</v>
      </c>
      <c r="AB97" s="2" t="b">
        <v>1</v>
      </c>
      <c r="AC97" s="2" t="s">
        <v>1730</v>
      </c>
      <c r="AD97" s="2" t="s">
        <v>1727</v>
      </c>
      <c r="AE97" s="2" t="s">
        <v>1728</v>
      </c>
      <c r="AF97" s="2" t="s">
        <v>1729</v>
      </c>
      <c r="AG97" s="28">
        <f>MAX(clean_data[[#This Row],[ATK]:[SPD]]) - MIN(clean_data[[#This Row],[ATK]:[SPD]])</f>
        <v>108</v>
      </c>
      <c r="AH97" s="28" t="str">
        <f>IF(clean_data[[#This Row],[Balanced Score]] = MIN(clean_data[Balanced Score]), "Most Balanced", "")</f>
        <v/>
      </c>
    </row>
    <row r="98" spans="1:34" x14ac:dyDescent="0.3">
      <c r="A98" s="2" t="s">
        <v>448</v>
      </c>
      <c r="B98" s="2" t="s">
        <v>449</v>
      </c>
      <c r="C98" s="2" t="s">
        <v>238</v>
      </c>
      <c r="D98" s="2" t="s">
        <v>150</v>
      </c>
      <c r="E98" s="2" t="s">
        <v>169</v>
      </c>
      <c r="F98" s="2" t="s">
        <v>30</v>
      </c>
      <c r="G98" s="2">
        <v>91</v>
      </c>
      <c r="H98" s="2" t="s">
        <v>53</v>
      </c>
      <c r="I98" s="2" t="s">
        <v>74</v>
      </c>
      <c r="J98" s="2" t="s">
        <v>120</v>
      </c>
      <c r="K98" s="2" t="s">
        <v>44</v>
      </c>
      <c r="L98" s="13">
        <v>43704</v>
      </c>
      <c r="M98" s="2">
        <v>147</v>
      </c>
      <c r="N98" s="2">
        <v>103</v>
      </c>
      <c r="O98" s="2">
        <v>47</v>
      </c>
      <c r="P98" s="2">
        <v>4363</v>
      </c>
      <c r="Q98" s="2">
        <v>2489</v>
      </c>
      <c r="R98" s="2">
        <v>297</v>
      </c>
      <c r="S98" s="2">
        <v>2601</v>
      </c>
      <c r="T98" s="2">
        <v>454</v>
      </c>
      <c r="U98" s="2">
        <v>152</v>
      </c>
      <c r="V98" s="12">
        <f>ABS(RPG_dataset[[#This Row],[Win Rate (%)]])</f>
        <v>85</v>
      </c>
      <c r="W98" s="2">
        <v>6107</v>
      </c>
      <c r="X98" s="9">
        <v>960499</v>
      </c>
      <c r="Y98" s="2" t="s">
        <v>46</v>
      </c>
      <c r="Z98" s="2">
        <v>19</v>
      </c>
      <c r="AA98" s="2" t="s">
        <v>1737</v>
      </c>
      <c r="AB98" s="2" t="b">
        <v>1</v>
      </c>
      <c r="AC98" s="2" t="s">
        <v>1730</v>
      </c>
      <c r="AD98" s="2" t="s">
        <v>1727</v>
      </c>
      <c r="AE98" s="2" t="s">
        <v>1728</v>
      </c>
      <c r="AF98" s="2" t="s">
        <v>1734</v>
      </c>
      <c r="AG98" s="28">
        <f>MAX(clean_data[[#This Row],[ATK]:[SPD]]) - MIN(clean_data[[#This Row],[ATK]:[SPD]])</f>
        <v>100</v>
      </c>
      <c r="AH98" s="28" t="str">
        <f>IF(clean_data[[#This Row],[Balanced Score]] = MIN(clean_data[Balanced Score]), "Most Balanced", "")</f>
        <v/>
      </c>
    </row>
    <row r="99" spans="1:34" x14ac:dyDescent="0.3">
      <c r="A99" s="2" t="s">
        <v>451</v>
      </c>
      <c r="B99" s="2" t="s">
        <v>452</v>
      </c>
      <c r="C99" s="2" t="s">
        <v>130</v>
      </c>
      <c r="D99" s="2" t="s">
        <v>50</v>
      </c>
      <c r="E99" s="2" t="s">
        <v>169</v>
      </c>
      <c r="F99" s="2" t="s">
        <v>30</v>
      </c>
      <c r="G99" s="2">
        <v>27</v>
      </c>
      <c r="H99" s="2" t="s">
        <v>157</v>
      </c>
      <c r="I99" s="2" t="s">
        <v>87</v>
      </c>
      <c r="J99" s="2" t="s">
        <v>64</v>
      </c>
      <c r="K99" s="2" t="s">
        <v>34</v>
      </c>
      <c r="L99" s="13">
        <v>44028</v>
      </c>
      <c r="M99" s="2">
        <v>83</v>
      </c>
      <c r="N99" s="2">
        <v>115</v>
      </c>
      <c r="O99" s="2">
        <v>92</v>
      </c>
      <c r="P99" s="2">
        <v>3299</v>
      </c>
      <c r="Q99" s="2"/>
      <c r="R99" s="2">
        <v>290</v>
      </c>
      <c r="S99" s="2">
        <v>1981</v>
      </c>
      <c r="T99" s="2">
        <v>580</v>
      </c>
      <c r="U99" s="2">
        <v>132</v>
      </c>
      <c r="V99" s="12">
        <f>ABS(RPG_dataset[[#This Row],[Win Rate (%)]])</f>
        <v>77</v>
      </c>
      <c r="W99" s="2">
        <v>8278</v>
      </c>
      <c r="X99" s="9">
        <v>520675</v>
      </c>
      <c r="Y99" s="2" t="s">
        <v>36</v>
      </c>
      <c r="Z99" s="2">
        <v>240</v>
      </c>
      <c r="AA99" s="2" t="s">
        <v>1733</v>
      </c>
      <c r="AB99" s="2" t="b">
        <v>0</v>
      </c>
      <c r="AC99" s="2" t="s">
        <v>1730</v>
      </c>
      <c r="AD99" s="2" t="s">
        <v>1727</v>
      </c>
      <c r="AE99" s="2" t="s">
        <v>1728</v>
      </c>
      <c r="AF99" s="2" t="s">
        <v>1736</v>
      </c>
      <c r="AG99" s="28">
        <f>MAX(clean_data[[#This Row],[ATK]:[SPD]]) - MIN(clean_data[[#This Row],[ATK]:[SPD]])</f>
        <v>32</v>
      </c>
      <c r="AH99" s="28" t="str">
        <f>IF(clean_data[[#This Row],[Balanced Score]] = MIN(clean_data[Balanced Score]), "Most Balanced", "")</f>
        <v/>
      </c>
    </row>
    <row r="100" spans="1:34" x14ac:dyDescent="0.3">
      <c r="A100" s="2" t="s">
        <v>455</v>
      </c>
      <c r="B100" s="2" t="s">
        <v>456</v>
      </c>
      <c r="C100" s="2" t="s">
        <v>49</v>
      </c>
      <c r="D100" s="2" t="s">
        <v>119</v>
      </c>
      <c r="E100" s="2" t="s">
        <v>75</v>
      </c>
      <c r="F100" s="2" t="s">
        <v>72</v>
      </c>
      <c r="G100" s="2">
        <v>32</v>
      </c>
      <c r="H100" s="2" t="s">
        <v>75</v>
      </c>
      <c r="I100" s="2" t="s">
        <v>32</v>
      </c>
      <c r="J100" s="2" t="s">
        <v>120</v>
      </c>
      <c r="K100" s="2" t="s">
        <v>44</v>
      </c>
      <c r="L100" s="13">
        <v>44828</v>
      </c>
      <c r="M100" s="2">
        <v>106</v>
      </c>
      <c r="N100" s="2">
        <v>34</v>
      </c>
      <c r="O100" s="2">
        <v>145</v>
      </c>
      <c r="P100" s="2"/>
      <c r="Q100" s="2">
        <v>184</v>
      </c>
      <c r="R100" s="2">
        <v>285</v>
      </c>
      <c r="S100" s="2">
        <v>969</v>
      </c>
      <c r="T100" s="2">
        <v>507</v>
      </c>
      <c r="U100" s="2">
        <v>169</v>
      </c>
      <c r="V100" s="12">
        <f>ABS(RPG_dataset[[#This Row],[Win Rate (%)]])</f>
        <v>0</v>
      </c>
      <c r="W100" s="2">
        <v>4371</v>
      </c>
      <c r="X100" s="9">
        <v>178291</v>
      </c>
      <c r="Y100" s="2" t="s">
        <v>36</v>
      </c>
      <c r="Z100" s="2">
        <v>410</v>
      </c>
      <c r="AA100" s="2" t="s">
        <v>1733</v>
      </c>
      <c r="AB100" s="2" t="b">
        <v>1</v>
      </c>
      <c r="AC100" s="2" t="s">
        <v>1726</v>
      </c>
      <c r="AD100" s="2" t="s">
        <v>1727</v>
      </c>
      <c r="AE100" s="2" t="s">
        <v>1728</v>
      </c>
      <c r="AF100" s="2" t="s">
        <v>1736</v>
      </c>
      <c r="AG100" s="28">
        <f>MAX(clean_data[[#This Row],[ATK]:[SPD]]) - MIN(clean_data[[#This Row],[ATK]:[SPD]])</f>
        <v>111</v>
      </c>
      <c r="AH100" s="28" t="str">
        <f>IF(clean_data[[#This Row],[Balanced Score]] = MIN(clean_data[Balanced Score]), "Most Balanced", "")</f>
        <v/>
      </c>
    </row>
    <row r="101" spans="1:34" x14ac:dyDescent="0.3">
      <c r="A101" s="2" t="s">
        <v>458</v>
      </c>
      <c r="B101" s="2" t="s">
        <v>459</v>
      </c>
      <c r="C101" s="2" t="s">
        <v>391</v>
      </c>
      <c r="D101" s="2" t="s">
        <v>401</v>
      </c>
      <c r="E101" s="2" t="s">
        <v>75</v>
      </c>
      <c r="F101" s="2" t="s">
        <v>61</v>
      </c>
      <c r="G101" s="2">
        <v>24</v>
      </c>
      <c r="H101" s="2" t="s">
        <v>43</v>
      </c>
      <c r="I101" s="2" t="s">
        <v>126</v>
      </c>
      <c r="J101" s="2" t="s">
        <v>111</v>
      </c>
      <c r="K101" s="2" t="s">
        <v>44</v>
      </c>
      <c r="L101" s="13">
        <v>45444</v>
      </c>
      <c r="M101" s="2">
        <v>32</v>
      </c>
      <c r="N101" s="2">
        <v>109</v>
      </c>
      <c r="O101" s="2">
        <v>75</v>
      </c>
      <c r="P101" s="2">
        <v>4484</v>
      </c>
      <c r="Q101" s="2">
        <v>427</v>
      </c>
      <c r="R101" s="2">
        <v>216</v>
      </c>
      <c r="S101" s="2">
        <v>724</v>
      </c>
      <c r="T101" s="2">
        <v>379</v>
      </c>
      <c r="U101" s="2">
        <v>231</v>
      </c>
      <c r="V101" s="12">
        <f>ABS(RPG_dataset[[#This Row],[Win Rate (%)]])</f>
        <v>66</v>
      </c>
      <c r="W101" s="2">
        <v>3322</v>
      </c>
      <c r="X101" s="9">
        <v>581184</v>
      </c>
      <c r="Y101" s="2" t="s">
        <v>36</v>
      </c>
      <c r="Z101" s="2">
        <v>210</v>
      </c>
      <c r="AA101" s="2" t="s">
        <v>1735</v>
      </c>
      <c r="AB101" s="2" t="b">
        <v>1</v>
      </c>
      <c r="AC101" s="2" t="s">
        <v>1738</v>
      </c>
      <c r="AD101" s="2" t="s">
        <v>1727</v>
      </c>
      <c r="AE101" s="2" t="s">
        <v>1728</v>
      </c>
      <c r="AF101" s="2" t="s">
        <v>1734</v>
      </c>
      <c r="AG101" s="28">
        <f>MAX(clean_data[[#This Row],[ATK]:[SPD]]) - MIN(clean_data[[#This Row],[ATK]:[SPD]])</f>
        <v>77</v>
      </c>
      <c r="AH101" s="28" t="str">
        <f>IF(clean_data[[#This Row],[Balanced Score]] = MIN(clean_data[Balanced Score]), "Most Balanced", "")</f>
        <v/>
      </c>
    </row>
    <row r="102" spans="1:34" x14ac:dyDescent="0.3">
      <c r="A102" s="2" t="s">
        <v>461</v>
      </c>
      <c r="B102" s="2" t="s">
        <v>462</v>
      </c>
      <c r="C102" s="2" t="s">
        <v>178</v>
      </c>
      <c r="D102" s="2" t="s">
        <v>349</v>
      </c>
      <c r="E102" s="2" t="s">
        <v>71</v>
      </c>
      <c r="F102" s="2" t="s">
        <v>30</v>
      </c>
      <c r="G102" s="2"/>
      <c r="H102" s="2" t="s">
        <v>73</v>
      </c>
      <c r="I102" s="2" t="s">
        <v>54</v>
      </c>
      <c r="J102" s="2" t="s">
        <v>33</v>
      </c>
      <c r="K102" s="2" t="s">
        <v>44</v>
      </c>
      <c r="L102" s="13">
        <v>43243</v>
      </c>
      <c r="M102" s="2">
        <v>16</v>
      </c>
      <c r="N102" s="2">
        <v>103</v>
      </c>
      <c r="O102" s="2">
        <v>133</v>
      </c>
      <c r="P102" s="2">
        <v>3735</v>
      </c>
      <c r="Q102" s="2">
        <v>1722</v>
      </c>
      <c r="R102" s="2">
        <v>252</v>
      </c>
      <c r="S102" s="2">
        <v>2869</v>
      </c>
      <c r="T102" s="2">
        <v>716</v>
      </c>
      <c r="U102" s="2">
        <v>211</v>
      </c>
      <c r="V102" s="12">
        <f>ABS(RPG_dataset[[#This Row],[Win Rate (%)]])</f>
        <v>80</v>
      </c>
      <c r="W102" s="2">
        <v>6130</v>
      </c>
      <c r="X102" s="9">
        <v>64772</v>
      </c>
      <c r="Y102" s="2" t="s">
        <v>46</v>
      </c>
      <c r="Z102" s="2">
        <v>452</v>
      </c>
      <c r="AA102" s="2" t="s">
        <v>1735</v>
      </c>
      <c r="AB102" s="2" t="b">
        <v>1</v>
      </c>
      <c r="AC102" s="2" t="s">
        <v>1730</v>
      </c>
      <c r="AD102" s="2" t="s">
        <v>1727</v>
      </c>
      <c r="AE102" s="2" t="s">
        <v>1728</v>
      </c>
      <c r="AF102" s="2" t="s">
        <v>1736</v>
      </c>
      <c r="AG102" s="28">
        <f>MAX(clean_data[[#This Row],[ATK]:[SPD]]) - MIN(clean_data[[#This Row],[ATK]:[SPD]])</f>
        <v>117</v>
      </c>
      <c r="AH102" s="28" t="str">
        <f>IF(clean_data[[#This Row],[Balanced Score]] = MIN(clean_data[Balanced Score]), "Most Balanced", "")</f>
        <v/>
      </c>
    </row>
    <row r="103" spans="1:34" x14ac:dyDescent="0.3">
      <c r="A103" s="2" t="s">
        <v>464</v>
      </c>
      <c r="B103" s="2" t="s">
        <v>465</v>
      </c>
      <c r="C103" s="2" t="s">
        <v>219</v>
      </c>
      <c r="D103" s="2" t="s">
        <v>162</v>
      </c>
      <c r="E103" s="2" t="s">
        <v>228</v>
      </c>
      <c r="F103" s="2" t="s">
        <v>52</v>
      </c>
      <c r="G103" s="2">
        <v>48</v>
      </c>
      <c r="H103" s="2" t="s">
        <v>43</v>
      </c>
      <c r="I103" s="2" t="s">
        <v>126</v>
      </c>
      <c r="J103" s="2" t="s">
        <v>81</v>
      </c>
      <c r="K103" s="2" t="s">
        <v>99</v>
      </c>
      <c r="L103" s="13">
        <v>44321</v>
      </c>
      <c r="M103" s="2">
        <v>38</v>
      </c>
      <c r="N103" s="2">
        <v>56</v>
      </c>
      <c r="O103" s="2">
        <v>99</v>
      </c>
      <c r="P103" s="2">
        <v>3714</v>
      </c>
      <c r="Q103" s="2">
        <v>577</v>
      </c>
      <c r="R103" s="2">
        <v>193</v>
      </c>
      <c r="S103" s="2">
        <v>108</v>
      </c>
      <c r="T103" s="2">
        <v>43</v>
      </c>
      <c r="U103" s="2">
        <v>247</v>
      </c>
      <c r="V103" s="12">
        <f>ABS(RPG_dataset[[#This Row],[Win Rate (%)]])</f>
        <v>72</v>
      </c>
      <c r="W103" s="2">
        <v>4184</v>
      </c>
      <c r="X103" s="9">
        <v>598809</v>
      </c>
      <c r="Y103" s="2" t="s">
        <v>46</v>
      </c>
      <c r="Z103" s="2">
        <v>204</v>
      </c>
      <c r="AA103" s="2" t="s">
        <v>1733</v>
      </c>
      <c r="AB103" s="2" t="b">
        <v>0</v>
      </c>
      <c r="AC103" s="2" t="s">
        <v>1730</v>
      </c>
      <c r="AD103" s="2" t="s">
        <v>1727</v>
      </c>
      <c r="AE103" s="2" t="s">
        <v>1728</v>
      </c>
      <c r="AF103" s="2" t="s">
        <v>1736</v>
      </c>
      <c r="AG103" s="28">
        <f>MAX(clean_data[[#This Row],[ATK]:[SPD]]) - MIN(clean_data[[#This Row],[ATK]:[SPD]])</f>
        <v>61</v>
      </c>
      <c r="AH103" s="28" t="str">
        <f>IF(clean_data[[#This Row],[Balanced Score]] = MIN(clean_data[Balanced Score]), "Most Balanced", "")</f>
        <v/>
      </c>
    </row>
    <row r="104" spans="1:34" x14ac:dyDescent="0.3">
      <c r="A104" s="2" t="s">
        <v>467</v>
      </c>
      <c r="B104" s="2" t="s">
        <v>468</v>
      </c>
      <c r="C104" s="2" t="s">
        <v>85</v>
      </c>
      <c r="D104" s="2" t="s">
        <v>50</v>
      </c>
      <c r="E104" s="2" t="s">
        <v>105</v>
      </c>
      <c r="F104" s="2" t="s">
        <v>52</v>
      </c>
      <c r="G104" s="2"/>
      <c r="H104" s="2" t="s">
        <v>31</v>
      </c>
      <c r="I104" s="2" t="s">
        <v>74</v>
      </c>
      <c r="J104" s="2" t="s">
        <v>120</v>
      </c>
      <c r="K104" s="2" t="s">
        <v>34</v>
      </c>
      <c r="L104" s="13">
        <v>44402</v>
      </c>
      <c r="M104" s="2">
        <v>47</v>
      </c>
      <c r="N104" s="2">
        <v>92</v>
      </c>
      <c r="O104" s="2">
        <v>113</v>
      </c>
      <c r="P104" s="2">
        <v>428</v>
      </c>
      <c r="Q104" s="2">
        <v>1330</v>
      </c>
      <c r="R104" s="2"/>
      <c r="S104" s="2">
        <v>451</v>
      </c>
      <c r="T104" s="2">
        <v>358</v>
      </c>
      <c r="U104" s="2">
        <v>172</v>
      </c>
      <c r="V104" s="12">
        <f>ABS(RPG_dataset[[#This Row],[Win Rate (%)]])</f>
        <v>56</v>
      </c>
      <c r="W104" s="2">
        <v>8394</v>
      </c>
      <c r="X104" s="9">
        <v>281128</v>
      </c>
      <c r="Y104" s="2" t="s">
        <v>36</v>
      </c>
      <c r="Z104" s="2">
        <v>361</v>
      </c>
      <c r="AA104" s="2" t="s">
        <v>1735</v>
      </c>
      <c r="AB104" s="2" t="b">
        <v>0</v>
      </c>
      <c r="AC104" s="2" t="s">
        <v>1738</v>
      </c>
      <c r="AD104" s="2" t="s">
        <v>1727</v>
      </c>
      <c r="AE104" s="2" t="s">
        <v>1728</v>
      </c>
      <c r="AF104" s="2" t="s">
        <v>1736</v>
      </c>
      <c r="AG104" s="28">
        <f>MAX(clean_data[[#This Row],[ATK]:[SPD]]) - MIN(clean_data[[#This Row],[ATK]:[SPD]])</f>
        <v>66</v>
      </c>
      <c r="AH104" s="28" t="str">
        <f>IF(clean_data[[#This Row],[Balanced Score]] = MIN(clean_data[Balanced Score]), "Most Balanced", "")</f>
        <v/>
      </c>
    </row>
    <row r="105" spans="1:34" x14ac:dyDescent="0.3">
      <c r="A105" s="2" t="s">
        <v>470</v>
      </c>
      <c r="B105" s="2" t="s">
        <v>471</v>
      </c>
      <c r="C105" s="2" t="s">
        <v>58</v>
      </c>
      <c r="D105" s="2" t="s">
        <v>254</v>
      </c>
      <c r="E105" s="2" t="s">
        <v>29</v>
      </c>
      <c r="F105" s="2" t="s">
        <v>52</v>
      </c>
      <c r="G105" s="2">
        <v>32</v>
      </c>
      <c r="H105" s="2" t="s">
        <v>53</v>
      </c>
      <c r="I105" s="2" t="s">
        <v>54</v>
      </c>
      <c r="J105" s="2" t="s">
        <v>163</v>
      </c>
      <c r="K105" s="2" t="s">
        <v>99</v>
      </c>
      <c r="L105" s="13">
        <v>43998</v>
      </c>
      <c r="M105" s="2">
        <v>93</v>
      </c>
      <c r="N105" s="2">
        <v>75</v>
      </c>
      <c r="O105" s="2">
        <v>106</v>
      </c>
      <c r="P105" s="2">
        <v>3527</v>
      </c>
      <c r="Q105" s="2">
        <v>1549</v>
      </c>
      <c r="R105" s="2">
        <v>274</v>
      </c>
      <c r="S105" s="2">
        <v>184</v>
      </c>
      <c r="T105" s="2">
        <v>498</v>
      </c>
      <c r="U105" s="2">
        <v>207</v>
      </c>
      <c r="V105" s="12">
        <f>ABS(RPG_dataset[[#This Row],[Win Rate (%)]])</f>
        <v>27</v>
      </c>
      <c r="W105" s="2">
        <v>9584</v>
      </c>
      <c r="X105" s="9">
        <v>82559</v>
      </c>
      <c r="Y105" s="2" t="s">
        <v>46</v>
      </c>
      <c r="Z105" s="2">
        <v>446</v>
      </c>
      <c r="AA105" s="2" t="s">
        <v>1733</v>
      </c>
      <c r="AB105" s="2" t="b">
        <v>0</v>
      </c>
      <c r="AC105" s="2" t="s">
        <v>1726</v>
      </c>
      <c r="AD105" s="2" t="s">
        <v>1727</v>
      </c>
      <c r="AE105" s="2" t="s">
        <v>1742</v>
      </c>
      <c r="AF105" s="2" t="s">
        <v>1736</v>
      </c>
      <c r="AG105" s="28">
        <f>MAX(clean_data[[#This Row],[ATK]:[SPD]]) - MIN(clean_data[[#This Row],[ATK]:[SPD]])</f>
        <v>31</v>
      </c>
      <c r="AH105" s="28" t="str">
        <f>IF(clean_data[[#This Row],[Balanced Score]] = MIN(clean_data[Balanced Score]), "Most Balanced", "")</f>
        <v/>
      </c>
    </row>
    <row r="106" spans="1:34" x14ac:dyDescent="0.3">
      <c r="A106" s="2" t="s">
        <v>474</v>
      </c>
      <c r="B106" s="2" t="s">
        <v>475</v>
      </c>
      <c r="C106" s="2" t="s">
        <v>276</v>
      </c>
      <c r="D106" s="2" t="s">
        <v>70</v>
      </c>
      <c r="E106" s="2" t="s">
        <v>71</v>
      </c>
      <c r="F106" s="2" t="s">
        <v>30</v>
      </c>
      <c r="G106" s="2">
        <v>36</v>
      </c>
      <c r="H106" s="2" t="s">
        <v>80</v>
      </c>
      <c r="I106" s="2" t="s">
        <v>140</v>
      </c>
      <c r="J106" s="2" t="s">
        <v>92</v>
      </c>
      <c r="K106" s="2" t="s">
        <v>106</v>
      </c>
      <c r="L106" s="13">
        <v>44401</v>
      </c>
      <c r="M106" s="2">
        <v>84</v>
      </c>
      <c r="N106" s="2">
        <v>29</v>
      </c>
      <c r="O106" s="2">
        <v>60</v>
      </c>
      <c r="P106" s="2">
        <v>1779</v>
      </c>
      <c r="Q106" s="2"/>
      <c r="R106" s="2">
        <v>173</v>
      </c>
      <c r="S106" s="2">
        <v>447</v>
      </c>
      <c r="T106" s="2">
        <v>93</v>
      </c>
      <c r="U106" s="2">
        <v>149</v>
      </c>
      <c r="V106" s="12">
        <f>ABS(RPG_dataset[[#This Row],[Win Rate (%)]])</f>
        <v>83</v>
      </c>
      <c r="W106" s="2">
        <v>1459</v>
      </c>
      <c r="X106" s="9">
        <v>919133</v>
      </c>
      <c r="Y106" s="2" t="s">
        <v>46</v>
      </c>
      <c r="Z106" s="2">
        <v>42</v>
      </c>
      <c r="AA106" s="2" t="s">
        <v>1733</v>
      </c>
      <c r="AB106" s="2" t="b">
        <v>0</v>
      </c>
      <c r="AC106" s="2" t="s">
        <v>1730</v>
      </c>
      <c r="AD106" s="2" t="s">
        <v>1727</v>
      </c>
      <c r="AE106" s="2" t="s">
        <v>1728</v>
      </c>
      <c r="AF106" s="2" t="s">
        <v>1740</v>
      </c>
      <c r="AG106" s="28">
        <f>MAX(clean_data[[#This Row],[ATK]:[SPD]]) - MIN(clean_data[[#This Row],[ATK]:[SPD]])</f>
        <v>55</v>
      </c>
      <c r="AH106" s="28" t="str">
        <f>IF(clean_data[[#This Row],[Balanced Score]] = MIN(clean_data[Balanced Score]), "Most Balanced", "")</f>
        <v/>
      </c>
    </row>
    <row r="107" spans="1:34" x14ac:dyDescent="0.3">
      <c r="A107" s="2" t="s">
        <v>477</v>
      </c>
      <c r="B107" s="2" t="s">
        <v>478</v>
      </c>
      <c r="C107" s="2" t="s">
        <v>198</v>
      </c>
      <c r="D107" s="2" t="s">
        <v>174</v>
      </c>
      <c r="E107" s="2" t="s">
        <v>228</v>
      </c>
      <c r="F107" s="2" t="s">
        <v>98</v>
      </c>
      <c r="G107" s="2">
        <v>93</v>
      </c>
      <c r="H107" s="2" t="s">
        <v>125</v>
      </c>
      <c r="I107" s="2" t="s">
        <v>74</v>
      </c>
      <c r="J107" s="2" t="s">
        <v>163</v>
      </c>
      <c r="K107" s="2" t="s">
        <v>44</v>
      </c>
      <c r="L107" s="13">
        <v>43775</v>
      </c>
      <c r="M107" s="2">
        <v>28</v>
      </c>
      <c r="N107" s="2">
        <v>29</v>
      </c>
      <c r="O107" s="2">
        <v>82</v>
      </c>
      <c r="P107" s="2">
        <v>4787</v>
      </c>
      <c r="Q107" s="2">
        <v>2023</v>
      </c>
      <c r="R107" s="2">
        <v>139</v>
      </c>
      <c r="S107" s="2">
        <v>2321</v>
      </c>
      <c r="T107" s="2">
        <v>913</v>
      </c>
      <c r="U107" s="2">
        <v>161</v>
      </c>
      <c r="V107" s="12">
        <f>ABS(RPG_dataset[[#This Row],[Win Rate (%)]])</f>
        <v>72</v>
      </c>
      <c r="W107" s="2">
        <v>5851</v>
      </c>
      <c r="X107" s="9">
        <v>838224</v>
      </c>
      <c r="Y107" s="2" t="s">
        <v>36</v>
      </c>
      <c r="Z107" s="2">
        <v>85</v>
      </c>
      <c r="AA107" s="2" t="s">
        <v>1737</v>
      </c>
      <c r="AB107" s="2" t="b">
        <v>1</v>
      </c>
      <c r="AC107" s="2" t="s">
        <v>1730</v>
      </c>
      <c r="AD107" s="2" t="s">
        <v>1727</v>
      </c>
      <c r="AE107" s="2" t="s">
        <v>1731</v>
      </c>
      <c r="AF107" s="2" t="s">
        <v>1729</v>
      </c>
      <c r="AG107" s="28">
        <f>MAX(clean_data[[#This Row],[ATK]:[SPD]]) - MIN(clean_data[[#This Row],[ATK]:[SPD]])</f>
        <v>54</v>
      </c>
      <c r="AH107" s="28" t="str">
        <f>IF(clean_data[[#This Row],[Balanced Score]] = MIN(clean_data[Balanced Score]), "Most Balanced", "")</f>
        <v/>
      </c>
    </row>
    <row r="108" spans="1:34" x14ac:dyDescent="0.3">
      <c r="A108" s="2" t="s">
        <v>480</v>
      </c>
      <c r="B108" s="2" t="s">
        <v>481</v>
      </c>
      <c r="C108" s="2" t="s">
        <v>85</v>
      </c>
      <c r="D108" s="2" t="s">
        <v>210</v>
      </c>
      <c r="E108" s="2" t="s">
        <v>105</v>
      </c>
      <c r="F108" s="2" t="s">
        <v>42</v>
      </c>
      <c r="G108" s="2">
        <v>26</v>
      </c>
      <c r="H108" s="2" t="s">
        <v>31</v>
      </c>
      <c r="I108" s="2" t="s">
        <v>54</v>
      </c>
      <c r="J108" s="2" t="s">
        <v>163</v>
      </c>
      <c r="K108" s="2" t="s">
        <v>44</v>
      </c>
      <c r="L108" s="13">
        <v>43233</v>
      </c>
      <c r="M108" s="2">
        <v>136</v>
      </c>
      <c r="N108" s="2">
        <v>104</v>
      </c>
      <c r="O108" s="2">
        <v>68</v>
      </c>
      <c r="P108" s="2">
        <v>1526</v>
      </c>
      <c r="Q108" s="2">
        <v>1754</v>
      </c>
      <c r="R108" s="2">
        <v>308</v>
      </c>
      <c r="S108" s="2">
        <v>497</v>
      </c>
      <c r="T108" s="2">
        <v>537</v>
      </c>
      <c r="U108" s="2">
        <v>57</v>
      </c>
      <c r="V108" s="12">
        <f>ABS(RPG_dataset[[#This Row],[Win Rate (%)]])</f>
        <v>48</v>
      </c>
      <c r="W108" s="2">
        <v>1078</v>
      </c>
      <c r="X108" s="9">
        <v>780620</v>
      </c>
      <c r="Y108" s="2" t="s">
        <v>46</v>
      </c>
      <c r="Z108" s="2">
        <v>118</v>
      </c>
      <c r="AA108" s="2" t="s">
        <v>1733</v>
      </c>
      <c r="AB108" s="2" t="b">
        <v>1</v>
      </c>
      <c r="AC108" s="2" t="s">
        <v>1738</v>
      </c>
      <c r="AD108" s="2" t="s">
        <v>1727</v>
      </c>
      <c r="AE108" s="2" t="s">
        <v>1742</v>
      </c>
      <c r="AF108" s="2" t="s">
        <v>1732</v>
      </c>
      <c r="AG108" s="28">
        <f>MAX(clean_data[[#This Row],[ATK]:[SPD]]) - MIN(clean_data[[#This Row],[ATK]:[SPD]])</f>
        <v>68</v>
      </c>
      <c r="AH108" s="28" t="str">
        <f>IF(clean_data[[#This Row],[Balanced Score]] = MIN(clean_data[Balanced Score]), "Most Balanced", "")</f>
        <v/>
      </c>
    </row>
    <row r="109" spans="1:34" x14ac:dyDescent="0.3">
      <c r="A109" s="2" t="s">
        <v>483</v>
      </c>
      <c r="B109" s="2" t="s">
        <v>484</v>
      </c>
      <c r="C109" s="2" t="s">
        <v>238</v>
      </c>
      <c r="D109" s="2" t="s">
        <v>119</v>
      </c>
      <c r="E109" s="2" t="s">
        <v>60</v>
      </c>
      <c r="F109" s="2" t="s">
        <v>194</v>
      </c>
      <c r="G109" s="2">
        <v>43</v>
      </c>
      <c r="H109" s="2" t="s">
        <v>43</v>
      </c>
      <c r="I109" s="2" t="s">
        <v>74</v>
      </c>
      <c r="J109" s="2" t="s">
        <v>33</v>
      </c>
      <c r="K109" s="2" t="s">
        <v>44</v>
      </c>
      <c r="L109" s="13">
        <v>43479</v>
      </c>
      <c r="M109" s="2">
        <v>144</v>
      </c>
      <c r="N109" s="2">
        <v>53</v>
      </c>
      <c r="O109" s="2">
        <v>93</v>
      </c>
      <c r="P109" s="2">
        <v>2131</v>
      </c>
      <c r="Q109" s="2">
        <v>2689</v>
      </c>
      <c r="R109" s="2">
        <v>290</v>
      </c>
      <c r="S109" s="2">
        <v>1726</v>
      </c>
      <c r="T109" s="2">
        <v>527</v>
      </c>
      <c r="U109" s="2">
        <v>122</v>
      </c>
      <c r="V109" s="12">
        <f>ABS(RPG_dataset[[#This Row],[Win Rate (%)]])</f>
        <v>77</v>
      </c>
      <c r="W109" s="2">
        <v>6630</v>
      </c>
      <c r="X109" s="9">
        <v>27213</v>
      </c>
      <c r="Y109" s="2" t="s">
        <v>36</v>
      </c>
      <c r="Z109" s="2">
        <v>469</v>
      </c>
      <c r="AA109" s="2" t="s">
        <v>1733</v>
      </c>
      <c r="AB109" s="2" t="b">
        <v>1</v>
      </c>
      <c r="AC109" s="2" t="s">
        <v>1730</v>
      </c>
      <c r="AD109" s="2" t="s">
        <v>1727</v>
      </c>
      <c r="AE109" s="2" t="s">
        <v>1728</v>
      </c>
      <c r="AF109" s="2" t="s">
        <v>1736</v>
      </c>
      <c r="AG109" s="28">
        <f>MAX(clean_data[[#This Row],[ATK]:[SPD]]) - MIN(clean_data[[#This Row],[ATK]:[SPD]])</f>
        <v>91</v>
      </c>
      <c r="AH109" s="28" t="str">
        <f>IF(clean_data[[#This Row],[Balanced Score]] = MIN(clean_data[Balanced Score]), "Most Balanced", "")</f>
        <v/>
      </c>
    </row>
    <row r="110" spans="1:34" x14ac:dyDescent="0.3">
      <c r="A110" s="2" t="s">
        <v>486</v>
      </c>
      <c r="B110" s="2" t="s">
        <v>487</v>
      </c>
      <c r="C110" s="2" t="s">
        <v>233</v>
      </c>
      <c r="D110" s="2" t="s">
        <v>70</v>
      </c>
      <c r="E110" s="2" t="s">
        <v>60</v>
      </c>
      <c r="F110" s="2" t="s">
        <v>52</v>
      </c>
      <c r="G110" s="2">
        <v>85</v>
      </c>
      <c r="H110" s="2" t="s">
        <v>157</v>
      </c>
      <c r="I110" s="2" t="s">
        <v>63</v>
      </c>
      <c r="J110" s="2" t="s">
        <v>81</v>
      </c>
      <c r="K110" s="2" t="s">
        <v>34</v>
      </c>
      <c r="L110" s="13">
        <v>45448</v>
      </c>
      <c r="M110" s="2">
        <v>45</v>
      </c>
      <c r="N110" s="2">
        <v>94</v>
      </c>
      <c r="O110" s="2">
        <v>111</v>
      </c>
      <c r="P110" s="2">
        <v>2116</v>
      </c>
      <c r="Q110" s="2">
        <v>605</v>
      </c>
      <c r="R110" s="2">
        <v>250</v>
      </c>
      <c r="S110" s="2">
        <v>2051</v>
      </c>
      <c r="T110" s="2">
        <v>910</v>
      </c>
      <c r="U110" s="2">
        <v>91</v>
      </c>
      <c r="V110" s="12">
        <f>ABS(RPG_dataset[[#This Row],[Win Rate (%)]])</f>
        <v>69</v>
      </c>
      <c r="W110" s="2">
        <v>3295</v>
      </c>
      <c r="X110" s="9">
        <v>301385</v>
      </c>
      <c r="Y110" s="2" t="s">
        <v>36</v>
      </c>
      <c r="Z110" s="2">
        <v>353</v>
      </c>
      <c r="AA110" s="2" t="s">
        <v>1737</v>
      </c>
      <c r="AB110" s="2" t="b">
        <v>0</v>
      </c>
      <c r="AC110" s="2" t="s">
        <v>1738</v>
      </c>
      <c r="AD110" s="2" t="s">
        <v>1727</v>
      </c>
      <c r="AE110" s="2" t="s">
        <v>1728</v>
      </c>
      <c r="AF110" s="2" t="s">
        <v>1736</v>
      </c>
      <c r="AG110" s="28">
        <f>MAX(clean_data[[#This Row],[ATK]:[SPD]]) - MIN(clean_data[[#This Row],[ATK]:[SPD]])</f>
        <v>66</v>
      </c>
      <c r="AH110" s="28" t="str">
        <f>IF(clean_data[[#This Row],[Balanced Score]] = MIN(clean_data[Balanced Score]), "Most Balanced", "")</f>
        <v/>
      </c>
    </row>
    <row r="111" spans="1:34" x14ac:dyDescent="0.3">
      <c r="A111" s="2" t="s">
        <v>490</v>
      </c>
      <c r="B111" s="2" t="s">
        <v>491</v>
      </c>
      <c r="C111" s="2" t="s">
        <v>97</v>
      </c>
      <c r="D111" s="2" t="s">
        <v>155</v>
      </c>
      <c r="E111" s="2" t="s">
        <v>105</v>
      </c>
      <c r="F111" s="2" t="s">
        <v>61</v>
      </c>
      <c r="G111" s="2">
        <v>69</v>
      </c>
      <c r="H111" s="2" t="s">
        <v>157</v>
      </c>
      <c r="I111" s="2" t="s">
        <v>63</v>
      </c>
      <c r="J111" s="2" t="s">
        <v>92</v>
      </c>
      <c r="K111" s="2" t="s">
        <v>34</v>
      </c>
      <c r="L111" s="13">
        <v>44097</v>
      </c>
      <c r="M111" s="2">
        <v>108</v>
      </c>
      <c r="N111" s="2">
        <v>76</v>
      </c>
      <c r="O111" s="2">
        <v>10</v>
      </c>
      <c r="P111" s="2">
        <v>711</v>
      </c>
      <c r="Q111" s="2">
        <v>2120</v>
      </c>
      <c r="R111" s="2">
        <v>194</v>
      </c>
      <c r="S111" s="2">
        <v>4665</v>
      </c>
      <c r="T111" s="2">
        <v>784</v>
      </c>
      <c r="U111" s="2">
        <v>268</v>
      </c>
      <c r="V111" s="12">
        <f>ABS(RPG_dataset[[#This Row],[Win Rate (%)]])</f>
        <v>86</v>
      </c>
      <c r="W111" s="2">
        <v>7440</v>
      </c>
      <c r="X111" s="9">
        <v>347044</v>
      </c>
      <c r="Y111" s="2" t="s">
        <v>46</v>
      </c>
      <c r="Z111" s="2">
        <v>331</v>
      </c>
      <c r="AA111" s="2" t="s">
        <v>1725</v>
      </c>
      <c r="AB111" s="2" t="b">
        <v>0</v>
      </c>
      <c r="AC111" s="2" t="s">
        <v>1730</v>
      </c>
      <c r="AD111" s="2" t="s">
        <v>1727</v>
      </c>
      <c r="AE111" s="2" t="s">
        <v>1728</v>
      </c>
      <c r="AF111" s="2" t="s">
        <v>1729</v>
      </c>
      <c r="AG111" s="28">
        <f>MAX(clean_data[[#This Row],[ATK]:[SPD]]) - MIN(clean_data[[#This Row],[ATK]:[SPD]])</f>
        <v>98</v>
      </c>
      <c r="AH111" s="28" t="str">
        <f>IF(clean_data[[#This Row],[Balanced Score]] = MIN(clean_data[Balanced Score]), "Most Balanced", "")</f>
        <v/>
      </c>
    </row>
    <row r="112" spans="1:34" x14ac:dyDescent="0.3">
      <c r="A112" s="2" t="s">
        <v>493</v>
      </c>
      <c r="B112" s="2" t="s">
        <v>494</v>
      </c>
      <c r="C112" s="2" t="s">
        <v>233</v>
      </c>
      <c r="D112" s="2" t="s">
        <v>304</v>
      </c>
      <c r="E112" s="2" t="s">
        <v>60</v>
      </c>
      <c r="F112" s="2" t="s">
        <v>52</v>
      </c>
      <c r="G112" s="2">
        <v>47</v>
      </c>
      <c r="H112" s="2" t="s">
        <v>53</v>
      </c>
      <c r="I112" s="2" t="s">
        <v>87</v>
      </c>
      <c r="J112" s="2" t="s">
        <v>163</v>
      </c>
      <c r="K112" s="2" t="s">
        <v>44</v>
      </c>
      <c r="L112" s="13">
        <v>44021</v>
      </c>
      <c r="M112" s="2">
        <v>81</v>
      </c>
      <c r="N112" s="2">
        <v>46</v>
      </c>
      <c r="O112" s="2">
        <v>68</v>
      </c>
      <c r="P112" s="2">
        <v>4662</v>
      </c>
      <c r="Q112" s="2"/>
      <c r="R112" s="2">
        <v>195</v>
      </c>
      <c r="S112" s="2">
        <v>4349</v>
      </c>
      <c r="T112" s="2">
        <v>337</v>
      </c>
      <c r="U112" s="2"/>
      <c r="V112" s="12">
        <f>ABS(RPG_dataset[[#This Row],[Win Rate (%)]])</f>
        <v>93</v>
      </c>
      <c r="W112" s="2">
        <v>4319</v>
      </c>
      <c r="X112" s="9">
        <v>121668</v>
      </c>
      <c r="Y112" s="2" t="s">
        <v>36</v>
      </c>
      <c r="Z112" s="2">
        <v>427</v>
      </c>
      <c r="AA112" s="2" t="s">
        <v>1733</v>
      </c>
      <c r="AB112" s="2" t="b">
        <v>1</v>
      </c>
      <c r="AC112" s="2" t="s">
        <v>1730</v>
      </c>
      <c r="AD112" s="2" t="s">
        <v>1727</v>
      </c>
      <c r="AE112" s="2" t="s">
        <v>1728</v>
      </c>
      <c r="AF112" s="2" t="s">
        <v>1729</v>
      </c>
      <c r="AG112" s="28">
        <f>MAX(clean_data[[#This Row],[ATK]:[SPD]]) - MIN(clean_data[[#This Row],[ATK]:[SPD]])</f>
        <v>35</v>
      </c>
      <c r="AH112" s="28" t="str">
        <f>IF(clean_data[[#This Row],[Balanced Score]] = MIN(clean_data[Balanced Score]), "Most Balanced", "")</f>
        <v/>
      </c>
    </row>
    <row r="113" spans="1:34" x14ac:dyDescent="0.3">
      <c r="A113" s="2" t="s">
        <v>497</v>
      </c>
      <c r="B113" s="2" t="s">
        <v>498</v>
      </c>
      <c r="C113" s="2" t="s">
        <v>271</v>
      </c>
      <c r="D113" s="2" t="s">
        <v>401</v>
      </c>
      <c r="E113" s="2" t="s">
        <v>51</v>
      </c>
      <c r="F113" s="2" t="s">
        <v>42</v>
      </c>
      <c r="G113" s="2">
        <v>37</v>
      </c>
      <c r="H113" s="2" t="s">
        <v>80</v>
      </c>
      <c r="I113" s="2" t="s">
        <v>54</v>
      </c>
      <c r="J113" s="2" t="s">
        <v>88</v>
      </c>
      <c r="K113" s="2" t="s">
        <v>44</v>
      </c>
      <c r="L113" s="13">
        <v>44825</v>
      </c>
      <c r="M113" s="2">
        <v>136</v>
      </c>
      <c r="N113" s="2">
        <v>74</v>
      </c>
      <c r="O113" s="2">
        <v>100</v>
      </c>
      <c r="P113" s="2">
        <v>1335</v>
      </c>
      <c r="Q113" s="2">
        <v>593</v>
      </c>
      <c r="R113" s="2">
        <v>310</v>
      </c>
      <c r="S113" s="2">
        <v>635</v>
      </c>
      <c r="T113" s="2">
        <v>370</v>
      </c>
      <c r="U113" s="2">
        <v>245</v>
      </c>
      <c r="V113" s="12">
        <f>ABS(RPG_dataset[[#This Row],[Win Rate (%)]])</f>
        <v>63</v>
      </c>
      <c r="W113" s="2">
        <v>3000</v>
      </c>
      <c r="X113" s="9"/>
      <c r="Y113" s="2" t="s">
        <v>36</v>
      </c>
      <c r="Z113" s="2">
        <v>486</v>
      </c>
      <c r="AA113" s="2" t="s">
        <v>1733</v>
      </c>
      <c r="AB113" s="2" t="b">
        <v>1</v>
      </c>
      <c r="AC113" s="2" t="s">
        <v>1738</v>
      </c>
      <c r="AD113" s="2" t="s">
        <v>1727</v>
      </c>
      <c r="AE113" s="2" t="s">
        <v>1728</v>
      </c>
      <c r="AF113" s="2" t="s">
        <v>1736</v>
      </c>
      <c r="AG113" s="28">
        <f>MAX(clean_data[[#This Row],[ATK]:[SPD]]) - MIN(clean_data[[#This Row],[ATK]:[SPD]])</f>
        <v>62</v>
      </c>
      <c r="AH113" s="28" t="str">
        <f>IF(clean_data[[#This Row],[Balanced Score]] = MIN(clean_data[Balanced Score]), "Most Balanced", "")</f>
        <v/>
      </c>
    </row>
    <row r="114" spans="1:34" x14ac:dyDescent="0.3">
      <c r="A114" s="2" t="s">
        <v>501</v>
      </c>
      <c r="B114" s="2" t="s">
        <v>502</v>
      </c>
      <c r="C114" s="2" t="s">
        <v>296</v>
      </c>
      <c r="D114" s="2" t="s">
        <v>144</v>
      </c>
      <c r="E114" s="2" t="s">
        <v>60</v>
      </c>
      <c r="F114" s="2" t="s">
        <v>98</v>
      </c>
      <c r="G114" s="2">
        <v>60</v>
      </c>
      <c r="H114" s="2" t="s">
        <v>53</v>
      </c>
      <c r="I114" s="2" t="s">
        <v>74</v>
      </c>
      <c r="J114" s="2" t="s">
        <v>120</v>
      </c>
      <c r="K114" s="2" t="s">
        <v>106</v>
      </c>
      <c r="L114" s="13">
        <v>43731</v>
      </c>
      <c r="M114" s="2">
        <v>19</v>
      </c>
      <c r="N114" s="2">
        <v>87</v>
      </c>
      <c r="O114" s="2">
        <v>87</v>
      </c>
      <c r="P114" s="2">
        <v>1784</v>
      </c>
      <c r="Q114" s="2">
        <v>2142</v>
      </c>
      <c r="R114" s="2"/>
      <c r="S114" s="2">
        <v>785</v>
      </c>
      <c r="T114" s="2">
        <v>173</v>
      </c>
      <c r="U114" s="2">
        <v>236</v>
      </c>
      <c r="V114" s="12">
        <f>ABS(RPG_dataset[[#This Row],[Win Rate (%)]])</f>
        <v>82</v>
      </c>
      <c r="W114" s="2">
        <v>5396</v>
      </c>
      <c r="X114" s="9">
        <v>500364</v>
      </c>
      <c r="Y114" s="2" t="s">
        <v>46</v>
      </c>
      <c r="Z114" s="2">
        <v>251</v>
      </c>
      <c r="AA114" s="2" t="s">
        <v>1725</v>
      </c>
      <c r="AB114" s="2" t="b">
        <v>0</v>
      </c>
      <c r="AC114" s="2" t="s">
        <v>1730</v>
      </c>
      <c r="AD114" s="2" t="s">
        <v>1727</v>
      </c>
      <c r="AE114" s="2" t="s">
        <v>1728</v>
      </c>
      <c r="AF114" s="2" t="s">
        <v>1736</v>
      </c>
      <c r="AG114" s="28">
        <f>MAX(clean_data[[#This Row],[ATK]:[SPD]]) - MIN(clean_data[[#This Row],[ATK]:[SPD]])</f>
        <v>68</v>
      </c>
      <c r="AH114" s="28" t="str">
        <f>IF(clean_data[[#This Row],[Balanced Score]] = MIN(clean_data[Balanced Score]), "Most Balanced", "")</f>
        <v/>
      </c>
    </row>
    <row r="115" spans="1:34" x14ac:dyDescent="0.3">
      <c r="A115" s="2" t="s">
        <v>505</v>
      </c>
      <c r="B115" s="2" t="s">
        <v>506</v>
      </c>
      <c r="C115" s="2" t="s">
        <v>507</v>
      </c>
      <c r="D115" s="2" t="s">
        <v>104</v>
      </c>
      <c r="E115" s="2" t="s">
        <v>105</v>
      </c>
      <c r="F115" s="2" t="s">
        <v>30</v>
      </c>
      <c r="G115" s="2">
        <v>46</v>
      </c>
      <c r="H115" s="2" t="s">
        <v>31</v>
      </c>
      <c r="I115" s="2" t="s">
        <v>140</v>
      </c>
      <c r="J115" s="2" t="s">
        <v>33</v>
      </c>
      <c r="K115" s="2" t="s">
        <v>34</v>
      </c>
      <c r="L115" s="13">
        <v>43953</v>
      </c>
      <c r="M115" s="2">
        <v>96</v>
      </c>
      <c r="N115" s="2">
        <v>134</v>
      </c>
      <c r="O115" s="2">
        <v>138</v>
      </c>
      <c r="P115" s="2">
        <v>1507</v>
      </c>
      <c r="Q115" s="2">
        <v>698</v>
      </c>
      <c r="R115" s="2">
        <v>368</v>
      </c>
      <c r="S115" s="2">
        <v>4127</v>
      </c>
      <c r="T115" s="2">
        <v>839</v>
      </c>
      <c r="U115" s="2">
        <v>60</v>
      </c>
      <c r="V115" s="12">
        <f>ABS(RPG_dataset[[#This Row],[Win Rate (%)]])</f>
        <v>83</v>
      </c>
      <c r="W115" s="2">
        <v>7358</v>
      </c>
      <c r="X115" s="9">
        <v>552111</v>
      </c>
      <c r="Y115" s="2" t="s">
        <v>36</v>
      </c>
      <c r="Z115" s="2">
        <v>224</v>
      </c>
      <c r="AA115" s="2" t="s">
        <v>1733</v>
      </c>
      <c r="AB115" s="2" t="b">
        <v>0</v>
      </c>
      <c r="AC115" s="2" t="s">
        <v>1730</v>
      </c>
      <c r="AD115" s="2" t="s">
        <v>1727</v>
      </c>
      <c r="AE115" s="2" t="s">
        <v>1728</v>
      </c>
      <c r="AF115" s="2" t="s">
        <v>1740</v>
      </c>
      <c r="AG115" s="28">
        <f>MAX(clean_data[[#This Row],[ATK]:[SPD]]) - MIN(clean_data[[#This Row],[ATK]:[SPD]])</f>
        <v>42</v>
      </c>
      <c r="AH115" s="28" t="str">
        <f>IF(clean_data[[#This Row],[Balanced Score]] = MIN(clean_data[Balanced Score]), "Most Balanced", "")</f>
        <v/>
      </c>
    </row>
    <row r="116" spans="1:34" x14ac:dyDescent="0.3">
      <c r="A116" s="2" t="s">
        <v>509</v>
      </c>
      <c r="B116" s="2" t="s">
        <v>510</v>
      </c>
      <c r="C116" s="2" t="s">
        <v>97</v>
      </c>
      <c r="D116" s="2" t="s">
        <v>210</v>
      </c>
      <c r="E116" s="2" t="s">
        <v>29</v>
      </c>
      <c r="F116" s="2" t="s">
        <v>42</v>
      </c>
      <c r="G116" s="2">
        <v>85</v>
      </c>
      <c r="H116" s="2" t="s">
        <v>31</v>
      </c>
      <c r="I116" s="2" t="s">
        <v>32</v>
      </c>
      <c r="J116" s="2" t="s">
        <v>92</v>
      </c>
      <c r="K116" s="2" t="s">
        <v>44</v>
      </c>
      <c r="L116" s="13">
        <v>45463</v>
      </c>
      <c r="M116" s="2">
        <v>138</v>
      </c>
      <c r="N116" s="2">
        <v>120</v>
      </c>
      <c r="O116" s="2">
        <v>31</v>
      </c>
      <c r="P116" s="2">
        <v>659</v>
      </c>
      <c r="Q116" s="2">
        <v>2194</v>
      </c>
      <c r="R116" s="2">
        <v>289</v>
      </c>
      <c r="S116" s="2">
        <v>964</v>
      </c>
      <c r="T116" s="2"/>
      <c r="U116" s="2">
        <v>234</v>
      </c>
      <c r="V116" s="12">
        <f>ABS(RPG_dataset[[#This Row],[Win Rate (%)]])</f>
        <v>75</v>
      </c>
      <c r="W116" s="2">
        <v>8531</v>
      </c>
      <c r="X116" s="9">
        <v>539435</v>
      </c>
      <c r="Y116" s="2" t="s">
        <v>46</v>
      </c>
      <c r="Z116" s="2">
        <v>233</v>
      </c>
      <c r="AA116" s="2" t="s">
        <v>1737</v>
      </c>
      <c r="AB116" s="2" t="b">
        <v>1</v>
      </c>
      <c r="AC116" s="2" t="s">
        <v>1730</v>
      </c>
      <c r="AD116" s="2" t="s">
        <v>1727</v>
      </c>
      <c r="AE116" s="2" t="s">
        <v>1728</v>
      </c>
      <c r="AF116" s="2" t="s">
        <v>1729</v>
      </c>
      <c r="AG116" s="28">
        <f>MAX(clean_data[[#This Row],[ATK]:[SPD]]) - MIN(clean_data[[#This Row],[ATK]:[SPD]])</f>
        <v>107</v>
      </c>
      <c r="AH116" s="28" t="str">
        <f>IF(clean_data[[#This Row],[Balanced Score]] = MIN(clean_data[Balanced Score]), "Most Balanced", "")</f>
        <v/>
      </c>
    </row>
    <row r="117" spans="1:34" x14ac:dyDescent="0.3">
      <c r="A117" s="2" t="s">
        <v>512</v>
      </c>
      <c r="B117" s="2" t="s">
        <v>513</v>
      </c>
      <c r="C117" s="2" t="s">
        <v>203</v>
      </c>
      <c r="D117" s="2" t="s">
        <v>104</v>
      </c>
      <c r="E117" s="2" t="s">
        <v>228</v>
      </c>
      <c r="F117" s="2" t="s">
        <v>98</v>
      </c>
      <c r="G117" s="2">
        <v>98</v>
      </c>
      <c r="H117" s="2" t="s">
        <v>73</v>
      </c>
      <c r="I117" s="2" t="s">
        <v>140</v>
      </c>
      <c r="J117" s="2" t="s">
        <v>163</v>
      </c>
      <c r="K117" s="2" t="s">
        <v>44</v>
      </c>
      <c r="L117" s="13">
        <v>43773</v>
      </c>
      <c r="M117" s="2">
        <v>127</v>
      </c>
      <c r="N117" s="2">
        <v>138</v>
      </c>
      <c r="O117" s="2">
        <v>138</v>
      </c>
      <c r="P117" s="2">
        <v>2484</v>
      </c>
      <c r="Q117" s="2">
        <v>2814</v>
      </c>
      <c r="R117" s="2">
        <v>403</v>
      </c>
      <c r="S117" s="2">
        <v>2816</v>
      </c>
      <c r="T117" s="2">
        <v>490</v>
      </c>
      <c r="U117" s="2">
        <v>193</v>
      </c>
      <c r="V117" s="12">
        <f>ABS(RPG_dataset[[#This Row],[Win Rate (%)]])</f>
        <v>85</v>
      </c>
      <c r="W117" s="2">
        <v>7018</v>
      </c>
      <c r="X117" s="9">
        <v>923221</v>
      </c>
      <c r="Y117" s="2" t="s">
        <v>36</v>
      </c>
      <c r="Z117" s="2">
        <v>38</v>
      </c>
      <c r="AA117" s="2" t="s">
        <v>1737</v>
      </c>
      <c r="AB117" s="2" t="b">
        <v>1</v>
      </c>
      <c r="AC117" s="2" t="s">
        <v>1730</v>
      </c>
      <c r="AD117" s="2" t="s">
        <v>1741</v>
      </c>
      <c r="AE117" s="2" t="s">
        <v>1731</v>
      </c>
      <c r="AF117" s="2" t="s">
        <v>1740</v>
      </c>
      <c r="AG117" s="28">
        <f>MAX(clean_data[[#This Row],[ATK]:[SPD]]) - MIN(clean_data[[#This Row],[ATK]:[SPD]])</f>
        <v>11</v>
      </c>
      <c r="AH117" s="28" t="str">
        <f>IF(clean_data[[#This Row],[Balanced Score]] = MIN(clean_data[Balanced Score]), "Most Balanced", "")</f>
        <v/>
      </c>
    </row>
    <row r="118" spans="1:34" x14ac:dyDescent="0.3">
      <c r="A118" s="2" t="s">
        <v>515</v>
      </c>
      <c r="B118" s="2" t="s">
        <v>516</v>
      </c>
      <c r="C118" s="2" t="s">
        <v>517</v>
      </c>
      <c r="D118" s="2" t="s">
        <v>304</v>
      </c>
      <c r="E118" s="2" t="s">
        <v>41</v>
      </c>
      <c r="F118" s="2" t="s">
        <v>124</v>
      </c>
      <c r="G118" s="2">
        <v>4</v>
      </c>
      <c r="H118" s="2" t="s">
        <v>43</v>
      </c>
      <c r="I118" s="2" t="s">
        <v>63</v>
      </c>
      <c r="J118" s="2" t="s">
        <v>64</v>
      </c>
      <c r="K118" s="2" t="s">
        <v>99</v>
      </c>
      <c r="L118" s="13">
        <v>45543</v>
      </c>
      <c r="M118" s="2">
        <v>96</v>
      </c>
      <c r="N118" s="2">
        <v>95</v>
      </c>
      <c r="O118" s="2">
        <v>19</v>
      </c>
      <c r="P118" s="2">
        <v>3194</v>
      </c>
      <c r="Q118" s="2">
        <v>2596</v>
      </c>
      <c r="R118" s="2">
        <v>210</v>
      </c>
      <c r="S118" s="2">
        <v>2186</v>
      </c>
      <c r="T118" s="2">
        <v>653</v>
      </c>
      <c r="U118" s="2">
        <v>33</v>
      </c>
      <c r="V118" s="12">
        <f>ABS(RPG_dataset[[#This Row],[Win Rate (%)]])</f>
        <v>77</v>
      </c>
      <c r="W118" s="2">
        <v>9532</v>
      </c>
      <c r="X118" s="9">
        <v>645584</v>
      </c>
      <c r="Y118" s="2" t="s">
        <v>36</v>
      </c>
      <c r="Z118" s="2">
        <v>177</v>
      </c>
      <c r="AA118" s="2" t="s">
        <v>1735</v>
      </c>
      <c r="AB118" s="2" t="b">
        <v>0</v>
      </c>
      <c r="AC118" s="2" t="s">
        <v>1730</v>
      </c>
      <c r="AD118" s="2" t="s">
        <v>1727</v>
      </c>
      <c r="AE118" s="2" t="s">
        <v>1728</v>
      </c>
      <c r="AF118" s="2" t="s">
        <v>1734</v>
      </c>
      <c r="AG118" s="28">
        <f>MAX(clean_data[[#This Row],[ATK]:[SPD]]) - MIN(clean_data[[#This Row],[ATK]:[SPD]])</f>
        <v>77</v>
      </c>
      <c r="AH118" s="28" t="str">
        <f>IF(clean_data[[#This Row],[Balanced Score]] = MIN(clean_data[Balanced Score]), "Most Balanced", "")</f>
        <v/>
      </c>
    </row>
    <row r="119" spans="1:34" x14ac:dyDescent="0.3">
      <c r="A119" s="2" t="s">
        <v>520</v>
      </c>
      <c r="B119" s="2" t="s">
        <v>521</v>
      </c>
      <c r="C119" s="2" t="s">
        <v>130</v>
      </c>
      <c r="D119" s="2" t="s">
        <v>70</v>
      </c>
      <c r="E119" s="2" t="s">
        <v>228</v>
      </c>
      <c r="F119" s="2" t="s">
        <v>52</v>
      </c>
      <c r="G119" s="2">
        <v>95</v>
      </c>
      <c r="H119" s="2" t="s">
        <v>62</v>
      </c>
      <c r="I119" s="2" t="s">
        <v>63</v>
      </c>
      <c r="J119" s="2" t="s">
        <v>120</v>
      </c>
      <c r="K119" s="2" t="s">
        <v>44</v>
      </c>
      <c r="L119" s="13">
        <v>44338</v>
      </c>
      <c r="M119" s="2">
        <v>75</v>
      </c>
      <c r="N119" s="2">
        <v>70</v>
      </c>
      <c r="O119" s="2">
        <v>76</v>
      </c>
      <c r="P119" s="2">
        <v>4383</v>
      </c>
      <c r="Q119" s="2">
        <v>2228</v>
      </c>
      <c r="R119" s="2">
        <v>221</v>
      </c>
      <c r="S119" s="2">
        <v>761</v>
      </c>
      <c r="T119" s="2">
        <v>733</v>
      </c>
      <c r="U119" s="2">
        <v>125</v>
      </c>
      <c r="V119" s="12">
        <f>ABS(RPG_dataset[[#This Row],[Win Rate (%)]])</f>
        <v>51</v>
      </c>
      <c r="W119" s="2">
        <v>9861</v>
      </c>
      <c r="X119" s="9"/>
      <c r="Y119" s="2" t="s">
        <v>36</v>
      </c>
      <c r="Z119" s="2">
        <v>486</v>
      </c>
      <c r="AA119" s="2" t="s">
        <v>1737</v>
      </c>
      <c r="AB119" s="2" t="b">
        <v>1</v>
      </c>
      <c r="AC119" s="2" t="s">
        <v>1738</v>
      </c>
      <c r="AD119" s="2" t="s">
        <v>1727</v>
      </c>
      <c r="AE119" s="2" t="s">
        <v>1728</v>
      </c>
      <c r="AF119" s="2" t="s">
        <v>1729</v>
      </c>
      <c r="AG119" s="28">
        <f>MAX(clean_data[[#This Row],[ATK]:[SPD]]) - MIN(clean_data[[#This Row],[ATK]:[SPD]])</f>
        <v>6</v>
      </c>
      <c r="AH119" s="28" t="str">
        <f>IF(clean_data[[#This Row],[Balanced Score]] = MIN(clean_data[Balanced Score]), "Most Balanced", "")</f>
        <v/>
      </c>
    </row>
    <row r="120" spans="1:34" x14ac:dyDescent="0.3">
      <c r="A120" s="2" t="s">
        <v>524</v>
      </c>
      <c r="B120" s="2" t="s">
        <v>525</v>
      </c>
      <c r="C120" s="2" t="s">
        <v>276</v>
      </c>
      <c r="D120" s="2" t="s">
        <v>144</v>
      </c>
      <c r="E120" s="2" t="s">
        <v>228</v>
      </c>
      <c r="F120" s="2" t="s">
        <v>124</v>
      </c>
      <c r="G120" s="2">
        <v>95</v>
      </c>
      <c r="H120" s="2" t="s">
        <v>157</v>
      </c>
      <c r="I120" s="2" t="s">
        <v>74</v>
      </c>
      <c r="J120" s="2" t="s">
        <v>92</v>
      </c>
      <c r="K120" s="2" t="s">
        <v>44</v>
      </c>
      <c r="L120" s="13">
        <v>44172</v>
      </c>
      <c r="M120" s="2">
        <v>127</v>
      </c>
      <c r="N120" s="2">
        <v>15</v>
      </c>
      <c r="O120" s="2">
        <v>136</v>
      </c>
      <c r="P120" s="2">
        <v>365</v>
      </c>
      <c r="Q120" s="2">
        <v>326</v>
      </c>
      <c r="R120" s="2">
        <v>278</v>
      </c>
      <c r="S120" s="2">
        <v>1880</v>
      </c>
      <c r="T120" s="2">
        <v>797</v>
      </c>
      <c r="U120" s="2">
        <v>67</v>
      </c>
      <c r="V120" s="12">
        <f>ABS(RPG_dataset[[#This Row],[Win Rate (%)]])</f>
        <v>70</v>
      </c>
      <c r="W120" s="2">
        <v>4862</v>
      </c>
      <c r="X120" s="9">
        <v>498015</v>
      </c>
      <c r="Y120" s="2" t="s">
        <v>46</v>
      </c>
      <c r="Z120" s="2">
        <v>253</v>
      </c>
      <c r="AA120" s="2" t="s">
        <v>1737</v>
      </c>
      <c r="AB120" s="2" t="b">
        <v>1</v>
      </c>
      <c r="AC120" s="2" t="s">
        <v>1738</v>
      </c>
      <c r="AD120" s="2" t="s">
        <v>1727</v>
      </c>
      <c r="AE120" s="2" t="s">
        <v>1728</v>
      </c>
      <c r="AF120" s="2" t="s">
        <v>1736</v>
      </c>
      <c r="AG120" s="28">
        <f>MAX(clean_data[[#This Row],[ATK]:[SPD]]) - MIN(clean_data[[#This Row],[ATK]:[SPD]])</f>
        <v>121</v>
      </c>
      <c r="AH120" s="28" t="str">
        <f>IF(clean_data[[#This Row],[Balanced Score]] = MIN(clean_data[Balanced Score]), "Most Balanced", "")</f>
        <v/>
      </c>
    </row>
    <row r="121" spans="1:34" x14ac:dyDescent="0.3">
      <c r="A121" s="2" t="s">
        <v>527</v>
      </c>
      <c r="B121" s="2" t="s">
        <v>528</v>
      </c>
      <c r="C121" s="2" t="s">
        <v>233</v>
      </c>
      <c r="D121" s="2" t="s">
        <v>28</v>
      </c>
      <c r="E121" s="2" t="s">
        <v>71</v>
      </c>
      <c r="F121" s="2" t="s">
        <v>124</v>
      </c>
      <c r="G121" s="2">
        <v>85</v>
      </c>
      <c r="H121" s="2" t="s">
        <v>53</v>
      </c>
      <c r="I121" s="2" t="s">
        <v>63</v>
      </c>
      <c r="J121" s="2" t="s">
        <v>120</v>
      </c>
      <c r="K121" s="2" t="s">
        <v>99</v>
      </c>
      <c r="L121" s="13">
        <v>43209</v>
      </c>
      <c r="M121" s="2">
        <v>94</v>
      </c>
      <c r="N121" s="2">
        <v>66</v>
      </c>
      <c r="O121" s="2">
        <v>73</v>
      </c>
      <c r="P121" s="2">
        <v>4758</v>
      </c>
      <c r="Q121" s="2">
        <v>687</v>
      </c>
      <c r="R121" s="2">
        <v>233</v>
      </c>
      <c r="S121" s="2">
        <v>2842</v>
      </c>
      <c r="T121" s="2">
        <v>300</v>
      </c>
      <c r="U121" s="2">
        <v>19</v>
      </c>
      <c r="V121" s="12">
        <f>ABS(RPG_dataset[[#This Row],[Win Rate (%)]])</f>
        <v>90</v>
      </c>
      <c r="W121" s="2">
        <v>1589</v>
      </c>
      <c r="X121" s="9">
        <v>482919</v>
      </c>
      <c r="Y121" s="2" t="s">
        <v>36</v>
      </c>
      <c r="Z121" s="2">
        <v>264</v>
      </c>
      <c r="AA121" s="2" t="s">
        <v>1737</v>
      </c>
      <c r="AB121" s="2" t="b">
        <v>0</v>
      </c>
      <c r="AC121" s="2" t="s">
        <v>1730</v>
      </c>
      <c r="AD121" s="2" t="s">
        <v>1727</v>
      </c>
      <c r="AE121" s="2" t="s">
        <v>1731</v>
      </c>
      <c r="AF121" s="2" t="s">
        <v>1732</v>
      </c>
      <c r="AG121" s="28">
        <f>MAX(clean_data[[#This Row],[ATK]:[SPD]]) - MIN(clean_data[[#This Row],[ATK]:[SPD]])</f>
        <v>28</v>
      </c>
      <c r="AH121" s="28" t="str">
        <f>IF(clean_data[[#This Row],[Balanced Score]] = MIN(clean_data[Balanced Score]), "Most Balanced", "")</f>
        <v/>
      </c>
    </row>
    <row r="122" spans="1:34" x14ac:dyDescent="0.3">
      <c r="A122" s="2" t="s">
        <v>530</v>
      </c>
      <c r="B122" s="2" t="s">
        <v>531</v>
      </c>
      <c r="C122" s="2" t="s">
        <v>27</v>
      </c>
      <c r="D122" s="2" t="s">
        <v>254</v>
      </c>
      <c r="E122" s="2" t="s">
        <v>105</v>
      </c>
      <c r="F122" s="2" t="s">
        <v>124</v>
      </c>
      <c r="G122" s="2">
        <v>86</v>
      </c>
      <c r="H122" s="2" t="s">
        <v>31</v>
      </c>
      <c r="I122" s="2" t="s">
        <v>87</v>
      </c>
      <c r="J122" s="2" t="s">
        <v>92</v>
      </c>
      <c r="K122" s="2" t="s">
        <v>44</v>
      </c>
      <c r="L122" s="13">
        <v>44998</v>
      </c>
      <c r="M122" s="2">
        <v>129</v>
      </c>
      <c r="N122" s="2">
        <v>27</v>
      </c>
      <c r="O122" s="2">
        <v>19</v>
      </c>
      <c r="P122" s="2">
        <v>1458</v>
      </c>
      <c r="Q122" s="2">
        <v>656</v>
      </c>
      <c r="R122" s="2">
        <v>175</v>
      </c>
      <c r="S122" s="2">
        <v>4048</v>
      </c>
      <c r="T122" s="2">
        <v>368</v>
      </c>
      <c r="U122" s="2">
        <v>46</v>
      </c>
      <c r="V122" s="12">
        <f>ABS(RPG_dataset[[#This Row],[Win Rate (%)]])</f>
        <v>92</v>
      </c>
      <c r="W122" s="2">
        <v>2910</v>
      </c>
      <c r="X122" s="9">
        <v>786217</v>
      </c>
      <c r="Y122" s="2" t="s">
        <v>36</v>
      </c>
      <c r="Z122" s="2">
        <v>116</v>
      </c>
      <c r="AA122" s="2" t="s">
        <v>1737</v>
      </c>
      <c r="AB122" s="2" t="b">
        <v>1</v>
      </c>
      <c r="AC122" s="2" t="s">
        <v>1730</v>
      </c>
      <c r="AD122" s="2" t="s">
        <v>1727</v>
      </c>
      <c r="AE122" s="2" t="s">
        <v>1731</v>
      </c>
      <c r="AF122" s="2" t="s">
        <v>1729</v>
      </c>
      <c r="AG122" s="28">
        <f>MAX(clean_data[[#This Row],[ATK]:[SPD]]) - MIN(clean_data[[#This Row],[ATK]:[SPD]])</f>
        <v>110</v>
      </c>
      <c r="AH122" s="28" t="str">
        <f>IF(clean_data[[#This Row],[Balanced Score]] = MIN(clean_data[Balanced Score]), "Most Balanced", "")</f>
        <v/>
      </c>
    </row>
    <row r="123" spans="1:34" x14ac:dyDescent="0.3">
      <c r="A123" s="2" t="s">
        <v>534</v>
      </c>
      <c r="B123" s="2" t="s">
        <v>535</v>
      </c>
      <c r="C123" s="2" t="s">
        <v>203</v>
      </c>
      <c r="D123" s="2" t="s">
        <v>401</v>
      </c>
      <c r="E123" s="2" t="s">
        <v>41</v>
      </c>
      <c r="F123" s="2" t="s">
        <v>61</v>
      </c>
      <c r="G123" s="2">
        <v>33</v>
      </c>
      <c r="H123" s="2" t="s">
        <v>53</v>
      </c>
      <c r="I123" s="2" t="s">
        <v>63</v>
      </c>
      <c r="J123" s="2" t="s">
        <v>33</v>
      </c>
      <c r="K123" s="2" t="s">
        <v>34</v>
      </c>
      <c r="L123" s="13">
        <v>44055</v>
      </c>
      <c r="M123" s="2">
        <v>46</v>
      </c>
      <c r="N123" s="2">
        <v>20</v>
      </c>
      <c r="O123" s="2">
        <v>30</v>
      </c>
      <c r="P123" s="2">
        <v>3841</v>
      </c>
      <c r="Q123" s="2">
        <v>2543</v>
      </c>
      <c r="R123" s="2">
        <v>96</v>
      </c>
      <c r="S123" s="2">
        <v>1405</v>
      </c>
      <c r="T123" s="2">
        <v>787</v>
      </c>
      <c r="U123" s="2">
        <v>89</v>
      </c>
      <c r="V123" s="12">
        <f>ABS(RPG_dataset[[#This Row],[Win Rate (%)]])</f>
        <v>64</v>
      </c>
      <c r="W123" s="2">
        <v>4553</v>
      </c>
      <c r="X123" s="9">
        <v>259646</v>
      </c>
      <c r="Y123" s="2" t="s">
        <v>46</v>
      </c>
      <c r="Z123" s="2">
        <v>371</v>
      </c>
      <c r="AA123" s="2" t="s">
        <v>1733</v>
      </c>
      <c r="AB123" s="2" t="b">
        <v>0</v>
      </c>
      <c r="AC123" s="2" t="s">
        <v>1738</v>
      </c>
      <c r="AD123" s="2" t="s">
        <v>1727</v>
      </c>
      <c r="AE123" s="2" t="s">
        <v>1742</v>
      </c>
      <c r="AF123" s="2" t="s">
        <v>1729</v>
      </c>
      <c r="AG123" s="28">
        <f>MAX(clean_data[[#This Row],[ATK]:[SPD]]) - MIN(clean_data[[#This Row],[ATK]:[SPD]])</f>
        <v>26</v>
      </c>
      <c r="AH123" s="28" t="str">
        <f>IF(clean_data[[#This Row],[Balanced Score]] = MIN(clean_data[Balanced Score]), "Most Balanced", "")</f>
        <v/>
      </c>
    </row>
    <row r="124" spans="1:34" x14ac:dyDescent="0.3">
      <c r="A124" s="2" t="s">
        <v>538</v>
      </c>
      <c r="B124" s="2" t="s">
        <v>539</v>
      </c>
      <c r="C124" s="2" t="s">
        <v>507</v>
      </c>
      <c r="D124" s="2" t="s">
        <v>59</v>
      </c>
      <c r="E124" s="2" t="s">
        <v>105</v>
      </c>
      <c r="F124" s="2" t="s">
        <v>30</v>
      </c>
      <c r="G124" s="2">
        <v>90</v>
      </c>
      <c r="H124" s="2" t="s">
        <v>73</v>
      </c>
      <c r="I124" s="2" t="s">
        <v>87</v>
      </c>
      <c r="J124" s="2" t="s">
        <v>64</v>
      </c>
      <c r="K124" s="2" t="s">
        <v>106</v>
      </c>
      <c r="L124" s="13">
        <v>43467</v>
      </c>
      <c r="M124" s="2">
        <v>44</v>
      </c>
      <c r="N124" s="2">
        <v>92</v>
      </c>
      <c r="O124" s="2">
        <v>94</v>
      </c>
      <c r="P124" s="2">
        <v>443</v>
      </c>
      <c r="Q124" s="2">
        <v>1249</v>
      </c>
      <c r="R124" s="2">
        <v>230</v>
      </c>
      <c r="S124" s="2">
        <v>3259</v>
      </c>
      <c r="T124" s="2">
        <v>608</v>
      </c>
      <c r="U124" s="2">
        <v>292</v>
      </c>
      <c r="V124" s="12">
        <f>ABS(RPG_dataset[[#This Row],[Win Rate (%)]])</f>
        <v>84</v>
      </c>
      <c r="W124" s="2">
        <v>9053</v>
      </c>
      <c r="X124" s="9">
        <v>668400</v>
      </c>
      <c r="Y124" s="2" t="s">
        <v>46</v>
      </c>
      <c r="Z124" s="2">
        <v>165</v>
      </c>
      <c r="AA124" s="2" t="s">
        <v>1737</v>
      </c>
      <c r="AB124" s="2" t="b">
        <v>0</v>
      </c>
      <c r="AC124" s="2" t="s">
        <v>1730</v>
      </c>
      <c r="AD124" s="2" t="s">
        <v>1727</v>
      </c>
      <c r="AE124" s="2" t="s">
        <v>1728</v>
      </c>
      <c r="AF124" s="2" t="s">
        <v>1736</v>
      </c>
      <c r="AG124" s="28">
        <f>MAX(clean_data[[#This Row],[ATK]:[SPD]]) - MIN(clean_data[[#This Row],[ATK]:[SPD]])</f>
        <v>50</v>
      </c>
      <c r="AH124" s="28" t="str">
        <f>IF(clean_data[[#This Row],[Balanced Score]] = MIN(clean_data[Balanced Score]), "Most Balanced", "")</f>
        <v/>
      </c>
    </row>
    <row r="125" spans="1:34" x14ac:dyDescent="0.3">
      <c r="A125" s="2" t="s">
        <v>541</v>
      </c>
      <c r="B125" s="2" t="s">
        <v>542</v>
      </c>
      <c r="C125" s="2" t="s">
        <v>543</v>
      </c>
      <c r="D125" s="2" t="s">
        <v>139</v>
      </c>
      <c r="E125" s="2" t="s">
        <v>105</v>
      </c>
      <c r="F125" s="2" t="s">
        <v>98</v>
      </c>
      <c r="G125" s="2">
        <v>64</v>
      </c>
      <c r="H125" s="2" t="s">
        <v>80</v>
      </c>
      <c r="I125" s="2" t="s">
        <v>74</v>
      </c>
      <c r="J125" s="2" t="s">
        <v>33</v>
      </c>
      <c r="K125" s="2" t="s">
        <v>44</v>
      </c>
      <c r="L125" s="13">
        <v>43579</v>
      </c>
      <c r="M125" s="2">
        <v>133</v>
      </c>
      <c r="N125" s="2">
        <v>145</v>
      </c>
      <c r="O125" s="2">
        <v>16</v>
      </c>
      <c r="P125" s="2">
        <v>616</v>
      </c>
      <c r="Q125" s="2">
        <v>2496</v>
      </c>
      <c r="R125" s="2">
        <v>294</v>
      </c>
      <c r="S125" s="2">
        <v>2528</v>
      </c>
      <c r="T125" s="2">
        <v>917</v>
      </c>
      <c r="U125" s="2">
        <v>106</v>
      </c>
      <c r="V125" s="12">
        <f>ABS(RPG_dataset[[#This Row],[Win Rate (%)]])</f>
        <v>73</v>
      </c>
      <c r="W125" s="2">
        <v>1918</v>
      </c>
      <c r="X125" s="9">
        <v>627722</v>
      </c>
      <c r="Y125" s="2" t="s">
        <v>36</v>
      </c>
      <c r="Z125" s="2">
        <v>188</v>
      </c>
      <c r="AA125" s="2" t="s">
        <v>1725</v>
      </c>
      <c r="AB125" s="2" t="b">
        <v>1</v>
      </c>
      <c r="AC125" s="2" t="s">
        <v>1730</v>
      </c>
      <c r="AD125" s="2" t="s">
        <v>1727</v>
      </c>
      <c r="AE125" s="2" t="s">
        <v>1731</v>
      </c>
      <c r="AF125" s="2" t="s">
        <v>1729</v>
      </c>
      <c r="AG125" s="28">
        <f>MAX(clean_data[[#This Row],[ATK]:[SPD]]) - MIN(clean_data[[#This Row],[ATK]:[SPD]])</f>
        <v>129</v>
      </c>
      <c r="AH125" s="28" t="str">
        <f>IF(clean_data[[#This Row],[Balanced Score]] = MIN(clean_data[Balanced Score]), "Most Balanced", "")</f>
        <v/>
      </c>
    </row>
    <row r="126" spans="1:34" x14ac:dyDescent="0.3">
      <c r="A126" s="2" t="s">
        <v>545</v>
      </c>
      <c r="B126" s="2" t="s">
        <v>546</v>
      </c>
      <c r="C126" s="2" t="s">
        <v>253</v>
      </c>
      <c r="D126" s="2" t="s">
        <v>210</v>
      </c>
      <c r="E126" s="2" t="s">
        <v>71</v>
      </c>
      <c r="F126" s="2" t="s">
        <v>30</v>
      </c>
      <c r="G126" s="2">
        <v>23</v>
      </c>
      <c r="H126" s="2" t="s">
        <v>125</v>
      </c>
      <c r="I126" s="2" t="s">
        <v>74</v>
      </c>
      <c r="J126" s="2" t="s">
        <v>163</v>
      </c>
      <c r="K126" s="2" t="s">
        <v>99</v>
      </c>
      <c r="L126" s="13">
        <v>44824</v>
      </c>
      <c r="M126" s="2">
        <v>125</v>
      </c>
      <c r="N126" s="2">
        <v>136</v>
      </c>
      <c r="O126" s="2">
        <v>27</v>
      </c>
      <c r="P126" s="2">
        <v>3343</v>
      </c>
      <c r="Q126" s="2">
        <v>405</v>
      </c>
      <c r="R126" s="2">
        <v>288</v>
      </c>
      <c r="S126" s="2">
        <v>30</v>
      </c>
      <c r="T126" s="2">
        <v>161</v>
      </c>
      <c r="U126" s="2">
        <v>35</v>
      </c>
      <c r="V126" s="12">
        <f>ABS(RPG_dataset[[#This Row],[Win Rate (%)]])</f>
        <v>16</v>
      </c>
      <c r="W126" s="2">
        <v>259</v>
      </c>
      <c r="X126" s="9">
        <v>701780</v>
      </c>
      <c r="Y126" s="2" t="s">
        <v>36</v>
      </c>
      <c r="Z126" s="2">
        <v>148</v>
      </c>
      <c r="AA126" s="2" t="s">
        <v>1735</v>
      </c>
      <c r="AB126" s="2" t="b">
        <v>0</v>
      </c>
      <c r="AC126" s="2" t="s">
        <v>1726</v>
      </c>
      <c r="AD126" s="2" t="s">
        <v>1727</v>
      </c>
      <c r="AE126" s="2" t="s">
        <v>1728</v>
      </c>
      <c r="AF126" s="2" t="s">
        <v>1734</v>
      </c>
      <c r="AG126" s="28">
        <f>MAX(clean_data[[#This Row],[ATK]:[SPD]]) - MIN(clean_data[[#This Row],[ATK]:[SPD]])</f>
        <v>109</v>
      </c>
      <c r="AH126" s="28" t="str">
        <f>IF(clean_data[[#This Row],[Balanced Score]] = MIN(clean_data[Balanced Score]), "Most Balanced", "")</f>
        <v/>
      </c>
    </row>
    <row r="127" spans="1:34" x14ac:dyDescent="0.3">
      <c r="A127" s="2" t="s">
        <v>549</v>
      </c>
      <c r="B127" s="2" t="s">
        <v>550</v>
      </c>
      <c r="C127" s="2" t="s">
        <v>39</v>
      </c>
      <c r="D127" s="2" t="s">
        <v>144</v>
      </c>
      <c r="E127" s="2" t="s">
        <v>169</v>
      </c>
      <c r="F127" s="2" t="s">
        <v>124</v>
      </c>
      <c r="G127" s="2">
        <v>96</v>
      </c>
      <c r="H127" s="2" t="s">
        <v>157</v>
      </c>
      <c r="I127" s="2" t="s">
        <v>32</v>
      </c>
      <c r="J127" s="2" t="s">
        <v>120</v>
      </c>
      <c r="K127" s="2" t="s">
        <v>44</v>
      </c>
      <c r="L127" s="13">
        <v>43139</v>
      </c>
      <c r="M127" s="2">
        <v>61</v>
      </c>
      <c r="N127" s="2">
        <v>40</v>
      </c>
      <c r="O127" s="2">
        <v>58</v>
      </c>
      <c r="P127" s="2">
        <v>4691</v>
      </c>
      <c r="Q127" s="2">
        <v>1834</v>
      </c>
      <c r="R127" s="2">
        <v>159</v>
      </c>
      <c r="S127" s="2">
        <v>1933</v>
      </c>
      <c r="T127" s="2">
        <v>765</v>
      </c>
      <c r="U127" s="2">
        <v>76</v>
      </c>
      <c r="V127" s="12">
        <f>ABS(RPG_dataset[[#This Row],[Win Rate (%)]])</f>
        <v>72</v>
      </c>
      <c r="W127" s="2">
        <v>2565</v>
      </c>
      <c r="X127" s="9">
        <v>872225</v>
      </c>
      <c r="Y127" s="2" t="s">
        <v>46</v>
      </c>
      <c r="Z127" s="2">
        <v>61</v>
      </c>
      <c r="AA127" s="2" t="s">
        <v>1737</v>
      </c>
      <c r="AB127" s="2" t="b">
        <v>1</v>
      </c>
      <c r="AC127" s="2" t="s">
        <v>1730</v>
      </c>
      <c r="AD127" s="2" t="s">
        <v>1727</v>
      </c>
      <c r="AE127" s="2" t="s">
        <v>1728</v>
      </c>
      <c r="AF127" s="2" t="s">
        <v>1729</v>
      </c>
      <c r="AG127" s="28">
        <f>MAX(clean_data[[#This Row],[ATK]:[SPD]]) - MIN(clean_data[[#This Row],[ATK]:[SPD]])</f>
        <v>21</v>
      </c>
      <c r="AH127" s="28" t="str">
        <f>IF(clean_data[[#This Row],[Balanced Score]] = MIN(clean_data[Balanced Score]), "Most Balanced", "")</f>
        <v/>
      </c>
    </row>
    <row r="128" spans="1:34" x14ac:dyDescent="0.3">
      <c r="A128" s="2" t="s">
        <v>553</v>
      </c>
      <c r="B128" s="2" t="s">
        <v>554</v>
      </c>
      <c r="C128" s="2" t="s">
        <v>223</v>
      </c>
      <c r="D128" s="2" t="s">
        <v>119</v>
      </c>
      <c r="E128" s="2" t="s">
        <v>169</v>
      </c>
      <c r="F128" s="2" t="s">
        <v>194</v>
      </c>
      <c r="G128" s="2">
        <v>12</v>
      </c>
      <c r="H128" s="2" t="s">
        <v>31</v>
      </c>
      <c r="I128" s="2" t="s">
        <v>74</v>
      </c>
      <c r="J128" s="2" t="s">
        <v>64</v>
      </c>
      <c r="K128" s="2" t="s">
        <v>106</v>
      </c>
      <c r="L128" s="13">
        <v>43639</v>
      </c>
      <c r="M128" s="2">
        <v>59</v>
      </c>
      <c r="N128" s="2">
        <v>40</v>
      </c>
      <c r="O128" s="2"/>
      <c r="P128" s="2">
        <v>207</v>
      </c>
      <c r="Q128" s="2">
        <v>521</v>
      </c>
      <c r="R128" s="2">
        <v>175</v>
      </c>
      <c r="S128" s="2">
        <v>1401</v>
      </c>
      <c r="T128" s="2">
        <v>29</v>
      </c>
      <c r="U128" s="2">
        <v>244</v>
      </c>
      <c r="V128" s="12">
        <f>ABS(RPG_dataset[[#This Row],[Win Rate (%)]])</f>
        <v>98</v>
      </c>
      <c r="W128" s="2">
        <v>6638</v>
      </c>
      <c r="X128" s="9">
        <v>434387</v>
      </c>
      <c r="Y128" s="2" t="s">
        <v>46</v>
      </c>
      <c r="Z128" s="2">
        <v>289</v>
      </c>
      <c r="AA128" s="2" t="s">
        <v>1735</v>
      </c>
      <c r="AB128" s="2" t="b">
        <v>0</v>
      </c>
      <c r="AC128" s="2" t="s">
        <v>1730</v>
      </c>
      <c r="AD128" s="2" t="s">
        <v>1727</v>
      </c>
      <c r="AE128" s="2" t="s">
        <v>1728</v>
      </c>
      <c r="AF128" s="2" t="s">
        <v>1729</v>
      </c>
      <c r="AG128" s="28">
        <f>MAX(clean_data[[#This Row],[ATK]:[SPD]]) - MIN(clean_data[[#This Row],[ATK]:[SPD]])</f>
        <v>19</v>
      </c>
      <c r="AH128" s="28" t="str">
        <f>IF(clean_data[[#This Row],[Balanced Score]] = MIN(clean_data[Balanced Score]), "Most Balanced", "")</f>
        <v/>
      </c>
    </row>
    <row r="129" spans="1:34" x14ac:dyDescent="0.3">
      <c r="A129" s="2" t="s">
        <v>556</v>
      </c>
      <c r="B129" s="2" t="s">
        <v>557</v>
      </c>
      <c r="C129" s="2" t="s">
        <v>69</v>
      </c>
      <c r="D129" s="2" t="s">
        <v>131</v>
      </c>
      <c r="E129" s="2" t="s">
        <v>169</v>
      </c>
      <c r="F129" s="2" t="s">
        <v>52</v>
      </c>
      <c r="G129" s="2">
        <v>95</v>
      </c>
      <c r="H129" s="2" t="s">
        <v>53</v>
      </c>
      <c r="I129" s="2" t="s">
        <v>140</v>
      </c>
      <c r="J129" s="2" t="s">
        <v>120</v>
      </c>
      <c r="K129" s="2" t="s">
        <v>44</v>
      </c>
      <c r="L129" s="13">
        <v>43925</v>
      </c>
      <c r="M129" s="2">
        <v>82</v>
      </c>
      <c r="N129" s="2">
        <v>42</v>
      </c>
      <c r="O129" s="2">
        <v>84</v>
      </c>
      <c r="P129" s="2">
        <v>3530</v>
      </c>
      <c r="Q129" s="2">
        <v>274</v>
      </c>
      <c r="R129" s="2">
        <v>208</v>
      </c>
      <c r="S129" s="2">
        <v>458</v>
      </c>
      <c r="T129" s="2">
        <v>330</v>
      </c>
      <c r="U129" s="2">
        <v>15</v>
      </c>
      <c r="V129" s="12">
        <f>ABS(RPG_dataset[[#This Row],[Win Rate (%)]])</f>
        <v>58</v>
      </c>
      <c r="W129" s="2">
        <v>2213</v>
      </c>
      <c r="X129" s="9">
        <v>479148</v>
      </c>
      <c r="Y129" s="2" t="s">
        <v>46</v>
      </c>
      <c r="Z129" s="2">
        <v>267</v>
      </c>
      <c r="AA129" s="2" t="s">
        <v>1737</v>
      </c>
      <c r="AB129" s="2" t="b">
        <v>1</v>
      </c>
      <c r="AC129" s="2" t="s">
        <v>1738</v>
      </c>
      <c r="AD129" s="2" t="s">
        <v>1727</v>
      </c>
      <c r="AE129" s="2" t="s">
        <v>1728</v>
      </c>
      <c r="AF129" s="2" t="s">
        <v>1740</v>
      </c>
      <c r="AG129" s="28">
        <f>MAX(clean_data[[#This Row],[ATK]:[SPD]]) - MIN(clean_data[[#This Row],[ATK]:[SPD]])</f>
        <v>42</v>
      </c>
      <c r="AH129" s="28" t="str">
        <f>IF(clean_data[[#This Row],[Balanced Score]] = MIN(clean_data[Balanced Score]), "Most Balanced", "")</f>
        <v/>
      </c>
    </row>
    <row r="130" spans="1:34" x14ac:dyDescent="0.3">
      <c r="A130" s="2" t="s">
        <v>559</v>
      </c>
      <c r="B130" s="2" t="s">
        <v>560</v>
      </c>
      <c r="C130" s="2" t="s">
        <v>253</v>
      </c>
      <c r="D130" s="2" t="s">
        <v>250</v>
      </c>
      <c r="E130" s="2" t="s">
        <v>29</v>
      </c>
      <c r="F130" s="2" t="s">
        <v>52</v>
      </c>
      <c r="G130" s="2">
        <v>29</v>
      </c>
      <c r="H130" s="2" t="s">
        <v>80</v>
      </c>
      <c r="I130" s="2" t="s">
        <v>87</v>
      </c>
      <c r="J130" s="2" t="s">
        <v>163</v>
      </c>
      <c r="K130" s="2" t="s">
        <v>44</v>
      </c>
      <c r="L130" s="13">
        <v>43309</v>
      </c>
      <c r="M130" s="2">
        <v>147</v>
      </c>
      <c r="N130" s="2">
        <v>79</v>
      </c>
      <c r="O130" s="2">
        <v>55</v>
      </c>
      <c r="P130" s="2">
        <v>2604</v>
      </c>
      <c r="Q130" s="2">
        <v>2880</v>
      </c>
      <c r="R130" s="2">
        <v>281</v>
      </c>
      <c r="S130" s="2">
        <v>523</v>
      </c>
      <c r="T130" s="2">
        <v>703</v>
      </c>
      <c r="U130" s="2">
        <v>71</v>
      </c>
      <c r="V130" s="12">
        <f>ABS(RPG_dataset[[#This Row],[Win Rate (%)]])</f>
        <v>43</v>
      </c>
      <c r="W130" s="2">
        <v>7331</v>
      </c>
      <c r="X130" s="9">
        <v>838092</v>
      </c>
      <c r="Y130" s="2" t="s">
        <v>36</v>
      </c>
      <c r="Z130" s="2">
        <v>86</v>
      </c>
      <c r="AA130" s="2" t="s">
        <v>1733</v>
      </c>
      <c r="AB130" s="2" t="b">
        <v>1</v>
      </c>
      <c r="AC130" s="2" t="s">
        <v>1738</v>
      </c>
      <c r="AD130" s="2" t="s">
        <v>1727</v>
      </c>
      <c r="AE130" s="2" t="s">
        <v>1728</v>
      </c>
      <c r="AF130" s="2" t="s">
        <v>1729</v>
      </c>
      <c r="AG130" s="28">
        <f>MAX(clean_data[[#This Row],[ATK]:[SPD]]) - MIN(clean_data[[#This Row],[ATK]:[SPD]])</f>
        <v>92</v>
      </c>
      <c r="AH130" s="28" t="str">
        <f>IF(clean_data[[#This Row],[Balanced Score]] = MIN(clean_data[Balanced Score]), "Most Balanced", "")</f>
        <v/>
      </c>
    </row>
    <row r="131" spans="1:34" x14ac:dyDescent="0.3">
      <c r="A131" s="2" t="s">
        <v>563</v>
      </c>
      <c r="B131" s="2" t="s">
        <v>564</v>
      </c>
      <c r="C131" s="2" t="s">
        <v>27</v>
      </c>
      <c r="D131" s="2" t="s">
        <v>139</v>
      </c>
      <c r="E131" s="2" t="s">
        <v>60</v>
      </c>
      <c r="F131" s="2" t="s">
        <v>52</v>
      </c>
      <c r="G131" s="2">
        <v>12</v>
      </c>
      <c r="H131" s="2" t="s">
        <v>43</v>
      </c>
      <c r="I131" s="2" t="s">
        <v>87</v>
      </c>
      <c r="J131" s="2" t="s">
        <v>88</v>
      </c>
      <c r="K131" s="2" t="s">
        <v>106</v>
      </c>
      <c r="L131" s="13">
        <v>45639</v>
      </c>
      <c r="M131" s="2">
        <v>38</v>
      </c>
      <c r="N131" s="2">
        <v>48</v>
      </c>
      <c r="O131" s="2">
        <v>40</v>
      </c>
      <c r="P131" s="2">
        <v>3501</v>
      </c>
      <c r="Q131" s="2">
        <v>1951</v>
      </c>
      <c r="R131" s="2">
        <v>126</v>
      </c>
      <c r="S131" s="2">
        <v>4469</v>
      </c>
      <c r="T131" s="2"/>
      <c r="U131" s="2">
        <v>54</v>
      </c>
      <c r="V131" s="12">
        <f>ABS(RPG_dataset[[#This Row],[Win Rate (%)]])</f>
        <v>97</v>
      </c>
      <c r="W131" s="2">
        <v>783</v>
      </c>
      <c r="X131" s="9"/>
      <c r="Y131" s="2" t="s">
        <v>46</v>
      </c>
      <c r="Z131" s="2">
        <v>486</v>
      </c>
      <c r="AA131" s="2" t="s">
        <v>1735</v>
      </c>
      <c r="AB131" s="2" t="b">
        <v>0</v>
      </c>
      <c r="AC131" s="2" t="s">
        <v>1730</v>
      </c>
      <c r="AD131" s="2" t="s">
        <v>1727</v>
      </c>
      <c r="AE131" s="2" t="s">
        <v>1728</v>
      </c>
      <c r="AF131" s="2" t="s">
        <v>1729</v>
      </c>
      <c r="AG131" s="28">
        <f>MAX(clean_data[[#This Row],[ATK]:[SPD]]) - MIN(clean_data[[#This Row],[ATK]:[SPD]])</f>
        <v>10</v>
      </c>
      <c r="AH131" s="28" t="str">
        <f>IF(clean_data[[#This Row],[Balanced Score]] = MIN(clean_data[Balanced Score]), "Most Balanced", "")</f>
        <v/>
      </c>
    </row>
    <row r="132" spans="1:34" x14ac:dyDescent="0.3">
      <c r="A132" s="2" t="s">
        <v>566</v>
      </c>
      <c r="B132" s="2" t="s">
        <v>567</v>
      </c>
      <c r="C132" s="2" t="s">
        <v>227</v>
      </c>
      <c r="D132" s="2" t="s">
        <v>168</v>
      </c>
      <c r="E132" s="2" t="s">
        <v>228</v>
      </c>
      <c r="F132" s="2" t="s">
        <v>42</v>
      </c>
      <c r="G132" s="2">
        <v>6</v>
      </c>
      <c r="H132" s="2" t="s">
        <v>53</v>
      </c>
      <c r="I132" s="2" t="s">
        <v>63</v>
      </c>
      <c r="J132" s="2" t="s">
        <v>111</v>
      </c>
      <c r="K132" s="2" t="s">
        <v>44</v>
      </c>
      <c r="L132" s="13">
        <v>43867</v>
      </c>
      <c r="M132" s="2">
        <v>137</v>
      </c>
      <c r="N132" s="2">
        <v>102</v>
      </c>
      <c r="O132" s="2">
        <v>84</v>
      </c>
      <c r="P132" s="2">
        <v>1230</v>
      </c>
      <c r="Q132" s="2">
        <v>2633</v>
      </c>
      <c r="R132" s="2">
        <v>323</v>
      </c>
      <c r="S132" s="2">
        <v>3340</v>
      </c>
      <c r="T132" s="2">
        <v>492</v>
      </c>
      <c r="U132" s="2">
        <v>272</v>
      </c>
      <c r="V132" s="12">
        <f>ABS(RPG_dataset[[#This Row],[Win Rate (%)]])</f>
        <v>87</v>
      </c>
      <c r="W132" s="2">
        <v>5213</v>
      </c>
      <c r="X132" s="9">
        <v>842176</v>
      </c>
      <c r="Y132" s="2" t="s">
        <v>36</v>
      </c>
      <c r="Z132" s="2">
        <v>81</v>
      </c>
      <c r="AA132" s="2" t="s">
        <v>1735</v>
      </c>
      <c r="AB132" s="2" t="b">
        <v>1</v>
      </c>
      <c r="AC132" s="2" t="s">
        <v>1730</v>
      </c>
      <c r="AD132" s="2" t="s">
        <v>1727</v>
      </c>
      <c r="AE132" s="2" t="s">
        <v>1728</v>
      </c>
      <c r="AF132" s="2" t="s">
        <v>1736</v>
      </c>
      <c r="AG132" s="28">
        <f>MAX(clean_data[[#This Row],[ATK]:[SPD]]) - MIN(clean_data[[#This Row],[ATK]:[SPD]])</f>
        <v>53</v>
      </c>
      <c r="AH132" s="28" t="str">
        <f>IF(clean_data[[#This Row],[Balanced Score]] = MIN(clean_data[Balanced Score]), "Most Balanced", "")</f>
        <v/>
      </c>
    </row>
    <row r="133" spans="1:34" x14ac:dyDescent="0.3">
      <c r="A133" s="2" t="s">
        <v>569</v>
      </c>
      <c r="B133" s="2" t="s">
        <v>570</v>
      </c>
      <c r="C133" s="2" t="s">
        <v>97</v>
      </c>
      <c r="D133" s="2" t="s">
        <v>139</v>
      </c>
      <c r="E133" s="2" t="s">
        <v>228</v>
      </c>
      <c r="F133" s="2" t="s">
        <v>124</v>
      </c>
      <c r="G133" s="2">
        <v>36</v>
      </c>
      <c r="H133" s="2" t="s">
        <v>53</v>
      </c>
      <c r="I133" s="2" t="s">
        <v>87</v>
      </c>
      <c r="J133" s="2" t="s">
        <v>111</v>
      </c>
      <c r="K133" s="2" t="s">
        <v>34</v>
      </c>
      <c r="L133" s="13">
        <v>43263</v>
      </c>
      <c r="M133" s="2">
        <v>46</v>
      </c>
      <c r="N133" s="2">
        <v>35</v>
      </c>
      <c r="O133" s="2">
        <v>131</v>
      </c>
      <c r="P133" s="2">
        <v>4652</v>
      </c>
      <c r="Q133" s="2">
        <v>2251</v>
      </c>
      <c r="R133" s="2">
        <v>212</v>
      </c>
      <c r="S133" s="2">
        <v>986</v>
      </c>
      <c r="T133" s="2">
        <v>595</v>
      </c>
      <c r="U133" s="2">
        <v>90</v>
      </c>
      <c r="V133" s="12">
        <f>ABS(RPG_dataset[[#This Row],[Win Rate (%)]])</f>
        <v>62</v>
      </c>
      <c r="W133" s="2">
        <v>4673</v>
      </c>
      <c r="X133" s="9">
        <v>941974</v>
      </c>
      <c r="Y133" s="2" t="s">
        <v>46</v>
      </c>
      <c r="Z133" s="2">
        <v>28</v>
      </c>
      <c r="AA133" s="2" t="s">
        <v>1733</v>
      </c>
      <c r="AB133" s="2" t="b">
        <v>0</v>
      </c>
      <c r="AC133" s="2" t="s">
        <v>1738</v>
      </c>
      <c r="AD133" s="2" t="s">
        <v>1727</v>
      </c>
      <c r="AE133" s="2" t="s">
        <v>1742</v>
      </c>
      <c r="AF133" s="2" t="s">
        <v>1736</v>
      </c>
      <c r="AG133" s="28">
        <f>MAX(clean_data[[#This Row],[ATK]:[SPD]]) - MIN(clean_data[[#This Row],[ATK]:[SPD]])</f>
        <v>96</v>
      </c>
      <c r="AH133" s="28" t="str">
        <f>IF(clean_data[[#This Row],[Balanced Score]] = MIN(clean_data[Balanced Score]), "Most Balanced", "")</f>
        <v/>
      </c>
    </row>
    <row r="134" spans="1:34" x14ac:dyDescent="0.3">
      <c r="A134" s="2" t="s">
        <v>572</v>
      </c>
      <c r="B134" s="2" t="s">
        <v>573</v>
      </c>
      <c r="C134" s="2" t="s">
        <v>118</v>
      </c>
      <c r="D134" s="2" t="s">
        <v>59</v>
      </c>
      <c r="E134" s="2" t="s">
        <v>29</v>
      </c>
      <c r="F134" s="2" t="s">
        <v>124</v>
      </c>
      <c r="G134" s="2">
        <v>18</v>
      </c>
      <c r="H134" s="2" t="s">
        <v>62</v>
      </c>
      <c r="I134" s="2" t="s">
        <v>63</v>
      </c>
      <c r="J134" s="2" t="s">
        <v>163</v>
      </c>
      <c r="K134" s="2" t="s">
        <v>99</v>
      </c>
      <c r="L134" s="13">
        <v>44890</v>
      </c>
      <c r="M134" s="2">
        <v>30</v>
      </c>
      <c r="N134" s="2">
        <v>114</v>
      </c>
      <c r="O134" s="2">
        <v>98</v>
      </c>
      <c r="P134" s="2">
        <v>1578</v>
      </c>
      <c r="Q134" s="2">
        <v>243</v>
      </c>
      <c r="R134" s="2">
        <v>242</v>
      </c>
      <c r="S134" s="2">
        <v>1</v>
      </c>
      <c r="T134" s="2">
        <v>46</v>
      </c>
      <c r="U134" s="2">
        <v>17</v>
      </c>
      <c r="V134" s="12">
        <f>ABS(RPG_dataset[[#This Row],[Win Rate (%)]])</f>
        <v>2</v>
      </c>
      <c r="W134" s="2">
        <v>145</v>
      </c>
      <c r="X134" s="9"/>
      <c r="Y134" s="2" t="s">
        <v>46</v>
      </c>
      <c r="Z134" s="2">
        <v>486</v>
      </c>
      <c r="AA134" s="2" t="s">
        <v>1735</v>
      </c>
      <c r="AB134" s="2" t="b">
        <v>0</v>
      </c>
      <c r="AC134" s="2" t="s">
        <v>1726</v>
      </c>
      <c r="AD134" s="2" t="s">
        <v>1727</v>
      </c>
      <c r="AE134" s="2" t="s">
        <v>1742</v>
      </c>
      <c r="AF134" s="2" t="s">
        <v>1736</v>
      </c>
      <c r="AG134" s="28">
        <f>MAX(clean_data[[#This Row],[ATK]:[SPD]]) - MIN(clean_data[[#This Row],[ATK]:[SPD]])</f>
        <v>84</v>
      </c>
      <c r="AH134" s="28" t="str">
        <f>IF(clean_data[[#This Row],[Balanced Score]] = MIN(clean_data[Balanced Score]), "Most Balanced", "")</f>
        <v/>
      </c>
    </row>
    <row r="135" spans="1:34" x14ac:dyDescent="0.3">
      <c r="A135" s="2" t="s">
        <v>575</v>
      </c>
      <c r="B135" s="2" t="s">
        <v>576</v>
      </c>
      <c r="C135" s="2" t="s">
        <v>367</v>
      </c>
      <c r="D135" s="2" t="s">
        <v>131</v>
      </c>
      <c r="E135" s="2" t="s">
        <v>169</v>
      </c>
      <c r="F135" s="2" t="s">
        <v>194</v>
      </c>
      <c r="G135" s="2">
        <v>11</v>
      </c>
      <c r="H135" s="2" t="s">
        <v>31</v>
      </c>
      <c r="I135" s="2" t="s">
        <v>32</v>
      </c>
      <c r="J135" s="2" t="s">
        <v>81</v>
      </c>
      <c r="K135" s="2" t="s">
        <v>106</v>
      </c>
      <c r="L135" s="13">
        <v>44341</v>
      </c>
      <c r="M135" s="2">
        <v>47</v>
      </c>
      <c r="N135" s="2">
        <v>123</v>
      </c>
      <c r="O135" s="2">
        <v>46</v>
      </c>
      <c r="P135" s="2">
        <v>3494</v>
      </c>
      <c r="Q135" s="2">
        <v>2393</v>
      </c>
      <c r="R135" s="2">
        <v>216</v>
      </c>
      <c r="S135" s="2">
        <v>3566</v>
      </c>
      <c r="T135" s="2">
        <v>942</v>
      </c>
      <c r="U135" s="2">
        <v>289</v>
      </c>
      <c r="V135" s="12">
        <f>ABS(RPG_dataset[[#This Row],[Win Rate (%)]])</f>
        <v>79</v>
      </c>
      <c r="W135" s="2">
        <v>8559</v>
      </c>
      <c r="X135" s="9">
        <v>896003</v>
      </c>
      <c r="Y135" s="2" t="s">
        <v>36</v>
      </c>
      <c r="Z135" s="2">
        <v>56</v>
      </c>
      <c r="AA135" s="2" t="s">
        <v>1735</v>
      </c>
      <c r="AB135" s="2" t="b">
        <v>0</v>
      </c>
      <c r="AC135" s="2" t="s">
        <v>1730</v>
      </c>
      <c r="AD135" s="2" t="s">
        <v>1727</v>
      </c>
      <c r="AE135" s="2" t="s">
        <v>1728</v>
      </c>
      <c r="AF135" s="2" t="s">
        <v>1734</v>
      </c>
      <c r="AG135" s="28">
        <f>MAX(clean_data[[#This Row],[ATK]:[SPD]]) - MIN(clean_data[[#This Row],[ATK]:[SPD]])</f>
        <v>77</v>
      </c>
      <c r="AH135" s="28" t="str">
        <f>IF(clean_data[[#This Row],[Balanced Score]] = MIN(clean_data[Balanced Score]), "Most Balanced", "")</f>
        <v/>
      </c>
    </row>
    <row r="136" spans="1:34" x14ac:dyDescent="0.3">
      <c r="A136" s="2" t="s">
        <v>578</v>
      </c>
      <c r="B136" s="2" t="s">
        <v>579</v>
      </c>
      <c r="C136" s="2" t="s">
        <v>110</v>
      </c>
      <c r="D136" s="2" t="s">
        <v>349</v>
      </c>
      <c r="E136" s="2" t="s">
        <v>29</v>
      </c>
      <c r="F136" s="2" t="s">
        <v>72</v>
      </c>
      <c r="G136" s="2">
        <v>46</v>
      </c>
      <c r="H136" s="2" t="s">
        <v>157</v>
      </c>
      <c r="I136" s="2" t="s">
        <v>54</v>
      </c>
      <c r="J136" s="2" t="s">
        <v>81</v>
      </c>
      <c r="K136" s="2" t="s">
        <v>44</v>
      </c>
      <c r="L136" s="13">
        <v>45611</v>
      </c>
      <c r="M136" s="2">
        <v>95</v>
      </c>
      <c r="N136" s="2">
        <v>11</v>
      </c>
      <c r="O136" s="2">
        <v>95</v>
      </c>
      <c r="P136" s="2">
        <v>601</v>
      </c>
      <c r="Q136" s="2">
        <v>1159</v>
      </c>
      <c r="R136" s="2">
        <v>201</v>
      </c>
      <c r="S136" s="2">
        <v>3541</v>
      </c>
      <c r="T136" s="2">
        <v>367</v>
      </c>
      <c r="U136" s="2">
        <v>235</v>
      </c>
      <c r="V136" s="12">
        <f>ABS(RPG_dataset[[#This Row],[Win Rate (%)]])</f>
        <v>91</v>
      </c>
      <c r="W136" s="2">
        <v>7706</v>
      </c>
      <c r="X136" s="9">
        <v>265990</v>
      </c>
      <c r="Y136" s="2" t="s">
        <v>46</v>
      </c>
      <c r="Z136" s="2">
        <v>368</v>
      </c>
      <c r="AA136" s="2" t="s">
        <v>1733</v>
      </c>
      <c r="AB136" s="2" t="b">
        <v>1</v>
      </c>
      <c r="AC136" s="2" t="s">
        <v>1730</v>
      </c>
      <c r="AD136" s="2" t="s">
        <v>1727</v>
      </c>
      <c r="AE136" s="2" t="s">
        <v>1728</v>
      </c>
      <c r="AF136" s="2" t="s">
        <v>1736</v>
      </c>
      <c r="AG136" s="28">
        <f>MAX(clean_data[[#This Row],[ATK]:[SPD]]) - MIN(clean_data[[#This Row],[ATK]:[SPD]])</f>
        <v>84</v>
      </c>
      <c r="AH136" s="28" t="str">
        <f>IF(clean_data[[#This Row],[Balanced Score]] = MIN(clean_data[Balanced Score]), "Most Balanced", "")</f>
        <v/>
      </c>
    </row>
    <row r="137" spans="1:34" x14ac:dyDescent="0.3">
      <c r="A137" s="2" t="s">
        <v>581</v>
      </c>
      <c r="B137" s="2" t="s">
        <v>1716</v>
      </c>
      <c r="C137" s="2" t="s">
        <v>339</v>
      </c>
      <c r="D137" s="2" t="s">
        <v>304</v>
      </c>
      <c r="E137" s="2" t="s">
        <v>60</v>
      </c>
      <c r="F137" s="2" t="s">
        <v>98</v>
      </c>
      <c r="G137" s="2">
        <v>4</v>
      </c>
      <c r="H137" s="2" t="s">
        <v>43</v>
      </c>
      <c r="I137" s="2" t="s">
        <v>54</v>
      </c>
      <c r="J137" s="2" t="s">
        <v>111</v>
      </c>
      <c r="K137" s="2" t="s">
        <v>99</v>
      </c>
      <c r="L137" s="13">
        <v>43819</v>
      </c>
      <c r="M137" s="2">
        <v>129</v>
      </c>
      <c r="N137" s="2">
        <v>14</v>
      </c>
      <c r="O137" s="2">
        <v>78</v>
      </c>
      <c r="P137" s="2">
        <v>2525</v>
      </c>
      <c r="Q137" s="2">
        <v>2326</v>
      </c>
      <c r="R137" s="2">
        <v>221</v>
      </c>
      <c r="S137" s="2">
        <v>4348</v>
      </c>
      <c r="T137" s="2">
        <v>386</v>
      </c>
      <c r="U137" s="2">
        <v>24</v>
      </c>
      <c r="V137" s="12">
        <f>ABS(RPG_dataset[[#This Row],[Win Rate (%)]])</f>
        <v>92</v>
      </c>
      <c r="W137" s="2">
        <v>8328</v>
      </c>
      <c r="X137" s="9">
        <v>667046</v>
      </c>
      <c r="Y137" s="2" t="s">
        <v>36</v>
      </c>
      <c r="Z137" s="2">
        <v>166</v>
      </c>
      <c r="AA137" s="2" t="s">
        <v>1735</v>
      </c>
      <c r="AB137" s="2" t="b">
        <v>0</v>
      </c>
      <c r="AC137" s="2" t="s">
        <v>1730</v>
      </c>
      <c r="AD137" s="2" t="s">
        <v>1727</v>
      </c>
      <c r="AE137" s="2" t="s">
        <v>1728</v>
      </c>
      <c r="AF137" s="2" t="s">
        <v>1732</v>
      </c>
      <c r="AG137" s="28">
        <f>MAX(clean_data[[#This Row],[ATK]:[SPD]]) - MIN(clean_data[[#This Row],[ATK]:[SPD]])</f>
        <v>115</v>
      </c>
      <c r="AH137" s="28" t="str">
        <f>IF(clean_data[[#This Row],[Balanced Score]] = MIN(clean_data[Balanced Score]), "Most Balanced", "")</f>
        <v/>
      </c>
    </row>
    <row r="138" spans="1:34" x14ac:dyDescent="0.3">
      <c r="A138" s="2" t="s">
        <v>584</v>
      </c>
      <c r="B138" s="2" t="s">
        <v>585</v>
      </c>
      <c r="C138" s="2" t="s">
        <v>586</v>
      </c>
      <c r="D138" s="2" t="s">
        <v>162</v>
      </c>
      <c r="E138" s="2" t="s">
        <v>105</v>
      </c>
      <c r="F138" s="2" t="s">
        <v>72</v>
      </c>
      <c r="G138" s="2">
        <v>60</v>
      </c>
      <c r="H138" s="2" t="s">
        <v>62</v>
      </c>
      <c r="I138" s="2" t="s">
        <v>74</v>
      </c>
      <c r="J138" s="2" t="s">
        <v>64</v>
      </c>
      <c r="K138" s="2" t="s">
        <v>44</v>
      </c>
      <c r="L138" s="13">
        <v>44177</v>
      </c>
      <c r="M138" s="2">
        <v>75</v>
      </c>
      <c r="N138" s="2">
        <v>54</v>
      </c>
      <c r="O138" s="2">
        <v>95</v>
      </c>
      <c r="P138" s="2">
        <v>654</v>
      </c>
      <c r="Q138" s="2">
        <v>454</v>
      </c>
      <c r="R138" s="2">
        <v>224</v>
      </c>
      <c r="S138" s="2">
        <v>1973</v>
      </c>
      <c r="T138" s="2">
        <v>394</v>
      </c>
      <c r="U138" s="2">
        <v>133</v>
      </c>
      <c r="V138" s="12">
        <f>ABS(RPG_dataset[[#This Row],[Win Rate (%)]])</f>
        <v>83</v>
      </c>
      <c r="W138" s="2">
        <v>5813</v>
      </c>
      <c r="X138" s="9">
        <v>914714</v>
      </c>
      <c r="Y138" s="2" t="s">
        <v>46</v>
      </c>
      <c r="Z138" s="2">
        <v>46</v>
      </c>
      <c r="AA138" s="2" t="s">
        <v>1725</v>
      </c>
      <c r="AB138" s="2" t="b">
        <v>1</v>
      </c>
      <c r="AC138" s="2" t="s">
        <v>1730</v>
      </c>
      <c r="AD138" s="2" t="s">
        <v>1727</v>
      </c>
      <c r="AE138" s="2" t="s">
        <v>1728</v>
      </c>
      <c r="AF138" s="2" t="s">
        <v>1736</v>
      </c>
      <c r="AG138" s="28">
        <f>MAX(clean_data[[#This Row],[ATK]:[SPD]]) - MIN(clean_data[[#This Row],[ATK]:[SPD]])</f>
        <v>41</v>
      </c>
      <c r="AH138" s="28" t="str">
        <f>IF(clean_data[[#This Row],[Balanced Score]] = MIN(clean_data[Balanced Score]), "Most Balanced", "")</f>
        <v/>
      </c>
    </row>
    <row r="139" spans="1:34" x14ac:dyDescent="0.3">
      <c r="A139" s="2" t="s">
        <v>588</v>
      </c>
      <c r="B139" s="2" t="s">
        <v>589</v>
      </c>
      <c r="C139" s="2" t="s">
        <v>339</v>
      </c>
      <c r="D139" s="2" t="s">
        <v>40</v>
      </c>
      <c r="E139" s="2" t="s">
        <v>60</v>
      </c>
      <c r="F139" s="2" t="s">
        <v>30</v>
      </c>
      <c r="G139" s="2">
        <v>88</v>
      </c>
      <c r="H139" s="2" t="s">
        <v>157</v>
      </c>
      <c r="I139" s="2" t="s">
        <v>54</v>
      </c>
      <c r="J139" s="2" t="s">
        <v>111</v>
      </c>
      <c r="K139" s="2" t="s">
        <v>34</v>
      </c>
      <c r="L139" s="13">
        <v>44327</v>
      </c>
      <c r="M139" s="2">
        <v>20</v>
      </c>
      <c r="N139" s="2">
        <v>147</v>
      </c>
      <c r="O139" s="2">
        <v>91</v>
      </c>
      <c r="P139" s="2"/>
      <c r="Q139" s="2">
        <v>385</v>
      </c>
      <c r="R139" s="2">
        <v>258</v>
      </c>
      <c r="S139" s="2">
        <v>1060</v>
      </c>
      <c r="T139" s="2">
        <v>537</v>
      </c>
      <c r="U139" s="2">
        <v>127</v>
      </c>
      <c r="V139" s="12">
        <f>ABS(RPG_dataset[[#This Row],[Win Rate (%)]])</f>
        <v>66</v>
      </c>
      <c r="W139" s="2">
        <v>6883</v>
      </c>
      <c r="X139" s="9">
        <v>233738</v>
      </c>
      <c r="Y139" s="2" t="s">
        <v>36</v>
      </c>
      <c r="Z139" s="2">
        <v>381</v>
      </c>
      <c r="AA139" s="2" t="s">
        <v>1737</v>
      </c>
      <c r="AB139" s="2" t="b">
        <v>0</v>
      </c>
      <c r="AC139" s="2" t="s">
        <v>1738</v>
      </c>
      <c r="AD139" s="2" t="s">
        <v>1727</v>
      </c>
      <c r="AE139" s="2" t="s">
        <v>1728</v>
      </c>
      <c r="AF139" s="2" t="s">
        <v>1736</v>
      </c>
      <c r="AG139" s="28">
        <f>MAX(clean_data[[#This Row],[ATK]:[SPD]]) - MIN(clean_data[[#This Row],[ATK]:[SPD]])</f>
        <v>127</v>
      </c>
      <c r="AH139" s="28" t="str">
        <f>IF(clean_data[[#This Row],[Balanced Score]] = MIN(clean_data[Balanced Score]), "Most Balanced", "")</f>
        <v/>
      </c>
    </row>
    <row r="140" spans="1:34" x14ac:dyDescent="0.3">
      <c r="A140" s="2" t="s">
        <v>591</v>
      </c>
      <c r="B140" s="2" t="s">
        <v>592</v>
      </c>
      <c r="C140" s="2" t="s">
        <v>253</v>
      </c>
      <c r="D140" s="2" t="s">
        <v>210</v>
      </c>
      <c r="E140" s="2" t="s">
        <v>41</v>
      </c>
      <c r="F140" s="2" t="s">
        <v>42</v>
      </c>
      <c r="G140" s="2">
        <v>96</v>
      </c>
      <c r="H140" s="2" t="s">
        <v>125</v>
      </c>
      <c r="I140" s="2" t="s">
        <v>54</v>
      </c>
      <c r="J140" s="2" t="s">
        <v>163</v>
      </c>
      <c r="K140" s="2" t="s">
        <v>99</v>
      </c>
      <c r="L140" s="13">
        <v>45584</v>
      </c>
      <c r="M140" s="2">
        <v>55</v>
      </c>
      <c r="N140" s="2">
        <v>10</v>
      </c>
      <c r="O140" s="2">
        <v>112</v>
      </c>
      <c r="P140" s="2">
        <v>4927</v>
      </c>
      <c r="Q140" s="2">
        <v>50</v>
      </c>
      <c r="R140" s="2">
        <v>177</v>
      </c>
      <c r="S140" s="2">
        <v>4903</v>
      </c>
      <c r="T140" s="2">
        <v>226</v>
      </c>
      <c r="U140" s="2">
        <v>286</v>
      </c>
      <c r="V140" s="12">
        <f>ABS(RPG_dataset[[#This Row],[Win Rate (%)]])</f>
        <v>96</v>
      </c>
      <c r="W140" s="2">
        <v>4081</v>
      </c>
      <c r="X140" s="9">
        <v>780031</v>
      </c>
      <c r="Y140" s="2" t="s">
        <v>46</v>
      </c>
      <c r="Z140" s="2">
        <v>119</v>
      </c>
      <c r="AA140" s="2" t="s">
        <v>1737</v>
      </c>
      <c r="AB140" s="2" t="b">
        <v>0</v>
      </c>
      <c r="AC140" s="2" t="s">
        <v>1730</v>
      </c>
      <c r="AD140" s="2" t="s">
        <v>1727</v>
      </c>
      <c r="AE140" s="2" t="s">
        <v>1728</v>
      </c>
      <c r="AF140" s="2" t="s">
        <v>1736</v>
      </c>
      <c r="AG140" s="28">
        <f>MAX(clean_data[[#This Row],[ATK]:[SPD]]) - MIN(clean_data[[#This Row],[ATK]:[SPD]])</f>
        <v>102</v>
      </c>
      <c r="AH140" s="28" t="str">
        <f>IF(clean_data[[#This Row],[Balanced Score]] = MIN(clean_data[Balanced Score]), "Most Balanced", "")</f>
        <v/>
      </c>
    </row>
    <row r="141" spans="1:34" x14ac:dyDescent="0.3">
      <c r="A141" s="2" t="s">
        <v>594</v>
      </c>
      <c r="B141" s="2" t="s">
        <v>595</v>
      </c>
      <c r="C141" s="2" t="s">
        <v>103</v>
      </c>
      <c r="D141" s="2" t="s">
        <v>155</v>
      </c>
      <c r="E141" s="2" t="s">
        <v>60</v>
      </c>
      <c r="F141" s="2" t="s">
        <v>30</v>
      </c>
      <c r="G141" s="2">
        <v>27</v>
      </c>
      <c r="H141" s="2" t="s">
        <v>157</v>
      </c>
      <c r="I141" s="2" t="s">
        <v>140</v>
      </c>
      <c r="J141" s="2" t="s">
        <v>88</v>
      </c>
      <c r="K141" s="2" t="s">
        <v>44</v>
      </c>
      <c r="L141" s="13">
        <v>45639</v>
      </c>
      <c r="M141" s="2">
        <v>76</v>
      </c>
      <c r="N141" s="2">
        <v>64</v>
      </c>
      <c r="O141" s="2">
        <v>10</v>
      </c>
      <c r="P141" s="2">
        <v>2183</v>
      </c>
      <c r="Q141" s="2">
        <v>688</v>
      </c>
      <c r="R141" s="2">
        <v>150</v>
      </c>
      <c r="S141" s="2">
        <v>2272</v>
      </c>
      <c r="T141" s="2">
        <v>586</v>
      </c>
      <c r="U141" s="2">
        <v>228</v>
      </c>
      <c r="V141" s="12">
        <f>ABS(RPG_dataset[[#This Row],[Win Rate (%)]])</f>
        <v>79</v>
      </c>
      <c r="W141" s="2">
        <v>5778</v>
      </c>
      <c r="X141" s="9">
        <v>279917</v>
      </c>
      <c r="Y141" s="2" t="s">
        <v>36</v>
      </c>
      <c r="Z141" s="2">
        <v>362</v>
      </c>
      <c r="AA141" s="2" t="s">
        <v>1733</v>
      </c>
      <c r="AB141" s="2" t="b">
        <v>1</v>
      </c>
      <c r="AC141" s="2" t="s">
        <v>1730</v>
      </c>
      <c r="AD141" s="2" t="s">
        <v>1727</v>
      </c>
      <c r="AE141" s="2" t="s">
        <v>1728</v>
      </c>
      <c r="AF141" s="2" t="s">
        <v>1740</v>
      </c>
      <c r="AG141" s="28">
        <f>MAX(clean_data[[#This Row],[ATK]:[SPD]]) - MIN(clean_data[[#This Row],[ATK]:[SPD]])</f>
        <v>66</v>
      </c>
      <c r="AH141" s="28" t="str">
        <f>IF(clean_data[[#This Row],[Balanced Score]] = MIN(clean_data[Balanced Score]), "Most Balanced", "")</f>
        <v/>
      </c>
    </row>
    <row r="142" spans="1:34" x14ac:dyDescent="0.3">
      <c r="A142" s="2" t="s">
        <v>596</v>
      </c>
      <c r="B142" s="2" t="s">
        <v>597</v>
      </c>
      <c r="C142" s="2" t="s">
        <v>227</v>
      </c>
      <c r="D142" s="2" t="s">
        <v>119</v>
      </c>
      <c r="E142" s="2" t="s">
        <v>60</v>
      </c>
      <c r="F142" s="2" t="s">
        <v>72</v>
      </c>
      <c r="G142" s="2">
        <v>68</v>
      </c>
      <c r="H142" s="2" t="s">
        <v>62</v>
      </c>
      <c r="I142" s="2" t="s">
        <v>87</v>
      </c>
      <c r="J142" s="2" t="s">
        <v>92</v>
      </c>
      <c r="K142" s="2" t="s">
        <v>99</v>
      </c>
      <c r="L142" s="13">
        <v>44935</v>
      </c>
      <c r="M142" s="2">
        <v>62</v>
      </c>
      <c r="N142" s="2">
        <v>64</v>
      </c>
      <c r="O142" s="2">
        <v>48</v>
      </c>
      <c r="P142" s="2">
        <v>4923</v>
      </c>
      <c r="Q142" s="2">
        <v>633</v>
      </c>
      <c r="R142" s="2"/>
      <c r="S142" s="2">
        <v>2509</v>
      </c>
      <c r="T142" s="2">
        <v>566</v>
      </c>
      <c r="U142" s="2">
        <v>73</v>
      </c>
      <c r="V142" s="12">
        <f>ABS(RPG_dataset[[#This Row],[Win Rate (%)]])</f>
        <v>82</v>
      </c>
      <c r="W142" s="2">
        <v>8094</v>
      </c>
      <c r="X142" s="9">
        <v>484530</v>
      </c>
      <c r="Y142" s="2" t="s">
        <v>46</v>
      </c>
      <c r="Z142" s="2">
        <v>262</v>
      </c>
      <c r="AA142" s="2" t="s">
        <v>1725</v>
      </c>
      <c r="AB142" s="2" t="b">
        <v>0</v>
      </c>
      <c r="AC142" s="2" t="s">
        <v>1730</v>
      </c>
      <c r="AD142" s="2" t="s">
        <v>1727</v>
      </c>
      <c r="AE142" s="2" t="s">
        <v>1728</v>
      </c>
      <c r="AF142" s="2" t="s">
        <v>1729</v>
      </c>
      <c r="AG142" s="28">
        <f>MAX(clean_data[[#This Row],[ATK]:[SPD]]) - MIN(clean_data[[#This Row],[ATK]:[SPD]])</f>
        <v>16</v>
      </c>
      <c r="AH142" s="28" t="str">
        <f>IF(clean_data[[#This Row],[Balanced Score]] = MIN(clean_data[Balanced Score]), "Most Balanced", "")</f>
        <v/>
      </c>
    </row>
    <row r="143" spans="1:34" x14ac:dyDescent="0.3">
      <c r="A143" s="2" t="s">
        <v>599</v>
      </c>
      <c r="B143" s="2" t="s">
        <v>600</v>
      </c>
      <c r="C143" s="2" t="s">
        <v>253</v>
      </c>
      <c r="D143" s="2" t="s">
        <v>162</v>
      </c>
      <c r="E143" s="2" t="s">
        <v>51</v>
      </c>
      <c r="F143" s="2" t="s">
        <v>42</v>
      </c>
      <c r="G143" s="2">
        <v>89</v>
      </c>
      <c r="H143" s="2" t="s">
        <v>73</v>
      </c>
      <c r="I143" s="2" t="s">
        <v>63</v>
      </c>
      <c r="J143" s="2" t="s">
        <v>64</v>
      </c>
      <c r="K143" s="2" t="s">
        <v>44</v>
      </c>
      <c r="L143" s="13">
        <v>45519</v>
      </c>
      <c r="M143" s="2">
        <v>30</v>
      </c>
      <c r="N143" s="2">
        <v>88</v>
      </c>
      <c r="O143" s="2">
        <v>145</v>
      </c>
      <c r="P143" s="2">
        <v>2990</v>
      </c>
      <c r="Q143" s="2">
        <v>1717</v>
      </c>
      <c r="R143" s="2">
        <v>263</v>
      </c>
      <c r="S143" s="2">
        <v>2719</v>
      </c>
      <c r="T143" s="2">
        <v>907</v>
      </c>
      <c r="U143" s="2">
        <v>140</v>
      </c>
      <c r="V143" s="12">
        <f>ABS(RPG_dataset[[#This Row],[Win Rate (%)]])</f>
        <v>75</v>
      </c>
      <c r="W143" s="2">
        <v>5362</v>
      </c>
      <c r="X143" s="9">
        <v>341589</v>
      </c>
      <c r="Y143" s="2" t="s">
        <v>46</v>
      </c>
      <c r="Z143" s="2">
        <v>334</v>
      </c>
      <c r="AA143" s="2" t="s">
        <v>1737</v>
      </c>
      <c r="AB143" s="2" t="b">
        <v>1</v>
      </c>
      <c r="AC143" s="2" t="s">
        <v>1730</v>
      </c>
      <c r="AD143" s="2" t="s">
        <v>1727</v>
      </c>
      <c r="AE143" s="2" t="s">
        <v>1728</v>
      </c>
      <c r="AF143" s="2" t="s">
        <v>1736</v>
      </c>
      <c r="AG143" s="28">
        <f>MAX(clean_data[[#This Row],[ATK]:[SPD]]) - MIN(clean_data[[#This Row],[ATK]:[SPD]])</f>
        <v>115</v>
      </c>
      <c r="AH143" s="28" t="str">
        <f>IF(clean_data[[#This Row],[Balanced Score]] = MIN(clean_data[Balanced Score]), "Most Balanced", "")</f>
        <v/>
      </c>
    </row>
    <row r="144" spans="1:34" x14ac:dyDescent="0.3">
      <c r="A144" s="2" t="s">
        <v>602</v>
      </c>
      <c r="B144" s="2" t="s">
        <v>603</v>
      </c>
      <c r="C144" s="2" t="s">
        <v>604</v>
      </c>
      <c r="D144" s="2" t="s">
        <v>234</v>
      </c>
      <c r="E144" s="2" t="s">
        <v>60</v>
      </c>
      <c r="F144" s="2" t="s">
        <v>194</v>
      </c>
      <c r="G144" s="2">
        <v>22</v>
      </c>
      <c r="H144" s="2" t="s">
        <v>125</v>
      </c>
      <c r="I144" s="2" t="s">
        <v>126</v>
      </c>
      <c r="J144" s="2" t="s">
        <v>33</v>
      </c>
      <c r="K144" s="2" t="s">
        <v>34</v>
      </c>
      <c r="L144" s="13">
        <v>43187</v>
      </c>
      <c r="M144" s="2">
        <v>125</v>
      </c>
      <c r="N144" s="2">
        <v>43</v>
      </c>
      <c r="O144" s="2">
        <v>31</v>
      </c>
      <c r="P144" s="2">
        <v>3411</v>
      </c>
      <c r="Q144" s="2">
        <v>506</v>
      </c>
      <c r="R144" s="2">
        <v>199</v>
      </c>
      <c r="S144" s="2">
        <v>2540</v>
      </c>
      <c r="T144" s="2">
        <v>215</v>
      </c>
      <c r="U144" s="2">
        <v>293</v>
      </c>
      <c r="V144" s="12">
        <f>ABS(RPG_dataset[[#This Row],[Win Rate (%)]])</f>
        <v>92</v>
      </c>
      <c r="W144" s="2">
        <v>267</v>
      </c>
      <c r="X144" s="9">
        <v>187053</v>
      </c>
      <c r="Y144" s="2" t="s">
        <v>46</v>
      </c>
      <c r="Z144" s="2">
        <v>407</v>
      </c>
      <c r="AA144" s="2" t="s">
        <v>1735</v>
      </c>
      <c r="AB144" s="2" t="b">
        <v>0</v>
      </c>
      <c r="AC144" s="2" t="s">
        <v>1730</v>
      </c>
      <c r="AD144" s="2" t="s">
        <v>1727</v>
      </c>
      <c r="AE144" s="2" t="s">
        <v>1728</v>
      </c>
      <c r="AF144" s="2" t="s">
        <v>1729</v>
      </c>
      <c r="AG144" s="28">
        <f>MAX(clean_data[[#This Row],[ATK]:[SPD]]) - MIN(clean_data[[#This Row],[ATK]:[SPD]])</f>
        <v>94</v>
      </c>
      <c r="AH144" s="28" t="str">
        <f>IF(clean_data[[#This Row],[Balanced Score]] = MIN(clean_data[Balanced Score]), "Most Balanced", "")</f>
        <v/>
      </c>
    </row>
    <row r="145" spans="1:34" x14ac:dyDescent="0.3">
      <c r="A145" s="2" t="s">
        <v>606</v>
      </c>
      <c r="B145" s="2" t="s">
        <v>607</v>
      </c>
      <c r="C145" s="2" t="s">
        <v>233</v>
      </c>
      <c r="D145" s="2" t="s">
        <v>28</v>
      </c>
      <c r="E145" s="2" t="s">
        <v>71</v>
      </c>
      <c r="F145" s="2" t="s">
        <v>42</v>
      </c>
      <c r="G145" s="2">
        <v>88</v>
      </c>
      <c r="H145" s="2" t="s">
        <v>53</v>
      </c>
      <c r="I145" s="2" t="s">
        <v>32</v>
      </c>
      <c r="J145" s="2" t="s">
        <v>33</v>
      </c>
      <c r="K145" s="2" t="s">
        <v>99</v>
      </c>
      <c r="L145" s="13">
        <v>45256</v>
      </c>
      <c r="M145" s="2">
        <v>136</v>
      </c>
      <c r="N145" s="2">
        <v>38</v>
      </c>
      <c r="O145" s="2">
        <v>41</v>
      </c>
      <c r="P145" s="2">
        <v>2368</v>
      </c>
      <c r="Q145" s="2">
        <v>2899</v>
      </c>
      <c r="R145" s="2">
        <v>215</v>
      </c>
      <c r="S145" s="2">
        <v>2909</v>
      </c>
      <c r="T145" s="2">
        <v>585</v>
      </c>
      <c r="U145" s="2">
        <v>232</v>
      </c>
      <c r="V145" s="12">
        <f>ABS(RPG_dataset[[#This Row],[Win Rate (%)]])</f>
        <v>83</v>
      </c>
      <c r="W145" s="2">
        <v>1749</v>
      </c>
      <c r="X145" s="9">
        <v>236468</v>
      </c>
      <c r="Y145" s="2" t="s">
        <v>46</v>
      </c>
      <c r="Z145" s="2">
        <v>379</v>
      </c>
      <c r="AA145" s="2" t="s">
        <v>1737</v>
      </c>
      <c r="AB145" s="2" t="b">
        <v>0</v>
      </c>
      <c r="AC145" s="2" t="s">
        <v>1730</v>
      </c>
      <c r="AD145" s="2" t="s">
        <v>1727</v>
      </c>
      <c r="AE145" s="2" t="s">
        <v>1728</v>
      </c>
      <c r="AF145" s="2" t="s">
        <v>1729</v>
      </c>
      <c r="AG145" s="28">
        <f>MAX(clean_data[[#This Row],[ATK]:[SPD]]) - MIN(clean_data[[#This Row],[ATK]:[SPD]])</f>
        <v>98</v>
      </c>
      <c r="AH145" s="28" t="str">
        <f>IF(clean_data[[#This Row],[Balanced Score]] = MIN(clean_data[Balanced Score]), "Most Balanced", "")</f>
        <v/>
      </c>
    </row>
    <row r="146" spans="1:34" x14ac:dyDescent="0.3">
      <c r="A146" s="2" t="s">
        <v>610</v>
      </c>
      <c r="B146" s="2" t="s">
        <v>611</v>
      </c>
      <c r="C146" s="2" t="s">
        <v>391</v>
      </c>
      <c r="D146" s="2" t="s">
        <v>59</v>
      </c>
      <c r="E146" s="2" t="s">
        <v>105</v>
      </c>
      <c r="F146" s="2" t="s">
        <v>194</v>
      </c>
      <c r="G146" s="2">
        <v>68</v>
      </c>
      <c r="H146" s="2" t="s">
        <v>80</v>
      </c>
      <c r="I146" s="2" t="s">
        <v>140</v>
      </c>
      <c r="J146" s="2" t="s">
        <v>88</v>
      </c>
      <c r="K146" s="2" t="s">
        <v>44</v>
      </c>
      <c r="L146" s="13">
        <v>43141</v>
      </c>
      <c r="M146" s="2">
        <v>144</v>
      </c>
      <c r="N146" s="2">
        <v>144</v>
      </c>
      <c r="O146" s="2">
        <v>97</v>
      </c>
      <c r="P146" s="2">
        <v>3289</v>
      </c>
      <c r="Q146" s="2">
        <v>1882</v>
      </c>
      <c r="R146" s="2">
        <v>385</v>
      </c>
      <c r="S146" s="2">
        <v>4904</v>
      </c>
      <c r="T146" s="2">
        <v>147</v>
      </c>
      <c r="U146" s="2"/>
      <c r="V146" s="12">
        <f>ABS(RPG_dataset[[#This Row],[Win Rate (%)]])</f>
        <v>97</v>
      </c>
      <c r="W146" s="2">
        <v>8843</v>
      </c>
      <c r="X146" s="9">
        <v>900709</v>
      </c>
      <c r="Y146" s="2" t="s">
        <v>46</v>
      </c>
      <c r="Z146" s="2">
        <v>53</v>
      </c>
      <c r="AA146" s="2" t="s">
        <v>1725</v>
      </c>
      <c r="AB146" s="2" t="b">
        <v>1</v>
      </c>
      <c r="AC146" s="2" t="s">
        <v>1730</v>
      </c>
      <c r="AD146" s="2" t="s">
        <v>1727</v>
      </c>
      <c r="AE146" s="2" t="s">
        <v>1728</v>
      </c>
      <c r="AF146" s="2" t="s">
        <v>1740</v>
      </c>
      <c r="AG146" s="28">
        <f>MAX(clean_data[[#This Row],[ATK]:[SPD]]) - MIN(clean_data[[#This Row],[ATK]:[SPD]])</f>
        <v>47</v>
      </c>
      <c r="AH146" s="28" t="str">
        <f>IF(clean_data[[#This Row],[Balanced Score]] = MIN(clean_data[Balanced Score]), "Most Balanced", "")</f>
        <v/>
      </c>
    </row>
    <row r="147" spans="1:34" x14ac:dyDescent="0.3">
      <c r="A147" s="2" t="s">
        <v>613</v>
      </c>
      <c r="B147" s="2" t="s">
        <v>614</v>
      </c>
      <c r="C147" s="2" t="s">
        <v>123</v>
      </c>
      <c r="D147" s="2" t="s">
        <v>139</v>
      </c>
      <c r="E147" s="2" t="s">
        <v>60</v>
      </c>
      <c r="F147" s="2" t="s">
        <v>42</v>
      </c>
      <c r="G147" s="2"/>
      <c r="H147" s="2" t="s">
        <v>53</v>
      </c>
      <c r="I147" s="2" t="s">
        <v>54</v>
      </c>
      <c r="J147" s="2" t="s">
        <v>111</v>
      </c>
      <c r="K147" s="2" t="s">
        <v>44</v>
      </c>
      <c r="L147" s="13">
        <v>45024</v>
      </c>
      <c r="M147" s="2">
        <v>14</v>
      </c>
      <c r="N147" s="2">
        <v>68</v>
      </c>
      <c r="O147" s="2">
        <v>149</v>
      </c>
      <c r="P147" s="2">
        <v>1176</v>
      </c>
      <c r="Q147" s="2">
        <v>2652</v>
      </c>
      <c r="R147" s="2">
        <v>231</v>
      </c>
      <c r="S147" s="2">
        <v>4545</v>
      </c>
      <c r="T147" s="2">
        <v>847</v>
      </c>
      <c r="U147" s="2">
        <v>181</v>
      </c>
      <c r="V147" s="12">
        <f>ABS(RPG_dataset[[#This Row],[Win Rate (%)]])</f>
        <v>84</v>
      </c>
      <c r="W147" s="2">
        <v>4220</v>
      </c>
      <c r="X147" s="9">
        <v>858802</v>
      </c>
      <c r="Y147" s="2" t="s">
        <v>46</v>
      </c>
      <c r="Z147" s="2">
        <v>69</v>
      </c>
      <c r="AA147" s="2" t="s">
        <v>1735</v>
      </c>
      <c r="AB147" s="2" t="b">
        <v>1</v>
      </c>
      <c r="AC147" s="2" t="s">
        <v>1730</v>
      </c>
      <c r="AD147" s="2" t="s">
        <v>1727</v>
      </c>
      <c r="AE147" s="2" t="s">
        <v>1728</v>
      </c>
      <c r="AF147" s="2" t="s">
        <v>1736</v>
      </c>
      <c r="AG147" s="28">
        <f>MAX(clean_data[[#This Row],[ATK]:[SPD]]) - MIN(clean_data[[#This Row],[ATK]:[SPD]])</f>
        <v>135</v>
      </c>
      <c r="AH147" s="28" t="str">
        <f>IF(clean_data[[#This Row],[Balanced Score]] = MIN(clean_data[Balanced Score]), "Most Balanced", "")</f>
        <v/>
      </c>
    </row>
    <row r="148" spans="1:34" x14ac:dyDescent="0.3">
      <c r="A148" s="2" t="s">
        <v>616</v>
      </c>
      <c r="B148" s="2" t="s">
        <v>617</v>
      </c>
      <c r="C148" s="2" t="s">
        <v>39</v>
      </c>
      <c r="D148" s="2" t="s">
        <v>618</v>
      </c>
      <c r="E148" s="2" t="s">
        <v>169</v>
      </c>
      <c r="F148" s="2" t="s">
        <v>52</v>
      </c>
      <c r="G148" s="2">
        <v>98</v>
      </c>
      <c r="H148" s="2" t="s">
        <v>73</v>
      </c>
      <c r="I148" s="2" t="s">
        <v>87</v>
      </c>
      <c r="J148" s="2" t="s">
        <v>88</v>
      </c>
      <c r="K148" s="2" t="s">
        <v>44</v>
      </c>
      <c r="L148" s="13">
        <v>43653</v>
      </c>
      <c r="M148" s="2">
        <v>134</v>
      </c>
      <c r="N148" s="2">
        <v>86</v>
      </c>
      <c r="O148" s="2">
        <v>95</v>
      </c>
      <c r="P148" s="2">
        <v>4825</v>
      </c>
      <c r="Q148" s="2">
        <v>1601</v>
      </c>
      <c r="R148" s="2">
        <v>315</v>
      </c>
      <c r="S148" s="2">
        <v>1389</v>
      </c>
      <c r="T148" s="2">
        <v>448</v>
      </c>
      <c r="U148" s="2">
        <v>244</v>
      </c>
      <c r="V148" s="12">
        <f>ABS(RPG_dataset[[#This Row],[Win Rate (%)]])</f>
        <v>76</v>
      </c>
      <c r="W148" s="2">
        <v>1745</v>
      </c>
      <c r="X148" s="9">
        <v>289851</v>
      </c>
      <c r="Y148" s="2" t="s">
        <v>46</v>
      </c>
      <c r="Z148" s="2">
        <v>358</v>
      </c>
      <c r="AA148" s="2" t="s">
        <v>1737</v>
      </c>
      <c r="AB148" s="2" t="b">
        <v>1</v>
      </c>
      <c r="AC148" s="2" t="s">
        <v>1730</v>
      </c>
      <c r="AD148" s="2" t="s">
        <v>1727</v>
      </c>
      <c r="AE148" s="2" t="s">
        <v>1728</v>
      </c>
      <c r="AF148" s="2" t="s">
        <v>1736</v>
      </c>
      <c r="AG148" s="28">
        <f>MAX(clean_data[[#This Row],[ATK]:[SPD]]) - MIN(clean_data[[#This Row],[ATK]:[SPD]])</f>
        <v>48</v>
      </c>
      <c r="AH148" s="28" t="str">
        <f>IF(clean_data[[#This Row],[Balanced Score]] = MIN(clean_data[Balanced Score]), "Most Balanced", "")</f>
        <v/>
      </c>
    </row>
    <row r="149" spans="1:34" x14ac:dyDescent="0.3">
      <c r="A149" s="2" t="s">
        <v>620</v>
      </c>
      <c r="B149" s="2" t="s">
        <v>621</v>
      </c>
      <c r="C149" s="2" t="s">
        <v>353</v>
      </c>
      <c r="D149" s="2" t="s">
        <v>40</v>
      </c>
      <c r="E149" s="2" t="s">
        <v>29</v>
      </c>
      <c r="F149" s="2" t="s">
        <v>194</v>
      </c>
      <c r="G149" s="2">
        <v>8</v>
      </c>
      <c r="H149" s="2" t="s">
        <v>62</v>
      </c>
      <c r="I149" s="2" t="s">
        <v>32</v>
      </c>
      <c r="J149" s="2" t="s">
        <v>92</v>
      </c>
      <c r="K149" s="2" t="s">
        <v>44</v>
      </c>
      <c r="L149" s="13">
        <v>44098</v>
      </c>
      <c r="M149" s="2">
        <v>78</v>
      </c>
      <c r="N149" s="2">
        <v>68</v>
      </c>
      <c r="O149" s="2">
        <v>91</v>
      </c>
      <c r="P149" s="2">
        <v>2442</v>
      </c>
      <c r="Q149" s="2">
        <v>1715</v>
      </c>
      <c r="R149" s="2">
        <v>237</v>
      </c>
      <c r="S149" s="2">
        <v>2980</v>
      </c>
      <c r="T149" s="2">
        <v>614</v>
      </c>
      <c r="U149" s="2">
        <v>192</v>
      </c>
      <c r="V149" s="12">
        <f>ABS(RPG_dataset[[#This Row],[Win Rate (%)]])</f>
        <v>83</v>
      </c>
      <c r="W149" s="2">
        <v>8843</v>
      </c>
      <c r="X149" s="9">
        <v>72788</v>
      </c>
      <c r="Y149" s="2" t="s">
        <v>46</v>
      </c>
      <c r="Z149" s="2">
        <v>449</v>
      </c>
      <c r="AA149" s="2" t="s">
        <v>1735</v>
      </c>
      <c r="AB149" s="2" t="b">
        <v>1</v>
      </c>
      <c r="AC149" s="2" t="s">
        <v>1730</v>
      </c>
      <c r="AD149" s="2" t="s">
        <v>1727</v>
      </c>
      <c r="AE149" s="2" t="s">
        <v>1728</v>
      </c>
      <c r="AF149" s="2" t="s">
        <v>1736</v>
      </c>
      <c r="AG149" s="28">
        <f>MAX(clean_data[[#This Row],[ATK]:[SPD]]) - MIN(clean_data[[#This Row],[ATK]:[SPD]])</f>
        <v>23</v>
      </c>
      <c r="AH149" s="28" t="str">
        <f>IF(clean_data[[#This Row],[Balanced Score]] = MIN(clean_data[Balanced Score]), "Most Balanced", "")</f>
        <v/>
      </c>
    </row>
    <row r="150" spans="1:34" x14ac:dyDescent="0.3">
      <c r="A150" s="2" t="s">
        <v>623</v>
      </c>
      <c r="B150" s="2" t="s">
        <v>75</v>
      </c>
      <c r="C150" s="2" t="s">
        <v>219</v>
      </c>
      <c r="D150" s="2" t="s">
        <v>150</v>
      </c>
      <c r="E150" s="2" t="s">
        <v>41</v>
      </c>
      <c r="F150" s="2" t="s">
        <v>30</v>
      </c>
      <c r="G150" s="2">
        <v>37</v>
      </c>
      <c r="H150" s="2" t="s">
        <v>62</v>
      </c>
      <c r="I150" s="2" t="s">
        <v>63</v>
      </c>
      <c r="J150" s="2" t="s">
        <v>64</v>
      </c>
      <c r="K150" s="2" t="s">
        <v>75</v>
      </c>
      <c r="L150" s="13">
        <v>43376</v>
      </c>
      <c r="M150" s="2">
        <v>11</v>
      </c>
      <c r="N150" s="2">
        <v>101</v>
      </c>
      <c r="O150" s="2">
        <v>149</v>
      </c>
      <c r="P150" s="2">
        <v>4400</v>
      </c>
      <c r="Q150" s="2">
        <v>1132</v>
      </c>
      <c r="R150" s="2">
        <v>261</v>
      </c>
      <c r="S150" s="2">
        <v>3587</v>
      </c>
      <c r="T150" s="2">
        <v>342</v>
      </c>
      <c r="U150" s="2">
        <v>91</v>
      </c>
      <c r="V150" s="12">
        <f>ABS(RPG_dataset[[#This Row],[Win Rate (%)]])</f>
        <v>91</v>
      </c>
      <c r="W150" s="2">
        <v>3733</v>
      </c>
      <c r="X150" s="9">
        <v>657980</v>
      </c>
      <c r="Y150" s="2" t="s">
        <v>36</v>
      </c>
      <c r="Z150" s="2">
        <v>170</v>
      </c>
      <c r="AA150" s="2" t="s">
        <v>1733</v>
      </c>
      <c r="AB150" s="2" t="b">
        <v>0</v>
      </c>
      <c r="AC150" s="2" t="s">
        <v>1730</v>
      </c>
      <c r="AD150" s="2" t="s">
        <v>1727</v>
      </c>
      <c r="AE150" s="2" t="s">
        <v>1728</v>
      </c>
      <c r="AF150" s="2" t="s">
        <v>1736</v>
      </c>
      <c r="AG150" s="28">
        <f>MAX(clean_data[[#This Row],[ATK]:[SPD]]) - MIN(clean_data[[#This Row],[ATK]:[SPD]])</f>
        <v>138</v>
      </c>
      <c r="AH150" s="28" t="str">
        <f>IF(clean_data[[#This Row],[Balanced Score]] = MIN(clean_data[Balanced Score]), "Most Balanced", "")</f>
        <v/>
      </c>
    </row>
    <row r="151" spans="1:34" x14ac:dyDescent="0.3">
      <c r="A151" s="2" t="s">
        <v>625</v>
      </c>
      <c r="B151" s="2" t="s">
        <v>626</v>
      </c>
      <c r="C151" s="2" t="s">
        <v>39</v>
      </c>
      <c r="D151" s="2" t="s">
        <v>277</v>
      </c>
      <c r="E151" s="2" t="s">
        <v>105</v>
      </c>
      <c r="F151" s="2" t="s">
        <v>98</v>
      </c>
      <c r="G151" s="2">
        <v>51</v>
      </c>
      <c r="H151" s="2" t="s">
        <v>157</v>
      </c>
      <c r="I151" s="2" t="s">
        <v>63</v>
      </c>
      <c r="J151" s="2" t="s">
        <v>163</v>
      </c>
      <c r="K151" s="2" t="s">
        <v>44</v>
      </c>
      <c r="L151" s="13">
        <v>43816</v>
      </c>
      <c r="M151" s="2">
        <v>32</v>
      </c>
      <c r="N151" s="2">
        <v>114</v>
      </c>
      <c r="O151" s="2">
        <v>82</v>
      </c>
      <c r="P151" s="2">
        <v>2561</v>
      </c>
      <c r="Q151" s="2"/>
      <c r="R151" s="2">
        <v>228</v>
      </c>
      <c r="S151" s="2">
        <v>1481</v>
      </c>
      <c r="T151" s="2">
        <v>463</v>
      </c>
      <c r="U151" s="2">
        <v>148</v>
      </c>
      <c r="V151" s="12">
        <f>ABS(RPG_dataset[[#This Row],[Win Rate (%)]])</f>
        <v>76</v>
      </c>
      <c r="W151" s="2"/>
      <c r="X151" s="9">
        <v>341092</v>
      </c>
      <c r="Y151" s="2" t="s">
        <v>46</v>
      </c>
      <c r="Z151" s="2">
        <v>335</v>
      </c>
      <c r="AA151" s="2" t="s">
        <v>1725</v>
      </c>
      <c r="AB151" s="2" t="b">
        <v>1</v>
      </c>
      <c r="AC151" s="2" t="s">
        <v>1730</v>
      </c>
      <c r="AD151" s="2" t="s">
        <v>1727</v>
      </c>
      <c r="AE151" s="2" t="s">
        <v>1728</v>
      </c>
      <c r="AF151" s="2" t="s">
        <v>1729</v>
      </c>
      <c r="AG151" s="28">
        <f>MAX(clean_data[[#This Row],[ATK]:[SPD]]) - MIN(clean_data[[#This Row],[ATK]:[SPD]])</f>
        <v>82</v>
      </c>
      <c r="AH151" s="28" t="str">
        <f>IF(clean_data[[#This Row],[Balanced Score]] = MIN(clean_data[Balanced Score]), "Most Balanced", "")</f>
        <v/>
      </c>
    </row>
    <row r="152" spans="1:34" x14ac:dyDescent="0.3">
      <c r="A152" s="2" t="s">
        <v>629</v>
      </c>
      <c r="B152" s="2" t="s">
        <v>630</v>
      </c>
      <c r="C152" s="2" t="s">
        <v>391</v>
      </c>
      <c r="D152" s="2" t="s">
        <v>104</v>
      </c>
      <c r="E152" s="2" t="s">
        <v>71</v>
      </c>
      <c r="F152" s="2" t="s">
        <v>61</v>
      </c>
      <c r="G152" s="2">
        <v>20</v>
      </c>
      <c r="H152" s="2" t="s">
        <v>73</v>
      </c>
      <c r="I152" s="2" t="s">
        <v>126</v>
      </c>
      <c r="J152" s="2" t="s">
        <v>92</v>
      </c>
      <c r="K152" s="2" t="s">
        <v>34</v>
      </c>
      <c r="L152" s="13">
        <v>43177</v>
      </c>
      <c r="M152" s="2">
        <v>20</v>
      </c>
      <c r="N152" s="2">
        <v>81</v>
      </c>
      <c r="O152" s="2">
        <v>14</v>
      </c>
      <c r="P152" s="2">
        <v>1388</v>
      </c>
      <c r="Q152" s="2">
        <v>1749</v>
      </c>
      <c r="R152" s="2">
        <v>115</v>
      </c>
      <c r="S152" s="2">
        <v>2358</v>
      </c>
      <c r="T152" s="2">
        <v>83</v>
      </c>
      <c r="U152" s="2">
        <v>270</v>
      </c>
      <c r="V152" s="12">
        <f>ABS(RPG_dataset[[#This Row],[Win Rate (%)]])</f>
        <v>97</v>
      </c>
      <c r="W152" s="2">
        <v>6257</v>
      </c>
      <c r="X152" s="9">
        <v>216491</v>
      </c>
      <c r="Y152" s="2" t="s">
        <v>46</v>
      </c>
      <c r="Z152" s="2">
        <v>393</v>
      </c>
      <c r="AA152" s="2" t="s">
        <v>1735</v>
      </c>
      <c r="AB152" s="2" t="b">
        <v>0</v>
      </c>
      <c r="AC152" s="2" t="s">
        <v>1730</v>
      </c>
      <c r="AD152" s="2" t="s">
        <v>1727</v>
      </c>
      <c r="AE152" s="2" t="s">
        <v>1728</v>
      </c>
      <c r="AF152" s="2" t="s">
        <v>1729</v>
      </c>
      <c r="AG152" s="28">
        <f>MAX(clean_data[[#This Row],[ATK]:[SPD]]) - MIN(clean_data[[#This Row],[ATK]:[SPD]])</f>
        <v>67</v>
      </c>
      <c r="AH152" s="28" t="str">
        <f>IF(clean_data[[#This Row],[Balanced Score]] = MIN(clean_data[Balanced Score]), "Most Balanced", "")</f>
        <v/>
      </c>
    </row>
    <row r="153" spans="1:34" x14ac:dyDescent="0.3">
      <c r="A153" s="2" t="s">
        <v>632</v>
      </c>
      <c r="B153" s="2" t="s">
        <v>633</v>
      </c>
      <c r="C153" s="2" t="s">
        <v>223</v>
      </c>
      <c r="D153" s="2" t="s">
        <v>272</v>
      </c>
      <c r="E153" s="2" t="s">
        <v>71</v>
      </c>
      <c r="F153" s="2" t="s">
        <v>72</v>
      </c>
      <c r="G153" s="2">
        <v>49</v>
      </c>
      <c r="H153" s="2" t="s">
        <v>43</v>
      </c>
      <c r="I153" s="2" t="s">
        <v>63</v>
      </c>
      <c r="J153" s="2" t="s">
        <v>33</v>
      </c>
      <c r="K153" s="2" t="s">
        <v>44</v>
      </c>
      <c r="L153" s="13">
        <v>43277</v>
      </c>
      <c r="M153" s="2">
        <v>118</v>
      </c>
      <c r="N153" s="2">
        <v>66</v>
      </c>
      <c r="O153" s="2">
        <v>15</v>
      </c>
      <c r="P153" s="2">
        <v>1175</v>
      </c>
      <c r="Q153" s="2">
        <v>2917</v>
      </c>
      <c r="R153" s="2">
        <v>199</v>
      </c>
      <c r="S153" s="2">
        <v>4206</v>
      </c>
      <c r="T153" s="2">
        <v>778</v>
      </c>
      <c r="U153" s="2">
        <v>88</v>
      </c>
      <c r="V153" s="12">
        <f>ABS(RPG_dataset[[#This Row],[Win Rate (%)]])</f>
        <v>84</v>
      </c>
      <c r="W153" s="2">
        <v>8910</v>
      </c>
      <c r="X153" s="9">
        <v>49084</v>
      </c>
      <c r="Y153" s="2" t="s">
        <v>36</v>
      </c>
      <c r="Z153" s="2">
        <v>457</v>
      </c>
      <c r="AA153" s="2" t="s">
        <v>1733</v>
      </c>
      <c r="AB153" s="2" t="b">
        <v>1</v>
      </c>
      <c r="AC153" s="2" t="s">
        <v>1730</v>
      </c>
      <c r="AD153" s="2" t="s">
        <v>1727</v>
      </c>
      <c r="AE153" s="2" t="s">
        <v>1728</v>
      </c>
      <c r="AF153" s="2" t="s">
        <v>1729</v>
      </c>
      <c r="AG153" s="28">
        <f>MAX(clean_data[[#This Row],[ATK]:[SPD]]) - MIN(clean_data[[#This Row],[ATK]:[SPD]])</f>
        <v>103</v>
      </c>
      <c r="AH153" s="28" t="str">
        <f>IF(clean_data[[#This Row],[Balanced Score]] = MIN(clean_data[Balanced Score]), "Most Balanced", "")</f>
        <v/>
      </c>
    </row>
    <row r="154" spans="1:34" x14ac:dyDescent="0.3">
      <c r="A154" s="2" t="s">
        <v>635</v>
      </c>
      <c r="B154" s="2" t="s">
        <v>636</v>
      </c>
      <c r="C154" s="2" t="s">
        <v>281</v>
      </c>
      <c r="D154" s="2" t="s">
        <v>168</v>
      </c>
      <c r="E154" s="2" t="s">
        <v>51</v>
      </c>
      <c r="F154" s="2" t="s">
        <v>30</v>
      </c>
      <c r="G154" s="2">
        <v>70</v>
      </c>
      <c r="H154" s="2" t="s">
        <v>80</v>
      </c>
      <c r="I154" s="2" t="s">
        <v>74</v>
      </c>
      <c r="J154" s="2" t="s">
        <v>88</v>
      </c>
      <c r="K154" s="2" t="s">
        <v>106</v>
      </c>
      <c r="L154" s="13">
        <v>43735</v>
      </c>
      <c r="M154" s="2"/>
      <c r="N154" s="2">
        <v>95</v>
      </c>
      <c r="O154" s="2"/>
      <c r="P154" s="2">
        <v>1008</v>
      </c>
      <c r="Q154" s="2">
        <v>1914</v>
      </c>
      <c r="R154" s="2">
        <v>231</v>
      </c>
      <c r="S154" s="2">
        <v>3049</v>
      </c>
      <c r="T154" s="2">
        <v>16</v>
      </c>
      <c r="U154" s="2">
        <v>141</v>
      </c>
      <c r="V154" s="12">
        <f>ABS(RPG_dataset[[#This Row],[Win Rate (%)]])</f>
        <v>99</v>
      </c>
      <c r="W154" s="2">
        <v>6451</v>
      </c>
      <c r="X154" s="9">
        <v>228433</v>
      </c>
      <c r="Y154" s="2" t="s">
        <v>36</v>
      </c>
      <c r="Z154" s="2">
        <v>387</v>
      </c>
      <c r="AA154" s="2" t="s">
        <v>1725</v>
      </c>
      <c r="AB154" s="2" t="b">
        <v>0</v>
      </c>
      <c r="AC154" s="2" t="s">
        <v>1730</v>
      </c>
      <c r="AD154" s="2" t="s">
        <v>1727</v>
      </c>
      <c r="AE154" s="2" t="s">
        <v>1731</v>
      </c>
      <c r="AF154" s="2" t="s">
        <v>1729</v>
      </c>
      <c r="AG154" s="28">
        <f>MAX(clean_data[[#This Row],[ATK]:[SPD]]) - MIN(clean_data[[#This Row],[ATK]:[SPD]])</f>
        <v>0</v>
      </c>
      <c r="AH154" s="28" t="str">
        <f>IF(clean_data[[#This Row],[Balanced Score]] = MIN(clean_data[Balanced Score]), "Most Balanced", "")</f>
        <v>Most Balanced</v>
      </c>
    </row>
    <row r="155" spans="1:34" x14ac:dyDescent="0.3">
      <c r="A155" s="2" t="s">
        <v>638</v>
      </c>
      <c r="B155" s="2" t="s">
        <v>639</v>
      </c>
      <c r="C155" s="2" t="s">
        <v>227</v>
      </c>
      <c r="D155" s="2" t="s">
        <v>70</v>
      </c>
      <c r="E155" s="2" t="s">
        <v>29</v>
      </c>
      <c r="F155" s="2" t="s">
        <v>194</v>
      </c>
      <c r="G155" s="2">
        <v>85</v>
      </c>
      <c r="H155" s="2" t="s">
        <v>43</v>
      </c>
      <c r="I155" s="2" t="s">
        <v>32</v>
      </c>
      <c r="J155" s="2" t="s">
        <v>88</v>
      </c>
      <c r="K155" s="2" t="s">
        <v>44</v>
      </c>
      <c r="L155" s="13">
        <v>45190</v>
      </c>
      <c r="M155" s="2">
        <v>10</v>
      </c>
      <c r="N155" s="2">
        <v>117</v>
      </c>
      <c r="O155" s="2">
        <v>56</v>
      </c>
      <c r="P155" s="2">
        <v>1777</v>
      </c>
      <c r="Q155" s="2">
        <v>2623</v>
      </c>
      <c r="R155" s="2">
        <v>183</v>
      </c>
      <c r="S155" s="2">
        <v>1836</v>
      </c>
      <c r="T155" s="2">
        <v>528</v>
      </c>
      <c r="U155" s="2">
        <v>58</v>
      </c>
      <c r="V155" s="12">
        <f>ABS(RPG_dataset[[#This Row],[Win Rate (%)]])</f>
        <v>78</v>
      </c>
      <c r="W155" s="2">
        <v>9706</v>
      </c>
      <c r="X155" s="9">
        <v>866419</v>
      </c>
      <c r="Y155" s="2" t="s">
        <v>36</v>
      </c>
      <c r="Z155" s="2">
        <v>64</v>
      </c>
      <c r="AA155" s="2" t="s">
        <v>1737</v>
      </c>
      <c r="AB155" s="2" t="b">
        <v>1</v>
      </c>
      <c r="AC155" s="2" t="s">
        <v>1730</v>
      </c>
      <c r="AD155" s="2" t="s">
        <v>1727</v>
      </c>
      <c r="AE155" s="2" t="s">
        <v>1731</v>
      </c>
      <c r="AF155" s="2" t="s">
        <v>1729</v>
      </c>
      <c r="AG155" s="28">
        <f>MAX(clean_data[[#This Row],[ATK]:[SPD]]) - MIN(clean_data[[#This Row],[ATK]:[SPD]])</f>
        <v>107</v>
      </c>
      <c r="AH155" s="28" t="str">
        <f>IF(clean_data[[#This Row],[Balanced Score]] = MIN(clean_data[Balanced Score]), "Most Balanced", "")</f>
        <v/>
      </c>
    </row>
    <row r="156" spans="1:34" x14ac:dyDescent="0.3">
      <c r="A156" s="2" t="s">
        <v>641</v>
      </c>
      <c r="B156" s="2" t="s">
        <v>642</v>
      </c>
      <c r="C156" s="2" t="s">
        <v>173</v>
      </c>
      <c r="D156" s="2" t="s">
        <v>618</v>
      </c>
      <c r="E156" s="2" t="s">
        <v>169</v>
      </c>
      <c r="F156" s="2" t="s">
        <v>30</v>
      </c>
      <c r="G156" s="2">
        <v>49</v>
      </c>
      <c r="H156" s="2" t="s">
        <v>157</v>
      </c>
      <c r="I156" s="2" t="s">
        <v>87</v>
      </c>
      <c r="J156" s="2" t="s">
        <v>92</v>
      </c>
      <c r="K156" s="2" t="s">
        <v>106</v>
      </c>
      <c r="L156" s="13">
        <v>43516</v>
      </c>
      <c r="M156" s="2">
        <v>90</v>
      </c>
      <c r="N156" s="2"/>
      <c r="O156" s="2">
        <v>65</v>
      </c>
      <c r="P156" s="2">
        <v>2378</v>
      </c>
      <c r="Q156" s="2">
        <v>422</v>
      </c>
      <c r="R156" s="2">
        <v>213</v>
      </c>
      <c r="S156" s="2">
        <v>2527</v>
      </c>
      <c r="T156" s="2">
        <v>532</v>
      </c>
      <c r="U156" s="2">
        <v>128</v>
      </c>
      <c r="V156" s="12">
        <f>ABS(RPG_dataset[[#This Row],[Win Rate (%)]])</f>
        <v>83</v>
      </c>
      <c r="W156" s="2">
        <v>47</v>
      </c>
      <c r="X156" s="9">
        <v>970336</v>
      </c>
      <c r="Y156" s="2" t="s">
        <v>46</v>
      </c>
      <c r="Z156" s="2">
        <v>16</v>
      </c>
      <c r="AA156" s="2" t="s">
        <v>1733</v>
      </c>
      <c r="AB156" s="2" t="b">
        <v>0</v>
      </c>
      <c r="AC156" s="2" t="s">
        <v>1730</v>
      </c>
      <c r="AD156" s="2" t="s">
        <v>1727</v>
      </c>
      <c r="AE156" s="2" t="s">
        <v>1728</v>
      </c>
      <c r="AF156" s="2" t="s">
        <v>1732</v>
      </c>
      <c r="AG156" s="28">
        <f>MAX(clean_data[[#This Row],[ATK]:[SPD]]) - MIN(clean_data[[#This Row],[ATK]:[SPD]])</f>
        <v>25</v>
      </c>
      <c r="AH156" s="28" t="str">
        <f>IF(clean_data[[#This Row],[Balanced Score]] = MIN(clean_data[Balanced Score]), "Most Balanced", "")</f>
        <v/>
      </c>
    </row>
    <row r="157" spans="1:34" x14ac:dyDescent="0.3">
      <c r="A157" s="2" t="s">
        <v>643</v>
      </c>
      <c r="B157" s="2" t="s">
        <v>644</v>
      </c>
      <c r="C157" s="2" t="s">
        <v>360</v>
      </c>
      <c r="D157" s="2" t="s">
        <v>618</v>
      </c>
      <c r="E157" s="2" t="s">
        <v>105</v>
      </c>
      <c r="F157" s="2" t="s">
        <v>72</v>
      </c>
      <c r="G157" s="2">
        <v>77</v>
      </c>
      <c r="H157" s="2" t="s">
        <v>62</v>
      </c>
      <c r="I157" s="2" t="s">
        <v>63</v>
      </c>
      <c r="J157" s="2" t="s">
        <v>120</v>
      </c>
      <c r="K157" s="2" t="s">
        <v>106</v>
      </c>
      <c r="L157" s="13">
        <v>43199</v>
      </c>
      <c r="M157" s="2">
        <v>125</v>
      </c>
      <c r="N157" s="2">
        <v>33</v>
      </c>
      <c r="O157" s="2">
        <v>46</v>
      </c>
      <c r="P157" s="2">
        <v>289</v>
      </c>
      <c r="Q157" s="2">
        <v>1895</v>
      </c>
      <c r="R157" s="2">
        <v>204</v>
      </c>
      <c r="S157" s="2">
        <v>2266</v>
      </c>
      <c r="T157" s="2">
        <v>763</v>
      </c>
      <c r="U157" s="2">
        <v>94</v>
      </c>
      <c r="V157" s="12">
        <f>ABS(RPG_dataset[[#This Row],[Win Rate (%)]])</f>
        <v>75</v>
      </c>
      <c r="W157" s="2">
        <v>3112</v>
      </c>
      <c r="X157" s="9">
        <v>143046</v>
      </c>
      <c r="Y157" s="2" t="s">
        <v>36</v>
      </c>
      <c r="Z157" s="2">
        <v>422</v>
      </c>
      <c r="AA157" s="2" t="s">
        <v>1737</v>
      </c>
      <c r="AB157" s="2" t="b">
        <v>0</v>
      </c>
      <c r="AC157" s="2" t="s">
        <v>1730</v>
      </c>
      <c r="AD157" s="2" t="s">
        <v>1727</v>
      </c>
      <c r="AE157" s="2" t="s">
        <v>1731</v>
      </c>
      <c r="AF157" s="2" t="s">
        <v>1729</v>
      </c>
      <c r="AG157" s="28">
        <f>MAX(clean_data[[#This Row],[ATK]:[SPD]]) - MIN(clean_data[[#This Row],[ATK]:[SPD]])</f>
        <v>92</v>
      </c>
      <c r="AH157" s="28" t="str">
        <f>IF(clean_data[[#This Row],[Balanced Score]] = MIN(clean_data[Balanced Score]), "Most Balanced", "")</f>
        <v/>
      </c>
    </row>
    <row r="158" spans="1:34" x14ac:dyDescent="0.3">
      <c r="A158" s="2" t="s">
        <v>646</v>
      </c>
      <c r="B158" s="2" t="s">
        <v>647</v>
      </c>
      <c r="C158" s="2" t="s">
        <v>296</v>
      </c>
      <c r="D158" s="2" t="s">
        <v>50</v>
      </c>
      <c r="E158" s="2" t="s">
        <v>71</v>
      </c>
      <c r="F158" s="2" t="s">
        <v>61</v>
      </c>
      <c r="G158" s="2">
        <v>2</v>
      </c>
      <c r="H158" s="2" t="s">
        <v>157</v>
      </c>
      <c r="I158" s="2" t="s">
        <v>32</v>
      </c>
      <c r="J158" s="2" t="s">
        <v>33</v>
      </c>
      <c r="K158" s="2" t="s">
        <v>99</v>
      </c>
      <c r="L158" s="13">
        <v>44310</v>
      </c>
      <c r="M158" s="2">
        <v>57</v>
      </c>
      <c r="N158" s="2">
        <v>30</v>
      </c>
      <c r="O158" s="2">
        <v>139</v>
      </c>
      <c r="P158" s="2"/>
      <c r="Q158" s="2">
        <v>2356</v>
      </c>
      <c r="R158" s="2">
        <v>226</v>
      </c>
      <c r="S158" s="2">
        <v>4065</v>
      </c>
      <c r="T158" s="2"/>
      <c r="U158" s="2">
        <v>137</v>
      </c>
      <c r="V158" s="12">
        <f>ABS(RPG_dataset[[#This Row],[Win Rate (%)]])</f>
        <v>86</v>
      </c>
      <c r="W158" s="2">
        <v>9980</v>
      </c>
      <c r="X158" s="9">
        <v>119929</v>
      </c>
      <c r="Y158" s="2" t="s">
        <v>46</v>
      </c>
      <c r="Z158" s="2">
        <v>428</v>
      </c>
      <c r="AA158" s="2" t="s">
        <v>1735</v>
      </c>
      <c r="AB158" s="2" t="b">
        <v>0</v>
      </c>
      <c r="AC158" s="2" t="s">
        <v>1730</v>
      </c>
      <c r="AD158" s="2" t="s">
        <v>1727</v>
      </c>
      <c r="AE158" s="2" t="s">
        <v>1728</v>
      </c>
      <c r="AF158" s="2" t="s">
        <v>1736</v>
      </c>
      <c r="AG158" s="28">
        <f>MAX(clean_data[[#This Row],[ATK]:[SPD]]) - MIN(clean_data[[#This Row],[ATK]:[SPD]])</f>
        <v>109</v>
      </c>
      <c r="AH158" s="28" t="str">
        <f>IF(clean_data[[#This Row],[Balanced Score]] = MIN(clean_data[Balanced Score]), "Most Balanced", "")</f>
        <v/>
      </c>
    </row>
    <row r="159" spans="1:34" x14ac:dyDescent="0.3">
      <c r="A159" s="2" t="s">
        <v>649</v>
      </c>
      <c r="B159" s="2" t="s">
        <v>650</v>
      </c>
      <c r="C159" s="2" t="s">
        <v>604</v>
      </c>
      <c r="D159" s="2" t="s">
        <v>254</v>
      </c>
      <c r="E159" s="2" t="s">
        <v>228</v>
      </c>
      <c r="F159" s="2" t="s">
        <v>52</v>
      </c>
      <c r="G159" s="2">
        <v>82</v>
      </c>
      <c r="H159" s="2" t="s">
        <v>157</v>
      </c>
      <c r="I159" s="2" t="s">
        <v>87</v>
      </c>
      <c r="J159" s="2" t="s">
        <v>81</v>
      </c>
      <c r="K159" s="2" t="s">
        <v>34</v>
      </c>
      <c r="L159" s="13">
        <v>44154</v>
      </c>
      <c r="M159" s="2">
        <v>38</v>
      </c>
      <c r="N159" s="2"/>
      <c r="O159" s="2">
        <v>87</v>
      </c>
      <c r="P159" s="2">
        <v>356</v>
      </c>
      <c r="Q159" s="2">
        <v>2037</v>
      </c>
      <c r="R159" s="2">
        <v>248</v>
      </c>
      <c r="S159" s="2">
        <v>2355</v>
      </c>
      <c r="T159" s="2">
        <v>59</v>
      </c>
      <c r="U159" s="2">
        <v>61</v>
      </c>
      <c r="V159" s="12">
        <f>ABS(RPG_dataset[[#This Row],[Win Rate (%)]])</f>
        <v>98</v>
      </c>
      <c r="W159" s="2">
        <v>7372</v>
      </c>
      <c r="X159" s="9">
        <v>710046</v>
      </c>
      <c r="Y159" s="2" t="s">
        <v>46</v>
      </c>
      <c r="Z159" s="2">
        <v>143</v>
      </c>
      <c r="AA159" s="2" t="s">
        <v>1737</v>
      </c>
      <c r="AB159" s="2" t="b">
        <v>0</v>
      </c>
      <c r="AC159" s="2" t="s">
        <v>1730</v>
      </c>
      <c r="AD159" s="2" t="s">
        <v>1727</v>
      </c>
      <c r="AE159" s="2" t="s">
        <v>1728</v>
      </c>
      <c r="AF159" s="2" t="s">
        <v>1736</v>
      </c>
      <c r="AG159" s="28">
        <f>MAX(clean_data[[#This Row],[ATK]:[SPD]]) - MIN(clean_data[[#This Row],[ATK]:[SPD]])</f>
        <v>49</v>
      </c>
      <c r="AH159" s="28" t="str">
        <f>IF(clean_data[[#This Row],[Balanced Score]] = MIN(clean_data[Balanced Score]), "Most Balanced", "")</f>
        <v/>
      </c>
    </row>
    <row r="160" spans="1:34" x14ac:dyDescent="0.3">
      <c r="A160" s="2" t="s">
        <v>652</v>
      </c>
      <c r="B160" s="2" t="s">
        <v>653</v>
      </c>
      <c r="C160" s="2" t="s">
        <v>360</v>
      </c>
      <c r="D160" s="2" t="s">
        <v>277</v>
      </c>
      <c r="E160" s="2" t="s">
        <v>29</v>
      </c>
      <c r="F160" s="2" t="s">
        <v>42</v>
      </c>
      <c r="G160" s="2">
        <v>25</v>
      </c>
      <c r="H160" s="2" t="s">
        <v>73</v>
      </c>
      <c r="I160" s="2" t="s">
        <v>74</v>
      </c>
      <c r="J160" s="2" t="s">
        <v>163</v>
      </c>
      <c r="K160" s="2" t="s">
        <v>44</v>
      </c>
      <c r="L160" s="13">
        <v>44753</v>
      </c>
      <c r="M160" s="2">
        <v>137</v>
      </c>
      <c r="N160" s="2">
        <v>141</v>
      </c>
      <c r="O160" s="2">
        <v>59</v>
      </c>
      <c r="P160" s="2">
        <v>4604</v>
      </c>
      <c r="Q160" s="2">
        <v>2412</v>
      </c>
      <c r="R160" s="2">
        <v>337</v>
      </c>
      <c r="S160" s="2">
        <v>469</v>
      </c>
      <c r="T160" s="2">
        <v>335</v>
      </c>
      <c r="U160" s="2">
        <v>9</v>
      </c>
      <c r="V160" s="12">
        <f>ABS(RPG_dataset[[#This Row],[Win Rate (%)]])</f>
        <v>58</v>
      </c>
      <c r="W160" s="2">
        <v>5026</v>
      </c>
      <c r="X160" s="9">
        <v>579921</v>
      </c>
      <c r="Y160" s="2" t="s">
        <v>36</v>
      </c>
      <c r="Z160" s="2">
        <v>212</v>
      </c>
      <c r="AA160" s="2" t="s">
        <v>1735</v>
      </c>
      <c r="AB160" s="2" t="b">
        <v>1</v>
      </c>
      <c r="AC160" s="2" t="s">
        <v>1738</v>
      </c>
      <c r="AD160" s="2" t="s">
        <v>1727</v>
      </c>
      <c r="AE160" s="2" t="s">
        <v>1728</v>
      </c>
      <c r="AF160" s="2" t="s">
        <v>1734</v>
      </c>
      <c r="AG160" s="28">
        <f>MAX(clean_data[[#This Row],[ATK]:[SPD]]) - MIN(clean_data[[#This Row],[ATK]:[SPD]])</f>
        <v>82</v>
      </c>
      <c r="AH160" s="28" t="str">
        <f>IF(clean_data[[#This Row],[Balanced Score]] = MIN(clean_data[Balanced Score]), "Most Balanced", "")</f>
        <v/>
      </c>
    </row>
    <row r="161" spans="1:34" x14ac:dyDescent="0.3">
      <c r="A161" s="2" t="s">
        <v>655</v>
      </c>
      <c r="B161" s="2" t="s">
        <v>656</v>
      </c>
      <c r="C161" s="2" t="s">
        <v>138</v>
      </c>
      <c r="D161" s="2" t="s">
        <v>144</v>
      </c>
      <c r="E161" s="2" t="s">
        <v>51</v>
      </c>
      <c r="F161" s="2" t="s">
        <v>61</v>
      </c>
      <c r="G161" s="2">
        <v>84</v>
      </c>
      <c r="H161" s="2" t="s">
        <v>125</v>
      </c>
      <c r="I161" s="2" t="s">
        <v>63</v>
      </c>
      <c r="J161" s="2" t="s">
        <v>81</v>
      </c>
      <c r="K161" s="2" t="s">
        <v>106</v>
      </c>
      <c r="L161" s="13">
        <v>44004</v>
      </c>
      <c r="M161" s="2">
        <v>95</v>
      </c>
      <c r="N161" s="2">
        <v>89</v>
      </c>
      <c r="O161" s="2">
        <v>112</v>
      </c>
      <c r="P161" s="2">
        <v>2451</v>
      </c>
      <c r="Q161" s="2">
        <v>820</v>
      </c>
      <c r="R161" s="2">
        <v>296</v>
      </c>
      <c r="S161" s="2">
        <v>1625</v>
      </c>
      <c r="T161" s="2">
        <v>273</v>
      </c>
      <c r="U161" s="2">
        <v>246</v>
      </c>
      <c r="V161" s="12">
        <f>ABS(RPG_dataset[[#This Row],[Win Rate (%)]])</f>
        <v>86</v>
      </c>
      <c r="W161" s="2">
        <v>9361</v>
      </c>
      <c r="X161" s="9">
        <v>372846</v>
      </c>
      <c r="Y161" s="2" t="s">
        <v>46</v>
      </c>
      <c r="Z161" s="2">
        <v>318</v>
      </c>
      <c r="AA161" s="2" t="s">
        <v>1737</v>
      </c>
      <c r="AB161" s="2" t="b">
        <v>0</v>
      </c>
      <c r="AC161" s="2" t="s">
        <v>1730</v>
      </c>
      <c r="AD161" s="2" t="s">
        <v>1727</v>
      </c>
      <c r="AE161" s="2" t="s">
        <v>1728</v>
      </c>
      <c r="AF161" s="2" t="s">
        <v>1736</v>
      </c>
      <c r="AG161" s="28">
        <f>MAX(clean_data[[#This Row],[ATK]:[SPD]]) - MIN(clean_data[[#This Row],[ATK]:[SPD]])</f>
        <v>23</v>
      </c>
      <c r="AH161" s="28" t="str">
        <f>IF(clean_data[[#This Row],[Balanced Score]] = MIN(clean_data[Balanced Score]), "Most Balanced", "")</f>
        <v/>
      </c>
    </row>
    <row r="162" spans="1:34" x14ac:dyDescent="0.3">
      <c r="A162" s="2" t="s">
        <v>658</v>
      </c>
      <c r="B162" s="2" t="s">
        <v>659</v>
      </c>
      <c r="C162" s="2" t="s">
        <v>219</v>
      </c>
      <c r="D162" s="2" t="s">
        <v>155</v>
      </c>
      <c r="E162" s="2" t="s">
        <v>228</v>
      </c>
      <c r="F162" s="2" t="s">
        <v>72</v>
      </c>
      <c r="G162" s="2">
        <v>4</v>
      </c>
      <c r="H162" s="2" t="s">
        <v>125</v>
      </c>
      <c r="I162" s="2" t="s">
        <v>74</v>
      </c>
      <c r="J162" s="2" t="s">
        <v>64</v>
      </c>
      <c r="K162" s="2" t="s">
        <v>34</v>
      </c>
      <c r="L162" s="13">
        <v>43417</v>
      </c>
      <c r="M162" s="2">
        <v>59</v>
      </c>
      <c r="N162" s="2">
        <v>137</v>
      </c>
      <c r="O162" s="2">
        <v>58</v>
      </c>
      <c r="P162" s="2"/>
      <c r="Q162" s="2">
        <v>240</v>
      </c>
      <c r="R162" s="2">
        <v>254</v>
      </c>
      <c r="S162" s="2"/>
      <c r="T162" s="2">
        <v>820</v>
      </c>
      <c r="U162" s="2">
        <v>247</v>
      </c>
      <c r="V162" s="12">
        <f>ABS(RPG_dataset[[#This Row],[Win Rate (%)]])</f>
        <v>65</v>
      </c>
      <c r="W162" s="2">
        <v>5218</v>
      </c>
      <c r="X162" s="9">
        <v>905300</v>
      </c>
      <c r="Y162" s="2" t="s">
        <v>36</v>
      </c>
      <c r="Z162" s="2">
        <v>49</v>
      </c>
      <c r="AA162" s="2" t="s">
        <v>1735</v>
      </c>
      <c r="AB162" s="2" t="b">
        <v>0</v>
      </c>
      <c r="AC162" s="2" t="s">
        <v>1738</v>
      </c>
      <c r="AD162" s="2" t="s">
        <v>1727</v>
      </c>
      <c r="AE162" s="2" t="s">
        <v>1728</v>
      </c>
      <c r="AF162" s="2" t="s">
        <v>1729</v>
      </c>
      <c r="AG162" s="28">
        <f>MAX(clean_data[[#This Row],[ATK]:[SPD]]) - MIN(clean_data[[#This Row],[ATK]:[SPD]])</f>
        <v>79</v>
      </c>
      <c r="AH162" s="28" t="str">
        <f>IF(clean_data[[#This Row],[Balanced Score]] = MIN(clean_data[Balanced Score]), "Most Balanced", "")</f>
        <v/>
      </c>
    </row>
    <row r="163" spans="1:34" x14ac:dyDescent="0.3">
      <c r="A163" s="2" t="s">
        <v>661</v>
      </c>
      <c r="B163" s="2" t="s">
        <v>662</v>
      </c>
      <c r="C163" s="2" t="s">
        <v>123</v>
      </c>
      <c r="D163" s="2" t="s">
        <v>254</v>
      </c>
      <c r="E163" s="2" t="s">
        <v>51</v>
      </c>
      <c r="F163" s="2" t="s">
        <v>42</v>
      </c>
      <c r="G163" s="2">
        <v>96</v>
      </c>
      <c r="H163" s="2" t="s">
        <v>53</v>
      </c>
      <c r="I163" s="2" t="s">
        <v>74</v>
      </c>
      <c r="J163" s="2" t="s">
        <v>33</v>
      </c>
      <c r="K163" s="2" t="s">
        <v>44</v>
      </c>
      <c r="L163" s="13">
        <v>44532</v>
      </c>
      <c r="M163" s="2">
        <v>129</v>
      </c>
      <c r="N163" s="2">
        <v>61</v>
      </c>
      <c r="O163" s="2">
        <v>70</v>
      </c>
      <c r="P163" s="2">
        <v>375</v>
      </c>
      <c r="Q163" s="2">
        <v>2410</v>
      </c>
      <c r="R163" s="2">
        <v>260</v>
      </c>
      <c r="S163" s="2"/>
      <c r="T163" s="2">
        <v>235</v>
      </c>
      <c r="U163" s="2">
        <v>26</v>
      </c>
      <c r="V163" s="12">
        <f>ABS(RPG_dataset[[#This Row],[Win Rate (%)]])</f>
        <v>81</v>
      </c>
      <c r="W163" s="2">
        <v>4908</v>
      </c>
      <c r="X163" s="9">
        <v>991621</v>
      </c>
      <c r="Y163" s="2" t="s">
        <v>36</v>
      </c>
      <c r="Z163" s="2">
        <v>5</v>
      </c>
      <c r="AA163" s="2" t="s">
        <v>1737</v>
      </c>
      <c r="AB163" s="2" t="b">
        <v>1</v>
      </c>
      <c r="AC163" s="2" t="s">
        <v>1730</v>
      </c>
      <c r="AD163" s="2" t="s">
        <v>1727</v>
      </c>
      <c r="AE163" s="2" t="s">
        <v>1731</v>
      </c>
      <c r="AF163" s="2" t="s">
        <v>1732</v>
      </c>
      <c r="AG163" s="28">
        <f>MAX(clean_data[[#This Row],[ATK]:[SPD]]) - MIN(clean_data[[#This Row],[ATK]:[SPD]])</f>
        <v>68</v>
      </c>
      <c r="AH163" s="28" t="str">
        <f>IF(clean_data[[#This Row],[Balanced Score]] = MIN(clean_data[Balanced Score]), "Most Balanced", "")</f>
        <v/>
      </c>
    </row>
    <row r="164" spans="1:34" x14ac:dyDescent="0.3">
      <c r="A164" s="2" t="s">
        <v>664</v>
      </c>
      <c r="B164" s="2" t="s">
        <v>665</v>
      </c>
      <c r="C164" s="2" t="s">
        <v>371</v>
      </c>
      <c r="D164" s="2" t="s">
        <v>210</v>
      </c>
      <c r="E164" s="2" t="s">
        <v>169</v>
      </c>
      <c r="F164" s="2" t="s">
        <v>52</v>
      </c>
      <c r="G164" s="2">
        <v>61</v>
      </c>
      <c r="H164" s="2" t="s">
        <v>75</v>
      </c>
      <c r="I164" s="2" t="s">
        <v>54</v>
      </c>
      <c r="J164" s="2" t="s">
        <v>88</v>
      </c>
      <c r="K164" s="2" t="s">
        <v>44</v>
      </c>
      <c r="L164" s="13">
        <v>44481</v>
      </c>
      <c r="M164" s="2">
        <v>94</v>
      </c>
      <c r="N164" s="2">
        <v>42</v>
      </c>
      <c r="O164" s="2">
        <v>129</v>
      </c>
      <c r="P164" s="2">
        <v>2442</v>
      </c>
      <c r="Q164" s="2">
        <v>2277</v>
      </c>
      <c r="R164" s="2">
        <v>265</v>
      </c>
      <c r="S164" s="2">
        <v>1645</v>
      </c>
      <c r="T164" s="2">
        <v>524</v>
      </c>
      <c r="U164" s="2">
        <v>120</v>
      </c>
      <c r="V164" s="12">
        <f>ABS(RPG_dataset[[#This Row],[Win Rate (%)]])</f>
        <v>76</v>
      </c>
      <c r="W164" s="2">
        <v>3946</v>
      </c>
      <c r="X164" s="9">
        <v>819018</v>
      </c>
      <c r="Y164" s="2" t="s">
        <v>46</v>
      </c>
      <c r="Z164" s="2">
        <v>95</v>
      </c>
      <c r="AA164" s="2" t="s">
        <v>1725</v>
      </c>
      <c r="AB164" s="2" t="b">
        <v>1</v>
      </c>
      <c r="AC164" s="2" t="s">
        <v>1730</v>
      </c>
      <c r="AD164" s="2" t="s">
        <v>1727</v>
      </c>
      <c r="AE164" s="2" t="s">
        <v>1728</v>
      </c>
      <c r="AF164" s="2" t="s">
        <v>1736</v>
      </c>
      <c r="AG164" s="28">
        <f>MAX(clean_data[[#This Row],[ATK]:[SPD]]) - MIN(clean_data[[#This Row],[ATK]:[SPD]])</f>
        <v>87</v>
      </c>
      <c r="AH164" s="28" t="str">
        <f>IF(clean_data[[#This Row],[Balanced Score]] = MIN(clean_data[Balanced Score]), "Most Balanced", "")</f>
        <v/>
      </c>
    </row>
    <row r="165" spans="1:34" x14ac:dyDescent="0.3">
      <c r="A165" s="2" t="s">
        <v>668</v>
      </c>
      <c r="B165" s="2" t="s">
        <v>669</v>
      </c>
      <c r="C165" s="2" t="s">
        <v>517</v>
      </c>
      <c r="D165" s="2" t="s">
        <v>104</v>
      </c>
      <c r="E165" s="2" t="s">
        <v>51</v>
      </c>
      <c r="F165" s="2" t="s">
        <v>30</v>
      </c>
      <c r="G165" s="2">
        <v>96</v>
      </c>
      <c r="H165" s="2" t="s">
        <v>43</v>
      </c>
      <c r="I165" s="2" t="s">
        <v>54</v>
      </c>
      <c r="J165" s="2" t="s">
        <v>33</v>
      </c>
      <c r="K165" s="2" t="s">
        <v>44</v>
      </c>
      <c r="L165" s="13">
        <v>43913</v>
      </c>
      <c r="M165" s="2">
        <v>122</v>
      </c>
      <c r="N165" s="2">
        <v>98</v>
      </c>
      <c r="O165" s="2">
        <v>42</v>
      </c>
      <c r="P165" s="2">
        <v>358</v>
      </c>
      <c r="Q165" s="2">
        <v>1793</v>
      </c>
      <c r="R165" s="2"/>
      <c r="S165" s="2">
        <v>2897</v>
      </c>
      <c r="T165" s="2">
        <v>707</v>
      </c>
      <c r="U165" s="2">
        <v>133</v>
      </c>
      <c r="V165" s="12">
        <f>ABS(RPG_dataset[[#This Row],[Win Rate (%)]])</f>
        <v>80</v>
      </c>
      <c r="W165" s="2">
        <v>755</v>
      </c>
      <c r="X165" s="9">
        <v>502845</v>
      </c>
      <c r="Y165" s="2" t="s">
        <v>46</v>
      </c>
      <c r="Z165" s="2">
        <v>249</v>
      </c>
      <c r="AA165" s="2" t="s">
        <v>1737</v>
      </c>
      <c r="AB165" s="2" t="b">
        <v>1</v>
      </c>
      <c r="AC165" s="2" t="s">
        <v>1730</v>
      </c>
      <c r="AD165" s="2" t="s">
        <v>1727</v>
      </c>
      <c r="AE165" s="2" t="s">
        <v>1728</v>
      </c>
      <c r="AF165" s="2" t="s">
        <v>61</v>
      </c>
      <c r="AG165" s="28">
        <f>MAX(clean_data[[#This Row],[ATK]:[SPD]]) - MIN(clean_data[[#This Row],[ATK]:[SPD]])</f>
        <v>80</v>
      </c>
      <c r="AH165" s="28" t="str">
        <f>IF(clean_data[[#This Row],[Balanced Score]] = MIN(clean_data[Balanced Score]), "Most Balanced", "")</f>
        <v/>
      </c>
    </row>
    <row r="166" spans="1:34" x14ac:dyDescent="0.3">
      <c r="A166" s="2" t="s">
        <v>671</v>
      </c>
      <c r="B166" s="2" t="s">
        <v>672</v>
      </c>
      <c r="C166" s="2" t="s">
        <v>219</v>
      </c>
      <c r="D166" s="2" t="s">
        <v>254</v>
      </c>
      <c r="E166" s="2" t="s">
        <v>60</v>
      </c>
      <c r="F166" s="2" t="s">
        <v>98</v>
      </c>
      <c r="G166" s="2">
        <v>95</v>
      </c>
      <c r="H166" s="2" t="s">
        <v>80</v>
      </c>
      <c r="I166" s="2" t="s">
        <v>74</v>
      </c>
      <c r="J166" s="2" t="s">
        <v>33</v>
      </c>
      <c r="K166" s="2" t="s">
        <v>44</v>
      </c>
      <c r="L166" s="13">
        <v>43255</v>
      </c>
      <c r="M166" s="2">
        <v>110</v>
      </c>
      <c r="N166" s="2">
        <v>74</v>
      </c>
      <c r="O166" s="2">
        <v>14</v>
      </c>
      <c r="P166" s="2">
        <v>178</v>
      </c>
      <c r="Q166" s="2">
        <v>2955</v>
      </c>
      <c r="R166" s="2">
        <v>198</v>
      </c>
      <c r="S166" s="2">
        <v>4059</v>
      </c>
      <c r="T166" s="2">
        <v>35</v>
      </c>
      <c r="U166" s="2">
        <v>58</v>
      </c>
      <c r="V166" s="12">
        <f>ABS(RPG_dataset[[#This Row],[Win Rate (%)]])</f>
        <v>99</v>
      </c>
      <c r="W166" s="2">
        <v>5940</v>
      </c>
      <c r="X166" s="9">
        <v>901036</v>
      </c>
      <c r="Y166" s="2" t="s">
        <v>36</v>
      </c>
      <c r="Z166" s="2">
        <v>52</v>
      </c>
      <c r="AA166" s="2" t="s">
        <v>1737</v>
      </c>
      <c r="AB166" s="2" t="b">
        <v>1</v>
      </c>
      <c r="AC166" s="2" t="s">
        <v>1730</v>
      </c>
      <c r="AD166" s="2" t="s">
        <v>1727</v>
      </c>
      <c r="AE166" s="2" t="s">
        <v>1731</v>
      </c>
      <c r="AF166" s="2" t="s">
        <v>1729</v>
      </c>
      <c r="AG166" s="28">
        <f>MAX(clean_data[[#This Row],[ATK]:[SPD]]) - MIN(clean_data[[#This Row],[ATK]:[SPD]])</f>
        <v>96</v>
      </c>
      <c r="AH166" s="28" t="str">
        <f>IF(clean_data[[#This Row],[Balanced Score]] = MIN(clean_data[Balanced Score]), "Most Balanced", "")</f>
        <v/>
      </c>
    </row>
    <row r="167" spans="1:34" x14ac:dyDescent="0.3">
      <c r="A167" s="2" t="s">
        <v>675</v>
      </c>
      <c r="B167" s="2" t="s">
        <v>676</v>
      </c>
      <c r="C167" s="2" t="s">
        <v>27</v>
      </c>
      <c r="D167" s="2" t="s">
        <v>272</v>
      </c>
      <c r="E167" s="2" t="s">
        <v>60</v>
      </c>
      <c r="F167" s="2" t="s">
        <v>98</v>
      </c>
      <c r="G167" s="2">
        <v>65</v>
      </c>
      <c r="H167" s="2" t="s">
        <v>125</v>
      </c>
      <c r="I167" s="2" t="s">
        <v>74</v>
      </c>
      <c r="J167" s="2" t="s">
        <v>163</v>
      </c>
      <c r="K167" s="2" t="s">
        <v>106</v>
      </c>
      <c r="L167" s="13">
        <v>44566</v>
      </c>
      <c r="M167" s="2">
        <v>39</v>
      </c>
      <c r="N167" s="2">
        <v>149</v>
      </c>
      <c r="O167" s="2">
        <v>128</v>
      </c>
      <c r="P167" s="2">
        <v>4207</v>
      </c>
      <c r="Q167" s="2">
        <v>1597</v>
      </c>
      <c r="R167" s="2"/>
      <c r="S167" s="2">
        <v>3052</v>
      </c>
      <c r="T167" s="2">
        <v>491</v>
      </c>
      <c r="U167" s="2">
        <v>16</v>
      </c>
      <c r="V167" s="12">
        <f>ABS(RPG_dataset[[#This Row],[Win Rate (%)]])</f>
        <v>86</v>
      </c>
      <c r="W167" s="2">
        <v>7039</v>
      </c>
      <c r="X167" s="9">
        <v>886109</v>
      </c>
      <c r="Y167" s="2" t="s">
        <v>46</v>
      </c>
      <c r="Z167" s="2">
        <v>59</v>
      </c>
      <c r="AA167" s="2" t="s">
        <v>1725</v>
      </c>
      <c r="AB167" s="2" t="b">
        <v>0</v>
      </c>
      <c r="AC167" s="2" t="s">
        <v>1730</v>
      </c>
      <c r="AD167" s="2" t="s">
        <v>1727</v>
      </c>
      <c r="AE167" s="2" t="s">
        <v>1728</v>
      </c>
      <c r="AF167" s="2" t="s">
        <v>1736</v>
      </c>
      <c r="AG167" s="28">
        <f>MAX(clean_data[[#This Row],[ATK]:[SPD]]) - MIN(clean_data[[#This Row],[ATK]:[SPD]])</f>
        <v>110</v>
      </c>
      <c r="AH167" s="28" t="str">
        <f>IF(clean_data[[#This Row],[Balanced Score]] = MIN(clean_data[Balanced Score]), "Most Balanced", "")</f>
        <v/>
      </c>
    </row>
    <row r="168" spans="1:34" x14ac:dyDescent="0.3">
      <c r="A168" s="2" t="s">
        <v>678</v>
      </c>
      <c r="B168" s="2" t="s">
        <v>679</v>
      </c>
      <c r="C168" s="2" t="s">
        <v>680</v>
      </c>
      <c r="D168" s="2" t="s">
        <v>155</v>
      </c>
      <c r="E168" s="2" t="s">
        <v>228</v>
      </c>
      <c r="F168" s="2" t="s">
        <v>42</v>
      </c>
      <c r="G168" s="2">
        <v>41</v>
      </c>
      <c r="H168" s="2" t="s">
        <v>80</v>
      </c>
      <c r="I168" s="2" t="s">
        <v>54</v>
      </c>
      <c r="J168" s="2" t="s">
        <v>92</v>
      </c>
      <c r="K168" s="2" t="s">
        <v>44</v>
      </c>
      <c r="L168" s="13">
        <v>43973</v>
      </c>
      <c r="M168" s="2">
        <v>148</v>
      </c>
      <c r="N168" s="2">
        <v>111</v>
      </c>
      <c r="O168" s="2">
        <v>124</v>
      </c>
      <c r="P168" s="2">
        <v>2298</v>
      </c>
      <c r="Q168" s="2">
        <v>682</v>
      </c>
      <c r="R168" s="2">
        <v>383</v>
      </c>
      <c r="S168" s="2">
        <v>564</v>
      </c>
      <c r="T168" s="2">
        <v>50</v>
      </c>
      <c r="U168" s="2">
        <v>131</v>
      </c>
      <c r="V168" s="12">
        <f>ABS(RPG_dataset[[#This Row],[Win Rate (%)]])</f>
        <v>92</v>
      </c>
      <c r="W168" s="2">
        <v>8007</v>
      </c>
      <c r="X168" s="9">
        <v>841598</v>
      </c>
      <c r="Y168" s="2" t="s">
        <v>36</v>
      </c>
      <c r="Z168" s="2">
        <v>82</v>
      </c>
      <c r="AA168" s="2" t="s">
        <v>1733</v>
      </c>
      <c r="AB168" s="2" t="b">
        <v>1</v>
      </c>
      <c r="AC168" s="2" t="s">
        <v>1730</v>
      </c>
      <c r="AD168" s="2" t="s">
        <v>1727</v>
      </c>
      <c r="AE168" s="2" t="s">
        <v>1728</v>
      </c>
      <c r="AF168" s="2" t="s">
        <v>1736</v>
      </c>
      <c r="AG168" s="28">
        <f>MAX(clean_data[[#This Row],[ATK]:[SPD]]) - MIN(clean_data[[#This Row],[ATK]:[SPD]])</f>
        <v>37</v>
      </c>
      <c r="AH168" s="28" t="str">
        <f>IF(clean_data[[#This Row],[Balanced Score]] = MIN(clean_data[Balanced Score]), "Most Balanced", "")</f>
        <v/>
      </c>
    </row>
    <row r="169" spans="1:34" x14ac:dyDescent="0.3">
      <c r="A169" s="2" t="s">
        <v>684</v>
      </c>
      <c r="B169" s="2" t="s">
        <v>685</v>
      </c>
      <c r="C169" s="2" t="s">
        <v>281</v>
      </c>
      <c r="D169" s="2" t="s">
        <v>119</v>
      </c>
      <c r="E169" s="2" t="s">
        <v>41</v>
      </c>
      <c r="F169" s="2" t="s">
        <v>61</v>
      </c>
      <c r="G169" s="2">
        <v>57</v>
      </c>
      <c r="H169" s="2" t="s">
        <v>125</v>
      </c>
      <c r="I169" s="2" t="s">
        <v>63</v>
      </c>
      <c r="J169" s="2" t="s">
        <v>88</v>
      </c>
      <c r="K169" s="2" t="s">
        <v>44</v>
      </c>
      <c r="L169" s="13">
        <v>45267</v>
      </c>
      <c r="M169" s="2">
        <v>139</v>
      </c>
      <c r="N169" s="2">
        <v>92</v>
      </c>
      <c r="O169" s="2">
        <v>117</v>
      </c>
      <c r="P169" s="2">
        <v>2340</v>
      </c>
      <c r="Q169" s="2">
        <v>156</v>
      </c>
      <c r="R169" s="2">
        <v>348</v>
      </c>
      <c r="S169" s="2">
        <v>2590</v>
      </c>
      <c r="T169" s="2"/>
      <c r="U169" s="2">
        <v>233</v>
      </c>
      <c r="V169" s="12">
        <f>ABS(RPG_dataset[[#This Row],[Win Rate (%)]])</f>
        <v>100</v>
      </c>
      <c r="W169" s="2">
        <v>2122</v>
      </c>
      <c r="X169" s="9">
        <v>302621</v>
      </c>
      <c r="Y169" s="2" t="s">
        <v>46</v>
      </c>
      <c r="Z169" s="2">
        <v>352</v>
      </c>
      <c r="AA169" s="2" t="s">
        <v>1725</v>
      </c>
      <c r="AB169" s="2" t="b">
        <v>1</v>
      </c>
      <c r="AC169" s="2" t="s">
        <v>1730</v>
      </c>
      <c r="AD169" s="2" t="s">
        <v>1727</v>
      </c>
      <c r="AE169" s="2" t="s">
        <v>1728</v>
      </c>
      <c r="AF169" s="2" t="s">
        <v>1736</v>
      </c>
      <c r="AG169" s="28">
        <f>MAX(clean_data[[#This Row],[ATK]:[SPD]]) - MIN(clean_data[[#This Row],[ATK]:[SPD]])</f>
        <v>47</v>
      </c>
      <c r="AH169" s="28" t="str">
        <f>IF(clean_data[[#This Row],[Balanced Score]] = MIN(clean_data[Balanced Score]), "Most Balanced", "")</f>
        <v/>
      </c>
    </row>
    <row r="170" spans="1:34" x14ac:dyDescent="0.3">
      <c r="A170" s="2" t="s">
        <v>687</v>
      </c>
      <c r="B170" s="2" t="s">
        <v>688</v>
      </c>
      <c r="C170" s="2" t="s">
        <v>689</v>
      </c>
      <c r="D170" s="2" t="s">
        <v>250</v>
      </c>
      <c r="E170" s="2" t="s">
        <v>228</v>
      </c>
      <c r="F170" s="2" t="s">
        <v>52</v>
      </c>
      <c r="G170" s="2">
        <v>43</v>
      </c>
      <c r="H170" s="2" t="s">
        <v>80</v>
      </c>
      <c r="I170" s="2" t="s">
        <v>32</v>
      </c>
      <c r="J170" s="2" t="s">
        <v>120</v>
      </c>
      <c r="K170" s="2" t="s">
        <v>44</v>
      </c>
      <c r="L170" s="13">
        <v>44684</v>
      </c>
      <c r="M170" s="2">
        <v>149</v>
      </c>
      <c r="N170" s="2">
        <v>44</v>
      </c>
      <c r="O170" s="2">
        <v>68</v>
      </c>
      <c r="P170" s="2">
        <v>4497</v>
      </c>
      <c r="Q170" s="2">
        <v>1491</v>
      </c>
      <c r="R170" s="2">
        <v>261</v>
      </c>
      <c r="S170" s="2">
        <v>3271</v>
      </c>
      <c r="T170" s="2">
        <v>692</v>
      </c>
      <c r="U170" s="2">
        <v>256</v>
      </c>
      <c r="V170" s="12">
        <f>ABS(RPG_dataset[[#This Row],[Win Rate (%)]])</f>
        <v>83</v>
      </c>
      <c r="W170" s="2">
        <v>4174</v>
      </c>
      <c r="X170" s="9">
        <v>449045</v>
      </c>
      <c r="Y170" s="2" t="s">
        <v>46</v>
      </c>
      <c r="Z170" s="2">
        <v>279</v>
      </c>
      <c r="AA170" s="2" t="s">
        <v>1733</v>
      </c>
      <c r="AB170" s="2" t="b">
        <v>1</v>
      </c>
      <c r="AC170" s="2" t="s">
        <v>1730</v>
      </c>
      <c r="AD170" s="2" t="s">
        <v>1727</v>
      </c>
      <c r="AE170" s="2" t="s">
        <v>1728</v>
      </c>
      <c r="AF170" s="2" t="s">
        <v>1732</v>
      </c>
      <c r="AG170" s="28">
        <f>MAX(clean_data[[#This Row],[ATK]:[SPD]]) - MIN(clean_data[[#This Row],[ATK]:[SPD]])</f>
        <v>105</v>
      </c>
      <c r="AH170" s="28" t="str">
        <f>IF(clean_data[[#This Row],[Balanced Score]] = MIN(clean_data[Balanced Score]), "Most Balanced", "")</f>
        <v/>
      </c>
    </row>
    <row r="171" spans="1:34" x14ac:dyDescent="0.3">
      <c r="A171" s="2" t="s">
        <v>691</v>
      </c>
      <c r="B171" s="2" t="s">
        <v>692</v>
      </c>
      <c r="C171" s="2" t="s">
        <v>693</v>
      </c>
      <c r="D171" s="2" t="s">
        <v>28</v>
      </c>
      <c r="E171" s="2" t="s">
        <v>41</v>
      </c>
      <c r="F171" s="2" t="s">
        <v>30</v>
      </c>
      <c r="G171" s="2">
        <v>21</v>
      </c>
      <c r="H171" s="2" t="s">
        <v>31</v>
      </c>
      <c r="I171" s="2" t="s">
        <v>63</v>
      </c>
      <c r="J171" s="2" t="s">
        <v>120</v>
      </c>
      <c r="K171" s="2" t="s">
        <v>34</v>
      </c>
      <c r="L171" s="13">
        <v>44765</v>
      </c>
      <c r="M171" s="2">
        <v>114</v>
      </c>
      <c r="N171" s="2">
        <v>46</v>
      </c>
      <c r="O171" s="2">
        <v>141</v>
      </c>
      <c r="P171" s="2">
        <v>1299</v>
      </c>
      <c r="Q171" s="2">
        <v>1932</v>
      </c>
      <c r="R171" s="2">
        <v>301</v>
      </c>
      <c r="S171" s="2">
        <v>1861</v>
      </c>
      <c r="T171" s="2">
        <v>313</v>
      </c>
      <c r="U171" s="2">
        <v>273</v>
      </c>
      <c r="V171" s="12">
        <f>ABS(RPG_dataset[[#This Row],[Win Rate (%)]])</f>
        <v>86</v>
      </c>
      <c r="W171" s="2">
        <v>8001</v>
      </c>
      <c r="X171" s="9">
        <v>377955</v>
      </c>
      <c r="Y171" s="2" t="s">
        <v>36</v>
      </c>
      <c r="Z171" s="2">
        <v>315</v>
      </c>
      <c r="AA171" s="2" t="s">
        <v>1735</v>
      </c>
      <c r="AB171" s="2" t="b">
        <v>0</v>
      </c>
      <c r="AC171" s="2" t="s">
        <v>1730</v>
      </c>
      <c r="AD171" s="2" t="s">
        <v>1727</v>
      </c>
      <c r="AE171" s="2" t="s">
        <v>1728</v>
      </c>
      <c r="AF171" s="2" t="s">
        <v>1736</v>
      </c>
      <c r="AG171" s="28">
        <f>MAX(clean_data[[#This Row],[ATK]:[SPD]]) - MIN(clean_data[[#This Row],[ATK]:[SPD]])</f>
        <v>95</v>
      </c>
      <c r="AH171" s="28" t="str">
        <f>IF(clean_data[[#This Row],[Balanced Score]] = MIN(clean_data[Balanced Score]), "Most Balanced", "")</f>
        <v/>
      </c>
    </row>
    <row r="172" spans="1:34" x14ac:dyDescent="0.3">
      <c r="A172" s="2" t="s">
        <v>695</v>
      </c>
      <c r="B172" s="2" t="s">
        <v>696</v>
      </c>
      <c r="C172" s="2" t="s">
        <v>223</v>
      </c>
      <c r="D172" s="2" t="s">
        <v>349</v>
      </c>
      <c r="E172" s="2" t="s">
        <v>169</v>
      </c>
      <c r="F172" s="2" t="s">
        <v>52</v>
      </c>
      <c r="G172" s="2">
        <v>12</v>
      </c>
      <c r="H172" s="2" t="s">
        <v>157</v>
      </c>
      <c r="I172" s="2" t="s">
        <v>74</v>
      </c>
      <c r="J172" s="2" t="s">
        <v>64</v>
      </c>
      <c r="K172" s="2" t="s">
        <v>34</v>
      </c>
      <c r="L172" s="13">
        <v>44579</v>
      </c>
      <c r="M172" s="2">
        <v>114</v>
      </c>
      <c r="N172" s="2">
        <v>14</v>
      </c>
      <c r="O172" s="2">
        <v>53</v>
      </c>
      <c r="P172" s="2">
        <v>3163</v>
      </c>
      <c r="Q172" s="2">
        <v>830</v>
      </c>
      <c r="R172" s="2">
        <v>181</v>
      </c>
      <c r="S172" s="2">
        <v>1050</v>
      </c>
      <c r="T172" s="2">
        <v>826</v>
      </c>
      <c r="U172" s="2">
        <v>254</v>
      </c>
      <c r="V172" s="12">
        <f>ABS(RPG_dataset[[#This Row],[Win Rate (%)]])</f>
        <v>56</v>
      </c>
      <c r="W172" s="2">
        <v>722</v>
      </c>
      <c r="X172" s="9">
        <v>441909</v>
      </c>
      <c r="Y172" s="2" t="s">
        <v>36</v>
      </c>
      <c r="Z172" s="2">
        <v>285</v>
      </c>
      <c r="AA172" s="2" t="s">
        <v>1735</v>
      </c>
      <c r="AB172" s="2" t="b">
        <v>0</v>
      </c>
      <c r="AC172" s="2" t="s">
        <v>1738</v>
      </c>
      <c r="AD172" s="2" t="s">
        <v>1727</v>
      </c>
      <c r="AE172" s="2" t="s">
        <v>1728</v>
      </c>
      <c r="AF172" s="2" t="s">
        <v>1729</v>
      </c>
      <c r="AG172" s="28">
        <f>MAX(clean_data[[#This Row],[ATK]:[SPD]]) - MIN(clean_data[[#This Row],[ATK]:[SPD]])</f>
        <v>100</v>
      </c>
      <c r="AH172" s="28" t="str">
        <f>IF(clean_data[[#This Row],[Balanced Score]] = MIN(clean_data[Balanced Score]), "Most Balanced", "")</f>
        <v/>
      </c>
    </row>
    <row r="173" spans="1:34" x14ac:dyDescent="0.3">
      <c r="A173" s="2" t="s">
        <v>698</v>
      </c>
      <c r="B173" s="2" t="s">
        <v>699</v>
      </c>
      <c r="C173" s="2" t="s">
        <v>367</v>
      </c>
      <c r="D173" s="2" t="s">
        <v>131</v>
      </c>
      <c r="E173" s="2" t="s">
        <v>105</v>
      </c>
      <c r="F173" s="2" t="s">
        <v>98</v>
      </c>
      <c r="G173" s="2">
        <v>32</v>
      </c>
      <c r="H173" s="2" t="s">
        <v>157</v>
      </c>
      <c r="I173" s="2" t="s">
        <v>63</v>
      </c>
      <c r="J173" s="2" t="s">
        <v>88</v>
      </c>
      <c r="K173" s="2" t="s">
        <v>44</v>
      </c>
      <c r="L173" s="13">
        <v>44708</v>
      </c>
      <c r="M173" s="2">
        <v>72</v>
      </c>
      <c r="N173" s="2">
        <v>79</v>
      </c>
      <c r="O173" s="2">
        <v>99</v>
      </c>
      <c r="P173" s="2">
        <v>2767</v>
      </c>
      <c r="Q173" s="2">
        <v>306</v>
      </c>
      <c r="R173" s="2">
        <v>250</v>
      </c>
      <c r="S173" s="2">
        <v>4169</v>
      </c>
      <c r="T173" s="2">
        <v>3</v>
      </c>
      <c r="U173" s="2">
        <v>71</v>
      </c>
      <c r="V173" s="12">
        <f>ABS(RPG_dataset[[#This Row],[Win Rate (%)]])</f>
        <v>100</v>
      </c>
      <c r="W173" s="2">
        <v>769</v>
      </c>
      <c r="X173" s="9">
        <v>856300</v>
      </c>
      <c r="Y173" s="2" t="s">
        <v>36</v>
      </c>
      <c r="Z173" s="2">
        <v>75</v>
      </c>
      <c r="AA173" s="2" t="s">
        <v>1733</v>
      </c>
      <c r="AB173" s="2" t="b">
        <v>1</v>
      </c>
      <c r="AC173" s="2" t="s">
        <v>1730</v>
      </c>
      <c r="AD173" s="2" t="s">
        <v>1727</v>
      </c>
      <c r="AE173" s="2" t="s">
        <v>1728</v>
      </c>
      <c r="AF173" s="2" t="s">
        <v>1736</v>
      </c>
      <c r="AG173" s="28">
        <f>MAX(clean_data[[#This Row],[ATK]:[SPD]]) - MIN(clean_data[[#This Row],[ATK]:[SPD]])</f>
        <v>27</v>
      </c>
      <c r="AH173" s="28" t="str">
        <f>IF(clean_data[[#This Row],[Balanced Score]] = MIN(clean_data[Balanced Score]), "Most Balanced", "")</f>
        <v/>
      </c>
    </row>
    <row r="174" spans="1:34" x14ac:dyDescent="0.3">
      <c r="A174" s="2" t="s">
        <v>701</v>
      </c>
      <c r="B174" s="2" t="s">
        <v>702</v>
      </c>
      <c r="C174" s="2" t="s">
        <v>167</v>
      </c>
      <c r="D174" s="2" t="s">
        <v>618</v>
      </c>
      <c r="E174" s="2" t="s">
        <v>29</v>
      </c>
      <c r="F174" s="2" t="s">
        <v>52</v>
      </c>
      <c r="G174" s="2">
        <v>15</v>
      </c>
      <c r="H174" s="2" t="s">
        <v>73</v>
      </c>
      <c r="I174" s="2" t="s">
        <v>87</v>
      </c>
      <c r="J174" s="2" t="s">
        <v>120</v>
      </c>
      <c r="K174" s="2" t="s">
        <v>44</v>
      </c>
      <c r="L174" s="13">
        <v>43436</v>
      </c>
      <c r="M174" s="2">
        <v>62</v>
      </c>
      <c r="N174" s="2">
        <v>35</v>
      </c>
      <c r="O174" s="2">
        <v>29</v>
      </c>
      <c r="P174" s="2">
        <v>1855</v>
      </c>
      <c r="Q174" s="2">
        <v>2867</v>
      </c>
      <c r="R174" s="2">
        <v>126</v>
      </c>
      <c r="S174" s="2">
        <v>3838</v>
      </c>
      <c r="T174" s="2">
        <v>601</v>
      </c>
      <c r="U174" s="2">
        <v>252</v>
      </c>
      <c r="V174" s="12">
        <f>ABS(RPG_dataset[[#This Row],[Win Rate (%)]])</f>
        <v>86</v>
      </c>
      <c r="W174" s="2">
        <v>1981</v>
      </c>
      <c r="X174" s="9">
        <v>997277</v>
      </c>
      <c r="Y174" s="2" t="s">
        <v>36</v>
      </c>
      <c r="Z174" s="2">
        <v>2</v>
      </c>
      <c r="AA174" s="2" t="s">
        <v>1735</v>
      </c>
      <c r="AB174" s="2" t="b">
        <v>1</v>
      </c>
      <c r="AC174" s="2" t="s">
        <v>1730</v>
      </c>
      <c r="AD174" s="2" t="s">
        <v>1727</v>
      </c>
      <c r="AE174" s="2" t="s">
        <v>1728</v>
      </c>
      <c r="AF174" s="2" t="s">
        <v>1729</v>
      </c>
      <c r="AG174" s="28">
        <f>MAX(clean_data[[#This Row],[ATK]:[SPD]]) - MIN(clean_data[[#This Row],[ATK]:[SPD]])</f>
        <v>33</v>
      </c>
      <c r="AH174" s="28" t="str">
        <f>IF(clean_data[[#This Row],[Balanced Score]] = MIN(clean_data[Balanced Score]), "Most Balanced", "")</f>
        <v/>
      </c>
    </row>
    <row r="175" spans="1:34" x14ac:dyDescent="0.3">
      <c r="A175" s="2" t="s">
        <v>704</v>
      </c>
      <c r="B175" s="2" t="s">
        <v>705</v>
      </c>
      <c r="C175" s="2" t="s">
        <v>288</v>
      </c>
      <c r="D175" s="2" t="s">
        <v>401</v>
      </c>
      <c r="E175" s="2" t="s">
        <v>51</v>
      </c>
      <c r="F175" s="2" t="s">
        <v>124</v>
      </c>
      <c r="G175" s="2">
        <v>71</v>
      </c>
      <c r="H175" s="2" t="s">
        <v>80</v>
      </c>
      <c r="I175" s="2" t="s">
        <v>32</v>
      </c>
      <c r="J175" s="2" t="s">
        <v>120</v>
      </c>
      <c r="K175" s="2" t="s">
        <v>44</v>
      </c>
      <c r="L175" s="13">
        <v>45207</v>
      </c>
      <c r="M175" s="2">
        <v>11</v>
      </c>
      <c r="N175" s="2">
        <v>32</v>
      </c>
      <c r="O175" s="2">
        <v>137</v>
      </c>
      <c r="P175" s="2">
        <v>571</v>
      </c>
      <c r="Q175" s="2">
        <v>157</v>
      </c>
      <c r="R175" s="2">
        <v>180</v>
      </c>
      <c r="S175" s="2">
        <v>4514</v>
      </c>
      <c r="T175" s="2">
        <v>573</v>
      </c>
      <c r="U175" s="2">
        <v>174</v>
      </c>
      <c r="V175" s="12">
        <f>ABS(RPG_dataset[[#This Row],[Win Rate (%)]])</f>
        <v>89</v>
      </c>
      <c r="W175" s="2">
        <v>6896</v>
      </c>
      <c r="X175" s="9">
        <v>867020</v>
      </c>
      <c r="Y175" s="2" t="s">
        <v>46</v>
      </c>
      <c r="Z175" s="2">
        <v>62</v>
      </c>
      <c r="AA175" s="2" t="s">
        <v>1725</v>
      </c>
      <c r="AB175" s="2" t="b">
        <v>1</v>
      </c>
      <c r="AC175" s="2" t="s">
        <v>1730</v>
      </c>
      <c r="AD175" s="2" t="s">
        <v>1727</v>
      </c>
      <c r="AE175" s="2" t="s">
        <v>1728</v>
      </c>
      <c r="AF175" s="2" t="s">
        <v>1736</v>
      </c>
      <c r="AG175" s="28">
        <f>MAX(clean_data[[#This Row],[ATK]:[SPD]]) - MIN(clean_data[[#This Row],[ATK]:[SPD]])</f>
        <v>126</v>
      </c>
      <c r="AH175" s="28" t="str">
        <f>IF(clean_data[[#This Row],[Balanced Score]] = MIN(clean_data[Balanced Score]), "Most Balanced", "")</f>
        <v/>
      </c>
    </row>
    <row r="176" spans="1:34" x14ac:dyDescent="0.3">
      <c r="A176" s="2" t="s">
        <v>707</v>
      </c>
      <c r="B176" s="2" t="s">
        <v>708</v>
      </c>
      <c r="C176" s="2" t="s">
        <v>604</v>
      </c>
      <c r="D176" s="2" t="s">
        <v>250</v>
      </c>
      <c r="E176" s="2" t="s">
        <v>71</v>
      </c>
      <c r="F176" s="2" t="s">
        <v>75</v>
      </c>
      <c r="G176" s="2">
        <v>86</v>
      </c>
      <c r="H176" s="2" t="s">
        <v>157</v>
      </c>
      <c r="I176" s="2" t="s">
        <v>63</v>
      </c>
      <c r="J176" s="2" t="s">
        <v>120</v>
      </c>
      <c r="K176" s="2" t="s">
        <v>34</v>
      </c>
      <c r="L176" s="13">
        <v>45444</v>
      </c>
      <c r="M176" s="2">
        <v>105</v>
      </c>
      <c r="N176" s="2">
        <v>96</v>
      </c>
      <c r="O176" s="2">
        <v>107</v>
      </c>
      <c r="P176" s="2">
        <v>914</v>
      </c>
      <c r="Q176" s="2">
        <v>2409</v>
      </c>
      <c r="R176" s="2">
        <v>308</v>
      </c>
      <c r="S176" s="2">
        <v>678</v>
      </c>
      <c r="T176" s="2">
        <v>4</v>
      </c>
      <c r="U176" s="2">
        <v>191</v>
      </c>
      <c r="V176" s="12">
        <f>ABS(RPG_dataset[[#This Row],[Win Rate (%)]])</f>
        <v>99</v>
      </c>
      <c r="W176" s="2"/>
      <c r="X176" s="9"/>
      <c r="Y176" s="2" t="s">
        <v>46</v>
      </c>
      <c r="Z176" s="2">
        <v>486</v>
      </c>
      <c r="AA176" s="2" t="s">
        <v>1737</v>
      </c>
      <c r="AB176" s="2" t="b">
        <v>0</v>
      </c>
      <c r="AC176" s="2" t="s">
        <v>1730</v>
      </c>
      <c r="AD176" s="2" t="s">
        <v>1727</v>
      </c>
      <c r="AE176" s="2" t="s">
        <v>1728</v>
      </c>
      <c r="AF176" s="2" t="s">
        <v>1736</v>
      </c>
      <c r="AG176" s="28">
        <f>MAX(clean_data[[#This Row],[ATK]:[SPD]]) - MIN(clean_data[[#This Row],[ATK]:[SPD]])</f>
        <v>11</v>
      </c>
      <c r="AH176" s="28" t="str">
        <f>IF(clean_data[[#This Row],[Balanced Score]] = MIN(clean_data[Balanced Score]), "Most Balanced", "")</f>
        <v/>
      </c>
    </row>
    <row r="177" spans="1:34" x14ac:dyDescent="0.3">
      <c r="A177" s="2" t="s">
        <v>709</v>
      </c>
      <c r="B177" s="2" t="s">
        <v>710</v>
      </c>
      <c r="C177" s="2" t="s">
        <v>253</v>
      </c>
      <c r="D177" s="2" t="s">
        <v>119</v>
      </c>
      <c r="E177" s="2" t="s">
        <v>169</v>
      </c>
      <c r="F177" s="2" t="s">
        <v>124</v>
      </c>
      <c r="G177" s="2">
        <v>65</v>
      </c>
      <c r="H177" s="2" t="s">
        <v>73</v>
      </c>
      <c r="I177" s="2" t="s">
        <v>63</v>
      </c>
      <c r="J177" s="2" t="s">
        <v>81</v>
      </c>
      <c r="K177" s="2" t="s">
        <v>75</v>
      </c>
      <c r="L177" s="13">
        <v>45099</v>
      </c>
      <c r="M177" s="2">
        <v>31</v>
      </c>
      <c r="N177" s="2">
        <v>126</v>
      </c>
      <c r="O177" s="2">
        <v>127</v>
      </c>
      <c r="P177" s="2">
        <v>4460</v>
      </c>
      <c r="Q177" s="2">
        <v>2810</v>
      </c>
      <c r="R177" s="2">
        <v>284</v>
      </c>
      <c r="S177" s="2">
        <v>70</v>
      </c>
      <c r="T177" s="2">
        <v>962</v>
      </c>
      <c r="U177" s="2">
        <v>266</v>
      </c>
      <c r="V177" s="12">
        <f>ABS(RPG_dataset[[#This Row],[Win Rate (%)]])</f>
        <v>7</v>
      </c>
      <c r="W177" s="2">
        <v>1194</v>
      </c>
      <c r="X177" s="9"/>
      <c r="Y177" s="2" t="s">
        <v>36</v>
      </c>
      <c r="Z177" s="2">
        <v>486</v>
      </c>
      <c r="AA177" s="2" t="s">
        <v>1725</v>
      </c>
      <c r="AB177" s="2" t="b">
        <v>0</v>
      </c>
      <c r="AC177" s="2" t="s">
        <v>1726</v>
      </c>
      <c r="AD177" s="2" t="s">
        <v>1727</v>
      </c>
      <c r="AE177" s="2" t="s">
        <v>1728</v>
      </c>
      <c r="AF177" s="2" t="s">
        <v>1736</v>
      </c>
      <c r="AG177" s="28">
        <f>MAX(clean_data[[#This Row],[ATK]:[SPD]]) - MIN(clean_data[[#This Row],[ATK]:[SPD]])</f>
        <v>96</v>
      </c>
      <c r="AH177" s="28" t="str">
        <f>IF(clean_data[[#This Row],[Balanced Score]] = MIN(clean_data[Balanced Score]), "Most Balanced", "")</f>
        <v/>
      </c>
    </row>
    <row r="178" spans="1:34" x14ac:dyDescent="0.3">
      <c r="A178" s="2" t="s">
        <v>712</v>
      </c>
      <c r="B178" s="2" t="s">
        <v>713</v>
      </c>
      <c r="C178" s="2" t="s">
        <v>219</v>
      </c>
      <c r="D178" s="2" t="s">
        <v>254</v>
      </c>
      <c r="E178" s="2" t="s">
        <v>228</v>
      </c>
      <c r="F178" s="2" t="s">
        <v>30</v>
      </c>
      <c r="G178" s="2">
        <v>7</v>
      </c>
      <c r="H178" s="2" t="s">
        <v>157</v>
      </c>
      <c r="I178" s="2" t="s">
        <v>140</v>
      </c>
      <c r="J178" s="2" t="s">
        <v>92</v>
      </c>
      <c r="K178" s="2" t="s">
        <v>44</v>
      </c>
      <c r="L178" s="13">
        <v>45490</v>
      </c>
      <c r="M178" s="2">
        <v>137</v>
      </c>
      <c r="N178" s="2">
        <v>102</v>
      </c>
      <c r="O178" s="2">
        <v>36</v>
      </c>
      <c r="P178" s="2">
        <v>1335</v>
      </c>
      <c r="Q178" s="2">
        <v>2354</v>
      </c>
      <c r="R178" s="2">
        <v>275</v>
      </c>
      <c r="S178" s="2">
        <v>1815</v>
      </c>
      <c r="T178" s="2">
        <v>556</v>
      </c>
      <c r="U178" s="2">
        <v>114</v>
      </c>
      <c r="V178" s="12">
        <f>ABS(RPG_dataset[[#This Row],[Win Rate (%)]])</f>
        <v>77</v>
      </c>
      <c r="W178" s="2">
        <v>8858</v>
      </c>
      <c r="X178" s="9">
        <v>25940</v>
      </c>
      <c r="Y178" s="2" t="s">
        <v>36</v>
      </c>
      <c r="Z178" s="2">
        <v>470</v>
      </c>
      <c r="AA178" s="2" t="s">
        <v>1735</v>
      </c>
      <c r="AB178" s="2" t="b">
        <v>1</v>
      </c>
      <c r="AC178" s="2" t="s">
        <v>1730</v>
      </c>
      <c r="AD178" s="2" t="s">
        <v>1727</v>
      </c>
      <c r="AE178" s="2" t="s">
        <v>1728</v>
      </c>
      <c r="AF178" s="2" t="s">
        <v>1740</v>
      </c>
      <c r="AG178" s="28">
        <f>MAX(clean_data[[#This Row],[ATK]:[SPD]]) - MIN(clean_data[[#This Row],[ATK]:[SPD]])</f>
        <v>101</v>
      </c>
      <c r="AH178" s="28" t="str">
        <f>IF(clean_data[[#This Row],[Balanced Score]] = MIN(clean_data[Balanced Score]), "Most Balanced", "")</f>
        <v/>
      </c>
    </row>
    <row r="179" spans="1:34" x14ac:dyDescent="0.3">
      <c r="A179" s="2" t="s">
        <v>715</v>
      </c>
      <c r="B179" s="2" t="s">
        <v>716</v>
      </c>
      <c r="C179" s="2" t="s">
        <v>253</v>
      </c>
      <c r="D179" s="2" t="s">
        <v>75</v>
      </c>
      <c r="E179" s="2" t="s">
        <v>71</v>
      </c>
      <c r="F179" s="2" t="s">
        <v>52</v>
      </c>
      <c r="G179" s="2"/>
      <c r="H179" s="2" t="s">
        <v>80</v>
      </c>
      <c r="I179" s="2" t="s">
        <v>54</v>
      </c>
      <c r="J179" s="2" t="s">
        <v>88</v>
      </c>
      <c r="K179" s="2" t="s">
        <v>34</v>
      </c>
      <c r="L179" s="13">
        <v>44518</v>
      </c>
      <c r="M179" s="2">
        <v>122</v>
      </c>
      <c r="N179" s="2">
        <v>94</v>
      </c>
      <c r="O179" s="2">
        <v>78</v>
      </c>
      <c r="P179" s="2">
        <v>2838</v>
      </c>
      <c r="Q179" s="2">
        <v>2665</v>
      </c>
      <c r="R179" s="2">
        <v>294</v>
      </c>
      <c r="S179" s="2">
        <v>1881</v>
      </c>
      <c r="T179" s="2">
        <v>437</v>
      </c>
      <c r="U179" s="2">
        <v>226</v>
      </c>
      <c r="V179" s="12">
        <f>ABS(RPG_dataset[[#This Row],[Win Rate (%)]])</f>
        <v>81</v>
      </c>
      <c r="W179" s="2">
        <v>9064</v>
      </c>
      <c r="X179" s="9">
        <v>822270</v>
      </c>
      <c r="Y179" s="2" t="s">
        <v>36</v>
      </c>
      <c r="Z179" s="2">
        <v>92</v>
      </c>
      <c r="AA179" s="2" t="s">
        <v>1735</v>
      </c>
      <c r="AB179" s="2" t="b">
        <v>0</v>
      </c>
      <c r="AC179" s="2" t="s">
        <v>1730</v>
      </c>
      <c r="AD179" s="2" t="s">
        <v>1727</v>
      </c>
      <c r="AE179" s="2" t="s">
        <v>1728</v>
      </c>
      <c r="AF179" s="2" t="s">
        <v>1732</v>
      </c>
      <c r="AG179" s="28">
        <f>MAX(clean_data[[#This Row],[ATK]:[SPD]]) - MIN(clean_data[[#This Row],[ATK]:[SPD]])</f>
        <v>44</v>
      </c>
      <c r="AH179" s="28" t="str">
        <f>IF(clean_data[[#This Row],[Balanced Score]] = MIN(clean_data[Balanced Score]), "Most Balanced", "")</f>
        <v/>
      </c>
    </row>
    <row r="180" spans="1:34" x14ac:dyDescent="0.3">
      <c r="A180" s="2" t="s">
        <v>718</v>
      </c>
      <c r="B180" s="2" t="s">
        <v>719</v>
      </c>
      <c r="C180" s="2" t="s">
        <v>720</v>
      </c>
      <c r="D180" s="2" t="s">
        <v>40</v>
      </c>
      <c r="E180" s="2" t="s">
        <v>228</v>
      </c>
      <c r="F180" s="2" t="s">
        <v>61</v>
      </c>
      <c r="G180" s="2">
        <v>93</v>
      </c>
      <c r="H180" s="2" t="s">
        <v>43</v>
      </c>
      <c r="I180" s="2" t="s">
        <v>74</v>
      </c>
      <c r="J180" s="2" t="s">
        <v>111</v>
      </c>
      <c r="K180" s="2" t="s">
        <v>44</v>
      </c>
      <c r="L180" s="13">
        <v>45450</v>
      </c>
      <c r="M180" s="2">
        <v>149</v>
      </c>
      <c r="N180" s="2">
        <v>99</v>
      </c>
      <c r="O180" s="2">
        <v>103</v>
      </c>
      <c r="P180" s="2">
        <v>2859</v>
      </c>
      <c r="Q180" s="2">
        <v>813</v>
      </c>
      <c r="R180" s="2">
        <v>351</v>
      </c>
      <c r="S180" s="2">
        <v>2664</v>
      </c>
      <c r="T180" s="2">
        <v>186</v>
      </c>
      <c r="U180" s="2">
        <v>256</v>
      </c>
      <c r="V180" s="12">
        <f>ABS(RPG_dataset[[#This Row],[Win Rate (%)]])</f>
        <v>93</v>
      </c>
      <c r="W180" s="2">
        <v>7558</v>
      </c>
      <c r="X180" s="9">
        <v>798306</v>
      </c>
      <c r="Y180" s="2" t="s">
        <v>46</v>
      </c>
      <c r="Z180" s="2">
        <v>106</v>
      </c>
      <c r="AA180" s="2" t="s">
        <v>1737</v>
      </c>
      <c r="AB180" s="2" t="b">
        <v>1</v>
      </c>
      <c r="AC180" s="2" t="s">
        <v>1730</v>
      </c>
      <c r="AD180" s="2" t="s">
        <v>1741</v>
      </c>
      <c r="AE180" s="2" t="s">
        <v>1728</v>
      </c>
      <c r="AF180" s="2" t="s">
        <v>1736</v>
      </c>
      <c r="AG180" s="28">
        <f>MAX(clean_data[[#This Row],[ATK]:[SPD]]) - MIN(clean_data[[#This Row],[ATK]:[SPD]])</f>
        <v>50</v>
      </c>
      <c r="AH180" s="28" t="str">
        <f>IF(clean_data[[#This Row],[Balanced Score]] = MIN(clean_data[Balanced Score]), "Most Balanced", "")</f>
        <v/>
      </c>
    </row>
    <row r="181" spans="1:34" x14ac:dyDescent="0.3">
      <c r="A181" s="2" t="s">
        <v>722</v>
      </c>
      <c r="B181" s="2" t="s">
        <v>723</v>
      </c>
      <c r="C181" s="2" t="s">
        <v>724</v>
      </c>
      <c r="D181" s="2" t="s">
        <v>70</v>
      </c>
      <c r="E181" s="2" t="s">
        <v>60</v>
      </c>
      <c r="F181" s="2" t="s">
        <v>42</v>
      </c>
      <c r="G181" s="2">
        <v>92</v>
      </c>
      <c r="H181" s="2" t="s">
        <v>31</v>
      </c>
      <c r="I181" s="2" t="s">
        <v>63</v>
      </c>
      <c r="J181" s="2" t="s">
        <v>163</v>
      </c>
      <c r="K181" s="2" t="s">
        <v>44</v>
      </c>
      <c r="L181" s="13">
        <v>44192</v>
      </c>
      <c r="M181" s="2">
        <v>134</v>
      </c>
      <c r="N181" s="2">
        <v>53</v>
      </c>
      <c r="O181" s="2">
        <v>41</v>
      </c>
      <c r="P181" s="2">
        <v>1015</v>
      </c>
      <c r="Q181" s="2">
        <v>1953</v>
      </c>
      <c r="R181" s="2">
        <v>228</v>
      </c>
      <c r="S181" s="2">
        <v>814</v>
      </c>
      <c r="T181" s="2">
        <v>5</v>
      </c>
      <c r="U181" s="2">
        <v>165</v>
      </c>
      <c r="V181" s="12">
        <f>ABS(RPG_dataset[[#This Row],[Win Rate (%)]])</f>
        <v>0</v>
      </c>
      <c r="W181" s="2">
        <v>1128</v>
      </c>
      <c r="X181" s="9">
        <v>362300</v>
      </c>
      <c r="Y181" s="2" t="s">
        <v>46</v>
      </c>
      <c r="Z181" s="2">
        <v>325</v>
      </c>
      <c r="AA181" s="2" t="s">
        <v>1737</v>
      </c>
      <c r="AB181" s="2" t="b">
        <v>1</v>
      </c>
      <c r="AC181" s="2" t="s">
        <v>1726</v>
      </c>
      <c r="AD181" s="2" t="s">
        <v>1727</v>
      </c>
      <c r="AE181" s="2" t="s">
        <v>1728</v>
      </c>
      <c r="AF181" s="2" t="s">
        <v>1729</v>
      </c>
      <c r="AG181" s="28">
        <f>MAX(clean_data[[#This Row],[ATK]:[SPD]]) - MIN(clean_data[[#This Row],[ATK]:[SPD]])</f>
        <v>93</v>
      </c>
      <c r="AH181" s="28" t="str">
        <f>IF(clean_data[[#This Row],[Balanced Score]] = MIN(clean_data[Balanced Score]), "Most Balanced", "")</f>
        <v/>
      </c>
    </row>
    <row r="182" spans="1:34" x14ac:dyDescent="0.3">
      <c r="A182" s="2" t="s">
        <v>726</v>
      </c>
      <c r="B182" s="2" t="s">
        <v>727</v>
      </c>
      <c r="C182" s="2" t="s">
        <v>154</v>
      </c>
      <c r="D182" s="2" t="s">
        <v>162</v>
      </c>
      <c r="E182" s="2" t="s">
        <v>29</v>
      </c>
      <c r="F182" s="2" t="s">
        <v>194</v>
      </c>
      <c r="G182" s="2">
        <v>68</v>
      </c>
      <c r="H182" s="2" t="s">
        <v>43</v>
      </c>
      <c r="I182" s="2" t="s">
        <v>63</v>
      </c>
      <c r="J182" s="2" t="s">
        <v>163</v>
      </c>
      <c r="K182" s="2" t="s">
        <v>106</v>
      </c>
      <c r="L182" s="13">
        <v>43428</v>
      </c>
      <c r="M182" s="2">
        <v>111</v>
      </c>
      <c r="N182" s="2">
        <v>100</v>
      </c>
      <c r="O182" s="2">
        <v>28</v>
      </c>
      <c r="P182" s="2">
        <v>2605</v>
      </c>
      <c r="Q182" s="2">
        <v>2752</v>
      </c>
      <c r="R182" s="2">
        <v>239</v>
      </c>
      <c r="S182" s="2">
        <v>1354</v>
      </c>
      <c r="T182" s="2">
        <v>946</v>
      </c>
      <c r="U182" s="2">
        <v>152</v>
      </c>
      <c r="V182" s="12">
        <f>ABS(RPG_dataset[[#This Row],[Win Rate (%)]])</f>
        <v>59</v>
      </c>
      <c r="W182" s="2">
        <v>1457</v>
      </c>
      <c r="X182" s="9">
        <v>821355</v>
      </c>
      <c r="Y182" s="2" t="s">
        <v>36</v>
      </c>
      <c r="Z182" s="2">
        <v>93</v>
      </c>
      <c r="AA182" s="2" t="s">
        <v>1725</v>
      </c>
      <c r="AB182" s="2" t="b">
        <v>0</v>
      </c>
      <c r="AC182" s="2" t="s">
        <v>1738</v>
      </c>
      <c r="AD182" s="2" t="s">
        <v>1727</v>
      </c>
      <c r="AE182" s="2" t="s">
        <v>1728</v>
      </c>
      <c r="AF182" s="2" t="s">
        <v>1729</v>
      </c>
      <c r="AG182" s="28">
        <f>MAX(clean_data[[#This Row],[ATK]:[SPD]]) - MIN(clean_data[[#This Row],[ATK]:[SPD]])</f>
        <v>83</v>
      </c>
      <c r="AH182" s="28" t="str">
        <f>IF(clean_data[[#This Row],[Balanced Score]] = MIN(clean_data[Balanced Score]), "Most Balanced", "")</f>
        <v/>
      </c>
    </row>
    <row r="183" spans="1:34" x14ac:dyDescent="0.3">
      <c r="A183" s="2" t="s">
        <v>729</v>
      </c>
      <c r="B183" s="2" t="s">
        <v>730</v>
      </c>
      <c r="C183" s="2" t="s">
        <v>103</v>
      </c>
      <c r="D183" s="2" t="s">
        <v>272</v>
      </c>
      <c r="E183" s="2" t="s">
        <v>29</v>
      </c>
      <c r="F183" s="2" t="s">
        <v>72</v>
      </c>
      <c r="G183" s="2">
        <v>100</v>
      </c>
      <c r="H183" s="2" t="s">
        <v>43</v>
      </c>
      <c r="I183" s="2" t="s">
        <v>63</v>
      </c>
      <c r="J183" s="2" t="s">
        <v>120</v>
      </c>
      <c r="K183" s="2" t="s">
        <v>44</v>
      </c>
      <c r="L183" s="13">
        <v>44667</v>
      </c>
      <c r="M183" s="2">
        <v>70</v>
      </c>
      <c r="N183" s="2">
        <v>110</v>
      </c>
      <c r="O183" s="2">
        <v>20</v>
      </c>
      <c r="P183" s="2"/>
      <c r="Q183" s="2">
        <v>878</v>
      </c>
      <c r="R183" s="2">
        <v>200</v>
      </c>
      <c r="S183" s="2">
        <v>446</v>
      </c>
      <c r="T183" s="2">
        <v>21</v>
      </c>
      <c r="U183" s="2">
        <v>277</v>
      </c>
      <c r="V183" s="12">
        <f>ABS(RPG_dataset[[#This Row],[Win Rate (%)]])</f>
        <v>96</v>
      </c>
      <c r="W183" s="2">
        <v>8025</v>
      </c>
      <c r="X183" s="9">
        <v>935313</v>
      </c>
      <c r="Y183" s="2" t="s">
        <v>46</v>
      </c>
      <c r="Z183" s="2">
        <v>31</v>
      </c>
      <c r="AA183" s="2" t="s">
        <v>1737</v>
      </c>
      <c r="AB183" s="2" t="b">
        <v>1</v>
      </c>
      <c r="AC183" s="2" t="s">
        <v>1730</v>
      </c>
      <c r="AD183" s="2" t="s">
        <v>1727</v>
      </c>
      <c r="AE183" s="2" t="s">
        <v>1728</v>
      </c>
      <c r="AF183" s="2" t="s">
        <v>1729</v>
      </c>
      <c r="AG183" s="28">
        <f>MAX(clean_data[[#This Row],[ATK]:[SPD]]) - MIN(clean_data[[#This Row],[ATK]:[SPD]])</f>
        <v>90</v>
      </c>
      <c r="AH183" s="28" t="str">
        <f>IF(clean_data[[#This Row],[Balanced Score]] = MIN(clean_data[Balanced Score]), "Most Balanced", "")</f>
        <v/>
      </c>
    </row>
    <row r="184" spans="1:34" x14ac:dyDescent="0.3">
      <c r="A184" s="2" t="s">
        <v>732</v>
      </c>
      <c r="B184" s="2" t="s">
        <v>733</v>
      </c>
      <c r="C184" s="2" t="s">
        <v>103</v>
      </c>
      <c r="D184" s="2" t="s">
        <v>401</v>
      </c>
      <c r="E184" s="2" t="s">
        <v>228</v>
      </c>
      <c r="F184" s="2" t="s">
        <v>52</v>
      </c>
      <c r="G184" s="2"/>
      <c r="H184" s="2" t="s">
        <v>43</v>
      </c>
      <c r="I184" s="2" t="s">
        <v>63</v>
      </c>
      <c r="J184" s="2" t="s">
        <v>88</v>
      </c>
      <c r="K184" s="2" t="s">
        <v>34</v>
      </c>
      <c r="L184" s="13">
        <v>45039</v>
      </c>
      <c r="M184" s="2">
        <v>143</v>
      </c>
      <c r="N184" s="2">
        <v>140</v>
      </c>
      <c r="O184" s="2">
        <v>16</v>
      </c>
      <c r="P184" s="2">
        <v>3304</v>
      </c>
      <c r="Q184" s="2">
        <v>2527</v>
      </c>
      <c r="R184" s="2">
        <v>299</v>
      </c>
      <c r="S184" s="2">
        <v>822</v>
      </c>
      <c r="T184" s="2">
        <v>688</v>
      </c>
      <c r="U184" s="2">
        <v>63</v>
      </c>
      <c r="V184" s="12">
        <f>ABS(RPG_dataset[[#This Row],[Win Rate (%)]])</f>
        <v>54</v>
      </c>
      <c r="W184" s="2">
        <v>2453</v>
      </c>
      <c r="X184" s="9">
        <v>669875</v>
      </c>
      <c r="Y184" s="2" t="s">
        <v>36</v>
      </c>
      <c r="Z184" s="2">
        <v>163</v>
      </c>
      <c r="AA184" s="2" t="s">
        <v>1735</v>
      </c>
      <c r="AB184" s="2" t="b">
        <v>0</v>
      </c>
      <c r="AC184" s="2" t="s">
        <v>1738</v>
      </c>
      <c r="AD184" s="2" t="s">
        <v>1727</v>
      </c>
      <c r="AE184" s="2" t="s">
        <v>1728</v>
      </c>
      <c r="AF184" s="2" t="s">
        <v>1734</v>
      </c>
      <c r="AG184" s="28">
        <f>MAX(clean_data[[#This Row],[ATK]:[SPD]]) - MIN(clean_data[[#This Row],[ATK]:[SPD]])</f>
        <v>127</v>
      </c>
      <c r="AH184" s="28" t="str">
        <f>IF(clean_data[[#This Row],[Balanced Score]] = MIN(clean_data[Balanced Score]), "Most Balanced", "")</f>
        <v/>
      </c>
    </row>
    <row r="185" spans="1:34" x14ac:dyDescent="0.3">
      <c r="A185" s="2" t="s">
        <v>735</v>
      </c>
      <c r="B185" s="2" t="s">
        <v>736</v>
      </c>
      <c r="C185" s="2" t="s">
        <v>219</v>
      </c>
      <c r="D185" s="2" t="s">
        <v>168</v>
      </c>
      <c r="E185" s="2" t="s">
        <v>169</v>
      </c>
      <c r="F185" s="2" t="s">
        <v>42</v>
      </c>
      <c r="G185" s="2">
        <v>65</v>
      </c>
      <c r="H185" s="2" t="s">
        <v>43</v>
      </c>
      <c r="I185" s="2" t="s">
        <v>140</v>
      </c>
      <c r="J185" s="2" t="s">
        <v>81</v>
      </c>
      <c r="K185" s="2" t="s">
        <v>99</v>
      </c>
      <c r="L185" s="13">
        <v>45275</v>
      </c>
      <c r="M185" s="2">
        <v>144</v>
      </c>
      <c r="N185" s="2"/>
      <c r="O185" s="2">
        <v>133</v>
      </c>
      <c r="P185" s="2">
        <v>764</v>
      </c>
      <c r="Q185" s="2">
        <v>1372</v>
      </c>
      <c r="R185" s="2">
        <v>323</v>
      </c>
      <c r="S185" s="2">
        <v>3348</v>
      </c>
      <c r="T185" s="2">
        <v>379</v>
      </c>
      <c r="U185" s="2">
        <v>78</v>
      </c>
      <c r="V185" s="12">
        <f>ABS(RPG_dataset[[#This Row],[Win Rate (%)]])</f>
        <v>90</v>
      </c>
      <c r="W185" s="2">
        <v>3594</v>
      </c>
      <c r="X185" s="9">
        <v>684137</v>
      </c>
      <c r="Y185" s="2" t="s">
        <v>46</v>
      </c>
      <c r="Z185" s="2">
        <v>158</v>
      </c>
      <c r="AA185" s="2" t="s">
        <v>1725</v>
      </c>
      <c r="AB185" s="2" t="b">
        <v>0</v>
      </c>
      <c r="AC185" s="2" t="s">
        <v>1730</v>
      </c>
      <c r="AD185" s="2" t="s">
        <v>1727</v>
      </c>
      <c r="AE185" s="2" t="s">
        <v>1728</v>
      </c>
      <c r="AF185" s="2" t="s">
        <v>1740</v>
      </c>
      <c r="AG185" s="28">
        <f>MAX(clean_data[[#This Row],[ATK]:[SPD]]) - MIN(clean_data[[#This Row],[ATK]:[SPD]])</f>
        <v>11</v>
      </c>
      <c r="AH185" s="28" t="str">
        <f>IF(clean_data[[#This Row],[Balanced Score]] = MIN(clean_data[Balanced Score]), "Most Balanced", "")</f>
        <v/>
      </c>
    </row>
    <row r="186" spans="1:34" x14ac:dyDescent="0.3">
      <c r="A186" s="2" t="s">
        <v>738</v>
      </c>
      <c r="B186" s="2" t="s">
        <v>739</v>
      </c>
      <c r="C186" s="2" t="s">
        <v>118</v>
      </c>
      <c r="D186" s="2" t="s">
        <v>234</v>
      </c>
      <c r="E186" s="2" t="s">
        <v>105</v>
      </c>
      <c r="F186" s="2" t="s">
        <v>72</v>
      </c>
      <c r="G186" s="2">
        <v>73</v>
      </c>
      <c r="H186" s="2" t="s">
        <v>125</v>
      </c>
      <c r="I186" s="2" t="s">
        <v>87</v>
      </c>
      <c r="J186" s="2" t="s">
        <v>111</v>
      </c>
      <c r="K186" s="2" t="s">
        <v>44</v>
      </c>
      <c r="L186" s="13">
        <v>45606</v>
      </c>
      <c r="M186" s="2">
        <v>59</v>
      </c>
      <c r="N186" s="2">
        <v>24</v>
      </c>
      <c r="O186" s="2">
        <v>66</v>
      </c>
      <c r="P186" s="2">
        <v>2655</v>
      </c>
      <c r="Q186" s="2">
        <v>1060</v>
      </c>
      <c r="R186" s="2">
        <v>149</v>
      </c>
      <c r="S186" s="2">
        <v>3242</v>
      </c>
      <c r="T186" s="2">
        <v>236</v>
      </c>
      <c r="U186" s="2">
        <v>42</v>
      </c>
      <c r="V186" s="12">
        <f>ABS(RPG_dataset[[#This Row],[Win Rate (%)]])</f>
        <v>93</v>
      </c>
      <c r="W186" s="2">
        <v>1021</v>
      </c>
      <c r="X186" s="9">
        <v>195714</v>
      </c>
      <c r="Y186" s="2" t="s">
        <v>36</v>
      </c>
      <c r="Z186" s="2">
        <v>404</v>
      </c>
      <c r="AA186" s="2" t="s">
        <v>1725</v>
      </c>
      <c r="AB186" s="2" t="b">
        <v>1</v>
      </c>
      <c r="AC186" s="2" t="s">
        <v>1730</v>
      </c>
      <c r="AD186" s="2" t="s">
        <v>1727</v>
      </c>
      <c r="AE186" s="2" t="s">
        <v>1731</v>
      </c>
      <c r="AF186" s="2" t="s">
        <v>1729</v>
      </c>
      <c r="AG186" s="28">
        <f>MAX(clean_data[[#This Row],[ATK]:[SPD]]) - MIN(clean_data[[#This Row],[ATK]:[SPD]])</f>
        <v>42</v>
      </c>
      <c r="AH186" s="28" t="str">
        <f>IF(clean_data[[#This Row],[Balanced Score]] = MIN(clean_data[Balanced Score]), "Most Balanced", "")</f>
        <v/>
      </c>
    </row>
    <row r="187" spans="1:34" x14ac:dyDescent="0.3">
      <c r="A187" s="2" t="s">
        <v>742</v>
      </c>
      <c r="B187" s="2" t="s">
        <v>743</v>
      </c>
      <c r="C187" s="2" t="s">
        <v>39</v>
      </c>
      <c r="D187" s="2" t="s">
        <v>59</v>
      </c>
      <c r="E187" s="2" t="s">
        <v>60</v>
      </c>
      <c r="F187" s="2" t="s">
        <v>194</v>
      </c>
      <c r="G187" s="2"/>
      <c r="H187" s="2" t="s">
        <v>80</v>
      </c>
      <c r="I187" s="2" t="s">
        <v>87</v>
      </c>
      <c r="J187" s="2" t="s">
        <v>81</v>
      </c>
      <c r="K187" s="2" t="s">
        <v>106</v>
      </c>
      <c r="L187" s="13">
        <v>45020</v>
      </c>
      <c r="M187" s="2">
        <v>113</v>
      </c>
      <c r="N187" s="2">
        <v>37</v>
      </c>
      <c r="O187" s="2">
        <v>26</v>
      </c>
      <c r="P187" s="2">
        <v>418</v>
      </c>
      <c r="Q187" s="2">
        <v>646</v>
      </c>
      <c r="R187" s="2">
        <v>176</v>
      </c>
      <c r="S187" s="2">
        <v>3948</v>
      </c>
      <c r="T187" s="2">
        <v>214</v>
      </c>
      <c r="U187" s="2">
        <v>131</v>
      </c>
      <c r="V187" s="12">
        <f>ABS(RPG_dataset[[#This Row],[Win Rate (%)]])</f>
        <v>95</v>
      </c>
      <c r="W187" s="2">
        <v>580</v>
      </c>
      <c r="X187" s="9">
        <v>888917</v>
      </c>
      <c r="Y187" s="2" t="s">
        <v>46</v>
      </c>
      <c r="Z187" s="2">
        <v>58</v>
      </c>
      <c r="AA187" s="2" t="s">
        <v>1735</v>
      </c>
      <c r="AB187" s="2" t="b">
        <v>0</v>
      </c>
      <c r="AC187" s="2" t="s">
        <v>1730</v>
      </c>
      <c r="AD187" s="2" t="s">
        <v>1727</v>
      </c>
      <c r="AE187" s="2" t="s">
        <v>1728</v>
      </c>
      <c r="AF187" s="2" t="s">
        <v>1729</v>
      </c>
      <c r="AG187" s="28">
        <f>MAX(clean_data[[#This Row],[ATK]:[SPD]]) - MIN(clean_data[[#This Row],[ATK]:[SPD]])</f>
        <v>87</v>
      </c>
      <c r="AH187" s="28" t="str">
        <f>IF(clean_data[[#This Row],[Balanced Score]] = MIN(clean_data[Balanced Score]), "Most Balanced", "")</f>
        <v/>
      </c>
    </row>
    <row r="188" spans="1:34" x14ac:dyDescent="0.3">
      <c r="A188" s="2" t="s">
        <v>745</v>
      </c>
      <c r="B188" s="2" t="s">
        <v>746</v>
      </c>
      <c r="C188" s="2" t="s">
        <v>586</v>
      </c>
      <c r="D188" s="2" t="s">
        <v>40</v>
      </c>
      <c r="E188" s="2" t="s">
        <v>169</v>
      </c>
      <c r="F188" s="2" t="s">
        <v>61</v>
      </c>
      <c r="G188" s="2">
        <v>11</v>
      </c>
      <c r="H188" s="2" t="s">
        <v>31</v>
      </c>
      <c r="I188" s="2" t="s">
        <v>87</v>
      </c>
      <c r="J188" s="2" t="s">
        <v>81</v>
      </c>
      <c r="K188" s="2" t="s">
        <v>34</v>
      </c>
      <c r="L188" s="13">
        <v>43821</v>
      </c>
      <c r="M188" s="2">
        <v>138</v>
      </c>
      <c r="N188" s="2">
        <v>71</v>
      </c>
      <c r="O188" s="2">
        <v>20</v>
      </c>
      <c r="P188" s="2">
        <v>2863</v>
      </c>
      <c r="Q188" s="2">
        <v>2990</v>
      </c>
      <c r="R188" s="2"/>
      <c r="S188" s="2">
        <v>2923</v>
      </c>
      <c r="T188" s="2">
        <v>518</v>
      </c>
      <c r="U188" s="2">
        <v>49</v>
      </c>
      <c r="V188" s="12">
        <f>ABS(RPG_dataset[[#This Row],[Win Rate (%)]])</f>
        <v>85</v>
      </c>
      <c r="W188" s="2">
        <v>3720</v>
      </c>
      <c r="X188" s="9">
        <v>561062</v>
      </c>
      <c r="Y188" s="2" t="s">
        <v>46</v>
      </c>
      <c r="Z188" s="2">
        <v>219</v>
      </c>
      <c r="AA188" s="2" t="s">
        <v>1735</v>
      </c>
      <c r="AB188" s="2" t="b">
        <v>0</v>
      </c>
      <c r="AC188" s="2" t="s">
        <v>1730</v>
      </c>
      <c r="AD188" s="2" t="s">
        <v>1727</v>
      </c>
      <c r="AE188" s="2" t="s">
        <v>1728</v>
      </c>
      <c r="AF188" s="2" t="s">
        <v>1729</v>
      </c>
      <c r="AG188" s="28">
        <f>MAX(clean_data[[#This Row],[ATK]:[SPD]]) - MIN(clean_data[[#This Row],[ATK]:[SPD]])</f>
        <v>118</v>
      </c>
      <c r="AH188" s="28" t="str">
        <f>IF(clean_data[[#This Row],[Balanced Score]] = MIN(clean_data[Balanced Score]), "Most Balanced", "")</f>
        <v/>
      </c>
    </row>
    <row r="189" spans="1:34" x14ac:dyDescent="0.3">
      <c r="A189" s="2" t="s">
        <v>748</v>
      </c>
      <c r="B189" s="2" t="s">
        <v>749</v>
      </c>
      <c r="C189" s="2" t="s">
        <v>543</v>
      </c>
      <c r="D189" s="2" t="s">
        <v>40</v>
      </c>
      <c r="E189" s="2" t="s">
        <v>169</v>
      </c>
      <c r="F189" s="2" t="s">
        <v>52</v>
      </c>
      <c r="G189" s="2">
        <v>70</v>
      </c>
      <c r="H189" s="2" t="s">
        <v>80</v>
      </c>
      <c r="I189" s="2" t="s">
        <v>74</v>
      </c>
      <c r="J189" s="2" t="s">
        <v>111</v>
      </c>
      <c r="K189" s="2" t="s">
        <v>44</v>
      </c>
      <c r="L189" s="13">
        <v>44885</v>
      </c>
      <c r="M189" s="2">
        <v>117</v>
      </c>
      <c r="N189" s="2">
        <v>93</v>
      </c>
      <c r="O189" s="2">
        <v>59</v>
      </c>
      <c r="P189" s="2">
        <v>1162</v>
      </c>
      <c r="Q189" s="2"/>
      <c r="R189" s="2">
        <v>269</v>
      </c>
      <c r="S189" s="2">
        <v>188</v>
      </c>
      <c r="T189" s="2">
        <v>341</v>
      </c>
      <c r="U189" s="2">
        <v>165</v>
      </c>
      <c r="V189" s="12">
        <f>ABS(RPG_dataset[[#This Row],[Win Rate (%)]])</f>
        <v>36</v>
      </c>
      <c r="W189" s="2">
        <v>4805</v>
      </c>
      <c r="X189" s="9">
        <v>671764</v>
      </c>
      <c r="Y189" s="2" t="s">
        <v>46</v>
      </c>
      <c r="Z189" s="2">
        <v>162</v>
      </c>
      <c r="AA189" s="2" t="s">
        <v>1725</v>
      </c>
      <c r="AB189" s="2" t="b">
        <v>1</v>
      </c>
      <c r="AC189" s="2" t="s">
        <v>1726</v>
      </c>
      <c r="AD189" s="2" t="s">
        <v>1727</v>
      </c>
      <c r="AE189" s="2" t="s">
        <v>1728</v>
      </c>
      <c r="AF189" s="2" t="s">
        <v>1729</v>
      </c>
      <c r="AG189" s="28">
        <f>MAX(clean_data[[#This Row],[ATK]:[SPD]]) - MIN(clean_data[[#This Row],[ATK]:[SPD]])</f>
        <v>58</v>
      </c>
      <c r="AH189" s="28" t="str">
        <f>IF(clean_data[[#This Row],[Balanced Score]] = MIN(clean_data[Balanced Score]), "Most Balanced", "")</f>
        <v/>
      </c>
    </row>
    <row r="190" spans="1:34" x14ac:dyDescent="0.3">
      <c r="A190" s="2" t="s">
        <v>751</v>
      </c>
      <c r="B190" s="2" t="s">
        <v>752</v>
      </c>
      <c r="C190" s="2" t="s">
        <v>517</v>
      </c>
      <c r="D190" s="2" t="s">
        <v>119</v>
      </c>
      <c r="E190" s="2" t="s">
        <v>71</v>
      </c>
      <c r="F190" s="2" t="s">
        <v>42</v>
      </c>
      <c r="G190" s="2">
        <v>40</v>
      </c>
      <c r="H190" s="2" t="s">
        <v>43</v>
      </c>
      <c r="I190" s="2" t="s">
        <v>140</v>
      </c>
      <c r="J190" s="2" t="s">
        <v>120</v>
      </c>
      <c r="K190" s="2" t="s">
        <v>99</v>
      </c>
      <c r="L190" s="13">
        <v>44702</v>
      </c>
      <c r="M190" s="2">
        <v>129</v>
      </c>
      <c r="N190" s="2">
        <v>68</v>
      </c>
      <c r="O190" s="2">
        <v>119</v>
      </c>
      <c r="P190" s="2">
        <v>2247</v>
      </c>
      <c r="Q190" s="2">
        <v>1632</v>
      </c>
      <c r="R190" s="2">
        <v>316</v>
      </c>
      <c r="S190" s="2">
        <v>3030</v>
      </c>
      <c r="T190" s="2">
        <v>230</v>
      </c>
      <c r="U190" s="2">
        <v>11</v>
      </c>
      <c r="V190" s="12">
        <f>ABS(RPG_dataset[[#This Row],[Win Rate (%)]])</f>
        <v>93</v>
      </c>
      <c r="W190" s="2">
        <v>3570</v>
      </c>
      <c r="X190" s="9">
        <v>509697</v>
      </c>
      <c r="Y190" s="2" t="s">
        <v>36</v>
      </c>
      <c r="Z190" s="2">
        <v>245</v>
      </c>
      <c r="AA190" s="2" t="s">
        <v>1733</v>
      </c>
      <c r="AB190" s="2" t="b">
        <v>0</v>
      </c>
      <c r="AC190" s="2" t="s">
        <v>1730</v>
      </c>
      <c r="AD190" s="2" t="s">
        <v>1727</v>
      </c>
      <c r="AE190" s="2" t="s">
        <v>1728</v>
      </c>
      <c r="AF190" s="2" t="s">
        <v>1740</v>
      </c>
      <c r="AG190" s="28">
        <f>MAX(clean_data[[#This Row],[ATK]:[SPD]]) - MIN(clean_data[[#This Row],[ATK]:[SPD]])</f>
        <v>61</v>
      </c>
      <c r="AH190" s="28" t="str">
        <f>IF(clean_data[[#This Row],[Balanced Score]] = MIN(clean_data[Balanced Score]), "Most Balanced", "")</f>
        <v/>
      </c>
    </row>
    <row r="191" spans="1:34" x14ac:dyDescent="0.3">
      <c r="A191" s="2" t="s">
        <v>754</v>
      </c>
      <c r="B191" s="2" t="s">
        <v>755</v>
      </c>
      <c r="C191" s="2" t="s">
        <v>238</v>
      </c>
      <c r="D191" s="2" t="s">
        <v>104</v>
      </c>
      <c r="E191" s="2" t="s">
        <v>71</v>
      </c>
      <c r="F191" s="2" t="s">
        <v>98</v>
      </c>
      <c r="G191" s="2">
        <v>54</v>
      </c>
      <c r="H191" s="2" t="s">
        <v>125</v>
      </c>
      <c r="I191" s="2" t="s">
        <v>63</v>
      </c>
      <c r="J191" s="2" t="s">
        <v>92</v>
      </c>
      <c r="K191" s="2" t="s">
        <v>99</v>
      </c>
      <c r="L191" s="13">
        <v>44736</v>
      </c>
      <c r="M191" s="2">
        <v>70</v>
      </c>
      <c r="N191" s="2">
        <v>138</v>
      </c>
      <c r="O191" s="2">
        <v>14</v>
      </c>
      <c r="P191" s="2">
        <v>953</v>
      </c>
      <c r="Q191" s="2">
        <v>1239</v>
      </c>
      <c r="R191" s="2">
        <v>222</v>
      </c>
      <c r="S191" s="2">
        <v>4535</v>
      </c>
      <c r="T191" s="2">
        <v>431</v>
      </c>
      <c r="U191" s="2">
        <v>37</v>
      </c>
      <c r="V191" s="12">
        <f>ABS(RPG_dataset[[#This Row],[Win Rate (%)]])</f>
        <v>91</v>
      </c>
      <c r="W191" s="2">
        <v>4280</v>
      </c>
      <c r="X191" s="9">
        <v>999412</v>
      </c>
      <c r="Y191" s="2" t="s">
        <v>46</v>
      </c>
      <c r="Z191" s="2">
        <v>1</v>
      </c>
      <c r="AA191" s="2" t="s">
        <v>1725</v>
      </c>
      <c r="AB191" s="2" t="b">
        <v>0</v>
      </c>
      <c r="AC191" s="2" t="s">
        <v>1730</v>
      </c>
      <c r="AD191" s="2" t="s">
        <v>1727</v>
      </c>
      <c r="AE191" s="2" t="s">
        <v>1728</v>
      </c>
      <c r="AF191" s="2" t="s">
        <v>1729</v>
      </c>
      <c r="AG191" s="28">
        <f>MAX(clean_data[[#This Row],[ATK]:[SPD]]) - MIN(clean_data[[#This Row],[ATK]:[SPD]])</f>
        <v>124</v>
      </c>
      <c r="AH191" s="28" t="str">
        <f>IF(clean_data[[#This Row],[Balanced Score]] = MIN(clean_data[Balanced Score]), "Most Balanced", "")</f>
        <v/>
      </c>
    </row>
    <row r="192" spans="1:34" x14ac:dyDescent="0.3">
      <c r="A192" s="2" t="s">
        <v>757</v>
      </c>
      <c r="B192" s="2" t="s">
        <v>758</v>
      </c>
      <c r="C192" s="2" t="s">
        <v>75</v>
      </c>
      <c r="D192" s="2" t="s">
        <v>234</v>
      </c>
      <c r="E192" s="2" t="s">
        <v>228</v>
      </c>
      <c r="F192" s="2" t="s">
        <v>42</v>
      </c>
      <c r="G192" s="2">
        <v>45</v>
      </c>
      <c r="H192" s="2" t="s">
        <v>157</v>
      </c>
      <c r="I192" s="2" t="s">
        <v>74</v>
      </c>
      <c r="J192" s="2" t="s">
        <v>88</v>
      </c>
      <c r="K192" s="2" t="s">
        <v>99</v>
      </c>
      <c r="L192" s="13">
        <v>44201</v>
      </c>
      <c r="M192" s="2">
        <v>99</v>
      </c>
      <c r="N192" s="2">
        <v>126</v>
      </c>
      <c r="O192" s="2">
        <v>89</v>
      </c>
      <c r="P192" s="2">
        <v>4961</v>
      </c>
      <c r="Q192" s="2">
        <v>2868</v>
      </c>
      <c r="R192" s="2">
        <v>314</v>
      </c>
      <c r="S192" s="2">
        <v>522</v>
      </c>
      <c r="T192" s="2">
        <v>967</v>
      </c>
      <c r="U192" s="2">
        <v>253</v>
      </c>
      <c r="V192" s="12">
        <f>ABS(RPG_dataset[[#This Row],[Win Rate (%)]])</f>
        <v>35</v>
      </c>
      <c r="W192" s="2">
        <v>1181</v>
      </c>
      <c r="X192" s="9">
        <v>290604</v>
      </c>
      <c r="Y192" s="2" t="s">
        <v>46</v>
      </c>
      <c r="Z192" s="2">
        <v>357</v>
      </c>
      <c r="AA192" s="2" t="s">
        <v>1733</v>
      </c>
      <c r="AB192" s="2" t="b">
        <v>0</v>
      </c>
      <c r="AC192" s="2" t="s">
        <v>1726</v>
      </c>
      <c r="AD192" s="2" t="s">
        <v>1727</v>
      </c>
      <c r="AE192" s="2" t="s">
        <v>1742</v>
      </c>
      <c r="AF192" s="2" t="s">
        <v>1736</v>
      </c>
      <c r="AG192" s="28">
        <f>MAX(clean_data[[#This Row],[ATK]:[SPD]]) - MIN(clean_data[[#This Row],[ATK]:[SPD]])</f>
        <v>37</v>
      </c>
      <c r="AH192" s="28" t="str">
        <f>IF(clean_data[[#This Row],[Balanced Score]] = MIN(clean_data[Balanced Score]), "Most Balanced", "")</f>
        <v/>
      </c>
    </row>
    <row r="193" spans="1:34" x14ac:dyDescent="0.3">
      <c r="A193" s="2" t="s">
        <v>760</v>
      </c>
      <c r="B193" s="2" t="s">
        <v>761</v>
      </c>
      <c r="C193" s="2" t="s">
        <v>154</v>
      </c>
      <c r="D193" s="2" t="s">
        <v>277</v>
      </c>
      <c r="E193" s="2" t="s">
        <v>105</v>
      </c>
      <c r="F193" s="2" t="s">
        <v>194</v>
      </c>
      <c r="G193" s="2">
        <v>69</v>
      </c>
      <c r="H193" s="2" t="s">
        <v>157</v>
      </c>
      <c r="I193" s="2" t="s">
        <v>140</v>
      </c>
      <c r="J193" s="2" t="s">
        <v>81</v>
      </c>
      <c r="K193" s="2" t="s">
        <v>44</v>
      </c>
      <c r="L193" s="13">
        <v>44456</v>
      </c>
      <c r="M193" s="2">
        <v>23</v>
      </c>
      <c r="N193" s="2">
        <v>47</v>
      </c>
      <c r="O193" s="2">
        <v>62</v>
      </c>
      <c r="P193" s="2">
        <v>3965</v>
      </c>
      <c r="Q193" s="2">
        <v>2405</v>
      </c>
      <c r="R193" s="2">
        <v>132</v>
      </c>
      <c r="S193" s="2">
        <v>656</v>
      </c>
      <c r="T193" s="2">
        <v>639</v>
      </c>
      <c r="U193" s="2">
        <v>100</v>
      </c>
      <c r="V193" s="12">
        <f>ABS(RPG_dataset[[#This Row],[Win Rate (%)]])</f>
        <v>51</v>
      </c>
      <c r="W193" s="2">
        <v>7524</v>
      </c>
      <c r="X193" s="9">
        <v>851518</v>
      </c>
      <c r="Y193" s="2" t="s">
        <v>46</v>
      </c>
      <c r="Z193" s="2">
        <v>77</v>
      </c>
      <c r="AA193" s="2" t="s">
        <v>1725</v>
      </c>
      <c r="AB193" s="2" t="b">
        <v>1</v>
      </c>
      <c r="AC193" s="2" t="s">
        <v>1738</v>
      </c>
      <c r="AD193" s="2" t="s">
        <v>1727</v>
      </c>
      <c r="AE193" s="2" t="s">
        <v>1728</v>
      </c>
      <c r="AF193" s="2" t="s">
        <v>1740</v>
      </c>
      <c r="AG193" s="28">
        <f>MAX(clean_data[[#This Row],[ATK]:[SPD]]) - MIN(clean_data[[#This Row],[ATK]:[SPD]])</f>
        <v>39</v>
      </c>
      <c r="AH193" s="28" t="str">
        <f>IF(clean_data[[#This Row],[Balanced Score]] = MIN(clean_data[Balanced Score]), "Most Balanced", "")</f>
        <v/>
      </c>
    </row>
    <row r="194" spans="1:34" x14ac:dyDescent="0.3">
      <c r="A194" s="2" t="s">
        <v>763</v>
      </c>
      <c r="B194" s="2" t="s">
        <v>764</v>
      </c>
      <c r="C194" s="2" t="s">
        <v>219</v>
      </c>
      <c r="D194" s="2" t="s">
        <v>50</v>
      </c>
      <c r="E194" s="2" t="s">
        <v>71</v>
      </c>
      <c r="F194" s="2" t="s">
        <v>72</v>
      </c>
      <c r="G194" s="2">
        <v>5</v>
      </c>
      <c r="H194" s="2" t="s">
        <v>73</v>
      </c>
      <c r="I194" s="2" t="s">
        <v>32</v>
      </c>
      <c r="J194" s="2" t="s">
        <v>81</v>
      </c>
      <c r="K194" s="2" t="s">
        <v>44</v>
      </c>
      <c r="L194" s="13">
        <v>44392</v>
      </c>
      <c r="M194" s="2">
        <v>65</v>
      </c>
      <c r="N194" s="2">
        <v>10</v>
      </c>
      <c r="O194" s="2">
        <v>43</v>
      </c>
      <c r="P194" s="2">
        <v>3952</v>
      </c>
      <c r="Q194" s="2">
        <v>764</v>
      </c>
      <c r="R194" s="2">
        <v>118</v>
      </c>
      <c r="S194" s="2">
        <v>1951</v>
      </c>
      <c r="T194" s="2">
        <v>677</v>
      </c>
      <c r="U194" s="2">
        <v>49</v>
      </c>
      <c r="V194" s="12">
        <f>ABS(RPG_dataset[[#This Row],[Win Rate (%)]])</f>
        <v>74</v>
      </c>
      <c r="W194" s="2">
        <v>5384</v>
      </c>
      <c r="X194" s="9">
        <v>676303</v>
      </c>
      <c r="Y194" s="2" t="s">
        <v>36</v>
      </c>
      <c r="Z194" s="2">
        <v>161</v>
      </c>
      <c r="AA194" s="2" t="s">
        <v>1735</v>
      </c>
      <c r="AB194" s="2" t="b">
        <v>1</v>
      </c>
      <c r="AC194" s="2" t="s">
        <v>1730</v>
      </c>
      <c r="AD194" s="2" t="s">
        <v>1727</v>
      </c>
      <c r="AE194" s="2" t="s">
        <v>1728</v>
      </c>
      <c r="AF194" s="2" t="s">
        <v>1729</v>
      </c>
      <c r="AG194" s="28">
        <f>MAX(clean_data[[#This Row],[ATK]:[SPD]]) - MIN(clean_data[[#This Row],[ATK]:[SPD]])</f>
        <v>55</v>
      </c>
      <c r="AH194" s="28" t="str">
        <f>IF(clean_data[[#This Row],[Balanced Score]] = MIN(clean_data[Balanced Score]), "Most Balanced", "")</f>
        <v/>
      </c>
    </row>
    <row r="195" spans="1:34" x14ac:dyDescent="0.3">
      <c r="A195" s="2" t="s">
        <v>766</v>
      </c>
      <c r="B195" s="2" t="s">
        <v>767</v>
      </c>
      <c r="C195" s="2" t="s">
        <v>296</v>
      </c>
      <c r="D195" s="2" t="s">
        <v>277</v>
      </c>
      <c r="E195" s="2" t="s">
        <v>228</v>
      </c>
      <c r="F195" s="2" t="s">
        <v>61</v>
      </c>
      <c r="G195" s="2">
        <v>6</v>
      </c>
      <c r="H195" s="2" t="s">
        <v>31</v>
      </c>
      <c r="I195" s="2" t="s">
        <v>54</v>
      </c>
      <c r="J195" s="2" t="s">
        <v>64</v>
      </c>
      <c r="K195" s="2" t="s">
        <v>44</v>
      </c>
      <c r="L195" s="13">
        <v>44311</v>
      </c>
      <c r="M195" s="2">
        <v>141</v>
      </c>
      <c r="N195" s="2">
        <v>105</v>
      </c>
      <c r="O195" s="2">
        <v>28</v>
      </c>
      <c r="P195" s="2">
        <v>2121</v>
      </c>
      <c r="Q195" s="2">
        <v>1376</v>
      </c>
      <c r="R195" s="2">
        <v>274</v>
      </c>
      <c r="S195" s="2">
        <v>4145</v>
      </c>
      <c r="T195" s="2">
        <v>557</v>
      </c>
      <c r="U195" s="2">
        <v>55</v>
      </c>
      <c r="V195" s="12">
        <f>ABS(RPG_dataset[[#This Row],[Win Rate (%)]])</f>
        <v>88</v>
      </c>
      <c r="W195" s="2">
        <v>2561</v>
      </c>
      <c r="X195" s="9">
        <v>454794</v>
      </c>
      <c r="Y195" s="2" t="s">
        <v>36</v>
      </c>
      <c r="Z195" s="2">
        <v>276</v>
      </c>
      <c r="AA195" s="2" t="s">
        <v>1735</v>
      </c>
      <c r="AB195" s="2" t="b">
        <v>1</v>
      </c>
      <c r="AC195" s="2" t="s">
        <v>1730</v>
      </c>
      <c r="AD195" s="2" t="s">
        <v>1727</v>
      </c>
      <c r="AE195" s="2" t="s">
        <v>1728</v>
      </c>
      <c r="AF195" s="2" t="s">
        <v>61</v>
      </c>
      <c r="AG195" s="28">
        <f>MAX(clean_data[[#This Row],[ATK]:[SPD]]) - MIN(clean_data[[#This Row],[ATK]:[SPD]])</f>
        <v>113</v>
      </c>
      <c r="AH195" s="28" t="str">
        <f>IF(clean_data[[#This Row],[Balanced Score]] = MIN(clean_data[Balanced Score]), "Most Balanced", "")</f>
        <v/>
      </c>
    </row>
    <row r="196" spans="1:34" x14ac:dyDescent="0.3">
      <c r="A196" s="2" t="s">
        <v>769</v>
      </c>
      <c r="B196" s="2" t="s">
        <v>770</v>
      </c>
      <c r="C196" s="2" t="s">
        <v>227</v>
      </c>
      <c r="D196" s="2" t="s">
        <v>304</v>
      </c>
      <c r="E196" s="2" t="s">
        <v>60</v>
      </c>
      <c r="F196" s="2" t="s">
        <v>42</v>
      </c>
      <c r="G196" s="2">
        <v>35</v>
      </c>
      <c r="H196" s="2" t="s">
        <v>31</v>
      </c>
      <c r="I196" s="2" t="s">
        <v>126</v>
      </c>
      <c r="J196" s="2" t="s">
        <v>120</v>
      </c>
      <c r="K196" s="2" t="s">
        <v>99</v>
      </c>
      <c r="L196" s="13">
        <v>45440</v>
      </c>
      <c r="M196" s="2">
        <v>116</v>
      </c>
      <c r="N196" s="2">
        <v>33</v>
      </c>
      <c r="O196" s="2">
        <v>143</v>
      </c>
      <c r="P196" s="2"/>
      <c r="Q196" s="2">
        <v>2513</v>
      </c>
      <c r="R196" s="2">
        <v>292</v>
      </c>
      <c r="S196" s="2">
        <v>469</v>
      </c>
      <c r="T196" s="2">
        <v>457</v>
      </c>
      <c r="U196" s="2">
        <v>115</v>
      </c>
      <c r="V196" s="12">
        <f>ABS(RPG_dataset[[#This Row],[Win Rate (%)]])</f>
        <v>51</v>
      </c>
      <c r="W196" s="2">
        <v>6114</v>
      </c>
      <c r="X196" s="9">
        <v>98417</v>
      </c>
      <c r="Y196" s="2" t="s">
        <v>46</v>
      </c>
      <c r="Z196" s="2">
        <v>440</v>
      </c>
      <c r="AA196" s="2" t="s">
        <v>1733</v>
      </c>
      <c r="AB196" s="2" t="b">
        <v>0</v>
      </c>
      <c r="AC196" s="2" t="s">
        <v>1738</v>
      </c>
      <c r="AD196" s="2" t="s">
        <v>1727</v>
      </c>
      <c r="AE196" s="2" t="s">
        <v>1742</v>
      </c>
      <c r="AF196" s="2" t="s">
        <v>1736</v>
      </c>
      <c r="AG196" s="28">
        <f>MAX(clean_data[[#This Row],[ATK]:[SPD]]) - MIN(clean_data[[#This Row],[ATK]:[SPD]])</f>
        <v>110</v>
      </c>
      <c r="AH196" s="28" t="str">
        <f>IF(clean_data[[#This Row],[Balanced Score]] = MIN(clean_data[Balanced Score]), "Most Balanced", "")</f>
        <v/>
      </c>
    </row>
    <row r="197" spans="1:34" x14ac:dyDescent="0.3">
      <c r="A197" s="2" t="s">
        <v>772</v>
      </c>
      <c r="B197" s="2" t="s">
        <v>773</v>
      </c>
      <c r="C197" s="2" t="s">
        <v>79</v>
      </c>
      <c r="D197" s="2" t="s">
        <v>254</v>
      </c>
      <c r="E197" s="2" t="s">
        <v>228</v>
      </c>
      <c r="F197" s="2" t="s">
        <v>61</v>
      </c>
      <c r="G197" s="2">
        <v>7</v>
      </c>
      <c r="H197" s="2" t="s">
        <v>80</v>
      </c>
      <c r="I197" s="2" t="s">
        <v>54</v>
      </c>
      <c r="J197" s="2" t="s">
        <v>120</v>
      </c>
      <c r="K197" s="2" t="s">
        <v>44</v>
      </c>
      <c r="L197" s="13">
        <v>43157</v>
      </c>
      <c r="M197" s="2">
        <v>58</v>
      </c>
      <c r="N197" s="2">
        <v>100</v>
      </c>
      <c r="O197" s="2">
        <v>54</v>
      </c>
      <c r="P197" s="2">
        <v>2548</v>
      </c>
      <c r="Q197" s="2">
        <v>2633</v>
      </c>
      <c r="R197" s="2">
        <v>212</v>
      </c>
      <c r="S197" s="2">
        <v>3920</v>
      </c>
      <c r="T197" s="2">
        <v>5</v>
      </c>
      <c r="U197" s="2">
        <v>98</v>
      </c>
      <c r="V197" s="12">
        <f>ABS(RPG_dataset[[#This Row],[Win Rate (%)]])</f>
        <v>100</v>
      </c>
      <c r="W197" s="2">
        <v>9627</v>
      </c>
      <c r="X197" s="9">
        <v>710725</v>
      </c>
      <c r="Y197" s="2" t="s">
        <v>46</v>
      </c>
      <c r="Z197" s="2">
        <v>141</v>
      </c>
      <c r="AA197" s="2" t="s">
        <v>1735</v>
      </c>
      <c r="AB197" s="2" t="b">
        <v>1</v>
      </c>
      <c r="AC197" s="2" t="s">
        <v>1730</v>
      </c>
      <c r="AD197" s="2" t="s">
        <v>1727</v>
      </c>
      <c r="AE197" s="2" t="s">
        <v>1728</v>
      </c>
      <c r="AF197" s="2" t="s">
        <v>61</v>
      </c>
      <c r="AG197" s="28">
        <f>MAX(clean_data[[#This Row],[ATK]:[SPD]]) - MIN(clean_data[[#This Row],[ATK]:[SPD]])</f>
        <v>46</v>
      </c>
      <c r="AH197" s="28" t="str">
        <f>IF(clean_data[[#This Row],[Balanced Score]] = MIN(clean_data[Balanced Score]), "Most Balanced", "")</f>
        <v/>
      </c>
    </row>
    <row r="198" spans="1:34" x14ac:dyDescent="0.3">
      <c r="A198" s="2" t="s">
        <v>775</v>
      </c>
      <c r="B198" s="2" t="s">
        <v>776</v>
      </c>
      <c r="C198" s="2" t="s">
        <v>110</v>
      </c>
      <c r="D198" s="2" t="s">
        <v>144</v>
      </c>
      <c r="E198" s="2" t="s">
        <v>169</v>
      </c>
      <c r="F198" s="2" t="s">
        <v>72</v>
      </c>
      <c r="G198" s="2">
        <v>71</v>
      </c>
      <c r="H198" s="2" t="s">
        <v>125</v>
      </c>
      <c r="I198" s="2" t="s">
        <v>87</v>
      </c>
      <c r="J198" s="2" t="s">
        <v>111</v>
      </c>
      <c r="K198" s="2" t="s">
        <v>44</v>
      </c>
      <c r="L198" s="13">
        <v>44854</v>
      </c>
      <c r="M198" s="2"/>
      <c r="N198" s="2">
        <v>130</v>
      </c>
      <c r="O198" s="2">
        <v>103</v>
      </c>
      <c r="P198" s="2">
        <v>2311</v>
      </c>
      <c r="Q198" s="2">
        <v>1736</v>
      </c>
      <c r="R198" s="2">
        <v>332</v>
      </c>
      <c r="S198" s="2">
        <v>3419</v>
      </c>
      <c r="T198" s="2">
        <v>189</v>
      </c>
      <c r="U198" s="2">
        <v>279</v>
      </c>
      <c r="V198" s="12">
        <f>ABS(RPG_dataset[[#This Row],[Win Rate (%)]])</f>
        <v>95</v>
      </c>
      <c r="W198" s="2">
        <v>4401</v>
      </c>
      <c r="X198" s="9">
        <v>840809</v>
      </c>
      <c r="Y198" s="2" t="s">
        <v>46</v>
      </c>
      <c r="Z198" s="2">
        <v>84</v>
      </c>
      <c r="AA198" s="2" t="s">
        <v>1725</v>
      </c>
      <c r="AB198" s="2" t="b">
        <v>1</v>
      </c>
      <c r="AC198" s="2" t="s">
        <v>1730</v>
      </c>
      <c r="AD198" s="2" t="s">
        <v>1727</v>
      </c>
      <c r="AE198" s="2" t="s">
        <v>1728</v>
      </c>
      <c r="AF198" s="2" t="s">
        <v>1739</v>
      </c>
      <c r="AG198" s="28">
        <f>MAX(clean_data[[#This Row],[ATK]:[SPD]]) - MIN(clean_data[[#This Row],[ATK]:[SPD]])</f>
        <v>27</v>
      </c>
      <c r="AH198" s="28" t="str">
        <f>IF(clean_data[[#This Row],[Balanced Score]] = MIN(clean_data[Balanced Score]), "Most Balanced", "")</f>
        <v/>
      </c>
    </row>
    <row r="199" spans="1:34" x14ac:dyDescent="0.3">
      <c r="A199" s="2" t="s">
        <v>778</v>
      </c>
      <c r="B199" s="2" t="s">
        <v>779</v>
      </c>
      <c r="C199" s="2" t="s">
        <v>360</v>
      </c>
      <c r="D199" s="2" t="s">
        <v>272</v>
      </c>
      <c r="E199" s="2" t="s">
        <v>228</v>
      </c>
      <c r="F199" s="2" t="s">
        <v>194</v>
      </c>
      <c r="G199" s="2">
        <v>67</v>
      </c>
      <c r="H199" s="2" t="s">
        <v>157</v>
      </c>
      <c r="I199" s="2" t="s">
        <v>126</v>
      </c>
      <c r="J199" s="2" t="s">
        <v>81</v>
      </c>
      <c r="K199" s="2" t="s">
        <v>44</v>
      </c>
      <c r="L199" s="13">
        <v>43435</v>
      </c>
      <c r="M199" s="2">
        <v>61</v>
      </c>
      <c r="N199" s="2"/>
      <c r="O199" s="2">
        <v>82</v>
      </c>
      <c r="P199" s="2">
        <v>3819</v>
      </c>
      <c r="Q199" s="2">
        <v>2370</v>
      </c>
      <c r="R199" s="2">
        <v>239</v>
      </c>
      <c r="S199" s="2">
        <v>1532</v>
      </c>
      <c r="T199" s="2">
        <v>946</v>
      </c>
      <c r="U199" s="2">
        <v>37</v>
      </c>
      <c r="V199" s="12">
        <f>ABS(RPG_dataset[[#This Row],[Win Rate (%)]])</f>
        <v>62</v>
      </c>
      <c r="W199" s="2">
        <v>3625</v>
      </c>
      <c r="X199" s="9">
        <v>932115</v>
      </c>
      <c r="Y199" s="2" t="s">
        <v>46</v>
      </c>
      <c r="Z199" s="2">
        <v>33</v>
      </c>
      <c r="AA199" s="2" t="s">
        <v>1725</v>
      </c>
      <c r="AB199" s="2" t="b">
        <v>1</v>
      </c>
      <c r="AC199" s="2" t="s">
        <v>1738</v>
      </c>
      <c r="AD199" s="2" t="s">
        <v>1727</v>
      </c>
      <c r="AE199" s="2" t="s">
        <v>1728</v>
      </c>
      <c r="AF199" s="2" t="s">
        <v>1729</v>
      </c>
      <c r="AG199" s="28">
        <f>MAX(clean_data[[#This Row],[ATK]:[SPD]]) - MIN(clean_data[[#This Row],[ATK]:[SPD]])</f>
        <v>21</v>
      </c>
      <c r="AH199" s="28" t="str">
        <f>IF(clean_data[[#This Row],[Balanced Score]] = MIN(clean_data[Balanced Score]), "Most Balanced", "")</f>
        <v/>
      </c>
    </row>
    <row r="200" spans="1:34" x14ac:dyDescent="0.3">
      <c r="A200" s="2" t="s">
        <v>781</v>
      </c>
      <c r="B200" s="2" t="s">
        <v>782</v>
      </c>
      <c r="C200" s="2" t="s">
        <v>58</v>
      </c>
      <c r="D200" s="2" t="s">
        <v>155</v>
      </c>
      <c r="E200" s="2" t="s">
        <v>41</v>
      </c>
      <c r="F200" s="2" t="s">
        <v>124</v>
      </c>
      <c r="G200" s="2">
        <v>91</v>
      </c>
      <c r="H200" s="2" t="s">
        <v>31</v>
      </c>
      <c r="I200" s="2" t="s">
        <v>87</v>
      </c>
      <c r="J200" s="2" t="s">
        <v>81</v>
      </c>
      <c r="K200" s="2" t="s">
        <v>44</v>
      </c>
      <c r="L200" s="13">
        <v>44653</v>
      </c>
      <c r="M200" s="2">
        <v>61</v>
      </c>
      <c r="N200" s="2">
        <v>12</v>
      </c>
      <c r="O200" s="2">
        <v>111</v>
      </c>
      <c r="P200" s="2">
        <v>403</v>
      </c>
      <c r="Q200" s="2">
        <v>96</v>
      </c>
      <c r="R200" s="2">
        <v>184</v>
      </c>
      <c r="S200" s="2">
        <v>3221</v>
      </c>
      <c r="T200" s="2">
        <v>243</v>
      </c>
      <c r="U200" s="2">
        <v>30</v>
      </c>
      <c r="V200" s="12">
        <f>ABS(RPG_dataset[[#This Row],[Win Rate (%)]])</f>
        <v>93</v>
      </c>
      <c r="W200" s="2">
        <v>9920</v>
      </c>
      <c r="X200" s="9">
        <v>8886</v>
      </c>
      <c r="Y200" s="2" t="s">
        <v>36</v>
      </c>
      <c r="Z200" s="2">
        <v>482</v>
      </c>
      <c r="AA200" s="2" t="s">
        <v>1737</v>
      </c>
      <c r="AB200" s="2" t="b">
        <v>1</v>
      </c>
      <c r="AC200" s="2" t="s">
        <v>1730</v>
      </c>
      <c r="AD200" s="2" t="s">
        <v>1727</v>
      </c>
      <c r="AE200" s="2" t="s">
        <v>1731</v>
      </c>
      <c r="AF200" s="2" t="s">
        <v>1736</v>
      </c>
      <c r="AG200" s="28">
        <f>MAX(clean_data[[#This Row],[ATK]:[SPD]]) - MIN(clean_data[[#This Row],[ATK]:[SPD]])</f>
        <v>99</v>
      </c>
      <c r="AH200" s="28" t="str">
        <f>IF(clean_data[[#This Row],[Balanced Score]] = MIN(clean_data[Balanced Score]), "Most Balanced", "")</f>
        <v/>
      </c>
    </row>
    <row r="201" spans="1:34" x14ac:dyDescent="0.3">
      <c r="A201" s="2" t="s">
        <v>784</v>
      </c>
      <c r="B201" s="2" t="s">
        <v>785</v>
      </c>
      <c r="C201" s="2" t="s">
        <v>271</v>
      </c>
      <c r="D201" s="2" t="s">
        <v>28</v>
      </c>
      <c r="E201" s="2" t="s">
        <v>41</v>
      </c>
      <c r="F201" s="2" t="s">
        <v>61</v>
      </c>
      <c r="G201" s="2">
        <v>99</v>
      </c>
      <c r="H201" s="2" t="s">
        <v>43</v>
      </c>
      <c r="I201" s="2" t="s">
        <v>63</v>
      </c>
      <c r="J201" s="2" t="s">
        <v>120</v>
      </c>
      <c r="K201" s="2" t="s">
        <v>44</v>
      </c>
      <c r="L201" s="13">
        <v>45576</v>
      </c>
      <c r="M201" s="2">
        <v>102</v>
      </c>
      <c r="N201" s="2">
        <v>69</v>
      </c>
      <c r="O201" s="2">
        <v>135</v>
      </c>
      <c r="P201" s="2">
        <v>2215</v>
      </c>
      <c r="Q201" s="2">
        <v>2438</v>
      </c>
      <c r="R201" s="2">
        <v>306</v>
      </c>
      <c r="S201" s="2">
        <v>730</v>
      </c>
      <c r="T201" s="2">
        <v>715</v>
      </c>
      <c r="U201" s="2">
        <v>206</v>
      </c>
      <c r="V201" s="12">
        <f>ABS(RPG_dataset[[#This Row],[Win Rate (%)]])</f>
        <v>51</v>
      </c>
      <c r="W201" s="2">
        <v>2424</v>
      </c>
      <c r="X201" s="9">
        <v>223694</v>
      </c>
      <c r="Y201" s="2" t="s">
        <v>46</v>
      </c>
      <c r="Z201" s="2">
        <v>389</v>
      </c>
      <c r="AA201" s="2" t="s">
        <v>1737</v>
      </c>
      <c r="AB201" s="2" t="b">
        <v>1</v>
      </c>
      <c r="AC201" s="2" t="s">
        <v>1738</v>
      </c>
      <c r="AD201" s="2" t="s">
        <v>1727</v>
      </c>
      <c r="AE201" s="2" t="s">
        <v>1728</v>
      </c>
      <c r="AF201" s="2" t="s">
        <v>1736</v>
      </c>
      <c r="AG201" s="28">
        <f>MAX(clean_data[[#This Row],[ATK]:[SPD]]) - MIN(clean_data[[#This Row],[ATK]:[SPD]])</f>
        <v>66</v>
      </c>
      <c r="AH201" s="28" t="str">
        <f>IF(clean_data[[#This Row],[Balanced Score]] = MIN(clean_data[Balanced Score]), "Most Balanced", "")</f>
        <v/>
      </c>
    </row>
    <row r="202" spans="1:34" x14ac:dyDescent="0.3">
      <c r="A202" s="2" t="s">
        <v>787</v>
      </c>
      <c r="B202" s="2" t="s">
        <v>788</v>
      </c>
      <c r="C202" s="2" t="s">
        <v>161</v>
      </c>
      <c r="D202" s="2" t="s">
        <v>70</v>
      </c>
      <c r="E202" s="2" t="s">
        <v>41</v>
      </c>
      <c r="F202" s="2" t="s">
        <v>194</v>
      </c>
      <c r="G202" s="2">
        <v>26</v>
      </c>
      <c r="H202" s="2" t="s">
        <v>43</v>
      </c>
      <c r="I202" s="2" t="s">
        <v>63</v>
      </c>
      <c r="J202" s="2" t="s">
        <v>64</v>
      </c>
      <c r="K202" s="2" t="s">
        <v>34</v>
      </c>
      <c r="L202" s="13">
        <v>43526</v>
      </c>
      <c r="M202" s="2">
        <v>70</v>
      </c>
      <c r="N202" s="2">
        <v>144</v>
      </c>
      <c r="O202" s="2">
        <v>59</v>
      </c>
      <c r="P202" s="2">
        <v>3728</v>
      </c>
      <c r="Q202" s="2">
        <v>912</v>
      </c>
      <c r="R202" s="2">
        <v>273</v>
      </c>
      <c r="S202" s="2">
        <v>1852</v>
      </c>
      <c r="T202" s="2">
        <v>530</v>
      </c>
      <c r="U202" s="2">
        <v>248</v>
      </c>
      <c r="V202" s="12">
        <f>ABS(RPG_dataset[[#This Row],[Win Rate (%)]])</f>
        <v>78</v>
      </c>
      <c r="W202" s="2">
        <v>1547</v>
      </c>
      <c r="X202" s="9">
        <v>207279</v>
      </c>
      <c r="Y202" s="2" t="s">
        <v>46</v>
      </c>
      <c r="Z202" s="2">
        <v>397</v>
      </c>
      <c r="AA202" s="2" t="s">
        <v>1733</v>
      </c>
      <c r="AB202" s="2" t="b">
        <v>0</v>
      </c>
      <c r="AC202" s="2" t="s">
        <v>1730</v>
      </c>
      <c r="AD202" s="2" t="s">
        <v>1727</v>
      </c>
      <c r="AE202" s="2" t="s">
        <v>1728</v>
      </c>
      <c r="AF202" s="2" t="s">
        <v>1734</v>
      </c>
      <c r="AG202" s="28">
        <f>MAX(clean_data[[#This Row],[ATK]:[SPD]]) - MIN(clean_data[[#This Row],[ATK]:[SPD]])</f>
        <v>85</v>
      </c>
      <c r="AH202" s="28" t="str">
        <f>IF(clean_data[[#This Row],[Balanced Score]] = MIN(clean_data[Balanced Score]), "Most Balanced", "")</f>
        <v/>
      </c>
    </row>
    <row r="203" spans="1:34" x14ac:dyDescent="0.3">
      <c r="A203" s="2" t="s">
        <v>791</v>
      </c>
      <c r="B203" s="2" t="s">
        <v>792</v>
      </c>
      <c r="C203" s="2" t="s">
        <v>219</v>
      </c>
      <c r="D203" s="2" t="s">
        <v>139</v>
      </c>
      <c r="E203" s="2" t="s">
        <v>41</v>
      </c>
      <c r="F203" s="2" t="s">
        <v>98</v>
      </c>
      <c r="G203" s="2">
        <v>69</v>
      </c>
      <c r="H203" s="2" t="s">
        <v>157</v>
      </c>
      <c r="I203" s="2" t="s">
        <v>63</v>
      </c>
      <c r="J203" s="2" t="s">
        <v>81</v>
      </c>
      <c r="K203" s="2" t="s">
        <v>106</v>
      </c>
      <c r="L203" s="13">
        <v>44231</v>
      </c>
      <c r="M203" s="2">
        <v>77</v>
      </c>
      <c r="N203" s="2">
        <v>145</v>
      </c>
      <c r="O203" s="2">
        <v>119</v>
      </c>
      <c r="P203" s="2">
        <v>259</v>
      </c>
      <c r="Q203" s="2">
        <v>2273</v>
      </c>
      <c r="R203" s="2">
        <v>341</v>
      </c>
      <c r="S203" s="2">
        <v>3196</v>
      </c>
      <c r="T203" s="2">
        <v>810</v>
      </c>
      <c r="U203" s="2">
        <v>241</v>
      </c>
      <c r="V203" s="12">
        <f>ABS(RPG_dataset[[#This Row],[Win Rate (%)]])</f>
        <v>80</v>
      </c>
      <c r="W203" s="2">
        <v>3930</v>
      </c>
      <c r="X203" s="9">
        <v>392971</v>
      </c>
      <c r="Y203" s="2" t="s">
        <v>46</v>
      </c>
      <c r="Z203" s="2">
        <v>306</v>
      </c>
      <c r="AA203" s="2" t="s">
        <v>1725</v>
      </c>
      <c r="AB203" s="2" t="b">
        <v>0</v>
      </c>
      <c r="AC203" s="2" t="s">
        <v>1730</v>
      </c>
      <c r="AD203" s="2" t="s">
        <v>1727</v>
      </c>
      <c r="AE203" s="2" t="s">
        <v>1728</v>
      </c>
      <c r="AF203" s="2" t="s">
        <v>1736</v>
      </c>
      <c r="AG203" s="28">
        <f>MAX(clean_data[[#This Row],[ATK]:[SPD]]) - MIN(clean_data[[#This Row],[ATK]:[SPD]])</f>
        <v>68</v>
      </c>
      <c r="AH203" s="28" t="str">
        <f>IF(clean_data[[#This Row],[Balanced Score]] = MIN(clean_data[Balanced Score]), "Most Balanced", "")</f>
        <v/>
      </c>
    </row>
    <row r="204" spans="1:34" x14ac:dyDescent="0.3">
      <c r="A204" s="2" t="s">
        <v>794</v>
      </c>
      <c r="B204" s="2" t="s">
        <v>795</v>
      </c>
      <c r="C204" s="2" t="s">
        <v>680</v>
      </c>
      <c r="D204" s="2" t="s">
        <v>401</v>
      </c>
      <c r="E204" s="2" t="s">
        <v>51</v>
      </c>
      <c r="F204" s="2" t="s">
        <v>30</v>
      </c>
      <c r="G204" s="2">
        <v>45</v>
      </c>
      <c r="H204" s="2" t="s">
        <v>31</v>
      </c>
      <c r="I204" s="2" t="s">
        <v>54</v>
      </c>
      <c r="J204" s="2" t="s">
        <v>120</v>
      </c>
      <c r="K204" s="2" t="s">
        <v>44</v>
      </c>
      <c r="L204" s="13">
        <v>43807</v>
      </c>
      <c r="M204" s="2">
        <v>125</v>
      </c>
      <c r="N204" s="2">
        <v>63</v>
      </c>
      <c r="O204" s="2">
        <v>67</v>
      </c>
      <c r="P204" s="2">
        <v>3511</v>
      </c>
      <c r="Q204" s="2">
        <v>865</v>
      </c>
      <c r="R204" s="2">
        <v>255</v>
      </c>
      <c r="S204" s="2">
        <v>163</v>
      </c>
      <c r="T204" s="2">
        <v>859</v>
      </c>
      <c r="U204" s="2">
        <v>24</v>
      </c>
      <c r="V204" s="12">
        <f>ABS(RPG_dataset[[#This Row],[Win Rate (%)]])</f>
        <v>16</v>
      </c>
      <c r="W204" s="2"/>
      <c r="X204" s="9">
        <v>340695</v>
      </c>
      <c r="Y204" s="2" t="s">
        <v>36</v>
      </c>
      <c r="Z204" s="2">
        <v>337</v>
      </c>
      <c r="AA204" s="2" t="s">
        <v>1733</v>
      </c>
      <c r="AB204" s="2" t="b">
        <v>1</v>
      </c>
      <c r="AC204" s="2" t="s">
        <v>1726</v>
      </c>
      <c r="AD204" s="2" t="s">
        <v>1727</v>
      </c>
      <c r="AE204" s="2" t="s">
        <v>1728</v>
      </c>
      <c r="AF204" s="2" t="s">
        <v>1732</v>
      </c>
      <c r="AG204" s="28">
        <f>MAX(clean_data[[#This Row],[ATK]:[SPD]]) - MIN(clean_data[[#This Row],[ATK]:[SPD]])</f>
        <v>62</v>
      </c>
      <c r="AH204" s="28" t="str">
        <f>IF(clean_data[[#This Row],[Balanced Score]] = MIN(clean_data[Balanced Score]), "Most Balanced", "")</f>
        <v/>
      </c>
    </row>
    <row r="205" spans="1:34" x14ac:dyDescent="0.3">
      <c r="A205" s="2" t="s">
        <v>797</v>
      </c>
      <c r="B205" s="2" t="s">
        <v>798</v>
      </c>
      <c r="C205" s="2" t="s">
        <v>543</v>
      </c>
      <c r="D205" s="2" t="s">
        <v>272</v>
      </c>
      <c r="E205" s="2" t="s">
        <v>41</v>
      </c>
      <c r="F205" s="2" t="s">
        <v>194</v>
      </c>
      <c r="G205" s="2">
        <v>96</v>
      </c>
      <c r="H205" s="2" t="s">
        <v>43</v>
      </c>
      <c r="I205" s="2" t="s">
        <v>140</v>
      </c>
      <c r="J205" s="2" t="s">
        <v>120</v>
      </c>
      <c r="K205" s="2" t="s">
        <v>44</v>
      </c>
      <c r="L205" s="13">
        <v>44037</v>
      </c>
      <c r="M205" s="2">
        <v>82</v>
      </c>
      <c r="N205" s="2">
        <v>10</v>
      </c>
      <c r="O205" s="2">
        <v>126</v>
      </c>
      <c r="P205" s="2">
        <v>1023</v>
      </c>
      <c r="Q205" s="2">
        <v>2946</v>
      </c>
      <c r="R205" s="2">
        <v>218</v>
      </c>
      <c r="S205" s="2">
        <v>2701</v>
      </c>
      <c r="T205" s="2">
        <v>992</v>
      </c>
      <c r="U205" s="2">
        <v>219</v>
      </c>
      <c r="V205" s="12">
        <f>ABS(RPG_dataset[[#This Row],[Win Rate (%)]])</f>
        <v>73</v>
      </c>
      <c r="W205" s="2">
        <v>738</v>
      </c>
      <c r="X205" s="9">
        <v>844130</v>
      </c>
      <c r="Y205" s="2" t="s">
        <v>46</v>
      </c>
      <c r="Z205" s="2">
        <v>80</v>
      </c>
      <c r="AA205" s="2" t="s">
        <v>1737</v>
      </c>
      <c r="AB205" s="2" t="b">
        <v>1</v>
      </c>
      <c r="AC205" s="2" t="s">
        <v>1730</v>
      </c>
      <c r="AD205" s="2" t="s">
        <v>1727</v>
      </c>
      <c r="AE205" s="2" t="s">
        <v>1728</v>
      </c>
      <c r="AF205" s="2" t="s">
        <v>1740</v>
      </c>
      <c r="AG205" s="28">
        <f>MAX(clean_data[[#This Row],[ATK]:[SPD]]) - MIN(clean_data[[#This Row],[ATK]:[SPD]])</f>
        <v>116</v>
      </c>
      <c r="AH205" s="28" t="str">
        <f>IF(clean_data[[#This Row],[Balanced Score]] = MIN(clean_data[Balanced Score]), "Most Balanced", "")</f>
        <v/>
      </c>
    </row>
    <row r="206" spans="1:34" x14ac:dyDescent="0.3">
      <c r="A206" s="2" t="s">
        <v>800</v>
      </c>
      <c r="B206" s="2" t="s">
        <v>801</v>
      </c>
      <c r="C206" s="2" t="s">
        <v>253</v>
      </c>
      <c r="D206" s="2" t="s">
        <v>139</v>
      </c>
      <c r="E206" s="2" t="s">
        <v>169</v>
      </c>
      <c r="F206" s="2" t="s">
        <v>61</v>
      </c>
      <c r="G206" s="2">
        <v>67</v>
      </c>
      <c r="H206" s="2" t="s">
        <v>62</v>
      </c>
      <c r="I206" s="2" t="s">
        <v>32</v>
      </c>
      <c r="J206" s="2" t="s">
        <v>33</v>
      </c>
      <c r="K206" s="2" t="s">
        <v>44</v>
      </c>
      <c r="L206" s="13">
        <v>43660</v>
      </c>
      <c r="M206" s="2">
        <v>146</v>
      </c>
      <c r="N206" s="2">
        <v>53</v>
      </c>
      <c r="O206" s="2">
        <v>36</v>
      </c>
      <c r="P206" s="2">
        <v>3550</v>
      </c>
      <c r="Q206" s="2">
        <v>2702</v>
      </c>
      <c r="R206" s="2"/>
      <c r="S206" s="2">
        <v>301</v>
      </c>
      <c r="T206" s="2">
        <v>312</v>
      </c>
      <c r="U206" s="2">
        <v>166</v>
      </c>
      <c r="V206" s="12">
        <f>ABS(RPG_dataset[[#This Row],[Win Rate (%)]])</f>
        <v>49</v>
      </c>
      <c r="W206" s="2">
        <v>7697</v>
      </c>
      <c r="X206" s="9">
        <v>741624</v>
      </c>
      <c r="Y206" s="2" t="s">
        <v>46</v>
      </c>
      <c r="Z206" s="2">
        <v>133</v>
      </c>
      <c r="AA206" s="2" t="s">
        <v>1725</v>
      </c>
      <c r="AB206" s="2" t="b">
        <v>1</v>
      </c>
      <c r="AC206" s="2" t="s">
        <v>1738</v>
      </c>
      <c r="AD206" s="2" t="s">
        <v>1727</v>
      </c>
      <c r="AE206" s="2" t="s">
        <v>1728</v>
      </c>
      <c r="AF206" s="2" t="s">
        <v>1729</v>
      </c>
      <c r="AG206" s="28">
        <f>MAX(clean_data[[#This Row],[ATK]:[SPD]]) - MIN(clean_data[[#This Row],[ATK]:[SPD]])</f>
        <v>110</v>
      </c>
      <c r="AH206" s="28" t="str">
        <f>IF(clean_data[[#This Row],[Balanced Score]] = MIN(clean_data[Balanced Score]), "Most Balanced", "")</f>
        <v/>
      </c>
    </row>
    <row r="207" spans="1:34" x14ac:dyDescent="0.3">
      <c r="A207" s="2" t="s">
        <v>803</v>
      </c>
      <c r="B207" s="2" t="s">
        <v>804</v>
      </c>
      <c r="C207" s="2" t="s">
        <v>238</v>
      </c>
      <c r="D207" s="2" t="s">
        <v>139</v>
      </c>
      <c r="E207" s="2" t="s">
        <v>228</v>
      </c>
      <c r="F207" s="2" t="s">
        <v>124</v>
      </c>
      <c r="G207" s="2">
        <v>39</v>
      </c>
      <c r="H207" s="2" t="s">
        <v>80</v>
      </c>
      <c r="I207" s="2" t="s">
        <v>126</v>
      </c>
      <c r="J207" s="2" t="s">
        <v>88</v>
      </c>
      <c r="K207" s="2" t="s">
        <v>34</v>
      </c>
      <c r="L207" s="13">
        <v>43315</v>
      </c>
      <c r="M207" s="2">
        <v>96</v>
      </c>
      <c r="N207" s="2">
        <v>51</v>
      </c>
      <c r="O207" s="2"/>
      <c r="P207" s="2">
        <v>4116</v>
      </c>
      <c r="Q207" s="2">
        <v>883</v>
      </c>
      <c r="R207" s="2">
        <v>244</v>
      </c>
      <c r="S207" s="2">
        <v>3297</v>
      </c>
      <c r="T207" s="2">
        <v>923</v>
      </c>
      <c r="U207" s="2">
        <v>130</v>
      </c>
      <c r="V207" s="12">
        <f>ABS(RPG_dataset[[#This Row],[Win Rate (%)]])</f>
        <v>78</v>
      </c>
      <c r="W207" s="2">
        <v>8993</v>
      </c>
      <c r="X207" s="9">
        <v>496705</v>
      </c>
      <c r="Y207" s="2" t="s">
        <v>46</v>
      </c>
      <c r="Z207" s="2">
        <v>254</v>
      </c>
      <c r="AA207" s="2" t="s">
        <v>1733</v>
      </c>
      <c r="AB207" s="2" t="b">
        <v>0</v>
      </c>
      <c r="AC207" s="2" t="s">
        <v>1730</v>
      </c>
      <c r="AD207" s="2" t="s">
        <v>1727</v>
      </c>
      <c r="AE207" s="2" t="s">
        <v>1728</v>
      </c>
      <c r="AF207" s="2" t="s">
        <v>1729</v>
      </c>
      <c r="AG207" s="28">
        <f>MAX(clean_data[[#This Row],[ATK]:[SPD]]) - MIN(clean_data[[#This Row],[ATK]:[SPD]])</f>
        <v>45</v>
      </c>
      <c r="AH207" s="28" t="str">
        <f>IF(clean_data[[#This Row],[Balanced Score]] = MIN(clean_data[Balanced Score]), "Most Balanced", "")</f>
        <v/>
      </c>
    </row>
    <row r="208" spans="1:34" x14ac:dyDescent="0.3">
      <c r="A208" s="2" t="s">
        <v>806</v>
      </c>
      <c r="B208" s="2" t="s">
        <v>807</v>
      </c>
      <c r="C208" s="2" t="s">
        <v>154</v>
      </c>
      <c r="D208" s="2" t="s">
        <v>150</v>
      </c>
      <c r="E208" s="2" t="s">
        <v>105</v>
      </c>
      <c r="F208" s="2" t="s">
        <v>98</v>
      </c>
      <c r="G208" s="2">
        <v>67</v>
      </c>
      <c r="H208" s="2" t="s">
        <v>73</v>
      </c>
      <c r="I208" s="2" t="s">
        <v>74</v>
      </c>
      <c r="J208" s="2" t="s">
        <v>111</v>
      </c>
      <c r="K208" s="2" t="s">
        <v>99</v>
      </c>
      <c r="L208" s="13">
        <v>44601</v>
      </c>
      <c r="M208" s="2">
        <v>129</v>
      </c>
      <c r="N208" s="2">
        <v>133</v>
      </c>
      <c r="O208" s="2">
        <v>80</v>
      </c>
      <c r="P208" s="2">
        <v>2117</v>
      </c>
      <c r="Q208" s="2">
        <v>1854</v>
      </c>
      <c r="R208" s="2">
        <v>342</v>
      </c>
      <c r="S208" s="2">
        <v>296</v>
      </c>
      <c r="T208" s="2">
        <v>766</v>
      </c>
      <c r="U208" s="2">
        <v>295</v>
      </c>
      <c r="V208" s="12">
        <f>ABS(RPG_dataset[[#This Row],[Win Rate (%)]])</f>
        <v>28</v>
      </c>
      <c r="W208" s="2">
        <v>6034</v>
      </c>
      <c r="X208" s="9">
        <v>710384</v>
      </c>
      <c r="Y208" s="2" t="s">
        <v>36</v>
      </c>
      <c r="Z208" s="2">
        <v>142</v>
      </c>
      <c r="AA208" s="2" t="s">
        <v>1725</v>
      </c>
      <c r="AB208" s="2" t="b">
        <v>0</v>
      </c>
      <c r="AC208" s="2" t="s">
        <v>1726</v>
      </c>
      <c r="AD208" s="2" t="s">
        <v>1727</v>
      </c>
      <c r="AE208" s="2" t="s">
        <v>1728</v>
      </c>
      <c r="AF208" s="2" t="s">
        <v>1732</v>
      </c>
      <c r="AG208" s="28">
        <f>MAX(clean_data[[#This Row],[ATK]:[SPD]]) - MIN(clean_data[[#This Row],[ATK]:[SPD]])</f>
        <v>53</v>
      </c>
      <c r="AH208" s="28" t="str">
        <f>IF(clean_data[[#This Row],[Balanced Score]] = MIN(clean_data[Balanced Score]), "Most Balanced", "")</f>
        <v/>
      </c>
    </row>
    <row r="209" spans="1:34" x14ac:dyDescent="0.3">
      <c r="A209" s="2" t="s">
        <v>810</v>
      </c>
      <c r="B209" s="2" t="s">
        <v>811</v>
      </c>
      <c r="C209" s="2" t="s">
        <v>27</v>
      </c>
      <c r="D209" s="2" t="s">
        <v>162</v>
      </c>
      <c r="E209" s="2" t="s">
        <v>29</v>
      </c>
      <c r="F209" s="2" t="s">
        <v>52</v>
      </c>
      <c r="G209" s="2">
        <v>43</v>
      </c>
      <c r="H209" s="2" t="s">
        <v>62</v>
      </c>
      <c r="I209" s="2" t="s">
        <v>126</v>
      </c>
      <c r="J209" s="2" t="s">
        <v>92</v>
      </c>
      <c r="K209" s="2" t="s">
        <v>34</v>
      </c>
      <c r="L209" s="13">
        <v>44173</v>
      </c>
      <c r="M209" s="2">
        <v>102</v>
      </c>
      <c r="N209" s="2">
        <v>133</v>
      </c>
      <c r="O209" s="2">
        <v>106</v>
      </c>
      <c r="P209" s="2">
        <v>3115</v>
      </c>
      <c r="Q209" s="2">
        <v>494</v>
      </c>
      <c r="R209" s="2">
        <v>341</v>
      </c>
      <c r="S209" s="2">
        <v>4554</v>
      </c>
      <c r="T209" s="2">
        <v>962</v>
      </c>
      <c r="U209" s="2">
        <v>244</v>
      </c>
      <c r="V209" s="12">
        <f>ABS(RPG_dataset[[#This Row],[Win Rate (%)]])</f>
        <v>83</v>
      </c>
      <c r="W209" s="2"/>
      <c r="X209" s="9">
        <v>924324</v>
      </c>
      <c r="Y209" s="2" t="s">
        <v>36</v>
      </c>
      <c r="Z209" s="2">
        <v>37</v>
      </c>
      <c r="AA209" s="2" t="s">
        <v>1733</v>
      </c>
      <c r="AB209" s="2" t="b">
        <v>0</v>
      </c>
      <c r="AC209" s="2" t="s">
        <v>1730</v>
      </c>
      <c r="AD209" s="2" t="s">
        <v>1727</v>
      </c>
      <c r="AE209" s="2" t="s">
        <v>1728</v>
      </c>
      <c r="AF209" s="2" t="s">
        <v>1736</v>
      </c>
      <c r="AG209" s="28">
        <f>MAX(clean_data[[#This Row],[ATK]:[SPD]]) - MIN(clean_data[[#This Row],[ATK]:[SPD]])</f>
        <v>31</v>
      </c>
      <c r="AH209" s="28" t="str">
        <f>IF(clean_data[[#This Row],[Balanced Score]] = MIN(clean_data[Balanced Score]), "Most Balanced", "")</f>
        <v/>
      </c>
    </row>
    <row r="210" spans="1:34" x14ac:dyDescent="0.3">
      <c r="A210" s="2" t="s">
        <v>813</v>
      </c>
      <c r="B210" s="2" t="s">
        <v>814</v>
      </c>
      <c r="C210" s="2" t="s">
        <v>130</v>
      </c>
      <c r="D210" s="2" t="s">
        <v>250</v>
      </c>
      <c r="E210" s="2" t="s">
        <v>51</v>
      </c>
      <c r="F210" s="2" t="s">
        <v>61</v>
      </c>
      <c r="G210" s="2">
        <v>97</v>
      </c>
      <c r="H210" s="2" t="s">
        <v>80</v>
      </c>
      <c r="I210" s="2" t="s">
        <v>87</v>
      </c>
      <c r="J210" s="2" t="s">
        <v>92</v>
      </c>
      <c r="K210" s="2" t="s">
        <v>106</v>
      </c>
      <c r="L210" s="13">
        <v>45103</v>
      </c>
      <c r="M210" s="2">
        <v>106</v>
      </c>
      <c r="N210" s="2">
        <v>27</v>
      </c>
      <c r="O210" s="2">
        <v>133</v>
      </c>
      <c r="P210" s="2">
        <v>1868</v>
      </c>
      <c r="Q210" s="2">
        <v>2743</v>
      </c>
      <c r="R210" s="2">
        <v>266</v>
      </c>
      <c r="S210" s="2">
        <v>193</v>
      </c>
      <c r="T210" s="2">
        <v>712</v>
      </c>
      <c r="U210" s="2">
        <v>192</v>
      </c>
      <c r="V210" s="12">
        <f>ABS(RPG_dataset[[#This Row],[Win Rate (%)]])</f>
        <v>21</v>
      </c>
      <c r="W210" s="2">
        <v>3938</v>
      </c>
      <c r="X210" s="9">
        <v>196618</v>
      </c>
      <c r="Y210" s="2" t="s">
        <v>46</v>
      </c>
      <c r="Z210" s="2">
        <v>403</v>
      </c>
      <c r="AA210" s="2" t="s">
        <v>1737</v>
      </c>
      <c r="AB210" s="2" t="b">
        <v>0</v>
      </c>
      <c r="AC210" s="2" t="s">
        <v>1726</v>
      </c>
      <c r="AD210" s="2" t="s">
        <v>1727</v>
      </c>
      <c r="AE210" s="2" t="s">
        <v>1728</v>
      </c>
      <c r="AF210" s="2" t="s">
        <v>1736</v>
      </c>
      <c r="AG210" s="28">
        <f>MAX(clean_data[[#This Row],[ATK]:[SPD]]) - MIN(clean_data[[#This Row],[ATK]:[SPD]])</f>
        <v>106</v>
      </c>
      <c r="AH210" s="28" t="str">
        <f>IF(clean_data[[#This Row],[Balanced Score]] = MIN(clean_data[Balanced Score]), "Most Balanced", "")</f>
        <v/>
      </c>
    </row>
    <row r="211" spans="1:34" x14ac:dyDescent="0.3">
      <c r="A211" s="2" t="s">
        <v>816</v>
      </c>
      <c r="B211" s="2" t="s">
        <v>817</v>
      </c>
      <c r="C211" s="2" t="s">
        <v>233</v>
      </c>
      <c r="D211" s="2" t="s">
        <v>210</v>
      </c>
      <c r="E211" s="2" t="s">
        <v>41</v>
      </c>
      <c r="F211" s="2" t="s">
        <v>61</v>
      </c>
      <c r="G211" s="2">
        <v>93</v>
      </c>
      <c r="H211" s="2" t="s">
        <v>43</v>
      </c>
      <c r="I211" s="2" t="s">
        <v>74</v>
      </c>
      <c r="J211" s="2" t="s">
        <v>163</v>
      </c>
      <c r="K211" s="2" t="s">
        <v>106</v>
      </c>
      <c r="L211" s="13">
        <v>43108</v>
      </c>
      <c r="M211" s="2">
        <v>138</v>
      </c>
      <c r="N211" s="2">
        <v>90</v>
      </c>
      <c r="O211" s="2">
        <v>45</v>
      </c>
      <c r="P211" s="2">
        <v>3220</v>
      </c>
      <c r="Q211" s="2">
        <v>2633</v>
      </c>
      <c r="R211" s="2">
        <v>273</v>
      </c>
      <c r="S211" s="2">
        <v>1324</v>
      </c>
      <c r="T211" s="2">
        <v>672</v>
      </c>
      <c r="U211" s="2">
        <v>141</v>
      </c>
      <c r="V211" s="12">
        <f>ABS(RPG_dataset[[#This Row],[Win Rate (%)]])</f>
        <v>66</v>
      </c>
      <c r="W211" s="2">
        <v>5952</v>
      </c>
      <c r="X211" s="9">
        <v>105285</v>
      </c>
      <c r="Y211" s="2" t="s">
        <v>46</v>
      </c>
      <c r="Z211" s="2">
        <v>438</v>
      </c>
      <c r="AA211" s="2" t="s">
        <v>1737</v>
      </c>
      <c r="AB211" s="2" t="b">
        <v>0</v>
      </c>
      <c r="AC211" s="2" t="s">
        <v>1738</v>
      </c>
      <c r="AD211" s="2" t="s">
        <v>1727</v>
      </c>
      <c r="AE211" s="2" t="s">
        <v>1728</v>
      </c>
      <c r="AF211" s="2" t="s">
        <v>1734</v>
      </c>
      <c r="AG211" s="28">
        <f>MAX(clean_data[[#This Row],[ATK]:[SPD]]) - MIN(clean_data[[#This Row],[ATK]:[SPD]])</f>
        <v>93</v>
      </c>
      <c r="AH211" s="28" t="str">
        <f>IF(clean_data[[#This Row],[Balanced Score]] = MIN(clean_data[Balanced Score]), "Most Balanced", "")</f>
        <v/>
      </c>
    </row>
    <row r="212" spans="1:34" x14ac:dyDescent="0.3">
      <c r="A212" s="2" t="s">
        <v>819</v>
      </c>
      <c r="B212" s="2" t="s">
        <v>820</v>
      </c>
      <c r="C212" s="2" t="s">
        <v>103</v>
      </c>
      <c r="D212" s="2" t="s">
        <v>162</v>
      </c>
      <c r="E212" s="2" t="s">
        <v>169</v>
      </c>
      <c r="F212" s="2" t="s">
        <v>52</v>
      </c>
      <c r="G212" s="2">
        <v>56</v>
      </c>
      <c r="H212" s="2" t="s">
        <v>125</v>
      </c>
      <c r="I212" s="2" t="s">
        <v>140</v>
      </c>
      <c r="J212" s="2" t="s">
        <v>111</v>
      </c>
      <c r="K212" s="2" t="s">
        <v>99</v>
      </c>
      <c r="L212" s="13">
        <v>44203</v>
      </c>
      <c r="M212" s="2">
        <v>133</v>
      </c>
      <c r="N212" s="2">
        <v>128</v>
      </c>
      <c r="O212" s="2">
        <v>65</v>
      </c>
      <c r="P212" s="2">
        <v>4915</v>
      </c>
      <c r="Q212" s="2">
        <v>2937</v>
      </c>
      <c r="R212" s="2">
        <v>326</v>
      </c>
      <c r="S212" s="2">
        <v>4853</v>
      </c>
      <c r="T212" s="2">
        <v>605</v>
      </c>
      <c r="U212" s="2"/>
      <c r="V212" s="12">
        <f>ABS(RPG_dataset[[#This Row],[Win Rate (%)]])</f>
        <v>89</v>
      </c>
      <c r="W212" s="2">
        <v>1786</v>
      </c>
      <c r="X212" s="9">
        <v>413004</v>
      </c>
      <c r="Y212" s="2" t="s">
        <v>36</v>
      </c>
      <c r="Z212" s="2">
        <v>300</v>
      </c>
      <c r="AA212" s="2" t="s">
        <v>1725</v>
      </c>
      <c r="AB212" s="2" t="b">
        <v>0</v>
      </c>
      <c r="AC212" s="2" t="s">
        <v>1730</v>
      </c>
      <c r="AD212" s="2" t="s">
        <v>1727</v>
      </c>
      <c r="AE212" s="2" t="s">
        <v>1731</v>
      </c>
      <c r="AF212" s="2" t="s">
        <v>1740</v>
      </c>
      <c r="AG212" s="28">
        <f>MAX(clean_data[[#This Row],[ATK]:[SPD]]) - MIN(clean_data[[#This Row],[ATK]:[SPD]])</f>
        <v>68</v>
      </c>
      <c r="AH212" s="28" t="str">
        <f>IF(clean_data[[#This Row],[Balanced Score]] = MIN(clean_data[Balanced Score]), "Most Balanced", "")</f>
        <v/>
      </c>
    </row>
    <row r="213" spans="1:34" x14ac:dyDescent="0.3">
      <c r="A213" s="2" t="s">
        <v>822</v>
      </c>
      <c r="B213" s="2" t="s">
        <v>823</v>
      </c>
      <c r="C213" s="2" t="s">
        <v>138</v>
      </c>
      <c r="D213" s="2" t="s">
        <v>168</v>
      </c>
      <c r="E213" s="2" t="s">
        <v>41</v>
      </c>
      <c r="F213" s="2" t="s">
        <v>124</v>
      </c>
      <c r="G213" s="2">
        <v>29</v>
      </c>
      <c r="H213" s="2" t="s">
        <v>43</v>
      </c>
      <c r="I213" s="2" t="s">
        <v>63</v>
      </c>
      <c r="J213" s="2" t="s">
        <v>120</v>
      </c>
      <c r="K213" s="2" t="s">
        <v>75</v>
      </c>
      <c r="L213" s="13">
        <v>43451</v>
      </c>
      <c r="M213" s="2">
        <v>78</v>
      </c>
      <c r="N213" s="2">
        <v>10</v>
      </c>
      <c r="O213" s="2">
        <v>126</v>
      </c>
      <c r="P213" s="2">
        <v>2736</v>
      </c>
      <c r="Q213" s="2">
        <v>474</v>
      </c>
      <c r="R213" s="2">
        <v>214</v>
      </c>
      <c r="S213" s="2"/>
      <c r="T213" s="2">
        <v>620</v>
      </c>
      <c r="U213" s="2">
        <v>105</v>
      </c>
      <c r="V213" s="12">
        <f>ABS(RPG_dataset[[#This Row],[Win Rate (%)]])</f>
        <v>85</v>
      </c>
      <c r="W213" s="2">
        <v>2143</v>
      </c>
      <c r="X213" s="9">
        <v>441563</v>
      </c>
      <c r="Y213" s="2" t="s">
        <v>46</v>
      </c>
      <c r="Z213" s="2">
        <v>286</v>
      </c>
      <c r="AA213" s="2" t="s">
        <v>1733</v>
      </c>
      <c r="AB213" s="2" t="b">
        <v>0</v>
      </c>
      <c r="AC213" s="2" t="s">
        <v>1730</v>
      </c>
      <c r="AD213" s="2" t="s">
        <v>1727</v>
      </c>
      <c r="AE213" s="2" t="s">
        <v>1728</v>
      </c>
      <c r="AF213" s="2" t="s">
        <v>1736</v>
      </c>
      <c r="AG213" s="28">
        <f>MAX(clean_data[[#This Row],[ATK]:[SPD]]) - MIN(clean_data[[#This Row],[ATK]:[SPD]])</f>
        <v>116</v>
      </c>
      <c r="AH213" s="28" t="str">
        <f>IF(clean_data[[#This Row],[Balanced Score]] = MIN(clean_data[Balanced Score]), "Most Balanced", "")</f>
        <v/>
      </c>
    </row>
    <row r="214" spans="1:34" x14ac:dyDescent="0.3">
      <c r="A214" s="2" t="s">
        <v>825</v>
      </c>
      <c r="B214" s="2" t="s">
        <v>826</v>
      </c>
      <c r="C214" s="2" t="s">
        <v>198</v>
      </c>
      <c r="D214" s="2" t="s">
        <v>139</v>
      </c>
      <c r="E214" s="2" t="s">
        <v>105</v>
      </c>
      <c r="F214" s="2" t="s">
        <v>30</v>
      </c>
      <c r="G214" s="2">
        <v>50</v>
      </c>
      <c r="H214" s="2" t="s">
        <v>125</v>
      </c>
      <c r="I214" s="2" t="s">
        <v>32</v>
      </c>
      <c r="J214" s="2" t="s">
        <v>120</v>
      </c>
      <c r="K214" s="2" t="s">
        <v>44</v>
      </c>
      <c r="L214" s="13">
        <v>43360</v>
      </c>
      <c r="M214" s="2">
        <v>143</v>
      </c>
      <c r="N214" s="2">
        <v>99</v>
      </c>
      <c r="O214" s="2">
        <v>130</v>
      </c>
      <c r="P214" s="2">
        <v>4629</v>
      </c>
      <c r="Q214" s="2">
        <v>128</v>
      </c>
      <c r="R214" s="2">
        <v>372</v>
      </c>
      <c r="S214" s="2">
        <v>3886</v>
      </c>
      <c r="T214" s="2">
        <v>391</v>
      </c>
      <c r="U214" s="2">
        <v>294</v>
      </c>
      <c r="V214" s="12">
        <f>ABS(RPG_dataset[[#This Row],[Win Rate (%)]])</f>
        <v>91</v>
      </c>
      <c r="W214" s="2">
        <v>6086</v>
      </c>
      <c r="X214" s="9">
        <v>979651</v>
      </c>
      <c r="Y214" s="2" t="s">
        <v>46</v>
      </c>
      <c r="Z214" s="2">
        <v>11</v>
      </c>
      <c r="AA214" s="2" t="s">
        <v>1733</v>
      </c>
      <c r="AB214" s="2" t="b">
        <v>1</v>
      </c>
      <c r="AC214" s="2" t="s">
        <v>1730</v>
      </c>
      <c r="AD214" s="2" t="s">
        <v>1727</v>
      </c>
      <c r="AE214" s="2" t="s">
        <v>1728</v>
      </c>
      <c r="AF214" s="2" t="s">
        <v>1736</v>
      </c>
      <c r="AG214" s="28">
        <f>MAX(clean_data[[#This Row],[ATK]:[SPD]]) - MIN(clean_data[[#This Row],[ATK]:[SPD]])</f>
        <v>44</v>
      </c>
      <c r="AH214" s="28" t="str">
        <f>IF(clean_data[[#This Row],[Balanced Score]] = MIN(clean_data[Balanced Score]), "Most Balanced", "")</f>
        <v/>
      </c>
    </row>
    <row r="215" spans="1:34" x14ac:dyDescent="0.3">
      <c r="A215" s="2" t="s">
        <v>829</v>
      </c>
      <c r="B215" s="2" t="s">
        <v>830</v>
      </c>
      <c r="C215" s="2" t="s">
        <v>693</v>
      </c>
      <c r="D215" s="2" t="s">
        <v>28</v>
      </c>
      <c r="E215" s="2" t="s">
        <v>60</v>
      </c>
      <c r="F215" s="2" t="s">
        <v>52</v>
      </c>
      <c r="G215" s="2">
        <v>24</v>
      </c>
      <c r="H215" s="2" t="s">
        <v>53</v>
      </c>
      <c r="I215" s="2" t="s">
        <v>140</v>
      </c>
      <c r="J215" s="2" t="s">
        <v>81</v>
      </c>
      <c r="K215" s="2" t="s">
        <v>34</v>
      </c>
      <c r="L215" s="13">
        <v>43705</v>
      </c>
      <c r="M215" s="2">
        <v>100</v>
      </c>
      <c r="N215" s="2">
        <v>44</v>
      </c>
      <c r="O215" s="2">
        <v>125</v>
      </c>
      <c r="P215" s="2">
        <v>3528</v>
      </c>
      <c r="Q215" s="2">
        <v>2572</v>
      </c>
      <c r="R215" s="2">
        <v>269</v>
      </c>
      <c r="S215" s="2">
        <v>4211</v>
      </c>
      <c r="T215" s="2">
        <v>280</v>
      </c>
      <c r="U215" s="2">
        <v>56</v>
      </c>
      <c r="V215" s="12">
        <f>ABS(RPG_dataset[[#This Row],[Win Rate (%)]])</f>
        <v>94</v>
      </c>
      <c r="W215" s="2">
        <v>2049</v>
      </c>
      <c r="X215" s="9">
        <v>822422</v>
      </c>
      <c r="Y215" s="2" t="s">
        <v>46</v>
      </c>
      <c r="Z215" s="2">
        <v>91</v>
      </c>
      <c r="AA215" s="2" t="s">
        <v>1735</v>
      </c>
      <c r="AB215" s="2" t="b">
        <v>0</v>
      </c>
      <c r="AC215" s="2" t="s">
        <v>1730</v>
      </c>
      <c r="AD215" s="2" t="s">
        <v>1727</v>
      </c>
      <c r="AE215" s="2" t="s">
        <v>1728</v>
      </c>
      <c r="AF215" s="2" t="s">
        <v>1740</v>
      </c>
      <c r="AG215" s="28">
        <f>MAX(clean_data[[#This Row],[ATK]:[SPD]]) - MIN(clean_data[[#This Row],[ATK]:[SPD]])</f>
        <v>81</v>
      </c>
      <c r="AH215" s="28" t="str">
        <f>IF(clean_data[[#This Row],[Balanced Score]] = MIN(clean_data[Balanced Score]), "Most Balanced", "")</f>
        <v/>
      </c>
    </row>
    <row r="216" spans="1:34" x14ac:dyDescent="0.3">
      <c r="A216" s="2" t="s">
        <v>831</v>
      </c>
      <c r="B216" s="2" t="s">
        <v>832</v>
      </c>
      <c r="C216" s="2" t="s">
        <v>227</v>
      </c>
      <c r="D216" s="2" t="s">
        <v>155</v>
      </c>
      <c r="E216" s="2" t="s">
        <v>29</v>
      </c>
      <c r="F216" s="2" t="s">
        <v>30</v>
      </c>
      <c r="G216" s="2">
        <v>20</v>
      </c>
      <c r="H216" s="2" t="s">
        <v>125</v>
      </c>
      <c r="I216" s="2" t="s">
        <v>54</v>
      </c>
      <c r="J216" s="2" t="s">
        <v>64</v>
      </c>
      <c r="K216" s="2" t="s">
        <v>44</v>
      </c>
      <c r="L216" s="13">
        <v>43909</v>
      </c>
      <c r="M216" s="2">
        <v>132</v>
      </c>
      <c r="N216" s="2">
        <v>105</v>
      </c>
      <c r="O216" s="2">
        <v>32</v>
      </c>
      <c r="P216" s="2">
        <v>1623</v>
      </c>
      <c r="Q216" s="2">
        <v>1352</v>
      </c>
      <c r="R216" s="2">
        <v>269</v>
      </c>
      <c r="S216" s="2">
        <v>2952</v>
      </c>
      <c r="T216" s="2">
        <v>933</v>
      </c>
      <c r="U216" s="2">
        <v>219</v>
      </c>
      <c r="V216" s="12">
        <f>ABS(RPG_dataset[[#This Row],[Win Rate (%)]])</f>
        <v>76</v>
      </c>
      <c r="W216" s="2">
        <v>75</v>
      </c>
      <c r="X216" s="9">
        <v>24232</v>
      </c>
      <c r="Y216" s="2" t="s">
        <v>36</v>
      </c>
      <c r="Z216" s="2">
        <v>471</v>
      </c>
      <c r="AA216" s="2" t="s">
        <v>1735</v>
      </c>
      <c r="AB216" s="2" t="b">
        <v>1</v>
      </c>
      <c r="AC216" s="2" t="s">
        <v>1730</v>
      </c>
      <c r="AD216" s="2" t="s">
        <v>1727</v>
      </c>
      <c r="AE216" s="2" t="s">
        <v>1728</v>
      </c>
      <c r="AF216" s="2" t="s">
        <v>61</v>
      </c>
      <c r="AG216" s="28">
        <f>MAX(clean_data[[#This Row],[ATK]:[SPD]]) - MIN(clean_data[[#This Row],[ATK]:[SPD]])</f>
        <v>100</v>
      </c>
      <c r="AH216" s="28" t="str">
        <f>IF(clean_data[[#This Row],[Balanced Score]] = MIN(clean_data[Balanced Score]), "Most Balanced", "")</f>
        <v/>
      </c>
    </row>
    <row r="217" spans="1:34" x14ac:dyDescent="0.3">
      <c r="A217" s="2" t="s">
        <v>834</v>
      </c>
      <c r="B217" s="2" t="s">
        <v>835</v>
      </c>
      <c r="C217" s="2" t="s">
        <v>154</v>
      </c>
      <c r="D217" s="2" t="s">
        <v>272</v>
      </c>
      <c r="E217" s="2" t="s">
        <v>29</v>
      </c>
      <c r="F217" s="2" t="s">
        <v>194</v>
      </c>
      <c r="G217" s="2">
        <v>99</v>
      </c>
      <c r="H217" s="2" t="s">
        <v>125</v>
      </c>
      <c r="I217" s="2" t="s">
        <v>32</v>
      </c>
      <c r="J217" s="2" t="s">
        <v>33</v>
      </c>
      <c r="K217" s="2" t="s">
        <v>106</v>
      </c>
      <c r="L217" s="13">
        <v>44828</v>
      </c>
      <c r="M217" s="2">
        <v>42</v>
      </c>
      <c r="N217" s="2">
        <v>121</v>
      </c>
      <c r="O217" s="2">
        <v>81</v>
      </c>
      <c r="P217" s="2">
        <v>1682</v>
      </c>
      <c r="Q217" s="2">
        <v>1789</v>
      </c>
      <c r="R217" s="2">
        <v>244</v>
      </c>
      <c r="S217" s="2">
        <v>2960</v>
      </c>
      <c r="T217" s="2">
        <v>789</v>
      </c>
      <c r="U217" s="2">
        <v>84</v>
      </c>
      <c r="V217" s="12">
        <f>ABS(RPG_dataset[[#This Row],[Win Rate (%)]])</f>
        <v>79</v>
      </c>
      <c r="W217" s="2">
        <v>3364</v>
      </c>
      <c r="X217" s="9">
        <v>443523</v>
      </c>
      <c r="Y217" s="2" t="s">
        <v>36</v>
      </c>
      <c r="Z217" s="2">
        <v>284</v>
      </c>
      <c r="AA217" s="2" t="s">
        <v>1737</v>
      </c>
      <c r="AB217" s="2" t="b">
        <v>0</v>
      </c>
      <c r="AC217" s="2" t="s">
        <v>1730</v>
      </c>
      <c r="AD217" s="2" t="s">
        <v>1727</v>
      </c>
      <c r="AE217" s="2" t="s">
        <v>1731</v>
      </c>
      <c r="AF217" s="2" t="s">
        <v>1729</v>
      </c>
      <c r="AG217" s="28">
        <f>MAX(clean_data[[#This Row],[ATK]:[SPD]]) - MIN(clean_data[[#This Row],[ATK]:[SPD]])</f>
        <v>79</v>
      </c>
      <c r="AH217" s="28" t="str">
        <f>IF(clean_data[[#This Row],[Balanced Score]] = MIN(clean_data[Balanced Score]), "Most Balanced", "")</f>
        <v/>
      </c>
    </row>
    <row r="218" spans="1:34" x14ac:dyDescent="0.3">
      <c r="A218" s="2" t="s">
        <v>836</v>
      </c>
      <c r="B218" s="2" t="s">
        <v>837</v>
      </c>
      <c r="C218" s="2" t="s">
        <v>123</v>
      </c>
      <c r="D218" s="2" t="s">
        <v>168</v>
      </c>
      <c r="E218" s="2" t="s">
        <v>71</v>
      </c>
      <c r="F218" s="2" t="s">
        <v>52</v>
      </c>
      <c r="G218" s="2">
        <v>52</v>
      </c>
      <c r="H218" s="2" t="s">
        <v>80</v>
      </c>
      <c r="I218" s="2" t="s">
        <v>63</v>
      </c>
      <c r="J218" s="2" t="s">
        <v>33</v>
      </c>
      <c r="K218" s="2" t="s">
        <v>106</v>
      </c>
      <c r="L218" s="13">
        <v>45578</v>
      </c>
      <c r="M218" s="2">
        <v>112</v>
      </c>
      <c r="N218" s="2">
        <v>17</v>
      </c>
      <c r="O218" s="2">
        <v>94</v>
      </c>
      <c r="P218" s="2">
        <v>1152</v>
      </c>
      <c r="Q218" s="2">
        <v>1915</v>
      </c>
      <c r="R218" s="2">
        <v>223</v>
      </c>
      <c r="S218" s="2">
        <v>1841</v>
      </c>
      <c r="T218" s="2">
        <v>872</v>
      </c>
      <c r="U218" s="2">
        <v>51</v>
      </c>
      <c r="V218" s="12">
        <f>ABS(RPG_dataset[[#This Row],[Win Rate (%)]])</f>
        <v>68</v>
      </c>
      <c r="W218" s="2">
        <v>4090</v>
      </c>
      <c r="X218" s="9">
        <v>970824</v>
      </c>
      <c r="Y218" s="2" t="s">
        <v>46</v>
      </c>
      <c r="Z218" s="2">
        <v>15</v>
      </c>
      <c r="AA218" s="2" t="s">
        <v>1725</v>
      </c>
      <c r="AB218" s="2" t="b">
        <v>0</v>
      </c>
      <c r="AC218" s="2" t="s">
        <v>1738</v>
      </c>
      <c r="AD218" s="2" t="s">
        <v>1727</v>
      </c>
      <c r="AE218" s="2" t="s">
        <v>1728</v>
      </c>
      <c r="AF218" s="2" t="s">
        <v>1736</v>
      </c>
      <c r="AG218" s="28">
        <f>MAX(clean_data[[#This Row],[ATK]:[SPD]]) - MIN(clean_data[[#This Row],[ATK]:[SPD]])</f>
        <v>95</v>
      </c>
      <c r="AH218" s="28" t="str">
        <f>IF(clean_data[[#This Row],[Balanced Score]] = MIN(clean_data[Balanced Score]), "Most Balanced", "")</f>
        <v/>
      </c>
    </row>
    <row r="219" spans="1:34" x14ac:dyDescent="0.3">
      <c r="A219" s="2" t="s">
        <v>838</v>
      </c>
      <c r="B219" s="2" t="s">
        <v>1717</v>
      </c>
      <c r="C219" s="2" t="s">
        <v>219</v>
      </c>
      <c r="D219" s="2" t="s">
        <v>401</v>
      </c>
      <c r="E219" s="2" t="s">
        <v>105</v>
      </c>
      <c r="F219" s="2" t="s">
        <v>194</v>
      </c>
      <c r="G219" s="2">
        <v>81</v>
      </c>
      <c r="H219" s="2" t="s">
        <v>43</v>
      </c>
      <c r="I219" s="2" t="s">
        <v>63</v>
      </c>
      <c r="J219" s="2" t="s">
        <v>92</v>
      </c>
      <c r="K219" s="2" t="s">
        <v>44</v>
      </c>
      <c r="L219" s="13">
        <v>43990</v>
      </c>
      <c r="M219" s="2">
        <v>72</v>
      </c>
      <c r="N219" s="2">
        <v>73</v>
      </c>
      <c r="O219" s="2">
        <v>25</v>
      </c>
      <c r="P219" s="2">
        <v>3953</v>
      </c>
      <c r="Q219" s="2">
        <v>491</v>
      </c>
      <c r="R219" s="2">
        <v>170</v>
      </c>
      <c r="S219" s="2">
        <v>4641</v>
      </c>
      <c r="T219" s="2">
        <v>484</v>
      </c>
      <c r="U219" s="2">
        <v>20</v>
      </c>
      <c r="V219" s="12">
        <f>ABS(RPG_dataset[[#This Row],[Win Rate (%)]])</f>
        <v>91</v>
      </c>
      <c r="W219" s="2">
        <v>803</v>
      </c>
      <c r="X219" s="9">
        <v>14765</v>
      </c>
      <c r="Y219" s="2" t="s">
        <v>36</v>
      </c>
      <c r="Z219" s="2">
        <v>476</v>
      </c>
      <c r="AA219" s="2" t="s">
        <v>1737</v>
      </c>
      <c r="AB219" s="2" t="b">
        <v>1</v>
      </c>
      <c r="AC219" s="2" t="s">
        <v>1730</v>
      </c>
      <c r="AD219" s="2" t="s">
        <v>1727</v>
      </c>
      <c r="AE219" s="2" t="s">
        <v>1731</v>
      </c>
      <c r="AF219" s="2" t="s">
        <v>1729</v>
      </c>
      <c r="AG219" s="28">
        <f>MAX(clean_data[[#This Row],[ATK]:[SPD]]) - MIN(clean_data[[#This Row],[ATK]:[SPD]])</f>
        <v>48</v>
      </c>
      <c r="AH219" s="28" t="str">
        <f>IF(clean_data[[#This Row],[Balanced Score]] = MIN(clean_data[Balanced Score]), "Most Balanced", "")</f>
        <v/>
      </c>
    </row>
    <row r="220" spans="1:34" x14ac:dyDescent="0.3">
      <c r="A220" s="2" t="s">
        <v>841</v>
      </c>
      <c r="B220" s="2" t="s">
        <v>75</v>
      </c>
      <c r="C220" s="2" t="s">
        <v>154</v>
      </c>
      <c r="D220" s="2" t="s">
        <v>234</v>
      </c>
      <c r="E220" s="2" t="s">
        <v>105</v>
      </c>
      <c r="F220" s="2" t="s">
        <v>98</v>
      </c>
      <c r="G220" s="2">
        <v>78</v>
      </c>
      <c r="H220" s="2" t="s">
        <v>157</v>
      </c>
      <c r="I220" s="2" t="s">
        <v>87</v>
      </c>
      <c r="J220" s="2" t="s">
        <v>81</v>
      </c>
      <c r="K220" s="2" t="s">
        <v>44</v>
      </c>
      <c r="L220" s="13">
        <v>44343</v>
      </c>
      <c r="M220" s="2">
        <v>136</v>
      </c>
      <c r="N220" s="2">
        <v>32</v>
      </c>
      <c r="O220" s="2">
        <v>82</v>
      </c>
      <c r="P220" s="2">
        <v>1415</v>
      </c>
      <c r="Q220" s="2">
        <v>2184</v>
      </c>
      <c r="R220" s="2">
        <v>250</v>
      </c>
      <c r="S220" s="2">
        <v>361</v>
      </c>
      <c r="T220" s="2">
        <v>96</v>
      </c>
      <c r="U220" s="2">
        <v>1</v>
      </c>
      <c r="V220" s="12">
        <f>ABS(RPG_dataset[[#This Row],[Win Rate (%)]])</f>
        <v>79</v>
      </c>
      <c r="W220" s="2">
        <v>5518</v>
      </c>
      <c r="X220" s="9">
        <v>423010</v>
      </c>
      <c r="Y220" s="2" t="s">
        <v>36</v>
      </c>
      <c r="Z220" s="2">
        <v>296</v>
      </c>
      <c r="AA220" s="2" t="s">
        <v>1737</v>
      </c>
      <c r="AB220" s="2" t="b">
        <v>1</v>
      </c>
      <c r="AC220" s="2" t="s">
        <v>1730</v>
      </c>
      <c r="AD220" s="2" t="s">
        <v>1727</v>
      </c>
      <c r="AE220" s="2" t="s">
        <v>1731</v>
      </c>
      <c r="AF220" s="2" t="s">
        <v>1732</v>
      </c>
      <c r="AG220" s="28">
        <f>MAX(clean_data[[#This Row],[ATK]:[SPD]]) - MIN(clean_data[[#This Row],[ATK]:[SPD]])</f>
        <v>104</v>
      </c>
      <c r="AH220" s="28" t="str">
        <f>IF(clean_data[[#This Row],[Balanced Score]] = MIN(clean_data[Balanced Score]), "Most Balanced", "")</f>
        <v/>
      </c>
    </row>
    <row r="221" spans="1:34" x14ac:dyDescent="0.3">
      <c r="A221" s="2" t="s">
        <v>843</v>
      </c>
      <c r="B221" s="2" t="s">
        <v>844</v>
      </c>
      <c r="C221" s="2" t="s">
        <v>367</v>
      </c>
      <c r="D221" s="2" t="s">
        <v>40</v>
      </c>
      <c r="E221" s="2" t="s">
        <v>60</v>
      </c>
      <c r="F221" s="2" t="s">
        <v>98</v>
      </c>
      <c r="G221" s="2">
        <v>52</v>
      </c>
      <c r="H221" s="2" t="s">
        <v>31</v>
      </c>
      <c r="I221" s="2" t="s">
        <v>126</v>
      </c>
      <c r="J221" s="2" t="s">
        <v>120</v>
      </c>
      <c r="K221" s="2" t="s">
        <v>34</v>
      </c>
      <c r="L221" s="13">
        <v>43837</v>
      </c>
      <c r="M221" s="2">
        <v>13</v>
      </c>
      <c r="N221" s="2">
        <v>73</v>
      </c>
      <c r="O221" s="2"/>
      <c r="P221" s="2">
        <v>1301</v>
      </c>
      <c r="Q221" s="2">
        <v>2704</v>
      </c>
      <c r="R221" s="2">
        <v>111</v>
      </c>
      <c r="S221" s="2">
        <v>1650</v>
      </c>
      <c r="T221" s="2">
        <v>1000</v>
      </c>
      <c r="U221" s="2">
        <v>268</v>
      </c>
      <c r="V221" s="12">
        <f>ABS(RPG_dataset[[#This Row],[Win Rate (%)]])</f>
        <v>62</v>
      </c>
      <c r="W221" s="2">
        <v>2995</v>
      </c>
      <c r="X221" s="9">
        <v>944971</v>
      </c>
      <c r="Y221" s="2" t="s">
        <v>46</v>
      </c>
      <c r="Z221" s="2">
        <v>24</v>
      </c>
      <c r="AA221" s="2" t="s">
        <v>1725</v>
      </c>
      <c r="AB221" s="2" t="b">
        <v>0</v>
      </c>
      <c r="AC221" s="2" t="s">
        <v>1738</v>
      </c>
      <c r="AD221" s="2" t="s">
        <v>1727</v>
      </c>
      <c r="AE221" s="2" t="s">
        <v>1728</v>
      </c>
      <c r="AF221" s="2" t="s">
        <v>1729</v>
      </c>
      <c r="AG221" s="28">
        <f>MAX(clean_data[[#This Row],[ATK]:[SPD]]) - MIN(clean_data[[#This Row],[ATK]:[SPD]])</f>
        <v>60</v>
      </c>
      <c r="AH221" s="28" t="str">
        <f>IF(clean_data[[#This Row],[Balanced Score]] = MIN(clean_data[Balanced Score]), "Most Balanced", "")</f>
        <v/>
      </c>
    </row>
    <row r="222" spans="1:34" x14ac:dyDescent="0.3">
      <c r="A222" s="2" t="s">
        <v>846</v>
      </c>
      <c r="B222" s="2" t="s">
        <v>847</v>
      </c>
      <c r="C222" s="2" t="s">
        <v>219</v>
      </c>
      <c r="D222" s="2" t="s">
        <v>254</v>
      </c>
      <c r="E222" s="2" t="s">
        <v>71</v>
      </c>
      <c r="F222" s="2" t="s">
        <v>124</v>
      </c>
      <c r="G222" s="2">
        <v>87</v>
      </c>
      <c r="H222" s="2" t="s">
        <v>157</v>
      </c>
      <c r="I222" s="2" t="s">
        <v>140</v>
      </c>
      <c r="J222" s="2" t="s">
        <v>111</v>
      </c>
      <c r="K222" s="2" t="s">
        <v>44</v>
      </c>
      <c r="L222" s="13">
        <v>44129</v>
      </c>
      <c r="M222" s="2">
        <v>118</v>
      </c>
      <c r="N222" s="2">
        <v>33</v>
      </c>
      <c r="O222" s="2">
        <v>48</v>
      </c>
      <c r="P222" s="2">
        <v>910</v>
      </c>
      <c r="Q222" s="2">
        <v>893</v>
      </c>
      <c r="R222" s="2">
        <v>199</v>
      </c>
      <c r="S222" s="2">
        <v>1575</v>
      </c>
      <c r="T222" s="2">
        <v>236</v>
      </c>
      <c r="U222" s="2">
        <v>4</v>
      </c>
      <c r="V222" s="12">
        <f>ABS(RPG_dataset[[#This Row],[Win Rate (%)]])</f>
        <v>87</v>
      </c>
      <c r="W222" s="2">
        <v>6990</v>
      </c>
      <c r="X222" s="9">
        <v>932509</v>
      </c>
      <c r="Y222" s="2" t="s">
        <v>46</v>
      </c>
      <c r="Z222" s="2">
        <v>32</v>
      </c>
      <c r="AA222" s="2" t="s">
        <v>1737</v>
      </c>
      <c r="AB222" s="2" t="b">
        <v>1</v>
      </c>
      <c r="AC222" s="2" t="s">
        <v>1730</v>
      </c>
      <c r="AD222" s="2" t="s">
        <v>1727</v>
      </c>
      <c r="AE222" s="2" t="s">
        <v>1728</v>
      </c>
      <c r="AF222" s="2" t="s">
        <v>1740</v>
      </c>
      <c r="AG222" s="28">
        <f>MAX(clean_data[[#This Row],[ATK]:[SPD]]) - MIN(clean_data[[#This Row],[ATK]:[SPD]])</f>
        <v>85</v>
      </c>
      <c r="AH222" s="28" t="str">
        <f>IF(clean_data[[#This Row],[Balanced Score]] = MIN(clean_data[Balanced Score]), "Most Balanced", "")</f>
        <v/>
      </c>
    </row>
    <row r="223" spans="1:34" x14ac:dyDescent="0.3">
      <c r="A223" s="2" t="s">
        <v>849</v>
      </c>
      <c r="B223" s="2" t="s">
        <v>850</v>
      </c>
      <c r="C223" s="2" t="s">
        <v>130</v>
      </c>
      <c r="D223" s="2" t="s">
        <v>304</v>
      </c>
      <c r="E223" s="2" t="s">
        <v>71</v>
      </c>
      <c r="F223" s="2" t="s">
        <v>52</v>
      </c>
      <c r="G223" s="2">
        <v>85</v>
      </c>
      <c r="H223" s="2" t="s">
        <v>80</v>
      </c>
      <c r="I223" s="2" t="s">
        <v>126</v>
      </c>
      <c r="J223" s="2" t="s">
        <v>88</v>
      </c>
      <c r="K223" s="2" t="s">
        <v>99</v>
      </c>
      <c r="L223" s="13">
        <v>44027</v>
      </c>
      <c r="M223" s="2">
        <v>13</v>
      </c>
      <c r="N223" s="2"/>
      <c r="O223" s="2">
        <v>67</v>
      </c>
      <c r="P223" s="2"/>
      <c r="Q223" s="2">
        <v>675</v>
      </c>
      <c r="R223" s="2">
        <v>138</v>
      </c>
      <c r="S223" s="2">
        <v>2176</v>
      </c>
      <c r="T223" s="2">
        <v>19</v>
      </c>
      <c r="U223" s="2">
        <v>73</v>
      </c>
      <c r="V223" s="12">
        <f>ABS(RPG_dataset[[#This Row],[Win Rate (%)]])</f>
        <v>99</v>
      </c>
      <c r="W223" s="2">
        <v>412</v>
      </c>
      <c r="X223" s="9">
        <v>13152</v>
      </c>
      <c r="Y223" s="2" t="s">
        <v>46</v>
      </c>
      <c r="Z223" s="2">
        <v>479</v>
      </c>
      <c r="AA223" s="2" t="s">
        <v>1737</v>
      </c>
      <c r="AB223" s="2" t="b">
        <v>0</v>
      </c>
      <c r="AC223" s="2" t="s">
        <v>1730</v>
      </c>
      <c r="AD223" s="2" t="s">
        <v>1727</v>
      </c>
      <c r="AE223" s="2" t="s">
        <v>1728</v>
      </c>
      <c r="AF223" s="2" t="s">
        <v>1729</v>
      </c>
      <c r="AG223" s="28">
        <f>MAX(clean_data[[#This Row],[ATK]:[SPD]]) - MIN(clean_data[[#This Row],[ATK]:[SPD]])</f>
        <v>54</v>
      </c>
      <c r="AH223" s="28" t="str">
        <f>IF(clean_data[[#This Row],[Balanced Score]] = MIN(clean_data[Balanced Score]), "Most Balanced", "")</f>
        <v/>
      </c>
    </row>
    <row r="224" spans="1:34" x14ac:dyDescent="0.3">
      <c r="A224" s="2" t="s">
        <v>852</v>
      </c>
      <c r="B224" s="2" t="s">
        <v>853</v>
      </c>
      <c r="C224" s="2" t="s">
        <v>219</v>
      </c>
      <c r="D224" s="2" t="s">
        <v>210</v>
      </c>
      <c r="E224" s="2" t="s">
        <v>60</v>
      </c>
      <c r="F224" s="2" t="s">
        <v>194</v>
      </c>
      <c r="G224" s="2"/>
      <c r="H224" s="2" t="s">
        <v>80</v>
      </c>
      <c r="I224" s="2" t="s">
        <v>32</v>
      </c>
      <c r="J224" s="2" t="s">
        <v>111</v>
      </c>
      <c r="K224" s="2" t="s">
        <v>44</v>
      </c>
      <c r="L224" s="13">
        <v>45397</v>
      </c>
      <c r="M224" s="2">
        <v>69</v>
      </c>
      <c r="N224" s="2">
        <v>53</v>
      </c>
      <c r="O224" s="2">
        <v>31</v>
      </c>
      <c r="P224" s="2">
        <v>4544</v>
      </c>
      <c r="Q224" s="2">
        <v>1772</v>
      </c>
      <c r="R224" s="2">
        <v>153</v>
      </c>
      <c r="S224" s="2">
        <v>2890</v>
      </c>
      <c r="T224" s="2">
        <v>750</v>
      </c>
      <c r="U224" s="2">
        <v>185</v>
      </c>
      <c r="V224" s="12">
        <f>ABS(RPG_dataset[[#This Row],[Win Rate (%)]])</f>
        <v>79</v>
      </c>
      <c r="W224" s="2">
        <v>5645</v>
      </c>
      <c r="X224" s="9">
        <v>889419</v>
      </c>
      <c r="Y224" s="2" t="s">
        <v>46</v>
      </c>
      <c r="Z224" s="2">
        <v>57</v>
      </c>
      <c r="AA224" s="2" t="s">
        <v>1735</v>
      </c>
      <c r="AB224" s="2" t="b">
        <v>1</v>
      </c>
      <c r="AC224" s="2" t="s">
        <v>1730</v>
      </c>
      <c r="AD224" s="2" t="s">
        <v>1727</v>
      </c>
      <c r="AE224" s="2" t="s">
        <v>1728</v>
      </c>
      <c r="AF224" s="2" t="s">
        <v>1729</v>
      </c>
      <c r="AG224" s="28">
        <f>MAX(clean_data[[#This Row],[ATK]:[SPD]]) - MIN(clean_data[[#This Row],[ATK]:[SPD]])</f>
        <v>38</v>
      </c>
      <c r="AH224" s="28" t="str">
        <f>IF(clean_data[[#This Row],[Balanced Score]] = MIN(clean_data[Balanced Score]), "Most Balanced", "")</f>
        <v/>
      </c>
    </row>
    <row r="225" spans="1:34" x14ac:dyDescent="0.3">
      <c r="A225" s="2" t="s">
        <v>855</v>
      </c>
      <c r="B225" s="2" t="s">
        <v>856</v>
      </c>
      <c r="C225" s="2" t="s">
        <v>178</v>
      </c>
      <c r="D225" s="2" t="s">
        <v>272</v>
      </c>
      <c r="E225" s="2" t="s">
        <v>51</v>
      </c>
      <c r="F225" s="2" t="s">
        <v>98</v>
      </c>
      <c r="G225" s="2">
        <v>3</v>
      </c>
      <c r="H225" s="2" t="s">
        <v>157</v>
      </c>
      <c r="I225" s="2" t="s">
        <v>32</v>
      </c>
      <c r="J225" s="2" t="s">
        <v>81</v>
      </c>
      <c r="K225" s="2" t="s">
        <v>44</v>
      </c>
      <c r="L225" s="13">
        <v>45543</v>
      </c>
      <c r="M225" s="2">
        <v>31</v>
      </c>
      <c r="N225" s="2">
        <v>19</v>
      </c>
      <c r="O225" s="2">
        <v>67</v>
      </c>
      <c r="P225" s="2">
        <v>2919</v>
      </c>
      <c r="Q225" s="2">
        <v>1189</v>
      </c>
      <c r="R225" s="2">
        <v>117</v>
      </c>
      <c r="S225" s="2">
        <v>3879</v>
      </c>
      <c r="T225" s="2">
        <v>499</v>
      </c>
      <c r="U225" s="2">
        <v>194</v>
      </c>
      <c r="V225" s="12">
        <f>ABS(RPG_dataset[[#This Row],[Win Rate (%)]])</f>
        <v>89</v>
      </c>
      <c r="W225" s="2">
        <v>7266</v>
      </c>
      <c r="X225" s="9">
        <v>775298</v>
      </c>
      <c r="Y225" s="2" t="s">
        <v>36</v>
      </c>
      <c r="Z225" s="2">
        <v>120</v>
      </c>
      <c r="AA225" s="2" t="s">
        <v>1735</v>
      </c>
      <c r="AB225" s="2" t="b">
        <v>1</v>
      </c>
      <c r="AC225" s="2" t="s">
        <v>1730</v>
      </c>
      <c r="AD225" s="2" t="s">
        <v>1727</v>
      </c>
      <c r="AE225" s="2" t="s">
        <v>1728</v>
      </c>
      <c r="AF225" s="2" t="s">
        <v>1729</v>
      </c>
      <c r="AG225" s="28">
        <f>MAX(clean_data[[#This Row],[ATK]:[SPD]]) - MIN(clean_data[[#This Row],[ATK]:[SPD]])</f>
        <v>48</v>
      </c>
      <c r="AH225" s="28" t="str">
        <f>IF(clean_data[[#This Row],[Balanced Score]] = MIN(clean_data[Balanced Score]), "Most Balanced", "")</f>
        <v/>
      </c>
    </row>
    <row r="226" spans="1:34" x14ac:dyDescent="0.3">
      <c r="A226" s="2" t="s">
        <v>858</v>
      </c>
      <c r="B226" s="2" t="s">
        <v>859</v>
      </c>
      <c r="C226" s="2" t="s">
        <v>130</v>
      </c>
      <c r="D226" s="2" t="s">
        <v>401</v>
      </c>
      <c r="E226" s="2" t="s">
        <v>41</v>
      </c>
      <c r="F226" s="2" t="s">
        <v>194</v>
      </c>
      <c r="G226" s="2">
        <v>36</v>
      </c>
      <c r="H226" s="2" t="s">
        <v>73</v>
      </c>
      <c r="I226" s="2" t="s">
        <v>54</v>
      </c>
      <c r="J226" s="2" t="s">
        <v>64</v>
      </c>
      <c r="K226" s="2" t="s">
        <v>106</v>
      </c>
      <c r="L226" s="13">
        <v>44703</v>
      </c>
      <c r="M226" s="2">
        <v>106</v>
      </c>
      <c r="N226" s="2">
        <v>118</v>
      </c>
      <c r="O226" s="2">
        <v>58</v>
      </c>
      <c r="P226" s="2"/>
      <c r="Q226" s="2">
        <v>83</v>
      </c>
      <c r="R226" s="2">
        <v>282</v>
      </c>
      <c r="S226" s="2">
        <v>1761</v>
      </c>
      <c r="T226" s="2">
        <v>451</v>
      </c>
      <c r="U226" s="2">
        <v>77</v>
      </c>
      <c r="V226" s="12">
        <f>ABS(RPG_dataset[[#This Row],[Win Rate (%)]])</f>
        <v>80</v>
      </c>
      <c r="W226" s="2">
        <v>3389</v>
      </c>
      <c r="X226" s="9">
        <v>628131</v>
      </c>
      <c r="Y226" s="2" t="s">
        <v>36</v>
      </c>
      <c r="Z226" s="2">
        <v>187</v>
      </c>
      <c r="AA226" s="2" t="s">
        <v>1733</v>
      </c>
      <c r="AB226" s="2" t="b">
        <v>0</v>
      </c>
      <c r="AC226" s="2" t="s">
        <v>1730</v>
      </c>
      <c r="AD226" s="2" t="s">
        <v>1727</v>
      </c>
      <c r="AE226" s="2" t="s">
        <v>1728</v>
      </c>
      <c r="AF226" s="2" t="s">
        <v>61</v>
      </c>
      <c r="AG226" s="28">
        <f>MAX(clean_data[[#This Row],[ATK]:[SPD]]) - MIN(clean_data[[#This Row],[ATK]:[SPD]])</f>
        <v>60</v>
      </c>
      <c r="AH226" s="28" t="str">
        <f>IF(clean_data[[#This Row],[Balanced Score]] = MIN(clean_data[Balanced Score]), "Most Balanced", "")</f>
        <v/>
      </c>
    </row>
    <row r="227" spans="1:34" x14ac:dyDescent="0.3">
      <c r="A227" s="2" t="s">
        <v>861</v>
      </c>
      <c r="B227" s="2" t="s">
        <v>862</v>
      </c>
      <c r="C227" s="2" t="s">
        <v>75</v>
      </c>
      <c r="D227" s="2" t="s">
        <v>50</v>
      </c>
      <c r="E227" s="2" t="s">
        <v>105</v>
      </c>
      <c r="F227" s="2" t="s">
        <v>194</v>
      </c>
      <c r="G227" s="2">
        <v>19</v>
      </c>
      <c r="H227" s="2" t="s">
        <v>125</v>
      </c>
      <c r="I227" s="2" t="s">
        <v>54</v>
      </c>
      <c r="J227" s="2" t="s">
        <v>92</v>
      </c>
      <c r="K227" s="2" t="s">
        <v>44</v>
      </c>
      <c r="L227" s="13">
        <v>44429</v>
      </c>
      <c r="M227" s="2">
        <v>127</v>
      </c>
      <c r="N227" s="2">
        <v>48</v>
      </c>
      <c r="O227" s="2">
        <v>31</v>
      </c>
      <c r="P227" s="2">
        <v>579</v>
      </c>
      <c r="Q227" s="2">
        <v>1819</v>
      </c>
      <c r="R227" s="2">
        <v>206</v>
      </c>
      <c r="S227" s="2">
        <v>2384</v>
      </c>
      <c r="T227" s="2">
        <v>832</v>
      </c>
      <c r="U227" s="2">
        <v>156</v>
      </c>
      <c r="V227" s="12">
        <f>ABS(RPG_dataset[[#This Row],[Win Rate (%)]])</f>
        <v>74</v>
      </c>
      <c r="W227" s="2">
        <v>8543</v>
      </c>
      <c r="X227" s="9">
        <v>908971</v>
      </c>
      <c r="Y227" s="2" t="s">
        <v>36</v>
      </c>
      <c r="Z227" s="2">
        <v>48</v>
      </c>
      <c r="AA227" s="2" t="s">
        <v>1735</v>
      </c>
      <c r="AB227" s="2" t="b">
        <v>1</v>
      </c>
      <c r="AC227" s="2" t="s">
        <v>1730</v>
      </c>
      <c r="AD227" s="2" t="s">
        <v>1727</v>
      </c>
      <c r="AE227" s="2" t="s">
        <v>1728</v>
      </c>
      <c r="AF227" s="2" t="s">
        <v>61</v>
      </c>
      <c r="AG227" s="28">
        <f>MAX(clean_data[[#This Row],[ATK]:[SPD]]) - MIN(clean_data[[#This Row],[ATK]:[SPD]])</f>
        <v>96</v>
      </c>
      <c r="AH227" s="28" t="str">
        <f>IF(clean_data[[#This Row],[Balanced Score]] = MIN(clean_data[Balanced Score]), "Most Balanced", "")</f>
        <v/>
      </c>
    </row>
    <row r="228" spans="1:34" x14ac:dyDescent="0.3">
      <c r="A228" s="2" t="s">
        <v>863</v>
      </c>
      <c r="B228" s="2" t="s">
        <v>864</v>
      </c>
      <c r="C228" s="2" t="s">
        <v>103</v>
      </c>
      <c r="D228" s="2" t="s">
        <v>139</v>
      </c>
      <c r="E228" s="2" t="s">
        <v>29</v>
      </c>
      <c r="F228" s="2" t="s">
        <v>61</v>
      </c>
      <c r="G228" s="2"/>
      <c r="H228" s="2" t="s">
        <v>31</v>
      </c>
      <c r="I228" s="2" t="s">
        <v>54</v>
      </c>
      <c r="J228" s="2" t="s">
        <v>88</v>
      </c>
      <c r="K228" s="2" t="s">
        <v>99</v>
      </c>
      <c r="L228" s="13">
        <v>45604</v>
      </c>
      <c r="M228" s="2">
        <v>80</v>
      </c>
      <c r="N228" s="2">
        <v>95</v>
      </c>
      <c r="O228" s="2">
        <v>37</v>
      </c>
      <c r="P228" s="2">
        <v>3732</v>
      </c>
      <c r="Q228" s="2">
        <v>1595</v>
      </c>
      <c r="R228" s="2">
        <v>212</v>
      </c>
      <c r="S228" s="2">
        <v>3812</v>
      </c>
      <c r="T228" s="2">
        <v>332</v>
      </c>
      <c r="U228" s="2">
        <v>119</v>
      </c>
      <c r="V228" s="12">
        <f>ABS(RPG_dataset[[#This Row],[Win Rate (%)]])</f>
        <v>92</v>
      </c>
      <c r="W228" s="2">
        <v>9143</v>
      </c>
      <c r="X228" s="9">
        <v>390035</v>
      </c>
      <c r="Y228" s="2" t="s">
        <v>36</v>
      </c>
      <c r="Z228" s="2">
        <v>310</v>
      </c>
      <c r="AA228" s="2" t="s">
        <v>1735</v>
      </c>
      <c r="AB228" s="2" t="b">
        <v>0</v>
      </c>
      <c r="AC228" s="2" t="s">
        <v>1730</v>
      </c>
      <c r="AD228" s="2" t="s">
        <v>1727</v>
      </c>
      <c r="AE228" s="2" t="s">
        <v>1728</v>
      </c>
      <c r="AF228" s="2" t="s">
        <v>1734</v>
      </c>
      <c r="AG228" s="28">
        <f>MAX(clean_data[[#This Row],[ATK]:[SPD]]) - MIN(clean_data[[#This Row],[ATK]:[SPD]])</f>
        <v>58</v>
      </c>
      <c r="AH228" s="28" t="str">
        <f>IF(clean_data[[#This Row],[Balanced Score]] = MIN(clean_data[Balanced Score]), "Most Balanced", "")</f>
        <v/>
      </c>
    </row>
    <row r="229" spans="1:34" x14ac:dyDescent="0.3">
      <c r="A229" s="2" t="s">
        <v>866</v>
      </c>
      <c r="B229" s="2" t="s">
        <v>867</v>
      </c>
      <c r="C229" s="2" t="s">
        <v>507</v>
      </c>
      <c r="D229" s="2" t="s">
        <v>104</v>
      </c>
      <c r="E229" s="2" t="s">
        <v>105</v>
      </c>
      <c r="F229" s="2" t="s">
        <v>72</v>
      </c>
      <c r="G229" s="2">
        <v>25</v>
      </c>
      <c r="H229" s="2" t="s">
        <v>62</v>
      </c>
      <c r="I229" s="2" t="s">
        <v>63</v>
      </c>
      <c r="J229" s="2" t="s">
        <v>120</v>
      </c>
      <c r="K229" s="2" t="s">
        <v>44</v>
      </c>
      <c r="L229" s="13">
        <v>45013</v>
      </c>
      <c r="M229" s="2">
        <v>29</v>
      </c>
      <c r="N229" s="2">
        <v>90</v>
      </c>
      <c r="O229" s="2">
        <v>23</v>
      </c>
      <c r="P229" s="2">
        <v>2761</v>
      </c>
      <c r="Q229" s="2">
        <v>1327</v>
      </c>
      <c r="R229" s="2">
        <v>142</v>
      </c>
      <c r="S229" s="2">
        <v>1932</v>
      </c>
      <c r="T229" s="2">
        <v>949</v>
      </c>
      <c r="U229" s="2">
        <v>159</v>
      </c>
      <c r="V229" s="12">
        <f>ABS(RPG_dataset[[#This Row],[Win Rate (%)]])</f>
        <v>67</v>
      </c>
      <c r="W229" s="2">
        <v>97</v>
      </c>
      <c r="X229" s="9">
        <v>853003</v>
      </c>
      <c r="Y229" s="2" t="s">
        <v>36</v>
      </c>
      <c r="Z229" s="2">
        <v>76</v>
      </c>
      <c r="AA229" s="2" t="s">
        <v>1735</v>
      </c>
      <c r="AB229" s="2" t="b">
        <v>1</v>
      </c>
      <c r="AC229" s="2" t="s">
        <v>1738</v>
      </c>
      <c r="AD229" s="2" t="s">
        <v>1727</v>
      </c>
      <c r="AE229" s="2" t="s">
        <v>1728</v>
      </c>
      <c r="AF229" s="2" t="s">
        <v>1729</v>
      </c>
      <c r="AG229" s="28">
        <f>MAX(clean_data[[#This Row],[ATK]:[SPD]]) - MIN(clean_data[[#This Row],[ATK]:[SPD]])</f>
        <v>67</v>
      </c>
      <c r="AH229" s="28" t="str">
        <f>IF(clean_data[[#This Row],[Balanced Score]] = MIN(clean_data[Balanced Score]), "Most Balanced", "")</f>
        <v/>
      </c>
    </row>
    <row r="230" spans="1:34" x14ac:dyDescent="0.3">
      <c r="A230" s="2" t="s">
        <v>869</v>
      </c>
      <c r="B230" s="2" t="s">
        <v>870</v>
      </c>
      <c r="C230" s="2" t="s">
        <v>27</v>
      </c>
      <c r="D230" s="2" t="s">
        <v>272</v>
      </c>
      <c r="E230" s="2" t="s">
        <v>71</v>
      </c>
      <c r="F230" s="2" t="s">
        <v>124</v>
      </c>
      <c r="G230" s="2">
        <v>18</v>
      </c>
      <c r="H230" s="2" t="s">
        <v>125</v>
      </c>
      <c r="I230" s="2" t="s">
        <v>126</v>
      </c>
      <c r="J230" s="2" t="s">
        <v>81</v>
      </c>
      <c r="K230" s="2" t="s">
        <v>44</v>
      </c>
      <c r="L230" s="13">
        <v>44543</v>
      </c>
      <c r="M230" s="2">
        <v>18</v>
      </c>
      <c r="N230" s="2">
        <v>121</v>
      </c>
      <c r="O230" s="2">
        <v>91</v>
      </c>
      <c r="P230" s="2">
        <v>1668</v>
      </c>
      <c r="Q230" s="2">
        <v>2156</v>
      </c>
      <c r="R230" s="2">
        <v>230</v>
      </c>
      <c r="S230" s="2">
        <v>4119</v>
      </c>
      <c r="T230" s="2">
        <v>74</v>
      </c>
      <c r="U230" s="2">
        <v>258</v>
      </c>
      <c r="V230" s="12">
        <f>ABS(RPG_dataset[[#This Row],[Win Rate (%)]])</f>
        <v>98</v>
      </c>
      <c r="W230" s="2">
        <v>3676</v>
      </c>
      <c r="X230" s="9">
        <v>389624</v>
      </c>
      <c r="Y230" s="2" t="s">
        <v>46</v>
      </c>
      <c r="Z230" s="2">
        <v>311</v>
      </c>
      <c r="AA230" s="2" t="s">
        <v>1735</v>
      </c>
      <c r="AB230" s="2" t="b">
        <v>1</v>
      </c>
      <c r="AC230" s="2" t="s">
        <v>1730</v>
      </c>
      <c r="AD230" s="2" t="s">
        <v>1727</v>
      </c>
      <c r="AE230" s="2" t="s">
        <v>1728</v>
      </c>
      <c r="AF230" s="2" t="s">
        <v>1736</v>
      </c>
      <c r="AG230" s="28">
        <f>MAX(clean_data[[#This Row],[ATK]:[SPD]]) - MIN(clean_data[[#This Row],[ATK]:[SPD]])</f>
        <v>103</v>
      </c>
      <c r="AH230" s="28" t="str">
        <f>IF(clean_data[[#This Row],[Balanced Score]] = MIN(clean_data[Balanced Score]), "Most Balanced", "")</f>
        <v/>
      </c>
    </row>
    <row r="231" spans="1:34" x14ac:dyDescent="0.3">
      <c r="A231" s="2" t="s">
        <v>872</v>
      </c>
      <c r="B231" s="2" t="s">
        <v>873</v>
      </c>
      <c r="C231" s="2" t="s">
        <v>227</v>
      </c>
      <c r="D231" s="2" t="s">
        <v>144</v>
      </c>
      <c r="E231" s="2" t="s">
        <v>71</v>
      </c>
      <c r="F231" s="2" t="s">
        <v>30</v>
      </c>
      <c r="G231" s="2">
        <v>69</v>
      </c>
      <c r="H231" s="2" t="s">
        <v>125</v>
      </c>
      <c r="I231" s="2" t="s">
        <v>63</v>
      </c>
      <c r="J231" s="2" t="s">
        <v>88</v>
      </c>
      <c r="K231" s="2" t="s">
        <v>34</v>
      </c>
      <c r="L231" s="13">
        <v>43916</v>
      </c>
      <c r="M231" s="2">
        <v>67</v>
      </c>
      <c r="N231" s="2">
        <v>73</v>
      </c>
      <c r="O231" s="2">
        <v>40</v>
      </c>
      <c r="P231" s="2">
        <v>2390</v>
      </c>
      <c r="Q231" s="2">
        <v>1350</v>
      </c>
      <c r="R231" s="2">
        <v>180</v>
      </c>
      <c r="S231" s="2">
        <v>2285</v>
      </c>
      <c r="T231" s="2">
        <v>902</v>
      </c>
      <c r="U231" s="2">
        <v>198</v>
      </c>
      <c r="V231" s="12">
        <f>ABS(RPG_dataset[[#This Row],[Win Rate (%)]])</f>
        <v>72</v>
      </c>
      <c r="W231" s="2">
        <v>9151</v>
      </c>
      <c r="X231" s="9">
        <v>615475</v>
      </c>
      <c r="Y231" s="2" t="s">
        <v>36</v>
      </c>
      <c r="Z231" s="2">
        <v>193</v>
      </c>
      <c r="AA231" s="2" t="s">
        <v>1725</v>
      </c>
      <c r="AB231" s="2" t="b">
        <v>0</v>
      </c>
      <c r="AC231" s="2" t="s">
        <v>1730</v>
      </c>
      <c r="AD231" s="2" t="s">
        <v>1727</v>
      </c>
      <c r="AE231" s="2" t="s">
        <v>1731</v>
      </c>
      <c r="AF231" s="2" t="s">
        <v>1729</v>
      </c>
      <c r="AG231" s="28">
        <f>MAX(clean_data[[#This Row],[ATK]:[SPD]]) - MIN(clean_data[[#This Row],[ATK]:[SPD]])</f>
        <v>33</v>
      </c>
      <c r="AH231" s="28" t="str">
        <f>IF(clean_data[[#This Row],[Balanced Score]] = MIN(clean_data[Balanced Score]), "Most Balanced", "")</f>
        <v/>
      </c>
    </row>
    <row r="232" spans="1:34" x14ac:dyDescent="0.3">
      <c r="A232" s="2" t="s">
        <v>875</v>
      </c>
      <c r="B232" s="2" t="s">
        <v>876</v>
      </c>
      <c r="C232" s="2" t="s">
        <v>130</v>
      </c>
      <c r="D232" s="2" t="s">
        <v>150</v>
      </c>
      <c r="E232" s="2" t="s">
        <v>51</v>
      </c>
      <c r="F232" s="2" t="s">
        <v>98</v>
      </c>
      <c r="G232" s="2">
        <v>77</v>
      </c>
      <c r="H232" s="2" t="s">
        <v>75</v>
      </c>
      <c r="I232" s="2" t="s">
        <v>126</v>
      </c>
      <c r="J232" s="2" t="s">
        <v>92</v>
      </c>
      <c r="K232" s="2" t="s">
        <v>99</v>
      </c>
      <c r="L232" s="13">
        <v>44256</v>
      </c>
      <c r="M232" s="2">
        <v>10</v>
      </c>
      <c r="N232" s="2">
        <v>63</v>
      </c>
      <c r="O232" s="2">
        <v>34</v>
      </c>
      <c r="P232" s="2">
        <v>2571</v>
      </c>
      <c r="Q232" s="2">
        <v>1298</v>
      </c>
      <c r="R232" s="2">
        <v>107</v>
      </c>
      <c r="S232" s="2">
        <v>918</v>
      </c>
      <c r="T232" s="2">
        <v>299</v>
      </c>
      <c r="U232" s="2">
        <v>269</v>
      </c>
      <c r="V232" s="12">
        <f>ABS(RPG_dataset[[#This Row],[Win Rate (%)]])</f>
        <v>75</v>
      </c>
      <c r="W232" s="2">
        <v>4669</v>
      </c>
      <c r="X232" s="9">
        <v>166363</v>
      </c>
      <c r="Y232" s="2" t="s">
        <v>46</v>
      </c>
      <c r="Z232" s="2">
        <v>417</v>
      </c>
      <c r="AA232" s="2" t="s">
        <v>1737</v>
      </c>
      <c r="AB232" s="2" t="b">
        <v>0</v>
      </c>
      <c r="AC232" s="2" t="s">
        <v>1730</v>
      </c>
      <c r="AD232" s="2" t="s">
        <v>1727</v>
      </c>
      <c r="AE232" s="2" t="s">
        <v>1728</v>
      </c>
      <c r="AF232" s="2" t="s">
        <v>1729</v>
      </c>
      <c r="AG232" s="28">
        <f>MAX(clean_data[[#This Row],[ATK]:[SPD]]) - MIN(clean_data[[#This Row],[ATK]:[SPD]])</f>
        <v>53</v>
      </c>
      <c r="AH232" s="28" t="str">
        <f>IF(clean_data[[#This Row],[Balanced Score]] = MIN(clean_data[Balanced Score]), "Most Balanced", "")</f>
        <v/>
      </c>
    </row>
    <row r="233" spans="1:34" x14ac:dyDescent="0.3">
      <c r="A233" s="2" t="s">
        <v>878</v>
      </c>
      <c r="B233" s="2" t="s">
        <v>879</v>
      </c>
      <c r="C233" s="2" t="s">
        <v>118</v>
      </c>
      <c r="D233" s="2" t="s">
        <v>144</v>
      </c>
      <c r="E233" s="2" t="s">
        <v>228</v>
      </c>
      <c r="F233" s="2" t="s">
        <v>30</v>
      </c>
      <c r="G233" s="2">
        <v>90</v>
      </c>
      <c r="H233" s="2" t="s">
        <v>73</v>
      </c>
      <c r="I233" s="2" t="s">
        <v>54</v>
      </c>
      <c r="J233" s="2" t="s">
        <v>64</v>
      </c>
      <c r="K233" s="2" t="s">
        <v>34</v>
      </c>
      <c r="L233" s="13">
        <v>44462</v>
      </c>
      <c r="M233" s="2">
        <v>65</v>
      </c>
      <c r="N233" s="2">
        <v>147</v>
      </c>
      <c r="O233" s="2">
        <v>29</v>
      </c>
      <c r="P233" s="2">
        <v>4427</v>
      </c>
      <c r="Q233" s="2">
        <v>251</v>
      </c>
      <c r="R233" s="2">
        <v>241</v>
      </c>
      <c r="S233" s="2">
        <v>4519</v>
      </c>
      <c r="T233" s="2">
        <v>604</v>
      </c>
      <c r="U233" s="2">
        <v>288</v>
      </c>
      <c r="V233" s="12">
        <f>ABS(RPG_dataset[[#This Row],[Win Rate (%)]])</f>
        <v>88</v>
      </c>
      <c r="W233" s="2">
        <v>846</v>
      </c>
      <c r="X233" s="9">
        <v>658982</v>
      </c>
      <c r="Y233" s="2" t="s">
        <v>36</v>
      </c>
      <c r="Z233" s="2">
        <v>169</v>
      </c>
      <c r="AA233" s="2" t="s">
        <v>1737</v>
      </c>
      <c r="AB233" s="2" t="b">
        <v>0</v>
      </c>
      <c r="AC233" s="2" t="s">
        <v>1730</v>
      </c>
      <c r="AD233" s="2" t="s">
        <v>1727</v>
      </c>
      <c r="AE233" s="2" t="s">
        <v>1731</v>
      </c>
      <c r="AF233" s="2" t="s">
        <v>1734</v>
      </c>
      <c r="AG233" s="28">
        <f>MAX(clean_data[[#This Row],[ATK]:[SPD]]) - MIN(clean_data[[#This Row],[ATK]:[SPD]])</f>
        <v>118</v>
      </c>
      <c r="AH233" s="28" t="str">
        <f>IF(clean_data[[#This Row],[Balanced Score]] = MIN(clean_data[Balanced Score]), "Most Balanced", "")</f>
        <v/>
      </c>
    </row>
    <row r="234" spans="1:34" x14ac:dyDescent="0.3">
      <c r="A234" s="2" t="s">
        <v>881</v>
      </c>
      <c r="B234" s="2" t="s">
        <v>882</v>
      </c>
      <c r="C234" s="2" t="s">
        <v>27</v>
      </c>
      <c r="D234" s="2" t="s">
        <v>155</v>
      </c>
      <c r="E234" s="2" t="s">
        <v>60</v>
      </c>
      <c r="F234" s="2" t="s">
        <v>30</v>
      </c>
      <c r="G234" s="2">
        <v>62</v>
      </c>
      <c r="H234" s="2" t="s">
        <v>80</v>
      </c>
      <c r="I234" s="2" t="s">
        <v>63</v>
      </c>
      <c r="J234" s="2" t="s">
        <v>92</v>
      </c>
      <c r="K234" s="2" t="s">
        <v>44</v>
      </c>
      <c r="L234" s="13">
        <v>44970</v>
      </c>
      <c r="M234" s="2">
        <v>27</v>
      </c>
      <c r="N234" s="2">
        <v>103</v>
      </c>
      <c r="O234" s="2">
        <v>27</v>
      </c>
      <c r="P234" s="2"/>
      <c r="Q234" s="2">
        <v>1767</v>
      </c>
      <c r="R234" s="2">
        <v>157</v>
      </c>
      <c r="S234" s="2">
        <v>4398</v>
      </c>
      <c r="T234" s="2">
        <v>556</v>
      </c>
      <c r="U234" s="2">
        <v>225</v>
      </c>
      <c r="V234" s="12">
        <f>ABS(RPG_dataset[[#This Row],[Win Rate (%)]])</f>
        <v>89</v>
      </c>
      <c r="W234" s="2">
        <v>4771</v>
      </c>
      <c r="X234" s="9">
        <v>458162</v>
      </c>
      <c r="Y234" s="2" t="s">
        <v>36</v>
      </c>
      <c r="Z234" s="2">
        <v>272</v>
      </c>
      <c r="AA234" s="2" t="s">
        <v>1725</v>
      </c>
      <c r="AB234" s="2" t="b">
        <v>1</v>
      </c>
      <c r="AC234" s="2" t="s">
        <v>1730</v>
      </c>
      <c r="AD234" s="2" t="s">
        <v>1727</v>
      </c>
      <c r="AE234" s="2" t="s">
        <v>1731</v>
      </c>
      <c r="AF234" s="2" t="s">
        <v>1729</v>
      </c>
      <c r="AG234" s="28">
        <f>MAX(clean_data[[#This Row],[ATK]:[SPD]]) - MIN(clean_data[[#This Row],[ATK]:[SPD]])</f>
        <v>76</v>
      </c>
      <c r="AH234" s="28" t="str">
        <f>IF(clean_data[[#This Row],[Balanced Score]] = MIN(clean_data[Balanced Score]), "Most Balanced", "")</f>
        <v/>
      </c>
    </row>
    <row r="235" spans="1:34" x14ac:dyDescent="0.3">
      <c r="A235" s="2" t="s">
        <v>885</v>
      </c>
      <c r="B235" s="2" t="s">
        <v>886</v>
      </c>
      <c r="C235" s="2" t="s">
        <v>360</v>
      </c>
      <c r="D235" s="2" t="s">
        <v>254</v>
      </c>
      <c r="E235" s="2" t="s">
        <v>29</v>
      </c>
      <c r="F235" s="2" t="s">
        <v>194</v>
      </c>
      <c r="G235" s="2">
        <v>3</v>
      </c>
      <c r="H235" s="2" t="s">
        <v>62</v>
      </c>
      <c r="I235" s="2" t="s">
        <v>87</v>
      </c>
      <c r="J235" s="2" t="s">
        <v>64</v>
      </c>
      <c r="K235" s="2" t="s">
        <v>99</v>
      </c>
      <c r="L235" s="13">
        <v>44235</v>
      </c>
      <c r="M235" s="2">
        <v>44</v>
      </c>
      <c r="N235" s="2">
        <v>54</v>
      </c>
      <c r="O235" s="2">
        <v>36</v>
      </c>
      <c r="P235" s="2">
        <v>4293</v>
      </c>
      <c r="Q235" s="2">
        <v>540</v>
      </c>
      <c r="R235" s="2">
        <v>134</v>
      </c>
      <c r="S235" s="2">
        <v>1858</v>
      </c>
      <c r="T235" s="2">
        <v>668</v>
      </c>
      <c r="U235" s="2">
        <v>119</v>
      </c>
      <c r="V235" s="12">
        <f>ABS(RPG_dataset[[#This Row],[Win Rate (%)]])</f>
        <v>74</v>
      </c>
      <c r="W235" s="2">
        <v>2588</v>
      </c>
      <c r="X235" s="9">
        <v>391910</v>
      </c>
      <c r="Y235" s="2" t="s">
        <v>46</v>
      </c>
      <c r="Z235" s="2">
        <v>307</v>
      </c>
      <c r="AA235" s="2" t="s">
        <v>1735</v>
      </c>
      <c r="AB235" s="2" t="b">
        <v>0</v>
      </c>
      <c r="AC235" s="2" t="s">
        <v>1730</v>
      </c>
      <c r="AD235" s="2" t="s">
        <v>1727</v>
      </c>
      <c r="AE235" s="2" t="s">
        <v>1728</v>
      </c>
      <c r="AF235" s="2" t="s">
        <v>1729</v>
      </c>
      <c r="AG235" s="28">
        <f>MAX(clean_data[[#This Row],[ATK]:[SPD]]) - MIN(clean_data[[#This Row],[ATK]:[SPD]])</f>
        <v>18</v>
      </c>
      <c r="AH235" s="28" t="str">
        <f>IF(clean_data[[#This Row],[Balanced Score]] = MIN(clean_data[Balanced Score]), "Most Balanced", "")</f>
        <v/>
      </c>
    </row>
    <row r="236" spans="1:34" x14ac:dyDescent="0.3">
      <c r="A236" s="2" t="s">
        <v>888</v>
      </c>
      <c r="B236" s="2" t="s">
        <v>889</v>
      </c>
      <c r="C236" s="2" t="s">
        <v>203</v>
      </c>
      <c r="D236" s="2" t="s">
        <v>250</v>
      </c>
      <c r="E236" s="2" t="s">
        <v>51</v>
      </c>
      <c r="F236" s="2" t="s">
        <v>52</v>
      </c>
      <c r="G236" s="2">
        <v>5</v>
      </c>
      <c r="H236" s="2" t="s">
        <v>75</v>
      </c>
      <c r="I236" s="2" t="s">
        <v>126</v>
      </c>
      <c r="J236" s="2" t="s">
        <v>163</v>
      </c>
      <c r="K236" s="2" t="s">
        <v>34</v>
      </c>
      <c r="L236" s="13">
        <v>45482</v>
      </c>
      <c r="M236" s="2">
        <v>89</v>
      </c>
      <c r="N236" s="2">
        <v>99</v>
      </c>
      <c r="O236" s="2">
        <v>150</v>
      </c>
      <c r="P236" s="2">
        <v>1473</v>
      </c>
      <c r="Q236" s="2">
        <v>2753</v>
      </c>
      <c r="R236" s="2">
        <v>338</v>
      </c>
      <c r="S236" s="2">
        <v>1341</v>
      </c>
      <c r="T236" s="2">
        <v>440</v>
      </c>
      <c r="U236" s="2">
        <v>280</v>
      </c>
      <c r="V236" s="12">
        <f>ABS(RPG_dataset[[#This Row],[Win Rate (%)]])</f>
        <v>75</v>
      </c>
      <c r="W236" s="2"/>
      <c r="X236" s="9">
        <v>481027</v>
      </c>
      <c r="Y236" s="2" t="s">
        <v>46</v>
      </c>
      <c r="Z236" s="2">
        <v>265</v>
      </c>
      <c r="AA236" s="2" t="s">
        <v>1735</v>
      </c>
      <c r="AB236" s="2" t="b">
        <v>0</v>
      </c>
      <c r="AC236" s="2" t="s">
        <v>1730</v>
      </c>
      <c r="AD236" s="2" t="s">
        <v>1727</v>
      </c>
      <c r="AE236" s="2" t="s">
        <v>1728</v>
      </c>
      <c r="AF236" s="2" t="s">
        <v>1736</v>
      </c>
      <c r="AG236" s="28">
        <f>MAX(clean_data[[#This Row],[ATK]:[SPD]]) - MIN(clean_data[[#This Row],[ATK]:[SPD]])</f>
        <v>61</v>
      </c>
      <c r="AH236" s="28" t="str">
        <f>IF(clean_data[[#This Row],[Balanced Score]] = MIN(clean_data[Balanced Score]), "Most Balanced", "")</f>
        <v/>
      </c>
    </row>
    <row r="237" spans="1:34" x14ac:dyDescent="0.3">
      <c r="A237" s="2" t="s">
        <v>891</v>
      </c>
      <c r="B237" s="2" t="s">
        <v>892</v>
      </c>
      <c r="C237" s="2" t="s">
        <v>167</v>
      </c>
      <c r="D237" s="2" t="s">
        <v>401</v>
      </c>
      <c r="E237" s="2" t="s">
        <v>105</v>
      </c>
      <c r="F237" s="2" t="s">
        <v>42</v>
      </c>
      <c r="G237" s="2">
        <v>40</v>
      </c>
      <c r="H237" s="2" t="s">
        <v>62</v>
      </c>
      <c r="I237" s="2" t="s">
        <v>32</v>
      </c>
      <c r="J237" s="2" t="s">
        <v>33</v>
      </c>
      <c r="K237" s="2" t="s">
        <v>44</v>
      </c>
      <c r="L237" s="13">
        <v>45521</v>
      </c>
      <c r="M237" s="2">
        <v>33</v>
      </c>
      <c r="N237" s="2">
        <v>137</v>
      </c>
      <c r="O237" s="2">
        <v>20</v>
      </c>
      <c r="P237" s="2">
        <v>3412</v>
      </c>
      <c r="Q237" s="2">
        <v>1146</v>
      </c>
      <c r="R237" s="2">
        <v>190</v>
      </c>
      <c r="S237" s="2">
        <v>686</v>
      </c>
      <c r="T237" s="2">
        <v>945</v>
      </c>
      <c r="U237" s="2">
        <v>118</v>
      </c>
      <c r="V237" s="12">
        <f>ABS(RPG_dataset[[#This Row],[Win Rate (%)]])</f>
        <v>42</v>
      </c>
      <c r="W237" s="2"/>
      <c r="X237" s="9">
        <v>308899</v>
      </c>
      <c r="Y237" s="2" t="s">
        <v>36</v>
      </c>
      <c r="Z237" s="2">
        <v>349</v>
      </c>
      <c r="AA237" s="2" t="s">
        <v>1733</v>
      </c>
      <c r="AB237" s="2" t="b">
        <v>1</v>
      </c>
      <c r="AC237" s="2" t="s">
        <v>1738</v>
      </c>
      <c r="AD237" s="2" t="s">
        <v>1727</v>
      </c>
      <c r="AE237" s="2" t="s">
        <v>1728</v>
      </c>
      <c r="AF237" s="2" t="s">
        <v>1734</v>
      </c>
      <c r="AG237" s="28">
        <f>MAX(clean_data[[#This Row],[ATK]:[SPD]]) - MIN(clean_data[[#This Row],[ATK]:[SPD]])</f>
        <v>117</v>
      </c>
      <c r="AH237" s="28" t="str">
        <f>IF(clean_data[[#This Row],[Balanced Score]] = MIN(clean_data[Balanced Score]), "Most Balanced", "")</f>
        <v/>
      </c>
    </row>
    <row r="238" spans="1:34" x14ac:dyDescent="0.3">
      <c r="A238" s="2" t="s">
        <v>894</v>
      </c>
      <c r="B238" s="2" t="s">
        <v>895</v>
      </c>
      <c r="C238" s="2" t="s">
        <v>720</v>
      </c>
      <c r="D238" s="2" t="s">
        <v>40</v>
      </c>
      <c r="E238" s="2" t="s">
        <v>60</v>
      </c>
      <c r="F238" s="2" t="s">
        <v>98</v>
      </c>
      <c r="G238" s="2">
        <v>53</v>
      </c>
      <c r="H238" s="2" t="s">
        <v>53</v>
      </c>
      <c r="I238" s="2" t="s">
        <v>87</v>
      </c>
      <c r="J238" s="2" t="s">
        <v>92</v>
      </c>
      <c r="K238" s="2" t="s">
        <v>106</v>
      </c>
      <c r="L238" s="13">
        <v>43947</v>
      </c>
      <c r="M238" s="2">
        <v>104</v>
      </c>
      <c r="N238" s="2">
        <v>130</v>
      </c>
      <c r="O238" s="2">
        <v>90</v>
      </c>
      <c r="P238" s="2">
        <v>2748</v>
      </c>
      <c r="Q238" s="2">
        <v>56</v>
      </c>
      <c r="R238" s="2">
        <v>324</v>
      </c>
      <c r="S238" s="2">
        <v>968</v>
      </c>
      <c r="T238" s="2">
        <v>846</v>
      </c>
      <c r="U238" s="2"/>
      <c r="V238" s="12">
        <f>ABS(RPG_dataset[[#This Row],[Win Rate (%)]])</f>
        <v>53</v>
      </c>
      <c r="W238" s="2">
        <v>9867</v>
      </c>
      <c r="X238" s="9">
        <v>564191</v>
      </c>
      <c r="Y238" s="2" t="s">
        <v>46</v>
      </c>
      <c r="Z238" s="2">
        <v>217</v>
      </c>
      <c r="AA238" s="2" t="s">
        <v>1725</v>
      </c>
      <c r="AB238" s="2" t="b">
        <v>0</v>
      </c>
      <c r="AC238" s="2" t="s">
        <v>1738</v>
      </c>
      <c r="AD238" s="2" t="s">
        <v>1727</v>
      </c>
      <c r="AE238" s="2" t="s">
        <v>1728</v>
      </c>
      <c r="AF238" s="2" t="s">
        <v>1736</v>
      </c>
      <c r="AG238" s="28">
        <f>MAX(clean_data[[#This Row],[ATK]:[SPD]]) - MIN(clean_data[[#This Row],[ATK]:[SPD]])</f>
        <v>40</v>
      </c>
      <c r="AH238" s="28" t="str">
        <f>IF(clean_data[[#This Row],[Balanced Score]] = MIN(clean_data[Balanced Score]), "Most Balanced", "")</f>
        <v/>
      </c>
    </row>
    <row r="239" spans="1:34" x14ac:dyDescent="0.3">
      <c r="A239" s="2" t="s">
        <v>896</v>
      </c>
      <c r="B239" s="2" t="s">
        <v>897</v>
      </c>
      <c r="C239" s="2" t="s">
        <v>314</v>
      </c>
      <c r="D239" s="2" t="s">
        <v>119</v>
      </c>
      <c r="E239" s="2" t="s">
        <v>105</v>
      </c>
      <c r="F239" s="2" t="s">
        <v>194</v>
      </c>
      <c r="G239" s="2">
        <v>65</v>
      </c>
      <c r="H239" s="2" t="s">
        <v>125</v>
      </c>
      <c r="I239" s="2" t="s">
        <v>63</v>
      </c>
      <c r="J239" s="2" t="s">
        <v>64</v>
      </c>
      <c r="K239" s="2" t="s">
        <v>44</v>
      </c>
      <c r="L239" s="13">
        <v>43991</v>
      </c>
      <c r="M239" s="2"/>
      <c r="N239" s="2">
        <v>113</v>
      </c>
      <c r="O239" s="2">
        <v>120</v>
      </c>
      <c r="P239" s="2">
        <v>507</v>
      </c>
      <c r="Q239" s="2">
        <v>1803</v>
      </c>
      <c r="R239" s="2">
        <v>275</v>
      </c>
      <c r="S239" s="2">
        <v>2782</v>
      </c>
      <c r="T239" s="2">
        <v>555</v>
      </c>
      <c r="U239" s="2">
        <v>69</v>
      </c>
      <c r="V239" s="12">
        <f>ABS(RPG_dataset[[#This Row],[Win Rate (%)]])</f>
        <v>83</v>
      </c>
      <c r="W239" s="2">
        <v>1273</v>
      </c>
      <c r="X239" s="9">
        <v>358582</v>
      </c>
      <c r="Y239" s="2" t="s">
        <v>46</v>
      </c>
      <c r="Z239" s="2">
        <v>326</v>
      </c>
      <c r="AA239" s="2" t="s">
        <v>1725</v>
      </c>
      <c r="AB239" s="2" t="b">
        <v>1</v>
      </c>
      <c r="AC239" s="2" t="s">
        <v>1730</v>
      </c>
      <c r="AD239" s="2" t="s">
        <v>1727</v>
      </c>
      <c r="AE239" s="2" t="s">
        <v>1728</v>
      </c>
      <c r="AF239" s="2" t="s">
        <v>1736</v>
      </c>
      <c r="AG239" s="28">
        <f>MAX(clean_data[[#This Row],[ATK]:[SPD]]) - MIN(clean_data[[#This Row],[ATK]:[SPD]])</f>
        <v>7</v>
      </c>
      <c r="AH239" s="28" t="str">
        <f>IF(clean_data[[#This Row],[Balanced Score]] = MIN(clean_data[Balanced Score]), "Most Balanced", "")</f>
        <v/>
      </c>
    </row>
    <row r="240" spans="1:34" x14ac:dyDescent="0.3">
      <c r="A240" s="2" t="s">
        <v>898</v>
      </c>
      <c r="B240" s="2" t="s">
        <v>1718</v>
      </c>
      <c r="C240" s="2" t="s">
        <v>720</v>
      </c>
      <c r="D240" s="2" t="s">
        <v>234</v>
      </c>
      <c r="E240" s="2" t="s">
        <v>41</v>
      </c>
      <c r="F240" s="2" t="s">
        <v>124</v>
      </c>
      <c r="G240" s="2">
        <v>98</v>
      </c>
      <c r="H240" s="2" t="s">
        <v>125</v>
      </c>
      <c r="I240" s="2" t="s">
        <v>32</v>
      </c>
      <c r="J240" s="2" t="s">
        <v>111</v>
      </c>
      <c r="K240" s="2" t="s">
        <v>44</v>
      </c>
      <c r="L240" s="13">
        <v>43776</v>
      </c>
      <c r="M240" s="2">
        <v>52</v>
      </c>
      <c r="N240" s="2">
        <v>62</v>
      </c>
      <c r="O240" s="2">
        <v>93</v>
      </c>
      <c r="P240" s="2">
        <v>3874</v>
      </c>
      <c r="Q240" s="2">
        <v>1430</v>
      </c>
      <c r="R240" s="2"/>
      <c r="S240" s="2">
        <v>1266</v>
      </c>
      <c r="T240" s="2">
        <v>462</v>
      </c>
      <c r="U240" s="2">
        <v>160</v>
      </c>
      <c r="V240" s="12">
        <f>ABS(RPG_dataset[[#This Row],[Win Rate (%)]])</f>
        <v>73</v>
      </c>
      <c r="W240" s="2">
        <v>1795</v>
      </c>
      <c r="X240" s="9">
        <v>553891</v>
      </c>
      <c r="Y240" s="2" t="s">
        <v>46</v>
      </c>
      <c r="Z240" s="2">
        <v>222</v>
      </c>
      <c r="AA240" s="2" t="s">
        <v>1737</v>
      </c>
      <c r="AB240" s="2" t="b">
        <v>1</v>
      </c>
      <c r="AC240" s="2" t="s">
        <v>1730</v>
      </c>
      <c r="AD240" s="2" t="s">
        <v>1727</v>
      </c>
      <c r="AE240" s="2" t="s">
        <v>1728</v>
      </c>
      <c r="AF240" s="2" t="s">
        <v>1736</v>
      </c>
      <c r="AG240" s="28">
        <f>MAX(clean_data[[#This Row],[ATK]:[SPD]]) - MIN(clean_data[[#This Row],[ATK]:[SPD]])</f>
        <v>41</v>
      </c>
      <c r="AH240" s="28" t="str">
        <f>IF(clean_data[[#This Row],[Balanced Score]] = MIN(clean_data[Balanced Score]), "Most Balanced", "")</f>
        <v/>
      </c>
    </row>
    <row r="241" spans="1:34" x14ac:dyDescent="0.3">
      <c r="A241" s="2" t="s">
        <v>901</v>
      </c>
      <c r="B241" s="2" t="s">
        <v>902</v>
      </c>
      <c r="C241" s="2" t="s">
        <v>680</v>
      </c>
      <c r="D241" s="2" t="s">
        <v>618</v>
      </c>
      <c r="E241" s="2" t="s">
        <v>228</v>
      </c>
      <c r="F241" s="2" t="s">
        <v>30</v>
      </c>
      <c r="G241" s="2">
        <v>79</v>
      </c>
      <c r="H241" s="2" t="s">
        <v>62</v>
      </c>
      <c r="I241" s="2" t="s">
        <v>74</v>
      </c>
      <c r="J241" s="2" t="s">
        <v>33</v>
      </c>
      <c r="K241" s="2" t="s">
        <v>44</v>
      </c>
      <c r="L241" s="13">
        <v>44435</v>
      </c>
      <c r="M241" s="2">
        <v>103</v>
      </c>
      <c r="N241" s="2">
        <v>57</v>
      </c>
      <c r="O241" s="2">
        <v>34</v>
      </c>
      <c r="P241" s="2">
        <v>3711</v>
      </c>
      <c r="Q241" s="2">
        <v>2141</v>
      </c>
      <c r="R241" s="2">
        <v>194</v>
      </c>
      <c r="S241" s="2">
        <v>1712</v>
      </c>
      <c r="T241" s="2">
        <v>487</v>
      </c>
      <c r="U241" s="2">
        <v>270</v>
      </c>
      <c r="V241" s="12">
        <f>ABS(RPG_dataset[[#This Row],[Win Rate (%)]])</f>
        <v>78</v>
      </c>
      <c r="W241" s="2">
        <v>356</v>
      </c>
      <c r="X241" s="9">
        <v>395769</v>
      </c>
      <c r="Y241" s="2" t="s">
        <v>46</v>
      </c>
      <c r="Z241" s="2">
        <v>305</v>
      </c>
      <c r="AA241" s="2" t="s">
        <v>1737</v>
      </c>
      <c r="AB241" s="2" t="b">
        <v>1</v>
      </c>
      <c r="AC241" s="2" t="s">
        <v>1730</v>
      </c>
      <c r="AD241" s="2" t="s">
        <v>1727</v>
      </c>
      <c r="AE241" s="2" t="s">
        <v>1728</v>
      </c>
      <c r="AF241" s="2" t="s">
        <v>1729</v>
      </c>
      <c r="AG241" s="28">
        <f>MAX(clean_data[[#This Row],[ATK]:[SPD]]) - MIN(clean_data[[#This Row],[ATK]:[SPD]])</f>
        <v>69</v>
      </c>
      <c r="AH241" s="28" t="str">
        <f>IF(clean_data[[#This Row],[Balanced Score]] = MIN(clean_data[Balanced Score]), "Most Balanced", "")</f>
        <v/>
      </c>
    </row>
    <row r="242" spans="1:34" x14ac:dyDescent="0.3">
      <c r="A242" s="2" t="s">
        <v>904</v>
      </c>
      <c r="B242" s="2" t="s">
        <v>905</v>
      </c>
      <c r="C242" s="2" t="s">
        <v>123</v>
      </c>
      <c r="D242" s="2" t="s">
        <v>155</v>
      </c>
      <c r="E242" s="2" t="s">
        <v>228</v>
      </c>
      <c r="F242" s="2" t="s">
        <v>124</v>
      </c>
      <c r="G242" s="2"/>
      <c r="H242" s="2" t="s">
        <v>43</v>
      </c>
      <c r="I242" s="2" t="s">
        <v>63</v>
      </c>
      <c r="J242" s="2" t="s">
        <v>33</v>
      </c>
      <c r="K242" s="2" t="s">
        <v>34</v>
      </c>
      <c r="L242" s="13">
        <v>43818</v>
      </c>
      <c r="M242" s="2">
        <v>112</v>
      </c>
      <c r="N242" s="2"/>
      <c r="O242" s="2">
        <v>20</v>
      </c>
      <c r="P242" s="2">
        <v>104</v>
      </c>
      <c r="Q242" s="2">
        <v>1853</v>
      </c>
      <c r="R242" s="2">
        <v>205</v>
      </c>
      <c r="S242" s="2">
        <v>4739</v>
      </c>
      <c r="T242" s="2">
        <v>607</v>
      </c>
      <c r="U242" s="2">
        <v>136</v>
      </c>
      <c r="V242" s="12">
        <f>ABS(RPG_dataset[[#This Row],[Win Rate (%)]])</f>
        <v>89</v>
      </c>
      <c r="W242" s="2">
        <v>3454</v>
      </c>
      <c r="X242" s="9">
        <v>534067</v>
      </c>
      <c r="Y242" s="2" t="s">
        <v>36</v>
      </c>
      <c r="Z242" s="2">
        <v>234</v>
      </c>
      <c r="AA242" s="2" t="s">
        <v>1735</v>
      </c>
      <c r="AB242" s="2" t="b">
        <v>0</v>
      </c>
      <c r="AC242" s="2" t="s">
        <v>1730</v>
      </c>
      <c r="AD242" s="2" t="s">
        <v>1727</v>
      </c>
      <c r="AE242" s="2" t="s">
        <v>1728</v>
      </c>
      <c r="AF242" s="2" t="s">
        <v>1729</v>
      </c>
      <c r="AG242" s="28">
        <f>MAX(clean_data[[#This Row],[ATK]:[SPD]]) - MIN(clean_data[[#This Row],[ATK]:[SPD]])</f>
        <v>92</v>
      </c>
      <c r="AH242" s="28" t="str">
        <f>IF(clean_data[[#This Row],[Balanced Score]] = MIN(clean_data[Balanced Score]), "Most Balanced", "")</f>
        <v/>
      </c>
    </row>
    <row r="243" spans="1:34" x14ac:dyDescent="0.3">
      <c r="A243" s="2" t="s">
        <v>907</v>
      </c>
      <c r="B243" s="2" t="s">
        <v>908</v>
      </c>
      <c r="C243" s="2" t="s">
        <v>138</v>
      </c>
      <c r="D243" s="2" t="s">
        <v>40</v>
      </c>
      <c r="E243" s="2" t="s">
        <v>60</v>
      </c>
      <c r="F243" s="2" t="s">
        <v>98</v>
      </c>
      <c r="G243" s="2">
        <v>71</v>
      </c>
      <c r="H243" s="2" t="s">
        <v>31</v>
      </c>
      <c r="I243" s="2" t="s">
        <v>63</v>
      </c>
      <c r="J243" s="2" t="s">
        <v>88</v>
      </c>
      <c r="K243" s="2" t="s">
        <v>44</v>
      </c>
      <c r="L243" s="13">
        <v>43895</v>
      </c>
      <c r="M243" s="2">
        <v>115</v>
      </c>
      <c r="N243" s="2">
        <v>16</v>
      </c>
      <c r="O243" s="2">
        <v>81</v>
      </c>
      <c r="P243" s="2">
        <v>919</v>
      </c>
      <c r="Q243" s="2">
        <v>1231</v>
      </c>
      <c r="R243" s="2"/>
      <c r="S243" s="2">
        <v>430</v>
      </c>
      <c r="T243" s="2">
        <v>234</v>
      </c>
      <c r="U243" s="2">
        <v>265</v>
      </c>
      <c r="V243" s="12">
        <f>ABS(RPG_dataset[[#This Row],[Win Rate (%)]])</f>
        <v>65</v>
      </c>
      <c r="W243" s="2">
        <v>2992</v>
      </c>
      <c r="X243" s="9">
        <v>199651</v>
      </c>
      <c r="Y243" s="2" t="s">
        <v>46</v>
      </c>
      <c r="Z243" s="2">
        <v>401</v>
      </c>
      <c r="AA243" s="2" t="s">
        <v>1725</v>
      </c>
      <c r="AB243" s="2" t="b">
        <v>1</v>
      </c>
      <c r="AC243" s="2" t="s">
        <v>1738</v>
      </c>
      <c r="AD243" s="2" t="s">
        <v>1727</v>
      </c>
      <c r="AE243" s="2" t="s">
        <v>1728</v>
      </c>
      <c r="AF243" s="2" t="s">
        <v>1732</v>
      </c>
      <c r="AG243" s="28">
        <f>MAX(clean_data[[#This Row],[ATK]:[SPD]]) - MIN(clean_data[[#This Row],[ATK]:[SPD]])</f>
        <v>99</v>
      </c>
      <c r="AH243" s="28" t="str">
        <f>IF(clean_data[[#This Row],[Balanced Score]] = MIN(clean_data[Balanced Score]), "Most Balanced", "")</f>
        <v/>
      </c>
    </row>
    <row r="244" spans="1:34" x14ac:dyDescent="0.3">
      <c r="A244" s="2" t="s">
        <v>910</v>
      </c>
      <c r="B244" s="2" t="s">
        <v>911</v>
      </c>
      <c r="C244" s="2" t="s">
        <v>154</v>
      </c>
      <c r="D244" s="2" t="s">
        <v>401</v>
      </c>
      <c r="E244" s="2" t="s">
        <v>169</v>
      </c>
      <c r="F244" s="2" t="s">
        <v>30</v>
      </c>
      <c r="G244" s="2">
        <v>44</v>
      </c>
      <c r="H244" s="2" t="s">
        <v>53</v>
      </c>
      <c r="I244" s="2" t="s">
        <v>126</v>
      </c>
      <c r="J244" s="2" t="s">
        <v>33</v>
      </c>
      <c r="K244" s="2" t="s">
        <v>44</v>
      </c>
      <c r="L244" s="13">
        <v>44936</v>
      </c>
      <c r="M244" s="2">
        <v>42</v>
      </c>
      <c r="N244" s="2">
        <v>97</v>
      </c>
      <c r="O244" s="2">
        <v>41</v>
      </c>
      <c r="P244" s="2">
        <v>1346</v>
      </c>
      <c r="Q244" s="2">
        <v>188</v>
      </c>
      <c r="R244" s="2">
        <v>180</v>
      </c>
      <c r="S244" s="2">
        <v>478</v>
      </c>
      <c r="T244" s="2">
        <v>321</v>
      </c>
      <c r="U244" s="2">
        <v>285</v>
      </c>
      <c r="V244" s="12">
        <f>ABS(RPG_dataset[[#This Row],[Win Rate (%)]])</f>
        <v>60</v>
      </c>
      <c r="W244" s="2">
        <v>5772</v>
      </c>
      <c r="X244" s="9">
        <v>866667</v>
      </c>
      <c r="Y244" s="2" t="s">
        <v>36</v>
      </c>
      <c r="Z244" s="2">
        <v>63</v>
      </c>
      <c r="AA244" s="2" t="s">
        <v>1733</v>
      </c>
      <c r="AB244" s="2" t="b">
        <v>1</v>
      </c>
      <c r="AC244" s="2" t="s">
        <v>1738</v>
      </c>
      <c r="AD244" s="2" t="s">
        <v>1727</v>
      </c>
      <c r="AE244" s="2" t="s">
        <v>1728</v>
      </c>
      <c r="AF244" s="2" t="s">
        <v>1729</v>
      </c>
      <c r="AG244" s="28">
        <f>MAX(clean_data[[#This Row],[ATK]:[SPD]]) - MIN(clean_data[[#This Row],[ATK]:[SPD]])</f>
        <v>56</v>
      </c>
      <c r="AH244" s="28" t="str">
        <f>IF(clean_data[[#This Row],[Balanced Score]] = MIN(clean_data[Balanced Score]), "Most Balanced", "")</f>
        <v/>
      </c>
    </row>
    <row r="245" spans="1:34" x14ac:dyDescent="0.3">
      <c r="A245" s="2" t="s">
        <v>913</v>
      </c>
      <c r="B245" s="2" t="s">
        <v>914</v>
      </c>
      <c r="C245" s="2" t="s">
        <v>391</v>
      </c>
      <c r="D245" s="2" t="s">
        <v>119</v>
      </c>
      <c r="E245" s="2" t="s">
        <v>228</v>
      </c>
      <c r="F245" s="2" t="s">
        <v>52</v>
      </c>
      <c r="G245" s="2">
        <v>91</v>
      </c>
      <c r="H245" s="2" t="s">
        <v>157</v>
      </c>
      <c r="I245" s="2" t="s">
        <v>63</v>
      </c>
      <c r="J245" s="2" t="s">
        <v>163</v>
      </c>
      <c r="K245" s="2" t="s">
        <v>106</v>
      </c>
      <c r="L245" s="13">
        <v>43967</v>
      </c>
      <c r="M245" s="2"/>
      <c r="N245" s="2">
        <v>110</v>
      </c>
      <c r="O245" s="2">
        <v>138</v>
      </c>
      <c r="P245" s="2">
        <v>430</v>
      </c>
      <c r="Q245" s="2">
        <v>549</v>
      </c>
      <c r="R245" s="2">
        <v>307</v>
      </c>
      <c r="S245" s="2">
        <v>4411</v>
      </c>
      <c r="T245" s="2">
        <v>426</v>
      </c>
      <c r="U245" s="2">
        <v>52</v>
      </c>
      <c r="V245" s="12">
        <f>ABS(RPG_dataset[[#This Row],[Win Rate (%)]])</f>
        <v>91</v>
      </c>
      <c r="W245" s="2">
        <v>1922</v>
      </c>
      <c r="X245" s="9">
        <v>920045</v>
      </c>
      <c r="Y245" s="2" t="s">
        <v>46</v>
      </c>
      <c r="Z245" s="2">
        <v>41</v>
      </c>
      <c r="AA245" s="2" t="s">
        <v>1737</v>
      </c>
      <c r="AB245" s="2" t="b">
        <v>0</v>
      </c>
      <c r="AC245" s="2" t="s">
        <v>1730</v>
      </c>
      <c r="AD245" s="2" t="s">
        <v>1727</v>
      </c>
      <c r="AE245" s="2" t="s">
        <v>1728</v>
      </c>
      <c r="AF245" s="2" t="s">
        <v>1736</v>
      </c>
      <c r="AG245" s="28">
        <f>MAX(clean_data[[#This Row],[ATK]:[SPD]]) - MIN(clean_data[[#This Row],[ATK]:[SPD]])</f>
        <v>28</v>
      </c>
      <c r="AH245" s="28" t="str">
        <f>IF(clean_data[[#This Row],[Balanced Score]] = MIN(clean_data[Balanced Score]), "Most Balanced", "")</f>
        <v/>
      </c>
    </row>
    <row r="246" spans="1:34" x14ac:dyDescent="0.3">
      <c r="A246" s="2" t="s">
        <v>916</v>
      </c>
      <c r="B246" s="2" t="s">
        <v>917</v>
      </c>
      <c r="C246" s="2" t="s">
        <v>79</v>
      </c>
      <c r="D246" s="2" t="s">
        <v>401</v>
      </c>
      <c r="E246" s="2" t="s">
        <v>169</v>
      </c>
      <c r="F246" s="2" t="s">
        <v>72</v>
      </c>
      <c r="G246" s="2">
        <v>73</v>
      </c>
      <c r="H246" s="2" t="s">
        <v>43</v>
      </c>
      <c r="I246" s="2" t="s">
        <v>63</v>
      </c>
      <c r="J246" s="2" t="s">
        <v>64</v>
      </c>
      <c r="K246" s="2" t="s">
        <v>75</v>
      </c>
      <c r="L246" s="13">
        <v>43238</v>
      </c>
      <c r="M246" s="2">
        <v>127</v>
      </c>
      <c r="N246" s="2">
        <v>18</v>
      </c>
      <c r="O246" s="2">
        <v>130</v>
      </c>
      <c r="P246" s="2">
        <v>2474</v>
      </c>
      <c r="Q246" s="2"/>
      <c r="R246" s="2">
        <v>275</v>
      </c>
      <c r="S246" s="2">
        <v>163</v>
      </c>
      <c r="T246" s="2">
        <v>715</v>
      </c>
      <c r="U246" s="2">
        <v>7</v>
      </c>
      <c r="V246" s="12">
        <f>ABS(RPG_dataset[[#This Row],[Win Rate (%)]])</f>
        <v>19</v>
      </c>
      <c r="W246" s="2">
        <v>2728</v>
      </c>
      <c r="X246" s="9">
        <v>727780</v>
      </c>
      <c r="Y246" s="2" t="s">
        <v>46</v>
      </c>
      <c r="Z246" s="2">
        <v>138</v>
      </c>
      <c r="AA246" s="2" t="s">
        <v>1725</v>
      </c>
      <c r="AB246" s="2" t="b">
        <v>0</v>
      </c>
      <c r="AC246" s="2" t="s">
        <v>1726</v>
      </c>
      <c r="AD246" s="2" t="s">
        <v>1727</v>
      </c>
      <c r="AE246" s="2" t="s">
        <v>1728</v>
      </c>
      <c r="AF246" s="2" t="s">
        <v>1736</v>
      </c>
      <c r="AG246" s="28">
        <f>MAX(clean_data[[#This Row],[ATK]:[SPD]]) - MIN(clean_data[[#This Row],[ATK]:[SPD]])</f>
        <v>112</v>
      </c>
      <c r="AH246" s="28" t="str">
        <f>IF(clean_data[[#This Row],[Balanced Score]] = MIN(clean_data[Balanced Score]), "Most Balanced", "")</f>
        <v/>
      </c>
    </row>
    <row r="247" spans="1:34" x14ac:dyDescent="0.3">
      <c r="A247" s="2" t="s">
        <v>919</v>
      </c>
      <c r="B247" s="2" t="s">
        <v>1719</v>
      </c>
      <c r="C247" s="2" t="s">
        <v>97</v>
      </c>
      <c r="D247" s="2" t="s">
        <v>401</v>
      </c>
      <c r="E247" s="2" t="s">
        <v>105</v>
      </c>
      <c r="F247" s="2" t="s">
        <v>98</v>
      </c>
      <c r="G247" s="2">
        <v>73</v>
      </c>
      <c r="H247" s="2" t="s">
        <v>125</v>
      </c>
      <c r="I247" s="2" t="s">
        <v>54</v>
      </c>
      <c r="J247" s="2" t="s">
        <v>120</v>
      </c>
      <c r="K247" s="2" t="s">
        <v>44</v>
      </c>
      <c r="L247" s="13">
        <v>45062</v>
      </c>
      <c r="M247" s="2">
        <v>106</v>
      </c>
      <c r="N247" s="2">
        <v>59</v>
      </c>
      <c r="O247" s="2">
        <v>39</v>
      </c>
      <c r="P247" s="2">
        <v>2993</v>
      </c>
      <c r="Q247" s="2">
        <v>55</v>
      </c>
      <c r="R247" s="2">
        <v>204</v>
      </c>
      <c r="S247" s="2">
        <v>1860</v>
      </c>
      <c r="T247" s="2">
        <v>77</v>
      </c>
      <c r="U247" s="2">
        <v>1</v>
      </c>
      <c r="V247" s="12">
        <f>ABS(RPG_dataset[[#This Row],[Win Rate (%)]])</f>
        <v>96</v>
      </c>
      <c r="W247" s="2">
        <v>6212</v>
      </c>
      <c r="X247" s="9">
        <v>545938</v>
      </c>
      <c r="Y247" s="2" t="s">
        <v>46</v>
      </c>
      <c r="Z247" s="2">
        <v>230</v>
      </c>
      <c r="AA247" s="2" t="s">
        <v>1725</v>
      </c>
      <c r="AB247" s="2" t="b">
        <v>1</v>
      </c>
      <c r="AC247" s="2" t="s">
        <v>1730</v>
      </c>
      <c r="AD247" s="2" t="s">
        <v>1727</v>
      </c>
      <c r="AE247" s="2" t="s">
        <v>1728</v>
      </c>
      <c r="AF247" s="2" t="s">
        <v>61</v>
      </c>
      <c r="AG247" s="28">
        <f>MAX(clean_data[[#This Row],[ATK]:[SPD]]) - MIN(clean_data[[#This Row],[ATK]:[SPD]])</f>
        <v>67</v>
      </c>
      <c r="AH247" s="28" t="str">
        <f>IF(clean_data[[#This Row],[Balanced Score]] = MIN(clean_data[Balanced Score]), "Most Balanced", "")</f>
        <v/>
      </c>
    </row>
    <row r="248" spans="1:34" x14ac:dyDescent="0.3">
      <c r="A248" s="2" t="s">
        <v>922</v>
      </c>
      <c r="B248" s="2" t="s">
        <v>923</v>
      </c>
      <c r="C248" s="2" t="s">
        <v>586</v>
      </c>
      <c r="D248" s="2" t="s">
        <v>40</v>
      </c>
      <c r="E248" s="2" t="s">
        <v>228</v>
      </c>
      <c r="F248" s="2" t="s">
        <v>30</v>
      </c>
      <c r="G248" s="2">
        <v>36</v>
      </c>
      <c r="H248" s="2" t="s">
        <v>62</v>
      </c>
      <c r="I248" s="2" t="s">
        <v>140</v>
      </c>
      <c r="J248" s="2" t="s">
        <v>92</v>
      </c>
      <c r="K248" s="2" t="s">
        <v>106</v>
      </c>
      <c r="L248" s="13">
        <v>45294</v>
      </c>
      <c r="M248" s="2">
        <v>92</v>
      </c>
      <c r="N248" s="2">
        <v>99</v>
      </c>
      <c r="O248" s="2">
        <v>142</v>
      </c>
      <c r="P248" s="2">
        <v>3033</v>
      </c>
      <c r="Q248" s="2">
        <v>767</v>
      </c>
      <c r="R248" s="2">
        <v>333</v>
      </c>
      <c r="S248" s="2">
        <v>2921</v>
      </c>
      <c r="T248" s="2">
        <v>893</v>
      </c>
      <c r="U248" s="2">
        <v>32</v>
      </c>
      <c r="V248" s="12">
        <f>ABS(RPG_dataset[[#This Row],[Win Rate (%)]])</f>
        <v>77</v>
      </c>
      <c r="W248" s="2">
        <v>1113</v>
      </c>
      <c r="X248" s="9">
        <v>317742</v>
      </c>
      <c r="Y248" s="2" t="s">
        <v>36</v>
      </c>
      <c r="Z248" s="2">
        <v>347</v>
      </c>
      <c r="AA248" s="2" t="s">
        <v>1733</v>
      </c>
      <c r="AB248" s="2" t="b">
        <v>0</v>
      </c>
      <c r="AC248" s="2" t="s">
        <v>1730</v>
      </c>
      <c r="AD248" s="2" t="s">
        <v>1727</v>
      </c>
      <c r="AE248" s="2" t="s">
        <v>1728</v>
      </c>
      <c r="AF248" s="2" t="s">
        <v>1740</v>
      </c>
      <c r="AG248" s="28">
        <f>MAX(clean_data[[#This Row],[ATK]:[SPD]]) - MIN(clean_data[[#This Row],[ATK]:[SPD]])</f>
        <v>50</v>
      </c>
      <c r="AH248" s="28" t="str">
        <f>IF(clean_data[[#This Row],[Balanced Score]] = MIN(clean_data[Balanced Score]), "Most Balanced", "")</f>
        <v/>
      </c>
    </row>
    <row r="249" spans="1:34" x14ac:dyDescent="0.3">
      <c r="A249" s="2" t="s">
        <v>925</v>
      </c>
      <c r="B249" s="2" t="s">
        <v>926</v>
      </c>
      <c r="C249" s="2" t="s">
        <v>253</v>
      </c>
      <c r="D249" s="2" t="s">
        <v>139</v>
      </c>
      <c r="E249" s="2" t="s">
        <v>105</v>
      </c>
      <c r="F249" s="2" t="s">
        <v>72</v>
      </c>
      <c r="G249" s="2">
        <v>29</v>
      </c>
      <c r="H249" s="2" t="s">
        <v>43</v>
      </c>
      <c r="I249" s="2" t="s">
        <v>140</v>
      </c>
      <c r="J249" s="2" t="s">
        <v>33</v>
      </c>
      <c r="K249" s="2" t="s">
        <v>44</v>
      </c>
      <c r="L249" s="13">
        <v>43837</v>
      </c>
      <c r="M249" s="2">
        <v>90</v>
      </c>
      <c r="N249" s="2">
        <v>16</v>
      </c>
      <c r="O249" s="2">
        <v>85</v>
      </c>
      <c r="P249" s="2">
        <v>1860</v>
      </c>
      <c r="Q249" s="2">
        <v>1686</v>
      </c>
      <c r="R249" s="2">
        <v>191</v>
      </c>
      <c r="S249" s="2">
        <v>4922</v>
      </c>
      <c r="T249" s="2">
        <v>656</v>
      </c>
      <c r="U249" s="2"/>
      <c r="V249" s="12">
        <f>ABS(RPG_dataset[[#This Row],[Win Rate (%)]])</f>
        <v>88</v>
      </c>
      <c r="W249" s="2">
        <v>5628</v>
      </c>
      <c r="X249" s="9">
        <v>638655</v>
      </c>
      <c r="Y249" s="2" t="s">
        <v>46</v>
      </c>
      <c r="Z249" s="2">
        <v>180</v>
      </c>
      <c r="AA249" s="2" t="s">
        <v>1733</v>
      </c>
      <c r="AB249" s="2" t="b">
        <v>1</v>
      </c>
      <c r="AC249" s="2" t="s">
        <v>1730</v>
      </c>
      <c r="AD249" s="2" t="s">
        <v>1727</v>
      </c>
      <c r="AE249" s="2" t="s">
        <v>1728</v>
      </c>
      <c r="AF249" s="2" t="s">
        <v>1740</v>
      </c>
      <c r="AG249" s="28">
        <f>MAX(clean_data[[#This Row],[ATK]:[SPD]]) - MIN(clean_data[[#This Row],[ATK]:[SPD]])</f>
        <v>74</v>
      </c>
      <c r="AH249" s="28" t="str">
        <f>IF(clean_data[[#This Row],[Balanced Score]] = MIN(clean_data[Balanced Score]), "Most Balanced", "")</f>
        <v/>
      </c>
    </row>
    <row r="250" spans="1:34" x14ac:dyDescent="0.3">
      <c r="A250" s="2" t="s">
        <v>927</v>
      </c>
      <c r="B250" s="2" t="s">
        <v>928</v>
      </c>
      <c r="C250" s="2" t="s">
        <v>79</v>
      </c>
      <c r="D250" s="2" t="s">
        <v>254</v>
      </c>
      <c r="E250" s="2" t="s">
        <v>228</v>
      </c>
      <c r="F250" s="2" t="s">
        <v>52</v>
      </c>
      <c r="G250" s="2">
        <v>8</v>
      </c>
      <c r="H250" s="2" t="s">
        <v>125</v>
      </c>
      <c r="I250" s="2" t="s">
        <v>63</v>
      </c>
      <c r="J250" s="2" t="s">
        <v>92</v>
      </c>
      <c r="K250" s="2" t="s">
        <v>99</v>
      </c>
      <c r="L250" s="13">
        <v>45064</v>
      </c>
      <c r="M250" s="2">
        <v>52</v>
      </c>
      <c r="N250" s="2">
        <v>65</v>
      </c>
      <c r="O250" s="2">
        <v>51</v>
      </c>
      <c r="P250" s="2">
        <v>4938</v>
      </c>
      <c r="Q250" s="2">
        <v>1058</v>
      </c>
      <c r="R250" s="2">
        <v>168</v>
      </c>
      <c r="S250" s="2">
        <v>3751</v>
      </c>
      <c r="T250" s="2">
        <v>123</v>
      </c>
      <c r="U250" s="2">
        <v>279</v>
      </c>
      <c r="V250" s="12">
        <f>ABS(RPG_dataset[[#This Row],[Win Rate (%)]])</f>
        <v>97</v>
      </c>
      <c r="W250" s="2">
        <v>5305</v>
      </c>
      <c r="X250" s="9">
        <v>829403</v>
      </c>
      <c r="Y250" s="2" t="s">
        <v>46</v>
      </c>
      <c r="Z250" s="2">
        <v>88</v>
      </c>
      <c r="AA250" s="2" t="s">
        <v>1735</v>
      </c>
      <c r="AB250" s="2" t="b">
        <v>0</v>
      </c>
      <c r="AC250" s="2" t="s">
        <v>1730</v>
      </c>
      <c r="AD250" s="2" t="s">
        <v>1727</v>
      </c>
      <c r="AE250" s="2" t="s">
        <v>1728</v>
      </c>
      <c r="AF250" s="2" t="s">
        <v>1729</v>
      </c>
      <c r="AG250" s="28">
        <f>MAX(clean_data[[#This Row],[ATK]:[SPD]]) - MIN(clean_data[[#This Row],[ATK]:[SPD]])</f>
        <v>14</v>
      </c>
      <c r="AH250" s="28" t="str">
        <f>IF(clean_data[[#This Row],[Balanced Score]] = MIN(clean_data[Balanced Score]), "Most Balanced", "")</f>
        <v/>
      </c>
    </row>
    <row r="251" spans="1:34" x14ac:dyDescent="0.3">
      <c r="A251" s="2" t="s">
        <v>930</v>
      </c>
      <c r="B251" s="2" t="s">
        <v>931</v>
      </c>
      <c r="C251" s="2" t="s">
        <v>97</v>
      </c>
      <c r="D251" s="2" t="s">
        <v>168</v>
      </c>
      <c r="E251" s="2" t="s">
        <v>105</v>
      </c>
      <c r="F251" s="2" t="s">
        <v>42</v>
      </c>
      <c r="G251" s="2">
        <v>43</v>
      </c>
      <c r="H251" s="2" t="s">
        <v>43</v>
      </c>
      <c r="I251" s="2" t="s">
        <v>140</v>
      </c>
      <c r="J251" s="2" t="s">
        <v>64</v>
      </c>
      <c r="K251" s="2" t="s">
        <v>34</v>
      </c>
      <c r="L251" s="13">
        <v>44758</v>
      </c>
      <c r="M251" s="2">
        <v>69</v>
      </c>
      <c r="N251" s="2">
        <v>117</v>
      </c>
      <c r="O251" s="2">
        <v>147</v>
      </c>
      <c r="P251" s="2">
        <v>2283</v>
      </c>
      <c r="Q251" s="2">
        <v>2381</v>
      </c>
      <c r="R251" s="2">
        <v>333</v>
      </c>
      <c r="S251" s="2">
        <v>4255</v>
      </c>
      <c r="T251" s="2">
        <v>600</v>
      </c>
      <c r="U251" s="2">
        <v>218</v>
      </c>
      <c r="V251" s="12">
        <f>ABS(RPG_dataset[[#This Row],[Win Rate (%)]])</f>
        <v>88</v>
      </c>
      <c r="W251" s="2">
        <v>3959</v>
      </c>
      <c r="X251" s="9">
        <v>549104</v>
      </c>
      <c r="Y251" s="2" t="s">
        <v>46</v>
      </c>
      <c r="Z251" s="2">
        <v>227</v>
      </c>
      <c r="AA251" s="2" t="s">
        <v>1733</v>
      </c>
      <c r="AB251" s="2" t="b">
        <v>0</v>
      </c>
      <c r="AC251" s="2" t="s">
        <v>1730</v>
      </c>
      <c r="AD251" s="2" t="s">
        <v>1727</v>
      </c>
      <c r="AE251" s="2" t="s">
        <v>1728</v>
      </c>
      <c r="AF251" s="2" t="s">
        <v>1740</v>
      </c>
      <c r="AG251" s="28">
        <f>MAX(clean_data[[#This Row],[ATK]:[SPD]]) - MIN(clean_data[[#This Row],[ATK]:[SPD]])</f>
        <v>78</v>
      </c>
      <c r="AH251" s="28" t="str">
        <f>IF(clean_data[[#This Row],[Balanced Score]] = MIN(clean_data[Balanced Score]), "Most Balanced", "")</f>
        <v/>
      </c>
    </row>
    <row r="252" spans="1:34" x14ac:dyDescent="0.3">
      <c r="A252" s="2" t="s">
        <v>933</v>
      </c>
      <c r="B252" s="2" t="s">
        <v>934</v>
      </c>
      <c r="C252" s="2" t="s">
        <v>123</v>
      </c>
      <c r="D252" s="2" t="s">
        <v>104</v>
      </c>
      <c r="E252" s="2" t="s">
        <v>105</v>
      </c>
      <c r="F252" s="2" t="s">
        <v>98</v>
      </c>
      <c r="G252" s="2">
        <v>52</v>
      </c>
      <c r="H252" s="2" t="s">
        <v>157</v>
      </c>
      <c r="I252" s="2" t="s">
        <v>32</v>
      </c>
      <c r="J252" s="2" t="s">
        <v>64</v>
      </c>
      <c r="K252" s="2" t="s">
        <v>99</v>
      </c>
      <c r="L252" s="13">
        <v>43264</v>
      </c>
      <c r="M252" s="2">
        <v>137</v>
      </c>
      <c r="N252" s="2">
        <v>61</v>
      </c>
      <c r="O252" s="2">
        <v>91</v>
      </c>
      <c r="P252" s="2">
        <v>567</v>
      </c>
      <c r="Q252" s="2">
        <v>2837</v>
      </c>
      <c r="R252" s="2"/>
      <c r="S252" s="2">
        <v>2233</v>
      </c>
      <c r="T252" s="2">
        <v>856</v>
      </c>
      <c r="U252" s="2">
        <v>262</v>
      </c>
      <c r="V252" s="12">
        <f>ABS(RPG_dataset[[#This Row],[Win Rate (%)]])</f>
        <v>72</v>
      </c>
      <c r="W252" s="2">
        <v>638</v>
      </c>
      <c r="X252" s="9">
        <v>750024</v>
      </c>
      <c r="Y252" s="2" t="s">
        <v>46</v>
      </c>
      <c r="Z252" s="2">
        <v>130</v>
      </c>
      <c r="AA252" s="2" t="s">
        <v>1725</v>
      </c>
      <c r="AB252" s="2" t="b">
        <v>0</v>
      </c>
      <c r="AC252" s="2" t="s">
        <v>1730</v>
      </c>
      <c r="AD252" s="2" t="s">
        <v>1727</v>
      </c>
      <c r="AE252" s="2" t="s">
        <v>1728</v>
      </c>
      <c r="AF252" s="2" t="s">
        <v>1736</v>
      </c>
      <c r="AG252" s="28">
        <f>MAX(clean_data[[#This Row],[ATK]:[SPD]]) - MIN(clean_data[[#This Row],[ATK]:[SPD]])</f>
        <v>76</v>
      </c>
      <c r="AH252" s="28" t="str">
        <f>IF(clean_data[[#This Row],[Balanced Score]] = MIN(clean_data[Balanced Score]), "Most Balanced", "")</f>
        <v/>
      </c>
    </row>
    <row r="253" spans="1:34" x14ac:dyDescent="0.3">
      <c r="A253" s="2" t="s">
        <v>936</v>
      </c>
      <c r="B253" s="2" t="s">
        <v>937</v>
      </c>
      <c r="C253" s="2" t="s">
        <v>110</v>
      </c>
      <c r="D253" s="2" t="s">
        <v>254</v>
      </c>
      <c r="E253" s="2" t="s">
        <v>228</v>
      </c>
      <c r="F253" s="2" t="s">
        <v>98</v>
      </c>
      <c r="G253" s="2">
        <v>94</v>
      </c>
      <c r="H253" s="2" t="s">
        <v>31</v>
      </c>
      <c r="I253" s="2" t="s">
        <v>54</v>
      </c>
      <c r="J253" s="2" t="s">
        <v>64</v>
      </c>
      <c r="K253" s="2" t="s">
        <v>44</v>
      </c>
      <c r="L253" s="13">
        <v>43904</v>
      </c>
      <c r="M253" s="2">
        <v>67</v>
      </c>
      <c r="N253" s="2">
        <v>124</v>
      </c>
      <c r="O253" s="2">
        <v>101</v>
      </c>
      <c r="P253" s="2">
        <v>4677</v>
      </c>
      <c r="Q253" s="2">
        <v>1302</v>
      </c>
      <c r="R253" s="2">
        <v>292</v>
      </c>
      <c r="S253" s="2">
        <v>2601</v>
      </c>
      <c r="T253" s="2">
        <v>696</v>
      </c>
      <c r="U253" s="2">
        <v>261</v>
      </c>
      <c r="V253" s="12">
        <f>ABS(RPG_dataset[[#This Row],[Win Rate (%)]])</f>
        <v>79</v>
      </c>
      <c r="W253" s="2">
        <v>8138</v>
      </c>
      <c r="X253" s="9">
        <v>167049</v>
      </c>
      <c r="Y253" s="2" t="s">
        <v>46</v>
      </c>
      <c r="Z253" s="2">
        <v>416</v>
      </c>
      <c r="AA253" s="2" t="s">
        <v>1737</v>
      </c>
      <c r="AB253" s="2" t="b">
        <v>1</v>
      </c>
      <c r="AC253" s="2" t="s">
        <v>1730</v>
      </c>
      <c r="AD253" s="2" t="s">
        <v>1727</v>
      </c>
      <c r="AE253" s="2" t="s">
        <v>1728</v>
      </c>
      <c r="AF253" s="2" t="s">
        <v>1736</v>
      </c>
      <c r="AG253" s="28">
        <f>MAX(clean_data[[#This Row],[ATK]:[SPD]]) - MIN(clean_data[[#This Row],[ATK]:[SPD]])</f>
        <v>57</v>
      </c>
      <c r="AH253" s="28" t="str">
        <f>IF(clean_data[[#This Row],[Balanced Score]] = MIN(clean_data[Balanced Score]), "Most Balanced", "")</f>
        <v/>
      </c>
    </row>
    <row r="254" spans="1:34" x14ac:dyDescent="0.3">
      <c r="A254" s="2" t="s">
        <v>939</v>
      </c>
      <c r="B254" s="2" t="s">
        <v>940</v>
      </c>
      <c r="C254" s="2" t="s">
        <v>110</v>
      </c>
      <c r="D254" s="2" t="s">
        <v>401</v>
      </c>
      <c r="E254" s="2" t="s">
        <v>169</v>
      </c>
      <c r="F254" s="2" t="s">
        <v>124</v>
      </c>
      <c r="G254" s="2">
        <v>86</v>
      </c>
      <c r="H254" s="2" t="s">
        <v>43</v>
      </c>
      <c r="I254" s="2" t="s">
        <v>140</v>
      </c>
      <c r="J254" s="2" t="s">
        <v>111</v>
      </c>
      <c r="K254" s="2" t="s">
        <v>34</v>
      </c>
      <c r="L254" s="13">
        <v>45624</v>
      </c>
      <c r="M254" s="2">
        <v>44</v>
      </c>
      <c r="N254" s="2">
        <v>74</v>
      </c>
      <c r="O254" s="2">
        <v>14</v>
      </c>
      <c r="P254" s="2">
        <v>4938</v>
      </c>
      <c r="Q254" s="2">
        <v>2221</v>
      </c>
      <c r="R254" s="2">
        <v>132</v>
      </c>
      <c r="S254" s="2">
        <v>113</v>
      </c>
      <c r="T254" s="2">
        <v>58</v>
      </c>
      <c r="U254" s="2">
        <v>73</v>
      </c>
      <c r="V254" s="12">
        <f>ABS(RPG_dataset[[#This Row],[Win Rate (%)]])</f>
        <v>66</v>
      </c>
      <c r="W254" s="2">
        <v>1252</v>
      </c>
      <c r="X254" s="9">
        <v>14041</v>
      </c>
      <c r="Y254" s="2" t="s">
        <v>36</v>
      </c>
      <c r="Z254" s="2">
        <v>477</v>
      </c>
      <c r="AA254" s="2" t="s">
        <v>1737</v>
      </c>
      <c r="AB254" s="2" t="b">
        <v>0</v>
      </c>
      <c r="AC254" s="2" t="s">
        <v>1738</v>
      </c>
      <c r="AD254" s="2" t="s">
        <v>1727</v>
      </c>
      <c r="AE254" s="2" t="s">
        <v>1728</v>
      </c>
      <c r="AF254" s="2" t="s">
        <v>1740</v>
      </c>
      <c r="AG254" s="28">
        <f>MAX(clean_data[[#This Row],[ATK]:[SPD]]) - MIN(clean_data[[#This Row],[ATK]:[SPD]])</f>
        <v>60</v>
      </c>
      <c r="AH254" s="28" t="str">
        <f>IF(clean_data[[#This Row],[Balanced Score]] = MIN(clean_data[Balanced Score]), "Most Balanced", "")</f>
        <v/>
      </c>
    </row>
    <row r="255" spans="1:34" x14ac:dyDescent="0.3">
      <c r="A255" s="2" t="s">
        <v>942</v>
      </c>
      <c r="B255" s="2" t="s">
        <v>943</v>
      </c>
      <c r="C255" s="2" t="s">
        <v>693</v>
      </c>
      <c r="D255" s="2" t="s">
        <v>70</v>
      </c>
      <c r="E255" s="2" t="s">
        <v>169</v>
      </c>
      <c r="F255" s="2" t="s">
        <v>98</v>
      </c>
      <c r="G255" s="2">
        <v>60</v>
      </c>
      <c r="H255" s="2" t="s">
        <v>43</v>
      </c>
      <c r="I255" s="2" t="s">
        <v>63</v>
      </c>
      <c r="J255" s="2" t="s">
        <v>88</v>
      </c>
      <c r="K255" s="2" t="s">
        <v>99</v>
      </c>
      <c r="L255" s="13">
        <v>43824</v>
      </c>
      <c r="M255" s="2">
        <v>110</v>
      </c>
      <c r="N255" s="2">
        <v>62</v>
      </c>
      <c r="O255" s="2">
        <v>114</v>
      </c>
      <c r="P255" s="2">
        <v>4651</v>
      </c>
      <c r="Q255" s="2">
        <v>1200</v>
      </c>
      <c r="R255" s="2">
        <v>286</v>
      </c>
      <c r="S255" s="2">
        <v>3257</v>
      </c>
      <c r="T255" s="2">
        <v>836</v>
      </c>
      <c r="U255" s="2">
        <v>240</v>
      </c>
      <c r="V255" s="12">
        <f>ABS(RPG_dataset[[#This Row],[Win Rate (%)]])</f>
        <v>80</v>
      </c>
      <c r="W255" s="2">
        <v>1152</v>
      </c>
      <c r="X255" s="9">
        <v>471998</v>
      </c>
      <c r="Y255" s="2" t="s">
        <v>36</v>
      </c>
      <c r="Z255" s="2">
        <v>269</v>
      </c>
      <c r="AA255" s="2" t="s">
        <v>1725</v>
      </c>
      <c r="AB255" s="2" t="b">
        <v>0</v>
      </c>
      <c r="AC255" s="2" t="s">
        <v>1730</v>
      </c>
      <c r="AD255" s="2" t="s">
        <v>1727</v>
      </c>
      <c r="AE255" s="2" t="s">
        <v>1731</v>
      </c>
      <c r="AF255" s="2" t="s">
        <v>1736</v>
      </c>
      <c r="AG255" s="28">
        <f>MAX(clean_data[[#This Row],[ATK]:[SPD]]) - MIN(clean_data[[#This Row],[ATK]:[SPD]])</f>
        <v>52</v>
      </c>
      <c r="AH255" s="28" t="str">
        <f>IF(clean_data[[#This Row],[Balanced Score]] = MIN(clean_data[Balanced Score]), "Most Balanced", "")</f>
        <v/>
      </c>
    </row>
    <row r="256" spans="1:34" x14ac:dyDescent="0.3">
      <c r="A256" s="2" t="s">
        <v>946</v>
      </c>
      <c r="B256" s="2" t="s">
        <v>947</v>
      </c>
      <c r="C256" s="2" t="s">
        <v>173</v>
      </c>
      <c r="D256" s="2" t="s">
        <v>119</v>
      </c>
      <c r="E256" s="2" t="s">
        <v>29</v>
      </c>
      <c r="F256" s="2" t="s">
        <v>194</v>
      </c>
      <c r="G256" s="2">
        <v>100</v>
      </c>
      <c r="H256" s="2" t="s">
        <v>31</v>
      </c>
      <c r="I256" s="2" t="s">
        <v>54</v>
      </c>
      <c r="J256" s="2" t="s">
        <v>120</v>
      </c>
      <c r="K256" s="2" t="s">
        <v>99</v>
      </c>
      <c r="L256" s="13">
        <v>43276</v>
      </c>
      <c r="M256" s="2">
        <v>92</v>
      </c>
      <c r="N256" s="2">
        <v>57</v>
      </c>
      <c r="O256" s="2">
        <v>82</v>
      </c>
      <c r="P256" s="2">
        <v>2714</v>
      </c>
      <c r="Q256" s="2">
        <v>861</v>
      </c>
      <c r="R256" s="2">
        <v>231</v>
      </c>
      <c r="S256" s="2">
        <v>2339</v>
      </c>
      <c r="T256" s="2">
        <v>983</v>
      </c>
      <c r="U256" s="2">
        <v>96</v>
      </c>
      <c r="V256" s="12">
        <f>ABS(RPG_dataset[[#This Row],[Win Rate (%)]])</f>
        <v>70</v>
      </c>
      <c r="W256" s="2">
        <v>8345</v>
      </c>
      <c r="X256" s="9">
        <v>983925</v>
      </c>
      <c r="Y256" s="2" t="s">
        <v>46</v>
      </c>
      <c r="Z256" s="2">
        <v>9</v>
      </c>
      <c r="AA256" s="2" t="s">
        <v>1737</v>
      </c>
      <c r="AB256" s="2" t="b">
        <v>0</v>
      </c>
      <c r="AC256" s="2" t="s">
        <v>1738</v>
      </c>
      <c r="AD256" s="2" t="s">
        <v>1727</v>
      </c>
      <c r="AE256" s="2" t="s">
        <v>1728</v>
      </c>
      <c r="AF256" s="2" t="s">
        <v>1732</v>
      </c>
      <c r="AG256" s="28">
        <f>MAX(clean_data[[#This Row],[ATK]:[SPD]]) - MIN(clean_data[[#This Row],[ATK]:[SPD]])</f>
        <v>35</v>
      </c>
      <c r="AH256" s="28" t="str">
        <f>IF(clean_data[[#This Row],[Balanced Score]] = MIN(clean_data[Balanced Score]), "Most Balanced", "")</f>
        <v/>
      </c>
    </row>
    <row r="257" spans="1:34" x14ac:dyDescent="0.3">
      <c r="A257" s="2" t="s">
        <v>949</v>
      </c>
      <c r="B257" s="2" t="s">
        <v>950</v>
      </c>
      <c r="C257" s="2" t="s">
        <v>27</v>
      </c>
      <c r="D257" s="2" t="s">
        <v>119</v>
      </c>
      <c r="E257" s="2" t="s">
        <v>105</v>
      </c>
      <c r="F257" s="2" t="s">
        <v>98</v>
      </c>
      <c r="G257" s="2">
        <v>98</v>
      </c>
      <c r="H257" s="2" t="s">
        <v>80</v>
      </c>
      <c r="I257" s="2" t="s">
        <v>32</v>
      </c>
      <c r="J257" s="2" t="s">
        <v>111</v>
      </c>
      <c r="K257" s="2" t="s">
        <v>34</v>
      </c>
      <c r="L257" s="13">
        <v>45457</v>
      </c>
      <c r="M257" s="2">
        <v>37</v>
      </c>
      <c r="N257" s="2">
        <v>123</v>
      </c>
      <c r="O257" s="2">
        <v>123</v>
      </c>
      <c r="P257" s="2">
        <v>3813</v>
      </c>
      <c r="Q257" s="2">
        <v>1352</v>
      </c>
      <c r="R257" s="2">
        <v>283</v>
      </c>
      <c r="S257" s="2">
        <v>3911</v>
      </c>
      <c r="T257" s="2">
        <v>357</v>
      </c>
      <c r="U257" s="2">
        <v>161</v>
      </c>
      <c r="V257" s="12">
        <f>ABS(RPG_dataset[[#This Row],[Win Rate (%)]])</f>
        <v>92</v>
      </c>
      <c r="W257" s="2">
        <v>5165</v>
      </c>
      <c r="X257" s="9">
        <v>825559</v>
      </c>
      <c r="Y257" s="2" t="s">
        <v>46</v>
      </c>
      <c r="Z257" s="2">
        <v>90</v>
      </c>
      <c r="AA257" s="2" t="s">
        <v>1737</v>
      </c>
      <c r="AB257" s="2" t="b">
        <v>0</v>
      </c>
      <c r="AC257" s="2" t="s">
        <v>1730</v>
      </c>
      <c r="AD257" s="2" t="s">
        <v>1727</v>
      </c>
      <c r="AE257" s="2" t="s">
        <v>1728</v>
      </c>
      <c r="AF257" s="2" t="s">
        <v>1736</v>
      </c>
      <c r="AG257" s="28">
        <f>MAX(clean_data[[#This Row],[ATK]:[SPD]]) - MIN(clean_data[[#This Row],[ATK]:[SPD]])</f>
        <v>86</v>
      </c>
      <c r="AH257" s="28" t="str">
        <f>IF(clean_data[[#This Row],[Balanced Score]] = MIN(clean_data[Balanced Score]), "Most Balanced", "")</f>
        <v/>
      </c>
    </row>
    <row r="258" spans="1:34" x14ac:dyDescent="0.3">
      <c r="A258" s="2" t="s">
        <v>952</v>
      </c>
      <c r="B258" s="2" t="s">
        <v>953</v>
      </c>
      <c r="C258" s="2" t="s">
        <v>39</v>
      </c>
      <c r="D258" s="2" t="s">
        <v>70</v>
      </c>
      <c r="E258" s="2" t="s">
        <v>228</v>
      </c>
      <c r="F258" s="2" t="s">
        <v>98</v>
      </c>
      <c r="G258" s="2">
        <v>39</v>
      </c>
      <c r="H258" s="2" t="s">
        <v>31</v>
      </c>
      <c r="I258" s="2" t="s">
        <v>54</v>
      </c>
      <c r="J258" s="2" t="s">
        <v>88</v>
      </c>
      <c r="K258" s="2" t="s">
        <v>34</v>
      </c>
      <c r="L258" s="13">
        <v>43171</v>
      </c>
      <c r="M258" s="2">
        <v>116</v>
      </c>
      <c r="N258" s="2">
        <v>17</v>
      </c>
      <c r="O258" s="2">
        <v>42</v>
      </c>
      <c r="P258" s="2">
        <v>2896</v>
      </c>
      <c r="Q258" s="2">
        <v>931</v>
      </c>
      <c r="R258" s="2">
        <v>175</v>
      </c>
      <c r="S258" s="2">
        <v>4473</v>
      </c>
      <c r="T258" s="2">
        <v>230</v>
      </c>
      <c r="U258" s="2">
        <v>241</v>
      </c>
      <c r="V258" s="12">
        <f>ABS(RPG_dataset[[#This Row],[Win Rate (%)]])</f>
        <v>95</v>
      </c>
      <c r="W258" s="2">
        <v>9676</v>
      </c>
      <c r="X258" s="9">
        <v>665155</v>
      </c>
      <c r="Y258" s="2" t="s">
        <v>46</v>
      </c>
      <c r="Z258" s="2">
        <v>167</v>
      </c>
      <c r="AA258" s="2" t="s">
        <v>1733</v>
      </c>
      <c r="AB258" s="2" t="b">
        <v>0</v>
      </c>
      <c r="AC258" s="2" t="s">
        <v>1730</v>
      </c>
      <c r="AD258" s="2" t="s">
        <v>1727</v>
      </c>
      <c r="AE258" s="2" t="s">
        <v>1728</v>
      </c>
      <c r="AF258" s="2" t="s">
        <v>61</v>
      </c>
      <c r="AG258" s="28">
        <f>MAX(clean_data[[#This Row],[ATK]:[SPD]]) - MIN(clean_data[[#This Row],[ATK]:[SPD]])</f>
        <v>99</v>
      </c>
      <c r="AH258" s="28" t="str">
        <f>IF(clean_data[[#This Row],[Balanced Score]] = MIN(clean_data[Balanced Score]), "Most Balanced", "")</f>
        <v/>
      </c>
    </row>
    <row r="259" spans="1:34" x14ac:dyDescent="0.3">
      <c r="A259" s="2" t="s">
        <v>954</v>
      </c>
      <c r="B259" s="2" t="s">
        <v>75</v>
      </c>
      <c r="C259" s="2" t="s">
        <v>203</v>
      </c>
      <c r="D259" s="2" t="s">
        <v>59</v>
      </c>
      <c r="E259" s="2" t="s">
        <v>41</v>
      </c>
      <c r="F259" s="2" t="s">
        <v>194</v>
      </c>
      <c r="G259" s="2">
        <v>99</v>
      </c>
      <c r="H259" s="2" t="s">
        <v>73</v>
      </c>
      <c r="I259" s="2" t="s">
        <v>32</v>
      </c>
      <c r="J259" s="2" t="s">
        <v>33</v>
      </c>
      <c r="K259" s="2" t="s">
        <v>44</v>
      </c>
      <c r="L259" s="13">
        <v>44416</v>
      </c>
      <c r="M259" s="2">
        <v>88</v>
      </c>
      <c r="N259" s="2">
        <v>17</v>
      </c>
      <c r="O259" s="2">
        <v>131</v>
      </c>
      <c r="P259" s="2">
        <v>3145</v>
      </c>
      <c r="Q259" s="2">
        <v>636</v>
      </c>
      <c r="R259" s="2">
        <v>236</v>
      </c>
      <c r="S259" s="2">
        <v>3323</v>
      </c>
      <c r="T259" s="2">
        <v>119</v>
      </c>
      <c r="U259" s="2">
        <v>290</v>
      </c>
      <c r="V259" s="12">
        <f>ABS(RPG_dataset[[#This Row],[Win Rate (%)]])</f>
        <v>97</v>
      </c>
      <c r="W259" s="2">
        <v>507</v>
      </c>
      <c r="X259" s="9">
        <v>265150</v>
      </c>
      <c r="Y259" s="2" t="s">
        <v>36</v>
      </c>
      <c r="Z259" s="2">
        <v>369</v>
      </c>
      <c r="AA259" s="2" t="s">
        <v>1737</v>
      </c>
      <c r="AB259" s="2" t="b">
        <v>1</v>
      </c>
      <c r="AC259" s="2" t="s">
        <v>1730</v>
      </c>
      <c r="AD259" s="2" t="s">
        <v>1727</v>
      </c>
      <c r="AE259" s="2" t="s">
        <v>1731</v>
      </c>
      <c r="AF259" s="2" t="s">
        <v>1736</v>
      </c>
      <c r="AG259" s="28">
        <f>MAX(clean_data[[#This Row],[ATK]:[SPD]]) - MIN(clean_data[[#This Row],[ATK]:[SPD]])</f>
        <v>114</v>
      </c>
      <c r="AH259" s="28" t="str">
        <f>IF(clean_data[[#This Row],[Balanced Score]] = MIN(clean_data[Balanced Score]), "Most Balanced", "")</f>
        <v/>
      </c>
    </row>
    <row r="260" spans="1:34" x14ac:dyDescent="0.3">
      <c r="A260" s="2" t="s">
        <v>956</v>
      </c>
      <c r="B260" s="2" t="s">
        <v>957</v>
      </c>
      <c r="C260" s="2" t="s">
        <v>253</v>
      </c>
      <c r="D260" s="2" t="s">
        <v>150</v>
      </c>
      <c r="E260" s="2" t="s">
        <v>60</v>
      </c>
      <c r="F260" s="2" t="s">
        <v>124</v>
      </c>
      <c r="G260" s="2">
        <v>25</v>
      </c>
      <c r="H260" s="2" t="s">
        <v>157</v>
      </c>
      <c r="I260" s="2" t="s">
        <v>140</v>
      </c>
      <c r="J260" s="2" t="s">
        <v>120</v>
      </c>
      <c r="K260" s="2" t="s">
        <v>44</v>
      </c>
      <c r="L260" s="13">
        <v>44666</v>
      </c>
      <c r="M260" s="2"/>
      <c r="N260" s="2">
        <v>15</v>
      </c>
      <c r="O260" s="2">
        <v>22</v>
      </c>
      <c r="P260" s="2">
        <v>1872</v>
      </c>
      <c r="Q260" s="2"/>
      <c r="R260" s="2">
        <v>138</v>
      </c>
      <c r="S260" s="2">
        <v>2166</v>
      </c>
      <c r="T260" s="2">
        <v>688</v>
      </c>
      <c r="U260" s="2">
        <v>115</v>
      </c>
      <c r="V260" s="12">
        <f>ABS(RPG_dataset[[#This Row],[Win Rate (%)]])</f>
        <v>76</v>
      </c>
      <c r="W260" s="2">
        <v>431</v>
      </c>
      <c r="X260" s="9">
        <v>640313</v>
      </c>
      <c r="Y260" s="2" t="s">
        <v>36</v>
      </c>
      <c r="Z260" s="2">
        <v>179</v>
      </c>
      <c r="AA260" s="2" t="s">
        <v>1735</v>
      </c>
      <c r="AB260" s="2" t="b">
        <v>1</v>
      </c>
      <c r="AC260" s="2" t="s">
        <v>1730</v>
      </c>
      <c r="AD260" s="2" t="s">
        <v>1727</v>
      </c>
      <c r="AE260" s="2" t="s">
        <v>1728</v>
      </c>
      <c r="AF260" s="2" t="s">
        <v>1740</v>
      </c>
      <c r="AG260" s="28">
        <f>MAX(clean_data[[#This Row],[ATK]:[SPD]]) - MIN(clean_data[[#This Row],[ATK]:[SPD]])</f>
        <v>7</v>
      </c>
      <c r="AH260" s="28" t="str">
        <f>IF(clean_data[[#This Row],[Balanced Score]] = MIN(clean_data[Balanced Score]), "Most Balanced", "")</f>
        <v/>
      </c>
    </row>
    <row r="261" spans="1:34" x14ac:dyDescent="0.3">
      <c r="A261" s="2" t="s">
        <v>959</v>
      </c>
      <c r="B261" s="2" t="s">
        <v>960</v>
      </c>
      <c r="C261" s="2" t="s">
        <v>543</v>
      </c>
      <c r="D261" s="2" t="s">
        <v>618</v>
      </c>
      <c r="E261" s="2" t="s">
        <v>60</v>
      </c>
      <c r="F261" s="2" t="s">
        <v>124</v>
      </c>
      <c r="G261" s="2">
        <v>28</v>
      </c>
      <c r="H261" s="2" t="s">
        <v>62</v>
      </c>
      <c r="I261" s="2" t="s">
        <v>63</v>
      </c>
      <c r="J261" s="2" t="s">
        <v>33</v>
      </c>
      <c r="K261" s="2" t="s">
        <v>44</v>
      </c>
      <c r="L261" s="13">
        <v>43701</v>
      </c>
      <c r="M261" s="2">
        <v>30</v>
      </c>
      <c r="N261" s="2">
        <v>134</v>
      </c>
      <c r="O261" s="2">
        <v>122</v>
      </c>
      <c r="P261" s="2">
        <v>3205</v>
      </c>
      <c r="Q261" s="2">
        <v>259</v>
      </c>
      <c r="R261" s="2">
        <v>286</v>
      </c>
      <c r="S261" s="2">
        <v>1907</v>
      </c>
      <c r="T261" s="2">
        <v>763</v>
      </c>
      <c r="U261" s="2">
        <v>175</v>
      </c>
      <c r="V261" s="12">
        <f>ABS(RPG_dataset[[#This Row],[Win Rate (%)]])</f>
        <v>71</v>
      </c>
      <c r="W261" s="2">
        <v>8333</v>
      </c>
      <c r="X261" s="9">
        <v>363316</v>
      </c>
      <c r="Y261" s="2" t="s">
        <v>46</v>
      </c>
      <c r="Z261" s="2">
        <v>322</v>
      </c>
      <c r="AA261" s="2" t="s">
        <v>1733</v>
      </c>
      <c r="AB261" s="2" t="b">
        <v>1</v>
      </c>
      <c r="AC261" s="2" t="s">
        <v>1730</v>
      </c>
      <c r="AD261" s="2" t="s">
        <v>1727</v>
      </c>
      <c r="AE261" s="2" t="s">
        <v>1728</v>
      </c>
      <c r="AF261" s="2" t="s">
        <v>1736</v>
      </c>
      <c r="AG261" s="28">
        <f>MAX(clean_data[[#This Row],[ATK]:[SPD]]) - MIN(clean_data[[#This Row],[ATK]:[SPD]])</f>
        <v>104</v>
      </c>
      <c r="AH261" s="28" t="str">
        <f>IF(clean_data[[#This Row],[Balanced Score]] = MIN(clean_data[Balanced Score]), "Most Balanced", "")</f>
        <v/>
      </c>
    </row>
    <row r="262" spans="1:34" x14ac:dyDescent="0.3">
      <c r="A262" s="2" t="s">
        <v>962</v>
      </c>
      <c r="B262" s="2" t="s">
        <v>963</v>
      </c>
      <c r="C262" s="2" t="s">
        <v>138</v>
      </c>
      <c r="D262" s="2" t="s">
        <v>210</v>
      </c>
      <c r="E262" s="2" t="s">
        <v>60</v>
      </c>
      <c r="F262" s="2" t="s">
        <v>52</v>
      </c>
      <c r="G262" s="2">
        <v>97</v>
      </c>
      <c r="H262" s="2" t="s">
        <v>157</v>
      </c>
      <c r="I262" s="2" t="s">
        <v>32</v>
      </c>
      <c r="J262" s="2" t="s">
        <v>88</v>
      </c>
      <c r="K262" s="2" t="s">
        <v>44</v>
      </c>
      <c r="L262" s="13">
        <v>44233</v>
      </c>
      <c r="M262" s="2"/>
      <c r="N262" s="2">
        <v>16</v>
      </c>
      <c r="O262" s="2">
        <v>96</v>
      </c>
      <c r="P262" s="2">
        <v>3659</v>
      </c>
      <c r="Q262" s="2">
        <v>2962</v>
      </c>
      <c r="R262" s="2">
        <v>162</v>
      </c>
      <c r="S262" s="2">
        <v>4959</v>
      </c>
      <c r="T262" s="2">
        <v>725</v>
      </c>
      <c r="U262" s="2">
        <v>17</v>
      </c>
      <c r="V262" s="12">
        <f>ABS(RPG_dataset[[#This Row],[Win Rate (%)]])</f>
        <v>87</v>
      </c>
      <c r="W262" s="2">
        <v>448</v>
      </c>
      <c r="X262" s="9">
        <v>791695</v>
      </c>
      <c r="Y262" s="2" t="s">
        <v>36</v>
      </c>
      <c r="Z262" s="2">
        <v>111</v>
      </c>
      <c r="AA262" s="2" t="s">
        <v>1737</v>
      </c>
      <c r="AB262" s="2" t="b">
        <v>1</v>
      </c>
      <c r="AC262" s="2" t="s">
        <v>1730</v>
      </c>
      <c r="AD262" s="2" t="s">
        <v>1727</v>
      </c>
      <c r="AE262" s="2" t="s">
        <v>1731</v>
      </c>
      <c r="AF262" s="2" t="s">
        <v>1736</v>
      </c>
      <c r="AG262" s="28">
        <f>MAX(clean_data[[#This Row],[ATK]:[SPD]]) - MIN(clean_data[[#This Row],[ATK]:[SPD]])</f>
        <v>80</v>
      </c>
      <c r="AH262" s="28" t="str">
        <f>IF(clean_data[[#This Row],[Balanced Score]] = MIN(clean_data[Balanced Score]), "Most Balanced", "")</f>
        <v/>
      </c>
    </row>
    <row r="263" spans="1:34" x14ac:dyDescent="0.3">
      <c r="A263" s="2" t="s">
        <v>965</v>
      </c>
      <c r="B263" s="2" t="s">
        <v>595</v>
      </c>
      <c r="C263" s="2" t="s">
        <v>103</v>
      </c>
      <c r="D263" s="2" t="s">
        <v>304</v>
      </c>
      <c r="E263" s="2" t="s">
        <v>41</v>
      </c>
      <c r="F263" s="2" t="s">
        <v>30</v>
      </c>
      <c r="G263" s="2">
        <v>97</v>
      </c>
      <c r="H263" s="2" t="s">
        <v>53</v>
      </c>
      <c r="I263" s="2" t="s">
        <v>126</v>
      </c>
      <c r="J263" s="2" t="s">
        <v>163</v>
      </c>
      <c r="K263" s="2" t="s">
        <v>99</v>
      </c>
      <c r="L263" s="13">
        <v>45569</v>
      </c>
      <c r="M263" s="2">
        <v>122</v>
      </c>
      <c r="N263" s="2">
        <v>41</v>
      </c>
      <c r="O263" s="2">
        <v>136</v>
      </c>
      <c r="P263" s="2">
        <v>4227</v>
      </c>
      <c r="Q263" s="2">
        <v>2030</v>
      </c>
      <c r="R263" s="2">
        <v>299</v>
      </c>
      <c r="S263" s="2">
        <v>3086</v>
      </c>
      <c r="T263" s="2">
        <v>4</v>
      </c>
      <c r="U263" s="2">
        <v>105</v>
      </c>
      <c r="V263" s="12">
        <f>ABS(RPG_dataset[[#This Row],[Win Rate (%)]])</f>
        <v>100</v>
      </c>
      <c r="W263" s="2">
        <v>8081</v>
      </c>
      <c r="X263" s="9">
        <v>669537</v>
      </c>
      <c r="Y263" s="2" t="s">
        <v>36</v>
      </c>
      <c r="Z263" s="2">
        <v>164</v>
      </c>
      <c r="AA263" s="2" t="s">
        <v>1737</v>
      </c>
      <c r="AB263" s="2" t="b">
        <v>0</v>
      </c>
      <c r="AC263" s="2" t="s">
        <v>1730</v>
      </c>
      <c r="AD263" s="2" t="s">
        <v>1727</v>
      </c>
      <c r="AE263" s="2" t="s">
        <v>1731</v>
      </c>
      <c r="AF263" s="2" t="s">
        <v>1736</v>
      </c>
      <c r="AG263" s="28">
        <f>MAX(clean_data[[#This Row],[ATK]:[SPD]]) - MIN(clean_data[[#This Row],[ATK]:[SPD]])</f>
        <v>95</v>
      </c>
      <c r="AH263" s="28" t="str">
        <f>IF(clean_data[[#This Row],[Balanced Score]] = MIN(clean_data[Balanced Score]), "Most Balanced", "")</f>
        <v/>
      </c>
    </row>
    <row r="264" spans="1:34" x14ac:dyDescent="0.3">
      <c r="A264" s="2" t="s">
        <v>967</v>
      </c>
      <c r="B264" s="2" t="s">
        <v>968</v>
      </c>
      <c r="C264" s="2" t="s">
        <v>154</v>
      </c>
      <c r="D264" s="2" t="s">
        <v>304</v>
      </c>
      <c r="E264" s="2" t="s">
        <v>228</v>
      </c>
      <c r="F264" s="2" t="s">
        <v>61</v>
      </c>
      <c r="G264" s="2">
        <v>5</v>
      </c>
      <c r="H264" s="2" t="s">
        <v>157</v>
      </c>
      <c r="I264" s="2" t="s">
        <v>140</v>
      </c>
      <c r="J264" s="2" t="s">
        <v>120</v>
      </c>
      <c r="K264" s="2" t="s">
        <v>99</v>
      </c>
      <c r="L264" s="13">
        <v>45448</v>
      </c>
      <c r="M264" s="2">
        <v>64</v>
      </c>
      <c r="N264" s="2">
        <v>42</v>
      </c>
      <c r="O264" s="2">
        <v>33</v>
      </c>
      <c r="P264" s="2">
        <v>1300</v>
      </c>
      <c r="Q264" s="2">
        <v>756</v>
      </c>
      <c r="R264" s="2">
        <v>139</v>
      </c>
      <c r="S264" s="2">
        <v>1014</v>
      </c>
      <c r="T264" s="2">
        <v>685</v>
      </c>
      <c r="U264" s="2">
        <v>55</v>
      </c>
      <c r="V264" s="12">
        <f>ABS(RPG_dataset[[#This Row],[Win Rate (%)]])</f>
        <v>60</v>
      </c>
      <c r="W264" s="2">
        <v>6958</v>
      </c>
      <c r="X264" s="9">
        <v>133954</v>
      </c>
      <c r="Y264" s="2" t="s">
        <v>46</v>
      </c>
      <c r="Z264" s="2">
        <v>426</v>
      </c>
      <c r="AA264" s="2" t="s">
        <v>1735</v>
      </c>
      <c r="AB264" s="2" t="b">
        <v>0</v>
      </c>
      <c r="AC264" s="2" t="s">
        <v>1738</v>
      </c>
      <c r="AD264" s="2" t="s">
        <v>1727</v>
      </c>
      <c r="AE264" s="2" t="s">
        <v>1742</v>
      </c>
      <c r="AF264" s="2" t="s">
        <v>1740</v>
      </c>
      <c r="AG264" s="28">
        <f>MAX(clean_data[[#This Row],[ATK]:[SPD]]) - MIN(clean_data[[#This Row],[ATK]:[SPD]])</f>
        <v>31</v>
      </c>
      <c r="AH264" s="28" t="str">
        <f>IF(clean_data[[#This Row],[Balanced Score]] = MIN(clean_data[Balanced Score]), "Most Balanced", "")</f>
        <v/>
      </c>
    </row>
    <row r="265" spans="1:34" x14ac:dyDescent="0.3">
      <c r="A265" s="2" t="s">
        <v>970</v>
      </c>
      <c r="B265" s="2" t="s">
        <v>1720</v>
      </c>
      <c r="C265" s="2" t="s">
        <v>203</v>
      </c>
      <c r="D265" s="2" t="s">
        <v>401</v>
      </c>
      <c r="E265" s="2" t="s">
        <v>71</v>
      </c>
      <c r="F265" s="2" t="s">
        <v>30</v>
      </c>
      <c r="G265" s="2">
        <v>91</v>
      </c>
      <c r="H265" s="2" t="s">
        <v>157</v>
      </c>
      <c r="I265" s="2" t="s">
        <v>63</v>
      </c>
      <c r="J265" s="2" t="s">
        <v>92</v>
      </c>
      <c r="K265" s="2" t="s">
        <v>99</v>
      </c>
      <c r="L265" s="13">
        <v>45632</v>
      </c>
      <c r="M265" s="2">
        <v>127</v>
      </c>
      <c r="N265" s="2">
        <v>43</v>
      </c>
      <c r="O265" s="2">
        <v>47</v>
      </c>
      <c r="P265" s="2">
        <v>1121</v>
      </c>
      <c r="Q265" s="2">
        <v>667</v>
      </c>
      <c r="R265" s="2">
        <v>217</v>
      </c>
      <c r="S265" s="2">
        <v>3800</v>
      </c>
      <c r="T265" s="2">
        <v>544</v>
      </c>
      <c r="U265" s="2">
        <v>113</v>
      </c>
      <c r="V265" s="12">
        <f>ABS(RPG_dataset[[#This Row],[Win Rate (%)]])</f>
        <v>87</v>
      </c>
      <c r="W265" s="2">
        <v>4794</v>
      </c>
      <c r="X265" s="9">
        <v>398427</v>
      </c>
      <c r="Y265" s="2" t="s">
        <v>46</v>
      </c>
      <c r="Z265" s="2">
        <v>303</v>
      </c>
      <c r="AA265" s="2" t="s">
        <v>1737</v>
      </c>
      <c r="AB265" s="2" t="b">
        <v>0</v>
      </c>
      <c r="AC265" s="2" t="s">
        <v>1730</v>
      </c>
      <c r="AD265" s="2" t="s">
        <v>1727</v>
      </c>
      <c r="AE265" s="2" t="s">
        <v>1728</v>
      </c>
      <c r="AF265" s="2" t="s">
        <v>1729</v>
      </c>
      <c r="AG265" s="28">
        <f>MAX(clean_data[[#This Row],[ATK]:[SPD]]) - MIN(clean_data[[#This Row],[ATK]:[SPD]])</f>
        <v>84</v>
      </c>
      <c r="AH265" s="28" t="str">
        <f>IF(clean_data[[#This Row],[Balanced Score]] = MIN(clean_data[Balanced Score]), "Most Balanced", "")</f>
        <v/>
      </c>
    </row>
    <row r="266" spans="1:34" x14ac:dyDescent="0.3">
      <c r="A266" s="2" t="s">
        <v>973</v>
      </c>
      <c r="B266" s="2" t="s">
        <v>974</v>
      </c>
      <c r="C266" s="2" t="s">
        <v>27</v>
      </c>
      <c r="D266" s="2" t="s">
        <v>349</v>
      </c>
      <c r="E266" s="2" t="s">
        <v>60</v>
      </c>
      <c r="F266" s="2" t="s">
        <v>61</v>
      </c>
      <c r="G266" s="2">
        <v>9</v>
      </c>
      <c r="H266" s="2" t="s">
        <v>157</v>
      </c>
      <c r="I266" s="2" t="s">
        <v>54</v>
      </c>
      <c r="J266" s="2" t="s">
        <v>33</v>
      </c>
      <c r="K266" s="2" t="s">
        <v>34</v>
      </c>
      <c r="L266" s="13">
        <v>43283</v>
      </c>
      <c r="M266" s="2">
        <v>34</v>
      </c>
      <c r="N266" s="2">
        <v>45</v>
      </c>
      <c r="O266" s="2">
        <v>124</v>
      </c>
      <c r="P266" s="2">
        <v>2030</v>
      </c>
      <c r="Q266" s="2">
        <v>2894</v>
      </c>
      <c r="R266" s="2">
        <v>203</v>
      </c>
      <c r="S266" s="2">
        <v>3999</v>
      </c>
      <c r="T266" s="2">
        <v>652</v>
      </c>
      <c r="U266" s="2">
        <v>4</v>
      </c>
      <c r="V266" s="12">
        <f>ABS(RPG_dataset[[#This Row],[Win Rate (%)]])</f>
        <v>86</v>
      </c>
      <c r="W266" s="2">
        <v>1392</v>
      </c>
      <c r="X266" s="9">
        <v>229024</v>
      </c>
      <c r="Y266" s="2" t="s">
        <v>36</v>
      </c>
      <c r="Z266" s="2">
        <v>384</v>
      </c>
      <c r="AA266" s="2" t="s">
        <v>1735</v>
      </c>
      <c r="AB266" s="2" t="b">
        <v>0</v>
      </c>
      <c r="AC266" s="2" t="s">
        <v>1730</v>
      </c>
      <c r="AD266" s="2" t="s">
        <v>1727</v>
      </c>
      <c r="AE266" s="2" t="s">
        <v>1728</v>
      </c>
      <c r="AF266" s="2" t="s">
        <v>1736</v>
      </c>
      <c r="AG266" s="28">
        <f>MAX(clean_data[[#This Row],[ATK]:[SPD]]) - MIN(clean_data[[#This Row],[ATK]:[SPD]])</f>
        <v>90</v>
      </c>
      <c r="AH266" s="28" t="str">
        <f>IF(clean_data[[#This Row],[Balanced Score]] = MIN(clean_data[Balanced Score]), "Most Balanced", "")</f>
        <v/>
      </c>
    </row>
    <row r="267" spans="1:34" x14ac:dyDescent="0.3">
      <c r="A267" s="2" t="s">
        <v>976</v>
      </c>
      <c r="B267" s="2" t="s">
        <v>75</v>
      </c>
      <c r="C267" s="2" t="s">
        <v>543</v>
      </c>
      <c r="D267" s="2" t="s">
        <v>277</v>
      </c>
      <c r="E267" s="2" t="s">
        <v>60</v>
      </c>
      <c r="F267" s="2" t="s">
        <v>72</v>
      </c>
      <c r="G267" s="2">
        <v>93</v>
      </c>
      <c r="H267" s="2" t="s">
        <v>62</v>
      </c>
      <c r="I267" s="2" t="s">
        <v>32</v>
      </c>
      <c r="J267" s="2" t="s">
        <v>111</v>
      </c>
      <c r="K267" s="2" t="s">
        <v>44</v>
      </c>
      <c r="L267" s="13">
        <v>44463</v>
      </c>
      <c r="M267" s="2">
        <v>21</v>
      </c>
      <c r="N267" s="2">
        <v>104</v>
      </c>
      <c r="O267" s="2">
        <v>87</v>
      </c>
      <c r="P267" s="2">
        <v>2995</v>
      </c>
      <c r="Q267" s="2">
        <v>2129</v>
      </c>
      <c r="R267" s="2">
        <v>212</v>
      </c>
      <c r="S267" s="2">
        <v>2006</v>
      </c>
      <c r="T267" s="2">
        <v>851</v>
      </c>
      <c r="U267" s="2">
        <v>242</v>
      </c>
      <c r="V267" s="12">
        <f>ABS(RPG_dataset[[#This Row],[Win Rate (%)]])</f>
        <v>70</v>
      </c>
      <c r="W267" s="2">
        <v>1736</v>
      </c>
      <c r="X267" s="9">
        <v>793350</v>
      </c>
      <c r="Y267" s="2" t="s">
        <v>36</v>
      </c>
      <c r="Z267" s="2">
        <v>110</v>
      </c>
      <c r="AA267" s="2" t="s">
        <v>1737</v>
      </c>
      <c r="AB267" s="2" t="b">
        <v>1</v>
      </c>
      <c r="AC267" s="2" t="s">
        <v>1738</v>
      </c>
      <c r="AD267" s="2" t="s">
        <v>1727</v>
      </c>
      <c r="AE267" s="2" t="s">
        <v>1728</v>
      </c>
      <c r="AF267" s="2" t="s">
        <v>1736</v>
      </c>
      <c r="AG267" s="28">
        <f>MAX(clean_data[[#This Row],[ATK]:[SPD]]) - MIN(clean_data[[#This Row],[ATK]:[SPD]])</f>
        <v>83</v>
      </c>
      <c r="AH267" s="28" t="str">
        <f>IF(clean_data[[#This Row],[Balanced Score]] = MIN(clean_data[Balanced Score]), "Most Balanced", "")</f>
        <v/>
      </c>
    </row>
    <row r="268" spans="1:34" x14ac:dyDescent="0.3">
      <c r="A268" s="2" t="s">
        <v>978</v>
      </c>
      <c r="B268" s="2" t="s">
        <v>979</v>
      </c>
      <c r="C268" s="2" t="s">
        <v>39</v>
      </c>
      <c r="D268" s="2" t="s">
        <v>70</v>
      </c>
      <c r="E268" s="2" t="s">
        <v>71</v>
      </c>
      <c r="F268" s="2" t="s">
        <v>42</v>
      </c>
      <c r="G268" s="2">
        <v>61</v>
      </c>
      <c r="H268" s="2" t="s">
        <v>157</v>
      </c>
      <c r="I268" s="2" t="s">
        <v>63</v>
      </c>
      <c r="J268" s="2" t="s">
        <v>33</v>
      </c>
      <c r="K268" s="2" t="s">
        <v>44</v>
      </c>
      <c r="L268" s="13">
        <v>44944</v>
      </c>
      <c r="M268" s="2">
        <v>45</v>
      </c>
      <c r="N268" s="2">
        <v>52</v>
      </c>
      <c r="O268" s="2">
        <v>19</v>
      </c>
      <c r="P268" s="2">
        <v>3934</v>
      </c>
      <c r="Q268" s="2">
        <v>1361</v>
      </c>
      <c r="R268" s="2">
        <v>116</v>
      </c>
      <c r="S268" s="2">
        <v>1833</v>
      </c>
      <c r="T268" s="2">
        <v>203</v>
      </c>
      <c r="U268" s="2">
        <v>197</v>
      </c>
      <c r="V268" s="12">
        <f>ABS(RPG_dataset[[#This Row],[Win Rate (%)]])</f>
        <v>90</v>
      </c>
      <c r="W268" s="2">
        <v>6882</v>
      </c>
      <c r="X268" s="9">
        <v>507088</v>
      </c>
      <c r="Y268" s="2" t="s">
        <v>36</v>
      </c>
      <c r="Z268" s="2">
        <v>247</v>
      </c>
      <c r="AA268" s="2" t="s">
        <v>1725</v>
      </c>
      <c r="AB268" s="2" t="b">
        <v>1</v>
      </c>
      <c r="AC268" s="2" t="s">
        <v>1730</v>
      </c>
      <c r="AD268" s="2" t="s">
        <v>1727</v>
      </c>
      <c r="AE268" s="2" t="s">
        <v>1731</v>
      </c>
      <c r="AF268" s="2" t="s">
        <v>1729</v>
      </c>
      <c r="AG268" s="28">
        <f>MAX(clean_data[[#This Row],[ATK]:[SPD]]) - MIN(clean_data[[#This Row],[ATK]:[SPD]])</f>
        <v>33</v>
      </c>
      <c r="AH268" s="28" t="str">
        <f>IF(clean_data[[#This Row],[Balanced Score]] = MIN(clean_data[Balanced Score]), "Most Balanced", "")</f>
        <v/>
      </c>
    </row>
    <row r="269" spans="1:34" x14ac:dyDescent="0.3">
      <c r="A269" s="2" t="s">
        <v>981</v>
      </c>
      <c r="B269" s="2" t="s">
        <v>982</v>
      </c>
      <c r="C269" s="2" t="s">
        <v>233</v>
      </c>
      <c r="D269" s="2" t="s">
        <v>139</v>
      </c>
      <c r="E269" s="2" t="s">
        <v>75</v>
      </c>
      <c r="F269" s="2" t="s">
        <v>52</v>
      </c>
      <c r="G269" s="2">
        <v>78</v>
      </c>
      <c r="H269" s="2" t="s">
        <v>43</v>
      </c>
      <c r="I269" s="2" t="s">
        <v>74</v>
      </c>
      <c r="J269" s="2" t="s">
        <v>120</v>
      </c>
      <c r="K269" s="2" t="s">
        <v>106</v>
      </c>
      <c r="L269" s="13">
        <v>44913</v>
      </c>
      <c r="M269" s="2">
        <v>45</v>
      </c>
      <c r="N269" s="2">
        <v>127</v>
      </c>
      <c r="O269" s="2">
        <v>57</v>
      </c>
      <c r="P269" s="2">
        <v>2040</v>
      </c>
      <c r="Q269" s="2">
        <v>1198</v>
      </c>
      <c r="R269" s="2">
        <v>229</v>
      </c>
      <c r="S269" s="2">
        <v>951</v>
      </c>
      <c r="T269" s="2">
        <v>391</v>
      </c>
      <c r="U269" s="2">
        <v>139</v>
      </c>
      <c r="V269" s="12">
        <f>ABS(RPG_dataset[[#This Row],[Win Rate (%)]])</f>
        <v>71</v>
      </c>
      <c r="W269" s="2">
        <v>8009</v>
      </c>
      <c r="X269" s="9">
        <v>169744</v>
      </c>
      <c r="Y269" s="2" t="s">
        <v>46</v>
      </c>
      <c r="Z269" s="2">
        <v>415</v>
      </c>
      <c r="AA269" s="2" t="s">
        <v>1737</v>
      </c>
      <c r="AB269" s="2" t="b">
        <v>0</v>
      </c>
      <c r="AC269" s="2" t="s">
        <v>1730</v>
      </c>
      <c r="AD269" s="2" t="s">
        <v>1727</v>
      </c>
      <c r="AE269" s="2" t="s">
        <v>1728</v>
      </c>
      <c r="AF269" s="2" t="s">
        <v>1729</v>
      </c>
      <c r="AG269" s="28">
        <f>MAX(clean_data[[#This Row],[ATK]:[SPD]]) - MIN(clean_data[[#This Row],[ATK]:[SPD]])</f>
        <v>82</v>
      </c>
      <c r="AH269" s="28" t="str">
        <f>IF(clean_data[[#This Row],[Balanced Score]] = MIN(clean_data[Balanced Score]), "Most Balanced", "")</f>
        <v/>
      </c>
    </row>
    <row r="270" spans="1:34" x14ac:dyDescent="0.3">
      <c r="A270" s="2" t="s">
        <v>984</v>
      </c>
      <c r="B270" s="2" t="s">
        <v>985</v>
      </c>
      <c r="C270" s="2" t="s">
        <v>253</v>
      </c>
      <c r="D270" s="2" t="s">
        <v>174</v>
      </c>
      <c r="E270" s="2" t="s">
        <v>71</v>
      </c>
      <c r="F270" s="2" t="s">
        <v>124</v>
      </c>
      <c r="G270" s="2">
        <v>32</v>
      </c>
      <c r="H270" s="2" t="s">
        <v>80</v>
      </c>
      <c r="I270" s="2" t="s">
        <v>32</v>
      </c>
      <c r="J270" s="2" t="s">
        <v>88</v>
      </c>
      <c r="K270" s="2" t="s">
        <v>75</v>
      </c>
      <c r="L270" s="13">
        <v>45555</v>
      </c>
      <c r="M270" s="2">
        <v>120</v>
      </c>
      <c r="N270" s="2">
        <v>94</v>
      </c>
      <c r="O270" s="2">
        <v>39</v>
      </c>
      <c r="P270" s="2">
        <v>888</v>
      </c>
      <c r="Q270" s="2">
        <v>2780</v>
      </c>
      <c r="R270" s="2">
        <v>253</v>
      </c>
      <c r="S270" s="2">
        <v>633</v>
      </c>
      <c r="T270" s="2">
        <v>63</v>
      </c>
      <c r="U270" s="2">
        <v>255</v>
      </c>
      <c r="V270" s="12">
        <f>ABS(RPG_dataset[[#This Row],[Win Rate (%)]])</f>
        <v>91</v>
      </c>
      <c r="W270" s="2">
        <v>9058</v>
      </c>
      <c r="X270" s="9">
        <v>419076</v>
      </c>
      <c r="Y270" s="2" t="s">
        <v>36</v>
      </c>
      <c r="Z270" s="2">
        <v>298</v>
      </c>
      <c r="AA270" s="2" t="s">
        <v>1733</v>
      </c>
      <c r="AB270" s="2" t="b">
        <v>0</v>
      </c>
      <c r="AC270" s="2" t="s">
        <v>1730</v>
      </c>
      <c r="AD270" s="2" t="s">
        <v>1727</v>
      </c>
      <c r="AE270" s="2" t="s">
        <v>1728</v>
      </c>
      <c r="AF270" s="2" t="s">
        <v>1729</v>
      </c>
      <c r="AG270" s="28">
        <f>MAX(clean_data[[#This Row],[ATK]:[SPD]]) - MIN(clean_data[[#This Row],[ATK]:[SPD]])</f>
        <v>81</v>
      </c>
      <c r="AH270" s="28" t="str">
        <f>IF(clean_data[[#This Row],[Balanced Score]] = MIN(clean_data[Balanced Score]), "Most Balanced", "")</f>
        <v/>
      </c>
    </row>
    <row r="271" spans="1:34" x14ac:dyDescent="0.3">
      <c r="A271" s="2" t="s">
        <v>987</v>
      </c>
      <c r="B271" s="2" t="s">
        <v>988</v>
      </c>
      <c r="C271" s="2" t="s">
        <v>203</v>
      </c>
      <c r="D271" s="2" t="s">
        <v>234</v>
      </c>
      <c r="E271" s="2" t="s">
        <v>29</v>
      </c>
      <c r="F271" s="2" t="s">
        <v>30</v>
      </c>
      <c r="G271" s="2">
        <v>66</v>
      </c>
      <c r="H271" s="2" t="s">
        <v>80</v>
      </c>
      <c r="I271" s="2" t="s">
        <v>54</v>
      </c>
      <c r="J271" s="2" t="s">
        <v>92</v>
      </c>
      <c r="K271" s="2" t="s">
        <v>44</v>
      </c>
      <c r="L271" s="13">
        <v>44889</v>
      </c>
      <c r="M271" s="2">
        <v>141</v>
      </c>
      <c r="N271" s="2">
        <v>111</v>
      </c>
      <c r="O271" s="2">
        <v>82</v>
      </c>
      <c r="P271" s="2">
        <v>2929</v>
      </c>
      <c r="Q271" s="2">
        <v>656</v>
      </c>
      <c r="R271" s="2">
        <v>334</v>
      </c>
      <c r="S271" s="2">
        <v>2751</v>
      </c>
      <c r="T271" s="2">
        <v>678</v>
      </c>
      <c r="U271" s="2">
        <v>277</v>
      </c>
      <c r="V271" s="12">
        <f>ABS(RPG_dataset[[#This Row],[Win Rate (%)]])</f>
        <v>80</v>
      </c>
      <c r="W271" s="2">
        <v>2366</v>
      </c>
      <c r="X271" s="9">
        <v>23695</v>
      </c>
      <c r="Y271" s="2" t="s">
        <v>36</v>
      </c>
      <c r="Z271" s="2">
        <v>472</v>
      </c>
      <c r="AA271" s="2" t="s">
        <v>1725</v>
      </c>
      <c r="AB271" s="2" t="b">
        <v>1</v>
      </c>
      <c r="AC271" s="2" t="s">
        <v>1730</v>
      </c>
      <c r="AD271" s="2" t="s">
        <v>1727</v>
      </c>
      <c r="AE271" s="2" t="s">
        <v>1731</v>
      </c>
      <c r="AF271" s="2" t="s">
        <v>1732</v>
      </c>
      <c r="AG271" s="28">
        <f>MAX(clean_data[[#This Row],[ATK]:[SPD]]) - MIN(clean_data[[#This Row],[ATK]:[SPD]])</f>
        <v>59</v>
      </c>
      <c r="AH271" s="28" t="str">
        <f>IF(clean_data[[#This Row],[Balanced Score]] = MIN(clean_data[Balanced Score]), "Most Balanced", "")</f>
        <v/>
      </c>
    </row>
    <row r="272" spans="1:34" x14ac:dyDescent="0.3">
      <c r="A272" s="2" t="s">
        <v>990</v>
      </c>
      <c r="B272" s="2" t="s">
        <v>991</v>
      </c>
      <c r="C272" s="2" t="s">
        <v>693</v>
      </c>
      <c r="D272" s="2" t="s">
        <v>304</v>
      </c>
      <c r="E272" s="2" t="s">
        <v>41</v>
      </c>
      <c r="F272" s="2" t="s">
        <v>61</v>
      </c>
      <c r="G272" s="2">
        <v>46</v>
      </c>
      <c r="H272" s="2" t="s">
        <v>73</v>
      </c>
      <c r="I272" s="2" t="s">
        <v>32</v>
      </c>
      <c r="J272" s="2" t="s">
        <v>81</v>
      </c>
      <c r="K272" s="2" t="s">
        <v>44</v>
      </c>
      <c r="L272" s="13">
        <v>43872</v>
      </c>
      <c r="M272" s="2">
        <v>140</v>
      </c>
      <c r="N272" s="2">
        <v>100</v>
      </c>
      <c r="O272" s="2">
        <v>38</v>
      </c>
      <c r="P272" s="2">
        <v>1994</v>
      </c>
      <c r="Q272" s="2">
        <v>1472</v>
      </c>
      <c r="R272" s="2">
        <v>278</v>
      </c>
      <c r="S272" s="2">
        <v>4262</v>
      </c>
      <c r="T272" s="2">
        <v>175</v>
      </c>
      <c r="U272" s="2">
        <v>12</v>
      </c>
      <c r="V272" s="12">
        <f>ABS(RPG_dataset[[#This Row],[Win Rate (%)]])</f>
        <v>96</v>
      </c>
      <c r="W272" s="2">
        <v>2290</v>
      </c>
      <c r="X272" s="9">
        <v>472838</v>
      </c>
      <c r="Y272" s="2" t="s">
        <v>36</v>
      </c>
      <c r="Z272" s="2">
        <v>268</v>
      </c>
      <c r="AA272" s="2" t="s">
        <v>1733</v>
      </c>
      <c r="AB272" s="2" t="b">
        <v>1</v>
      </c>
      <c r="AC272" s="2" t="s">
        <v>1730</v>
      </c>
      <c r="AD272" s="2" t="s">
        <v>1727</v>
      </c>
      <c r="AE272" s="2" t="s">
        <v>1728</v>
      </c>
      <c r="AF272" s="2" t="s">
        <v>1729</v>
      </c>
      <c r="AG272" s="28">
        <f>MAX(clean_data[[#This Row],[ATK]:[SPD]]) - MIN(clean_data[[#This Row],[ATK]:[SPD]])</f>
        <v>102</v>
      </c>
      <c r="AH272" s="28" t="str">
        <f>IF(clean_data[[#This Row],[Balanced Score]] = MIN(clean_data[Balanced Score]), "Most Balanced", "")</f>
        <v/>
      </c>
    </row>
    <row r="273" spans="1:34" x14ac:dyDescent="0.3">
      <c r="A273" s="2" t="s">
        <v>993</v>
      </c>
      <c r="B273" s="2" t="s">
        <v>994</v>
      </c>
      <c r="C273" s="2" t="s">
        <v>219</v>
      </c>
      <c r="D273" s="2" t="s">
        <v>131</v>
      </c>
      <c r="E273" s="2" t="s">
        <v>169</v>
      </c>
      <c r="F273" s="2" t="s">
        <v>52</v>
      </c>
      <c r="G273" s="2">
        <v>6</v>
      </c>
      <c r="H273" s="2" t="s">
        <v>62</v>
      </c>
      <c r="I273" s="2" t="s">
        <v>63</v>
      </c>
      <c r="J273" s="2" t="s">
        <v>120</v>
      </c>
      <c r="K273" s="2" t="s">
        <v>44</v>
      </c>
      <c r="L273" s="13">
        <v>43984</v>
      </c>
      <c r="M273" s="2">
        <v>81</v>
      </c>
      <c r="N273" s="2">
        <v>44</v>
      </c>
      <c r="O273" s="2">
        <v>74</v>
      </c>
      <c r="P273" s="2">
        <v>3953</v>
      </c>
      <c r="Q273" s="2">
        <v>724</v>
      </c>
      <c r="R273" s="2">
        <v>199</v>
      </c>
      <c r="S273" s="2">
        <v>616</v>
      </c>
      <c r="T273" s="2">
        <v>242</v>
      </c>
      <c r="U273" s="2">
        <v>155</v>
      </c>
      <c r="V273" s="12">
        <f>ABS(RPG_dataset[[#This Row],[Win Rate (%)]])</f>
        <v>72</v>
      </c>
      <c r="W273" s="2">
        <v>100</v>
      </c>
      <c r="X273" s="9">
        <v>489166</v>
      </c>
      <c r="Y273" s="2" t="s">
        <v>36</v>
      </c>
      <c r="Z273" s="2">
        <v>259</v>
      </c>
      <c r="AA273" s="2" t="s">
        <v>1735</v>
      </c>
      <c r="AB273" s="2" t="b">
        <v>1</v>
      </c>
      <c r="AC273" s="2" t="s">
        <v>1730</v>
      </c>
      <c r="AD273" s="2" t="s">
        <v>1727</v>
      </c>
      <c r="AE273" s="2" t="s">
        <v>1728</v>
      </c>
      <c r="AF273" s="2" t="s">
        <v>1729</v>
      </c>
      <c r="AG273" s="28">
        <f>MAX(clean_data[[#This Row],[ATK]:[SPD]]) - MIN(clean_data[[#This Row],[ATK]:[SPD]])</f>
        <v>37</v>
      </c>
      <c r="AH273" s="28" t="str">
        <f>IF(clean_data[[#This Row],[Balanced Score]] = MIN(clean_data[Balanced Score]), "Most Balanced", "")</f>
        <v/>
      </c>
    </row>
    <row r="274" spans="1:34" x14ac:dyDescent="0.3">
      <c r="A274" s="2" t="s">
        <v>997</v>
      </c>
      <c r="B274" s="2" t="s">
        <v>998</v>
      </c>
      <c r="C274" s="2" t="s">
        <v>103</v>
      </c>
      <c r="D274" s="2" t="s">
        <v>150</v>
      </c>
      <c r="E274" s="2" t="s">
        <v>71</v>
      </c>
      <c r="F274" s="2" t="s">
        <v>52</v>
      </c>
      <c r="G274" s="2">
        <v>18</v>
      </c>
      <c r="H274" s="2" t="s">
        <v>80</v>
      </c>
      <c r="I274" s="2" t="s">
        <v>63</v>
      </c>
      <c r="J274" s="2" t="s">
        <v>64</v>
      </c>
      <c r="K274" s="2" t="s">
        <v>44</v>
      </c>
      <c r="L274" s="13">
        <v>45356</v>
      </c>
      <c r="M274" s="2">
        <v>75</v>
      </c>
      <c r="N274" s="2">
        <v>99</v>
      </c>
      <c r="O274" s="2">
        <v>90</v>
      </c>
      <c r="P274" s="2">
        <v>3765</v>
      </c>
      <c r="Q274" s="2">
        <v>223</v>
      </c>
      <c r="R274" s="2">
        <v>264</v>
      </c>
      <c r="S274" s="2">
        <v>1304</v>
      </c>
      <c r="T274" s="2">
        <v>147</v>
      </c>
      <c r="U274" s="2">
        <v>43</v>
      </c>
      <c r="V274" s="12">
        <f>ABS(RPG_dataset[[#This Row],[Win Rate (%)]])</f>
        <v>90</v>
      </c>
      <c r="W274" s="2">
        <v>72</v>
      </c>
      <c r="X274" s="9">
        <v>488931</v>
      </c>
      <c r="Y274" s="2" t="s">
        <v>46</v>
      </c>
      <c r="Z274" s="2">
        <v>260</v>
      </c>
      <c r="AA274" s="2" t="s">
        <v>1735</v>
      </c>
      <c r="AB274" s="2" t="b">
        <v>1</v>
      </c>
      <c r="AC274" s="2" t="s">
        <v>1730</v>
      </c>
      <c r="AD274" s="2" t="s">
        <v>1727</v>
      </c>
      <c r="AE274" s="2" t="s">
        <v>1728</v>
      </c>
      <c r="AF274" s="2" t="s">
        <v>1736</v>
      </c>
      <c r="AG274" s="28">
        <f>MAX(clean_data[[#This Row],[ATK]:[SPD]]) - MIN(clean_data[[#This Row],[ATK]:[SPD]])</f>
        <v>24</v>
      </c>
      <c r="AH274" s="28" t="str">
        <f>IF(clean_data[[#This Row],[Balanced Score]] = MIN(clean_data[Balanced Score]), "Most Balanced", "")</f>
        <v/>
      </c>
    </row>
    <row r="275" spans="1:34" x14ac:dyDescent="0.3">
      <c r="A275" s="2" t="s">
        <v>1000</v>
      </c>
      <c r="B275" s="2" t="s">
        <v>1001</v>
      </c>
      <c r="C275" s="2" t="s">
        <v>720</v>
      </c>
      <c r="D275" s="2" t="s">
        <v>119</v>
      </c>
      <c r="E275" s="2" t="s">
        <v>60</v>
      </c>
      <c r="F275" s="2" t="s">
        <v>194</v>
      </c>
      <c r="G275" s="2">
        <v>73</v>
      </c>
      <c r="H275" s="2" t="s">
        <v>157</v>
      </c>
      <c r="I275" s="2" t="s">
        <v>126</v>
      </c>
      <c r="J275" s="2" t="s">
        <v>120</v>
      </c>
      <c r="K275" s="2" t="s">
        <v>34</v>
      </c>
      <c r="L275" s="13">
        <v>43108</v>
      </c>
      <c r="M275" s="2">
        <v>109</v>
      </c>
      <c r="N275" s="2">
        <v>50</v>
      </c>
      <c r="O275" s="2">
        <v>127</v>
      </c>
      <c r="P275" s="2">
        <v>2240</v>
      </c>
      <c r="Q275" s="2">
        <v>200</v>
      </c>
      <c r="R275" s="2"/>
      <c r="S275" s="2">
        <v>357</v>
      </c>
      <c r="T275" s="2">
        <v>197</v>
      </c>
      <c r="U275" s="2">
        <v>155</v>
      </c>
      <c r="V275" s="12">
        <f>ABS(RPG_dataset[[#This Row],[Win Rate (%)]])</f>
        <v>0</v>
      </c>
      <c r="W275" s="2">
        <v>6078</v>
      </c>
      <c r="X275" s="9">
        <v>10036</v>
      </c>
      <c r="Y275" s="2" t="s">
        <v>46</v>
      </c>
      <c r="Z275" s="2">
        <v>480</v>
      </c>
      <c r="AA275" s="2" t="s">
        <v>1725</v>
      </c>
      <c r="AB275" s="2" t="b">
        <v>0</v>
      </c>
      <c r="AC275" s="2" t="s">
        <v>1726</v>
      </c>
      <c r="AD275" s="2" t="s">
        <v>1727</v>
      </c>
      <c r="AE275" s="2" t="s">
        <v>1728</v>
      </c>
      <c r="AF275" s="2" t="s">
        <v>1736</v>
      </c>
      <c r="AG275" s="28">
        <f>MAX(clean_data[[#This Row],[ATK]:[SPD]]) - MIN(clean_data[[#This Row],[ATK]:[SPD]])</f>
        <v>77</v>
      </c>
      <c r="AH275" s="28" t="str">
        <f>IF(clean_data[[#This Row],[Balanced Score]] = MIN(clean_data[Balanced Score]), "Most Balanced", "")</f>
        <v/>
      </c>
    </row>
    <row r="276" spans="1:34" x14ac:dyDescent="0.3">
      <c r="A276" s="2" t="s">
        <v>1002</v>
      </c>
      <c r="B276" s="2" t="s">
        <v>1003</v>
      </c>
      <c r="C276" s="2" t="s">
        <v>391</v>
      </c>
      <c r="D276" s="2" t="s">
        <v>250</v>
      </c>
      <c r="E276" s="2" t="s">
        <v>71</v>
      </c>
      <c r="F276" s="2" t="s">
        <v>98</v>
      </c>
      <c r="G276" s="2">
        <v>27</v>
      </c>
      <c r="H276" s="2" t="s">
        <v>62</v>
      </c>
      <c r="I276" s="2" t="s">
        <v>74</v>
      </c>
      <c r="J276" s="2" t="s">
        <v>64</v>
      </c>
      <c r="K276" s="2" t="s">
        <v>34</v>
      </c>
      <c r="L276" s="13">
        <v>44399</v>
      </c>
      <c r="M276" s="2">
        <v>132</v>
      </c>
      <c r="N276" s="2">
        <v>27</v>
      </c>
      <c r="O276" s="2">
        <v>13</v>
      </c>
      <c r="P276" s="2">
        <v>1837</v>
      </c>
      <c r="Q276" s="2">
        <v>508</v>
      </c>
      <c r="R276" s="2">
        <v>172</v>
      </c>
      <c r="S276" s="2">
        <v>125</v>
      </c>
      <c r="T276" s="2">
        <v>357</v>
      </c>
      <c r="U276" s="2">
        <v>30</v>
      </c>
      <c r="V276" s="12">
        <f>ABS(RPG_dataset[[#This Row],[Win Rate (%)]])</f>
        <v>26</v>
      </c>
      <c r="W276" s="2">
        <v>6236</v>
      </c>
      <c r="X276" s="9">
        <v>687305</v>
      </c>
      <c r="Y276" s="2" t="s">
        <v>36</v>
      </c>
      <c r="Z276" s="2">
        <v>157</v>
      </c>
      <c r="AA276" s="2" t="s">
        <v>1733</v>
      </c>
      <c r="AB276" s="2" t="b">
        <v>0</v>
      </c>
      <c r="AC276" s="2" t="s">
        <v>1726</v>
      </c>
      <c r="AD276" s="2" t="s">
        <v>1727</v>
      </c>
      <c r="AE276" s="2" t="s">
        <v>1728</v>
      </c>
      <c r="AF276" s="2" t="s">
        <v>1729</v>
      </c>
      <c r="AG276" s="28">
        <f>MAX(clean_data[[#This Row],[ATK]:[SPD]]) - MIN(clean_data[[#This Row],[ATK]:[SPD]])</f>
        <v>119</v>
      </c>
      <c r="AH276" s="28" t="str">
        <f>IF(clean_data[[#This Row],[Balanced Score]] = MIN(clean_data[Balanced Score]), "Most Balanced", "")</f>
        <v/>
      </c>
    </row>
    <row r="277" spans="1:34" x14ac:dyDescent="0.3">
      <c r="A277" s="2" t="s">
        <v>1005</v>
      </c>
      <c r="B277" s="2" t="s">
        <v>1006</v>
      </c>
      <c r="C277" s="2" t="s">
        <v>360</v>
      </c>
      <c r="D277" s="2" t="s">
        <v>401</v>
      </c>
      <c r="E277" s="2" t="s">
        <v>60</v>
      </c>
      <c r="F277" s="2" t="s">
        <v>194</v>
      </c>
      <c r="G277" s="2">
        <v>63</v>
      </c>
      <c r="H277" s="2" t="s">
        <v>125</v>
      </c>
      <c r="I277" s="2" t="s">
        <v>126</v>
      </c>
      <c r="J277" s="2" t="s">
        <v>92</v>
      </c>
      <c r="K277" s="2" t="s">
        <v>44</v>
      </c>
      <c r="L277" s="13">
        <v>45040</v>
      </c>
      <c r="M277" s="2">
        <v>107</v>
      </c>
      <c r="N277" s="2">
        <v>78</v>
      </c>
      <c r="O277" s="2">
        <v>102</v>
      </c>
      <c r="P277" s="2">
        <v>3460</v>
      </c>
      <c r="Q277" s="2">
        <v>1443</v>
      </c>
      <c r="R277" s="2">
        <v>287</v>
      </c>
      <c r="S277" s="2">
        <v>2819</v>
      </c>
      <c r="T277" s="2">
        <v>2</v>
      </c>
      <c r="U277" s="2">
        <v>115</v>
      </c>
      <c r="V277" s="12">
        <f>ABS(RPG_dataset[[#This Row],[Win Rate (%)]])</f>
        <v>100</v>
      </c>
      <c r="W277" s="2">
        <v>814</v>
      </c>
      <c r="X277" s="9">
        <v>484521</v>
      </c>
      <c r="Y277" s="2" t="s">
        <v>36</v>
      </c>
      <c r="Z277" s="2">
        <v>263</v>
      </c>
      <c r="AA277" s="2" t="s">
        <v>1725</v>
      </c>
      <c r="AB277" s="2" t="b">
        <v>1</v>
      </c>
      <c r="AC277" s="2" t="s">
        <v>1730</v>
      </c>
      <c r="AD277" s="2" t="s">
        <v>1727</v>
      </c>
      <c r="AE277" s="2" t="s">
        <v>1731</v>
      </c>
      <c r="AF277" s="2" t="s">
        <v>1736</v>
      </c>
      <c r="AG277" s="28">
        <f>MAX(clean_data[[#This Row],[ATK]:[SPD]]) - MIN(clean_data[[#This Row],[ATK]:[SPD]])</f>
        <v>29</v>
      </c>
      <c r="AH277" s="28" t="str">
        <f>IF(clean_data[[#This Row],[Balanced Score]] = MIN(clean_data[Balanced Score]), "Most Balanced", "")</f>
        <v/>
      </c>
    </row>
    <row r="278" spans="1:34" x14ac:dyDescent="0.3">
      <c r="A278" s="2" t="s">
        <v>1008</v>
      </c>
      <c r="B278" s="2" t="s">
        <v>1009</v>
      </c>
      <c r="C278" s="2" t="s">
        <v>339</v>
      </c>
      <c r="D278" s="2" t="s">
        <v>272</v>
      </c>
      <c r="E278" s="2" t="s">
        <v>60</v>
      </c>
      <c r="F278" s="2" t="s">
        <v>52</v>
      </c>
      <c r="G278" s="2">
        <v>47</v>
      </c>
      <c r="H278" s="2" t="s">
        <v>43</v>
      </c>
      <c r="I278" s="2" t="s">
        <v>140</v>
      </c>
      <c r="J278" s="2" t="s">
        <v>81</v>
      </c>
      <c r="K278" s="2" t="s">
        <v>34</v>
      </c>
      <c r="L278" s="13">
        <v>44394</v>
      </c>
      <c r="M278" s="2">
        <v>80</v>
      </c>
      <c r="N278" s="2">
        <v>20</v>
      </c>
      <c r="O278" s="2">
        <v>14</v>
      </c>
      <c r="P278" s="2">
        <v>4110</v>
      </c>
      <c r="Q278" s="2">
        <v>2391</v>
      </c>
      <c r="R278" s="2">
        <v>114</v>
      </c>
      <c r="S278" s="2">
        <v>2799</v>
      </c>
      <c r="T278" s="2">
        <v>625</v>
      </c>
      <c r="U278" s="2">
        <v>139</v>
      </c>
      <c r="V278" s="12">
        <f>ABS(RPG_dataset[[#This Row],[Win Rate (%)]])</f>
        <v>82</v>
      </c>
      <c r="W278" s="2">
        <v>3655</v>
      </c>
      <c r="X278" s="9">
        <v>581073</v>
      </c>
      <c r="Y278" s="2" t="s">
        <v>46</v>
      </c>
      <c r="Z278" s="2">
        <v>211</v>
      </c>
      <c r="AA278" s="2" t="s">
        <v>1733</v>
      </c>
      <c r="AB278" s="2" t="b">
        <v>0</v>
      </c>
      <c r="AC278" s="2" t="s">
        <v>1730</v>
      </c>
      <c r="AD278" s="2" t="s">
        <v>1727</v>
      </c>
      <c r="AE278" s="2" t="s">
        <v>1728</v>
      </c>
      <c r="AF278" s="2" t="s">
        <v>1740</v>
      </c>
      <c r="AG278" s="28">
        <f>MAX(clean_data[[#This Row],[ATK]:[SPD]]) - MIN(clean_data[[#This Row],[ATK]:[SPD]])</f>
        <v>66</v>
      </c>
      <c r="AH278" s="28" t="str">
        <f>IF(clean_data[[#This Row],[Balanced Score]] = MIN(clean_data[Balanced Score]), "Most Balanced", "")</f>
        <v/>
      </c>
    </row>
    <row r="279" spans="1:34" x14ac:dyDescent="0.3">
      <c r="A279" s="2" t="s">
        <v>1011</v>
      </c>
      <c r="B279" s="2" t="s">
        <v>1721</v>
      </c>
      <c r="C279" s="2" t="s">
        <v>371</v>
      </c>
      <c r="D279" s="2" t="s">
        <v>119</v>
      </c>
      <c r="E279" s="2" t="s">
        <v>169</v>
      </c>
      <c r="F279" s="2" t="s">
        <v>42</v>
      </c>
      <c r="G279" s="2">
        <v>96</v>
      </c>
      <c r="H279" s="2" t="s">
        <v>31</v>
      </c>
      <c r="I279" s="2" t="s">
        <v>74</v>
      </c>
      <c r="J279" s="2" t="s">
        <v>163</v>
      </c>
      <c r="K279" s="2" t="s">
        <v>34</v>
      </c>
      <c r="L279" s="13">
        <v>43751</v>
      </c>
      <c r="M279" s="2">
        <v>31</v>
      </c>
      <c r="N279" s="2">
        <v>119</v>
      </c>
      <c r="O279" s="2">
        <v>70</v>
      </c>
      <c r="P279" s="2">
        <v>459</v>
      </c>
      <c r="Q279" s="2">
        <v>794</v>
      </c>
      <c r="R279" s="2">
        <v>220</v>
      </c>
      <c r="S279" s="2">
        <v>275</v>
      </c>
      <c r="T279" s="2">
        <v>467</v>
      </c>
      <c r="U279" s="2">
        <v>213</v>
      </c>
      <c r="V279" s="12">
        <f>ABS(RPG_dataset[[#This Row],[Win Rate (%)]])</f>
        <v>37</v>
      </c>
      <c r="W279" s="2">
        <v>3225</v>
      </c>
      <c r="X279" s="9">
        <v>697160</v>
      </c>
      <c r="Y279" s="2" t="s">
        <v>46</v>
      </c>
      <c r="Z279" s="2">
        <v>152</v>
      </c>
      <c r="AA279" s="2" t="s">
        <v>1737</v>
      </c>
      <c r="AB279" s="2" t="b">
        <v>0</v>
      </c>
      <c r="AC279" s="2" t="s">
        <v>1726</v>
      </c>
      <c r="AD279" s="2" t="s">
        <v>1727</v>
      </c>
      <c r="AE279" s="2" t="s">
        <v>1728</v>
      </c>
      <c r="AF279" s="2" t="s">
        <v>1729</v>
      </c>
      <c r="AG279" s="28">
        <f>MAX(clean_data[[#This Row],[ATK]:[SPD]]) - MIN(clean_data[[#This Row],[ATK]:[SPD]])</f>
        <v>88</v>
      </c>
      <c r="AH279" s="28" t="str">
        <f>IF(clean_data[[#This Row],[Balanced Score]] = MIN(clean_data[Balanced Score]), "Most Balanced", "")</f>
        <v/>
      </c>
    </row>
    <row r="280" spans="1:34" x14ac:dyDescent="0.3">
      <c r="A280" s="2" t="s">
        <v>1014</v>
      </c>
      <c r="B280" s="2" t="s">
        <v>1015</v>
      </c>
      <c r="C280" s="2" t="s">
        <v>339</v>
      </c>
      <c r="D280" s="2" t="s">
        <v>50</v>
      </c>
      <c r="E280" s="2" t="s">
        <v>105</v>
      </c>
      <c r="F280" s="2" t="s">
        <v>194</v>
      </c>
      <c r="G280" s="2">
        <v>10</v>
      </c>
      <c r="H280" s="2" t="s">
        <v>80</v>
      </c>
      <c r="I280" s="2" t="s">
        <v>126</v>
      </c>
      <c r="J280" s="2" t="s">
        <v>163</v>
      </c>
      <c r="K280" s="2" t="s">
        <v>34</v>
      </c>
      <c r="L280" s="13">
        <v>44765</v>
      </c>
      <c r="M280" s="2">
        <v>134</v>
      </c>
      <c r="N280" s="2">
        <v>11</v>
      </c>
      <c r="O280" s="2">
        <v>31</v>
      </c>
      <c r="P280" s="2">
        <v>4844</v>
      </c>
      <c r="Q280" s="2">
        <v>1673</v>
      </c>
      <c r="R280" s="2">
        <v>176</v>
      </c>
      <c r="S280" s="2">
        <v>4688</v>
      </c>
      <c r="T280" s="2">
        <v>500</v>
      </c>
      <c r="U280" s="2"/>
      <c r="V280" s="12">
        <f>ABS(RPG_dataset[[#This Row],[Win Rate (%)]])</f>
        <v>90</v>
      </c>
      <c r="W280" s="2">
        <v>4693</v>
      </c>
      <c r="X280" s="9">
        <v>94453</v>
      </c>
      <c r="Y280" s="2" t="s">
        <v>46</v>
      </c>
      <c r="Z280" s="2">
        <v>442</v>
      </c>
      <c r="AA280" s="2" t="s">
        <v>1735</v>
      </c>
      <c r="AB280" s="2" t="b">
        <v>0</v>
      </c>
      <c r="AC280" s="2" t="s">
        <v>1730</v>
      </c>
      <c r="AD280" s="2" t="s">
        <v>1727</v>
      </c>
      <c r="AE280" s="2" t="s">
        <v>1728</v>
      </c>
      <c r="AF280" s="2" t="s">
        <v>1729</v>
      </c>
      <c r="AG280" s="28">
        <f>MAX(clean_data[[#This Row],[ATK]:[SPD]]) - MIN(clean_data[[#This Row],[ATK]:[SPD]])</f>
        <v>123</v>
      </c>
      <c r="AH280" s="28" t="str">
        <f>IF(clean_data[[#This Row],[Balanced Score]] = MIN(clean_data[Balanced Score]), "Most Balanced", "")</f>
        <v/>
      </c>
    </row>
    <row r="281" spans="1:34" x14ac:dyDescent="0.3">
      <c r="A281" s="2" t="s">
        <v>1016</v>
      </c>
      <c r="B281" s="2" t="s">
        <v>1017</v>
      </c>
      <c r="C281" s="2" t="s">
        <v>296</v>
      </c>
      <c r="D281" s="2" t="s">
        <v>254</v>
      </c>
      <c r="E281" s="2" t="s">
        <v>29</v>
      </c>
      <c r="F281" s="2" t="s">
        <v>52</v>
      </c>
      <c r="G281" s="2">
        <v>55</v>
      </c>
      <c r="H281" s="2" t="s">
        <v>62</v>
      </c>
      <c r="I281" s="2" t="s">
        <v>74</v>
      </c>
      <c r="J281" s="2" t="s">
        <v>92</v>
      </c>
      <c r="K281" s="2" t="s">
        <v>106</v>
      </c>
      <c r="L281" s="13">
        <v>43275</v>
      </c>
      <c r="M281" s="2">
        <v>51</v>
      </c>
      <c r="N281" s="2">
        <v>64</v>
      </c>
      <c r="O281" s="2">
        <v>121</v>
      </c>
      <c r="P281" s="2">
        <v>1737</v>
      </c>
      <c r="Q281" s="2">
        <v>2860</v>
      </c>
      <c r="R281" s="2">
        <v>236</v>
      </c>
      <c r="S281" s="2">
        <v>3739</v>
      </c>
      <c r="T281" s="2">
        <v>59</v>
      </c>
      <c r="U281" s="2">
        <v>156</v>
      </c>
      <c r="V281" s="12">
        <f>ABS(RPG_dataset[[#This Row],[Win Rate (%)]])</f>
        <v>98</v>
      </c>
      <c r="W281" s="2">
        <v>2124</v>
      </c>
      <c r="X281" s="9">
        <v>916899</v>
      </c>
      <c r="Y281" s="2" t="s">
        <v>36</v>
      </c>
      <c r="Z281" s="2">
        <v>44</v>
      </c>
      <c r="AA281" s="2" t="s">
        <v>1725</v>
      </c>
      <c r="AB281" s="2" t="b">
        <v>0</v>
      </c>
      <c r="AC281" s="2" t="s">
        <v>1730</v>
      </c>
      <c r="AD281" s="2" t="s">
        <v>1727</v>
      </c>
      <c r="AE281" s="2" t="s">
        <v>1731</v>
      </c>
      <c r="AF281" s="2" t="s">
        <v>1736</v>
      </c>
      <c r="AG281" s="28">
        <f>MAX(clean_data[[#This Row],[ATK]:[SPD]]) - MIN(clean_data[[#This Row],[ATK]:[SPD]])</f>
        <v>70</v>
      </c>
      <c r="AH281" s="28" t="str">
        <f>IF(clean_data[[#This Row],[Balanced Score]] = MIN(clean_data[Balanced Score]), "Most Balanced", "")</f>
        <v/>
      </c>
    </row>
    <row r="282" spans="1:34" x14ac:dyDescent="0.3">
      <c r="A282" s="2" t="s">
        <v>1019</v>
      </c>
      <c r="B282" s="2" t="s">
        <v>75</v>
      </c>
      <c r="C282" s="2" t="s">
        <v>604</v>
      </c>
      <c r="D282" s="2" t="s">
        <v>618</v>
      </c>
      <c r="E282" s="2" t="s">
        <v>51</v>
      </c>
      <c r="F282" s="2" t="s">
        <v>30</v>
      </c>
      <c r="G282" s="2">
        <v>1</v>
      </c>
      <c r="H282" s="2" t="s">
        <v>53</v>
      </c>
      <c r="I282" s="2" t="s">
        <v>32</v>
      </c>
      <c r="J282" s="2" t="s">
        <v>163</v>
      </c>
      <c r="K282" s="2" t="s">
        <v>75</v>
      </c>
      <c r="L282" s="13">
        <v>43243</v>
      </c>
      <c r="M282" s="2">
        <v>82</v>
      </c>
      <c r="N282" s="2">
        <v>136</v>
      </c>
      <c r="O282" s="2">
        <v>103</v>
      </c>
      <c r="P282" s="2">
        <v>1538</v>
      </c>
      <c r="Q282" s="2">
        <v>2254</v>
      </c>
      <c r="R282" s="2">
        <v>321</v>
      </c>
      <c r="S282" s="2">
        <v>3995</v>
      </c>
      <c r="T282" s="2">
        <v>616</v>
      </c>
      <c r="U282" s="2">
        <v>10</v>
      </c>
      <c r="V282" s="12">
        <f>ABS(RPG_dataset[[#This Row],[Win Rate (%)]])</f>
        <v>87</v>
      </c>
      <c r="W282" s="2">
        <v>2296</v>
      </c>
      <c r="X282" s="9">
        <v>932094</v>
      </c>
      <c r="Y282" s="2" t="s">
        <v>36</v>
      </c>
      <c r="Z282" s="2">
        <v>34</v>
      </c>
      <c r="AA282" s="2" t="s">
        <v>1735</v>
      </c>
      <c r="AB282" s="2" t="b">
        <v>0</v>
      </c>
      <c r="AC282" s="2" t="s">
        <v>1730</v>
      </c>
      <c r="AD282" s="2" t="s">
        <v>1727</v>
      </c>
      <c r="AE282" s="2" t="s">
        <v>1728</v>
      </c>
      <c r="AF282" s="2" t="s">
        <v>1736</v>
      </c>
      <c r="AG282" s="28">
        <f>MAX(clean_data[[#This Row],[ATK]:[SPD]]) - MIN(clean_data[[#This Row],[ATK]:[SPD]])</f>
        <v>54</v>
      </c>
      <c r="AH282" s="28" t="str">
        <f>IF(clean_data[[#This Row],[Balanced Score]] = MIN(clean_data[Balanced Score]), "Most Balanced", "")</f>
        <v/>
      </c>
    </row>
    <row r="283" spans="1:34" x14ac:dyDescent="0.3">
      <c r="A283" s="2" t="s">
        <v>1021</v>
      </c>
      <c r="B283" s="2" t="s">
        <v>1022</v>
      </c>
      <c r="C283" s="2" t="s">
        <v>118</v>
      </c>
      <c r="D283" s="2" t="s">
        <v>40</v>
      </c>
      <c r="E283" s="2" t="s">
        <v>41</v>
      </c>
      <c r="F283" s="2" t="s">
        <v>72</v>
      </c>
      <c r="G283" s="2">
        <v>31</v>
      </c>
      <c r="H283" s="2" t="s">
        <v>53</v>
      </c>
      <c r="I283" s="2" t="s">
        <v>32</v>
      </c>
      <c r="J283" s="2" t="s">
        <v>92</v>
      </c>
      <c r="K283" s="2" t="s">
        <v>44</v>
      </c>
      <c r="L283" s="13">
        <v>43925</v>
      </c>
      <c r="M283" s="2">
        <v>89</v>
      </c>
      <c r="N283" s="2">
        <v>121</v>
      </c>
      <c r="O283" s="2">
        <v>44</v>
      </c>
      <c r="P283" s="2">
        <v>4075</v>
      </c>
      <c r="Q283" s="2">
        <v>2893</v>
      </c>
      <c r="R283" s="2">
        <v>254</v>
      </c>
      <c r="S283" s="2">
        <v>2084</v>
      </c>
      <c r="T283" s="2">
        <v>540</v>
      </c>
      <c r="U283" s="2">
        <v>19</v>
      </c>
      <c r="V283" s="12">
        <f>ABS(RPG_dataset[[#This Row],[Win Rate (%)]])</f>
        <v>79</v>
      </c>
      <c r="W283" s="2">
        <v>4561</v>
      </c>
      <c r="X283" s="9">
        <v>230035</v>
      </c>
      <c r="Y283" s="2" t="s">
        <v>36</v>
      </c>
      <c r="Z283" s="2">
        <v>383</v>
      </c>
      <c r="AA283" s="2" t="s">
        <v>1733</v>
      </c>
      <c r="AB283" s="2" t="b">
        <v>1</v>
      </c>
      <c r="AC283" s="2" t="s">
        <v>1730</v>
      </c>
      <c r="AD283" s="2" t="s">
        <v>1727</v>
      </c>
      <c r="AE283" s="2" t="s">
        <v>1728</v>
      </c>
      <c r="AF283" s="2" t="s">
        <v>1734</v>
      </c>
      <c r="AG283" s="28">
        <f>MAX(clean_data[[#This Row],[ATK]:[SPD]]) - MIN(clean_data[[#This Row],[ATK]:[SPD]])</f>
        <v>77</v>
      </c>
      <c r="AH283" s="28" t="str">
        <f>IF(clean_data[[#This Row],[Balanced Score]] = MIN(clean_data[Balanced Score]), "Most Balanced", "")</f>
        <v/>
      </c>
    </row>
    <row r="284" spans="1:34" x14ac:dyDescent="0.3">
      <c r="A284" s="2" t="s">
        <v>1025</v>
      </c>
      <c r="B284" s="2" t="s">
        <v>1026</v>
      </c>
      <c r="C284" s="2" t="s">
        <v>123</v>
      </c>
      <c r="D284" s="2" t="s">
        <v>304</v>
      </c>
      <c r="E284" s="2" t="s">
        <v>105</v>
      </c>
      <c r="F284" s="2" t="s">
        <v>52</v>
      </c>
      <c r="G284" s="2">
        <v>50</v>
      </c>
      <c r="H284" s="2" t="s">
        <v>31</v>
      </c>
      <c r="I284" s="2" t="s">
        <v>74</v>
      </c>
      <c r="J284" s="2" t="s">
        <v>64</v>
      </c>
      <c r="K284" s="2" t="s">
        <v>99</v>
      </c>
      <c r="L284" s="13">
        <v>44553</v>
      </c>
      <c r="M284" s="2">
        <v>78</v>
      </c>
      <c r="N284" s="2">
        <v>93</v>
      </c>
      <c r="O284" s="2">
        <v>30</v>
      </c>
      <c r="P284" s="2">
        <v>2443</v>
      </c>
      <c r="Q284" s="2">
        <v>2039</v>
      </c>
      <c r="R284" s="2">
        <v>201</v>
      </c>
      <c r="S284" s="2">
        <v>4496</v>
      </c>
      <c r="T284" s="2">
        <v>547</v>
      </c>
      <c r="U284" s="2">
        <v>69</v>
      </c>
      <c r="V284" s="12">
        <f>ABS(RPG_dataset[[#This Row],[Win Rate (%)]])</f>
        <v>89</v>
      </c>
      <c r="W284" s="2">
        <v>3366</v>
      </c>
      <c r="X284" s="9">
        <v>277949</v>
      </c>
      <c r="Y284" s="2" t="s">
        <v>36</v>
      </c>
      <c r="Z284" s="2">
        <v>363</v>
      </c>
      <c r="AA284" s="2" t="s">
        <v>1733</v>
      </c>
      <c r="AB284" s="2" t="b">
        <v>0</v>
      </c>
      <c r="AC284" s="2" t="s">
        <v>1730</v>
      </c>
      <c r="AD284" s="2" t="s">
        <v>1727</v>
      </c>
      <c r="AE284" s="2" t="s">
        <v>1728</v>
      </c>
      <c r="AF284" s="2" t="s">
        <v>1729</v>
      </c>
      <c r="AG284" s="28">
        <f>MAX(clean_data[[#This Row],[ATK]:[SPD]]) - MIN(clean_data[[#This Row],[ATK]:[SPD]])</f>
        <v>63</v>
      </c>
      <c r="AH284" s="28" t="str">
        <f>IF(clean_data[[#This Row],[Balanced Score]] = MIN(clean_data[Balanced Score]), "Most Balanced", "")</f>
        <v/>
      </c>
    </row>
    <row r="285" spans="1:34" x14ac:dyDescent="0.3">
      <c r="A285" s="2" t="s">
        <v>1028</v>
      </c>
      <c r="B285" s="2" t="s">
        <v>1029</v>
      </c>
      <c r="C285" s="2" t="s">
        <v>604</v>
      </c>
      <c r="D285" s="2" t="s">
        <v>70</v>
      </c>
      <c r="E285" s="2" t="s">
        <v>71</v>
      </c>
      <c r="F285" s="2" t="s">
        <v>98</v>
      </c>
      <c r="G285" s="2">
        <v>36</v>
      </c>
      <c r="H285" s="2" t="s">
        <v>62</v>
      </c>
      <c r="I285" s="2" t="s">
        <v>140</v>
      </c>
      <c r="J285" s="2" t="s">
        <v>92</v>
      </c>
      <c r="K285" s="2" t="s">
        <v>44</v>
      </c>
      <c r="L285" s="13">
        <v>43944</v>
      </c>
      <c r="M285" s="2">
        <v>67</v>
      </c>
      <c r="N285" s="2">
        <v>70</v>
      </c>
      <c r="O285" s="2">
        <v>111</v>
      </c>
      <c r="P285" s="2">
        <v>2681</v>
      </c>
      <c r="Q285" s="2">
        <v>1647</v>
      </c>
      <c r="R285" s="2">
        <v>248</v>
      </c>
      <c r="S285" s="2">
        <v>4547</v>
      </c>
      <c r="T285" s="2">
        <v>841</v>
      </c>
      <c r="U285" s="2">
        <v>254</v>
      </c>
      <c r="V285" s="12">
        <f>ABS(RPG_dataset[[#This Row],[Win Rate (%)]])</f>
        <v>84</v>
      </c>
      <c r="W285" s="2">
        <v>9751</v>
      </c>
      <c r="X285" s="9"/>
      <c r="Y285" s="2" t="s">
        <v>46</v>
      </c>
      <c r="Z285" s="2">
        <v>486</v>
      </c>
      <c r="AA285" s="2" t="s">
        <v>1733</v>
      </c>
      <c r="AB285" s="2" t="b">
        <v>1</v>
      </c>
      <c r="AC285" s="2" t="s">
        <v>1730</v>
      </c>
      <c r="AD285" s="2" t="s">
        <v>1727</v>
      </c>
      <c r="AE285" s="2" t="s">
        <v>1728</v>
      </c>
      <c r="AF285" s="2" t="s">
        <v>1740</v>
      </c>
      <c r="AG285" s="28">
        <f>MAX(clean_data[[#This Row],[ATK]:[SPD]]) - MIN(clean_data[[#This Row],[ATK]:[SPD]])</f>
        <v>44</v>
      </c>
      <c r="AH285" s="28" t="str">
        <f>IF(clean_data[[#This Row],[Balanced Score]] = MIN(clean_data[Balanced Score]), "Most Balanced", "")</f>
        <v/>
      </c>
    </row>
    <row r="286" spans="1:34" x14ac:dyDescent="0.3">
      <c r="A286" s="2" t="s">
        <v>1031</v>
      </c>
      <c r="B286" s="2" t="s">
        <v>1032</v>
      </c>
      <c r="C286" s="2" t="s">
        <v>296</v>
      </c>
      <c r="D286" s="2" t="s">
        <v>59</v>
      </c>
      <c r="E286" s="2" t="s">
        <v>41</v>
      </c>
      <c r="F286" s="2" t="s">
        <v>30</v>
      </c>
      <c r="G286" s="2">
        <v>31</v>
      </c>
      <c r="H286" s="2" t="s">
        <v>75</v>
      </c>
      <c r="I286" s="2" t="s">
        <v>32</v>
      </c>
      <c r="J286" s="2" t="s">
        <v>33</v>
      </c>
      <c r="K286" s="2" t="s">
        <v>44</v>
      </c>
      <c r="L286" s="13">
        <v>43668</v>
      </c>
      <c r="M286" s="2">
        <v>28</v>
      </c>
      <c r="N286" s="2">
        <v>47</v>
      </c>
      <c r="O286" s="2">
        <v>87</v>
      </c>
      <c r="P286" s="2">
        <v>2618</v>
      </c>
      <c r="Q286" s="2">
        <v>1613</v>
      </c>
      <c r="R286" s="2">
        <v>162</v>
      </c>
      <c r="S286" s="2">
        <v>4397</v>
      </c>
      <c r="T286" s="2">
        <v>566</v>
      </c>
      <c r="U286" s="2">
        <v>298</v>
      </c>
      <c r="V286" s="12">
        <f>ABS(RPG_dataset[[#This Row],[Win Rate (%)]])</f>
        <v>89</v>
      </c>
      <c r="W286" s="2">
        <v>9704</v>
      </c>
      <c r="X286" s="9">
        <v>263600</v>
      </c>
      <c r="Y286" s="2" t="s">
        <v>46</v>
      </c>
      <c r="Z286" s="2">
        <v>370</v>
      </c>
      <c r="AA286" s="2" t="s">
        <v>1733</v>
      </c>
      <c r="AB286" s="2" t="b">
        <v>1</v>
      </c>
      <c r="AC286" s="2" t="s">
        <v>1730</v>
      </c>
      <c r="AD286" s="2" t="s">
        <v>1727</v>
      </c>
      <c r="AE286" s="2" t="s">
        <v>1728</v>
      </c>
      <c r="AF286" s="2" t="s">
        <v>1736</v>
      </c>
      <c r="AG286" s="28">
        <f>MAX(clean_data[[#This Row],[ATK]:[SPD]]) - MIN(clean_data[[#This Row],[ATK]:[SPD]])</f>
        <v>59</v>
      </c>
      <c r="AH286" s="28" t="str">
        <f>IF(clean_data[[#This Row],[Balanced Score]] = MIN(clean_data[Balanced Score]), "Most Balanced", "")</f>
        <v/>
      </c>
    </row>
    <row r="287" spans="1:34" x14ac:dyDescent="0.3">
      <c r="A287" s="2" t="s">
        <v>1034</v>
      </c>
      <c r="B287" s="2" t="s">
        <v>1035</v>
      </c>
      <c r="C287" s="2" t="s">
        <v>507</v>
      </c>
      <c r="D287" s="2" t="s">
        <v>162</v>
      </c>
      <c r="E287" s="2" t="s">
        <v>71</v>
      </c>
      <c r="F287" s="2" t="s">
        <v>42</v>
      </c>
      <c r="G287" s="2">
        <v>65</v>
      </c>
      <c r="H287" s="2" t="s">
        <v>31</v>
      </c>
      <c r="I287" s="2" t="s">
        <v>63</v>
      </c>
      <c r="J287" s="2" t="s">
        <v>88</v>
      </c>
      <c r="K287" s="2" t="s">
        <v>106</v>
      </c>
      <c r="L287" s="13">
        <v>45541</v>
      </c>
      <c r="M287" s="2">
        <v>46</v>
      </c>
      <c r="N287" s="2">
        <v>124</v>
      </c>
      <c r="O287" s="2">
        <v>43</v>
      </c>
      <c r="P287" s="2">
        <v>2061</v>
      </c>
      <c r="Q287" s="2">
        <v>1089</v>
      </c>
      <c r="R287" s="2">
        <v>213</v>
      </c>
      <c r="S287" s="2">
        <v>4435</v>
      </c>
      <c r="T287" s="2">
        <v>263</v>
      </c>
      <c r="U287" s="2">
        <v>220</v>
      </c>
      <c r="V287" s="12">
        <f>ABS(RPG_dataset[[#This Row],[Win Rate (%)]])</f>
        <v>94</v>
      </c>
      <c r="W287" s="2">
        <v>4455</v>
      </c>
      <c r="X287" s="9">
        <v>526139</v>
      </c>
      <c r="Y287" s="2" t="s">
        <v>46</v>
      </c>
      <c r="Z287" s="2">
        <v>237</v>
      </c>
      <c r="AA287" s="2" t="s">
        <v>1725</v>
      </c>
      <c r="AB287" s="2" t="b">
        <v>0</v>
      </c>
      <c r="AC287" s="2" t="s">
        <v>1730</v>
      </c>
      <c r="AD287" s="2" t="s">
        <v>1727</v>
      </c>
      <c r="AE287" s="2" t="s">
        <v>1728</v>
      </c>
      <c r="AF287" s="2" t="s">
        <v>1729</v>
      </c>
      <c r="AG287" s="28">
        <f>MAX(clean_data[[#This Row],[ATK]:[SPD]]) - MIN(clean_data[[#This Row],[ATK]:[SPD]])</f>
        <v>81</v>
      </c>
      <c r="AH287" s="28" t="str">
        <f>IF(clean_data[[#This Row],[Balanced Score]] = MIN(clean_data[Balanced Score]), "Most Balanced", "")</f>
        <v/>
      </c>
    </row>
    <row r="288" spans="1:34" x14ac:dyDescent="0.3">
      <c r="A288" s="2" t="s">
        <v>1037</v>
      </c>
      <c r="B288" s="2" t="s">
        <v>1038</v>
      </c>
      <c r="C288" s="2" t="s">
        <v>203</v>
      </c>
      <c r="D288" s="2" t="s">
        <v>40</v>
      </c>
      <c r="E288" s="2" t="s">
        <v>105</v>
      </c>
      <c r="F288" s="2" t="s">
        <v>75</v>
      </c>
      <c r="G288" s="2">
        <v>60</v>
      </c>
      <c r="H288" s="2" t="s">
        <v>62</v>
      </c>
      <c r="I288" s="2" t="s">
        <v>63</v>
      </c>
      <c r="J288" s="2" t="s">
        <v>64</v>
      </c>
      <c r="K288" s="2" t="s">
        <v>44</v>
      </c>
      <c r="L288" s="13">
        <v>43331</v>
      </c>
      <c r="M288" s="2">
        <v>105</v>
      </c>
      <c r="N288" s="2">
        <v>129</v>
      </c>
      <c r="O288" s="2">
        <v>12</v>
      </c>
      <c r="P288" s="2">
        <v>4289</v>
      </c>
      <c r="Q288" s="2">
        <v>202</v>
      </c>
      <c r="R288" s="2">
        <v>246</v>
      </c>
      <c r="S288" s="2">
        <v>1180</v>
      </c>
      <c r="T288" s="2">
        <v>102</v>
      </c>
      <c r="U288" s="2">
        <v>105</v>
      </c>
      <c r="V288" s="12">
        <f>ABS(RPG_dataset[[#This Row],[Win Rate (%)]])</f>
        <v>92</v>
      </c>
      <c r="W288" s="2">
        <v>9279</v>
      </c>
      <c r="X288" s="9">
        <v>21881</v>
      </c>
      <c r="Y288" s="2" t="s">
        <v>46</v>
      </c>
      <c r="Z288" s="2">
        <v>473</v>
      </c>
      <c r="AA288" s="2" t="s">
        <v>1725</v>
      </c>
      <c r="AB288" s="2" t="b">
        <v>0</v>
      </c>
      <c r="AC288" s="2" t="s">
        <v>1730</v>
      </c>
      <c r="AD288" s="2" t="s">
        <v>1727</v>
      </c>
      <c r="AE288" s="2" t="s">
        <v>1728</v>
      </c>
      <c r="AF288" s="2" t="s">
        <v>1734</v>
      </c>
      <c r="AG288" s="28">
        <f>MAX(clean_data[[#This Row],[ATK]:[SPD]]) - MIN(clean_data[[#This Row],[ATK]:[SPD]])</f>
        <v>117</v>
      </c>
      <c r="AH288" s="28" t="str">
        <f>IF(clean_data[[#This Row],[Balanced Score]] = MIN(clean_data[Balanced Score]), "Most Balanced", "")</f>
        <v/>
      </c>
    </row>
    <row r="289" spans="1:34" x14ac:dyDescent="0.3">
      <c r="A289" s="2" t="s">
        <v>1040</v>
      </c>
      <c r="B289" s="2" t="s">
        <v>1041</v>
      </c>
      <c r="C289" s="2" t="s">
        <v>49</v>
      </c>
      <c r="D289" s="2" t="s">
        <v>168</v>
      </c>
      <c r="E289" s="2" t="s">
        <v>71</v>
      </c>
      <c r="F289" s="2" t="s">
        <v>194</v>
      </c>
      <c r="G289" s="2">
        <v>71</v>
      </c>
      <c r="H289" s="2" t="s">
        <v>31</v>
      </c>
      <c r="I289" s="2" t="s">
        <v>126</v>
      </c>
      <c r="J289" s="2" t="s">
        <v>64</v>
      </c>
      <c r="K289" s="2" t="s">
        <v>34</v>
      </c>
      <c r="L289" s="13">
        <v>43216</v>
      </c>
      <c r="M289" s="2">
        <v>84</v>
      </c>
      <c r="N289" s="2">
        <v>148</v>
      </c>
      <c r="O289" s="2">
        <v>28</v>
      </c>
      <c r="P289" s="2">
        <v>4525</v>
      </c>
      <c r="Q289" s="2">
        <v>2170</v>
      </c>
      <c r="R289" s="2">
        <v>260</v>
      </c>
      <c r="S289" s="2">
        <v>3890</v>
      </c>
      <c r="T289" s="2">
        <v>311</v>
      </c>
      <c r="U289" s="2">
        <v>122</v>
      </c>
      <c r="V289" s="12">
        <f>ABS(RPG_dataset[[#This Row],[Win Rate (%)]])</f>
        <v>93</v>
      </c>
      <c r="W289" s="2">
        <v>2349</v>
      </c>
      <c r="X289" s="9">
        <v>390986</v>
      </c>
      <c r="Y289" s="2" t="s">
        <v>46</v>
      </c>
      <c r="Z289" s="2">
        <v>309</v>
      </c>
      <c r="AA289" s="2" t="s">
        <v>1725</v>
      </c>
      <c r="AB289" s="2" t="b">
        <v>0</v>
      </c>
      <c r="AC289" s="2" t="s">
        <v>1730</v>
      </c>
      <c r="AD289" s="2" t="s">
        <v>1727</v>
      </c>
      <c r="AE289" s="2" t="s">
        <v>1728</v>
      </c>
      <c r="AF289" s="2" t="s">
        <v>1734</v>
      </c>
      <c r="AG289" s="28">
        <f>MAX(clean_data[[#This Row],[ATK]:[SPD]]) - MIN(clean_data[[#This Row],[ATK]:[SPD]])</f>
        <v>120</v>
      </c>
      <c r="AH289" s="28" t="str">
        <f>IF(clean_data[[#This Row],[Balanced Score]] = MIN(clean_data[Balanced Score]), "Most Balanced", "")</f>
        <v/>
      </c>
    </row>
    <row r="290" spans="1:34" x14ac:dyDescent="0.3">
      <c r="A290" s="2" t="s">
        <v>1043</v>
      </c>
      <c r="B290" s="2" t="s">
        <v>1044</v>
      </c>
      <c r="C290" s="2" t="s">
        <v>58</v>
      </c>
      <c r="D290" s="2" t="s">
        <v>401</v>
      </c>
      <c r="E290" s="2" t="s">
        <v>41</v>
      </c>
      <c r="F290" s="2" t="s">
        <v>124</v>
      </c>
      <c r="G290" s="2">
        <v>93</v>
      </c>
      <c r="H290" s="2" t="s">
        <v>157</v>
      </c>
      <c r="I290" s="2" t="s">
        <v>63</v>
      </c>
      <c r="J290" s="2" t="s">
        <v>88</v>
      </c>
      <c r="K290" s="2" t="s">
        <v>106</v>
      </c>
      <c r="L290" s="13">
        <v>44974</v>
      </c>
      <c r="M290" s="2">
        <v>28</v>
      </c>
      <c r="N290" s="2">
        <v>143</v>
      </c>
      <c r="O290" s="2">
        <v>25</v>
      </c>
      <c r="P290" s="2">
        <v>3829</v>
      </c>
      <c r="Q290" s="2"/>
      <c r="R290" s="2"/>
      <c r="S290" s="2">
        <v>4035</v>
      </c>
      <c r="T290" s="2">
        <v>932</v>
      </c>
      <c r="U290" s="2">
        <v>202</v>
      </c>
      <c r="V290" s="12">
        <f>ABS(RPG_dataset[[#This Row],[Win Rate (%)]])</f>
        <v>81</v>
      </c>
      <c r="W290" s="2">
        <v>8632</v>
      </c>
      <c r="X290" s="9">
        <v>624129</v>
      </c>
      <c r="Y290" s="2" t="s">
        <v>46</v>
      </c>
      <c r="Z290" s="2">
        <v>190</v>
      </c>
      <c r="AA290" s="2" t="s">
        <v>1737</v>
      </c>
      <c r="AB290" s="2" t="b">
        <v>0</v>
      </c>
      <c r="AC290" s="2" t="s">
        <v>1730</v>
      </c>
      <c r="AD290" s="2" t="s">
        <v>1727</v>
      </c>
      <c r="AE290" s="2" t="s">
        <v>1728</v>
      </c>
      <c r="AF290" s="2" t="s">
        <v>1734</v>
      </c>
      <c r="AG290" s="28">
        <f>MAX(clean_data[[#This Row],[ATK]:[SPD]]) - MIN(clean_data[[#This Row],[ATK]:[SPD]])</f>
        <v>118</v>
      </c>
      <c r="AH290" s="28" t="str">
        <f>IF(clean_data[[#This Row],[Balanced Score]] = MIN(clean_data[Balanced Score]), "Most Balanced", "")</f>
        <v/>
      </c>
    </row>
    <row r="291" spans="1:34" x14ac:dyDescent="0.3">
      <c r="A291" s="2" t="s">
        <v>1046</v>
      </c>
      <c r="B291" s="2" t="s">
        <v>1047</v>
      </c>
      <c r="C291" s="2" t="s">
        <v>367</v>
      </c>
      <c r="D291" s="2" t="s">
        <v>28</v>
      </c>
      <c r="E291" s="2" t="s">
        <v>29</v>
      </c>
      <c r="F291" s="2" t="s">
        <v>61</v>
      </c>
      <c r="G291" s="2">
        <v>90</v>
      </c>
      <c r="H291" s="2" t="s">
        <v>62</v>
      </c>
      <c r="I291" s="2" t="s">
        <v>54</v>
      </c>
      <c r="J291" s="2" t="s">
        <v>33</v>
      </c>
      <c r="K291" s="2" t="s">
        <v>106</v>
      </c>
      <c r="L291" s="13">
        <v>44805</v>
      </c>
      <c r="M291" s="2"/>
      <c r="N291" s="2">
        <v>111</v>
      </c>
      <c r="O291" s="2">
        <v>46</v>
      </c>
      <c r="P291" s="2">
        <v>3912</v>
      </c>
      <c r="Q291" s="2">
        <v>267</v>
      </c>
      <c r="R291" s="2">
        <v>180</v>
      </c>
      <c r="S291" s="2">
        <v>2315</v>
      </c>
      <c r="T291" s="2">
        <v>96</v>
      </c>
      <c r="U291" s="2"/>
      <c r="V291" s="12">
        <f>ABS(RPG_dataset[[#This Row],[Win Rate (%)]])</f>
        <v>96</v>
      </c>
      <c r="W291" s="2">
        <v>8285</v>
      </c>
      <c r="X291" s="9">
        <v>736738</v>
      </c>
      <c r="Y291" s="2" t="s">
        <v>46</v>
      </c>
      <c r="Z291" s="2">
        <v>135</v>
      </c>
      <c r="AA291" s="2" t="s">
        <v>1737</v>
      </c>
      <c r="AB291" s="2" t="b">
        <v>0</v>
      </c>
      <c r="AC291" s="2" t="s">
        <v>1730</v>
      </c>
      <c r="AD291" s="2" t="s">
        <v>1727</v>
      </c>
      <c r="AE291" s="2" t="s">
        <v>1728</v>
      </c>
      <c r="AF291" s="2" t="s">
        <v>1734</v>
      </c>
      <c r="AG291" s="28">
        <f>MAX(clean_data[[#This Row],[ATK]:[SPD]]) - MIN(clean_data[[#This Row],[ATK]:[SPD]])</f>
        <v>65</v>
      </c>
      <c r="AH291" s="28" t="str">
        <f>IF(clean_data[[#This Row],[Balanced Score]] = MIN(clean_data[Balanced Score]), "Most Balanced", "")</f>
        <v/>
      </c>
    </row>
    <row r="292" spans="1:34" x14ac:dyDescent="0.3">
      <c r="A292" s="2" t="s">
        <v>1049</v>
      </c>
      <c r="B292" s="2" t="s">
        <v>1050</v>
      </c>
      <c r="C292" s="2" t="s">
        <v>296</v>
      </c>
      <c r="D292" s="2" t="s">
        <v>401</v>
      </c>
      <c r="E292" s="2" t="s">
        <v>29</v>
      </c>
      <c r="F292" s="2" t="s">
        <v>42</v>
      </c>
      <c r="G292" s="2">
        <v>96</v>
      </c>
      <c r="H292" s="2" t="s">
        <v>31</v>
      </c>
      <c r="I292" s="2" t="s">
        <v>126</v>
      </c>
      <c r="J292" s="2" t="s">
        <v>92</v>
      </c>
      <c r="K292" s="2" t="s">
        <v>44</v>
      </c>
      <c r="L292" s="13">
        <v>43475</v>
      </c>
      <c r="M292" s="2">
        <v>20</v>
      </c>
      <c r="N292" s="2">
        <v>44</v>
      </c>
      <c r="O292" s="2">
        <v>36</v>
      </c>
      <c r="P292" s="2"/>
      <c r="Q292" s="2">
        <v>824</v>
      </c>
      <c r="R292" s="2">
        <v>100</v>
      </c>
      <c r="S292" s="2">
        <v>2624</v>
      </c>
      <c r="T292" s="2">
        <v>804</v>
      </c>
      <c r="U292" s="2">
        <v>38</v>
      </c>
      <c r="V292" s="12">
        <f>ABS(RPG_dataset[[#This Row],[Win Rate (%)]])</f>
        <v>77</v>
      </c>
      <c r="W292" s="2">
        <v>7287</v>
      </c>
      <c r="X292" s="9">
        <v>857904</v>
      </c>
      <c r="Y292" s="2" t="s">
        <v>46</v>
      </c>
      <c r="Z292" s="2">
        <v>71</v>
      </c>
      <c r="AA292" s="2" t="s">
        <v>1737</v>
      </c>
      <c r="AB292" s="2" t="b">
        <v>1</v>
      </c>
      <c r="AC292" s="2" t="s">
        <v>1730</v>
      </c>
      <c r="AD292" s="2" t="s">
        <v>1727</v>
      </c>
      <c r="AE292" s="2" t="s">
        <v>1728</v>
      </c>
      <c r="AF292" s="2" t="s">
        <v>1729</v>
      </c>
      <c r="AG292" s="28">
        <f>MAX(clean_data[[#This Row],[ATK]:[SPD]]) - MIN(clean_data[[#This Row],[ATK]:[SPD]])</f>
        <v>24</v>
      </c>
      <c r="AH292" s="28" t="str">
        <f>IF(clean_data[[#This Row],[Balanced Score]] = MIN(clean_data[Balanced Score]), "Most Balanced", "")</f>
        <v/>
      </c>
    </row>
    <row r="293" spans="1:34" x14ac:dyDescent="0.3">
      <c r="A293" s="2" t="s">
        <v>1052</v>
      </c>
      <c r="B293" s="2" t="s">
        <v>847</v>
      </c>
      <c r="C293" s="2" t="s">
        <v>219</v>
      </c>
      <c r="D293" s="2" t="s">
        <v>104</v>
      </c>
      <c r="E293" s="2" t="s">
        <v>29</v>
      </c>
      <c r="F293" s="2" t="s">
        <v>61</v>
      </c>
      <c r="G293" s="2">
        <v>71</v>
      </c>
      <c r="H293" s="2" t="s">
        <v>43</v>
      </c>
      <c r="I293" s="2" t="s">
        <v>32</v>
      </c>
      <c r="J293" s="2" t="s">
        <v>33</v>
      </c>
      <c r="K293" s="2" t="s">
        <v>99</v>
      </c>
      <c r="L293" s="13">
        <v>43149</v>
      </c>
      <c r="M293" s="2"/>
      <c r="N293" s="2">
        <v>46</v>
      </c>
      <c r="O293" s="2">
        <v>108</v>
      </c>
      <c r="P293" s="2">
        <v>2612</v>
      </c>
      <c r="Q293" s="2">
        <v>279</v>
      </c>
      <c r="R293" s="2">
        <v>240</v>
      </c>
      <c r="S293" s="2">
        <v>3247</v>
      </c>
      <c r="T293" s="2">
        <v>326</v>
      </c>
      <c r="U293" s="2">
        <v>213</v>
      </c>
      <c r="V293" s="12">
        <f>ABS(RPG_dataset[[#This Row],[Win Rate (%)]])</f>
        <v>91</v>
      </c>
      <c r="W293" s="2">
        <v>4088</v>
      </c>
      <c r="X293" s="9">
        <v>677135</v>
      </c>
      <c r="Y293" s="2" t="s">
        <v>36</v>
      </c>
      <c r="Z293" s="2">
        <v>160</v>
      </c>
      <c r="AA293" s="2" t="s">
        <v>1725</v>
      </c>
      <c r="AB293" s="2" t="b">
        <v>0</v>
      </c>
      <c r="AC293" s="2" t="s">
        <v>1730</v>
      </c>
      <c r="AD293" s="2" t="s">
        <v>1727</v>
      </c>
      <c r="AE293" s="2" t="s">
        <v>1731</v>
      </c>
      <c r="AF293" s="2" t="s">
        <v>1736</v>
      </c>
      <c r="AG293" s="28">
        <f>MAX(clean_data[[#This Row],[ATK]:[SPD]]) - MIN(clean_data[[#This Row],[ATK]:[SPD]])</f>
        <v>62</v>
      </c>
      <c r="AH293" s="28" t="str">
        <f>IF(clean_data[[#This Row],[Balanced Score]] = MIN(clean_data[Balanced Score]), "Most Balanced", "")</f>
        <v/>
      </c>
    </row>
    <row r="294" spans="1:34" x14ac:dyDescent="0.3">
      <c r="A294" s="2" t="s">
        <v>1055</v>
      </c>
      <c r="B294" s="2" t="s">
        <v>1056</v>
      </c>
      <c r="C294" s="2" t="s">
        <v>130</v>
      </c>
      <c r="D294" s="2" t="s">
        <v>272</v>
      </c>
      <c r="E294" s="2" t="s">
        <v>71</v>
      </c>
      <c r="F294" s="2" t="s">
        <v>30</v>
      </c>
      <c r="G294" s="2">
        <v>87</v>
      </c>
      <c r="H294" s="2" t="s">
        <v>125</v>
      </c>
      <c r="I294" s="2" t="s">
        <v>74</v>
      </c>
      <c r="J294" s="2" t="s">
        <v>120</v>
      </c>
      <c r="K294" s="2" t="s">
        <v>106</v>
      </c>
      <c r="L294" s="13">
        <v>45210</v>
      </c>
      <c r="M294" s="2">
        <v>142</v>
      </c>
      <c r="N294" s="2">
        <v>79</v>
      </c>
      <c r="O294" s="2">
        <v>77</v>
      </c>
      <c r="P294" s="2">
        <v>1841</v>
      </c>
      <c r="Q294" s="2">
        <v>928</v>
      </c>
      <c r="R294" s="2">
        <v>298</v>
      </c>
      <c r="S294" s="2">
        <v>1713</v>
      </c>
      <c r="T294" s="2">
        <v>727</v>
      </c>
      <c r="U294" s="2">
        <v>159</v>
      </c>
      <c r="V294" s="12">
        <f>ABS(RPG_dataset[[#This Row],[Win Rate (%)]])</f>
        <v>70</v>
      </c>
      <c r="W294" s="2">
        <v>7579</v>
      </c>
      <c r="X294" s="9">
        <v>913442</v>
      </c>
      <c r="Y294" s="2" t="s">
        <v>46</v>
      </c>
      <c r="Z294" s="2">
        <v>47</v>
      </c>
      <c r="AA294" s="2" t="s">
        <v>1737</v>
      </c>
      <c r="AB294" s="2" t="b">
        <v>0</v>
      </c>
      <c r="AC294" s="2" t="s">
        <v>1738</v>
      </c>
      <c r="AD294" s="2" t="s">
        <v>1727</v>
      </c>
      <c r="AE294" s="2" t="s">
        <v>1728</v>
      </c>
      <c r="AF294" s="2" t="s">
        <v>1732</v>
      </c>
      <c r="AG294" s="28">
        <f>MAX(clean_data[[#This Row],[ATK]:[SPD]]) - MIN(clean_data[[#This Row],[ATK]:[SPD]])</f>
        <v>65</v>
      </c>
      <c r="AH294" s="28" t="str">
        <f>IF(clean_data[[#This Row],[Balanced Score]] = MIN(clean_data[Balanced Score]), "Most Balanced", "")</f>
        <v/>
      </c>
    </row>
    <row r="295" spans="1:34" x14ac:dyDescent="0.3">
      <c r="A295" s="2" t="s">
        <v>1058</v>
      </c>
      <c r="B295" s="2" t="s">
        <v>1059</v>
      </c>
      <c r="C295" s="2" t="s">
        <v>353</v>
      </c>
      <c r="D295" s="2" t="s">
        <v>168</v>
      </c>
      <c r="E295" s="2" t="s">
        <v>75</v>
      </c>
      <c r="F295" s="2" t="s">
        <v>30</v>
      </c>
      <c r="G295" s="2">
        <v>40</v>
      </c>
      <c r="H295" s="2" t="s">
        <v>80</v>
      </c>
      <c r="I295" s="2" t="s">
        <v>126</v>
      </c>
      <c r="J295" s="2" t="s">
        <v>120</v>
      </c>
      <c r="K295" s="2" t="s">
        <v>99</v>
      </c>
      <c r="L295" s="13">
        <v>44614</v>
      </c>
      <c r="M295" s="2">
        <v>107</v>
      </c>
      <c r="N295" s="2">
        <v>15</v>
      </c>
      <c r="O295" s="2">
        <v>144</v>
      </c>
      <c r="P295" s="2">
        <v>1539</v>
      </c>
      <c r="Q295" s="2">
        <v>895</v>
      </c>
      <c r="R295" s="2">
        <v>266</v>
      </c>
      <c r="S295" s="2">
        <v>326</v>
      </c>
      <c r="T295" s="2">
        <v>360</v>
      </c>
      <c r="U295" s="2">
        <v>162</v>
      </c>
      <c r="V295" s="12">
        <f>ABS(RPG_dataset[[#This Row],[Win Rate (%)]])</f>
        <v>48</v>
      </c>
      <c r="W295" s="2">
        <v>3654</v>
      </c>
      <c r="X295" s="9">
        <v>456008</v>
      </c>
      <c r="Y295" s="2" t="s">
        <v>36</v>
      </c>
      <c r="Z295" s="2">
        <v>274</v>
      </c>
      <c r="AA295" s="2" t="s">
        <v>1733</v>
      </c>
      <c r="AB295" s="2" t="b">
        <v>0</v>
      </c>
      <c r="AC295" s="2" t="s">
        <v>1738</v>
      </c>
      <c r="AD295" s="2" t="s">
        <v>1727</v>
      </c>
      <c r="AE295" s="2" t="s">
        <v>1728</v>
      </c>
      <c r="AF295" s="2" t="s">
        <v>1736</v>
      </c>
      <c r="AG295" s="28">
        <f>MAX(clean_data[[#This Row],[ATK]:[SPD]]) - MIN(clean_data[[#This Row],[ATK]:[SPD]])</f>
        <v>129</v>
      </c>
      <c r="AH295" s="28" t="str">
        <f>IF(clean_data[[#This Row],[Balanced Score]] = MIN(clean_data[Balanced Score]), "Most Balanced", "")</f>
        <v/>
      </c>
    </row>
    <row r="296" spans="1:34" x14ac:dyDescent="0.3">
      <c r="A296" s="2" t="s">
        <v>1061</v>
      </c>
      <c r="B296" s="2" t="s">
        <v>1062</v>
      </c>
      <c r="C296" s="2" t="s">
        <v>203</v>
      </c>
      <c r="D296" s="2" t="s">
        <v>70</v>
      </c>
      <c r="E296" s="2" t="s">
        <v>169</v>
      </c>
      <c r="F296" s="2" t="s">
        <v>98</v>
      </c>
      <c r="G296" s="2">
        <v>87</v>
      </c>
      <c r="H296" s="2" t="s">
        <v>62</v>
      </c>
      <c r="I296" s="2" t="s">
        <v>126</v>
      </c>
      <c r="J296" s="2" t="s">
        <v>33</v>
      </c>
      <c r="K296" s="2" t="s">
        <v>99</v>
      </c>
      <c r="L296" s="13">
        <v>44966</v>
      </c>
      <c r="M296" s="2">
        <v>136</v>
      </c>
      <c r="N296" s="2">
        <v>33</v>
      </c>
      <c r="O296" s="2">
        <v>38</v>
      </c>
      <c r="P296" s="2">
        <v>2520</v>
      </c>
      <c r="Q296" s="2">
        <v>265</v>
      </c>
      <c r="R296" s="2">
        <v>207</v>
      </c>
      <c r="S296" s="2">
        <v>1571</v>
      </c>
      <c r="T296" s="2">
        <v>91</v>
      </c>
      <c r="U296" s="2">
        <v>54</v>
      </c>
      <c r="V296" s="12">
        <f>ABS(RPG_dataset[[#This Row],[Win Rate (%)]])</f>
        <v>95</v>
      </c>
      <c r="W296" s="2">
        <v>5203</v>
      </c>
      <c r="X296" s="9">
        <v>989282</v>
      </c>
      <c r="Y296" s="2" t="s">
        <v>46</v>
      </c>
      <c r="Z296" s="2">
        <v>7</v>
      </c>
      <c r="AA296" s="2" t="s">
        <v>1737</v>
      </c>
      <c r="AB296" s="2" t="b">
        <v>0</v>
      </c>
      <c r="AC296" s="2" t="s">
        <v>1730</v>
      </c>
      <c r="AD296" s="2" t="s">
        <v>1727</v>
      </c>
      <c r="AE296" s="2" t="s">
        <v>1728</v>
      </c>
      <c r="AF296" s="2" t="s">
        <v>1729</v>
      </c>
      <c r="AG296" s="28">
        <f>MAX(clean_data[[#This Row],[ATK]:[SPD]]) - MIN(clean_data[[#This Row],[ATK]:[SPD]])</f>
        <v>103</v>
      </c>
      <c r="AH296" s="28" t="str">
        <f>IF(clean_data[[#This Row],[Balanced Score]] = MIN(clean_data[Balanced Score]), "Most Balanced", "")</f>
        <v/>
      </c>
    </row>
    <row r="297" spans="1:34" x14ac:dyDescent="0.3">
      <c r="A297" s="2" t="s">
        <v>1065</v>
      </c>
      <c r="B297" s="2" t="s">
        <v>1066</v>
      </c>
      <c r="C297" s="2" t="s">
        <v>281</v>
      </c>
      <c r="D297" s="2" t="s">
        <v>144</v>
      </c>
      <c r="E297" s="2" t="s">
        <v>51</v>
      </c>
      <c r="F297" s="2" t="s">
        <v>194</v>
      </c>
      <c r="G297" s="2">
        <v>25</v>
      </c>
      <c r="H297" s="2" t="s">
        <v>31</v>
      </c>
      <c r="I297" s="2" t="s">
        <v>126</v>
      </c>
      <c r="J297" s="2" t="s">
        <v>33</v>
      </c>
      <c r="K297" s="2" t="s">
        <v>34</v>
      </c>
      <c r="L297" s="13">
        <v>44697</v>
      </c>
      <c r="M297" s="2">
        <v>26</v>
      </c>
      <c r="N297" s="2">
        <v>85</v>
      </c>
      <c r="O297" s="2">
        <v>113</v>
      </c>
      <c r="P297" s="2">
        <v>1248</v>
      </c>
      <c r="Q297" s="2">
        <v>419</v>
      </c>
      <c r="R297" s="2">
        <v>224</v>
      </c>
      <c r="S297" s="2">
        <v>981</v>
      </c>
      <c r="T297" s="2">
        <v>275</v>
      </c>
      <c r="U297" s="2">
        <v>73</v>
      </c>
      <c r="V297" s="12">
        <f>ABS(RPG_dataset[[#This Row],[Win Rate (%)]])</f>
        <v>78</v>
      </c>
      <c r="W297" s="2">
        <v>7917</v>
      </c>
      <c r="X297" s="9">
        <v>764550</v>
      </c>
      <c r="Y297" s="2" t="s">
        <v>46</v>
      </c>
      <c r="Z297" s="2">
        <v>121</v>
      </c>
      <c r="AA297" s="2" t="s">
        <v>1735</v>
      </c>
      <c r="AB297" s="2" t="b">
        <v>0</v>
      </c>
      <c r="AC297" s="2" t="s">
        <v>1730</v>
      </c>
      <c r="AD297" s="2" t="s">
        <v>1727</v>
      </c>
      <c r="AE297" s="2" t="s">
        <v>1728</v>
      </c>
      <c r="AF297" s="2" t="s">
        <v>1736</v>
      </c>
      <c r="AG297" s="28">
        <f>MAX(clean_data[[#This Row],[ATK]:[SPD]]) - MIN(clean_data[[#This Row],[ATK]:[SPD]])</f>
        <v>87</v>
      </c>
      <c r="AH297" s="28" t="str">
        <f>IF(clean_data[[#This Row],[Balanced Score]] = MIN(clean_data[Balanced Score]), "Most Balanced", "")</f>
        <v/>
      </c>
    </row>
    <row r="298" spans="1:34" x14ac:dyDescent="0.3">
      <c r="A298" s="2" t="s">
        <v>1068</v>
      </c>
      <c r="B298" s="2" t="s">
        <v>1069</v>
      </c>
      <c r="C298" s="2" t="s">
        <v>720</v>
      </c>
      <c r="D298" s="2" t="s">
        <v>40</v>
      </c>
      <c r="E298" s="2" t="s">
        <v>71</v>
      </c>
      <c r="F298" s="2" t="s">
        <v>72</v>
      </c>
      <c r="G298" s="2">
        <v>23</v>
      </c>
      <c r="H298" s="2" t="s">
        <v>53</v>
      </c>
      <c r="I298" s="2" t="s">
        <v>140</v>
      </c>
      <c r="J298" s="2" t="s">
        <v>111</v>
      </c>
      <c r="K298" s="2" t="s">
        <v>34</v>
      </c>
      <c r="L298" s="13">
        <v>44765</v>
      </c>
      <c r="M298" s="2">
        <v>142</v>
      </c>
      <c r="N298" s="2">
        <v>131</v>
      </c>
      <c r="O298" s="2">
        <v>116</v>
      </c>
      <c r="P298" s="2">
        <v>1354</v>
      </c>
      <c r="Q298" s="2">
        <v>154</v>
      </c>
      <c r="R298" s="2">
        <v>389</v>
      </c>
      <c r="S298" s="2">
        <v>4778</v>
      </c>
      <c r="T298" s="2">
        <v>373</v>
      </c>
      <c r="U298" s="2">
        <v>139</v>
      </c>
      <c r="V298" s="12">
        <f>ABS(RPG_dataset[[#This Row],[Win Rate (%)]])</f>
        <v>93</v>
      </c>
      <c r="W298" s="2">
        <v>1739</v>
      </c>
      <c r="X298" s="9">
        <v>36872</v>
      </c>
      <c r="Y298" s="2" t="s">
        <v>46</v>
      </c>
      <c r="Z298" s="2">
        <v>463</v>
      </c>
      <c r="AA298" s="2" t="s">
        <v>1735</v>
      </c>
      <c r="AB298" s="2" t="b">
        <v>0</v>
      </c>
      <c r="AC298" s="2" t="s">
        <v>1730</v>
      </c>
      <c r="AD298" s="2" t="s">
        <v>1727</v>
      </c>
      <c r="AE298" s="2" t="s">
        <v>1728</v>
      </c>
      <c r="AF298" s="2" t="s">
        <v>1739</v>
      </c>
      <c r="AG298" s="28">
        <f>MAX(clean_data[[#This Row],[ATK]:[SPD]]) - MIN(clean_data[[#This Row],[ATK]:[SPD]])</f>
        <v>26</v>
      </c>
      <c r="AH298" s="28" t="str">
        <f>IF(clean_data[[#This Row],[Balanced Score]] = MIN(clean_data[Balanced Score]), "Most Balanced", "")</f>
        <v/>
      </c>
    </row>
    <row r="299" spans="1:34" x14ac:dyDescent="0.3">
      <c r="A299" s="2" t="s">
        <v>1070</v>
      </c>
      <c r="B299" s="2" t="s">
        <v>1071</v>
      </c>
      <c r="C299" s="2" t="s">
        <v>724</v>
      </c>
      <c r="D299" s="2" t="s">
        <v>59</v>
      </c>
      <c r="E299" s="2" t="s">
        <v>41</v>
      </c>
      <c r="F299" s="2" t="s">
        <v>194</v>
      </c>
      <c r="G299" s="2">
        <v>42</v>
      </c>
      <c r="H299" s="2" t="s">
        <v>125</v>
      </c>
      <c r="I299" s="2" t="s">
        <v>140</v>
      </c>
      <c r="J299" s="2" t="s">
        <v>163</v>
      </c>
      <c r="K299" s="2" t="s">
        <v>34</v>
      </c>
      <c r="L299" s="13">
        <v>43192</v>
      </c>
      <c r="M299" s="2">
        <v>77</v>
      </c>
      <c r="N299" s="2">
        <v>22</v>
      </c>
      <c r="O299" s="2">
        <v>31</v>
      </c>
      <c r="P299" s="2">
        <v>2364</v>
      </c>
      <c r="Q299" s="2">
        <v>56</v>
      </c>
      <c r="R299" s="2">
        <v>130</v>
      </c>
      <c r="S299" s="2">
        <v>1869</v>
      </c>
      <c r="T299" s="2">
        <v>993</v>
      </c>
      <c r="U299" s="2">
        <v>64</v>
      </c>
      <c r="V299" s="12">
        <f>ABS(RPG_dataset[[#This Row],[Win Rate (%)]])</f>
        <v>65</v>
      </c>
      <c r="W299" s="2">
        <v>2293</v>
      </c>
      <c r="X299" s="9"/>
      <c r="Y299" s="2" t="s">
        <v>36</v>
      </c>
      <c r="Z299" s="2">
        <v>486</v>
      </c>
      <c r="AA299" s="2" t="s">
        <v>1733</v>
      </c>
      <c r="AB299" s="2" t="b">
        <v>0</v>
      </c>
      <c r="AC299" s="2" t="s">
        <v>1738</v>
      </c>
      <c r="AD299" s="2" t="s">
        <v>1727</v>
      </c>
      <c r="AE299" s="2" t="s">
        <v>1728</v>
      </c>
      <c r="AF299" s="2" t="s">
        <v>1740</v>
      </c>
      <c r="AG299" s="28">
        <f>MAX(clean_data[[#This Row],[ATK]:[SPD]]) - MIN(clean_data[[#This Row],[ATK]:[SPD]])</f>
        <v>55</v>
      </c>
      <c r="AH299" s="28" t="str">
        <f>IF(clean_data[[#This Row],[Balanced Score]] = MIN(clean_data[Balanced Score]), "Most Balanced", "")</f>
        <v/>
      </c>
    </row>
    <row r="300" spans="1:34" x14ac:dyDescent="0.3">
      <c r="A300" s="2" t="s">
        <v>1076</v>
      </c>
      <c r="B300" s="2" t="s">
        <v>1077</v>
      </c>
      <c r="C300" s="2" t="s">
        <v>49</v>
      </c>
      <c r="D300" s="2" t="s">
        <v>234</v>
      </c>
      <c r="E300" s="2" t="s">
        <v>105</v>
      </c>
      <c r="F300" s="2" t="s">
        <v>52</v>
      </c>
      <c r="G300" s="2">
        <v>27</v>
      </c>
      <c r="H300" s="2" t="s">
        <v>53</v>
      </c>
      <c r="I300" s="2" t="s">
        <v>74</v>
      </c>
      <c r="J300" s="2" t="s">
        <v>92</v>
      </c>
      <c r="K300" s="2" t="s">
        <v>44</v>
      </c>
      <c r="L300" s="13">
        <v>43241</v>
      </c>
      <c r="M300" s="2">
        <v>130</v>
      </c>
      <c r="N300" s="2">
        <v>51</v>
      </c>
      <c r="O300" s="2">
        <v>61</v>
      </c>
      <c r="P300" s="2">
        <v>3972</v>
      </c>
      <c r="Q300" s="2">
        <v>1443</v>
      </c>
      <c r="R300" s="2">
        <v>242</v>
      </c>
      <c r="S300" s="2">
        <v>4188</v>
      </c>
      <c r="T300" s="2">
        <v>670</v>
      </c>
      <c r="U300" s="2">
        <v>111</v>
      </c>
      <c r="V300" s="12">
        <f>ABS(RPG_dataset[[#This Row],[Win Rate (%)]])</f>
        <v>86</v>
      </c>
      <c r="W300" s="2">
        <v>6710</v>
      </c>
      <c r="X300" s="9">
        <v>741986</v>
      </c>
      <c r="Y300" s="2" t="s">
        <v>36</v>
      </c>
      <c r="Z300" s="2">
        <v>132</v>
      </c>
      <c r="AA300" s="2" t="s">
        <v>1733</v>
      </c>
      <c r="AB300" s="2" t="b">
        <v>1</v>
      </c>
      <c r="AC300" s="2" t="s">
        <v>1730</v>
      </c>
      <c r="AD300" s="2" t="s">
        <v>1727</v>
      </c>
      <c r="AE300" s="2" t="s">
        <v>1728</v>
      </c>
      <c r="AF300" s="2" t="s">
        <v>1732</v>
      </c>
      <c r="AG300" s="28">
        <f>MAX(clean_data[[#This Row],[ATK]:[SPD]]) - MIN(clean_data[[#This Row],[ATK]:[SPD]])</f>
        <v>79</v>
      </c>
      <c r="AH300" s="28" t="str">
        <f>IF(clean_data[[#This Row],[Balanced Score]] = MIN(clean_data[Balanced Score]), "Most Balanced", "")</f>
        <v/>
      </c>
    </row>
    <row r="301" spans="1:34" x14ac:dyDescent="0.3">
      <c r="A301" s="2" t="s">
        <v>1080</v>
      </c>
      <c r="B301" s="2" t="s">
        <v>1081</v>
      </c>
      <c r="C301" s="2" t="s">
        <v>238</v>
      </c>
      <c r="D301" s="2" t="s">
        <v>304</v>
      </c>
      <c r="E301" s="2" t="s">
        <v>60</v>
      </c>
      <c r="F301" s="2" t="s">
        <v>194</v>
      </c>
      <c r="G301" s="2">
        <v>15</v>
      </c>
      <c r="H301" s="2" t="s">
        <v>62</v>
      </c>
      <c r="I301" s="2" t="s">
        <v>54</v>
      </c>
      <c r="J301" s="2" t="s">
        <v>92</v>
      </c>
      <c r="K301" s="2" t="s">
        <v>44</v>
      </c>
      <c r="L301" s="13">
        <v>43850</v>
      </c>
      <c r="M301" s="2">
        <v>83</v>
      </c>
      <c r="N301" s="2">
        <v>10</v>
      </c>
      <c r="O301" s="2">
        <v>90</v>
      </c>
      <c r="P301" s="2">
        <v>3943</v>
      </c>
      <c r="Q301" s="2">
        <v>402</v>
      </c>
      <c r="R301" s="2">
        <v>183</v>
      </c>
      <c r="S301" s="2">
        <v>4421</v>
      </c>
      <c r="T301" s="2">
        <v>114</v>
      </c>
      <c r="U301" s="2">
        <v>88</v>
      </c>
      <c r="V301" s="12">
        <f>ABS(RPG_dataset[[#This Row],[Win Rate (%)]])</f>
        <v>97</v>
      </c>
      <c r="W301" s="2">
        <v>512</v>
      </c>
      <c r="X301" s="9">
        <v>30730</v>
      </c>
      <c r="Y301" s="2" t="s">
        <v>36</v>
      </c>
      <c r="Z301" s="2">
        <v>466</v>
      </c>
      <c r="AA301" s="2" t="s">
        <v>1735</v>
      </c>
      <c r="AB301" s="2" t="b">
        <v>1</v>
      </c>
      <c r="AC301" s="2" t="s">
        <v>1730</v>
      </c>
      <c r="AD301" s="2" t="s">
        <v>1727</v>
      </c>
      <c r="AE301" s="2" t="s">
        <v>1728</v>
      </c>
      <c r="AF301" s="2" t="s">
        <v>1736</v>
      </c>
      <c r="AG301" s="28">
        <f>MAX(clean_data[[#This Row],[ATK]:[SPD]]) - MIN(clean_data[[#This Row],[ATK]:[SPD]])</f>
        <v>80</v>
      </c>
      <c r="AH301" s="28" t="str">
        <f>IF(clean_data[[#This Row],[Balanced Score]] = MIN(clean_data[Balanced Score]), "Most Balanced", "")</f>
        <v/>
      </c>
    </row>
    <row r="302" spans="1:34" x14ac:dyDescent="0.3">
      <c r="A302" s="2" t="s">
        <v>1083</v>
      </c>
      <c r="B302" s="2" t="s">
        <v>1084</v>
      </c>
      <c r="C302" s="2" t="s">
        <v>720</v>
      </c>
      <c r="D302" s="2" t="s">
        <v>139</v>
      </c>
      <c r="E302" s="2" t="s">
        <v>105</v>
      </c>
      <c r="F302" s="2" t="s">
        <v>30</v>
      </c>
      <c r="G302" s="2">
        <v>8</v>
      </c>
      <c r="H302" s="2" t="s">
        <v>125</v>
      </c>
      <c r="I302" s="2" t="s">
        <v>63</v>
      </c>
      <c r="J302" s="2" t="s">
        <v>163</v>
      </c>
      <c r="K302" s="2" t="s">
        <v>44</v>
      </c>
      <c r="L302" s="13">
        <v>43641</v>
      </c>
      <c r="M302" s="2">
        <v>57</v>
      </c>
      <c r="N302" s="2">
        <v>66</v>
      </c>
      <c r="O302" s="2">
        <v>128</v>
      </c>
      <c r="P302" s="2">
        <v>690</v>
      </c>
      <c r="Q302" s="2">
        <v>2112</v>
      </c>
      <c r="R302" s="2">
        <v>251</v>
      </c>
      <c r="S302" s="2">
        <v>587</v>
      </c>
      <c r="T302" s="2">
        <v>568</v>
      </c>
      <c r="U302" s="2">
        <v>4</v>
      </c>
      <c r="V302" s="12">
        <f>ABS(RPG_dataset[[#This Row],[Win Rate (%)]])</f>
        <v>51</v>
      </c>
      <c r="W302" s="2">
        <v>1675</v>
      </c>
      <c r="X302" s="9">
        <v>745639</v>
      </c>
      <c r="Y302" s="2" t="s">
        <v>46</v>
      </c>
      <c r="Z302" s="2">
        <v>131</v>
      </c>
      <c r="AA302" s="2" t="s">
        <v>1735</v>
      </c>
      <c r="AB302" s="2" t="b">
        <v>1</v>
      </c>
      <c r="AC302" s="2" t="s">
        <v>1738</v>
      </c>
      <c r="AD302" s="2" t="s">
        <v>1727</v>
      </c>
      <c r="AE302" s="2" t="s">
        <v>1742</v>
      </c>
      <c r="AF302" s="2" t="s">
        <v>1736</v>
      </c>
      <c r="AG302" s="28">
        <f>MAX(clean_data[[#This Row],[ATK]:[SPD]]) - MIN(clean_data[[#This Row],[ATK]:[SPD]])</f>
        <v>71</v>
      </c>
      <c r="AH302" s="28" t="str">
        <f>IF(clean_data[[#This Row],[Balanced Score]] = MIN(clean_data[Balanced Score]), "Most Balanced", "")</f>
        <v/>
      </c>
    </row>
    <row r="303" spans="1:34" x14ac:dyDescent="0.3">
      <c r="A303" s="2" t="s">
        <v>1086</v>
      </c>
      <c r="B303" s="2" t="s">
        <v>1087</v>
      </c>
      <c r="C303" s="2" t="s">
        <v>360</v>
      </c>
      <c r="D303" s="2" t="s">
        <v>618</v>
      </c>
      <c r="E303" s="2" t="s">
        <v>41</v>
      </c>
      <c r="F303" s="2" t="s">
        <v>42</v>
      </c>
      <c r="G303" s="2">
        <v>42</v>
      </c>
      <c r="H303" s="2" t="s">
        <v>73</v>
      </c>
      <c r="I303" s="2" t="s">
        <v>63</v>
      </c>
      <c r="J303" s="2" t="s">
        <v>33</v>
      </c>
      <c r="K303" s="2" t="s">
        <v>106</v>
      </c>
      <c r="L303" s="13">
        <v>43665</v>
      </c>
      <c r="M303" s="2">
        <v>118</v>
      </c>
      <c r="N303" s="2">
        <v>62</v>
      </c>
      <c r="O303" s="2">
        <v>81</v>
      </c>
      <c r="P303" s="2">
        <v>3925</v>
      </c>
      <c r="Q303" s="2">
        <v>69</v>
      </c>
      <c r="R303" s="2">
        <v>261</v>
      </c>
      <c r="S303" s="2">
        <v>4652</v>
      </c>
      <c r="T303" s="2">
        <v>786</v>
      </c>
      <c r="U303" s="2">
        <v>19</v>
      </c>
      <c r="V303" s="12">
        <f>ABS(RPG_dataset[[#This Row],[Win Rate (%)]])</f>
        <v>86</v>
      </c>
      <c r="W303" s="2">
        <v>86</v>
      </c>
      <c r="X303" s="9">
        <v>203183</v>
      </c>
      <c r="Y303" s="2" t="s">
        <v>46</v>
      </c>
      <c r="Z303" s="2">
        <v>398</v>
      </c>
      <c r="AA303" s="2" t="s">
        <v>1733</v>
      </c>
      <c r="AB303" s="2" t="b">
        <v>0</v>
      </c>
      <c r="AC303" s="2" t="s">
        <v>1730</v>
      </c>
      <c r="AD303" s="2" t="s">
        <v>1727</v>
      </c>
      <c r="AE303" s="2" t="s">
        <v>1728</v>
      </c>
      <c r="AF303" s="2" t="s">
        <v>1732</v>
      </c>
      <c r="AG303" s="28">
        <f>MAX(clean_data[[#This Row],[ATK]:[SPD]]) - MIN(clean_data[[#This Row],[ATK]:[SPD]])</f>
        <v>56</v>
      </c>
      <c r="AH303" s="28" t="str">
        <f>IF(clean_data[[#This Row],[Balanced Score]] = MIN(clean_data[Balanced Score]), "Most Balanced", "")</f>
        <v/>
      </c>
    </row>
    <row r="304" spans="1:34" x14ac:dyDescent="0.3">
      <c r="A304" s="2" t="s">
        <v>1090</v>
      </c>
      <c r="B304" s="2" t="s">
        <v>1091</v>
      </c>
      <c r="C304" s="2" t="s">
        <v>167</v>
      </c>
      <c r="D304" s="2" t="s">
        <v>70</v>
      </c>
      <c r="E304" s="2" t="s">
        <v>41</v>
      </c>
      <c r="F304" s="2" t="s">
        <v>52</v>
      </c>
      <c r="G304" s="2">
        <v>6</v>
      </c>
      <c r="H304" s="2" t="s">
        <v>43</v>
      </c>
      <c r="I304" s="2" t="s">
        <v>74</v>
      </c>
      <c r="J304" s="2" t="s">
        <v>111</v>
      </c>
      <c r="K304" s="2" t="s">
        <v>44</v>
      </c>
      <c r="L304" s="13">
        <v>44911</v>
      </c>
      <c r="M304" s="2">
        <v>100</v>
      </c>
      <c r="N304" s="2">
        <v>146</v>
      </c>
      <c r="O304" s="2">
        <v>89</v>
      </c>
      <c r="P304" s="2">
        <v>4703</v>
      </c>
      <c r="Q304" s="2">
        <v>956</v>
      </c>
      <c r="R304" s="2">
        <v>335</v>
      </c>
      <c r="S304" s="2"/>
      <c r="T304" s="2">
        <v>590</v>
      </c>
      <c r="U304" s="2">
        <v>131</v>
      </c>
      <c r="V304" s="12">
        <f>ABS(RPG_dataset[[#This Row],[Win Rate (%)]])</f>
        <v>89</v>
      </c>
      <c r="W304" s="2">
        <v>1406</v>
      </c>
      <c r="X304" s="9">
        <v>250359</v>
      </c>
      <c r="Y304" s="2" t="s">
        <v>36</v>
      </c>
      <c r="Z304" s="2">
        <v>374</v>
      </c>
      <c r="AA304" s="2" t="s">
        <v>1735</v>
      </c>
      <c r="AB304" s="2" t="b">
        <v>1</v>
      </c>
      <c r="AC304" s="2" t="s">
        <v>1730</v>
      </c>
      <c r="AD304" s="2" t="s">
        <v>1727</v>
      </c>
      <c r="AE304" s="2" t="s">
        <v>1728</v>
      </c>
      <c r="AF304" s="2" t="s">
        <v>1736</v>
      </c>
      <c r="AG304" s="28">
        <f>MAX(clean_data[[#This Row],[ATK]:[SPD]]) - MIN(clean_data[[#This Row],[ATK]:[SPD]])</f>
        <v>57</v>
      </c>
      <c r="AH304" s="28" t="str">
        <f>IF(clean_data[[#This Row],[Balanced Score]] = MIN(clean_data[Balanced Score]), "Most Balanced", "")</f>
        <v/>
      </c>
    </row>
    <row r="305" spans="1:34" x14ac:dyDescent="0.3">
      <c r="A305" s="2" t="s">
        <v>1093</v>
      </c>
      <c r="B305" s="2" t="s">
        <v>1094</v>
      </c>
      <c r="C305" s="2" t="s">
        <v>314</v>
      </c>
      <c r="D305" s="2" t="s">
        <v>254</v>
      </c>
      <c r="E305" s="2" t="s">
        <v>51</v>
      </c>
      <c r="F305" s="2" t="s">
        <v>72</v>
      </c>
      <c r="G305" s="2"/>
      <c r="H305" s="2" t="s">
        <v>53</v>
      </c>
      <c r="I305" s="2" t="s">
        <v>74</v>
      </c>
      <c r="J305" s="2" t="s">
        <v>163</v>
      </c>
      <c r="K305" s="2" t="s">
        <v>106</v>
      </c>
      <c r="L305" s="13">
        <v>43287</v>
      </c>
      <c r="M305" s="2">
        <v>13</v>
      </c>
      <c r="N305" s="2">
        <v>18</v>
      </c>
      <c r="O305" s="2">
        <v>147</v>
      </c>
      <c r="P305" s="2">
        <v>1492</v>
      </c>
      <c r="Q305" s="2">
        <v>2836</v>
      </c>
      <c r="R305" s="2">
        <v>178</v>
      </c>
      <c r="S305" s="2">
        <v>545</v>
      </c>
      <c r="T305" s="2">
        <v>590</v>
      </c>
      <c r="U305" s="2">
        <v>136</v>
      </c>
      <c r="V305" s="12">
        <f>ABS(RPG_dataset[[#This Row],[Win Rate (%)]])</f>
        <v>48</v>
      </c>
      <c r="W305" s="2">
        <v>9170</v>
      </c>
      <c r="X305" s="9">
        <v>447976</v>
      </c>
      <c r="Y305" s="2" t="s">
        <v>36</v>
      </c>
      <c r="Z305" s="2">
        <v>280</v>
      </c>
      <c r="AA305" s="2" t="s">
        <v>1735</v>
      </c>
      <c r="AB305" s="2" t="b">
        <v>0</v>
      </c>
      <c r="AC305" s="2" t="s">
        <v>1738</v>
      </c>
      <c r="AD305" s="2" t="s">
        <v>1727</v>
      </c>
      <c r="AE305" s="2" t="s">
        <v>1728</v>
      </c>
      <c r="AF305" s="2" t="s">
        <v>1736</v>
      </c>
      <c r="AG305" s="28">
        <f>MAX(clean_data[[#This Row],[ATK]:[SPD]]) - MIN(clean_data[[#This Row],[ATK]:[SPD]])</f>
        <v>134</v>
      </c>
      <c r="AH305" s="28" t="str">
        <f>IF(clean_data[[#This Row],[Balanced Score]] = MIN(clean_data[Balanced Score]), "Most Balanced", "")</f>
        <v/>
      </c>
    </row>
    <row r="306" spans="1:34" x14ac:dyDescent="0.3">
      <c r="A306" s="2" t="s">
        <v>1096</v>
      </c>
      <c r="B306" s="2" t="s">
        <v>1097</v>
      </c>
      <c r="C306" s="2" t="s">
        <v>296</v>
      </c>
      <c r="D306" s="2" t="s">
        <v>272</v>
      </c>
      <c r="E306" s="2" t="s">
        <v>51</v>
      </c>
      <c r="F306" s="2" t="s">
        <v>42</v>
      </c>
      <c r="G306" s="2"/>
      <c r="H306" s="2" t="s">
        <v>62</v>
      </c>
      <c r="I306" s="2" t="s">
        <v>63</v>
      </c>
      <c r="J306" s="2" t="s">
        <v>64</v>
      </c>
      <c r="K306" s="2" t="s">
        <v>106</v>
      </c>
      <c r="L306" s="13">
        <v>45207</v>
      </c>
      <c r="M306" s="2">
        <v>49</v>
      </c>
      <c r="N306" s="2">
        <v>50</v>
      </c>
      <c r="O306" s="2">
        <v>36</v>
      </c>
      <c r="P306" s="2"/>
      <c r="Q306" s="2">
        <v>189</v>
      </c>
      <c r="R306" s="2">
        <v>135</v>
      </c>
      <c r="S306" s="2">
        <v>4610</v>
      </c>
      <c r="T306" s="2">
        <v>356</v>
      </c>
      <c r="U306" s="2">
        <v>6</v>
      </c>
      <c r="V306" s="12">
        <f>ABS(RPG_dataset[[#This Row],[Win Rate (%)]])</f>
        <v>93</v>
      </c>
      <c r="W306" s="2">
        <v>7346</v>
      </c>
      <c r="X306" s="9">
        <v>305319</v>
      </c>
      <c r="Y306" s="2" t="s">
        <v>36</v>
      </c>
      <c r="Z306" s="2">
        <v>350</v>
      </c>
      <c r="AA306" s="2" t="s">
        <v>1735</v>
      </c>
      <c r="AB306" s="2" t="b">
        <v>0</v>
      </c>
      <c r="AC306" s="2" t="s">
        <v>1730</v>
      </c>
      <c r="AD306" s="2" t="s">
        <v>1727</v>
      </c>
      <c r="AE306" s="2" t="s">
        <v>1728</v>
      </c>
      <c r="AF306" s="2" t="s">
        <v>1729</v>
      </c>
      <c r="AG306" s="28">
        <f>MAX(clean_data[[#This Row],[ATK]:[SPD]]) - MIN(clean_data[[#This Row],[ATK]:[SPD]])</f>
        <v>14</v>
      </c>
      <c r="AH306" s="28" t="str">
        <f>IF(clean_data[[#This Row],[Balanced Score]] = MIN(clean_data[Balanced Score]), "Most Balanced", "")</f>
        <v/>
      </c>
    </row>
    <row r="307" spans="1:34" x14ac:dyDescent="0.3">
      <c r="A307" s="2" t="s">
        <v>1098</v>
      </c>
      <c r="B307" s="2" t="s">
        <v>1099</v>
      </c>
      <c r="C307" s="2" t="s">
        <v>339</v>
      </c>
      <c r="D307" s="2" t="s">
        <v>155</v>
      </c>
      <c r="E307" s="2" t="s">
        <v>169</v>
      </c>
      <c r="F307" s="2" t="s">
        <v>194</v>
      </c>
      <c r="G307" s="2">
        <v>36</v>
      </c>
      <c r="H307" s="2" t="s">
        <v>31</v>
      </c>
      <c r="I307" s="2" t="s">
        <v>140</v>
      </c>
      <c r="J307" s="2" t="s">
        <v>120</v>
      </c>
      <c r="K307" s="2" t="s">
        <v>44</v>
      </c>
      <c r="L307" s="13">
        <v>43461</v>
      </c>
      <c r="M307" s="2">
        <v>87</v>
      </c>
      <c r="N307" s="2">
        <v>129</v>
      </c>
      <c r="O307" s="2">
        <v>26</v>
      </c>
      <c r="P307" s="2">
        <v>2457</v>
      </c>
      <c r="Q307" s="2">
        <v>2492</v>
      </c>
      <c r="R307" s="2">
        <v>242</v>
      </c>
      <c r="S307" s="2">
        <v>4234</v>
      </c>
      <c r="T307" s="2">
        <v>700</v>
      </c>
      <c r="U307" s="2">
        <v>26</v>
      </c>
      <c r="V307" s="12">
        <f>ABS(RPG_dataset[[#This Row],[Win Rate (%)]])</f>
        <v>86</v>
      </c>
      <c r="W307" s="2">
        <v>8910</v>
      </c>
      <c r="X307" s="9">
        <v>603484</v>
      </c>
      <c r="Y307" s="2" t="s">
        <v>36</v>
      </c>
      <c r="Z307" s="2">
        <v>203</v>
      </c>
      <c r="AA307" s="2" t="s">
        <v>1733</v>
      </c>
      <c r="AB307" s="2" t="b">
        <v>1</v>
      </c>
      <c r="AC307" s="2" t="s">
        <v>1730</v>
      </c>
      <c r="AD307" s="2" t="s">
        <v>1727</v>
      </c>
      <c r="AE307" s="2" t="s">
        <v>1728</v>
      </c>
      <c r="AF307" s="2" t="s">
        <v>1740</v>
      </c>
      <c r="AG307" s="28">
        <f>MAX(clean_data[[#This Row],[ATK]:[SPD]]) - MIN(clean_data[[#This Row],[ATK]:[SPD]])</f>
        <v>103</v>
      </c>
      <c r="AH307" s="28" t="str">
        <f>IF(clean_data[[#This Row],[Balanced Score]] = MIN(clean_data[Balanced Score]), "Most Balanced", "")</f>
        <v/>
      </c>
    </row>
    <row r="308" spans="1:34" x14ac:dyDescent="0.3">
      <c r="A308" s="2" t="s">
        <v>1101</v>
      </c>
      <c r="B308" s="2" t="s">
        <v>1102</v>
      </c>
      <c r="C308" s="2" t="s">
        <v>238</v>
      </c>
      <c r="D308" s="2" t="s">
        <v>104</v>
      </c>
      <c r="E308" s="2" t="s">
        <v>71</v>
      </c>
      <c r="F308" s="2" t="s">
        <v>194</v>
      </c>
      <c r="G308" s="2">
        <v>43</v>
      </c>
      <c r="H308" s="2" t="s">
        <v>80</v>
      </c>
      <c r="I308" s="2" t="s">
        <v>74</v>
      </c>
      <c r="J308" s="2" t="s">
        <v>163</v>
      </c>
      <c r="K308" s="2" t="s">
        <v>106</v>
      </c>
      <c r="L308" s="13">
        <v>44788</v>
      </c>
      <c r="M308" s="2">
        <v>54</v>
      </c>
      <c r="N308" s="2">
        <v>12</v>
      </c>
      <c r="O308" s="2">
        <v>18</v>
      </c>
      <c r="P308" s="2">
        <v>699</v>
      </c>
      <c r="Q308" s="2">
        <v>2146</v>
      </c>
      <c r="R308" s="2">
        <v>84</v>
      </c>
      <c r="S308" s="2">
        <v>1724</v>
      </c>
      <c r="T308" s="2">
        <v>574</v>
      </c>
      <c r="U308" s="2">
        <v>243</v>
      </c>
      <c r="V308" s="12">
        <f>ABS(RPG_dataset[[#This Row],[Win Rate (%)]])</f>
        <v>75</v>
      </c>
      <c r="W308" s="2">
        <v>8457</v>
      </c>
      <c r="X308" s="9">
        <v>752406</v>
      </c>
      <c r="Y308" s="2" t="s">
        <v>46</v>
      </c>
      <c r="Z308" s="2">
        <v>127</v>
      </c>
      <c r="AA308" s="2" t="s">
        <v>1733</v>
      </c>
      <c r="AB308" s="2" t="b">
        <v>0</v>
      </c>
      <c r="AC308" s="2" t="s">
        <v>1730</v>
      </c>
      <c r="AD308" s="2" t="s">
        <v>1727</v>
      </c>
      <c r="AE308" s="2" t="s">
        <v>1728</v>
      </c>
      <c r="AF308" s="2" t="s">
        <v>1729</v>
      </c>
      <c r="AG308" s="28">
        <f>MAX(clean_data[[#This Row],[ATK]:[SPD]]) - MIN(clean_data[[#This Row],[ATK]:[SPD]])</f>
        <v>42</v>
      </c>
      <c r="AH308" s="28" t="str">
        <f>IF(clean_data[[#This Row],[Balanced Score]] = MIN(clean_data[Balanced Score]), "Most Balanced", "")</f>
        <v/>
      </c>
    </row>
    <row r="309" spans="1:34" x14ac:dyDescent="0.3">
      <c r="A309" s="2" t="s">
        <v>1104</v>
      </c>
      <c r="B309" s="2" t="s">
        <v>1105</v>
      </c>
      <c r="C309" s="2" t="s">
        <v>680</v>
      </c>
      <c r="D309" s="2" t="s">
        <v>254</v>
      </c>
      <c r="E309" s="2" t="s">
        <v>60</v>
      </c>
      <c r="F309" s="2" t="s">
        <v>98</v>
      </c>
      <c r="G309" s="2">
        <v>30</v>
      </c>
      <c r="H309" s="2" t="s">
        <v>62</v>
      </c>
      <c r="I309" s="2" t="s">
        <v>140</v>
      </c>
      <c r="J309" s="2" t="s">
        <v>111</v>
      </c>
      <c r="K309" s="2" t="s">
        <v>99</v>
      </c>
      <c r="L309" s="13">
        <v>43108</v>
      </c>
      <c r="M309" s="2">
        <v>106</v>
      </c>
      <c r="N309" s="2">
        <v>88</v>
      </c>
      <c r="O309" s="2">
        <v>78</v>
      </c>
      <c r="P309" s="2">
        <v>2874</v>
      </c>
      <c r="Q309" s="2">
        <v>57</v>
      </c>
      <c r="R309" s="2">
        <v>272</v>
      </c>
      <c r="S309" s="2">
        <v>4895</v>
      </c>
      <c r="T309" s="2">
        <v>977</v>
      </c>
      <c r="U309" s="2">
        <v>149</v>
      </c>
      <c r="V309" s="12">
        <f>ABS(RPG_dataset[[#This Row],[Win Rate (%)]])</f>
        <v>83</v>
      </c>
      <c r="W309" s="2">
        <v>5977</v>
      </c>
      <c r="X309" s="9">
        <v>13216</v>
      </c>
      <c r="Y309" s="2" t="s">
        <v>46</v>
      </c>
      <c r="Z309" s="2">
        <v>478</v>
      </c>
      <c r="AA309" s="2" t="s">
        <v>1733</v>
      </c>
      <c r="AB309" s="2" t="b">
        <v>0</v>
      </c>
      <c r="AC309" s="2" t="s">
        <v>1730</v>
      </c>
      <c r="AD309" s="2" t="s">
        <v>1727</v>
      </c>
      <c r="AE309" s="2" t="s">
        <v>1728</v>
      </c>
      <c r="AF309" s="2" t="s">
        <v>1740</v>
      </c>
      <c r="AG309" s="28">
        <f>MAX(clean_data[[#This Row],[ATK]:[SPD]]) - MIN(clean_data[[#This Row],[ATK]:[SPD]])</f>
        <v>28</v>
      </c>
      <c r="AH309" s="28" t="str">
        <f>IF(clean_data[[#This Row],[Balanced Score]] = MIN(clean_data[Balanced Score]), "Most Balanced", "")</f>
        <v/>
      </c>
    </row>
    <row r="310" spans="1:34" x14ac:dyDescent="0.3">
      <c r="A310" s="2" t="s">
        <v>1107</v>
      </c>
      <c r="B310" s="2" t="s">
        <v>1108</v>
      </c>
      <c r="C310" s="2" t="s">
        <v>689</v>
      </c>
      <c r="D310" s="2" t="s">
        <v>144</v>
      </c>
      <c r="E310" s="2" t="s">
        <v>105</v>
      </c>
      <c r="F310" s="2" t="s">
        <v>42</v>
      </c>
      <c r="G310" s="2">
        <v>89</v>
      </c>
      <c r="H310" s="2" t="s">
        <v>125</v>
      </c>
      <c r="I310" s="2" t="s">
        <v>63</v>
      </c>
      <c r="J310" s="2" t="s">
        <v>64</v>
      </c>
      <c r="K310" s="2" t="s">
        <v>44</v>
      </c>
      <c r="L310" s="13">
        <v>44633</v>
      </c>
      <c r="M310" s="2">
        <v>84</v>
      </c>
      <c r="N310" s="2">
        <v>132</v>
      </c>
      <c r="O310" s="2">
        <v>26</v>
      </c>
      <c r="P310" s="2">
        <v>1841</v>
      </c>
      <c r="Q310" s="2">
        <v>2988</v>
      </c>
      <c r="R310" s="2">
        <v>242</v>
      </c>
      <c r="S310" s="2">
        <v>56</v>
      </c>
      <c r="T310" s="2">
        <v>259</v>
      </c>
      <c r="U310" s="2">
        <v>85</v>
      </c>
      <c r="V310" s="12">
        <f>ABS(RPG_dataset[[#This Row],[Win Rate (%)]])</f>
        <v>18</v>
      </c>
      <c r="W310" s="2"/>
      <c r="X310" s="9">
        <v>958277</v>
      </c>
      <c r="Y310" s="2" t="s">
        <v>46</v>
      </c>
      <c r="Z310" s="2">
        <v>20</v>
      </c>
      <c r="AA310" s="2" t="s">
        <v>1737</v>
      </c>
      <c r="AB310" s="2" t="b">
        <v>1</v>
      </c>
      <c r="AC310" s="2" t="s">
        <v>1726</v>
      </c>
      <c r="AD310" s="2" t="s">
        <v>1727</v>
      </c>
      <c r="AE310" s="2" t="s">
        <v>1728</v>
      </c>
      <c r="AF310" s="2" t="s">
        <v>1729</v>
      </c>
      <c r="AG310" s="28">
        <f>MAX(clean_data[[#This Row],[ATK]:[SPD]]) - MIN(clean_data[[#This Row],[ATK]:[SPD]])</f>
        <v>106</v>
      </c>
      <c r="AH310" s="28" t="str">
        <f>IF(clean_data[[#This Row],[Balanced Score]] = MIN(clean_data[Balanced Score]), "Most Balanced", "")</f>
        <v/>
      </c>
    </row>
    <row r="311" spans="1:34" x14ac:dyDescent="0.3">
      <c r="A311" s="2" t="s">
        <v>1110</v>
      </c>
      <c r="B311" s="2" t="s">
        <v>1111</v>
      </c>
      <c r="C311" s="2" t="s">
        <v>371</v>
      </c>
      <c r="D311" s="2" t="s">
        <v>234</v>
      </c>
      <c r="E311" s="2" t="s">
        <v>105</v>
      </c>
      <c r="F311" s="2" t="s">
        <v>30</v>
      </c>
      <c r="G311" s="2">
        <v>81</v>
      </c>
      <c r="H311" s="2" t="s">
        <v>73</v>
      </c>
      <c r="I311" s="2" t="s">
        <v>87</v>
      </c>
      <c r="J311" s="2" t="s">
        <v>64</v>
      </c>
      <c r="K311" s="2" t="s">
        <v>106</v>
      </c>
      <c r="L311" s="13">
        <v>44855</v>
      </c>
      <c r="M311" s="2">
        <v>70</v>
      </c>
      <c r="N311" s="2">
        <v>86</v>
      </c>
      <c r="O311" s="2">
        <v>14</v>
      </c>
      <c r="P311" s="2">
        <v>524</v>
      </c>
      <c r="Q311" s="2">
        <v>2199</v>
      </c>
      <c r="R311" s="2">
        <v>170</v>
      </c>
      <c r="S311" s="2">
        <v>817</v>
      </c>
      <c r="T311" s="2">
        <v>993</v>
      </c>
      <c r="U311" s="2">
        <v>19</v>
      </c>
      <c r="V311" s="12">
        <f>ABS(RPG_dataset[[#This Row],[Win Rate (%)]])</f>
        <v>45</v>
      </c>
      <c r="W311" s="2">
        <v>5589</v>
      </c>
      <c r="X311" s="9">
        <v>539629</v>
      </c>
      <c r="Y311" s="2" t="s">
        <v>36</v>
      </c>
      <c r="Z311" s="2">
        <v>232</v>
      </c>
      <c r="AA311" s="2" t="s">
        <v>1737</v>
      </c>
      <c r="AB311" s="2" t="b">
        <v>0</v>
      </c>
      <c r="AC311" s="2" t="s">
        <v>1738</v>
      </c>
      <c r="AD311" s="2" t="s">
        <v>1727</v>
      </c>
      <c r="AE311" s="2" t="s">
        <v>1728</v>
      </c>
      <c r="AF311" s="2" t="s">
        <v>1729</v>
      </c>
      <c r="AG311" s="28">
        <f>MAX(clean_data[[#This Row],[ATK]:[SPD]]) - MIN(clean_data[[#This Row],[ATK]:[SPD]])</f>
        <v>72</v>
      </c>
      <c r="AH311" s="28" t="str">
        <f>IF(clean_data[[#This Row],[Balanced Score]] = MIN(clean_data[Balanced Score]), "Most Balanced", "")</f>
        <v/>
      </c>
    </row>
    <row r="312" spans="1:34" x14ac:dyDescent="0.3">
      <c r="A312" s="2" t="s">
        <v>1113</v>
      </c>
      <c r="B312" s="2" t="s">
        <v>1114</v>
      </c>
      <c r="C312" s="2" t="s">
        <v>227</v>
      </c>
      <c r="D312" s="2" t="s">
        <v>250</v>
      </c>
      <c r="E312" s="2" t="s">
        <v>105</v>
      </c>
      <c r="F312" s="2" t="s">
        <v>52</v>
      </c>
      <c r="G312" s="2">
        <v>99</v>
      </c>
      <c r="H312" s="2" t="s">
        <v>31</v>
      </c>
      <c r="I312" s="2" t="s">
        <v>74</v>
      </c>
      <c r="J312" s="2" t="s">
        <v>163</v>
      </c>
      <c r="K312" s="2" t="s">
        <v>34</v>
      </c>
      <c r="L312" s="13">
        <v>45296</v>
      </c>
      <c r="M312" s="2">
        <v>23</v>
      </c>
      <c r="N312" s="2">
        <v>48</v>
      </c>
      <c r="O312" s="2">
        <v>87</v>
      </c>
      <c r="P312" s="2"/>
      <c r="Q312" s="2">
        <v>2460</v>
      </c>
      <c r="R312" s="2">
        <v>158</v>
      </c>
      <c r="S312" s="2">
        <v>4847</v>
      </c>
      <c r="T312" s="2">
        <v>78</v>
      </c>
      <c r="U312" s="2">
        <v>216</v>
      </c>
      <c r="V312" s="12">
        <f>ABS(RPG_dataset[[#This Row],[Win Rate (%)]])</f>
        <v>98</v>
      </c>
      <c r="W312" s="2">
        <v>4756</v>
      </c>
      <c r="X312" s="9">
        <v>898470</v>
      </c>
      <c r="Y312" s="2" t="s">
        <v>36</v>
      </c>
      <c r="Z312" s="2">
        <v>55</v>
      </c>
      <c r="AA312" s="2" t="s">
        <v>1737</v>
      </c>
      <c r="AB312" s="2" t="b">
        <v>0</v>
      </c>
      <c r="AC312" s="2" t="s">
        <v>1730</v>
      </c>
      <c r="AD312" s="2" t="s">
        <v>1727</v>
      </c>
      <c r="AE312" s="2" t="s">
        <v>1731</v>
      </c>
      <c r="AF312" s="2" t="s">
        <v>1736</v>
      </c>
      <c r="AG312" s="28">
        <f>MAX(clean_data[[#This Row],[ATK]:[SPD]]) - MIN(clean_data[[#This Row],[ATK]:[SPD]])</f>
        <v>64</v>
      </c>
      <c r="AH312" s="28" t="str">
        <f>IF(clean_data[[#This Row],[Balanced Score]] = MIN(clean_data[Balanced Score]), "Most Balanced", "")</f>
        <v/>
      </c>
    </row>
    <row r="313" spans="1:34" x14ac:dyDescent="0.3">
      <c r="A313" s="2" t="s">
        <v>1116</v>
      </c>
      <c r="B313" s="2" t="s">
        <v>1117</v>
      </c>
      <c r="C313" s="2" t="s">
        <v>123</v>
      </c>
      <c r="D313" s="2" t="s">
        <v>272</v>
      </c>
      <c r="E313" s="2" t="s">
        <v>71</v>
      </c>
      <c r="F313" s="2" t="s">
        <v>30</v>
      </c>
      <c r="G313" s="2">
        <v>78</v>
      </c>
      <c r="H313" s="2" t="s">
        <v>31</v>
      </c>
      <c r="I313" s="2" t="s">
        <v>32</v>
      </c>
      <c r="J313" s="2" t="s">
        <v>33</v>
      </c>
      <c r="K313" s="2" t="s">
        <v>44</v>
      </c>
      <c r="L313" s="13">
        <v>45417</v>
      </c>
      <c r="M313" s="2">
        <v>52</v>
      </c>
      <c r="N313" s="2">
        <v>102</v>
      </c>
      <c r="O313" s="2">
        <v>47</v>
      </c>
      <c r="P313" s="2">
        <v>4709</v>
      </c>
      <c r="Q313" s="2">
        <v>518</v>
      </c>
      <c r="R313" s="2">
        <v>201</v>
      </c>
      <c r="S313" s="2">
        <v>3155</v>
      </c>
      <c r="T313" s="2">
        <v>154</v>
      </c>
      <c r="U313" s="2">
        <v>168</v>
      </c>
      <c r="V313" s="12">
        <f>ABS(RPG_dataset[[#This Row],[Win Rate (%)]])</f>
        <v>95</v>
      </c>
      <c r="W313" s="2">
        <v>6069</v>
      </c>
      <c r="X313" s="9">
        <v>440793</v>
      </c>
      <c r="Y313" s="2" t="s">
        <v>36</v>
      </c>
      <c r="Z313" s="2">
        <v>288</v>
      </c>
      <c r="AA313" s="2" t="s">
        <v>1737</v>
      </c>
      <c r="AB313" s="2" t="b">
        <v>1</v>
      </c>
      <c r="AC313" s="2" t="s">
        <v>1730</v>
      </c>
      <c r="AD313" s="2" t="s">
        <v>1727</v>
      </c>
      <c r="AE313" s="2" t="s">
        <v>1731</v>
      </c>
      <c r="AF313" s="2" t="s">
        <v>1734</v>
      </c>
      <c r="AG313" s="28">
        <f>MAX(clean_data[[#This Row],[ATK]:[SPD]]) - MIN(clean_data[[#This Row],[ATK]:[SPD]])</f>
        <v>55</v>
      </c>
      <c r="AH313" s="28" t="str">
        <f>IF(clean_data[[#This Row],[Balanced Score]] = MIN(clean_data[Balanced Score]), "Most Balanced", "")</f>
        <v/>
      </c>
    </row>
    <row r="314" spans="1:34" x14ac:dyDescent="0.3">
      <c r="A314" s="2" t="s">
        <v>1119</v>
      </c>
      <c r="B314" s="2" t="s">
        <v>75</v>
      </c>
      <c r="C314" s="2" t="s">
        <v>103</v>
      </c>
      <c r="D314" s="2" t="s">
        <v>150</v>
      </c>
      <c r="E314" s="2" t="s">
        <v>51</v>
      </c>
      <c r="F314" s="2" t="s">
        <v>194</v>
      </c>
      <c r="G314" s="2">
        <v>8</v>
      </c>
      <c r="H314" s="2" t="s">
        <v>53</v>
      </c>
      <c r="I314" s="2" t="s">
        <v>54</v>
      </c>
      <c r="J314" s="2" t="s">
        <v>92</v>
      </c>
      <c r="K314" s="2" t="s">
        <v>44</v>
      </c>
      <c r="L314" s="13">
        <v>44434</v>
      </c>
      <c r="M314" s="2">
        <v>73</v>
      </c>
      <c r="N314" s="2">
        <v>108</v>
      </c>
      <c r="O314" s="2">
        <v>32</v>
      </c>
      <c r="P314" s="2">
        <v>4691</v>
      </c>
      <c r="Q314" s="2">
        <v>636</v>
      </c>
      <c r="R314" s="2">
        <v>213</v>
      </c>
      <c r="S314" s="2">
        <v>1881</v>
      </c>
      <c r="T314" s="2">
        <v>62</v>
      </c>
      <c r="U314" s="2">
        <v>11</v>
      </c>
      <c r="V314" s="12">
        <f>ABS(RPG_dataset[[#This Row],[Win Rate (%)]])</f>
        <v>97</v>
      </c>
      <c r="W314" s="2">
        <v>6058</v>
      </c>
      <c r="X314" s="9">
        <v>544861</v>
      </c>
      <c r="Y314" s="2" t="s">
        <v>36</v>
      </c>
      <c r="Z314" s="2">
        <v>231</v>
      </c>
      <c r="AA314" s="2" t="s">
        <v>1735</v>
      </c>
      <c r="AB314" s="2" t="b">
        <v>1</v>
      </c>
      <c r="AC314" s="2" t="s">
        <v>1730</v>
      </c>
      <c r="AD314" s="2" t="s">
        <v>1727</v>
      </c>
      <c r="AE314" s="2" t="s">
        <v>1728</v>
      </c>
      <c r="AF314" s="2" t="s">
        <v>1734</v>
      </c>
      <c r="AG314" s="28">
        <f>MAX(clean_data[[#This Row],[ATK]:[SPD]]) - MIN(clean_data[[#This Row],[ATK]:[SPD]])</f>
        <v>76</v>
      </c>
      <c r="AH314" s="28" t="str">
        <f>IF(clean_data[[#This Row],[Balanced Score]] = MIN(clean_data[Balanced Score]), "Most Balanced", "")</f>
        <v/>
      </c>
    </row>
    <row r="315" spans="1:34" x14ac:dyDescent="0.3">
      <c r="A315" s="2" t="s">
        <v>1121</v>
      </c>
      <c r="B315" s="2" t="s">
        <v>1122</v>
      </c>
      <c r="C315" s="2" t="s">
        <v>154</v>
      </c>
      <c r="D315" s="2" t="s">
        <v>162</v>
      </c>
      <c r="E315" s="2" t="s">
        <v>169</v>
      </c>
      <c r="F315" s="2" t="s">
        <v>194</v>
      </c>
      <c r="G315" s="2">
        <v>64</v>
      </c>
      <c r="H315" s="2" t="s">
        <v>157</v>
      </c>
      <c r="I315" s="2" t="s">
        <v>54</v>
      </c>
      <c r="J315" s="2" t="s">
        <v>120</v>
      </c>
      <c r="K315" s="2" t="s">
        <v>44</v>
      </c>
      <c r="L315" s="13">
        <v>44093</v>
      </c>
      <c r="M315" s="2">
        <v>32</v>
      </c>
      <c r="N315" s="2">
        <v>90</v>
      </c>
      <c r="O315" s="2">
        <v>63</v>
      </c>
      <c r="P315" s="2">
        <v>2466</v>
      </c>
      <c r="Q315" s="2">
        <v>1110</v>
      </c>
      <c r="R315" s="2">
        <v>185</v>
      </c>
      <c r="S315" s="2">
        <v>460</v>
      </c>
      <c r="T315" s="2">
        <v>768</v>
      </c>
      <c r="U315" s="2">
        <v>214</v>
      </c>
      <c r="V315" s="12">
        <f>ABS(RPG_dataset[[#This Row],[Win Rate (%)]])</f>
        <v>37</v>
      </c>
      <c r="W315" s="2">
        <v>3217</v>
      </c>
      <c r="X315" s="9">
        <v>938801</v>
      </c>
      <c r="Y315" s="2" t="s">
        <v>46</v>
      </c>
      <c r="Z315" s="2">
        <v>30</v>
      </c>
      <c r="AA315" s="2" t="s">
        <v>1725</v>
      </c>
      <c r="AB315" s="2" t="b">
        <v>1</v>
      </c>
      <c r="AC315" s="2" t="s">
        <v>1726</v>
      </c>
      <c r="AD315" s="2" t="s">
        <v>1727</v>
      </c>
      <c r="AE315" s="2" t="s">
        <v>1728</v>
      </c>
      <c r="AF315" s="2" t="s">
        <v>61</v>
      </c>
      <c r="AG315" s="28">
        <f>MAX(clean_data[[#This Row],[ATK]:[SPD]]) - MIN(clean_data[[#This Row],[ATK]:[SPD]])</f>
        <v>58</v>
      </c>
      <c r="AH315" s="28" t="str">
        <f>IF(clean_data[[#This Row],[Balanced Score]] = MIN(clean_data[Balanced Score]), "Most Balanced", "")</f>
        <v/>
      </c>
    </row>
    <row r="316" spans="1:34" x14ac:dyDescent="0.3">
      <c r="A316" s="2" t="s">
        <v>1124</v>
      </c>
      <c r="B316" s="2" t="s">
        <v>1125</v>
      </c>
      <c r="C316" s="2" t="s">
        <v>353</v>
      </c>
      <c r="D316" s="2" t="s">
        <v>150</v>
      </c>
      <c r="E316" s="2" t="s">
        <v>75</v>
      </c>
      <c r="F316" s="2" t="s">
        <v>194</v>
      </c>
      <c r="G316" s="2">
        <v>100</v>
      </c>
      <c r="H316" s="2" t="s">
        <v>62</v>
      </c>
      <c r="I316" s="2" t="s">
        <v>32</v>
      </c>
      <c r="J316" s="2" t="s">
        <v>92</v>
      </c>
      <c r="K316" s="2" t="s">
        <v>44</v>
      </c>
      <c r="L316" s="13">
        <v>45383</v>
      </c>
      <c r="M316" s="2">
        <v>148</v>
      </c>
      <c r="N316" s="2">
        <v>34</v>
      </c>
      <c r="O316" s="2">
        <v>119</v>
      </c>
      <c r="P316" s="2">
        <v>1898</v>
      </c>
      <c r="Q316" s="2">
        <v>2929</v>
      </c>
      <c r="R316" s="2">
        <v>301</v>
      </c>
      <c r="S316" s="2">
        <v>4534</v>
      </c>
      <c r="T316" s="2">
        <v>795</v>
      </c>
      <c r="U316" s="2">
        <v>54</v>
      </c>
      <c r="V316" s="12">
        <f>ABS(RPG_dataset[[#This Row],[Win Rate (%)]])</f>
        <v>85</v>
      </c>
      <c r="W316" s="2">
        <v>1276</v>
      </c>
      <c r="X316" s="9">
        <v>93257</v>
      </c>
      <c r="Y316" s="2" t="s">
        <v>46</v>
      </c>
      <c r="Z316" s="2">
        <v>443</v>
      </c>
      <c r="AA316" s="2" t="s">
        <v>1737</v>
      </c>
      <c r="AB316" s="2" t="b">
        <v>1</v>
      </c>
      <c r="AC316" s="2" t="s">
        <v>1730</v>
      </c>
      <c r="AD316" s="2" t="s">
        <v>1727</v>
      </c>
      <c r="AE316" s="2" t="s">
        <v>1728</v>
      </c>
      <c r="AF316" s="2" t="s">
        <v>1736</v>
      </c>
      <c r="AG316" s="28">
        <f>MAX(clean_data[[#This Row],[ATK]:[SPD]]) - MIN(clean_data[[#This Row],[ATK]:[SPD]])</f>
        <v>114</v>
      </c>
      <c r="AH316" s="28" t="str">
        <f>IF(clean_data[[#This Row],[Balanced Score]] = MIN(clean_data[Balanced Score]), "Most Balanced", "")</f>
        <v/>
      </c>
    </row>
    <row r="317" spans="1:34" x14ac:dyDescent="0.3">
      <c r="A317" s="2" t="s">
        <v>1127</v>
      </c>
      <c r="B317" s="2" t="s">
        <v>75</v>
      </c>
      <c r="C317" s="2" t="s">
        <v>203</v>
      </c>
      <c r="D317" s="2" t="s">
        <v>104</v>
      </c>
      <c r="E317" s="2" t="s">
        <v>41</v>
      </c>
      <c r="F317" s="2" t="s">
        <v>194</v>
      </c>
      <c r="G317" s="2">
        <v>15</v>
      </c>
      <c r="H317" s="2" t="s">
        <v>31</v>
      </c>
      <c r="I317" s="2" t="s">
        <v>126</v>
      </c>
      <c r="J317" s="2" t="s">
        <v>81</v>
      </c>
      <c r="K317" s="2" t="s">
        <v>99</v>
      </c>
      <c r="L317" s="13">
        <v>44445</v>
      </c>
      <c r="M317" s="2">
        <v>77</v>
      </c>
      <c r="N317" s="2">
        <v>25</v>
      </c>
      <c r="O317" s="2">
        <v>107</v>
      </c>
      <c r="P317" s="2">
        <v>2962</v>
      </c>
      <c r="Q317" s="2">
        <v>2107</v>
      </c>
      <c r="R317" s="2">
        <v>209</v>
      </c>
      <c r="S317" s="2">
        <v>3232</v>
      </c>
      <c r="T317" s="2">
        <v>628</v>
      </c>
      <c r="U317" s="2">
        <v>0</v>
      </c>
      <c r="V317" s="12">
        <f>ABS(RPG_dataset[[#This Row],[Win Rate (%)]])</f>
        <v>84</v>
      </c>
      <c r="W317" s="2">
        <v>455</v>
      </c>
      <c r="X317" s="9">
        <v>654738</v>
      </c>
      <c r="Y317" s="2" t="s">
        <v>46</v>
      </c>
      <c r="Z317" s="2">
        <v>173</v>
      </c>
      <c r="AA317" s="2" t="s">
        <v>1735</v>
      </c>
      <c r="AB317" s="2" t="b">
        <v>0</v>
      </c>
      <c r="AC317" s="2" t="s">
        <v>1730</v>
      </c>
      <c r="AD317" s="2" t="s">
        <v>1727</v>
      </c>
      <c r="AE317" s="2" t="s">
        <v>1728</v>
      </c>
      <c r="AF317" s="2" t="s">
        <v>1736</v>
      </c>
      <c r="AG317" s="28">
        <f>MAX(clean_data[[#This Row],[ATK]:[SPD]]) - MIN(clean_data[[#This Row],[ATK]:[SPD]])</f>
        <v>82</v>
      </c>
      <c r="AH317" s="28" t="str">
        <f>IF(clean_data[[#This Row],[Balanced Score]] = MIN(clean_data[Balanced Score]), "Most Balanced", "")</f>
        <v/>
      </c>
    </row>
    <row r="318" spans="1:34" x14ac:dyDescent="0.3">
      <c r="A318" s="2" t="s">
        <v>1129</v>
      </c>
      <c r="B318" s="2" t="s">
        <v>1130</v>
      </c>
      <c r="C318" s="2" t="s">
        <v>227</v>
      </c>
      <c r="D318" s="2" t="s">
        <v>234</v>
      </c>
      <c r="E318" s="2" t="s">
        <v>29</v>
      </c>
      <c r="F318" s="2" t="s">
        <v>72</v>
      </c>
      <c r="G318" s="2">
        <v>27</v>
      </c>
      <c r="H318" s="2" t="s">
        <v>80</v>
      </c>
      <c r="I318" s="2" t="s">
        <v>63</v>
      </c>
      <c r="J318" s="2" t="s">
        <v>111</v>
      </c>
      <c r="K318" s="2" t="s">
        <v>44</v>
      </c>
      <c r="L318" s="13">
        <v>44348</v>
      </c>
      <c r="M318" s="2">
        <v>15</v>
      </c>
      <c r="N318" s="2">
        <v>62</v>
      </c>
      <c r="O318" s="2">
        <v>55</v>
      </c>
      <c r="P318" s="2">
        <v>542</v>
      </c>
      <c r="Q318" s="2">
        <v>1818</v>
      </c>
      <c r="R318" s="2">
        <v>132</v>
      </c>
      <c r="S318" s="2"/>
      <c r="T318" s="2">
        <v>863</v>
      </c>
      <c r="U318" s="2">
        <v>227</v>
      </c>
      <c r="V318" s="12">
        <f>ABS(RPG_dataset[[#This Row],[Win Rate (%)]])</f>
        <v>83</v>
      </c>
      <c r="W318" s="2">
        <v>3687</v>
      </c>
      <c r="X318" s="9">
        <v>618686</v>
      </c>
      <c r="Y318" s="2" t="s">
        <v>46</v>
      </c>
      <c r="Z318" s="2">
        <v>192</v>
      </c>
      <c r="AA318" s="2" t="s">
        <v>1733</v>
      </c>
      <c r="AB318" s="2" t="b">
        <v>1</v>
      </c>
      <c r="AC318" s="2" t="s">
        <v>1730</v>
      </c>
      <c r="AD318" s="2" t="s">
        <v>1727</v>
      </c>
      <c r="AE318" s="2" t="s">
        <v>1728</v>
      </c>
      <c r="AF318" s="2" t="s">
        <v>1729</v>
      </c>
      <c r="AG318" s="28">
        <f>MAX(clean_data[[#This Row],[ATK]:[SPD]]) - MIN(clean_data[[#This Row],[ATK]:[SPD]])</f>
        <v>47</v>
      </c>
      <c r="AH318" s="28" t="str">
        <f>IF(clean_data[[#This Row],[Balanced Score]] = MIN(clean_data[Balanced Score]), "Most Balanced", "")</f>
        <v/>
      </c>
    </row>
    <row r="319" spans="1:34" x14ac:dyDescent="0.3">
      <c r="A319" s="2" t="s">
        <v>1132</v>
      </c>
      <c r="B319" s="2" t="s">
        <v>1133</v>
      </c>
      <c r="C319" s="2" t="s">
        <v>103</v>
      </c>
      <c r="D319" s="2" t="s">
        <v>28</v>
      </c>
      <c r="E319" s="2" t="s">
        <v>71</v>
      </c>
      <c r="F319" s="2" t="s">
        <v>42</v>
      </c>
      <c r="G319" s="2">
        <v>7</v>
      </c>
      <c r="H319" s="2" t="s">
        <v>62</v>
      </c>
      <c r="I319" s="2" t="s">
        <v>140</v>
      </c>
      <c r="J319" s="2" t="s">
        <v>111</v>
      </c>
      <c r="K319" s="2" t="s">
        <v>99</v>
      </c>
      <c r="L319" s="13">
        <v>43407</v>
      </c>
      <c r="M319" s="2">
        <v>58</v>
      </c>
      <c r="N319" s="2">
        <v>106</v>
      </c>
      <c r="O319" s="2">
        <v>14</v>
      </c>
      <c r="P319" s="2">
        <v>2650</v>
      </c>
      <c r="Q319" s="2">
        <v>2363</v>
      </c>
      <c r="R319" s="2">
        <v>178</v>
      </c>
      <c r="S319" s="2">
        <v>635</v>
      </c>
      <c r="T319" s="2">
        <v>949</v>
      </c>
      <c r="U319" s="2">
        <v>56</v>
      </c>
      <c r="V319" s="12">
        <f>ABS(RPG_dataset[[#This Row],[Win Rate (%)]])</f>
        <v>40</v>
      </c>
      <c r="W319" s="2">
        <v>861</v>
      </c>
      <c r="X319" s="9">
        <v>296575</v>
      </c>
      <c r="Y319" s="2" t="s">
        <v>46</v>
      </c>
      <c r="Z319" s="2">
        <v>354</v>
      </c>
      <c r="AA319" s="2" t="s">
        <v>1735</v>
      </c>
      <c r="AB319" s="2" t="b">
        <v>0</v>
      </c>
      <c r="AC319" s="2" t="s">
        <v>1738</v>
      </c>
      <c r="AD319" s="2" t="s">
        <v>1727</v>
      </c>
      <c r="AE319" s="2" t="s">
        <v>1742</v>
      </c>
      <c r="AF319" s="2" t="s">
        <v>1740</v>
      </c>
      <c r="AG319" s="28">
        <f>MAX(clean_data[[#This Row],[ATK]:[SPD]]) - MIN(clean_data[[#This Row],[ATK]:[SPD]])</f>
        <v>92</v>
      </c>
      <c r="AH319" s="28" t="str">
        <f>IF(clean_data[[#This Row],[Balanced Score]] = MIN(clean_data[Balanced Score]), "Most Balanced", "")</f>
        <v/>
      </c>
    </row>
    <row r="320" spans="1:34" x14ac:dyDescent="0.3">
      <c r="A320" s="2" t="s">
        <v>1135</v>
      </c>
      <c r="B320" s="2" t="s">
        <v>1136</v>
      </c>
      <c r="C320" s="2" t="s">
        <v>69</v>
      </c>
      <c r="D320" s="2" t="s">
        <v>150</v>
      </c>
      <c r="E320" s="2" t="s">
        <v>29</v>
      </c>
      <c r="F320" s="2" t="s">
        <v>124</v>
      </c>
      <c r="G320" s="2">
        <v>5</v>
      </c>
      <c r="H320" s="2" t="s">
        <v>157</v>
      </c>
      <c r="I320" s="2" t="s">
        <v>54</v>
      </c>
      <c r="J320" s="2" t="s">
        <v>64</v>
      </c>
      <c r="K320" s="2" t="s">
        <v>99</v>
      </c>
      <c r="L320" s="13">
        <v>43895</v>
      </c>
      <c r="M320" s="2">
        <v>125</v>
      </c>
      <c r="N320" s="2">
        <v>84</v>
      </c>
      <c r="O320" s="2">
        <v>31</v>
      </c>
      <c r="P320" s="2"/>
      <c r="Q320" s="2">
        <v>2398</v>
      </c>
      <c r="R320" s="2">
        <v>240</v>
      </c>
      <c r="S320" s="2">
        <v>2380</v>
      </c>
      <c r="T320" s="2">
        <v>479</v>
      </c>
      <c r="U320" s="2">
        <v>1</v>
      </c>
      <c r="V320" s="12">
        <f>ABS(RPG_dataset[[#This Row],[Win Rate (%)]])</f>
        <v>83</v>
      </c>
      <c r="W320" s="2">
        <v>4150</v>
      </c>
      <c r="X320" s="9">
        <v>857060</v>
      </c>
      <c r="Y320" s="2" t="s">
        <v>46</v>
      </c>
      <c r="Z320" s="2">
        <v>73</v>
      </c>
      <c r="AA320" s="2" t="s">
        <v>1735</v>
      </c>
      <c r="AB320" s="2" t="b">
        <v>0</v>
      </c>
      <c r="AC320" s="2" t="s">
        <v>1730</v>
      </c>
      <c r="AD320" s="2" t="s">
        <v>1727</v>
      </c>
      <c r="AE320" s="2" t="s">
        <v>1728</v>
      </c>
      <c r="AF320" s="2" t="s">
        <v>61</v>
      </c>
      <c r="AG320" s="28">
        <f>MAX(clean_data[[#This Row],[ATK]:[SPD]]) - MIN(clean_data[[#This Row],[ATK]:[SPD]])</f>
        <v>94</v>
      </c>
      <c r="AH320" s="28" t="str">
        <f>IF(clean_data[[#This Row],[Balanced Score]] = MIN(clean_data[Balanced Score]), "Most Balanced", "")</f>
        <v/>
      </c>
    </row>
    <row r="321" spans="1:34" x14ac:dyDescent="0.3">
      <c r="A321" s="2" t="s">
        <v>1137</v>
      </c>
      <c r="B321" s="2" t="s">
        <v>1138</v>
      </c>
      <c r="C321" s="2" t="s">
        <v>161</v>
      </c>
      <c r="D321" s="2" t="s">
        <v>254</v>
      </c>
      <c r="E321" s="2" t="s">
        <v>105</v>
      </c>
      <c r="F321" s="2" t="s">
        <v>52</v>
      </c>
      <c r="G321" s="2">
        <v>13</v>
      </c>
      <c r="H321" s="2" t="s">
        <v>53</v>
      </c>
      <c r="I321" s="2" t="s">
        <v>126</v>
      </c>
      <c r="J321" s="2" t="s">
        <v>64</v>
      </c>
      <c r="K321" s="2" t="s">
        <v>99</v>
      </c>
      <c r="L321" s="13">
        <v>45181</v>
      </c>
      <c r="M321" s="2">
        <v>88</v>
      </c>
      <c r="N321" s="2">
        <v>113</v>
      </c>
      <c r="O321" s="2">
        <v>83</v>
      </c>
      <c r="P321" s="2">
        <v>1827</v>
      </c>
      <c r="Q321" s="2">
        <v>1927</v>
      </c>
      <c r="R321" s="2">
        <v>284</v>
      </c>
      <c r="S321" s="2">
        <v>3737</v>
      </c>
      <c r="T321" s="2">
        <v>126</v>
      </c>
      <c r="U321" s="2">
        <v>253</v>
      </c>
      <c r="V321" s="12">
        <f>ABS(RPG_dataset[[#This Row],[Win Rate (%)]])</f>
        <v>97</v>
      </c>
      <c r="W321" s="2">
        <v>1420</v>
      </c>
      <c r="X321" s="9">
        <v>784495</v>
      </c>
      <c r="Y321" s="2" t="s">
        <v>46</v>
      </c>
      <c r="Z321" s="2">
        <v>117</v>
      </c>
      <c r="AA321" s="2" t="s">
        <v>1735</v>
      </c>
      <c r="AB321" s="2" t="b">
        <v>0</v>
      </c>
      <c r="AC321" s="2" t="s">
        <v>1730</v>
      </c>
      <c r="AD321" s="2" t="s">
        <v>1727</v>
      </c>
      <c r="AE321" s="2" t="s">
        <v>1728</v>
      </c>
      <c r="AF321" s="2" t="s">
        <v>1736</v>
      </c>
      <c r="AG321" s="28">
        <f>MAX(clean_data[[#This Row],[ATK]:[SPD]]) - MIN(clean_data[[#This Row],[ATK]:[SPD]])</f>
        <v>30</v>
      </c>
      <c r="AH321" s="28" t="str">
        <f>IF(clean_data[[#This Row],[Balanced Score]] = MIN(clean_data[Balanced Score]), "Most Balanced", "")</f>
        <v/>
      </c>
    </row>
    <row r="322" spans="1:34" x14ac:dyDescent="0.3">
      <c r="A322" s="2" t="s">
        <v>1141</v>
      </c>
      <c r="B322" s="2" t="s">
        <v>1142</v>
      </c>
      <c r="C322" s="2" t="s">
        <v>79</v>
      </c>
      <c r="D322" s="2" t="s">
        <v>210</v>
      </c>
      <c r="E322" s="2" t="s">
        <v>169</v>
      </c>
      <c r="F322" s="2" t="s">
        <v>52</v>
      </c>
      <c r="G322" s="2">
        <v>63</v>
      </c>
      <c r="H322" s="2" t="s">
        <v>62</v>
      </c>
      <c r="I322" s="2" t="s">
        <v>74</v>
      </c>
      <c r="J322" s="2" t="s">
        <v>81</v>
      </c>
      <c r="K322" s="2" t="s">
        <v>99</v>
      </c>
      <c r="L322" s="13">
        <v>44599</v>
      </c>
      <c r="M322" s="2">
        <v>43</v>
      </c>
      <c r="N322" s="2">
        <v>34</v>
      </c>
      <c r="O322" s="2">
        <v>76</v>
      </c>
      <c r="P322" s="2">
        <v>1596</v>
      </c>
      <c r="Q322" s="2">
        <v>2094</v>
      </c>
      <c r="R322" s="2">
        <v>153</v>
      </c>
      <c r="S322" s="2">
        <v>4981</v>
      </c>
      <c r="T322" s="2">
        <v>569</v>
      </c>
      <c r="U322" s="2">
        <v>153</v>
      </c>
      <c r="V322" s="12">
        <f>ABS(RPG_dataset[[#This Row],[Win Rate (%)]])</f>
        <v>90</v>
      </c>
      <c r="W322" s="2">
        <v>7364</v>
      </c>
      <c r="X322" s="9"/>
      <c r="Y322" s="2" t="s">
        <v>36</v>
      </c>
      <c r="Z322" s="2">
        <v>486</v>
      </c>
      <c r="AA322" s="2" t="s">
        <v>1725</v>
      </c>
      <c r="AB322" s="2" t="b">
        <v>0</v>
      </c>
      <c r="AC322" s="2" t="s">
        <v>1730</v>
      </c>
      <c r="AD322" s="2" t="s">
        <v>1727</v>
      </c>
      <c r="AE322" s="2" t="s">
        <v>1731</v>
      </c>
      <c r="AF322" s="2" t="s">
        <v>1729</v>
      </c>
      <c r="AG322" s="28">
        <f>MAX(clean_data[[#This Row],[ATK]:[SPD]]) - MIN(clean_data[[#This Row],[ATK]:[SPD]])</f>
        <v>42</v>
      </c>
      <c r="AH322" s="28" t="str">
        <f>IF(clean_data[[#This Row],[Balanced Score]] = MIN(clean_data[Balanced Score]), "Most Balanced", "")</f>
        <v/>
      </c>
    </row>
    <row r="323" spans="1:34" x14ac:dyDescent="0.3">
      <c r="A323" s="2" t="s">
        <v>1144</v>
      </c>
      <c r="B323" s="2" t="s">
        <v>1145</v>
      </c>
      <c r="C323" s="2" t="s">
        <v>238</v>
      </c>
      <c r="D323" s="2" t="s">
        <v>401</v>
      </c>
      <c r="E323" s="2" t="s">
        <v>60</v>
      </c>
      <c r="F323" s="2" t="s">
        <v>61</v>
      </c>
      <c r="G323" s="2">
        <v>75</v>
      </c>
      <c r="H323" s="2" t="s">
        <v>43</v>
      </c>
      <c r="I323" s="2" t="s">
        <v>54</v>
      </c>
      <c r="J323" s="2" t="s">
        <v>120</v>
      </c>
      <c r="K323" s="2" t="s">
        <v>99</v>
      </c>
      <c r="L323" s="13">
        <v>44652</v>
      </c>
      <c r="M323" s="2">
        <v>46</v>
      </c>
      <c r="N323" s="2">
        <v>51</v>
      </c>
      <c r="O323" s="2">
        <v>29</v>
      </c>
      <c r="P323" s="2">
        <v>1131</v>
      </c>
      <c r="Q323" s="2">
        <v>751</v>
      </c>
      <c r="R323" s="2">
        <v>126</v>
      </c>
      <c r="S323" s="2">
        <v>2957</v>
      </c>
      <c r="T323" s="2">
        <v>836</v>
      </c>
      <c r="U323" s="2">
        <v>34</v>
      </c>
      <c r="V323" s="12">
        <f>ABS(RPG_dataset[[#This Row],[Win Rate (%)]])</f>
        <v>78</v>
      </c>
      <c r="W323" s="2">
        <v>6924</v>
      </c>
      <c r="X323" s="9">
        <v>183756</v>
      </c>
      <c r="Y323" s="2" t="s">
        <v>46</v>
      </c>
      <c r="Z323" s="2">
        <v>408</v>
      </c>
      <c r="AA323" s="2" t="s">
        <v>1725</v>
      </c>
      <c r="AB323" s="2" t="b">
        <v>0</v>
      </c>
      <c r="AC323" s="2" t="s">
        <v>1730</v>
      </c>
      <c r="AD323" s="2" t="s">
        <v>1727</v>
      </c>
      <c r="AE323" s="2" t="s">
        <v>1728</v>
      </c>
      <c r="AF323" s="2" t="s">
        <v>61</v>
      </c>
      <c r="AG323" s="28">
        <f>MAX(clean_data[[#This Row],[ATK]:[SPD]]) - MIN(clean_data[[#This Row],[ATK]:[SPD]])</f>
        <v>22</v>
      </c>
      <c r="AH323" s="28" t="str">
        <f>IF(clean_data[[#This Row],[Balanced Score]] = MIN(clean_data[Balanced Score]), "Most Balanced", "")</f>
        <v/>
      </c>
    </row>
    <row r="324" spans="1:34" x14ac:dyDescent="0.3">
      <c r="A324" s="2" t="s">
        <v>1147</v>
      </c>
      <c r="B324" s="2" t="s">
        <v>1148</v>
      </c>
      <c r="C324" s="2" t="s">
        <v>69</v>
      </c>
      <c r="D324" s="2" t="s">
        <v>272</v>
      </c>
      <c r="E324" s="2" t="s">
        <v>71</v>
      </c>
      <c r="F324" s="2" t="s">
        <v>124</v>
      </c>
      <c r="G324" s="2">
        <v>65</v>
      </c>
      <c r="H324" s="2" t="s">
        <v>125</v>
      </c>
      <c r="I324" s="2" t="s">
        <v>63</v>
      </c>
      <c r="J324" s="2" t="s">
        <v>111</v>
      </c>
      <c r="K324" s="2" t="s">
        <v>44</v>
      </c>
      <c r="L324" s="13">
        <v>44852</v>
      </c>
      <c r="M324" s="2">
        <v>76</v>
      </c>
      <c r="N324" s="2">
        <v>50</v>
      </c>
      <c r="O324" s="2">
        <v>53</v>
      </c>
      <c r="P324" s="2">
        <v>3786</v>
      </c>
      <c r="Q324" s="2">
        <v>428</v>
      </c>
      <c r="R324" s="2">
        <v>179</v>
      </c>
      <c r="S324" s="2">
        <v>3561</v>
      </c>
      <c r="T324" s="2">
        <v>844</v>
      </c>
      <c r="U324" s="2"/>
      <c r="V324" s="12">
        <f>ABS(RPG_dataset[[#This Row],[Win Rate (%)]])</f>
        <v>81</v>
      </c>
      <c r="W324" s="2">
        <v>3193</v>
      </c>
      <c r="X324" s="9">
        <v>495743</v>
      </c>
      <c r="Y324" s="2" t="s">
        <v>46</v>
      </c>
      <c r="Z324" s="2">
        <v>255</v>
      </c>
      <c r="AA324" s="2" t="s">
        <v>1725</v>
      </c>
      <c r="AB324" s="2" t="b">
        <v>1</v>
      </c>
      <c r="AC324" s="2" t="s">
        <v>1730</v>
      </c>
      <c r="AD324" s="2" t="s">
        <v>1727</v>
      </c>
      <c r="AE324" s="2" t="s">
        <v>1728</v>
      </c>
      <c r="AF324" s="2" t="s">
        <v>1729</v>
      </c>
      <c r="AG324" s="28">
        <f>MAX(clean_data[[#This Row],[ATK]:[SPD]]) - MIN(clean_data[[#This Row],[ATK]:[SPD]])</f>
        <v>26</v>
      </c>
      <c r="AH324" s="28" t="str">
        <f>IF(clean_data[[#This Row],[Balanced Score]] = MIN(clean_data[Balanced Score]), "Most Balanced", "")</f>
        <v/>
      </c>
    </row>
    <row r="325" spans="1:34" x14ac:dyDescent="0.3">
      <c r="A325" s="2" t="s">
        <v>1151</v>
      </c>
      <c r="B325" s="2" t="s">
        <v>1152</v>
      </c>
      <c r="C325" s="2" t="s">
        <v>371</v>
      </c>
      <c r="D325" s="2" t="s">
        <v>70</v>
      </c>
      <c r="E325" s="2" t="s">
        <v>105</v>
      </c>
      <c r="F325" s="2" t="s">
        <v>124</v>
      </c>
      <c r="G325" s="2">
        <v>71</v>
      </c>
      <c r="H325" s="2" t="s">
        <v>62</v>
      </c>
      <c r="I325" s="2" t="s">
        <v>126</v>
      </c>
      <c r="J325" s="2" t="s">
        <v>163</v>
      </c>
      <c r="K325" s="2" t="s">
        <v>99</v>
      </c>
      <c r="L325" s="13">
        <v>43896</v>
      </c>
      <c r="M325" s="2">
        <v>142</v>
      </c>
      <c r="N325" s="2">
        <v>137</v>
      </c>
      <c r="O325" s="2"/>
      <c r="P325" s="2">
        <v>545</v>
      </c>
      <c r="Q325" s="2">
        <v>270</v>
      </c>
      <c r="R325" s="2">
        <v>385</v>
      </c>
      <c r="S325" s="2">
        <v>824</v>
      </c>
      <c r="T325" s="2">
        <v>991</v>
      </c>
      <c r="U325" s="2">
        <v>210</v>
      </c>
      <c r="V325" s="12">
        <f>ABS(RPG_dataset[[#This Row],[Win Rate (%)]])</f>
        <v>45</v>
      </c>
      <c r="W325" s="2">
        <v>5583</v>
      </c>
      <c r="X325" s="9">
        <v>398297</v>
      </c>
      <c r="Y325" s="2" t="s">
        <v>36</v>
      </c>
      <c r="Z325" s="2">
        <v>304</v>
      </c>
      <c r="AA325" s="2" t="s">
        <v>1725</v>
      </c>
      <c r="AB325" s="2" t="b">
        <v>0</v>
      </c>
      <c r="AC325" s="2" t="s">
        <v>1738</v>
      </c>
      <c r="AD325" s="2" t="s">
        <v>1727</v>
      </c>
      <c r="AE325" s="2" t="s">
        <v>1728</v>
      </c>
      <c r="AF325" s="2" t="s">
        <v>1729</v>
      </c>
      <c r="AG325" s="28">
        <f>MAX(clean_data[[#This Row],[ATK]:[SPD]]) - MIN(clean_data[[#This Row],[ATK]:[SPD]])</f>
        <v>5</v>
      </c>
      <c r="AH325" s="28" t="str">
        <f>IF(clean_data[[#This Row],[Balanced Score]] = MIN(clean_data[Balanced Score]), "Most Balanced", "")</f>
        <v/>
      </c>
    </row>
    <row r="326" spans="1:34" x14ac:dyDescent="0.3">
      <c r="A326" s="2" t="s">
        <v>1154</v>
      </c>
      <c r="B326" s="2" t="s">
        <v>1155</v>
      </c>
      <c r="C326" s="2" t="s">
        <v>110</v>
      </c>
      <c r="D326" s="2" t="s">
        <v>155</v>
      </c>
      <c r="E326" s="2" t="s">
        <v>228</v>
      </c>
      <c r="F326" s="2" t="s">
        <v>42</v>
      </c>
      <c r="G326" s="2">
        <v>7</v>
      </c>
      <c r="H326" s="2" t="s">
        <v>53</v>
      </c>
      <c r="I326" s="2" t="s">
        <v>140</v>
      </c>
      <c r="J326" s="2" t="s">
        <v>92</v>
      </c>
      <c r="K326" s="2" t="s">
        <v>44</v>
      </c>
      <c r="L326" s="13">
        <v>45252</v>
      </c>
      <c r="M326" s="2">
        <v>27</v>
      </c>
      <c r="N326" s="2">
        <v>92</v>
      </c>
      <c r="O326" s="2"/>
      <c r="P326" s="2">
        <v>2599</v>
      </c>
      <c r="Q326" s="2">
        <v>1152</v>
      </c>
      <c r="R326" s="2">
        <v>146</v>
      </c>
      <c r="S326" s="2">
        <v>501</v>
      </c>
      <c r="T326" s="2">
        <v>15</v>
      </c>
      <c r="U326" s="2"/>
      <c r="V326" s="12">
        <f>ABS(RPG_dataset[[#This Row],[Win Rate (%)]])</f>
        <v>97</v>
      </c>
      <c r="W326" s="2">
        <v>1632</v>
      </c>
      <c r="X326" s="9">
        <v>918853</v>
      </c>
      <c r="Y326" s="2" t="s">
        <v>36</v>
      </c>
      <c r="Z326" s="2">
        <v>43</v>
      </c>
      <c r="AA326" s="2" t="s">
        <v>1735</v>
      </c>
      <c r="AB326" s="2" t="b">
        <v>1</v>
      </c>
      <c r="AC326" s="2" t="s">
        <v>1730</v>
      </c>
      <c r="AD326" s="2" t="s">
        <v>1727</v>
      </c>
      <c r="AE326" s="2" t="s">
        <v>1728</v>
      </c>
      <c r="AF326" s="2" t="s">
        <v>1740</v>
      </c>
      <c r="AG326" s="28">
        <f>MAX(clean_data[[#This Row],[ATK]:[SPD]]) - MIN(clean_data[[#This Row],[ATK]:[SPD]])</f>
        <v>65</v>
      </c>
      <c r="AH326" s="28" t="str">
        <f>IF(clean_data[[#This Row],[Balanced Score]] = MIN(clean_data[Balanced Score]), "Most Balanced", "")</f>
        <v/>
      </c>
    </row>
    <row r="327" spans="1:34" x14ac:dyDescent="0.3">
      <c r="A327" s="2" t="s">
        <v>1157</v>
      </c>
      <c r="B327" s="2" t="s">
        <v>1158</v>
      </c>
      <c r="C327" s="2" t="s">
        <v>39</v>
      </c>
      <c r="D327" s="2" t="s">
        <v>174</v>
      </c>
      <c r="E327" s="2" t="s">
        <v>41</v>
      </c>
      <c r="F327" s="2" t="s">
        <v>42</v>
      </c>
      <c r="G327" s="2">
        <v>87</v>
      </c>
      <c r="H327" s="2" t="s">
        <v>62</v>
      </c>
      <c r="I327" s="2" t="s">
        <v>74</v>
      </c>
      <c r="J327" s="2" t="s">
        <v>120</v>
      </c>
      <c r="K327" s="2" t="s">
        <v>106</v>
      </c>
      <c r="L327" s="13">
        <v>43658</v>
      </c>
      <c r="M327" s="2">
        <v>124</v>
      </c>
      <c r="N327" s="2">
        <v>62</v>
      </c>
      <c r="O327" s="2">
        <v>14</v>
      </c>
      <c r="P327" s="2">
        <v>2384</v>
      </c>
      <c r="Q327" s="2">
        <v>1074</v>
      </c>
      <c r="R327" s="2">
        <v>200</v>
      </c>
      <c r="S327" s="2"/>
      <c r="T327" s="2">
        <v>779</v>
      </c>
      <c r="U327" s="2">
        <v>54</v>
      </c>
      <c r="V327" s="12">
        <f>ABS(RPG_dataset[[#This Row],[Win Rate (%)]])</f>
        <v>79</v>
      </c>
      <c r="W327" s="2">
        <v>2750</v>
      </c>
      <c r="X327" s="9">
        <v>586773</v>
      </c>
      <c r="Y327" s="2" t="s">
        <v>46</v>
      </c>
      <c r="Z327" s="2">
        <v>207</v>
      </c>
      <c r="AA327" s="2" t="s">
        <v>1737</v>
      </c>
      <c r="AB327" s="2" t="b">
        <v>0</v>
      </c>
      <c r="AC327" s="2" t="s">
        <v>1730</v>
      </c>
      <c r="AD327" s="2" t="s">
        <v>1727</v>
      </c>
      <c r="AE327" s="2" t="s">
        <v>1728</v>
      </c>
      <c r="AF327" s="2" t="s">
        <v>1729</v>
      </c>
      <c r="AG327" s="28">
        <f>MAX(clean_data[[#This Row],[ATK]:[SPD]]) - MIN(clean_data[[#This Row],[ATK]:[SPD]])</f>
        <v>110</v>
      </c>
      <c r="AH327" s="28" t="str">
        <f>IF(clean_data[[#This Row],[Balanced Score]] = MIN(clean_data[Balanced Score]), "Most Balanced", "")</f>
        <v/>
      </c>
    </row>
    <row r="328" spans="1:34" x14ac:dyDescent="0.3">
      <c r="A328" s="2" t="s">
        <v>1160</v>
      </c>
      <c r="B328" s="2" t="s">
        <v>1161</v>
      </c>
      <c r="C328" s="2" t="s">
        <v>276</v>
      </c>
      <c r="D328" s="2" t="s">
        <v>119</v>
      </c>
      <c r="E328" s="2" t="s">
        <v>71</v>
      </c>
      <c r="F328" s="2" t="s">
        <v>52</v>
      </c>
      <c r="G328" s="2">
        <v>39</v>
      </c>
      <c r="H328" s="2" t="s">
        <v>53</v>
      </c>
      <c r="I328" s="2" t="s">
        <v>63</v>
      </c>
      <c r="J328" s="2" t="s">
        <v>81</v>
      </c>
      <c r="K328" s="2" t="s">
        <v>99</v>
      </c>
      <c r="L328" s="13">
        <v>43993</v>
      </c>
      <c r="M328" s="2">
        <v>68</v>
      </c>
      <c r="N328" s="2">
        <v>21</v>
      </c>
      <c r="O328" s="2">
        <v>34</v>
      </c>
      <c r="P328" s="2">
        <v>4876</v>
      </c>
      <c r="Q328" s="2">
        <v>2130</v>
      </c>
      <c r="R328" s="2">
        <v>123</v>
      </c>
      <c r="S328" s="2">
        <v>4392</v>
      </c>
      <c r="T328" s="2">
        <v>8</v>
      </c>
      <c r="U328" s="2">
        <v>136</v>
      </c>
      <c r="V328" s="12">
        <f>ABS(RPG_dataset[[#This Row],[Win Rate (%)]])</f>
        <v>100</v>
      </c>
      <c r="W328" s="2">
        <v>1377</v>
      </c>
      <c r="X328" s="9">
        <v>58665</v>
      </c>
      <c r="Y328" s="2" t="s">
        <v>46</v>
      </c>
      <c r="Z328" s="2">
        <v>455</v>
      </c>
      <c r="AA328" s="2" t="s">
        <v>1733</v>
      </c>
      <c r="AB328" s="2" t="b">
        <v>0</v>
      </c>
      <c r="AC328" s="2" t="s">
        <v>1730</v>
      </c>
      <c r="AD328" s="2" t="s">
        <v>1727</v>
      </c>
      <c r="AE328" s="2" t="s">
        <v>1728</v>
      </c>
      <c r="AF328" s="2" t="s">
        <v>1729</v>
      </c>
      <c r="AG328" s="28">
        <f>MAX(clean_data[[#This Row],[ATK]:[SPD]]) - MIN(clean_data[[#This Row],[ATK]:[SPD]])</f>
        <v>47</v>
      </c>
      <c r="AH328" s="28" t="str">
        <f>IF(clean_data[[#This Row],[Balanced Score]] = MIN(clean_data[Balanced Score]), "Most Balanced", "")</f>
        <v/>
      </c>
    </row>
    <row r="329" spans="1:34" x14ac:dyDescent="0.3">
      <c r="A329" s="2" t="s">
        <v>1163</v>
      </c>
      <c r="B329" s="2" t="s">
        <v>1164</v>
      </c>
      <c r="C329" s="2" t="s">
        <v>543</v>
      </c>
      <c r="D329" s="2" t="s">
        <v>250</v>
      </c>
      <c r="E329" s="2" t="s">
        <v>169</v>
      </c>
      <c r="F329" s="2" t="s">
        <v>75</v>
      </c>
      <c r="G329" s="2">
        <v>29</v>
      </c>
      <c r="H329" s="2" t="s">
        <v>80</v>
      </c>
      <c r="I329" s="2" t="s">
        <v>126</v>
      </c>
      <c r="J329" s="2" t="s">
        <v>88</v>
      </c>
      <c r="K329" s="2" t="s">
        <v>44</v>
      </c>
      <c r="L329" s="13">
        <v>43196</v>
      </c>
      <c r="M329" s="2">
        <v>25</v>
      </c>
      <c r="N329" s="2">
        <v>40</v>
      </c>
      <c r="O329" s="2">
        <v>21</v>
      </c>
      <c r="P329" s="2">
        <v>3752</v>
      </c>
      <c r="Q329" s="2">
        <v>275</v>
      </c>
      <c r="R329" s="2">
        <v>86</v>
      </c>
      <c r="S329" s="2">
        <v>4781</v>
      </c>
      <c r="T329" s="2">
        <v>473</v>
      </c>
      <c r="U329" s="2">
        <v>107</v>
      </c>
      <c r="V329" s="12">
        <f>ABS(RPG_dataset[[#This Row],[Win Rate (%)]])</f>
        <v>91</v>
      </c>
      <c r="W329" s="2">
        <v>1308</v>
      </c>
      <c r="X329" s="9">
        <v>444766</v>
      </c>
      <c r="Y329" s="2" t="s">
        <v>46</v>
      </c>
      <c r="Z329" s="2">
        <v>283</v>
      </c>
      <c r="AA329" s="2" t="s">
        <v>1733</v>
      </c>
      <c r="AB329" s="2" t="b">
        <v>1</v>
      </c>
      <c r="AC329" s="2" t="s">
        <v>1730</v>
      </c>
      <c r="AD329" s="2" t="s">
        <v>1727</v>
      </c>
      <c r="AE329" s="2" t="s">
        <v>1728</v>
      </c>
      <c r="AF329" s="2" t="s">
        <v>1729</v>
      </c>
      <c r="AG329" s="28">
        <f>MAX(clean_data[[#This Row],[ATK]:[SPD]]) - MIN(clean_data[[#This Row],[ATK]:[SPD]])</f>
        <v>19</v>
      </c>
      <c r="AH329" s="28" t="str">
        <f>IF(clean_data[[#This Row],[Balanced Score]] = MIN(clean_data[Balanced Score]), "Most Balanced", "")</f>
        <v/>
      </c>
    </row>
    <row r="330" spans="1:34" x14ac:dyDescent="0.3">
      <c r="A330" s="2" t="s">
        <v>1166</v>
      </c>
      <c r="B330" s="2" t="s">
        <v>1167</v>
      </c>
      <c r="C330" s="2" t="s">
        <v>281</v>
      </c>
      <c r="D330" s="2" t="s">
        <v>131</v>
      </c>
      <c r="E330" s="2" t="s">
        <v>60</v>
      </c>
      <c r="F330" s="2" t="s">
        <v>42</v>
      </c>
      <c r="G330" s="2">
        <v>84</v>
      </c>
      <c r="H330" s="2" t="s">
        <v>157</v>
      </c>
      <c r="I330" s="2" t="s">
        <v>54</v>
      </c>
      <c r="J330" s="2" t="s">
        <v>33</v>
      </c>
      <c r="K330" s="2" t="s">
        <v>44</v>
      </c>
      <c r="L330" s="13">
        <v>45256</v>
      </c>
      <c r="M330" s="2">
        <v>50</v>
      </c>
      <c r="N330" s="2">
        <v>149</v>
      </c>
      <c r="O330" s="2">
        <v>62</v>
      </c>
      <c r="P330" s="2"/>
      <c r="Q330" s="2">
        <v>2560</v>
      </c>
      <c r="R330" s="2">
        <v>261</v>
      </c>
      <c r="S330" s="2">
        <v>2844</v>
      </c>
      <c r="T330" s="2">
        <v>843</v>
      </c>
      <c r="U330" s="2">
        <v>187</v>
      </c>
      <c r="V330" s="12">
        <f>ABS(RPG_dataset[[#This Row],[Win Rate (%)]])</f>
        <v>77</v>
      </c>
      <c r="W330" s="2">
        <v>4645</v>
      </c>
      <c r="X330" s="9"/>
      <c r="Y330" s="2" t="s">
        <v>36</v>
      </c>
      <c r="Z330" s="2">
        <v>486</v>
      </c>
      <c r="AA330" s="2" t="s">
        <v>1737</v>
      </c>
      <c r="AB330" s="2" t="b">
        <v>1</v>
      </c>
      <c r="AC330" s="2" t="s">
        <v>1730</v>
      </c>
      <c r="AD330" s="2" t="s">
        <v>1727</v>
      </c>
      <c r="AE330" s="2" t="s">
        <v>1731</v>
      </c>
      <c r="AF330" s="2" t="s">
        <v>61</v>
      </c>
      <c r="AG330" s="28">
        <f>MAX(clean_data[[#This Row],[ATK]:[SPD]]) - MIN(clean_data[[#This Row],[ATK]:[SPD]])</f>
        <v>99</v>
      </c>
      <c r="AH330" s="28" t="str">
        <f>IF(clean_data[[#This Row],[Balanced Score]] = MIN(clean_data[Balanced Score]), "Most Balanced", "")</f>
        <v/>
      </c>
    </row>
    <row r="331" spans="1:34" x14ac:dyDescent="0.3">
      <c r="A331" s="2" t="s">
        <v>1169</v>
      </c>
      <c r="B331" s="2" t="s">
        <v>1170</v>
      </c>
      <c r="C331" s="2" t="s">
        <v>97</v>
      </c>
      <c r="D331" s="2" t="s">
        <v>75</v>
      </c>
      <c r="E331" s="2" t="s">
        <v>105</v>
      </c>
      <c r="F331" s="2" t="s">
        <v>72</v>
      </c>
      <c r="G331" s="2">
        <v>47</v>
      </c>
      <c r="H331" s="2" t="s">
        <v>53</v>
      </c>
      <c r="I331" s="2" t="s">
        <v>126</v>
      </c>
      <c r="J331" s="2" t="s">
        <v>33</v>
      </c>
      <c r="K331" s="2" t="s">
        <v>44</v>
      </c>
      <c r="L331" s="13">
        <v>43639</v>
      </c>
      <c r="M331" s="2">
        <v>38</v>
      </c>
      <c r="N331" s="2">
        <v>130</v>
      </c>
      <c r="O331" s="2">
        <v>62</v>
      </c>
      <c r="P331" s="2">
        <v>2602</v>
      </c>
      <c r="Q331" s="2"/>
      <c r="R331" s="2">
        <v>230</v>
      </c>
      <c r="S331" s="2">
        <v>402</v>
      </c>
      <c r="T331" s="2">
        <v>32</v>
      </c>
      <c r="U331" s="2">
        <v>190</v>
      </c>
      <c r="V331" s="12">
        <f>ABS(RPG_dataset[[#This Row],[Win Rate (%)]])</f>
        <v>93</v>
      </c>
      <c r="W331" s="2">
        <v>2942</v>
      </c>
      <c r="X331" s="9">
        <v>612849</v>
      </c>
      <c r="Y331" s="2" t="s">
        <v>46</v>
      </c>
      <c r="Z331" s="2">
        <v>194</v>
      </c>
      <c r="AA331" s="2" t="s">
        <v>1733</v>
      </c>
      <c r="AB331" s="2" t="b">
        <v>1</v>
      </c>
      <c r="AC331" s="2" t="s">
        <v>1730</v>
      </c>
      <c r="AD331" s="2" t="s">
        <v>1727</v>
      </c>
      <c r="AE331" s="2" t="s">
        <v>1728</v>
      </c>
      <c r="AF331" s="2" t="s">
        <v>1729</v>
      </c>
      <c r="AG331" s="28">
        <f>MAX(clean_data[[#This Row],[ATK]:[SPD]]) - MIN(clean_data[[#This Row],[ATK]:[SPD]])</f>
        <v>92</v>
      </c>
      <c r="AH331" s="28" t="str">
        <f>IF(clean_data[[#This Row],[Balanced Score]] = MIN(clean_data[Balanced Score]), "Most Balanced", "")</f>
        <v/>
      </c>
    </row>
    <row r="332" spans="1:34" x14ac:dyDescent="0.3">
      <c r="A332" s="2" t="s">
        <v>1171</v>
      </c>
      <c r="B332" s="2" t="s">
        <v>1172</v>
      </c>
      <c r="C332" s="2" t="s">
        <v>173</v>
      </c>
      <c r="D332" s="2" t="s">
        <v>618</v>
      </c>
      <c r="E332" s="2" t="s">
        <v>169</v>
      </c>
      <c r="F332" s="2" t="s">
        <v>61</v>
      </c>
      <c r="G332" s="2">
        <v>49</v>
      </c>
      <c r="H332" s="2" t="s">
        <v>53</v>
      </c>
      <c r="I332" s="2" t="s">
        <v>63</v>
      </c>
      <c r="J332" s="2" t="s">
        <v>92</v>
      </c>
      <c r="K332" s="2" t="s">
        <v>99</v>
      </c>
      <c r="L332" s="13">
        <v>43718</v>
      </c>
      <c r="M332" s="2">
        <v>28</v>
      </c>
      <c r="N332" s="2">
        <v>58</v>
      </c>
      <c r="O332" s="2">
        <v>91</v>
      </c>
      <c r="P332" s="2">
        <v>624</v>
      </c>
      <c r="Q332" s="2"/>
      <c r="R332" s="2">
        <v>177</v>
      </c>
      <c r="S332" s="2">
        <v>1707</v>
      </c>
      <c r="T332" s="2">
        <v>990</v>
      </c>
      <c r="U332" s="2">
        <v>246</v>
      </c>
      <c r="V332" s="12">
        <f>ABS(RPG_dataset[[#This Row],[Win Rate (%)]])</f>
        <v>63</v>
      </c>
      <c r="W332" s="2">
        <v>1759</v>
      </c>
      <c r="X332" s="9">
        <v>173315</v>
      </c>
      <c r="Y332" s="2" t="s">
        <v>36</v>
      </c>
      <c r="Z332" s="2">
        <v>413</v>
      </c>
      <c r="AA332" s="2" t="s">
        <v>1733</v>
      </c>
      <c r="AB332" s="2" t="b">
        <v>0</v>
      </c>
      <c r="AC332" s="2" t="s">
        <v>1738</v>
      </c>
      <c r="AD332" s="2" t="s">
        <v>1727</v>
      </c>
      <c r="AE332" s="2" t="s">
        <v>1728</v>
      </c>
      <c r="AF332" s="2" t="s">
        <v>1736</v>
      </c>
      <c r="AG332" s="28">
        <f>MAX(clean_data[[#This Row],[ATK]:[SPD]]) - MIN(clean_data[[#This Row],[ATK]:[SPD]])</f>
        <v>63</v>
      </c>
      <c r="AH332" s="28" t="str">
        <f>IF(clean_data[[#This Row],[Balanced Score]] = MIN(clean_data[Balanced Score]), "Most Balanced", "")</f>
        <v/>
      </c>
    </row>
    <row r="333" spans="1:34" x14ac:dyDescent="0.3">
      <c r="A333" s="2" t="s">
        <v>1174</v>
      </c>
      <c r="B333" s="2" t="s">
        <v>1175</v>
      </c>
      <c r="C333" s="2" t="s">
        <v>39</v>
      </c>
      <c r="D333" s="2" t="s">
        <v>40</v>
      </c>
      <c r="E333" s="2" t="s">
        <v>60</v>
      </c>
      <c r="F333" s="2" t="s">
        <v>30</v>
      </c>
      <c r="G333" s="2">
        <v>34</v>
      </c>
      <c r="H333" s="2" t="s">
        <v>73</v>
      </c>
      <c r="I333" s="2" t="s">
        <v>32</v>
      </c>
      <c r="J333" s="2" t="s">
        <v>88</v>
      </c>
      <c r="K333" s="2" t="s">
        <v>106</v>
      </c>
      <c r="L333" s="13">
        <v>44684</v>
      </c>
      <c r="M333" s="2">
        <v>75</v>
      </c>
      <c r="N333" s="2">
        <v>115</v>
      </c>
      <c r="O333" s="2">
        <v>49</v>
      </c>
      <c r="P333" s="2">
        <v>648</v>
      </c>
      <c r="Q333" s="2">
        <v>1163</v>
      </c>
      <c r="R333" s="2">
        <v>239</v>
      </c>
      <c r="S333" s="2">
        <v>2838</v>
      </c>
      <c r="T333" s="2">
        <v>706</v>
      </c>
      <c r="U333" s="2">
        <v>236</v>
      </c>
      <c r="V333" s="12">
        <f>ABS(RPG_dataset[[#This Row],[Win Rate (%)]])</f>
        <v>80</v>
      </c>
      <c r="W333" s="2">
        <v>3423</v>
      </c>
      <c r="X333" s="9">
        <v>400882</v>
      </c>
      <c r="Y333" s="2" t="s">
        <v>46</v>
      </c>
      <c r="Z333" s="2">
        <v>302</v>
      </c>
      <c r="AA333" s="2" t="s">
        <v>1733</v>
      </c>
      <c r="AB333" s="2" t="b">
        <v>0</v>
      </c>
      <c r="AC333" s="2" t="s">
        <v>1730</v>
      </c>
      <c r="AD333" s="2" t="s">
        <v>1727</v>
      </c>
      <c r="AE333" s="2" t="s">
        <v>1728</v>
      </c>
      <c r="AF333" s="2" t="s">
        <v>1729</v>
      </c>
      <c r="AG333" s="28">
        <f>MAX(clean_data[[#This Row],[ATK]:[SPD]]) - MIN(clean_data[[#This Row],[ATK]:[SPD]])</f>
        <v>66</v>
      </c>
      <c r="AH333" s="28" t="str">
        <f>IF(clean_data[[#This Row],[Balanced Score]] = MIN(clean_data[Balanced Score]), "Most Balanced", "")</f>
        <v/>
      </c>
    </row>
    <row r="334" spans="1:34" x14ac:dyDescent="0.3">
      <c r="A334" s="2" t="s">
        <v>1177</v>
      </c>
      <c r="B334" s="2" t="s">
        <v>1178</v>
      </c>
      <c r="C334" s="2" t="s">
        <v>604</v>
      </c>
      <c r="D334" s="2" t="s">
        <v>50</v>
      </c>
      <c r="E334" s="2" t="s">
        <v>228</v>
      </c>
      <c r="F334" s="2" t="s">
        <v>52</v>
      </c>
      <c r="G334" s="2">
        <v>67</v>
      </c>
      <c r="H334" s="2" t="s">
        <v>62</v>
      </c>
      <c r="I334" s="2" t="s">
        <v>63</v>
      </c>
      <c r="J334" s="2" t="s">
        <v>88</v>
      </c>
      <c r="K334" s="2" t="s">
        <v>44</v>
      </c>
      <c r="L334" s="13">
        <v>45223</v>
      </c>
      <c r="M334" s="2">
        <v>137</v>
      </c>
      <c r="N334" s="2">
        <v>129</v>
      </c>
      <c r="O334" s="2">
        <v>111</v>
      </c>
      <c r="P334" s="2">
        <v>554</v>
      </c>
      <c r="Q334" s="2">
        <v>1844</v>
      </c>
      <c r="R334" s="2">
        <v>377</v>
      </c>
      <c r="S334" s="2">
        <v>4066</v>
      </c>
      <c r="T334" s="2">
        <v>59</v>
      </c>
      <c r="U334" s="2">
        <v>85</v>
      </c>
      <c r="V334" s="12">
        <f>ABS(RPG_dataset[[#This Row],[Win Rate (%)]])</f>
        <v>99</v>
      </c>
      <c r="W334" s="2">
        <v>6231</v>
      </c>
      <c r="X334" s="9">
        <v>105715</v>
      </c>
      <c r="Y334" s="2" t="s">
        <v>36</v>
      </c>
      <c r="Z334" s="2">
        <v>437</v>
      </c>
      <c r="AA334" s="2" t="s">
        <v>1725</v>
      </c>
      <c r="AB334" s="2" t="b">
        <v>1</v>
      </c>
      <c r="AC334" s="2" t="s">
        <v>1730</v>
      </c>
      <c r="AD334" s="2" t="s">
        <v>1727</v>
      </c>
      <c r="AE334" s="2" t="s">
        <v>1731</v>
      </c>
      <c r="AF334" s="2" t="s">
        <v>1736</v>
      </c>
      <c r="AG334" s="28">
        <f>MAX(clean_data[[#This Row],[ATK]:[SPD]]) - MIN(clean_data[[#This Row],[ATK]:[SPD]])</f>
        <v>26</v>
      </c>
      <c r="AH334" s="28" t="str">
        <f>IF(clean_data[[#This Row],[Balanced Score]] = MIN(clean_data[Balanced Score]), "Most Balanced", "")</f>
        <v/>
      </c>
    </row>
    <row r="335" spans="1:34" x14ac:dyDescent="0.3">
      <c r="A335" s="2" t="s">
        <v>1180</v>
      </c>
      <c r="B335" s="2" t="s">
        <v>1181</v>
      </c>
      <c r="C335" s="2" t="s">
        <v>58</v>
      </c>
      <c r="D335" s="2" t="s">
        <v>59</v>
      </c>
      <c r="E335" s="2" t="s">
        <v>71</v>
      </c>
      <c r="F335" s="2" t="s">
        <v>72</v>
      </c>
      <c r="G335" s="2">
        <v>43</v>
      </c>
      <c r="H335" s="2" t="s">
        <v>43</v>
      </c>
      <c r="I335" s="2" t="s">
        <v>63</v>
      </c>
      <c r="J335" s="2" t="s">
        <v>120</v>
      </c>
      <c r="K335" s="2" t="s">
        <v>44</v>
      </c>
      <c r="L335" s="13">
        <v>45516</v>
      </c>
      <c r="M335" s="2">
        <v>73</v>
      </c>
      <c r="N335" s="2">
        <v>21</v>
      </c>
      <c r="O335" s="2">
        <v>34</v>
      </c>
      <c r="P335" s="2">
        <v>4174</v>
      </c>
      <c r="Q335" s="2">
        <v>323</v>
      </c>
      <c r="R335" s="2">
        <v>128</v>
      </c>
      <c r="S335" s="2">
        <v>312</v>
      </c>
      <c r="T335" s="2">
        <v>247</v>
      </c>
      <c r="U335" s="2">
        <v>293</v>
      </c>
      <c r="V335" s="12">
        <f>ABS(RPG_dataset[[#This Row],[Win Rate (%)]])</f>
        <v>56</v>
      </c>
      <c r="W335" s="2">
        <v>3104</v>
      </c>
      <c r="X335" s="9">
        <v>583805</v>
      </c>
      <c r="Y335" s="2" t="s">
        <v>36</v>
      </c>
      <c r="Z335" s="2">
        <v>209</v>
      </c>
      <c r="AA335" s="2" t="s">
        <v>1733</v>
      </c>
      <c r="AB335" s="2" t="b">
        <v>1</v>
      </c>
      <c r="AC335" s="2" t="s">
        <v>1738</v>
      </c>
      <c r="AD335" s="2" t="s">
        <v>1727</v>
      </c>
      <c r="AE335" s="2" t="s">
        <v>1728</v>
      </c>
      <c r="AF335" s="2" t="s">
        <v>1729</v>
      </c>
      <c r="AG335" s="28">
        <f>MAX(clean_data[[#This Row],[ATK]:[SPD]]) - MIN(clean_data[[#This Row],[ATK]:[SPD]])</f>
        <v>52</v>
      </c>
      <c r="AH335" s="28" t="str">
        <f>IF(clean_data[[#This Row],[Balanced Score]] = MIN(clean_data[Balanced Score]), "Most Balanced", "")</f>
        <v/>
      </c>
    </row>
    <row r="336" spans="1:34" x14ac:dyDescent="0.3">
      <c r="A336" s="2" t="s">
        <v>1183</v>
      </c>
      <c r="B336" s="2" t="s">
        <v>1184</v>
      </c>
      <c r="C336" s="2" t="s">
        <v>253</v>
      </c>
      <c r="D336" s="2" t="s">
        <v>59</v>
      </c>
      <c r="E336" s="2" t="s">
        <v>29</v>
      </c>
      <c r="F336" s="2" t="s">
        <v>194</v>
      </c>
      <c r="G336" s="2">
        <v>41</v>
      </c>
      <c r="H336" s="2" t="s">
        <v>31</v>
      </c>
      <c r="I336" s="2" t="s">
        <v>63</v>
      </c>
      <c r="J336" s="2" t="s">
        <v>163</v>
      </c>
      <c r="K336" s="2" t="s">
        <v>44</v>
      </c>
      <c r="L336" s="13">
        <v>45519</v>
      </c>
      <c r="M336" s="2">
        <v>10</v>
      </c>
      <c r="N336" s="2">
        <v>41</v>
      </c>
      <c r="O336" s="2">
        <v>38</v>
      </c>
      <c r="P336" s="2">
        <v>2684</v>
      </c>
      <c r="Q336" s="2">
        <v>1441</v>
      </c>
      <c r="R336" s="2">
        <v>89</v>
      </c>
      <c r="S336" s="2">
        <v>269</v>
      </c>
      <c r="T336" s="2">
        <v>564</v>
      </c>
      <c r="U336" s="2">
        <v>222</v>
      </c>
      <c r="V336" s="12">
        <f>ABS(RPG_dataset[[#This Row],[Win Rate (%)]])</f>
        <v>32</v>
      </c>
      <c r="W336" s="2">
        <v>9020</v>
      </c>
      <c r="X336" s="9">
        <v>565189</v>
      </c>
      <c r="Y336" s="2" t="s">
        <v>46</v>
      </c>
      <c r="Z336" s="2">
        <v>216</v>
      </c>
      <c r="AA336" s="2" t="s">
        <v>1733</v>
      </c>
      <c r="AB336" s="2" t="b">
        <v>1</v>
      </c>
      <c r="AC336" s="2" t="s">
        <v>1726</v>
      </c>
      <c r="AD336" s="2" t="s">
        <v>1727</v>
      </c>
      <c r="AE336" s="2" t="s">
        <v>1742</v>
      </c>
      <c r="AF336" s="2" t="s">
        <v>1729</v>
      </c>
      <c r="AG336" s="28">
        <f>MAX(clean_data[[#This Row],[ATK]:[SPD]]) - MIN(clean_data[[#This Row],[ATK]:[SPD]])</f>
        <v>31</v>
      </c>
      <c r="AH336" s="28" t="str">
        <f>IF(clean_data[[#This Row],[Balanced Score]] = MIN(clean_data[Balanced Score]), "Most Balanced", "")</f>
        <v/>
      </c>
    </row>
    <row r="337" spans="1:34" x14ac:dyDescent="0.3">
      <c r="A337" s="2" t="s">
        <v>1186</v>
      </c>
      <c r="B337" s="2" t="s">
        <v>1187</v>
      </c>
      <c r="C337" s="2" t="s">
        <v>49</v>
      </c>
      <c r="D337" s="2" t="s">
        <v>50</v>
      </c>
      <c r="E337" s="2" t="s">
        <v>105</v>
      </c>
      <c r="F337" s="2" t="s">
        <v>72</v>
      </c>
      <c r="G337" s="2">
        <v>99</v>
      </c>
      <c r="H337" s="2" t="s">
        <v>43</v>
      </c>
      <c r="I337" s="2" t="s">
        <v>32</v>
      </c>
      <c r="J337" s="2" t="s">
        <v>88</v>
      </c>
      <c r="K337" s="2" t="s">
        <v>44</v>
      </c>
      <c r="L337" s="13">
        <v>43441</v>
      </c>
      <c r="M337" s="2">
        <v>98</v>
      </c>
      <c r="N337" s="2">
        <v>30</v>
      </c>
      <c r="O337" s="2">
        <v>28</v>
      </c>
      <c r="P337" s="2">
        <v>223</v>
      </c>
      <c r="Q337" s="2">
        <v>133</v>
      </c>
      <c r="R337" s="2">
        <v>156</v>
      </c>
      <c r="S337" s="2">
        <v>3812</v>
      </c>
      <c r="T337" s="2">
        <v>222</v>
      </c>
      <c r="U337" s="2">
        <v>57</v>
      </c>
      <c r="V337" s="12">
        <f>ABS(RPG_dataset[[#This Row],[Win Rate (%)]])</f>
        <v>94</v>
      </c>
      <c r="W337" s="2">
        <v>8474</v>
      </c>
      <c r="X337" s="9">
        <v>136462</v>
      </c>
      <c r="Y337" s="2" t="s">
        <v>46</v>
      </c>
      <c r="Z337" s="2">
        <v>423</v>
      </c>
      <c r="AA337" s="2" t="s">
        <v>1737</v>
      </c>
      <c r="AB337" s="2" t="b">
        <v>1</v>
      </c>
      <c r="AC337" s="2" t="s">
        <v>1730</v>
      </c>
      <c r="AD337" s="2" t="s">
        <v>1727</v>
      </c>
      <c r="AE337" s="2" t="s">
        <v>1728</v>
      </c>
      <c r="AF337" s="2" t="s">
        <v>1729</v>
      </c>
      <c r="AG337" s="28">
        <f>MAX(clean_data[[#This Row],[ATK]:[SPD]]) - MIN(clean_data[[#This Row],[ATK]:[SPD]])</f>
        <v>70</v>
      </c>
      <c r="AH337" s="28" t="str">
        <f>IF(clean_data[[#This Row],[Balanced Score]] = MIN(clean_data[Balanced Score]), "Most Balanced", "")</f>
        <v/>
      </c>
    </row>
    <row r="338" spans="1:34" x14ac:dyDescent="0.3">
      <c r="A338" s="2" t="s">
        <v>1189</v>
      </c>
      <c r="B338" s="2" t="s">
        <v>1190</v>
      </c>
      <c r="C338" s="2" t="s">
        <v>689</v>
      </c>
      <c r="D338" s="2" t="s">
        <v>174</v>
      </c>
      <c r="E338" s="2" t="s">
        <v>29</v>
      </c>
      <c r="F338" s="2" t="s">
        <v>124</v>
      </c>
      <c r="G338" s="2">
        <v>32</v>
      </c>
      <c r="H338" s="2" t="s">
        <v>157</v>
      </c>
      <c r="I338" s="2" t="s">
        <v>126</v>
      </c>
      <c r="J338" s="2" t="s">
        <v>111</v>
      </c>
      <c r="K338" s="2" t="s">
        <v>44</v>
      </c>
      <c r="L338" s="13">
        <v>43999</v>
      </c>
      <c r="M338" s="2">
        <v>104</v>
      </c>
      <c r="N338" s="2">
        <v>43</v>
      </c>
      <c r="O338" s="2">
        <v>67</v>
      </c>
      <c r="P338" s="2">
        <v>4407</v>
      </c>
      <c r="Q338" s="2">
        <v>2658</v>
      </c>
      <c r="R338" s="2">
        <v>214</v>
      </c>
      <c r="S338" s="2">
        <v>1604</v>
      </c>
      <c r="T338" s="2">
        <v>523</v>
      </c>
      <c r="U338" s="2">
        <v>271</v>
      </c>
      <c r="V338" s="12">
        <f>ABS(RPG_dataset[[#This Row],[Win Rate (%)]])</f>
        <v>75</v>
      </c>
      <c r="W338" s="2">
        <v>2395</v>
      </c>
      <c r="X338" s="9">
        <v>30892</v>
      </c>
      <c r="Y338" s="2" t="s">
        <v>46</v>
      </c>
      <c r="Z338" s="2">
        <v>465</v>
      </c>
      <c r="AA338" s="2" t="s">
        <v>1733</v>
      </c>
      <c r="AB338" s="2" t="b">
        <v>1</v>
      </c>
      <c r="AC338" s="2" t="s">
        <v>1730</v>
      </c>
      <c r="AD338" s="2" t="s">
        <v>1727</v>
      </c>
      <c r="AE338" s="2" t="s">
        <v>1728</v>
      </c>
      <c r="AF338" s="2" t="s">
        <v>1732</v>
      </c>
      <c r="AG338" s="28">
        <f>MAX(clean_data[[#This Row],[ATK]:[SPD]]) - MIN(clean_data[[#This Row],[ATK]:[SPD]])</f>
        <v>61</v>
      </c>
      <c r="AH338" s="28" t="str">
        <f>IF(clean_data[[#This Row],[Balanced Score]] = MIN(clean_data[Balanced Score]), "Most Balanced", "")</f>
        <v/>
      </c>
    </row>
    <row r="339" spans="1:34" x14ac:dyDescent="0.3">
      <c r="A339" s="2" t="s">
        <v>1192</v>
      </c>
      <c r="B339" s="2" t="s">
        <v>1193</v>
      </c>
      <c r="C339" s="2" t="s">
        <v>227</v>
      </c>
      <c r="D339" s="2" t="s">
        <v>618</v>
      </c>
      <c r="E339" s="2" t="s">
        <v>41</v>
      </c>
      <c r="F339" s="2" t="s">
        <v>72</v>
      </c>
      <c r="G339" s="2">
        <v>69</v>
      </c>
      <c r="H339" s="2" t="s">
        <v>73</v>
      </c>
      <c r="I339" s="2" t="s">
        <v>74</v>
      </c>
      <c r="J339" s="2" t="s">
        <v>64</v>
      </c>
      <c r="K339" s="2" t="s">
        <v>44</v>
      </c>
      <c r="L339" s="13">
        <v>45213</v>
      </c>
      <c r="M339" s="2">
        <v>118</v>
      </c>
      <c r="N339" s="2">
        <v>24</v>
      </c>
      <c r="O339" s="2">
        <v>31</v>
      </c>
      <c r="P339" s="2"/>
      <c r="Q339" s="2">
        <v>2540</v>
      </c>
      <c r="R339" s="2">
        <v>173</v>
      </c>
      <c r="S339" s="2">
        <v>1900</v>
      </c>
      <c r="T339" s="2">
        <v>31</v>
      </c>
      <c r="U339" s="2">
        <v>253</v>
      </c>
      <c r="V339" s="12">
        <f>ABS(RPG_dataset[[#This Row],[Win Rate (%)]])</f>
        <v>98</v>
      </c>
      <c r="W339" s="2">
        <v>9947</v>
      </c>
      <c r="X339" s="9">
        <v>91866</v>
      </c>
      <c r="Y339" s="2" t="s">
        <v>36</v>
      </c>
      <c r="Z339" s="2">
        <v>444</v>
      </c>
      <c r="AA339" s="2" t="s">
        <v>1725</v>
      </c>
      <c r="AB339" s="2" t="b">
        <v>1</v>
      </c>
      <c r="AC339" s="2" t="s">
        <v>1730</v>
      </c>
      <c r="AD339" s="2" t="s">
        <v>1727</v>
      </c>
      <c r="AE339" s="2" t="s">
        <v>1731</v>
      </c>
      <c r="AF339" s="2" t="s">
        <v>1729</v>
      </c>
      <c r="AG339" s="28">
        <f>MAX(clean_data[[#This Row],[ATK]:[SPD]]) - MIN(clean_data[[#This Row],[ATK]:[SPD]])</f>
        <v>94</v>
      </c>
      <c r="AH339" s="28" t="str">
        <f>IF(clean_data[[#This Row],[Balanced Score]] = MIN(clean_data[Balanced Score]), "Most Balanced", "")</f>
        <v/>
      </c>
    </row>
    <row r="340" spans="1:34" x14ac:dyDescent="0.3">
      <c r="A340" s="2" t="s">
        <v>1195</v>
      </c>
      <c r="B340" s="2" t="s">
        <v>1196</v>
      </c>
      <c r="C340" s="2" t="s">
        <v>543</v>
      </c>
      <c r="D340" s="2" t="s">
        <v>277</v>
      </c>
      <c r="E340" s="2" t="s">
        <v>228</v>
      </c>
      <c r="F340" s="2" t="s">
        <v>52</v>
      </c>
      <c r="G340" s="2">
        <v>13</v>
      </c>
      <c r="H340" s="2" t="s">
        <v>80</v>
      </c>
      <c r="I340" s="2" t="s">
        <v>63</v>
      </c>
      <c r="J340" s="2" t="s">
        <v>81</v>
      </c>
      <c r="K340" s="2" t="s">
        <v>106</v>
      </c>
      <c r="L340" s="13">
        <v>45343</v>
      </c>
      <c r="M340" s="2">
        <v>32</v>
      </c>
      <c r="N340" s="2">
        <v>34</v>
      </c>
      <c r="O340" s="2">
        <v>32</v>
      </c>
      <c r="P340" s="2">
        <v>4837</v>
      </c>
      <c r="Q340" s="2">
        <v>1473</v>
      </c>
      <c r="R340" s="2">
        <v>98</v>
      </c>
      <c r="S340" s="2">
        <v>3721</v>
      </c>
      <c r="T340" s="2">
        <v>882</v>
      </c>
      <c r="U340" s="2">
        <v>35</v>
      </c>
      <c r="V340" s="12">
        <f>ABS(RPG_dataset[[#This Row],[Win Rate (%)]])</f>
        <v>81</v>
      </c>
      <c r="W340" s="2">
        <v>2395</v>
      </c>
      <c r="X340" s="9">
        <v>479455</v>
      </c>
      <c r="Y340" s="2" t="s">
        <v>46</v>
      </c>
      <c r="Z340" s="2">
        <v>266</v>
      </c>
      <c r="AA340" s="2" t="s">
        <v>1735</v>
      </c>
      <c r="AB340" s="2" t="b">
        <v>0</v>
      </c>
      <c r="AC340" s="2" t="s">
        <v>1730</v>
      </c>
      <c r="AD340" s="2" t="s">
        <v>1727</v>
      </c>
      <c r="AE340" s="2" t="s">
        <v>1728</v>
      </c>
      <c r="AF340" s="2" t="s">
        <v>1729</v>
      </c>
      <c r="AG340" s="28">
        <f>MAX(clean_data[[#This Row],[ATK]:[SPD]]) - MIN(clean_data[[#This Row],[ATK]:[SPD]])</f>
        <v>2</v>
      </c>
      <c r="AH340" s="28" t="str">
        <f>IF(clean_data[[#This Row],[Balanced Score]] = MIN(clean_data[Balanced Score]), "Most Balanced", "")</f>
        <v/>
      </c>
    </row>
    <row r="341" spans="1:34" x14ac:dyDescent="0.3">
      <c r="A341" s="2" t="s">
        <v>1198</v>
      </c>
      <c r="B341" s="2" t="s">
        <v>1199</v>
      </c>
      <c r="C341" s="2" t="s">
        <v>339</v>
      </c>
      <c r="D341" s="2" t="s">
        <v>50</v>
      </c>
      <c r="E341" s="2" t="s">
        <v>228</v>
      </c>
      <c r="F341" s="2" t="s">
        <v>194</v>
      </c>
      <c r="G341" s="2">
        <v>51</v>
      </c>
      <c r="H341" s="2" t="s">
        <v>62</v>
      </c>
      <c r="I341" s="2" t="s">
        <v>63</v>
      </c>
      <c r="J341" s="2" t="s">
        <v>88</v>
      </c>
      <c r="K341" s="2" t="s">
        <v>44</v>
      </c>
      <c r="L341" s="13">
        <v>45287</v>
      </c>
      <c r="M341" s="2">
        <v>80</v>
      </c>
      <c r="N341" s="2">
        <v>143</v>
      </c>
      <c r="O341" s="2">
        <v>28</v>
      </c>
      <c r="P341" s="2">
        <v>3533</v>
      </c>
      <c r="Q341" s="2">
        <v>1921</v>
      </c>
      <c r="R341" s="2">
        <v>251</v>
      </c>
      <c r="S341" s="2">
        <v>357</v>
      </c>
      <c r="T341" s="2">
        <v>966</v>
      </c>
      <c r="U341" s="2">
        <v>119</v>
      </c>
      <c r="V341" s="12">
        <f>ABS(RPG_dataset[[#This Row],[Win Rate (%)]])</f>
        <v>27</v>
      </c>
      <c r="W341" s="2">
        <v>110</v>
      </c>
      <c r="X341" s="9">
        <v>369513</v>
      </c>
      <c r="Y341" s="2" t="s">
        <v>36</v>
      </c>
      <c r="Z341" s="2">
        <v>319</v>
      </c>
      <c r="AA341" s="2" t="s">
        <v>1725</v>
      </c>
      <c r="AB341" s="2" t="b">
        <v>1</v>
      </c>
      <c r="AC341" s="2" t="s">
        <v>1726</v>
      </c>
      <c r="AD341" s="2" t="s">
        <v>1727</v>
      </c>
      <c r="AE341" s="2" t="s">
        <v>1728</v>
      </c>
      <c r="AF341" s="2" t="s">
        <v>1734</v>
      </c>
      <c r="AG341" s="28">
        <f>MAX(clean_data[[#This Row],[ATK]:[SPD]]) - MIN(clean_data[[#This Row],[ATK]:[SPD]])</f>
        <v>115</v>
      </c>
      <c r="AH341" s="28" t="str">
        <f>IF(clean_data[[#This Row],[Balanced Score]] = MIN(clean_data[Balanced Score]), "Most Balanced", "")</f>
        <v/>
      </c>
    </row>
    <row r="342" spans="1:34" x14ac:dyDescent="0.3">
      <c r="A342" s="2" t="s">
        <v>1201</v>
      </c>
      <c r="B342" s="2" t="s">
        <v>1202</v>
      </c>
      <c r="C342" s="2" t="s">
        <v>167</v>
      </c>
      <c r="D342" s="2" t="s">
        <v>144</v>
      </c>
      <c r="E342" s="2" t="s">
        <v>169</v>
      </c>
      <c r="F342" s="2" t="s">
        <v>194</v>
      </c>
      <c r="G342" s="2">
        <v>70</v>
      </c>
      <c r="H342" s="2" t="s">
        <v>43</v>
      </c>
      <c r="I342" s="2" t="s">
        <v>54</v>
      </c>
      <c r="J342" s="2" t="s">
        <v>92</v>
      </c>
      <c r="K342" s="2" t="s">
        <v>99</v>
      </c>
      <c r="L342" s="13">
        <v>44261</v>
      </c>
      <c r="M342" s="2">
        <v>12</v>
      </c>
      <c r="N342" s="2">
        <v>28</v>
      </c>
      <c r="O342" s="2">
        <v>115</v>
      </c>
      <c r="P342" s="2">
        <v>290</v>
      </c>
      <c r="Q342" s="2">
        <v>802</v>
      </c>
      <c r="R342" s="2">
        <v>155</v>
      </c>
      <c r="S342" s="2">
        <v>4756</v>
      </c>
      <c r="T342" s="2">
        <v>220</v>
      </c>
      <c r="U342" s="2">
        <v>293</v>
      </c>
      <c r="V342" s="12">
        <f>ABS(RPG_dataset[[#This Row],[Win Rate (%)]])</f>
        <v>96</v>
      </c>
      <c r="W342" s="2">
        <v>145</v>
      </c>
      <c r="X342" s="9">
        <v>657356</v>
      </c>
      <c r="Y342" s="2" t="s">
        <v>46</v>
      </c>
      <c r="Z342" s="2">
        <v>171</v>
      </c>
      <c r="AA342" s="2" t="s">
        <v>1725</v>
      </c>
      <c r="AB342" s="2" t="b">
        <v>0</v>
      </c>
      <c r="AC342" s="2" t="s">
        <v>1730</v>
      </c>
      <c r="AD342" s="2" t="s">
        <v>1727</v>
      </c>
      <c r="AE342" s="2" t="s">
        <v>1728</v>
      </c>
      <c r="AF342" s="2" t="s">
        <v>1736</v>
      </c>
      <c r="AG342" s="28">
        <f>MAX(clean_data[[#This Row],[ATK]:[SPD]]) - MIN(clean_data[[#This Row],[ATK]:[SPD]])</f>
        <v>103</v>
      </c>
      <c r="AH342" s="28" t="str">
        <f>IF(clean_data[[#This Row],[Balanced Score]] = MIN(clean_data[Balanced Score]), "Most Balanced", "")</f>
        <v/>
      </c>
    </row>
    <row r="343" spans="1:34" x14ac:dyDescent="0.3">
      <c r="A343" s="2" t="s">
        <v>1204</v>
      </c>
      <c r="B343" s="2" t="s">
        <v>1205</v>
      </c>
      <c r="C343" s="2" t="s">
        <v>223</v>
      </c>
      <c r="D343" s="2" t="s">
        <v>168</v>
      </c>
      <c r="E343" s="2" t="s">
        <v>71</v>
      </c>
      <c r="F343" s="2" t="s">
        <v>30</v>
      </c>
      <c r="G343" s="2">
        <v>9</v>
      </c>
      <c r="H343" s="2" t="s">
        <v>157</v>
      </c>
      <c r="I343" s="2" t="s">
        <v>74</v>
      </c>
      <c r="J343" s="2" t="s">
        <v>163</v>
      </c>
      <c r="K343" s="2" t="s">
        <v>106</v>
      </c>
      <c r="L343" s="13">
        <v>44128</v>
      </c>
      <c r="M343" s="2">
        <v>11</v>
      </c>
      <c r="N343" s="2">
        <v>112</v>
      </c>
      <c r="O343" s="2">
        <v>88</v>
      </c>
      <c r="P343" s="2">
        <v>2454</v>
      </c>
      <c r="Q343" s="2">
        <v>2252</v>
      </c>
      <c r="R343" s="2">
        <v>211</v>
      </c>
      <c r="S343" s="2">
        <v>199</v>
      </c>
      <c r="T343" s="2">
        <v>465</v>
      </c>
      <c r="U343" s="2">
        <v>222</v>
      </c>
      <c r="V343" s="12">
        <f>ABS(RPG_dataset[[#This Row],[Win Rate (%)]])</f>
        <v>30</v>
      </c>
      <c r="W343" s="2">
        <v>7796</v>
      </c>
      <c r="X343" s="9">
        <v>416829</v>
      </c>
      <c r="Y343" s="2" t="s">
        <v>36</v>
      </c>
      <c r="Z343" s="2">
        <v>299</v>
      </c>
      <c r="AA343" s="2" t="s">
        <v>1735</v>
      </c>
      <c r="AB343" s="2" t="b">
        <v>0</v>
      </c>
      <c r="AC343" s="2" t="s">
        <v>1726</v>
      </c>
      <c r="AD343" s="2" t="s">
        <v>1727</v>
      </c>
      <c r="AE343" s="2" t="s">
        <v>1728</v>
      </c>
      <c r="AF343" s="2" t="s">
        <v>1736</v>
      </c>
      <c r="AG343" s="28">
        <f>MAX(clean_data[[#This Row],[ATK]:[SPD]]) - MIN(clean_data[[#This Row],[ATK]:[SPD]])</f>
        <v>101</v>
      </c>
      <c r="AH343" s="28" t="str">
        <f>IF(clean_data[[#This Row],[Balanced Score]] = MIN(clean_data[Balanced Score]), "Most Balanced", "")</f>
        <v/>
      </c>
    </row>
    <row r="344" spans="1:34" x14ac:dyDescent="0.3">
      <c r="A344" s="2" t="s">
        <v>1207</v>
      </c>
      <c r="B344" s="2" t="s">
        <v>1208</v>
      </c>
      <c r="C344" s="2" t="s">
        <v>27</v>
      </c>
      <c r="D344" s="2" t="s">
        <v>234</v>
      </c>
      <c r="E344" s="2" t="s">
        <v>71</v>
      </c>
      <c r="F344" s="2" t="s">
        <v>72</v>
      </c>
      <c r="G344" s="2">
        <v>65</v>
      </c>
      <c r="H344" s="2" t="s">
        <v>53</v>
      </c>
      <c r="I344" s="2" t="s">
        <v>54</v>
      </c>
      <c r="J344" s="2" t="s">
        <v>120</v>
      </c>
      <c r="K344" s="2" t="s">
        <v>44</v>
      </c>
      <c r="L344" s="13">
        <v>45359</v>
      </c>
      <c r="M344" s="2">
        <v>75</v>
      </c>
      <c r="N344" s="2">
        <v>115</v>
      </c>
      <c r="O344" s="2">
        <v>42</v>
      </c>
      <c r="P344" s="2">
        <v>2137</v>
      </c>
      <c r="Q344" s="2">
        <v>253</v>
      </c>
      <c r="R344" s="2">
        <v>232</v>
      </c>
      <c r="S344" s="2">
        <v>662</v>
      </c>
      <c r="T344" s="2">
        <v>959</v>
      </c>
      <c r="U344" s="2">
        <v>31</v>
      </c>
      <c r="V344" s="12">
        <f>ABS(RPG_dataset[[#This Row],[Win Rate (%)]])</f>
        <v>41</v>
      </c>
      <c r="W344" s="2">
        <v>5087</v>
      </c>
      <c r="X344" s="9">
        <v>271746</v>
      </c>
      <c r="Y344" s="2" t="s">
        <v>36</v>
      </c>
      <c r="Z344" s="2">
        <v>366</v>
      </c>
      <c r="AA344" s="2" t="s">
        <v>1725</v>
      </c>
      <c r="AB344" s="2" t="b">
        <v>1</v>
      </c>
      <c r="AC344" s="2" t="s">
        <v>1738</v>
      </c>
      <c r="AD344" s="2" t="s">
        <v>1727</v>
      </c>
      <c r="AE344" s="2" t="s">
        <v>1728</v>
      </c>
      <c r="AF344" s="2" t="s">
        <v>61</v>
      </c>
      <c r="AG344" s="28">
        <f>MAX(clean_data[[#This Row],[ATK]:[SPD]]) - MIN(clean_data[[#This Row],[ATK]:[SPD]])</f>
        <v>73</v>
      </c>
      <c r="AH344" s="28" t="str">
        <f>IF(clean_data[[#This Row],[Balanced Score]] = MIN(clean_data[Balanced Score]), "Most Balanced", "")</f>
        <v/>
      </c>
    </row>
    <row r="345" spans="1:34" x14ac:dyDescent="0.3">
      <c r="A345" s="2" t="s">
        <v>1210</v>
      </c>
      <c r="B345" s="2" t="s">
        <v>1211</v>
      </c>
      <c r="C345" s="2" t="s">
        <v>689</v>
      </c>
      <c r="D345" s="2" t="s">
        <v>40</v>
      </c>
      <c r="E345" s="2" t="s">
        <v>51</v>
      </c>
      <c r="F345" s="2" t="s">
        <v>194</v>
      </c>
      <c r="G345" s="2">
        <v>86</v>
      </c>
      <c r="H345" s="2" t="s">
        <v>80</v>
      </c>
      <c r="I345" s="2" t="s">
        <v>126</v>
      </c>
      <c r="J345" s="2" t="s">
        <v>88</v>
      </c>
      <c r="K345" s="2" t="s">
        <v>44</v>
      </c>
      <c r="L345" s="13">
        <v>44703</v>
      </c>
      <c r="M345" s="2">
        <v>85</v>
      </c>
      <c r="N345" s="2">
        <v>59</v>
      </c>
      <c r="O345" s="2">
        <v>66</v>
      </c>
      <c r="P345" s="2">
        <v>328</v>
      </c>
      <c r="Q345" s="2">
        <v>2653</v>
      </c>
      <c r="R345" s="2">
        <v>210</v>
      </c>
      <c r="S345" s="2">
        <v>2117</v>
      </c>
      <c r="T345" s="2">
        <v>71</v>
      </c>
      <c r="U345" s="2">
        <v>38</v>
      </c>
      <c r="V345" s="12">
        <f>ABS(RPG_dataset[[#This Row],[Win Rate (%)]])</f>
        <v>97</v>
      </c>
      <c r="W345" s="2">
        <v>6456</v>
      </c>
      <c r="X345" s="9"/>
      <c r="Y345" s="2" t="s">
        <v>46</v>
      </c>
      <c r="Z345" s="2">
        <v>486</v>
      </c>
      <c r="AA345" s="2" t="s">
        <v>1737</v>
      </c>
      <c r="AB345" s="2" t="b">
        <v>1</v>
      </c>
      <c r="AC345" s="2" t="s">
        <v>1730</v>
      </c>
      <c r="AD345" s="2" t="s">
        <v>1727</v>
      </c>
      <c r="AE345" s="2" t="s">
        <v>1728</v>
      </c>
      <c r="AF345" s="2" t="s">
        <v>1732</v>
      </c>
      <c r="AG345" s="28">
        <f>MAX(clean_data[[#This Row],[ATK]:[SPD]]) - MIN(clean_data[[#This Row],[ATK]:[SPD]])</f>
        <v>26</v>
      </c>
      <c r="AH345" s="28" t="str">
        <f>IF(clean_data[[#This Row],[Balanced Score]] = MIN(clean_data[Balanced Score]), "Most Balanced", "")</f>
        <v/>
      </c>
    </row>
    <row r="346" spans="1:34" x14ac:dyDescent="0.3">
      <c r="A346" s="2" t="s">
        <v>1212</v>
      </c>
      <c r="B346" s="2" t="s">
        <v>1213</v>
      </c>
      <c r="C346" s="2" t="s">
        <v>123</v>
      </c>
      <c r="D346" s="2" t="s">
        <v>401</v>
      </c>
      <c r="E346" s="2" t="s">
        <v>51</v>
      </c>
      <c r="F346" s="2" t="s">
        <v>72</v>
      </c>
      <c r="G346" s="2">
        <v>76</v>
      </c>
      <c r="H346" s="2" t="s">
        <v>53</v>
      </c>
      <c r="I346" s="2" t="s">
        <v>63</v>
      </c>
      <c r="J346" s="2" t="s">
        <v>81</v>
      </c>
      <c r="K346" s="2" t="s">
        <v>34</v>
      </c>
      <c r="L346" s="13">
        <v>43750</v>
      </c>
      <c r="M346" s="2">
        <v>70</v>
      </c>
      <c r="N346" s="2">
        <v>56</v>
      </c>
      <c r="O346" s="2">
        <v>111</v>
      </c>
      <c r="P346" s="2">
        <v>3729</v>
      </c>
      <c r="Q346" s="2">
        <v>1762</v>
      </c>
      <c r="R346" s="2">
        <v>237</v>
      </c>
      <c r="S346" s="2">
        <v>3503</v>
      </c>
      <c r="T346" s="2">
        <v>673</v>
      </c>
      <c r="U346" s="2">
        <v>125</v>
      </c>
      <c r="V346" s="12">
        <f>ABS(RPG_dataset[[#This Row],[Win Rate (%)]])</f>
        <v>84</v>
      </c>
      <c r="W346" s="2">
        <v>9813</v>
      </c>
      <c r="X346" s="9">
        <v>236651</v>
      </c>
      <c r="Y346" s="2" t="s">
        <v>46</v>
      </c>
      <c r="Z346" s="2">
        <v>378</v>
      </c>
      <c r="AA346" s="2" t="s">
        <v>1737</v>
      </c>
      <c r="AB346" s="2" t="b">
        <v>0</v>
      </c>
      <c r="AC346" s="2" t="s">
        <v>1730</v>
      </c>
      <c r="AD346" s="2" t="s">
        <v>1727</v>
      </c>
      <c r="AE346" s="2" t="s">
        <v>1728</v>
      </c>
      <c r="AF346" s="2" t="s">
        <v>1736</v>
      </c>
      <c r="AG346" s="28">
        <f>MAX(clean_data[[#This Row],[ATK]:[SPD]]) - MIN(clean_data[[#This Row],[ATK]:[SPD]])</f>
        <v>55</v>
      </c>
      <c r="AH346" s="28" t="str">
        <f>IF(clean_data[[#This Row],[Balanced Score]] = MIN(clean_data[Balanced Score]), "Most Balanced", "")</f>
        <v/>
      </c>
    </row>
    <row r="347" spans="1:34" x14ac:dyDescent="0.3">
      <c r="A347" s="2" t="s">
        <v>1215</v>
      </c>
      <c r="B347" s="2" t="s">
        <v>1216</v>
      </c>
      <c r="C347" s="2" t="s">
        <v>253</v>
      </c>
      <c r="D347" s="2" t="s">
        <v>234</v>
      </c>
      <c r="E347" s="2" t="s">
        <v>51</v>
      </c>
      <c r="F347" s="2" t="s">
        <v>52</v>
      </c>
      <c r="G347" s="2">
        <v>57</v>
      </c>
      <c r="H347" s="2" t="s">
        <v>157</v>
      </c>
      <c r="I347" s="2" t="s">
        <v>140</v>
      </c>
      <c r="J347" s="2" t="s">
        <v>64</v>
      </c>
      <c r="K347" s="2" t="s">
        <v>106</v>
      </c>
      <c r="L347" s="13">
        <v>43753</v>
      </c>
      <c r="M347" s="2">
        <v>48</v>
      </c>
      <c r="N347" s="2">
        <v>98</v>
      </c>
      <c r="O347" s="2">
        <v>106</v>
      </c>
      <c r="P347" s="2">
        <v>3507</v>
      </c>
      <c r="Q347" s="2">
        <v>783</v>
      </c>
      <c r="R347" s="2">
        <v>252</v>
      </c>
      <c r="S347" s="2">
        <v>4488</v>
      </c>
      <c r="T347" s="2">
        <v>862</v>
      </c>
      <c r="U347" s="2">
        <v>144</v>
      </c>
      <c r="V347" s="12">
        <f>ABS(RPG_dataset[[#This Row],[Win Rate (%)]])</f>
        <v>84</v>
      </c>
      <c r="W347" s="2">
        <v>6049</v>
      </c>
      <c r="X347" s="9">
        <v>423963</v>
      </c>
      <c r="Y347" s="2" t="s">
        <v>46</v>
      </c>
      <c r="Z347" s="2">
        <v>295</v>
      </c>
      <c r="AA347" s="2" t="s">
        <v>1725</v>
      </c>
      <c r="AB347" s="2" t="b">
        <v>0</v>
      </c>
      <c r="AC347" s="2" t="s">
        <v>1730</v>
      </c>
      <c r="AD347" s="2" t="s">
        <v>1727</v>
      </c>
      <c r="AE347" s="2" t="s">
        <v>1728</v>
      </c>
      <c r="AF347" s="2" t="s">
        <v>1740</v>
      </c>
      <c r="AG347" s="28">
        <f>MAX(clean_data[[#This Row],[ATK]:[SPD]]) - MIN(clean_data[[#This Row],[ATK]:[SPD]])</f>
        <v>58</v>
      </c>
      <c r="AH347" s="28" t="str">
        <f>IF(clean_data[[#This Row],[Balanced Score]] = MIN(clean_data[Balanced Score]), "Most Balanced", "")</f>
        <v/>
      </c>
    </row>
    <row r="348" spans="1:34" x14ac:dyDescent="0.3">
      <c r="A348" s="2" t="s">
        <v>1218</v>
      </c>
      <c r="B348" s="2" t="s">
        <v>1219</v>
      </c>
      <c r="C348" s="2" t="s">
        <v>724</v>
      </c>
      <c r="D348" s="2" t="s">
        <v>75</v>
      </c>
      <c r="E348" s="2" t="s">
        <v>71</v>
      </c>
      <c r="F348" s="2" t="s">
        <v>61</v>
      </c>
      <c r="G348" s="2">
        <v>26</v>
      </c>
      <c r="H348" s="2" t="s">
        <v>73</v>
      </c>
      <c r="I348" s="2" t="s">
        <v>140</v>
      </c>
      <c r="J348" s="2" t="s">
        <v>33</v>
      </c>
      <c r="K348" s="2" t="s">
        <v>99</v>
      </c>
      <c r="L348" s="13">
        <v>43746</v>
      </c>
      <c r="M348" s="2">
        <v>124</v>
      </c>
      <c r="N348" s="2">
        <v>137</v>
      </c>
      <c r="O348" s="2">
        <v>92</v>
      </c>
      <c r="P348" s="2">
        <v>2138</v>
      </c>
      <c r="Q348" s="2">
        <v>2232</v>
      </c>
      <c r="R348" s="2">
        <v>353</v>
      </c>
      <c r="S348" s="2">
        <v>4789</v>
      </c>
      <c r="T348" s="2">
        <v>952</v>
      </c>
      <c r="U348" s="2">
        <v>19</v>
      </c>
      <c r="V348" s="12">
        <f>ABS(RPG_dataset[[#This Row],[Win Rate (%)]])</f>
        <v>83</v>
      </c>
      <c r="W348" s="2">
        <v>5579</v>
      </c>
      <c r="X348" s="9">
        <v>863815</v>
      </c>
      <c r="Y348" s="2" t="s">
        <v>36</v>
      </c>
      <c r="Z348" s="2">
        <v>66</v>
      </c>
      <c r="AA348" s="2" t="s">
        <v>1733</v>
      </c>
      <c r="AB348" s="2" t="b">
        <v>0</v>
      </c>
      <c r="AC348" s="2" t="s">
        <v>1730</v>
      </c>
      <c r="AD348" s="2" t="s">
        <v>1727</v>
      </c>
      <c r="AE348" s="2" t="s">
        <v>1728</v>
      </c>
      <c r="AF348" s="2" t="s">
        <v>1740</v>
      </c>
      <c r="AG348" s="28">
        <f>MAX(clean_data[[#This Row],[ATK]:[SPD]]) - MIN(clean_data[[#This Row],[ATK]:[SPD]])</f>
        <v>45</v>
      </c>
      <c r="AH348" s="28" t="str">
        <f>IF(clean_data[[#This Row],[Balanced Score]] = MIN(clean_data[Balanced Score]), "Most Balanced", "")</f>
        <v/>
      </c>
    </row>
    <row r="349" spans="1:34" x14ac:dyDescent="0.3">
      <c r="A349" s="2" t="s">
        <v>1221</v>
      </c>
      <c r="B349" s="2" t="s">
        <v>1222</v>
      </c>
      <c r="C349" s="2" t="s">
        <v>49</v>
      </c>
      <c r="D349" s="2" t="s">
        <v>139</v>
      </c>
      <c r="E349" s="2" t="s">
        <v>105</v>
      </c>
      <c r="F349" s="2" t="s">
        <v>72</v>
      </c>
      <c r="G349" s="2">
        <v>20</v>
      </c>
      <c r="H349" s="2" t="s">
        <v>53</v>
      </c>
      <c r="I349" s="2" t="s">
        <v>74</v>
      </c>
      <c r="J349" s="2" t="s">
        <v>88</v>
      </c>
      <c r="K349" s="2" t="s">
        <v>44</v>
      </c>
      <c r="L349" s="13">
        <v>43985</v>
      </c>
      <c r="M349" s="2">
        <v>83</v>
      </c>
      <c r="N349" s="2">
        <v>19</v>
      </c>
      <c r="O349" s="2"/>
      <c r="P349" s="2">
        <v>102</v>
      </c>
      <c r="Q349" s="2">
        <v>1217</v>
      </c>
      <c r="R349" s="2">
        <v>196</v>
      </c>
      <c r="S349" s="2">
        <v>881</v>
      </c>
      <c r="T349" s="2">
        <v>376</v>
      </c>
      <c r="U349" s="2">
        <v>264</v>
      </c>
      <c r="V349" s="12">
        <f>ABS(RPG_dataset[[#This Row],[Win Rate (%)]])</f>
        <v>70</v>
      </c>
      <c r="W349" s="2">
        <v>428</v>
      </c>
      <c r="X349" s="9">
        <v>235285</v>
      </c>
      <c r="Y349" s="2" t="s">
        <v>36</v>
      </c>
      <c r="Z349" s="2">
        <v>380</v>
      </c>
      <c r="AA349" s="2" t="s">
        <v>1735</v>
      </c>
      <c r="AB349" s="2" t="b">
        <v>1</v>
      </c>
      <c r="AC349" s="2" t="s">
        <v>1738</v>
      </c>
      <c r="AD349" s="2" t="s">
        <v>1727</v>
      </c>
      <c r="AE349" s="2" t="s">
        <v>1728</v>
      </c>
      <c r="AF349" s="2" t="s">
        <v>1729</v>
      </c>
      <c r="AG349" s="28">
        <f>MAX(clean_data[[#This Row],[ATK]:[SPD]]) - MIN(clean_data[[#This Row],[ATK]:[SPD]])</f>
        <v>64</v>
      </c>
      <c r="AH349" s="28" t="str">
        <f>IF(clean_data[[#This Row],[Balanced Score]] = MIN(clean_data[Balanced Score]), "Most Balanced", "")</f>
        <v/>
      </c>
    </row>
    <row r="350" spans="1:34" x14ac:dyDescent="0.3">
      <c r="A350" s="2" t="s">
        <v>1224</v>
      </c>
      <c r="B350" s="2" t="s">
        <v>1225</v>
      </c>
      <c r="C350" s="2" t="s">
        <v>1226</v>
      </c>
      <c r="D350" s="2" t="s">
        <v>254</v>
      </c>
      <c r="E350" s="2" t="s">
        <v>51</v>
      </c>
      <c r="F350" s="2" t="s">
        <v>42</v>
      </c>
      <c r="G350" s="2">
        <v>53</v>
      </c>
      <c r="H350" s="2" t="s">
        <v>62</v>
      </c>
      <c r="I350" s="2" t="s">
        <v>126</v>
      </c>
      <c r="J350" s="2" t="s">
        <v>92</v>
      </c>
      <c r="K350" s="2" t="s">
        <v>106</v>
      </c>
      <c r="L350" s="13">
        <v>43560</v>
      </c>
      <c r="M350" s="2">
        <v>118</v>
      </c>
      <c r="N350" s="2">
        <v>36</v>
      </c>
      <c r="O350" s="2">
        <v>60</v>
      </c>
      <c r="P350" s="2">
        <v>708</v>
      </c>
      <c r="Q350" s="2">
        <v>2505</v>
      </c>
      <c r="R350" s="2">
        <v>214</v>
      </c>
      <c r="S350" s="2">
        <v>2703</v>
      </c>
      <c r="T350" s="2">
        <v>584</v>
      </c>
      <c r="U350" s="2">
        <v>47</v>
      </c>
      <c r="V350" s="12">
        <f>ABS(RPG_dataset[[#This Row],[Win Rate (%)]])</f>
        <v>82</v>
      </c>
      <c r="W350" s="2">
        <v>7077</v>
      </c>
      <c r="X350" s="9">
        <v>302838</v>
      </c>
      <c r="Y350" s="2" t="s">
        <v>46</v>
      </c>
      <c r="Z350" s="2">
        <v>351</v>
      </c>
      <c r="AA350" s="2" t="s">
        <v>1725</v>
      </c>
      <c r="AB350" s="2" t="b">
        <v>0</v>
      </c>
      <c r="AC350" s="2" t="s">
        <v>1730</v>
      </c>
      <c r="AD350" s="2" t="s">
        <v>1727</v>
      </c>
      <c r="AE350" s="2" t="s">
        <v>1728</v>
      </c>
      <c r="AF350" s="2" t="s">
        <v>1732</v>
      </c>
      <c r="AG350" s="28">
        <f>MAX(clean_data[[#This Row],[ATK]:[SPD]]) - MIN(clean_data[[#This Row],[ATK]:[SPD]])</f>
        <v>82</v>
      </c>
      <c r="AH350" s="28" t="str">
        <f>IF(clean_data[[#This Row],[Balanced Score]] = MIN(clean_data[Balanced Score]), "Most Balanced", "")</f>
        <v/>
      </c>
    </row>
    <row r="351" spans="1:34" x14ac:dyDescent="0.3">
      <c r="A351" s="2" t="s">
        <v>1228</v>
      </c>
      <c r="B351" s="2" t="s">
        <v>1229</v>
      </c>
      <c r="C351" s="2" t="s">
        <v>693</v>
      </c>
      <c r="D351" s="2" t="s">
        <v>401</v>
      </c>
      <c r="E351" s="2" t="s">
        <v>29</v>
      </c>
      <c r="F351" s="2" t="s">
        <v>52</v>
      </c>
      <c r="G351" s="2">
        <v>58</v>
      </c>
      <c r="H351" s="2" t="s">
        <v>31</v>
      </c>
      <c r="I351" s="2" t="s">
        <v>63</v>
      </c>
      <c r="J351" s="2" t="s">
        <v>111</v>
      </c>
      <c r="K351" s="2" t="s">
        <v>44</v>
      </c>
      <c r="L351" s="13">
        <v>45299</v>
      </c>
      <c r="M351" s="2">
        <v>68</v>
      </c>
      <c r="N351" s="2">
        <v>144</v>
      </c>
      <c r="O351" s="2">
        <v>136</v>
      </c>
      <c r="P351" s="2">
        <v>3241</v>
      </c>
      <c r="Q351" s="2">
        <v>1513</v>
      </c>
      <c r="R351" s="2">
        <v>348</v>
      </c>
      <c r="S351" s="2">
        <v>1274</v>
      </c>
      <c r="T351" s="2">
        <v>785</v>
      </c>
      <c r="U351" s="2">
        <v>13</v>
      </c>
      <c r="V351" s="12">
        <f>ABS(RPG_dataset[[#This Row],[Win Rate (%)]])</f>
        <v>62</v>
      </c>
      <c r="W351" s="2">
        <v>7906</v>
      </c>
      <c r="X351" s="9">
        <v>223321</v>
      </c>
      <c r="Y351" s="2" t="s">
        <v>46</v>
      </c>
      <c r="Z351" s="2">
        <v>390</v>
      </c>
      <c r="AA351" s="2" t="s">
        <v>1725</v>
      </c>
      <c r="AB351" s="2" t="b">
        <v>1</v>
      </c>
      <c r="AC351" s="2" t="s">
        <v>1738</v>
      </c>
      <c r="AD351" s="2" t="s">
        <v>1727</v>
      </c>
      <c r="AE351" s="2" t="s">
        <v>1728</v>
      </c>
      <c r="AF351" s="2" t="s">
        <v>1736</v>
      </c>
      <c r="AG351" s="28">
        <f>MAX(clean_data[[#This Row],[ATK]:[SPD]]) - MIN(clean_data[[#This Row],[ATK]:[SPD]])</f>
        <v>76</v>
      </c>
      <c r="AH351" s="28" t="str">
        <f>IF(clean_data[[#This Row],[Balanced Score]] = MIN(clean_data[Balanced Score]), "Most Balanced", "")</f>
        <v/>
      </c>
    </row>
    <row r="352" spans="1:34" x14ac:dyDescent="0.3">
      <c r="A352" s="2" t="s">
        <v>1231</v>
      </c>
      <c r="B352" s="2" t="s">
        <v>1232</v>
      </c>
      <c r="C352" s="2" t="s">
        <v>118</v>
      </c>
      <c r="D352" s="2" t="s">
        <v>174</v>
      </c>
      <c r="E352" s="2" t="s">
        <v>29</v>
      </c>
      <c r="F352" s="2" t="s">
        <v>194</v>
      </c>
      <c r="G352" s="2">
        <v>70</v>
      </c>
      <c r="H352" s="2" t="s">
        <v>31</v>
      </c>
      <c r="I352" s="2" t="s">
        <v>63</v>
      </c>
      <c r="J352" s="2" t="s">
        <v>120</v>
      </c>
      <c r="K352" s="2" t="s">
        <v>44</v>
      </c>
      <c r="L352" s="13">
        <v>44595</v>
      </c>
      <c r="M352" s="2">
        <v>78</v>
      </c>
      <c r="N352" s="2">
        <v>58</v>
      </c>
      <c r="O352" s="2">
        <v>106</v>
      </c>
      <c r="P352" s="2">
        <v>1918</v>
      </c>
      <c r="Q352" s="2">
        <v>770</v>
      </c>
      <c r="R352" s="2">
        <v>242</v>
      </c>
      <c r="S352" s="2">
        <v>2451</v>
      </c>
      <c r="T352" s="2">
        <v>768</v>
      </c>
      <c r="U352" s="2">
        <v>283</v>
      </c>
      <c r="V352" s="12">
        <f>ABS(RPG_dataset[[#This Row],[Win Rate (%)]])</f>
        <v>76</v>
      </c>
      <c r="W352" s="2">
        <v>9341</v>
      </c>
      <c r="X352" s="9">
        <v>701292</v>
      </c>
      <c r="Y352" s="2" t="s">
        <v>46</v>
      </c>
      <c r="Z352" s="2">
        <v>149</v>
      </c>
      <c r="AA352" s="2" t="s">
        <v>1725</v>
      </c>
      <c r="AB352" s="2" t="b">
        <v>1</v>
      </c>
      <c r="AC352" s="2" t="s">
        <v>1730</v>
      </c>
      <c r="AD352" s="2" t="s">
        <v>1727</v>
      </c>
      <c r="AE352" s="2" t="s">
        <v>1728</v>
      </c>
      <c r="AF352" s="2" t="s">
        <v>1736</v>
      </c>
      <c r="AG352" s="28">
        <f>MAX(clean_data[[#This Row],[ATK]:[SPD]]) - MIN(clean_data[[#This Row],[ATK]:[SPD]])</f>
        <v>48</v>
      </c>
      <c r="AH352" s="28" t="str">
        <f>IF(clean_data[[#This Row],[Balanced Score]] = MIN(clean_data[Balanced Score]), "Most Balanced", "")</f>
        <v/>
      </c>
    </row>
    <row r="353" spans="1:34" x14ac:dyDescent="0.3">
      <c r="A353" s="2" t="s">
        <v>1234</v>
      </c>
      <c r="B353" s="2" t="s">
        <v>1235</v>
      </c>
      <c r="C353" s="2" t="s">
        <v>103</v>
      </c>
      <c r="D353" s="2" t="s">
        <v>139</v>
      </c>
      <c r="E353" s="2" t="s">
        <v>29</v>
      </c>
      <c r="F353" s="2" t="s">
        <v>194</v>
      </c>
      <c r="G353" s="2">
        <v>60</v>
      </c>
      <c r="H353" s="2" t="s">
        <v>157</v>
      </c>
      <c r="I353" s="2" t="s">
        <v>126</v>
      </c>
      <c r="J353" s="2" t="s">
        <v>88</v>
      </c>
      <c r="K353" s="2" t="s">
        <v>44</v>
      </c>
      <c r="L353" s="13">
        <v>43995</v>
      </c>
      <c r="M353" s="2">
        <v>47</v>
      </c>
      <c r="N353" s="2"/>
      <c r="O353" s="2">
        <v>92</v>
      </c>
      <c r="P353" s="2">
        <v>2677</v>
      </c>
      <c r="Q353" s="2"/>
      <c r="R353" s="2">
        <v>282</v>
      </c>
      <c r="S353" s="2"/>
      <c r="T353" s="2">
        <v>493</v>
      </c>
      <c r="U353" s="2">
        <v>126</v>
      </c>
      <c r="V353" s="12">
        <f>ABS(RPG_dataset[[#This Row],[Win Rate (%)]])</f>
        <v>89</v>
      </c>
      <c r="W353" s="2">
        <v>6086</v>
      </c>
      <c r="X353" s="9">
        <v>977964</v>
      </c>
      <c r="Y353" s="2" t="s">
        <v>36</v>
      </c>
      <c r="Z353" s="2">
        <v>12</v>
      </c>
      <c r="AA353" s="2" t="s">
        <v>1725</v>
      </c>
      <c r="AB353" s="2" t="b">
        <v>1</v>
      </c>
      <c r="AC353" s="2" t="s">
        <v>1730</v>
      </c>
      <c r="AD353" s="2" t="s">
        <v>1727</v>
      </c>
      <c r="AE353" s="2" t="s">
        <v>1731</v>
      </c>
      <c r="AF353" s="2" t="s">
        <v>1736</v>
      </c>
      <c r="AG353" s="28">
        <f>MAX(clean_data[[#This Row],[ATK]:[SPD]]) - MIN(clean_data[[#This Row],[ATK]:[SPD]])</f>
        <v>45</v>
      </c>
      <c r="AH353" s="28" t="str">
        <f>IF(clean_data[[#This Row],[Balanced Score]] = MIN(clean_data[Balanced Score]), "Most Balanced", "")</f>
        <v/>
      </c>
    </row>
    <row r="354" spans="1:34" x14ac:dyDescent="0.3">
      <c r="A354" s="2" t="s">
        <v>1237</v>
      </c>
      <c r="B354" s="2" t="s">
        <v>1238</v>
      </c>
      <c r="C354" s="2" t="s">
        <v>69</v>
      </c>
      <c r="D354" s="2" t="s">
        <v>75</v>
      </c>
      <c r="E354" s="2" t="s">
        <v>75</v>
      </c>
      <c r="F354" s="2" t="s">
        <v>194</v>
      </c>
      <c r="G354" s="2">
        <v>94</v>
      </c>
      <c r="H354" s="2" t="s">
        <v>43</v>
      </c>
      <c r="I354" s="2" t="s">
        <v>74</v>
      </c>
      <c r="J354" s="2" t="s">
        <v>111</v>
      </c>
      <c r="K354" s="2" t="s">
        <v>106</v>
      </c>
      <c r="L354" s="13">
        <v>44217</v>
      </c>
      <c r="M354" s="2">
        <v>84</v>
      </c>
      <c r="N354" s="2">
        <v>55</v>
      </c>
      <c r="O354" s="2">
        <v>89</v>
      </c>
      <c r="P354" s="2">
        <v>4961</v>
      </c>
      <c r="Q354" s="2">
        <v>817</v>
      </c>
      <c r="R354" s="2">
        <v>228</v>
      </c>
      <c r="S354" s="2">
        <v>106</v>
      </c>
      <c r="T354" s="2">
        <v>291</v>
      </c>
      <c r="U354" s="2">
        <v>2</v>
      </c>
      <c r="V354" s="12">
        <f>ABS(RPG_dataset[[#This Row],[Win Rate (%)]])</f>
        <v>27</v>
      </c>
      <c r="W354" s="2">
        <v>1656</v>
      </c>
      <c r="X354" s="9">
        <v>819066</v>
      </c>
      <c r="Y354" s="2" t="s">
        <v>46</v>
      </c>
      <c r="Z354" s="2">
        <v>94</v>
      </c>
      <c r="AA354" s="2" t="s">
        <v>1737</v>
      </c>
      <c r="AB354" s="2" t="b">
        <v>0</v>
      </c>
      <c r="AC354" s="2" t="s">
        <v>1726</v>
      </c>
      <c r="AD354" s="2" t="s">
        <v>1727</v>
      </c>
      <c r="AE354" s="2" t="s">
        <v>1728</v>
      </c>
      <c r="AF354" s="2" t="s">
        <v>1736</v>
      </c>
      <c r="AG354" s="28">
        <f>MAX(clean_data[[#This Row],[ATK]:[SPD]]) - MIN(clean_data[[#This Row],[ATK]:[SPD]])</f>
        <v>34</v>
      </c>
      <c r="AH354" s="28" t="str">
        <f>IF(clean_data[[#This Row],[Balanced Score]] = MIN(clean_data[Balanced Score]), "Most Balanced", "")</f>
        <v/>
      </c>
    </row>
    <row r="355" spans="1:34" x14ac:dyDescent="0.3">
      <c r="A355" s="2" t="s">
        <v>1240</v>
      </c>
      <c r="B355" s="2" t="s">
        <v>1241</v>
      </c>
      <c r="C355" s="2" t="s">
        <v>75</v>
      </c>
      <c r="D355" s="2" t="s">
        <v>144</v>
      </c>
      <c r="E355" s="2" t="s">
        <v>105</v>
      </c>
      <c r="F355" s="2" t="s">
        <v>42</v>
      </c>
      <c r="G355" s="2">
        <v>65</v>
      </c>
      <c r="H355" s="2" t="s">
        <v>75</v>
      </c>
      <c r="I355" s="2" t="s">
        <v>126</v>
      </c>
      <c r="J355" s="2" t="s">
        <v>64</v>
      </c>
      <c r="K355" s="2" t="s">
        <v>44</v>
      </c>
      <c r="L355" s="13">
        <v>43326</v>
      </c>
      <c r="M355" s="2">
        <v>121</v>
      </c>
      <c r="N355" s="2">
        <v>77</v>
      </c>
      <c r="O355" s="2">
        <v>111</v>
      </c>
      <c r="P355" s="2">
        <v>4676</v>
      </c>
      <c r="Q355" s="2">
        <v>2499</v>
      </c>
      <c r="R355" s="2">
        <v>309</v>
      </c>
      <c r="S355" s="2">
        <v>2122</v>
      </c>
      <c r="T355" s="2">
        <v>191</v>
      </c>
      <c r="U355" s="2">
        <v>187</v>
      </c>
      <c r="V355" s="12">
        <f>ABS(RPG_dataset[[#This Row],[Win Rate (%)]])</f>
        <v>92</v>
      </c>
      <c r="W355" s="2">
        <v>6285</v>
      </c>
      <c r="X355" s="9">
        <v>493446</v>
      </c>
      <c r="Y355" s="2" t="s">
        <v>46</v>
      </c>
      <c r="Z355" s="2">
        <v>257</v>
      </c>
      <c r="AA355" s="2" t="s">
        <v>1725</v>
      </c>
      <c r="AB355" s="2" t="b">
        <v>1</v>
      </c>
      <c r="AC355" s="2" t="s">
        <v>1730</v>
      </c>
      <c r="AD355" s="2" t="s">
        <v>1727</v>
      </c>
      <c r="AE355" s="2" t="s">
        <v>1728</v>
      </c>
      <c r="AF355" s="2" t="s">
        <v>1736</v>
      </c>
      <c r="AG355" s="28">
        <f>MAX(clean_data[[#This Row],[ATK]:[SPD]]) - MIN(clean_data[[#This Row],[ATK]:[SPD]])</f>
        <v>44</v>
      </c>
      <c r="AH355" s="28" t="str">
        <f>IF(clean_data[[#This Row],[Balanced Score]] = MIN(clean_data[Balanced Score]), "Most Balanced", "")</f>
        <v/>
      </c>
    </row>
    <row r="356" spans="1:34" x14ac:dyDescent="0.3">
      <c r="A356" s="2" t="s">
        <v>1243</v>
      </c>
      <c r="B356" s="2" t="s">
        <v>1244</v>
      </c>
      <c r="C356" s="2" t="s">
        <v>689</v>
      </c>
      <c r="D356" s="2" t="s">
        <v>174</v>
      </c>
      <c r="E356" s="2" t="s">
        <v>71</v>
      </c>
      <c r="F356" s="2" t="s">
        <v>98</v>
      </c>
      <c r="G356" s="2">
        <v>91</v>
      </c>
      <c r="H356" s="2" t="s">
        <v>62</v>
      </c>
      <c r="I356" s="2" t="s">
        <v>87</v>
      </c>
      <c r="J356" s="2" t="s">
        <v>163</v>
      </c>
      <c r="K356" s="2" t="s">
        <v>106</v>
      </c>
      <c r="L356" s="13">
        <v>43406</v>
      </c>
      <c r="M356" s="2">
        <v>43</v>
      </c>
      <c r="N356" s="2">
        <v>131</v>
      </c>
      <c r="O356" s="2">
        <v>135</v>
      </c>
      <c r="P356" s="2">
        <v>2870</v>
      </c>
      <c r="Q356" s="2">
        <v>2804</v>
      </c>
      <c r="R356" s="2">
        <v>309</v>
      </c>
      <c r="S356" s="2">
        <v>1029</v>
      </c>
      <c r="T356" s="2">
        <v>817</v>
      </c>
      <c r="U356" s="2">
        <v>224</v>
      </c>
      <c r="V356" s="12">
        <f>ABS(RPG_dataset[[#This Row],[Win Rate (%)]])</f>
        <v>56</v>
      </c>
      <c r="W356" s="2">
        <v>4351</v>
      </c>
      <c r="X356" s="9">
        <v>549878</v>
      </c>
      <c r="Y356" s="2" t="s">
        <v>46</v>
      </c>
      <c r="Z356" s="2">
        <v>225</v>
      </c>
      <c r="AA356" s="2" t="s">
        <v>1737</v>
      </c>
      <c r="AB356" s="2" t="b">
        <v>0</v>
      </c>
      <c r="AC356" s="2" t="s">
        <v>1738</v>
      </c>
      <c r="AD356" s="2" t="s">
        <v>1727</v>
      </c>
      <c r="AE356" s="2" t="s">
        <v>1728</v>
      </c>
      <c r="AF356" s="2" t="s">
        <v>1736</v>
      </c>
      <c r="AG356" s="28">
        <f>MAX(clean_data[[#This Row],[ATK]:[SPD]]) - MIN(clean_data[[#This Row],[ATK]:[SPD]])</f>
        <v>92</v>
      </c>
      <c r="AH356" s="28" t="str">
        <f>IF(clean_data[[#This Row],[Balanced Score]] = MIN(clean_data[Balanced Score]), "Most Balanced", "")</f>
        <v/>
      </c>
    </row>
    <row r="357" spans="1:34" x14ac:dyDescent="0.3">
      <c r="A357" s="2" t="s">
        <v>1246</v>
      </c>
      <c r="B357" s="2" t="s">
        <v>75</v>
      </c>
      <c r="C357" s="2" t="s">
        <v>233</v>
      </c>
      <c r="D357" s="2" t="s">
        <v>104</v>
      </c>
      <c r="E357" s="2" t="s">
        <v>71</v>
      </c>
      <c r="F357" s="2" t="s">
        <v>72</v>
      </c>
      <c r="G357" s="2">
        <v>39</v>
      </c>
      <c r="H357" s="2" t="s">
        <v>80</v>
      </c>
      <c r="I357" s="2" t="s">
        <v>126</v>
      </c>
      <c r="J357" s="2" t="s">
        <v>64</v>
      </c>
      <c r="K357" s="2" t="s">
        <v>44</v>
      </c>
      <c r="L357" s="13">
        <v>45505</v>
      </c>
      <c r="M357" s="2">
        <v>69</v>
      </c>
      <c r="N357" s="2">
        <v>72</v>
      </c>
      <c r="O357" s="2">
        <v>62</v>
      </c>
      <c r="P357" s="2">
        <v>1713</v>
      </c>
      <c r="Q357" s="2">
        <v>2914</v>
      </c>
      <c r="R357" s="2">
        <v>203</v>
      </c>
      <c r="S357" s="2">
        <v>3162</v>
      </c>
      <c r="T357" s="2">
        <v>422</v>
      </c>
      <c r="U357" s="2">
        <v>226</v>
      </c>
      <c r="V357" s="12">
        <f>ABS(RPG_dataset[[#This Row],[Win Rate (%)]])</f>
        <v>88</v>
      </c>
      <c r="W357" s="2">
        <v>4964</v>
      </c>
      <c r="X357" s="9">
        <v>861395</v>
      </c>
      <c r="Y357" s="2" t="s">
        <v>46</v>
      </c>
      <c r="Z357" s="2">
        <v>67</v>
      </c>
      <c r="AA357" s="2" t="s">
        <v>1733</v>
      </c>
      <c r="AB357" s="2" t="b">
        <v>1</v>
      </c>
      <c r="AC357" s="2" t="s">
        <v>1730</v>
      </c>
      <c r="AD357" s="2" t="s">
        <v>1727</v>
      </c>
      <c r="AE357" s="2" t="s">
        <v>1728</v>
      </c>
      <c r="AF357" s="2" t="s">
        <v>1729</v>
      </c>
      <c r="AG357" s="28">
        <f>MAX(clean_data[[#This Row],[ATK]:[SPD]]) - MIN(clean_data[[#This Row],[ATK]:[SPD]])</f>
        <v>10</v>
      </c>
      <c r="AH357" s="28" t="str">
        <f>IF(clean_data[[#This Row],[Balanced Score]] = MIN(clean_data[Balanced Score]), "Most Balanced", "")</f>
        <v/>
      </c>
    </row>
    <row r="358" spans="1:34" x14ac:dyDescent="0.3">
      <c r="A358" s="2" t="s">
        <v>1248</v>
      </c>
      <c r="B358" s="2" t="s">
        <v>1249</v>
      </c>
      <c r="C358" s="2" t="s">
        <v>227</v>
      </c>
      <c r="D358" s="2" t="s">
        <v>155</v>
      </c>
      <c r="E358" s="2" t="s">
        <v>105</v>
      </c>
      <c r="F358" s="2" t="s">
        <v>52</v>
      </c>
      <c r="G358" s="2">
        <v>10</v>
      </c>
      <c r="H358" s="2" t="s">
        <v>53</v>
      </c>
      <c r="I358" s="2" t="s">
        <v>32</v>
      </c>
      <c r="J358" s="2" t="s">
        <v>163</v>
      </c>
      <c r="K358" s="2" t="s">
        <v>99</v>
      </c>
      <c r="L358" s="13">
        <v>43909</v>
      </c>
      <c r="M358" s="2">
        <v>48</v>
      </c>
      <c r="N358" s="2">
        <v>132</v>
      </c>
      <c r="O358" s="2">
        <v>71</v>
      </c>
      <c r="P358" s="2">
        <v>3646</v>
      </c>
      <c r="Q358" s="2">
        <v>385</v>
      </c>
      <c r="R358" s="2">
        <v>251</v>
      </c>
      <c r="S358" s="2">
        <v>4768</v>
      </c>
      <c r="T358" s="2">
        <v>9</v>
      </c>
      <c r="U358" s="2">
        <v>108</v>
      </c>
      <c r="V358" s="12">
        <f>ABS(RPG_dataset[[#This Row],[Win Rate (%)]])</f>
        <v>100</v>
      </c>
      <c r="W358" s="2">
        <v>7306</v>
      </c>
      <c r="X358" s="9">
        <v>707710</v>
      </c>
      <c r="Y358" s="2" t="s">
        <v>46</v>
      </c>
      <c r="Z358" s="2">
        <v>145</v>
      </c>
      <c r="AA358" s="2" t="s">
        <v>1735</v>
      </c>
      <c r="AB358" s="2" t="b">
        <v>0</v>
      </c>
      <c r="AC358" s="2" t="s">
        <v>1730</v>
      </c>
      <c r="AD358" s="2" t="s">
        <v>1727</v>
      </c>
      <c r="AE358" s="2" t="s">
        <v>1728</v>
      </c>
      <c r="AF358" s="2" t="s">
        <v>1734</v>
      </c>
      <c r="AG358" s="28">
        <f>MAX(clean_data[[#This Row],[ATK]:[SPD]]) - MIN(clean_data[[#This Row],[ATK]:[SPD]])</f>
        <v>84</v>
      </c>
      <c r="AH358" s="28" t="str">
        <f>IF(clean_data[[#This Row],[Balanced Score]] = MIN(clean_data[Balanced Score]), "Most Balanced", "")</f>
        <v/>
      </c>
    </row>
    <row r="359" spans="1:34" x14ac:dyDescent="0.3">
      <c r="A359" s="2" t="s">
        <v>1251</v>
      </c>
      <c r="B359" s="2" t="s">
        <v>1252</v>
      </c>
      <c r="C359" s="2" t="s">
        <v>339</v>
      </c>
      <c r="D359" s="2" t="s">
        <v>250</v>
      </c>
      <c r="E359" s="2" t="s">
        <v>41</v>
      </c>
      <c r="F359" s="2" t="s">
        <v>194</v>
      </c>
      <c r="G359" s="2">
        <v>8</v>
      </c>
      <c r="H359" s="2" t="s">
        <v>157</v>
      </c>
      <c r="I359" s="2" t="s">
        <v>74</v>
      </c>
      <c r="J359" s="2" t="s">
        <v>88</v>
      </c>
      <c r="K359" s="2" t="s">
        <v>44</v>
      </c>
      <c r="L359" s="13">
        <v>44489</v>
      </c>
      <c r="M359" s="2">
        <v>146</v>
      </c>
      <c r="N359" s="2">
        <v>35</v>
      </c>
      <c r="O359" s="2">
        <v>149</v>
      </c>
      <c r="P359" s="2">
        <v>1935</v>
      </c>
      <c r="Q359" s="2"/>
      <c r="R359" s="2">
        <v>330</v>
      </c>
      <c r="S359" s="2">
        <v>3699</v>
      </c>
      <c r="T359" s="2">
        <v>18</v>
      </c>
      <c r="U359" s="2">
        <v>300</v>
      </c>
      <c r="V359" s="12">
        <f>ABS(RPG_dataset[[#This Row],[Win Rate (%)]])</f>
        <v>100</v>
      </c>
      <c r="W359" s="2">
        <v>7324</v>
      </c>
      <c r="X359" s="9">
        <v>233422</v>
      </c>
      <c r="Y359" s="2" t="s">
        <v>46</v>
      </c>
      <c r="Z359" s="2">
        <v>382</v>
      </c>
      <c r="AA359" s="2" t="s">
        <v>1735</v>
      </c>
      <c r="AB359" s="2" t="b">
        <v>1</v>
      </c>
      <c r="AC359" s="2" t="s">
        <v>1730</v>
      </c>
      <c r="AD359" s="2" t="s">
        <v>1727</v>
      </c>
      <c r="AE359" s="2" t="s">
        <v>1728</v>
      </c>
      <c r="AF359" s="2" t="s">
        <v>1736</v>
      </c>
      <c r="AG359" s="28">
        <f>MAX(clean_data[[#This Row],[ATK]:[SPD]]) - MIN(clean_data[[#This Row],[ATK]:[SPD]])</f>
        <v>114</v>
      </c>
      <c r="AH359" s="28" t="str">
        <f>IF(clean_data[[#This Row],[Balanced Score]] = MIN(clean_data[Balanced Score]), "Most Balanced", "")</f>
        <v/>
      </c>
    </row>
    <row r="360" spans="1:34" x14ac:dyDescent="0.3">
      <c r="A360" s="2" t="s">
        <v>1254</v>
      </c>
      <c r="B360" s="2" t="s">
        <v>1255</v>
      </c>
      <c r="C360" s="2" t="s">
        <v>154</v>
      </c>
      <c r="D360" s="2" t="s">
        <v>70</v>
      </c>
      <c r="E360" s="2" t="s">
        <v>29</v>
      </c>
      <c r="F360" s="2" t="s">
        <v>194</v>
      </c>
      <c r="G360" s="2">
        <v>52</v>
      </c>
      <c r="H360" s="2" t="s">
        <v>73</v>
      </c>
      <c r="I360" s="2" t="s">
        <v>140</v>
      </c>
      <c r="J360" s="2" t="s">
        <v>81</v>
      </c>
      <c r="K360" s="2" t="s">
        <v>34</v>
      </c>
      <c r="L360" s="13">
        <v>43118</v>
      </c>
      <c r="M360" s="2">
        <v>148</v>
      </c>
      <c r="N360" s="2">
        <v>111</v>
      </c>
      <c r="O360" s="2">
        <v>142</v>
      </c>
      <c r="P360" s="2">
        <v>2663</v>
      </c>
      <c r="Q360" s="2">
        <v>1853</v>
      </c>
      <c r="R360" s="2">
        <v>401</v>
      </c>
      <c r="S360" s="2">
        <v>2172</v>
      </c>
      <c r="T360" s="2">
        <v>440</v>
      </c>
      <c r="U360" s="2">
        <v>11</v>
      </c>
      <c r="V360" s="12">
        <f>ABS(RPG_dataset[[#This Row],[Win Rate (%)]])</f>
        <v>83</v>
      </c>
      <c r="W360" s="2">
        <v>566</v>
      </c>
      <c r="X360" s="9">
        <v>198728</v>
      </c>
      <c r="Y360" s="2" t="s">
        <v>46</v>
      </c>
      <c r="Z360" s="2">
        <v>402</v>
      </c>
      <c r="AA360" s="2" t="s">
        <v>1725</v>
      </c>
      <c r="AB360" s="2" t="b">
        <v>0</v>
      </c>
      <c r="AC360" s="2" t="s">
        <v>1730</v>
      </c>
      <c r="AD360" s="2" t="s">
        <v>1727</v>
      </c>
      <c r="AE360" s="2" t="s">
        <v>1728</v>
      </c>
      <c r="AF360" s="2" t="s">
        <v>1740</v>
      </c>
      <c r="AG360" s="28">
        <f>MAX(clean_data[[#This Row],[ATK]:[SPD]]) - MIN(clean_data[[#This Row],[ATK]:[SPD]])</f>
        <v>37</v>
      </c>
      <c r="AH360" s="28" t="str">
        <f>IF(clean_data[[#This Row],[Balanced Score]] = MIN(clean_data[Balanced Score]), "Most Balanced", "")</f>
        <v/>
      </c>
    </row>
    <row r="361" spans="1:34" x14ac:dyDescent="0.3">
      <c r="A361" s="2" t="s">
        <v>1257</v>
      </c>
      <c r="B361" s="2" t="s">
        <v>1258</v>
      </c>
      <c r="C361" s="2" t="s">
        <v>238</v>
      </c>
      <c r="D361" s="2" t="s">
        <v>144</v>
      </c>
      <c r="E361" s="2" t="s">
        <v>105</v>
      </c>
      <c r="F361" s="2" t="s">
        <v>194</v>
      </c>
      <c r="G361" s="2">
        <v>97</v>
      </c>
      <c r="H361" s="2" t="s">
        <v>31</v>
      </c>
      <c r="I361" s="2" t="s">
        <v>126</v>
      </c>
      <c r="J361" s="2" t="s">
        <v>120</v>
      </c>
      <c r="K361" s="2" t="s">
        <v>99</v>
      </c>
      <c r="L361" s="13">
        <v>44070</v>
      </c>
      <c r="M361" s="2">
        <v>147</v>
      </c>
      <c r="N361" s="2"/>
      <c r="O361" s="2">
        <v>23</v>
      </c>
      <c r="P361" s="2">
        <v>2123</v>
      </c>
      <c r="Q361" s="2">
        <v>82</v>
      </c>
      <c r="R361" s="2">
        <v>271</v>
      </c>
      <c r="S361" s="2">
        <v>3805</v>
      </c>
      <c r="T361" s="2">
        <v>132</v>
      </c>
      <c r="U361" s="2">
        <v>176</v>
      </c>
      <c r="V361" s="12">
        <f>ABS(RPG_dataset[[#This Row],[Win Rate (%)]])</f>
        <v>97</v>
      </c>
      <c r="W361" s="2">
        <v>9987</v>
      </c>
      <c r="X361" s="9">
        <v>790066</v>
      </c>
      <c r="Y361" s="2" t="s">
        <v>46</v>
      </c>
      <c r="Z361" s="2">
        <v>115</v>
      </c>
      <c r="AA361" s="2" t="s">
        <v>1737</v>
      </c>
      <c r="AB361" s="2" t="b">
        <v>0</v>
      </c>
      <c r="AC361" s="2" t="s">
        <v>1730</v>
      </c>
      <c r="AD361" s="2" t="s">
        <v>1727</v>
      </c>
      <c r="AE361" s="2" t="s">
        <v>1728</v>
      </c>
      <c r="AF361" s="2" t="s">
        <v>1729</v>
      </c>
      <c r="AG361" s="28">
        <f>MAX(clean_data[[#This Row],[ATK]:[SPD]]) - MIN(clean_data[[#This Row],[ATK]:[SPD]])</f>
        <v>124</v>
      </c>
      <c r="AH361" s="28" t="str">
        <f>IF(clean_data[[#This Row],[Balanced Score]] = MIN(clean_data[Balanced Score]), "Most Balanced", "")</f>
        <v/>
      </c>
    </row>
    <row r="362" spans="1:34" x14ac:dyDescent="0.3">
      <c r="A362" s="2" t="s">
        <v>1261</v>
      </c>
      <c r="B362" s="2" t="s">
        <v>1262</v>
      </c>
      <c r="C362" s="2" t="s">
        <v>586</v>
      </c>
      <c r="D362" s="2" t="s">
        <v>144</v>
      </c>
      <c r="E362" s="2" t="s">
        <v>60</v>
      </c>
      <c r="F362" s="2" t="s">
        <v>30</v>
      </c>
      <c r="G362" s="2">
        <v>56</v>
      </c>
      <c r="H362" s="2" t="s">
        <v>53</v>
      </c>
      <c r="I362" s="2" t="s">
        <v>126</v>
      </c>
      <c r="J362" s="2" t="s">
        <v>163</v>
      </c>
      <c r="K362" s="2" t="s">
        <v>44</v>
      </c>
      <c r="L362" s="13">
        <v>45576</v>
      </c>
      <c r="M362" s="2">
        <v>53</v>
      </c>
      <c r="N362" s="2">
        <v>146</v>
      </c>
      <c r="O362" s="2">
        <v>37</v>
      </c>
      <c r="P362" s="2">
        <v>3223</v>
      </c>
      <c r="Q362" s="2">
        <v>2473</v>
      </c>
      <c r="R362" s="2"/>
      <c r="S362" s="2">
        <v>2494</v>
      </c>
      <c r="T362" s="2">
        <v>32</v>
      </c>
      <c r="U362" s="2">
        <v>278</v>
      </c>
      <c r="V362" s="12">
        <f>ABS(RPG_dataset[[#This Row],[Win Rate (%)]])</f>
        <v>0</v>
      </c>
      <c r="W362" s="2">
        <v>8611</v>
      </c>
      <c r="X362" s="9">
        <v>554253</v>
      </c>
      <c r="Y362" s="2" t="s">
        <v>46</v>
      </c>
      <c r="Z362" s="2">
        <v>221</v>
      </c>
      <c r="AA362" s="2" t="s">
        <v>1725</v>
      </c>
      <c r="AB362" s="2" t="b">
        <v>1</v>
      </c>
      <c r="AC362" s="2" t="s">
        <v>1726</v>
      </c>
      <c r="AD362" s="2" t="s">
        <v>1727</v>
      </c>
      <c r="AE362" s="2" t="s">
        <v>1728</v>
      </c>
      <c r="AF362" s="2" t="s">
        <v>1734</v>
      </c>
      <c r="AG362" s="28">
        <f>MAX(clean_data[[#This Row],[ATK]:[SPD]]) - MIN(clean_data[[#This Row],[ATK]:[SPD]])</f>
        <v>109</v>
      </c>
      <c r="AH362" s="28" t="str">
        <f>IF(clean_data[[#This Row],[Balanced Score]] = MIN(clean_data[Balanced Score]), "Most Balanced", "")</f>
        <v/>
      </c>
    </row>
    <row r="363" spans="1:34" x14ac:dyDescent="0.3">
      <c r="A363" s="2" t="s">
        <v>1263</v>
      </c>
      <c r="B363" s="2" t="s">
        <v>1264</v>
      </c>
      <c r="C363" s="2" t="s">
        <v>178</v>
      </c>
      <c r="D363" s="2" t="s">
        <v>155</v>
      </c>
      <c r="E363" s="2" t="s">
        <v>169</v>
      </c>
      <c r="F363" s="2" t="s">
        <v>194</v>
      </c>
      <c r="G363" s="2">
        <v>10</v>
      </c>
      <c r="H363" s="2" t="s">
        <v>73</v>
      </c>
      <c r="I363" s="2" t="s">
        <v>32</v>
      </c>
      <c r="J363" s="2" t="s">
        <v>33</v>
      </c>
      <c r="K363" s="2" t="s">
        <v>44</v>
      </c>
      <c r="L363" s="13">
        <v>45120</v>
      </c>
      <c r="M363" s="2">
        <v>21</v>
      </c>
      <c r="N363" s="2">
        <v>13</v>
      </c>
      <c r="O363" s="2">
        <v>97</v>
      </c>
      <c r="P363" s="2">
        <v>4462</v>
      </c>
      <c r="Q363" s="2">
        <v>1376</v>
      </c>
      <c r="R363" s="2">
        <v>131</v>
      </c>
      <c r="S363" s="2">
        <v>1108</v>
      </c>
      <c r="T363" s="2">
        <v>356</v>
      </c>
      <c r="U363" s="2">
        <v>184</v>
      </c>
      <c r="V363" s="12">
        <f>ABS(RPG_dataset[[#This Row],[Win Rate (%)]])</f>
        <v>76</v>
      </c>
      <c r="W363" s="2">
        <v>7749</v>
      </c>
      <c r="X363" s="9">
        <v>391601</v>
      </c>
      <c r="Y363" s="2" t="s">
        <v>46</v>
      </c>
      <c r="Z363" s="2">
        <v>308</v>
      </c>
      <c r="AA363" s="2" t="s">
        <v>1735</v>
      </c>
      <c r="AB363" s="2" t="b">
        <v>1</v>
      </c>
      <c r="AC363" s="2" t="s">
        <v>1730</v>
      </c>
      <c r="AD363" s="2" t="s">
        <v>1727</v>
      </c>
      <c r="AE363" s="2" t="s">
        <v>1728</v>
      </c>
      <c r="AF363" s="2" t="s">
        <v>1736</v>
      </c>
      <c r="AG363" s="28">
        <f>MAX(clean_data[[#This Row],[ATK]:[SPD]]) - MIN(clean_data[[#This Row],[ATK]:[SPD]])</f>
        <v>84</v>
      </c>
      <c r="AH363" s="28" t="str">
        <f>IF(clean_data[[#This Row],[Balanced Score]] = MIN(clean_data[Balanced Score]), "Most Balanced", "")</f>
        <v/>
      </c>
    </row>
    <row r="364" spans="1:34" x14ac:dyDescent="0.3">
      <c r="A364" s="2" t="s">
        <v>1266</v>
      </c>
      <c r="B364" s="2" t="s">
        <v>1267</v>
      </c>
      <c r="C364" s="2" t="s">
        <v>314</v>
      </c>
      <c r="D364" s="2" t="s">
        <v>349</v>
      </c>
      <c r="E364" s="2" t="s">
        <v>29</v>
      </c>
      <c r="F364" s="2" t="s">
        <v>30</v>
      </c>
      <c r="G364" s="2">
        <v>5</v>
      </c>
      <c r="H364" s="2" t="s">
        <v>62</v>
      </c>
      <c r="I364" s="2" t="s">
        <v>140</v>
      </c>
      <c r="J364" s="2" t="s">
        <v>64</v>
      </c>
      <c r="K364" s="2" t="s">
        <v>34</v>
      </c>
      <c r="L364" s="13">
        <v>44132</v>
      </c>
      <c r="M364" s="2">
        <v>83</v>
      </c>
      <c r="N364" s="2"/>
      <c r="O364" s="2">
        <v>106</v>
      </c>
      <c r="P364" s="2">
        <v>2034</v>
      </c>
      <c r="Q364" s="2">
        <v>679</v>
      </c>
      <c r="R364" s="2">
        <v>269</v>
      </c>
      <c r="S364" s="2">
        <v>3537</v>
      </c>
      <c r="T364" s="2">
        <v>624</v>
      </c>
      <c r="U364" s="2">
        <v>21</v>
      </c>
      <c r="V364" s="12">
        <f>ABS(RPG_dataset[[#This Row],[Win Rate (%)]])</f>
        <v>85</v>
      </c>
      <c r="W364" s="2">
        <v>4060</v>
      </c>
      <c r="X364" s="9">
        <v>340694</v>
      </c>
      <c r="Y364" s="2" t="s">
        <v>36</v>
      </c>
      <c r="Z364" s="2">
        <v>338</v>
      </c>
      <c r="AA364" s="2" t="s">
        <v>1735</v>
      </c>
      <c r="AB364" s="2" t="b">
        <v>0</v>
      </c>
      <c r="AC364" s="2" t="s">
        <v>1730</v>
      </c>
      <c r="AD364" s="2" t="s">
        <v>1727</v>
      </c>
      <c r="AE364" s="2" t="s">
        <v>1728</v>
      </c>
      <c r="AF364" s="2" t="s">
        <v>1740</v>
      </c>
      <c r="AG364" s="28">
        <f>MAX(clean_data[[#This Row],[ATK]:[SPD]]) - MIN(clean_data[[#This Row],[ATK]:[SPD]])</f>
        <v>23</v>
      </c>
      <c r="AH364" s="28" t="str">
        <f>IF(clean_data[[#This Row],[Balanced Score]] = MIN(clean_data[Balanced Score]), "Most Balanced", "")</f>
        <v/>
      </c>
    </row>
    <row r="365" spans="1:34" x14ac:dyDescent="0.3">
      <c r="A365" s="2" t="s">
        <v>1269</v>
      </c>
      <c r="B365" s="2" t="s">
        <v>1270</v>
      </c>
      <c r="C365" s="2" t="s">
        <v>203</v>
      </c>
      <c r="D365" s="2" t="s">
        <v>272</v>
      </c>
      <c r="E365" s="2" t="s">
        <v>228</v>
      </c>
      <c r="F365" s="2" t="s">
        <v>72</v>
      </c>
      <c r="G365" s="2">
        <v>14</v>
      </c>
      <c r="H365" s="2" t="s">
        <v>43</v>
      </c>
      <c r="I365" s="2" t="s">
        <v>74</v>
      </c>
      <c r="J365" s="2" t="s">
        <v>64</v>
      </c>
      <c r="K365" s="2" t="s">
        <v>44</v>
      </c>
      <c r="L365" s="13">
        <v>44144</v>
      </c>
      <c r="M365" s="2">
        <v>92</v>
      </c>
      <c r="N365" s="2">
        <v>75</v>
      </c>
      <c r="O365" s="2">
        <v>138</v>
      </c>
      <c r="P365" s="2">
        <v>876</v>
      </c>
      <c r="Q365" s="2">
        <v>1649</v>
      </c>
      <c r="R365" s="2">
        <v>305</v>
      </c>
      <c r="S365" s="2">
        <v>3666</v>
      </c>
      <c r="T365" s="2">
        <v>362</v>
      </c>
      <c r="U365" s="2">
        <v>174</v>
      </c>
      <c r="V365" s="12">
        <f>ABS(RPG_dataset[[#This Row],[Win Rate (%)]])</f>
        <v>91</v>
      </c>
      <c r="W365" s="2">
        <v>3904</v>
      </c>
      <c r="X365" s="9">
        <v>21529</v>
      </c>
      <c r="Y365" s="2" t="s">
        <v>46</v>
      </c>
      <c r="Z365" s="2">
        <v>474</v>
      </c>
      <c r="AA365" s="2" t="s">
        <v>1735</v>
      </c>
      <c r="AB365" s="2" t="b">
        <v>1</v>
      </c>
      <c r="AC365" s="2" t="s">
        <v>1730</v>
      </c>
      <c r="AD365" s="2" t="s">
        <v>1727</v>
      </c>
      <c r="AE365" s="2" t="s">
        <v>1728</v>
      </c>
      <c r="AF365" s="2" t="s">
        <v>1739</v>
      </c>
      <c r="AG365" s="28">
        <f>MAX(clean_data[[#This Row],[ATK]:[SPD]]) - MIN(clean_data[[#This Row],[ATK]:[SPD]])</f>
        <v>63</v>
      </c>
      <c r="AH365" s="28" t="str">
        <f>IF(clean_data[[#This Row],[Balanced Score]] = MIN(clean_data[Balanced Score]), "Most Balanced", "")</f>
        <v/>
      </c>
    </row>
    <row r="366" spans="1:34" x14ac:dyDescent="0.3">
      <c r="A366" s="2" t="s">
        <v>1272</v>
      </c>
      <c r="B366" s="2" t="s">
        <v>1273</v>
      </c>
      <c r="C366" s="2" t="s">
        <v>689</v>
      </c>
      <c r="D366" s="2" t="s">
        <v>139</v>
      </c>
      <c r="E366" s="2" t="s">
        <v>169</v>
      </c>
      <c r="F366" s="2" t="s">
        <v>72</v>
      </c>
      <c r="G366" s="2">
        <v>62</v>
      </c>
      <c r="H366" s="2" t="s">
        <v>31</v>
      </c>
      <c r="I366" s="2" t="s">
        <v>32</v>
      </c>
      <c r="J366" s="2" t="s">
        <v>163</v>
      </c>
      <c r="K366" s="2" t="s">
        <v>34</v>
      </c>
      <c r="L366" s="13">
        <v>45468</v>
      </c>
      <c r="M366" s="2">
        <v>135</v>
      </c>
      <c r="N366" s="2"/>
      <c r="O366" s="2">
        <v>139</v>
      </c>
      <c r="P366" s="2">
        <v>217</v>
      </c>
      <c r="Q366" s="2">
        <v>490</v>
      </c>
      <c r="R366" s="2">
        <v>356</v>
      </c>
      <c r="S366" s="2"/>
      <c r="T366" s="2">
        <v>697</v>
      </c>
      <c r="U366" s="2">
        <v>246</v>
      </c>
      <c r="V366" s="12">
        <f>ABS(RPG_dataset[[#This Row],[Win Rate (%)]])</f>
        <v>85</v>
      </c>
      <c r="W366" s="2">
        <v>5571</v>
      </c>
      <c r="X366" s="9">
        <v>237230</v>
      </c>
      <c r="Y366" s="2" t="s">
        <v>46</v>
      </c>
      <c r="Z366" s="2">
        <v>376</v>
      </c>
      <c r="AA366" s="2" t="s">
        <v>1725</v>
      </c>
      <c r="AB366" s="2" t="b">
        <v>0</v>
      </c>
      <c r="AC366" s="2" t="s">
        <v>1730</v>
      </c>
      <c r="AD366" s="2" t="s">
        <v>1727</v>
      </c>
      <c r="AE366" s="2" t="s">
        <v>1728</v>
      </c>
      <c r="AF366" s="2" t="s">
        <v>1739</v>
      </c>
      <c r="AG366" s="28">
        <f>MAX(clean_data[[#This Row],[ATK]:[SPD]]) - MIN(clean_data[[#This Row],[ATK]:[SPD]])</f>
        <v>4</v>
      </c>
      <c r="AH366" s="28" t="str">
        <f>IF(clean_data[[#This Row],[Balanced Score]] = MIN(clean_data[Balanced Score]), "Most Balanced", "")</f>
        <v/>
      </c>
    </row>
    <row r="367" spans="1:34" x14ac:dyDescent="0.3">
      <c r="A367" s="2" t="s">
        <v>1275</v>
      </c>
      <c r="B367" s="2" t="s">
        <v>1276</v>
      </c>
      <c r="C367" s="2" t="s">
        <v>58</v>
      </c>
      <c r="D367" s="2" t="s">
        <v>131</v>
      </c>
      <c r="E367" s="2" t="s">
        <v>169</v>
      </c>
      <c r="F367" s="2" t="s">
        <v>98</v>
      </c>
      <c r="G367" s="2">
        <v>7</v>
      </c>
      <c r="H367" s="2" t="s">
        <v>80</v>
      </c>
      <c r="I367" s="2" t="s">
        <v>140</v>
      </c>
      <c r="J367" s="2" t="s">
        <v>120</v>
      </c>
      <c r="K367" s="2" t="s">
        <v>44</v>
      </c>
      <c r="L367" s="13">
        <v>43856</v>
      </c>
      <c r="M367" s="2">
        <v>83</v>
      </c>
      <c r="N367" s="2">
        <v>37</v>
      </c>
      <c r="O367" s="2">
        <v>22</v>
      </c>
      <c r="P367" s="2">
        <v>1921</v>
      </c>
      <c r="Q367" s="2"/>
      <c r="R367" s="2">
        <v>142</v>
      </c>
      <c r="S367" s="2">
        <v>707</v>
      </c>
      <c r="T367" s="2">
        <v>827</v>
      </c>
      <c r="U367" s="2">
        <v>55</v>
      </c>
      <c r="V367" s="12">
        <f>ABS(RPG_dataset[[#This Row],[Win Rate (%)]])</f>
        <v>46</v>
      </c>
      <c r="W367" s="2">
        <v>5960</v>
      </c>
      <c r="X367" s="9">
        <v>650561</v>
      </c>
      <c r="Y367" s="2" t="s">
        <v>46</v>
      </c>
      <c r="Z367" s="2">
        <v>175</v>
      </c>
      <c r="AA367" s="2" t="s">
        <v>1735</v>
      </c>
      <c r="AB367" s="2" t="b">
        <v>1</v>
      </c>
      <c r="AC367" s="2" t="s">
        <v>1738</v>
      </c>
      <c r="AD367" s="2" t="s">
        <v>1727</v>
      </c>
      <c r="AE367" s="2" t="s">
        <v>1742</v>
      </c>
      <c r="AF367" s="2" t="s">
        <v>1740</v>
      </c>
      <c r="AG367" s="28">
        <f>MAX(clean_data[[#This Row],[ATK]:[SPD]]) - MIN(clean_data[[#This Row],[ATK]:[SPD]])</f>
        <v>61</v>
      </c>
      <c r="AH367" s="28" t="str">
        <f>IF(clean_data[[#This Row],[Balanced Score]] = MIN(clean_data[Balanced Score]), "Most Balanced", "")</f>
        <v/>
      </c>
    </row>
    <row r="368" spans="1:34" x14ac:dyDescent="0.3">
      <c r="A368" s="2" t="s">
        <v>1278</v>
      </c>
      <c r="B368" s="2" t="s">
        <v>1279</v>
      </c>
      <c r="C368" s="2" t="s">
        <v>339</v>
      </c>
      <c r="D368" s="2" t="s">
        <v>131</v>
      </c>
      <c r="E368" s="2" t="s">
        <v>71</v>
      </c>
      <c r="F368" s="2" t="s">
        <v>72</v>
      </c>
      <c r="G368" s="2">
        <v>58</v>
      </c>
      <c r="H368" s="2" t="s">
        <v>125</v>
      </c>
      <c r="I368" s="2" t="s">
        <v>126</v>
      </c>
      <c r="J368" s="2" t="s">
        <v>64</v>
      </c>
      <c r="K368" s="2" t="s">
        <v>44</v>
      </c>
      <c r="L368" s="13">
        <v>45620</v>
      </c>
      <c r="M368" s="2">
        <v>71</v>
      </c>
      <c r="N368" s="2">
        <v>107</v>
      </c>
      <c r="O368" s="2">
        <v>134</v>
      </c>
      <c r="P368" s="2">
        <v>648</v>
      </c>
      <c r="Q368" s="2">
        <v>1291</v>
      </c>
      <c r="R368" s="2">
        <v>312</v>
      </c>
      <c r="S368" s="2">
        <v>1045</v>
      </c>
      <c r="T368" s="2">
        <v>814</v>
      </c>
      <c r="U368" s="2">
        <v>72</v>
      </c>
      <c r="V368" s="12">
        <f>ABS(RPG_dataset[[#This Row],[Win Rate (%)]])</f>
        <v>56</v>
      </c>
      <c r="W368" s="2">
        <v>6177</v>
      </c>
      <c r="X368" s="9">
        <v>348435</v>
      </c>
      <c r="Y368" s="2" t="s">
        <v>36</v>
      </c>
      <c r="Z368" s="2">
        <v>330</v>
      </c>
      <c r="AA368" s="2" t="s">
        <v>1725</v>
      </c>
      <c r="AB368" s="2" t="b">
        <v>1</v>
      </c>
      <c r="AC368" s="2" t="s">
        <v>1738</v>
      </c>
      <c r="AD368" s="2" t="s">
        <v>1727</v>
      </c>
      <c r="AE368" s="2" t="s">
        <v>1728</v>
      </c>
      <c r="AF368" s="2" t="s">
        <v>1739</v>
      </c>
      <c r="AG368" s="28">
        <f>MAX(clean_data[[#This Row],[ATK]:[SPD]]) - MIN(clean_data[[#This Row],[ATK]:[SPD]])</f>
        <v>63</v>
      </c>
      <c r="AH368" s="28" t="str">
        <f>IF(clean_data[[#This Row],[Balanced Score]] = MIN(clean_data[Balanced Score]), "Most Balanced", "")</f>
        <v/>
      </c>
    </row>
    <row r="369" spans="1:34" x14ac:dyDescent="0.3">
      <c r="A369" s="2" t="s">
        <v>1281</v>
      </c>
      <c r="B369" s="2" t="s">
        <v>1282</v>
      </c>
      <c r="C369" s="2" t="s">
        <v>296</v>
      </c>
      <c r="D369" s="2" t="s">
        <v>162</v>
      </c>
      <c r="E369" s="2" t="s">
        <v>41</v>
      </c>
      <c r="F369" s="2" t="s">
        <v>75</v>
      </c>
      <c r="G369" s="2">
        <v>71</v>
      </c>
      <c r="H369" s="2" t="s">
        <v>43</v>
      </c>
      <c r="I369" s="2" t="s">
        <v>126</v>
      </c>
      <c r="J369" s="2" t="s">
        <v>88</v>
      </c>
      <c r="K369" s="2" t="s">
        <v>99</v>
      </c>
      <c r="L369" s="13">
        <v>43428</v>
      </c>
      <c r="M369" s="2">
        <v>125</v>
      </c>
      <c r="N369" s="2">
        <v>26</v>
      </c>
      <c r="O369" s="2">
        <v>34</v>
      </c>
      <c r="P369" s="2">
        <v>4874</v>
      </c>
      <c r="Q369" s="2">
        <v>590</v>
      </c>
      <c r="R369" s="2">
        <v>185</v>
      </c>
      <c r="S369" s="2">
        <v>4422</v>
      </c>
      <c r="T369" s="2">
        <v>931</v>
      </c>
      <c r="U369" s="2">
        <v>290</v>
      </c>
      <c r="V369" s="12">
        <f>ABS(RPG_dataset[[#This Row],[Win Rate (%)]])</f>
        <v>83</v>
      </c>
      <c r="W369" s="2">
        <v>6354</v>
      </c>
      <c r="X369" s="9">
        <v>818030</v>
      </c>
      <c r="Y369" s="2" t="s">
        <v>46</v>
      </c>
      <c r="Z369" s="2">
        <v>96</v>
      </c>
      <c r="AA369" s="2" t="s">
        <v>1725</v>
      </c>
      <c r="AB369" s="2" t="b">
        <v>0</v>
      </c>
      <c r="AC369" s="2" t="s">
        <v>1730</v>
      </c>
      <c r="AD369" s="2" t="s">
        <v>1727</v>
      </c>
      <c r="AE369" s="2" t="s">
        <v>1728</v>
      </c>
      <c r="AF369" s="2" t="s">
        <v>1729</v>
      </c>
      <c r="AG369" s="28">
        <f>MAX(clean_data[[#This Row],[ATK]:[SPD]]) - MIN(clean_data[[#This Row],[ATK]:[SPD]])</f>
        <v>99</v>
      </c>
      <c r="AH369" s="28" t="str">
        <f>IF(clean_data[[#This Row],[Balanced Score]] = MIN(clean_data[Balanced Score]), "Most Balanced", "")</f>
        <v/>
      </c>
    </row>
    <row r="370" spans="1:34" x14ac:dyDescent="0.3">
      <c r="A370" s="2" t="s">
        <v>1283</v>
      </c>
      <c r="B370" s="2" t="s">
        <v>513</v>
      </c>
      <c r="C370" s="2" t="s">
        <v>203</v>
      </c>
      <c r="D370" s="2" t="s">
        <v>304</v>
      </c>
      <c r="E370" s="2" t="s">
        <v>105</v>
      </c>
      <c r="F370" s="2" t="s">
        <v>124</v>
      </c>
      <c r="G370" s="2">
        <v>35</v>
      </c>
      <c r="H370" s="2" t="s">
        <v>53</v>
      </c>
      <c r="I370" s="2" t="s">
        <v>63</v>
      </c>
      <c r="J370" s="2" t="s">
        <v>88</v>
      </c>
      <c r="K370" s="2" t="s">
        <v>44</v>
      </c>
      <c r="L370" s="13">
        <v>43549</v>
      </c>
      <c r="M370" s="2">
        <v>77</v>
      </c>
      <c r="N370" s="2">
        <v>100</v>
      </c>
      <c r="O370" s="2">
        <v>113</v>
      </c>
      <c r="P370" s="2">
        <v>1162</v>
      </c>
      <c r="Q370" s="2">
        <v>1317</v>
      </c>
      <c r="R370" s="2">
        <v>290</v>
      </c>
      <c r="S370" s="2">
        <v>3328</v>
      </c>
      <c r="T370" s="2">
        <v>677</v>
      </c>
      <c r="U370" s="2">
        <v>96</v>
      </c>
      <c r="V370" s="12">
        <f>ABS(RPG_dataset[[#This Row],[Win Rate (%)]])</f>
        <v>83</v>
      </c>
      <c r="W370" s="2">
        <v>8374</v>
      </c>
      <c r="X370" s="9">
        <v>357594</v>
      </c>
      <c r="Y370" s="2" t="s">
        <v>36</v>
      </c>
      <c r="Z370" s="2">
        <v>327</v>
      </c>
      <c r="AA370" s="2" t="s">
        <v>1733</v>
      </c>
      <c r="AB370" s="2" t="b">
        <v>1</v>
      </c>
      <c r="AC370" s="2" t="s">
        <v>1730</v>
      </c>
      <c r="AD370" s="2" t="s">
        <v>1727</v>
      </c>
      <c r="AE370" s="2" t="s">
        <v>1728</v>
      </c>
      <c r="AF370" s="2" t="s">
        <v>1736</v>
      </c>
      <c r="AG370" s="28">
        <f>MAX(clean_data[[#This Row],[ATK]:[SPD]]) - MIN(clean_data[[#This Row],[ATK]:[SPD]])</f>
        <v>36</v>
      </c>
      <c r="AH370" s="28" t="str">
        <f>IF(clean_data[[#This Row],[Balanced Score]] = MIN(clean_data[Balanced Score]), "Most Balanced", "")</f>
        <v/>
      </c>
    </row>
    <row r="371" spans="1:34" x14ac:dyDescent="0.3">
      <c r="A371" s="2" t="s">
        <v>1285</v>
      </c>
      <c r="B371" s="2" t="s">
        <v>1286</v>
      </c>
      <c r="C371" s="2" t="s">
        <v>296</v>
      </c>
      <c r="D371" s="2" t="s">
        <v>144</v>
      </c>
      <c r="E371" s="2" t="s">
        <v>29</v>
      </c>
      <c r="F371" s="2" t="s">
        <v>72</v>
      </c>
      <c r="G371" s="2">
        <v>21</v>
      </c>
      <c r="H371" s="2" t="s">
        <v>31</v>
      </c>
      <c r="I371" s="2" t="s">
        <v>54</v>
      </c>
      <c r="J371" s="2" t="s">
        <v>120</v>
      </c>
      <c r="K371" s="2" t="s">
        <v>44</v>
      </c>
      <c r="L371" s="13">
        <v>44428</v>
      </c>
      <c r="M371" s="2">
        <v>71</v>
      </c>
      <c r="N371" s="2">
        <v>13</v>
      </c>
      <c r="O371" s="2">
        <v>109</v>
      </c>
      <c r="P371" s="2"/>
      <c r="Q371" s="2">
        <v>1343</v>
      </c>
      <c r="R371" s="2">
        <v>193</v>
      </c>
      <c r="S371" s="2">
        <v>2290</v>
      </c>
      <c r="T371" s="2">
        <v>787</v>
      </c>
      <c r="U371" s="2">
        <v>85</v>
      </c>
      <c r="V371" s="12">
        <f>ABS(RPG_dataset[[#This Row],[Win Rate (%)]])</f>
        <v>74</v>
      </c>
      <c r="W371" s="2">
        <v>7353</v>
      </c>
      <c r="X371" s="9">
        <v>486533</v>
      </c>
      <c r="Y371" s="2" t="s">
        <v>36</v>
      </c>
      <c r="Z371" s="2">
        <v>261</v>
      </c>
      <c r="AA371" s="2" t="s">
        <v>1735</v>
      </c>
      <c r="AB371" s="2" t="b">
        <v>1</v>
      </c>
      <c r="AC371" s="2" t="s">
        <v>1730</v>
      </c>
      <c r="AD371" s="2" t="s">
        <v>1727</v>
      </c>
      <c r="AE371" s="2" t="s">
        <v>1728</v>
      </c>
      <c r="AF371" s="2" t="s">
        <v>1736</v>
      </c>
      <c r="AG371" s="28">
        <f>MAX(clean_data[[#This Row],[ATK]:[SPD]]) - MIN(clean_data[[#This Row],[ATK]:[SPD]])</f>
        <v>96</v>
      </c>
      <c r="AH371" s="28" t="str">
        <f>IF(clean_data[[#This Row],[Balanced Score]] = MIN(clean_data[Balanced Score]), "Most Balanced", "")</f>
        <v/>
      </c>
    </row>
    <row r="372" spans="1:34" x14ac:dyDescent="0.3">
      <c r="A372" s="2" t="s">
        <v>1288</v>
      </c>
      <c r="B372" s="2" t="s">
        <v>1289</v>
      </c>
      <c r="C372" s="2" t="s">
        <v>49</v>
      </c>
      <c r="D372" s="2" t="s">
        <v>139</v>
      </c>
      <c r="E372" s="2" t="s">
        <v>29</v>
      </c>
      <c r="F372" s="2" t="s">
        <v>52</v>
      </c>
      <c r="G372" s="2">
        <v>17</v>
      </c>
      <c r="H372" s="2" t="s">
        <v>53</v>
      </c>
      <c r="I372" s="2" t="s">
        <v>87</v>
      </c>
      <c r="J372" s="2" t="s">
        <v>81</v>
      </c>
      <c r="K372" s="2" t="s">
        <v>44</v>
      </c>
      <c r="L372" s="13">
        <v>45057</v>
      </c>
      <c r="M372" s="2">
        <v>109</v>
      </c>
      <c r="N372" s="2">
        <v>150</v>
      </c>
      <c r="O372" s="2">
        <v>74</v>
      </c>
      <c r="P372" s="2">
        <v>3700</v>
      </c>
      <c r="Q372" s="2">
        <v>1613</v>
      </c>
      <c r="R372" s="2">
        <v>333</v>
      </c>
      <c r="S372" s="2">
        <v>3886</v>
      </c>
      <c r="T372" s="2">
        <v>698</v>
      </c>
      <c r="U372" s="2">
        <v>153</v>
      </c>
      <c r="V372" s="12">
        <f>ABS(RPG_dataset[[#This Row],[Win Rate (%)]])</f>
        <v>85</v>
      </c>
      <c r="W372" s="2">
        <v>6063</v>
      </c>
      <c r="X372" s="9">
        <v>345899</v>
      </c>
      <c r="Y372" s="2" t="s">
        <v>36</v>
      </c>
      <c r="Z372" s="2">
        <v>332</v>
      </c>
      <c r="AA372" s="2" t="s">
        <v>1735</v>
      </c>
      <c r="AB372" s="2" t="b">
        <v>1</v>
      </c>
      <c r="AC372" s="2" t="s">
        <v>1730</v>
      </c>
      <c r="AD372" s="2" t="s">
        <v>1727</v>
      </c>
      <c r="AE372" s="2" t="s">
        <v>1728</v>
      </c>
      <c r="AF372" s="2" t="s">
        <v>1734</v>
      </c>
      <c r="AG372" s="28">
        <f>MAX(clean_data[[#This Row],[ATK]:[SPD]]) - MIN(clean_data[[#This Row],[ATK]:[SPD]])</f>
        <v>76</v>
      </c>
      <c r="AH372" s="28" t="str">
        <f>IF(clean_data[[#This Row],[Balanced Score]] = MIN(clean_data[Balanced Score]), "Most Balanced", "")</f>
        <v/>
      </c>
    </row>
    <row r="373" spans="1:34" x14ac:dyDescent="0.3">
      <c r="A373" s="2" t="s">
        <v>1291</v>
      </c>
      <c r="B373" s="2" t="s">
        <v>1292</v>
      </c>
      <c r="C373" s="2" t="s">
        <v>507</v>
      </c>
      <c r="D373" s="2" t="s">
        <v>155</v>
      </c>
      <c r="E373" s="2" t="s">
        <v>71</v>
      </c>
      <c r="F373" s="2" t="s">
        <v>30</v>
      </c>
      <c r="G373" s="2">
        <v>56</v>
      </c>
      <c r="H373" s="2" t="s">
        <v>157</v>
      </c>
      <c r="I373" s="2" t="s">
        <v>63</v>
      </c>
      <c r="J373" s="2" t="s">
        <v>33</v>
      </c>
      <c r="K373" s="2" t="s">
        <v>106</v>
      </c>
      <c r="L373" s="13">
        <v>44897</v>
      </c>
      <c r="M373" s="2">
        <v>98</v>
      </c>
      <c r="N373" s="2">
        <v>29</v>
      </c>
      <c r="O373" s="2">
        <v>100</v>
      </c>
      <c r="P373" s="2">
        <v>1988</v>
      </c>
      <c r="Q373" s="2">
        <v>584</v>
      </c>
      <c r="R373" s="2">
        <v>227</v>
      </c>
      <c r="S373" s="2">
        <v>3195</v>
      </c>
      <c r="T373" s="2">
        <v>58</v>
      </c>
      <c r="U373" s="2">
        <v>207</v>
      </c>
      <c r="V373" s="12">
        <f>ABS(RPG_dataset[[#This Row],[Win Rate (%)]])</f>
        <v>98</v>
      </c>
      <c r="W373" s="2">
        <v>5710</v>
      </c>
      <c r="X373" s="9">
        <v>796644</v>
      </c>
      <c r="Y373" s="2" t="s">
        <v>46</v>
      </c>
      <c r="Z373" s="2">
        <v>107</v>
      </c>
      <c r="AA373" s="2" t="s">
        <v>1725</v>
      </c>
      <c r="AB373" s="2" t="b">
        <v>0</v>
      </c>
      <c r="AC373" s="2" t="s">
        <v>1730</v>
      </c>
      <c r="AD373" s="2" t="s">
        <v>1727</v>
      </c>
      <c r="AE373" s="2" t="s">
        <v>1728</v>
      </c>
      <c r="AF373" s="2" t="s">
        <v>1736</v>
      </c>
      <c r="AG373" s="28">
        <f>MAX(clean_data[[#This Row],[ATK]:[SPD]]) - MIN(clean_data[[#This Row],[ATK]:[SPD]])</f>
        <v>71</v>
      </c>
      <c r="AH373" s="28" t="str">
        <f>IF(clean_data[[#This Row],[Balanced Score]] = MIN(clean_data[Balanced Score]), "Most Balanced", "")</f>
        <v/>
      </c>
    </row>
    <row r="374" spans="1:34" x14ac:dyDescent="0.3">
      <c r="A374" s="2" t="s">
        <v>1295</v>
      </c>
      <c r="B374" s="2" t="s">
        <v>1296</v>
      </c>
      <c r="C374" s="2" t="s">
        <v>720</v>
      </c>
      <c r="D374" s="2" t="s">
        <v>234</v>
      </c>
      <c r="E374" s="2" t="s">
        <v>71</v>
      </c>
      <c r="F374" s="2" t="s">
        <v>98</v>
      </c>
      <c r="G374" s="2">
        <v>17</v>
      </c>
      <c r="H374" s="2" t="s">
        <v>125</v>
      </c>
      <c r="I374" s="2" t="s">
        <v>126</v>
      </c>
      <c r="J374" s="2" t="s">
        <v>33</v>
      </c>
      <c r="K374" s="2" t="s">
        <v>44</v>
      </c>
      <c r="L374" s="13">
        <v>45253</v>
      </c>
      <c r="M374" s="2">
        <v>30</v>
      </c>
      <c r="N374" s="2">
        <v>137</v>
      </c>
      <c r="O374" s="2">
        <v>103</v>
      </c>
      <c r="P374" s="2"/>
      <c r="Q374" s="2">
        <v>1507</v>
      </c>
      <c r="R374" s="2">
        <v>270</v>
      </c>
      <c r="S374" s="2">
        <v>3544</v>
      </c>
      <c r="T374" s="2">
        <v>979</v>
      </c>
      <c r="U374" s="2">
        <v>214</v>
      </c>
      <c r="V374" s="12">
        <f>ABS(RPG_dataset[[#This Row],[Win Rate (%)]])</f>
        <v>78</v>
      </c>
      <c r="W374" s="2">
        <v>5480</v>
      </c>
      <c r="X374" s="9">
        <v>27840</v>
      </c>
      <c r="Y374" s="2" t="s">
        <v>46</v>
      </c>
      <c r="Z374" s="2">
        <v>468</v>
      </c>
      <c r="AA374" s="2" t="s">
        <v>1735</v>
      </c>
      <c r="AB374" s="2" t="b">
        <v>1</v>
      </c>
      <c r="AC374" s="2" t="s">
        <v>1730</v>
      </c>
      <c r="AD374" s="2" t="s">
        <v>1727</v>
      </c>
      <c r="AE374" s="2" t="s">
        <v>1728</v>
      </c>
      <c r="AF374" s="2" t="s">
        <v>1736</v>
      </c>
      <c r="AG374" s="28">
        <f>MAX(clean_data[[#This Row],[ATK]:[SPD]]) - MIN(clean_data[[#This Row],[ATK]:[SPD]])</f>
        <v>107</v>
      </c>
      <c r="AH374" s="28" t="str">
        <f>IF(clean_data[[#This Row],[Balanced Score]] = MIN(clean_data[Balanced Score]), "Most Balanced", "")</f>
        <v/>
      </c>
    </row>
    <row r="375" spans="1:34" x14ac:dyDescent="0.3">
      <c r="A375" s="2" t="s">
        <v>1298</v>
      </c>
      <c r="B375" s="2" t="s">
        <v>1299</v>
      </c>
      <c r="C375" s="2" t="s">
        <v>123</v>
      </c>
      <c r="D375" s="2" t="s">
        <v>162</v>
      </c>
      <c r="E375" s="2" t="s">
        <v>60</v>
      </c>
      <c r="F375" s="2" t="s">
        <v>124</v>
      </c>
      <c r="G375" s="2">
        <v>78</v>
      </c>
      <c r="H375" s="2" t="s">
        <v>31</v>
      </c>
      <c r="I375" s="2" t="s">
        <v>87</v>
      </c>
      <c r="J375" s="2" t="s">
        <v>92</v>
      </c>
      <c r="K375" s="2" t="s">
        <v>44</v>
      </c>
      <c r="L375" s="13">
        <v>44387</v>
      </c>
      <c r="M375" s="2">
        <v>14</v>
      </c>
      <c r="N375" s="2">
        <v>125</v>
      </c>
      <c r="O375" s="2"/>
      <c r="P375" s="2">
        <v>1780</v>
      </c>
      <c r="Q375" s="2">
        <v>1583</v>
      </c>
      <c r="R375" s="2">
        <v>168</v>
      </c>
      <c r="S375" s="2">
        <v>4724</v>
      </c>
      <c r="T375" s="2">
        <v>947</v>
      </c>
      <c r="U375" s="2">
        <v>219</v>
      </c>
      <c r="V375" s="12">
        <f>ABS(RPG_dataset[[#This Row],[Win Rate (%)]])</f>
        <v>83</v>
      </c>
      <c r="W375" s="2">
        <v>9146</v>
      </c>
      <c r="X375" s="9">
        <v>454404</v>
      </c>
      <c r="Y375" s="2" t="s">
        <v>36</v>
      </c>
      <c r="Z375" s="2">
        <v>277</v>
      </c>
      <c r="AA375" s="2" t="s">
        <v>1737</v>
      </c>
      <c r="AB375" s="2" t="b">
        <v>1</v>
      </c>
      <c r="AC375" s="2" t="s">
        <v>1730</v>
      </c>
      <c r="AD375" s="2" t="s">
        <v>1727</v>
      </c>
      <c r="AE375" s="2" t="s">
        <v>1731</v>
      </c>
      <c r="AF375" s="2" t="s">
        <v>1729</v>
      </c>
      <c r="AG375" s="28">
        <f>MAX(clean_data[[#This Row],[ATK]:[SPD]]) - MIN(clean_data[[#This Row],[ATK]:[SPD]])</f>
        <v>111</v>
      </c>
      <c r="AH375" s="28" t="str">
        <f>IF(clean_data[[#This Row],[Balanced Score]] = MIN(clean_data[Balanced Score]), "Most Balanced", "")</f>
        <v/>
      </c>
    </row>
    <row r="376" spans="1:34" x14ac:dyDescent="0.3">
      <c r="A376" s="2" t="s">
        <v>1301</v>
      </c>
      <c r="B376" s="2" t="s">
        <v>1302</v>
      </c>
      <c r="C376" s="2" t="s">
        <v>339</v>
      </c>
      <c r="D376" s="2" t="s">
        <v>250</v>
      </c>
      <c r="E376" s="2" t="s">
        <v>105</v>
      </c>
      <c r="F376" s="2" t="s">
        <v>72</v>
      </c>
      <c r="G376" s="2">
        <v>92</v>
      </c>
      <c r="H376" s="2" t="s">
        <v>62</v>
      </c>
      <c r="I376" s="2" t="s">
        <v>87</v>
      </c>
      <c r="J376" s="2" t="s">
        <v>88</v>
      </c>
      <c r="K376" s="2" t="s">
        <v>44</v>
      </c>
      <c r="L376" s="13">
        <v>44824</v>
      </c>
      <c r="M376" s="2">
        <v>149</v>
      </c>
      <c r="N376" s="2">
        <v>75</v>
      </c>
      <c r="O376" s="2">
        <v>94</v>
      </c>
      <c r="P376" s="2">
        <v>4905</v>
      </c>
      <c r="Q376" s="2">
        <v>220</v>
      </c>
      <c r="R376" s="2"/>
      <c r="S376" s="2">
        <v>3977</v>
      </c>
      <c r="T376" s="2">
        <v>246</v>
      </c>
      <c r="U376" s="2">
        <v>209</v>
      </c>
      <c r="V376" s="12">
        <f>ABS(RPG_dataset[[#This Row],[Win Rate (%)]])</f>
        <v>94</v>
      </c>
      <c r="W376" s="2">
        <v>5086</v>
      </c>
      <c r="X376" s="9">
        <v>760001</v>
      </c>
      <c r="Y376" s="2" t="s">
        <v>36</v>
      </c>
      <c r="Z376" s="2">
        <v>124</v>
      </c>
      <c r="AA376" s="2" t="s">
        <v>1737</v>
      </c>
      <c r="AB376" s="2" t="b">
        <v>1</v>
      </c>
      <c r="AC376" s="2" t="s">
        <v>1730</v>
      </c>
      <c r="AD376" s="2" t="s">
        <v>1727</v>
      </c>
      <c r="AE376" s="2" t="s">
        <v>1731</v>
      </c>
      <c r="AF376" s="2" t="s">
        <v>1736</v>
      </c>
      <c r="AG376" s="28">
        <f>MAX(clean_data[[#This Row],[ATK]:[SPD]]) - MIN(clean_data[[#This Row],[ATK]:[SPD]])</f>
        <v>74</v>
      </c>
      <c r="AH376" s="28" t="str">
        <f>IF(clean_data[[#This Row],[Balanced Score]] = MIN(clean_data[Balanced Score]), "Most Balanced", "")</f>
        <v/>
      </c>
    </row>
    <row r="377" spans="1:34" x14ac:dyDescent="0.3">
      <c r="A377" s="2" t="s">
        <v>1303</v>
      </c>
      <c r="B377" s="2" t="s">
        <v>1304</v>
      </c>
      <c r="C377" s="2" t="s">
        <v>367</v>
      </c>
      <c r="D377" s="2" t="s">
        <v>28</v>
      </c>
      <c r="E377" s="2" t="s">
        <v>75</v>
      </c>
      <c r="F377" s="2" t="s">
        <v>98</v>
      </c>
      <c r="G377" s="2">
        <v>100</v>
      </c>
      <c r="H377" s="2" t="s">
        <v>80</v>
      </c>
      <c r="I377" s="2" t="s">
        <v>63</v>
      </c>
      <c r="J377" s="2" t="s">
        <v>120</v>
      </c>
      <c r="K377" s="2" t="s">
        <v>44</v>
      </c>
      <c r="L377" s="13">
        <v>45446</v>
      </c>
      <c r="M377" s="2"/>
      <c r="N377" s="2"/>
      <c r="O377" s="2">
        <v>143</v>
      </c>
      <c r="P377" s="2">
        <v>2062</v>
      </c>
      <c r="Q377" s="2">
        <v>1612</v>
      </c>
      <c r="R377" s="2">
        <v>323</v>
      </c>
      <c r="S377" s="2">
        <v>2211</v>
      </c>
      <c r="T377" s="2">
        <v>234</v>
      </c>
      <c r="U377" s="2">
        <v>83</v>
      </c>
      <c r="V377" s="12">
        <f>ABS(RPG_dataset[[#This Row],[Win Rate (%)]])</f>
        <v>90</v>
      </c>
      <c r="W377" s="2">
        <v>5034</v>
      </c>
      <c r="X377" s="9">
        <v>904527</v>
      </c>
      <c r="Y377" s="2" t="s">
        <v>46</v>
      </c>
      <c r="Z377" s="2">
        <v>50</v>
      </c>
      <c r="AA377" s="2" t="s">
        <v>1737</v>
      </c>
      <c r="AB377" s="2" t="b">
        <v>1</v>
      </c>
      <c r="AC377" s="2" t="s">
        <v>1730</v>
      </c>
      <c r="AD377" s="2" t="s">
        <v>1727</v>
      </c>
      <c r="AE377" s="2" t="s">
        <v>1728</v>
      </c>
      <c r="AF377" s="2" t="s">
        <v>1736</v>
      </c>
      <c r="AG377" s="28">
        <f>MAX(clean_data[[#This Row],[ATK]:[SPD]]) - MIN(clean_data[[#This Row],[ATK]:[SPD]])</f>
        <v>0</v>
      </c>
      <c r="AH377" s="28" t="str">
        <f>IF(clean_data[[#This Row],[Balanced Score]] = MIN(clean_data[Balanced Score]), "Most Balanced", "")</f>
        <v>Most Balanced</v>
      </c>
    </row>
    <row r="378" spans="1:34" x14ac:dyDescent="0.3">
      <c r="A378" s="2" t="s">
        <v>1305</v>
      </c>
      <c r="B378" s="2" t="s">
        <v>1306</v>
      </c>
      <c r="C378" s="2" t="s">
        <v>123</v>
      </c>
      <c r="D378" s="2" t="s">
        <v>139</v>
      </c>
      <c r="E378" s="2" t="s">
        <v>105</v>
      </c>
      <c r="F378" s="2" t="s">
        <v>30</v>
      </c>
      <c r="G378" s="2">
        <v>56</v>
      </c>
      <c r="H378" s="2" t="s">
        <v>125</v>
      </c>
      <c r="I378" s="2" t="s">
        <v>54</v>
      </c>
      <c r="J378" s="2" t="s">
        <v>64</v>
      </c>
      <c r="K378" s="2" t="s">
        <v>34</v>
      </c>
      <c r="L378" s="13">
        <v>44019</v>
      </c>
      <c r="M378" s="2">
        <v>106</v>
      </c>
      <c r="N378" s="2">
        <v>120</v>
      </c>
      <c r="O378" s="2">
        <v>40</v>
      </c>
      <c r="P378" s="2">
        <v>4229</v>
      </c>
      <c r="Q378" s="2">
        <v>2700</v>
      </c>
      <c r="R378" s="2">
        <v>266</v>
      </c>
      <c r="S378" s="2">
        <v>2719</v>
      </c>
      <c r="T378" s="2">
        <v>284</v>
      </c>
      <c r="U378" s="2">
        <v>182</v>
      </c>
      <c r="V378" s="12">
        <f>ABS(RPG_dataset[[#This Row],[Win Rate (%)]])</f>
        <v>91</v>
      </c>
      <c r="W378" s="2">
        <v>4785</v>
      </c>
      <c r="X378" s="9">
        <v>707551</v>
      </c>
      <c r="Y378" s="2" t="s">
        <v>46</v>
      </c>
      <c r="Z378" s="2">
        <v>146</v>
      </c>
      <c r="AA378" s="2" t="s">
        <v>1725</v>
      </c>
      <c r="AB378" s="2" t="b">
        <v>0</v>
      </c>
      <c r="AC378" s="2" t="s">
        <v>1730</v>
      </c>
      <c r="AD378" s="2" t="s">
        <v>1727</v>
      </c>
      <c r="AE378" s="2" t="s">
        <v>1728</v>
      </c>
      <c r="AF378" s="2" t="s">
        <v>1734</v>
      </c>
      <c r="AG378" s="28">
        <f>MAX(clean_data[[#This Row],[ATK]:[SPD]]) - MIN(clean_data[[#This Row],[ATK]:[SPD]])</f>
        <v>80</v>
      </c>
      <c r="AH378" s="28" t="str">
        <f>IF(clean_data[[#This Row],[Balanced Score]] = MIN(clean_data[Balanced Score]), "Most Balanced", "")</f>
        <v/>
      </c>
    </row>
    <row r="379" spans="1:34" x14ac:dyDescent="0.3">
      <c r="A379" s="2" t="s">
        <v>1308</v>
      </c>
      <c r="B379" s="2" t="s">
        <v>1309</v>
      </c>
      <c r="C379" s="2" t="s">
        <v>39</v>
      </c>
      <c r="D379" s="2" t="s">
        <v>401</v>
      </c>
      <c r="E379" s="2" t="s">
        <v>228</v>
      </c>
      <c r="F379" s="2" t="s">
        <v>72</v>
      </c>
      <c r="G379" s="2">
        <v>97</v>
      </c>
      <c r="H379" s="2" t="s">
        <v>43</v>
      </c>
      <c r="I379" s="2" t="s">
        <v>140</v>
      </c>
      <c r="J379" s="2" t="s">
        <v>33</v>
      </c>
      <c r="K379" s="2" t="s">
        <v>44</v>
      </c>
      <c r="L379" s="13">
        <v>43485</v>
      </c>
      <c r="M379" s="2"/>
      <c r="N379" s="2">
        <v>108</v>
      </c>
      <c r="O379" s="2">
        <v>14</v>
      </c>
      <c r="P379" s="2">
        <v>2519</v>
      </c>
      <c r="Q379" s="2">
        <v>1424</v>
      </c>
      <c r="R379" s="2">
        <v>148</v>
      </c>
      <c r="S379" s="2">
        <v>1476</v>
      </c>
      <c r="T379" s="2">
        <v>799</v>
      </c>
      <c r="U379" s="2">
        <v>83</v>
      </c>
      <c r="V379" s="12">
        <f>ABS(RPG_dataset[[#This Row],[Win Rate (%)]])</f>
        <v>65</v>
      </c>
      <c r="W379" s="2">
        <v>6466</v>
      </c>
      <c r="X379" s="9">
        <v>751945</v>
      </c>
      <c r="Y379" s="2" t="s">
        <v>46</v>
      </c>
      <c r="Z379" s="2">
        <v>128</v>
      </c>
      <c r="AA379" s="2" t="s">
        <v>1737</v>
      </c>
      <c r="AB379" s="2" t="b">
        <v>1</v>
      </c>
      <c r="AC379" s="2" t="s">
        <v>1738</v>
      </c>
      <c r="AD379" s="2" t="s">
        <v>1727</v>
      </c>
      <c r="AE379" s="2" t="s">
        <v>1728</v>
      </c>
      <c r="AF379" s="2" t="s">
        <v>1740</v>
      </c>
      <c r="AG379" s="28">
        <f>MAX(clean_data[[#This Row],[ATK]:[SPD]]) - MIN(clean_data[[#This Row],[ATK]:[SPD]])</f>
        <v>94</v>
      </c>
      <c r="AH379" s="28" t="str">
        <f>IF(clean_data[[#This Row],[Balanced Score]] = MIN(clean_data[Balanced Score]), "Most Balanced", "")</f>
        <v/>
      </c>
    </row>
    <row r="380" spans="1:34" x14ac:dyDescent="0.3">
      <c r="A380" s="2" t="s">
        <v>1311</v>
      </c>
      <c r="B380" s="2" t="s">
        <v>1312</v>
      </c>
      <c r="C380" s="2" t="s">
        <v>314</v>
      </c>
      <c r="D380" s="2" t="s">
        <v>119</v>
      </c>
      <c r="E380" s="2" t="s">
        <v>51</v>
      </c>
      <c r="F380" s="2" t="s">
        <v>72</v>
      </c>
      <c r="G380" s="2">
        <v>40</v>
      </c>
      <c r="H380" s="2" t="s">
        <v>31</v>
      </c>
      <c r="I380" s="2" t="s">
        <v>87</v>
      </c>
      <c r="J380" s="2" t="s">
        <v>120</v>
      </c>
      <c r="K380" s="2" t="s">
        <v>44</v>
      </c>
      <c r="L380" s="13">
        <v>43432</v>
      </c>
      <c r="M380" s="2">
        <v>42</v>
      </c>
      <c r="N380" s="2">
        <v>19</v>
      </c>
      <c r="O380" s="2">
        <v>95</v>
      </c>
      <c r="P380" s="2">
        <v>2842</v>
      </c>
      <c r="Q380" s="2">
        <v>2721</v>
      </c>
      <c r="R380" s="2">
        <v>156</v>
      </c>
      <c r="S380" s="2">
        <v>282</v>
      </c>
      <c r="T380" s="2">
        <v>232</v>
      </c>
      <c r="U380" s="2">
        <v>228</v>
      </c>
      <c r="V380" s="12">
        <f>ABS(RPG_dataset[[#This Row],[Win Rate (%)]])</f>
        <v>55</v>
      </c>
      <c r="W380" s="2">
        <v>4345</v>
      </c>
      <c r="X380" s="9">
        <v>282526</v>
      </c>
      <c r="Y380" s="2" t="s">
        <v>46</v>
      </c>
      <c r="Z380" s="2">
        <v>360</v>
      </c>
      <c r="AA380" s="2" t="s">
        <v>1733</v>
      </c>
      <c r="AB380" s="2" t="b">
        <v>1</v>
      </c>
      <c r="AC380" s="2" t="s">
        <v>1738</v>
      </c>
      <c r="AD380" s="2" t="s">
        <v>1727</v>
      </c>
      <c r="AE380" s="2" t="s">
        <v>1742</v>
      </c>
      <c r="AF380" s="2" t="s">
        <v>1736</v>
      </c>
      <c r="AG380" s="28">
        <f>MAX(clean_data[[#This Row],[ATK]:[SPD]]) - MIN(clean_data[[#This Row],[ATK]:[SPD]])</f>
        <v>76</v>
      </c>
      <c r="AH380" s="28" t="str">
        <f>IF(clean_data[[#This Row],[Balanced Score]] = MIN(clean_data[Balanced Score]), "Most Balanced", "")</f>
        <v/>
      </c>
    </row>
    <row r="381" spans="1:34" x14ac:dyDescent="0.3">
      <c r="A381" s="2" t="s">
        <v>1314</v>
      </c>
      <c r="B381" s="2" t="s">
        <v>1315</v>
      </c>
      <c r="C381" s="2" t="s">
        <v>118</v>
      </c>
      <c r="D381" s="2" t="s">
        <v>254</v>
      </c>
      <c r="E381" s="2" t="s">
        <v>228</v>
      </c>
      <c r="F381" s="2" t="s">
        <v>52</v>
      </c>
      <c r="G381" s="2">
        <v>7</v>
      </c>
      <c r="H381" s="2" t="s">
        <v>73</v>
      </c>
      <c r="I381" s="2" t="s">
        <v>140</v>
      </c>
      <c r="J381" s="2" t="s">
        <v>92</v>
      </c>
      <c r="K381" s="2" t="s">
        <v>106</v>
      </c>
      <c r="L381" s="13">
        <v>44017</v>
      </c>
      <c r="M381" s="2">
        <v>98</v>
      </c>
      <c r="N381" s="2">
        <v>145</v>
      </c>
      <c r="O381" s="2">
        <v>137</v>
      </c>
      <c r="P381" s="2">
        <v>818</v>
      </c>
      <c r="Q381" s="2"/>
      <c r="R381" s="2">
        <v>380</v>
      </c>
      <c r="S381" s="2">
        <v>444</v>
      </c>
      <c r="T381" s="2">
        <v>358</v>
      </c>
      <c r="U381" s="2">
        <v>274</v>
      </c>
      <c r="V381" s="12">
        <f>ABS(RPG_dataset[[#This Row],[Win Rate (%)]])</f>
        <v>55</v>
      </c>
      <c r="W381" s="2">
        <v>125</v>
      </c>
      <c r="X381" s="9">
        <v>364249</v>
      </c>
      <c r="Y381" s="2" t="s">
        <v>36</v>
      </c>
      <c r="Z381" s="2">
        <v>321</v>
      </c>
      <c r="AA381" s="2" t="s">
        <v>1735</v>
      </c>
      <c r="AB381" s="2" t="b">
        <v>0</v>
      </c>
      <c r="AC381" s="2" t="s">
        <v>1738</v>
      </c>
      <c r="AD381" s="2" t="s">
        <v>1727</v>
      </c>
      <c r="AE381" s="2" t="s">
        <v>1728</v>
      </c>
      <c r="AF381" s="2" t="s">
        <v>1740</v>
      </c>
      <c r="AG381" s="28">
        <f>MAX(clean_data[[#This Row],[ATK]:[SPD]]) - MIN(clean_data[[#This Row],[ATK]:[SPD]])</f>
        <v>47</v>
      </c>
      <c r="AH381" s="28" t="str">
        <f>IF(clean_data[[#This Row],[Balanced Score]] = MIN(clean_data[Balanced Score]), "Most Balanced", "")</f>
        <v/>
      </c>
    </row>
    <row r="382" spans="1:34" x14ac:dyDescent="0.3">
      <c r="A382" s="2" t="s">
        <v>1317</v>
      </c>
      <c r="B382" s="2" t="s">
        <v>1318</v>
      </c>
      <c r="C382" s="2" t="s">
        <v>314</v>
      </c>
      <c r="D382" s="2" t="s">
        <v>144</v>
      </c>
      <c r="E382" s="2" t="s">
        <v>71</v>
      </c>
      <c r="F382" s="2" t="s">
        <v>61</v>
      </c>
      <c r="G382" s="2">
        <v>45</v>
      </c>
      <c r="H382" s="2" t="s">
        <v>80</v>
      </c>
      <c r="I382" s="2" t="s">
        <v>54</v>
      </c>
      <c r="J382" s="2" t="s">
        <v>92</v>
      </c>
      <c r="K382" s="2" t="s">
        <v>75</v>
      </c>
      <c r="L382" s="13">
        <v>45396</v>
      </c>
      <c r="M382" s="2">
        <v>136</v>
      </c>
      <c r="N382" s="2"/>
      <c r="O382" s="2">
        <v>96</v>
      </c>
      <c r="P382" s="2">
        <v>853</v>
      </c>
      <c r="Q382" s="2">
        <v>1223</v>
      </c>
      <c r="R382" s="2">
        <v>284</v>
      </c>
      <c r="S382" s="2">
        <v>441</v>
      </c>
      <c r="T382" s="2">
        <v>693</v>
      </c>
      <c r="U382" s="2">
        <v>241</v>
      </c>
      <c r="V382" s="12">
        <f>ABS(RPG_dataset[[#This Row],[Win Rate (%)]])</f>
        <v>39</v>
      </c>
      <c r="W382" s="2">
        <v>6204</v>
      </c>
      <c r="X382" s="9">
        <v>628207</v>
      </c>
      <c r="Y382" s="2" t="s">
        <v>46</v>
      </c>
      <c r="Z382" s="2">
        <v>186</v>
      </c>
      <c r="AA382" s="2" t="s">
        <v>1733</v>
      </c>
      <c r="AB382" s="2" t="b">
        <v>0</v>
      </c>
      <c r="AC382" s="2" t="s">
        <v>1726</v>
      </c>
      <c r="AD382" s="2" t="s">
        <v>1727</v>
      </c>
      <c r="AE382" s="2" t="s">
        <v>1742</v>
      </c>
      <c r="AF382" s="2" t="s">
        <v>1736</v>
      </c>
      <c r="AG382" s="28">
        <f>MAX(clean_data[[#This Row],[ATK]:[SPD]]) - MIN(clean_data[[#This Row],[ATK]:[SPD]])</f>
        <v>40</v>
      </c>
      <c r="AH382" s="28" t="str">
        <f>IF(clean_data[[#This Row],[Balanced Score]] = MIN(clean_data[Balanced Score]), "Most Balanced", "")</f>
        <v/>
      </c>
    </row>
    <row r="383" spans="1:34" x14ac:dyDescent="0.3">
      <c r="A383" s="2" t="s">
        <v>1321</v>
      </c>
      <c r="B383" s="2" t="s">
        <v>1322</v>
      </c>
      <c r="C383" s="2" t="s">
        <v>288</v>
      </c>
      <c r="D383" s="2" t="s">
        <v>150</v>
      </c>
      <c r="E383" s="2" t="s">
        <v>105</v>
      </c>
      <c r="F383" s="2" t="s">
        <v>124</v>
      </c>
      <c r="G383" s="2">
        <v>60</v>
      </c>
      <c r="H383" s="2" t="s">
        <v>62</v>
      </c>
      <c r="I383" s="2" t="s">
        <v>32</v>
      </c>
      <c r="J383" s="2" t="s">
        <v>64</v>
      </c>
      <c r="K383" s="2" t="s">
        <v>44</v>
      </c>
      <c r="L383" s="13">
        <v>44000</v>
      </c>
      <c r="M383" s="2">
        <v>22</v>
      </c>
      <c r="N383" s="2">
        <v>97</v>
      </c>
      <c r="O383" s="2">
        <v>123</v>
      </c>
      <c r="P383" s="2">
        <v>2481</v>
      </c>
      <c r="Q383" s="2">
        <v>819</v>
      </c>
      <c r="R383" s="2">
        <v>242</v>
      </c>
      <c r="S383" s="2">
        <v>3086</v>
      </c>
      <c r="T383" s="2">
        <v>509</v>
      </c>
      <c r="U383" s="2">
        <v>254</v>
      </c>
      <c r="V383" s="12">
        <f>ABS(RPG_dataset[[#This Row],[Win Rate (%)]])</f>
        <v>86</v>
      </c>
      <c r="W383" s="2">
        <v>897</v>
      </c>
      <c r="X383" s="9">
        <v>258636</v>
      </c>
      <c r="Y383" s="2" t="s">
        <v>36</v>
      </c>
      <c r="Z383" s="2">
        <v>373</v>
      </c>
      <c r="AA383" s="2" t="s">
        <v>1725</v>
      </c>
      <c r="AB383" s="2" t="b">
        <v>0</v>
      </c>
      <c r="AC383" s="2" t="s">
        <v>1730</v>
      </c>
      <c r="AD383" s="2" t="s">
        <v>1727</v>
      </c>
      <c r="AE383" s="2" t="s">
        <v>1731</v>
      </c>
      <c r="AF383" s="2" t="s">
        <v>1736</v>
      </c>
      <c r="AG383" s="28">
        <f>MAX(clean_data[[#This Row],[ATK]:[SPD]]) - MIN(clean_data[[#This Row],[ATK]:[SPD]])</f>
        <v>101</v>
      </c>
      <c r="AH383" s="28" t="str">
        <f>IF(clean_data[[#This Row],[Balanced Score]] = MIN(clean_data[Balanced Score]), "Most Balanced", "")</f>
        <v/>
      </c>
    </row>
    <row r="384" spans="1:34" x14ac:dyDescent="0.3">
      <c r="A384" s="2" t="s">
        <v>1324</v>
      </c>
      <c r="B384" s="2" t="s">
        <v>1325</v>
      </c>
      <c r="C384" s="2" t="s">
        <v>219</v>
      </c>
      <c r="D384" s="2" t="s">
        <v>28</v>
      </c>
      <c r="E384" s="2" t="s">
        <v>29</v>
      </c>
      <c r="F384" s="2" t="s">
        <v>75</v>
      </c>
      <c r="G384" s="2">
        <v>97</v>
      </c>
      <c r="H384" s="2" t="s">
        <v>75</v>
      </c>
      <c r="I384" s="2" t="s">
        <v>63</v>
      </c>
      <c r="J384" s="2" t="s">
        <v>33</v>
      </c>
      <c r="K384" s="2" t="s">
        <v>106</v>
      </c>
      <c r="L384" s="13">
        <v>43443</v>
      </c>
      <c r="M384" s="2">
        <v>91</v>
      </c>
      <c r="N384" s="2">
        <v>52</v>
      </c>
      <c r="O384" s="2">
        <v>111</v>
      </c>
      <c r="P384" s="2">
        <v>2329</v>
      </c>
      <c r="Q384" s="2">
        <v>1214</v>
      </c>
      <c r="R384" s="2">
        <v>254</v>
      </c>
      <c r="S384" s="2">
        <v>4973</v>
      </c>
      <c r="T384" s="2">
        <v>394</v>
      </c>
      <c r="U384" s="2">
        <v>184</v>
      </c>
      <c r="V384" s="12">
        <f>ABS(RPG_dataset[[#This Row],[Win Rate (%)]])</f>
        <v>93</v>
      </c>
      <c r="W384" s="2">
        <v>5465</v>
      </c>
      <c r="X384" s="9">
        <v>856737</v>
      </c>
      <c r="Y384" s="2" t="s">
        <v>46</v>
      </c>
      <c r="Z384" s="2">
        <v>74</v>
      </c>
      <c r="AA384" s="2" t="s">
        <v>1737</v>
      </c>
      <c r="AB384" s="2" t="b">
        <v>0</v>
      </c>
      <c r="AC384" s="2" t="s">
        <v>1730</v>
      </c>
      <c r="AD384" s="2" t="s">
        <v>1727</v>
      </c>
      <c r="AE384" s="2" t="s">
        <v>1728</v>
      </c>
      <c r="AF384" s="2" t="s">
        <v>1736</v>
      </c>
      <c r="AG384" s="28">
        <f>MAX(clean_data[[#This Row],[ATK]:[SPD]]) - MIN(clean_data[[#This Row],[ATK]:[SPD]])</f>
        <v>59</v>
      </c>
      <c r="AH384" s="28" t="str">
        <f>IF(clean_data[[#This Row],[Balanced Score]] = MIN(clean_data[Balanced Score]), "Most Balanced", "")</f>
        <v/>
      </c>
    </row>
    <row r="385" spans="1:34" x14ac:dyDescent="0.3">
      <c r="A385" s="2" t="s">
        <v>1327</v>
      </c>
      <c r="B385" s="2" t="s">
        <v>1328</v>
      </c>
      <c r="C385" s="2" t="s">
        <v>198</v>
      </c>
      <c r="D385" s="2" t="s">
        <v>75</v>
      </c>
      <c r="E385" s="2" t="s">
        <v>60</v>
      </c>
      <c r="F385" s="2" t="s">
        <v>42</v>
      </c>
      <c r="G385" s="2">
        <v>43</v>
      </c>
      <c r="H385" s="2" t="s">
        <v>80</v>
      </c>
      <c r="I385" s="2" t="s">
        <v>54</v>
      </c>
      <c r="J385" s="2" t="s">
        <v>64</v>
      </c>
      <c r="K385" s="2" t="s">
        <v>44</v>
      </c>
      <c r="L385" s="13">
        <v>43292</v>
      </c>
      <c r="M385" s="2">
        <v>102</v>
      </c>
      <c r="N385" s="2">
        <v>103</v>
      </c>
      <c r="O385" s="2">
        <v>113</v>
      </c>
      <c r="P385" s="2">
        <v>224</v>
      </c>
      <c r="Q385" s="2">
        <v>255</v>
      </c>
      <c r="R385" s="2">
        <v>318</v>
      </c>
      <c r="S385" s="2">
        <v>161</v>
      </c>
      <c r="T385" s="2">
        <v>44</v>
      </c>
      <c r="U385" s="2">
        <v>90</v>
      </c>
      <c r="V385" s="12">
        <f>ABS(RPG_dataset[[#This Row],[Win Rate (%)]])</f>
        <v>79</v>
      </c>
      <c r="W385" s="2">
        <v>6637</v>
      </c>
      <c r="X385" s="9">
        <v>112508</v>
      </c>
      <c r="Y385" s="2" t="s">
        <v>46</v>
      </c>
      <c r="Z385" s="2">
        <v>430</v>
      </c>
      <c r="AA385" s="2" t="s">
        <v>1733</v>
      </c>
      <c r="AB385" s="2" t="b">
        <v>0</v>
      </c>
      <c r="AC385" s="2" t="s">
        <v>1730</v>
      </c>
      <c r="AD385" s="2" t="s">
        <v>1727</v>
      </c>
      <c r="AE385" s="2" t="s">
        <v>1728</v>
      </c>
      <c r="AF385" s="2" t="s">
        <v>1736</v>
      </c>
      <c r="AG385" s="28">
        <f>MAX(clean_data[[#This Row],[ATK]:[SPD]]) - MIN(clean_data[[#This Row],[ATK]:[SPD]])</f>
        <v>11</v>
      </c>
      <c r="AH385" s="28" t="str">
        <f>IF(clean_data[[#This Row],[Balanced Score]] = MIN(clean_data[Balanced Score]), "Most Balanced", "")</f>
        <v/>
      </c>
    </row>
    <row r="386" spans="1:34" x14ac:dyDescent="0.3">
      <c r="A386" s="2" t="s">
        <v>1330</v>
      </c>
      <c r="B386" s="2" t="s">
        <v>1331</v>
      </c>
      <c r="C386" s="2" t="s">
        <v>680</v>
      </c>
      <c r="D386" s="2" t="s">
        <v>28</v>
      </c>
      <c r="E386" s="2" t="s">
        <v>105</v>
      </c>
      <c r="F386" s="2" t="s">
        <v>72</v>
      </c>
      <c r="G386" s="2">
        <v>77</v>
      </c>
      <c r="H386" s="2" t="s">
        <v>31</v>
      </c>
      <c r="I386" s="2" t="s">
        <v>74</v>
      </c>
      <c r="J386" s="2" t="s">
        <v>88</v>
      </c>
      <c r="K386" s="2" t="s">
        <v>44</v>
      </c>
      <c r="L386" s="13">
        <v>43406</v>
      </c>
      <c r="M386" s="2">
        <v>88</v>
      </c>
      <c r="N386" s="2">
        <v>131</v>
      </c>
      <c r="O386" s="2">
        <v>131</v>
      </c>
      <c r="P386" s="2">
        <v>1399</v>
      </c>
      <c r="Q386" s="2">
        <v>2148</v>
      </c>
      <c r="R386" s="2">
        <v>350</v>
      </c>
      <c r="S386" s="2">
        <v>2511</v>
      </c>
      <c r="T386" s="2">
        <v>238</v>
      </c>
      <c r="U386" s="2">
        <v>55</v>
      </c>
      <c r="V386" s="12">
        <f>ABS(RPG_dataset[[#This Row],[Win Rate (%)]])</f>
        <v>91</v>
      </c>
      <c r="W386" s="2">
        <v>7572</v>
      </c>
      <c r="X386" s="9">
        <v>640791</v>
      </c>
      <c r="Y386" s="2" t="s">
        <v>46</v>
      </c>
      <c r="Z386" s="2">
        <v>178</v>
      </c>
      <c r="AA386" s="2" t="s">
        <v>1737</v>
      </c>
      <c r="AB386" s="2" t="b">
        <v>1</v>
      </c>
      <c r="AC386" s="2" t="s">
        <v>1730</v>
      </c>
      <c r="AD386" s="2" t="s">
        <v>1727</v>
      </c>
      <c r="AE386" s="2" t="s">
        <v>1728</v>
      </c>
      <c r="AF386" s="2" t="s">
        <v>1739</v>
      </c>
      <c r="AG386" s="28">
        <f>MAX(clean_data[[#This Row],[ATK]:[SPD]]) - MIN(clean_data[[#This Row],[ATK]:[SPD]])</f>
        <v>43</v>
      </c>
      <c r="AH386" s="28" t="str">
        <f>IF(clean_data[[#This Row],[Balanced Score]] = MIN(clean_data[Balanced Score]), "Most Balanced", "")</f>
        <v/>
      </c>
    </row>
    <row r="387" spans="1:34" x14ac:dyDescent="0.3">
      <c r="A387" s="2" t="s">
        <v>1332</v>
      </c>
      <c r="B387" s="2" t="s">
        <v>1333</v>
      </c>
      <c r="C387" s="2" t="s">
        <v>233</v>
      </c>
      <c r="D387" s="2" t="s">
        <v>168</v>
      </c>
      <c r="E387" s="2" t="s">
        <v>41</v>
      </c>
      <c r="F387" s="2" t="s">
        <v>52</v>
      </c>
      <c r="G387" s="2">
        <v>47</v>
      </c>
      <c r="H387" s="2" t="s">
        <v>31</v>
      </c>
      <c r="I387" s="2" t="s">
        <v>140</v>
      </c>
      <c r="J387" s="2" t="s">
        <v>81</v>
      </c>
      <c r="K387" s="2" t="s">
        <v>34</v>
      </c>
      <c r="L387" s="13">
        <v>45040</v>
      </c>
      <c r="M387" s="2">
        <v>29</v>
      </c>
      <c r="N387" s="2">
        <v>113</v>
      </c>
      <c r="O387" s="2">
        <v>21</v>
      </c>
      <c r="P387" s="2">
        <v>1541</v>
      </c>
      <c r="Q387" s="2">
        <v>1804</v>
      </c>
      <c r="R387" s="2">
        <v>163</v>
      </c>
      <c r="S387" s="2">
        <v>1162</v>
      </c>
      <c r="T387" s="2">
        <v>494</v>
      </c>
      <c r="U387" s="2">
        <v>187</v>
      </c>
      <c r="V387" s="12">
        <f>ABS(RPG_dataset[[#This Row],[Win Rate (%)]])</f>
        <v>70</v>
      </c>
      <c r="W387" s="2">
        <v>1421</v>
      </c>
      <c r="X387" s="9">
        <v>847031</v>
      </c>
      <c r="Y387" s="2" t="s">
        <v>46</v>
      </c>
      <c r="Z387" s="2">
        <v>79</v>
      </c>
      <c r="AA387" s="2" t="s">
        <v>1733</v>
      </c>
      <c r="AB387" s="2" t="b">
        <v>0</v>
      </c>
      <c r="AC387" s="2" t="s">
        <v>1738</v>
      </c>
      <c r="AD387" s="2" t="s">
        <v>1727</v>
      </c>
      <c r="AE387" s="2" t="s">
        <v>1742</v>
      </c>
      <c r="AF387" s="2" t="s">
        <v>1740</v>
      </c>
      <c r="AG387" s="28">
        <f>MAX(clean_data[[#This Row],[ATK]:[SPD]]) - MIN(clean_data[[#This Row],[ATK]:[SPD]])</f>
        <v>92</v>
      </c>
      <c r="AH387" s="28" t="str">
        <f>IF(clean_data[[#This Row],[Balanced Score]] = MIN(clean_data[Balanced Score]), "Most Balanced", "")</f>
        <v/>
      </c>
    </row>
    <row r="388" spans="1:34" x14ac:dyDescent="0.3">
      <c r="A388" s="2" t="s">
        <v>1336</v>
      </c>
      <c r="B388" s="2" t="s">
        <v>1337</v>
      </c>
      <c r="C388" s="2" t="s">
        <v>173</v>
      </c>
      <c r="D388" s="2" t="s">
        <v>272</v>
      </c>
      <c r="E388" s="2" t="s">
        <v>71</v>
      </c>
      <c r="F388" s="2" t="s">
        <v>98</v>
      </c>
      <c r="G388" s="2">
        <v>10</v>
      </c>
      <c r="H388" s="2" t="s">
        <v>80</v>
      </c>
      <c r="I388" s="2" t="s">
        <v>32</v>
      </c>
      <c r="J388" s="2" t="s">
        <v>81</v>
      </c>
      <c r="K388" s="2" t="s">
        <v>99</v>
      </c>
      <c r="L388" s="13">
        <v>45164</v>
      </c>
      <c r="M388" s="2">
        <v>82</v>
      </c>
      <c r="N388" s="2">
        <v>130</v>
      </c>
      <c r="O388" s="2">
        <v>127</v>
      </c>
      <c r="P388" s="2">
        <v>678</v>
      </c>
      <c r="Q388" s="2">
        <v>1227</v>
      </c>
      <c r="R388" s="2">
        <v>339</v>
      </c>
      <c r="S388" s="2">
        <v>3831</v>
      </c>
      <c r="T388" s="2">
        <v>26</v>
      </c>
      <c r="U388" s="2">
        <v>69</v>
      </c>
      <c r="V388" s="12">
        <f>ABS(RPG_dataset[[#This Row],[Win Rate (%)]])</f>
        <v>99</v>
      </c>
      <c r="W388" s="2">
        <v>5156</v>
      </c>
      <c r="X388" s="9">
        <v>269983</v>
      </c>
      <c r="Y388" s="2" t="s">
        <v>36</v>
      </c>
      <c r="Z388" s="2">
        <v>367</v>
      </c>
      <c r="AA388" s="2" t="s">
        <v>1735</v>
      </c>
      <c r="AB388" s="2" t="b">
        <v>0</v>
      </c>
      <c r="AC388" s="2" t="s">
        <v>1730</v>
      </c>
      <c r="AD388" s="2" t="s">
        <v>1727</v>
      </c>
      <c r="AE388" s="2" t="s">
        <v>1728</v>
      </c>
      <c r="AF388" s="2" t="s">
        <v>1736</v>
      </c>
      <c r="AG388" s="28">
        <f>MAX(clean_data[[#This Row],[ATK]:[SPD]]) - MIN(clean_data[[#This Row],[ATK]:[SPD]])</f>
        <v>48</v>
      </c>
      <c r="AH388" s="28" t="str">
        <f>IF(clean_data[[#This Row],[Balanced Score]] = MIN(clean_data[Balanced Score]), "Most Balanced", "")</f>
        <v/>
      </c>
    </row>
    <row r="389" spans="1:34" x14ac:dyDescent="0.3">
      <c r="A389" s="2" t="s">
        <v>1340</v>
      </c>
      <c r="B389" s="2" t="s">
        <v>1341</v>
      </c>
      <c r="C389" s="2" t="s">
        <v>371</v>
      </c>
      <c r="D389" s="2" t="s">
        <v>59</v>
      </c>
      <c r="E389" s="2" t="s">
        <v>29</v>
      </c>
      <c r="F389" s="2" t="s">
        <v>72</v>
      </c>
      <c r="G389" s="2">
        <v>65</v>
      </c>
      <c r="H389" s="2" t="s">
        <v>43</v>
      </c>
      <c r="I389" s="2" t="s">
        <v>63</v>
      </c>
      <c r="J389" s="2" t="s">
        <v>163</v>
      </c>
      <c r="K389" s="2" t="s">
        <v>99</v>
      </c>
      <c r="L389" s="13">
        <v>43755</v>
      </c>
      <c r="M389" s="2">
        <v>84</v>
      </c>
      <c r="N389" s="2">
        <v>100</v>
      </c>
      <c r="O389" s="2"/>
      <c r="P389" s="2">
        <v>3256</v>
      </c>
      <c r="Q389" s="2">
        <v>936</v>
      </c>
      <c r="R389" s="2">
        <v>284</v>
      </c>
      <c r="S389" s="2">
        <v>1229</v>
      </c>
      <c r="T389" s="2">
        <v>63</v>
      </c>
      <c r="U389" s="2">
        <v>70</v>
      </c>
      <c r="V389" s="12">
        <f>ABS(RPG_dataset[[#This Row],[Win Rate (%)]])</f>
        <v>95</v>
      </c>
      <c r="W389" s="2">
        <v>5619</v>
      </c>
      <c r="X389" s="9">
        <v>529730</v>
      </c>
      <c r="Y389" s="2" t="s">
        <v>46</v>
      </c>
      <c r="Z389" s="2">
        <v>236</v>
      </c>
      <c r="AA389" s="2" t="s">
        <v>1725</v>
      </c>
      <c r="AB389" s="2" t="b">
        <v>0</v>
      </c>
      <c r="AC389" s="2" t="s">
        <v>1730</v>
      </c>
      <c r="AD389" s="2" t="s">
        <v>1727</v>
      </c>
      <c r="AE389" s="2" t="s">
        <v>1728</v>
      </c>
      <c r="AF389" s="2" t="s">
        <v>1734</v>
      </c>
      <c r="AG389" s="28">
        <f>MAX(clean_data[[#This Row],[ATK]:[SPD]]) - MIN(clean_data[[#This Row],[ATK]:[SPD]])</f>
        <v>16</v>
      </c>
      <c r="AH389" s="28" t="str">
        <f>IF(clean_data[[#This Row],[Balanced Score]] = MIN(clean_data[Balanced Score]), "Most Balanced", "")</f>
        <v/>
      </c>
    </row>
    <row r="390" spans="1:34" x14ac:dyDescent="0.3">
      <c r="A390" s="2" t="s">
        <v>1344</v>
      </c>
      <c r="B390" s="2" t="s">
        <v>1345</v>
      </c>
      <c r="C390" s="2" t="s">
        <v>238</v>
      </c>
      <c r="D390" s="2" t="s">
        <v>250</v>
      </c>
      <c r="E390" s="2" t="s">
        <v>60</v>
      </c>
      <c r="F390" s="2" t="s">
        <v>61</v>
      </c>
      <c r="G390" s="2">
        <v>29</v>
      </c>
      <c r="H390" s="2" t="s">
        <v>125</v>
      </c>
      <c r="I390" s="2" t="s">
        <v>63</v>
      </c>
      <c r="J390" s="2" t="s">
        <v>92</v>
      </c>
      <c r="K390" s="2" t="s">
        <v>106</v>
      </c>
      <c r="L390" s="13">
        <v>44916</v>
      </c>
      <c r="M390" s="2">
        <v>56</v>
      </c>
      <c r="N390" s="2">
        <v>140</v>
      </c>
      <c r="O390" s="2">
        <v>78</v>
      </c>
      <c r="P390" s="2">
        <v>4500</v>
      </c>
      <c r="Q390" s="2">
        <v>2372</v>
      </c>
      <c r="R390" s="2">
        <v>274</v>
      </c>
      <c r="S390" s="2">
        <v>4684</v>
      </c>
      <c r="T390" s="2">
        <v>44</v>
      </c>
      <c r="U390" s="2">
        <v>242</v>
      </c>
      <c r="V390" s="12">
        <f>ABS(RPG_dataset[[#This Row],[Win Rate (%)]])</f>
        <v>99</v>
      </c>
      <c r="W390" s="2">
        <v>2280</v>
      </c>
      <c r="X390" s="9">
        <v>43257</v>
      </c>
      <c r="Y390" s="2" t="s">
        <v>46</v>
      </c>
      <c r="Z390" s="2">
        <v>462</v>
      </c>
      <c r="AA390" s="2" t="s">
        <v>1733</v>
      </c>
      <c r="AB390" s="2" t="b">
        <v>0</v>
      </c>
      <c r="AC390" s="2" t="s">
        <v>1730</v>
      </c>
      <c r="AD390" s="2" t="s">
        <v>1727</v>
      </c>
      <c r="AE390" s="2" t="s">
        <v>1728</v>
      </c>
      <c r="AF390" s="2" t="s">
        <v>1734</v>
      </c>
      <c r="AG390" s="28">
        <f>MAX(clean_data[[#This Row],[ATK]:[SPD]]) - MIN(clean_data[[#This Row],[ATK]:[SPD]])</f>
        <v>84</v>
      </c>
      <c r="AH390" s="28" t="str">
        <f>IF(clean_data[[#This Row],[Balanced Score]] = MIN(clean_data[Balanced Score]), "Most Balanced", "")</f>
        <v/>
      </c>
    </row>
    <row r="391" spans="1:34" x14ac:dyDescent="0.3">
      <c r="A391" s="2" t="s">
        <v>1348</v>
      </c>
      <c r="B391" s="2" t="s">
        <v>1349</v>
      </c>
      <c r="C391" s="2" t="s">
        <v>178</v>
      </c>
      <c r="D391" s="2" t="s">
        <v>28</v>
      </c>
      <c r="E391" s="2" t="s">
        <v>41</v>
      </c>
      <c r="F391" s="2" t="s">
        <v>30</v>
      </c>
      <c r="G391" s="2">
        <v>21</v>
      </c>
      <c r="H391" s="2" t="s">
        <v>80</v>
      </c>
      <c r="I391" s="2" t="s">
        <v>140</v>
      </c>
      <c r="J391" s="2" t="s">
        <v>163</v>
      </c>
      <c r="K391" s="2" t="s">
        <v>106</v>
      </c>
      <c r="L391" s="13">
        <v>45328</v>
      </c>
      <c r="M391" s="2">
        <v>18</v>
      </c>
      <c r="N391" s="2">
        <v>13</v>
      </c>
      <c r="O391" s="2">
        <v>85</v>
      </c>
      <c r="P391" s="2">
        <v>3943</v>
      </c>
      <c r="Q391" s="2">
        <v>539</v>
      </c>
      <c r="R391" s="2">
        <v>116</v>
      </c>
      <c r="S391" s="2">
        <v>2157</v>
      </c>
      <c r="T391" s="2">
        <v>37</v>
      </c>
      <c r="U391" s="2">
        <v>85</v>
      </c>
      <c r="V391" s="12">
        <f>ABS(RPG_dataset[[#This Row],[Win Rate (%)]])</f>
        <v>98</v>
      </c>
      <c r="W391" s="2">
        <v>6796</v>
      </c>
      <c r="X391" s="9">
        <v>817438</v>
      </c>
      <c r="Y391" s="2" t="s">
        <v>36</v>
      </c>
      <c r="Z391" s="2">
        <v>97</v>
      </c>
      <c r="AA391" s="2" t="s">
        <v>1735</v>
      </c>
      <c r="AB391" s="2" t="b">
        <v>0</v>
      </c>
      <c r="AC391" s="2" t="s">
        <v>1730</v>
      </c>
      <c r="AD391" s="2" t="s">
        <v>1727</v>
      </c>
      <c r="AE391" s="2" t="s">
        <v>1728</v>
      </c>
      <c r="AF391" s="2" t="s">
        <v>1740</v>
      </c>
      <c r="AG391" s="28">
        <f>MAX(clean_data[[#This Row],[ATK]:[SPD]]) - MIN(clean_data[[#This Row],[ATK]:[SPD]])</f>
        <v>72</v>
      </c>
      <c r="AH391" s="28" t="str">
        <f>IF(clean_data[[#This Row],[Balanced Score]] = MIN(clean_data[Balanced Score]), "Most Balanced", "")</f>
        <v/>
      </c>
    </row>
    <row r="392" spans="1:34" x14ac:dyDescent="0.3">
      <c r="A392" s="2" t="s">
        <v>1352</v>
      </c>
      <c r="B392" s="2" t="s">
        <v>1353</v>
      </c>
      <c r="C392" s="2" t="s">
        <v>517</v>
      </c>
      <c r="D392" s="2" t="s">
        <v>70</v>
      </c>
      <c r="E392" s="2" t="s">
        <v>41</v>
      </c>
      <c r="F392" s="2" t="s">
        <v>30</v>
      </c>
      <c r="G392" s="2">
        <v>42</v>
      </c>
      <c r="H392" s="2" t="s">
        <v>53</v>
      </c>
      <c r="I392" s="2" t="s">
        <v>126</v>
      </c>
      <c r="J392" s="2" t="s">
        <v>33</v>
      </c>
      <c r="K392" s="2" t="s">
        <v>44</v>
      </c>
      <c r="L392" s="13">
        <v>44456</v>
      </c>
      <c r="M392" s="2">
        <v>54</v>
      </c>
      <c r="N392" s="2">
        <v>130</v>
      </c>
      <c r="O392" s="2">
        <v>12</v>
      </c>
      <c r="P392" s="2">
        <v>2322</v>
      </c>
      <c r="Q392" s="2">
        <v>565</v>
      </c>
      <c r="R392" s="2">
        <v>196</v>
      </c>
      <c r="S392" s="2">
        <v>2910</v>
      </c>
      <c r="T392" s="2">
        <v>442</v>
      </c>
      <c r="U392" s="2">
        <v>182</v>
      </c>
      <c r="V392" s="12">
        <f>ABS(RPG_dataset[[#This Row],[Win Rate (%)]])</f>
        <v>87</v>
      </c>
      <c r="W392" s="2">
        <v>5868</v>
      </c>
      <c r="X392" s="9">
        <v>800722</v>
      </c>
      <c r="Y392" s="2" t="s">
        <v>36</v>
      </c>
      <c r="Z392" s="2">
        <v>103</v>
      </c>
      <c r="AA392" s="2" t="s">
        <v>1733</v>
      </c>
      <c r="AB392" s="2" t="b">
        <v>1</v>
      </c>
      <c r="AC392" s="2" t="s">
        <v>1730</v>
      </c>
      <c r="AD392" s="2" t="s">
        <v>1727</v>
      </c>
      <c r="AE392" s="2" t="s">
        <v>1728</v>
      </c>
      <c r="AF392" s="2" t="s">
        <v>1729</v>
      </c>
      <c r="AG392" s="28">
        <f>MAX(clean_data[[#This Row],[ATK]:[SPD]]) - MIN(clean_data[[#This Row],[ATK]:[SPD]])</f>
        <v>118</v>
      </c>
      <c r="AH392" s="28" t="str">
        <f>IF(clean_data[[#This Row],[Balanced Score]] = MIN(clean_data[Balanced Score]), "Most Balanced", "")</f>
        <v/>
      </c>
    </row>
    <row r="393" spans="1:34" x14ac:dyDescent="0.3">
      <c r="A393" s="2" t="s">
        <v>1354</v>
      </c>
      <c r="B393" s="2" t="s">
        <v>1355</v>
      </c>
      <c r="C393" s="2" t="s">
        <v>517</v>
      </c>
      <c r="D393" s="2" t="s">
        <v>104</v>
      </c>
      <c r="E393" s="2" t="s">
        <v>169</v>
      </c>
      <c r="F393" s="2" t="s">
        <v>98</v>
      </c>
      <c r="G393" s="2">
        <v>95</v>
      </c>
      <c r="H393" s="2" t="s">
        <v>62</v>
      </c>
      <c r="I393" s="2" t="s">
        <v>74</v>
      </c>
      <c r="J393" s="2" t="s">
        <v>64</v>
      </c>
      <c r="K393" s="2" t="s">
        <v>44</v>
      </c>
      <c r="L393" s="13">
        <v>43151</v>
      </c>
      <c r="M393" s="2">
        <v>26</v>
      </c>
      <c r="N393" s="2">
        <v>149</v>
      </c>
      <c r="O393" s="2">
        <v>25</v>
      </c>
      <c r="P393" s="2">
        <v>2409</v>
      </c>
      <c r="Q393" s="2">
        <v>207</v>
      </c>
      <c r="R393" s="2">
        <v>200</v>
      </c>
      <c r="S393" s="2">
        <v>1145</v>
      </c>
      <c r="T393" s="2">
        <v>504</v>
      </c>
      <c r="U393" s="2">
        <v>57</v>
      </c>
      <c r="V393" s="12">
        <f>ABS(RPG_dataset[[#This Row],[Win Rate (%)]])</f>
        <v>69</v>
      </c>
      <c r="W393" s="2">
        <v>5110</v>
      </c>
      <c r="X393" s="9">
        <v>816231</v>
      </c>
      <c r="Y393" s="2" t="s">
        <v>36</v>
      </c>
      <c r="Z393" s="2">
        <v>98</v>
      </c>
      <c r="AA393" s="2" t="s">
        <v>1737</v>
      </c>
      <c r="AB393" s="2" t="b">
        <v>1</v>
      </c>
      <c r="AC393" s="2" t="s">
        <v>1738</v>
      </c>
      <c r="AD393" s="2" t="s">
        <v>1727</v>
      </c>
      <c r="AE393" s="2" t="s">
        <v>1728</v>
      </c>
      <c r="AF393" s="2" t="s">
        <v>1729</v>
      </c>
      <c r="AG393" s="28">
        <f>MAX(clean_data[[#This Row],[ATK]:[SPD]]) - MIN(clean_data[[#This Row],[ATK]:[SPD]])</f>
        <v>124</v>
      </c>
      <c r="AH393" s="28" t="str">
        <f>IF(clean_data[[#This Row],[Balanced Score]] = MIN(clean_data[Balanced Score]), "Most Balanced", "")</f>
        <v/>
      </c>
    </row>
    <row r="394" spans="1:34" x14ac:dyDescent="0.3">
      <c r="A394" s="2" t="s">
        <v>1357</v>
      </c>
      <c r="B394" s="2" t="s">
        <v>1358</v>
      </c>
      <c r="C394" s="2" t="s">
        <v>693</v>
      </c>
      <c r="D394" s="2" t="s">
        <v>250</v>
      </c>
      <c r="E394" s="2" t="s">
        <v>105</v>
      </c>
      <c r="F394" s="2" t="s">
        <v>72</v>
      </c>
      <c r="G394" s="2">
        <v>43</v>
      </c>
      <c r="H394" s="2" t="s">
        <v>73</v>
      </c>
      <c r="I394" s="2" t="s">
        <v>63</v>
      </c>
      <c r="J394" s="2" t="s">
        <v>92</v>
      </c>
      <c r="K394" s="2" t="s">
        <v>44</v>
      </c>
      <c r="L394" s="13">
        <v>44137</v>
      </c>
      <c r="M394" s="2">
        <v>16</v>
      </c>
      <c r="N394" s="2">
        <v>112</v>
      </c>
      <c r="O394" s="2">
        <v>39</v>
      </c>
      <c r="P394" s="2">
        <v>3955</v>
      </c>
      <c r="Q394" s="2">
        <v>959</v>
      </c>
      <c r="R394" s="2">
        <v>167</v>
      </c>
      <c r="S394" s="2">
        <v>3624</v>
      </c>
      <c r="T394" s="2">
        <v>121</v>
      </c>
      <c r="U394" s="2"/>
      <c r="V394" s="12">
        <f>ABS(RPG_dataset[[#This Row],[Win Rate (%)]])</f>
        <v>97</v>
      </c>
      <c r="W394" s="2">
        <v>452</v>
      </c>
      <c r="X394" s="9">
        <v>200227</v>
      </c>
      <c r="Y394" s="2" t="s">
        <v>36</v>
      </c>
      <c r="Z394" s="2">
        <v>400</v>
      </c>
      <c r="AA394" s="2" t="s">
        <v>1733</v>
      </c>
      <c r="AB394" s="2" t="b">
        <v>1</v>
      </c>
      <c r="AC394" s="2" t="s">
        <v>1730</v>
      </c>
      <c r="AD394" s="2" t="s">
        <v>1727</v>
      </c>
      <c r="AE394" s="2" t="s">
        <v>1728</v>
      </c>
      <c r="AF394" s="2" t="s">
        <v>1734</v>
      </c>
      <c r="AG394" s="28">
        <f>MAX(clean_data[[#This Row],[ATK]:[SPD]]) - MIN(clean_data[[#This Row],[ATK]:[SPD]])</f>
        <v>96</v>
      </c>
      <c r="AH394" s="28" t="str">
        <f>IF(clean_data[[#This Row],[Balanced Score]] = MIN(clean_data[Balanced Score]), "Most Balanced", "")</f>
        <v/>
      </c>
    </row>
    <row r="395" spans="1:34" x14ac:dyDescent="0.3">
      <c r="A395" s="2" t="s">
        <v>1360</v>
      </c>
      <c r="B395" s="2" t="s">
        <v>1361</v>
      </c>
      <c r="C395" s="2" t="s">
        <v>198</v>
      </c>
      <c r="D395" s="2" t="s">
        <v>254</v>
      </c>
      <c r="E395" s="2" t="s">
        <v>228</v>
      </c>
      <c r="F395" s="2" t="s">
        <v>61</v>
      </c>
      <c r="G395" s="2">
        <v>13</v>
      </c>
      <c r="H395" s="2" t="s">
        <v>80</v>
      </c>
      <c r="I395" s="2" t="s">
        <v>32</v>
      </c>
      <c r="J395" s="2" t="s">
        <v>33</v>
      </c>
      <c r="K395" s="2" t="s">
        <v>34</v>
      </c>
      <c r="L395" s="13">
        <v>43635</v>
      </c>
      <c r="M395" s="2">
        <v>114</v>
      </c>
      <c r="N395" s="2">
        <v>115</v>
      </c>
      <c r="O395" s="2">
        <v>42</v>
      </c>
      <c r="P395" s="2">
        <v>4965</v>
      </c>
      <c r="Q395" s="2">
        <v>197</v>
      </c>
      <c r="R395" s="2">
        <v>271</v>
      </c>
      <c r="S395" s="2">
        <v>2604</v>
      </c>
      <c r="T395" s="2">
        <v>923</v>
      </c>
      <c r="U395" s="2">
        <v>248</v>
      </c>
      <c r="V395" s="12">
        <f>ABS(RPG_dataset[[#This Row],[Win Rate (%)]])</f>
        <v>74</v>
      </c>
      <c r="W395" s="2">
        <v>1599</v>
      </c>
      <c r="X395" s="9">
        <v>966345</v>
      </c>
      <c r="Y395" s="2" t="s">
        <v>46</v>
      </c>
      <c r="Z395" s="2">
        <v>17</v>
      </c>
      <c r="AA395" s="2" t="s">
        <v>1735</v>
      </c>
      <c r="AB395" s="2" t="b">
        <v>0</v>
      </c>
      <c r="AC395" s="2" t="s">
        <v>1730</v>
      </c>
      <c r="AD395" s="2" t="s">
        <v>1727</v>
      </c>
      <c r="AE395" s="2" t="s">
        <v>1728</v>
      </c>
      <c r="AF395" s="2" t="s">
        <v>1734</v>
      </c>
      <c r="AG395" s="28">
        <f>MAX(clean_data[[#This Row],[ATK]:[SPD]]) - MIN(clean_data[[#This Row],[ATK]:[SPD]])</f>
        <v>73</v>
      </c>
      <c r="AH395" s="28" t="str">
        <f>IF(clean_data[[#This Row],[Balanced Score]] = MIN(clean_data[Balanced Score]), "Most Balanced", "")</f>
        <v/>
      </c>
    </row>
    <row r="396" spans="1:34" x14ac:dyDescent="0.3">
      <c r="A396" s="2" t="s">
        <v>1363</v>
      </c>
      <c r="B396" s="2" t="s">
        <v>1364</v>
      </c>
      <c r="C396" s="2" t="s">
        <v>314</v>
      </c>
      <c r="D396" s="2" t="s">
        <v>210</v>
      </c>
      <c r="E396" s="2" t="s">
        <v>105</v>
      </c>
      <c r="F396" s="2" t="s">
        <v>52</v>
      </c>
      <c r="G396" s="2">
        <v>52</v>
      </c>
      <c r="H396" s="2" t="s">
        <v>73</v>
      </c>
      <c r="I396" s="2" t="s">
        <v>54</v>
      </c>
      <c r="J396" s="2" t="s">
        <v>111</v>
      </c>
      <c r="K396" s="2" t="s">
        <v>99</v>
      </c>
      <c r="L396" s="13">
        <v>45264</v>
      </c>
      <c r="M396" s="2">
        <v>59</v>
      </c>
      <c r="N396" s="2">
        <v>150</v>
      </c>
      <c r="O396" s="2">
        <v>133</v>
      </c>
      <c r="P396" s="2">
        <v>4973</v>
      </c>
      <c r="Q396" s="2">
        <v>2203</v>
      </c>
      <c r="R396" s="2">
        <v>342</v>
      </c>
      <c r="S396" s="2">
        <v>2860</v>
      </c>
      <c r="T396" s="2">
        <v>423</v>
      </c>
      <c r="U396" s="2">
        <v>232</v>
      </c>
      <c r="V396" s="12">
        <f>ABS(RPG_dataset[[#This Row],[Win Rate (%)]])</f>
        <v>87</v>
      </c>
      <c r="W396" s="2">
        <v>352</v>
      </c>
      <c r="X396" s="9">
        <v>841455</v>
      </c>
      <c r="Y396" s="2" t="s">
        <v>46</v>
      </c>
      <c r="Z396" s="2">
        <v>83</v>
      </c>
      <c r="AA396" s="2" t="s">
        <v>1725</v>
      </c>
      <c r="AB396" s="2" t="b">
        <v>0</v>
      </c>
      <c r="AC396" s="2" t="s">
        <v>1730</v>
      </c>
      <c r="AD396" s="2" t="s">
        <v>1727</v>
      </c>
      <c r="AE396" s="2" t="s">
        <v>1728</v>
      </c>
      <c r="AF396" s="2" t="s">
        <v>1736</v>
      </c>
      <c r="AG396" s="28">
        <f>MAX(clean_data[[#This Row],[ATK]:[SPD]]) - MIN(clean_data[[#This Row],[ATK]:[SPD]])</f>
        <v>91</v>
      </c>
      <c r="AH396" s="28" t="str">
        <f>IF(clean_data[[#This Row],[Balanced Score]] = MIN(clean_data[Balanced Score]), "Most Balanced", "")</f>
        <v/>
      </c>
    </row>
    <row r="397" spans="1:34" x14ac:dyDescent="0.3">
      <c r="A397" s="2" t="s">
        <v>1366</v>
      </c>
      <c r="B397" s="2" t="s">
        <v>1367</v>
      </c>
      <c r="C397" s="2" t="s">
        <v>689</v>
      </c>
      <c r="D397" s="2" t="s">
        <v>104</v>
      </c>
      <c r="E397" s="2" t="s">
        <v>71</v>
      </c>
      <c r="F397" s="2" t="s">
        <v>42</v>
      </c>
      <c r="G397" s="2">
        <v>27</v>
      </c>
      <c r="H397" s="2" t="s">
        <v>80</v>
      </c>
      <c r="I397" s="2" t="s">
        <v>74</v>
      </c>
      <c r="J397" s="2" t="s">
        <v>33</v>
      </c>
      <c r="K397" s="2" t="s">
        <v>34</v>
      </c>
      <c r="L397" s="13">
        <v>45484</v>
      </c>
      <c r="M397" s="2">
        <v>46</v>
      </c>
      <c r="N397" s="2">
        <v>16</v>
      </c>
      <c r="O397" s="2"/>
      <c r="P397" s="2">
        <v>3468</v>
      </c>
      <c r="Q397" s="2">
        <v>1411</v>
      </c>
      <c r="R397" s="2">
        <v>146</v>
      </c>
      <c r="S397" s="2">
        <v>3498</v>
      </c>
      <c r="T397" s="2">
        <v>889</v>
      </c>
      <c r="U397" s="2">
        <v>274</v>
      </c>
      <c r="V397" s="12">
        <f>ABS(RPG_dataset[[#This Row],[Win Rate (%)]])</f>
        <v>80</v>
      </c>
      <c r="W397" s="2">
        <v>3386</v>
      </c>
      <c r="X397" s="9">
        <v>70446</v>
      </c>
      <c r="Y397" s="2" t="s">
        <v>46</v>
      </c>
      <c r="Z397" s="2">
        <v>450</v>
      </c>
      <c r="AA397" s="2" t="s">
        <v>1733</v>
      </c>
      <c r="AB397" s="2" t="b">
        <v>0</v>
      </c>
      <c r="AC397" s="2" t="s">
        <v>1730</v>
      </c>
      <c r="AD397" s="2" t="s">
        <v>1727</v>
      </c>
      <c r="AE397" s="2" t="s">
        <v>1728</v>
      </c>
      <c r="AF397" s="2" t="s">
        <v>1729</v>
      </c>
      <c r="AG397" s="28">
        <f>MAX(clean_data[[#This Row],[ATK]:[SPD]]) - MIN(clean_data[[#This Row],[ATK]:[SPD]])</f>
        <v>30</v>
      </c>
      <c r="AH397" s="28" t="str">
        <f>IF(clean_data[[#This Row],[Balanced Score]] = MIN(clean_data[Balanced Score]), "Most Balanced", "")</f>
        <v/>
      </c>
    </row>
    <row r="398" spans="1:34" x14ac:dyDescent="0.3">
      <c r="A398" s="2" t="s">
        <v>1370</v>
      </c>
      <c r="B398" s="2" t="s">
        <v>1371</v>
      </c>
      <c r="C398" s="2" t="s">
        <v>233</v>
      </c>
      <c r="D398" s="2" t="s">
        <v>272</v>
      </c>
      <c r="E398" s="2" t="s">
        <v>41</v>
      </c>
      <c r="F398" s="2" t="s">
        <v>61</v>
      </c>
      <c r="G398" s="2">
        <v>56</v>
      </c>
      <c r="H398" s="2" t="s">
        <v>73</v>
      </c>
      <c r="I398" s="2" t="s">
        <v>87</v>
      </c>
      <c r="J398" s="2" t="s">
        <v>92</v>
      </c>
      <c r="K398" s="2" t="s">
        <v>44</v>
      </c>
      <c r="L398" s="13">
        <v>44339</v>
      </c>
      <c r="M398" s="2">
        <v>130</v>
      </c>
      <c r="N398" s="2">
        <v>70</v>
      </c>
      <c r="O398" s="2">
        <v>132</v>
      </c>
      <c r="P398" s="2">
        <v>1086</v>
      </c>
      <c r="Q398" s="2">
        <v>387</v>
      </c>
      <c r="R398" s="2">
        <v>332</v>
      </c>
      <c r="S398" s="2">
        <v>3562</v>
      </c>
      <c r="T398" s="2">
        <v>710</v>
      </c>
      <c r="U398" s="2">
        <v>241</v>
      </c>
      <c r="V398" s="12">
        <f>ABS(RPG_dataset[[#This Row],[Win Rate (%)]])</f>
        <v>83</v>
      </c>
      <c r="W398" s="2">
        <v>8018</v>
      </c>
      <c r="X398" s="9">
        <v>611700</v>
      </c>
      <c r="Y398" s="2" t="s">
        <v>46</v>
      </c>
      <c r="Z398" s="2">
        <v>196</v>
      </c>
      <c r="AA398" s="2" t="s">
        <v>1725</v>
      </c>
      <c r="AB398" s="2" t="b">
        <v>1</v>
      </c>
      <c r="AC398" s="2" t="s">
        <v>1730</v>
      </c>
      <c r="AD398" s="2" t="s">
        <v>1727</v>
      </c>
      <c r="AE398" s="2" t="s">
        <v>1728</v>
      </c>
      <c r="AF398" s="2" t="s">
        <v>1736</v>
      </c>
      <c r="AG398" s="28">
        <f>MAX(clean_data[[#This Row],[ATK]:[SPD]]) - MIN(clean_data[[#This Row],[ATK]:[SPD]])</f>
        <v>62</v>
      </c>
      <c r="AH398" s="28" t="str">
        <f>IF(clean_data[[#This Row],[Balanced Score]] = MIN(clean_data[Balanced Score]), "Most Balanced", "")</f>
        <v/>
      </c>
    </row>
    <row r="399" spans="1:34" x14ac:dyDescent="0.3">
      <c r="A399" s="2" t="s">
        <v>1373</v>
      </c>
      <c r="B399" s="2" t="s">
        <v>1374</v>
      </c>
      <c r="C399" s="2" t="s">
        <v>227</v>
      </c>
      <c r="D399" s="2" t="s">
        <v>150</v>
      </c>
      <c r="E399" s="2" t="s">
        <v>71</v>
      </c>
      <c r="F399" s="2" t="s">
        <v>194</v>
      </c>
      <c r="G399" s="2">
        <v>64</v>
      </c>
      <c r="H399" s="2" t="s">
        <v>157</v>
      </c>
      <c r="I399" s="2" t="s">
        <v>63</v>
      </c>
      <c r="J399" s="2" t="s">
        <v>64</v>
      </c>
      <c r="K399" s="2" t="s">
        <v>44</v>
      </c>
      <c r="L399" s="13">
        <v>44400</v>
      </c>
      <c r="M399" s="2">
        <v>36</v>
      </c>
      <c r="N399" s="2">
        <v>69</v>
      </c>
      <c r="O399" s="2">
        <v>28</v>
      </c>
      <c r="P399" s="2">
        <v>1371</v>
      </c>
      <c r="Q399" s="2">
        <v>1219</v>
      </c>
      <c r="R399" s="2">
        <v>133</v>
      </c>
      <c r="S399" s="2">
        <v>515</v>
      </c>
      <c r="T399" s="2"/>
      <c r="U399" s="2">
        <v>58</v>
      </c>
      <c r="V399" s="12">
        <f>ABS(RPG_dataset[[#This Row],[Win Rate (%)]])</f>
        <v>97</v>
      </c>
      <c r="W399" s="2">
        <v>9860</v>
      </c>
      <c r="X399" s="9">
        <v>622081</v>
      </c>
      <c r="Y399" s="2" t="s">
        <v>46</v>
      </c>
      <c r="Z399" s="2">
        <v>191</v>
      </c>
      <c r="AA399" s="2" t="s">
        <v>1725</v>
      </c>
      <c r="AB399" s="2" t="b">
        <v>1</v>
      </c>
      <c r="AC399" s="2" t="s">
        <v>1730</v>
      </c>
      <c r="AD399" s="2" t="s">
        <v>1727</v>
      </c>
      <c r="AE399" s="2" t="s">
        <v>1728</v>
      </c>
      <c r="AF399" s="2" t="s">
        <v>1729</v>
      </c>
      <c r="AG399" s="28">
        <f>MAX(clean_data[[#This Row],[ATK]:[SPD]]) - MIN(clean_data[[#This Row],[ATK]:[SPD]])</f>
        <v>41</v>
      </c>
      <c r="AH399" s="28" t="str">
        <f>IF(clean_data[[#This Row],[Balanced Score]] = MIN(clean_data[Balanced Score]), "Most Balanced", "")</f>
        <v/>
      </c>
    </row>
    <row r="400" spans="1:34" x14ac:dyDescent="0.3">
      <c r="A400" s="2" t="s">
        <v>1376</v>
      </c>
      <c r="B400" s="2" t="s">
        <v>1377</v>
      </c>
      <c r="C400" s="2" t="s">
        <v>720</v>
      </c>
      <c r="D400" s="2" t="s">
        <v>618</v>
      </c>
      <c r="E400" s="2" t="s">
        <v>41</v>
      </c>
      <c r="F400" s="2" t="s">
        <v>194</v>
      </c>
      <c r="G400" s="2">
        <v>66</v>
      </c>
      <c r="H400" s="2" t="s">
        <v>31</v>
      </c>
      <c r="I400" s="2" t="s">
        <v>32</v>
      </c>
      <c r="J400" s="2" t="s">
        <v>88</v>
      </c>
      <c r="K400" s="2" t="s">
        <v>34</v>
      </c>
      <c r="L400" s="13">
        <v>45449</v>
      </c>
      <c r="M400" s="2">
        <v>87</v>
      </c>
      <c r="N400" s="2">
        <v>38</v>
      </c>
      <c r="O400" s="2">
        <v>123</v>
      </c>
      <c r="P400" s="2">
        <v>4882</v>
      </c>
      <c r="Q400" s="2">
        <v>2721</v>
      </c>
      <c r="R400" s="2">
        <v>248</v>
      </c>
      <c r="S400" s="2">
        <v>4508</v>
      </c>
      <c r="T400" s="2">
        <v>385</v>
      </c>
      <c r="U400" s="2">
        <v>254</v>
      </c>
      <c r="V400" s="12">
        <f>ABS(RPG_dataset[[#This Row],[Win Rate (%)]])</f>
        <v>92</v>
      </c>
      <c r="W400" s="2">
        <v>2455</v>
      </c>
      <c r="X400" s="9">
        <v>48025</v>
      </c>
      <c r="Y400" s="2" t="s">
        <v>46</v>
      </c>
      <c r="Z400" s="2">
        <v>458</v>
      </c>
      <c r="AA400" s="2" t="s">
        <v>1725</v>
      </c>
      <c r="AB400" s="2" t="b">
        <v>0</v>
      </c>
      <c r="AC400" s="2" t="s">
        <v>1730</v>
      </c>
      <c r="AD400" s="2" t="s">
        <v>1727</v>
      </c>
      <c r="AE400" s="2" t="s">
        <v>1728</v>
      </c>
      <c r="AF400" s="2" t="s">
        <v>1736</v>
      </c>
      <c r="AG400" s="28">
        <f>MAX(clean_data[[#This Row],[ATK]:[SPD]]) - MIN(clean_data[[#This Row],[ATK]:[SPD]])</f>
        <v>85</v>
      </c>
      <c r="AH400" s="28" t="str">
        <f>IF(clean_data[[#This Row],[Balanced Score]] = MIN(clean_data[Balanced Score]), "Most Balanced", "")</f>
        <v/>
      </c>
    </row>
    <row r="401" spans="1:34" x14ac:dyDescent="0.3">
      <c r="A401" s="2" t="s">
        <v>1379</v>
      </c>
      <c r="B401" s="2" t="s">
        <v>1380</v>
      </c>
      <c r="C401" s="2" t="s">
        <v>288</v>
      </c>
      <c r="D401" s="2" t="s">
        <v>277</v>
      </c>
      <c r="E401" s="2" t="s">
        <v>105</v>
      </c>
      <c r="F401" s="2" t="s">
        <v>42</v>
      </c>
      <c r="G401" s="2">
        <v>11</v>
      </c>
      <c r="H401" s="2" t="s">
        <v>31</v>
      </c>
      <c r="I401" s="2" t="s">
        <v>140</v>
      </c>
      <c r="J401" s="2" t="s">
        <v>88</v>
      </c>
      <c r="K401" s="2" t="s">
        <v>44</v>
      </c>
      <c r="L401" s="13">
        <v>44980</v>
      </c>
      <c r="M401" s="2">
        <v>139</v>
      </c>
      <c r="N401" s="2">
        <v>73</v>
      </c>
      <c r="O401" s="2">
        <v>88</v>
      </c>
      <c r="P401" s="2">
        <v>2063</v>
      </c>
      <c r="Q401" s="2"/>
      <c r="R401" s="2"/>
      <c r="S401" s="2">
        <v>1790</v>
      </c>
      <c r="T401" s="2">
        <v>605</v>
      </c>
      <c r="U401" s="2">
        <v>124</v>
      </c>
      <c r="V401" s="12">
        <f>ABS(RPG_dataset[[#This Row],[Win Rate (%)]])</f>
        <v>75</v>
      </c>
      <c r="W401" s="2">
        <v>9236</v>
      </c>
      <c r="X401" s="9">
        <v>943707</v>
      </c>
      <c r="Y401" s="2" t="s">
        <v>46</v>
      </c>
      <c r="Z401" s="2">
        <v>26</v>
      </c>
      <c r="AA401" s="2" t="s">
        <v>1735</v>
      </c>
      <c r="AB401" s="2" t="b">
        <v>1</v>
      </c>
      <c r="AC401" s="2" t="s">
        <v>1730</v>
      </c>
      <c r="AD401" s="2" t="s">
        <v>1727</v>
      </c>
      <c r="AE401" s="2" t="s">
        <v>1728</v>
      </c>
      <c r="AF401" s="2" t="s">
        <v>1740</v>
      </c>
      <c r="AG401" s="28">
        <f>MAX(clean_data[[#This Row],[ATK]:[SPD]]) - MIN(clean_data[[#This Row],[ATK]:[SPD]])</f>
        <v>66</v>
      </c>
      <c r="AH401" s="28" t="str">
        <f>IF(clean_data[[#This Row],[Balanced Score]] = MIN(clean_data[Balanced Score]), "Most Balanced", "")</f>
        <v/>
      </c>
    </row>
    <row r="402" spans="1:34" x14ac:dyDescent="0.3">
      <c r="A402" s="2" t="s">
        <v>1382</v>
      </c>
      <c r="B402" s="2" t="s">
        <v>1722</v>
      </c>
      <c r="C402" s="2" t="s">
        <v>123</v>
      </c>
      <c r="D402" s="2" t="s">
        <v>131</v>
      </c>
      <c r="E402" s="2" t="s">
        <v>29</v>
      </c>
      <c r="F402" s="2" t="s">
        <v>124</v>
      </c>
      <c r="G402" s="2">
        <v>49</v>
      </c>
      <c r="H402" s="2" t="s">
        <v>31</v>
      </c>
      <c r="I402" s="2" t="s">
        <v>63</v>
      </c>
      <c r="J402" s="2" t="s">
        <v>64</v>
      </c>
      <c r="K402" s="2" t="s">
        <v>44</v>
      </c>
      <c r="L402" s="13">
        <v>44686</v>
      </c>
      <c r="M402" s="2">
        <v>56</v>
      </c>
      <c r="N402" s="2">
        <v>10</v>
      </c>
      <c r="O402" s="2">
        <v>61</v>
      </c>
      <c r="P402" s="2">
        <v>2954</v>
      </c>
      <c r="Q402" s="2">
        <v>2947</v>
      </c>
      <c r="R402" s="2">
        <v>127</v>
      </c>
      <c r="S402" s="2">
        <v>3705</v>
      </c>
      <c r="T402" s="2">
        <v>763</v>
      </c>
      <c r="U402" s="2">
        <v>9</v>
      </c>
      <c r="V402" s="12">
        <f>ABS(RPG_dataset[[#This Row],[Win Rate (%)]])</f>
        <v>83</v>
      </c>
      <c r="W402" s="2">
        <v>8943</v>
      </c>
      <c r="X402" s="9">
        <v>512566</v>
      </c>
      <c r="Y402" s="2" t="s">
        <v>36</v>
      </c>
      <c r="Z402" s="2">
        <v>244</v>
      </c>
      <c r="AA402" s="2" t="s">
        <v>1733</v>
      </c>
      <c r="AB402" s="2" t="b">
        <v>1</v>
      </c>
      <c r="AC402" s="2" t="s">
        <v>1730</v>
      </c>
      <c r="AD402" s="2" t="s">
        <v>1727</v>
      </c>
      <c r="AE402" s="2" t="s">
        <v>1728</v>
      </c>
      <c r="AF402" s="2" t="s">
        <v>1729</v>
      </c>
      <c r="AG402" s="28">
        <f>MAX(clean_data[[#This Row],[ATK]:[SPD]]) - MIN(clean_data[[#This Row],[ATK]:[SPD]])</f>
        <v>51</v>
      </c>
      <c r="AH402" s="28" t="str">
        <f>IF(clean_data[[#This Row],[Balanced Score]] = MIN(clean_data[Balanced Score]), "Most Balanced", "")</f>
        <v/>
      </c>
    </row>
    <row r="403" spans="1:34" x14ac:dyDescent="0.3">
      <c r="A403" s="2" t="s">
        <v>1385</v>
      </c>
      <c r="B403" s="2" t="s">
        <v>1386</v>
      </c>
      <c r="C403" s="2" t="s">
        <v>69</v>
      </c>
      <c r="D403" s="2" t="s">
        <v>144</v>
      </c>
      <c r="E403" s="2" t="s">
        <v>228</v>
      </c>
      <c r="F403" s="2" t="s">
        <v>98</v>
      </c>
      <c r="G403" s="2">
        <v>94</v>
      </c>
      <c r="H403" s="2" t="s">
        <v>53</v>
      </c>
      <c r="I403" s="2" t="s">
        <v>54</v>
      </c>
      <c r="J403" s="2" t="s">
        <v>64</v>
      </c>
      <c r="K403" s="2" t="s">
        <v>44</v>
      </c>
      <c r="L403" s="13">
        <v>44330</v>
      </c>
      <c r="M403" s="2">
        <v>148</v>
      </c>
      <c r="N403" s="2">
        <v>97</v>
      </c>
      <c r="O403" s="2">
        <v>108</v>
      </c>
      <c r="P403" s="2">
        <v>4527</v>
      </c>
      <c r="Q403" s="2">
        <v>334</v>
      </c>
      <c r="R403" s="2">
        <v>353</v>
      </c>
      <c r="S403" s="2">
        <v>2616</v>
      </c>
      <c r="T403" s="2">
        <v>765</v>
      </c>
      <c r="U403" s="2">
        <v>94</v>
      </c>
      <c r="V403" s="12">
        <f>ABS(RPG_dataset[[#This Row],[Win Rate (%)]])</f>
        <v>77</v>
      </c>
      <c r="W403" s="2">
        <v>2800</v>
      </c>
      <c r="X403" s="9">
        <v>179907</v>
      </c>
      <c r="Y403" s="2" t="s">
        <v>46</v>
      </c>
      <c r="Z403" s="2">
        <v>409</v>
      </c>
      <c r="AA403" s="2" t="s">
        <v>1737</v>
      </c>
      <c r="AB403" s="2" t="b">
        <v>1</v>
      </c>
      <c r="AC403" s="2" t="s">
        <v>1730</v>
      </c>
      <c r="AD403" s="2" t="s">
        <v>1727</v>
      </c>
      <c r="AE403" s="2" t="s">
        <v>1728</v>
      </c>
      <c r="AF403" s="2" t="s">
        <v>1736</v>
      </c>
      <c r="AG403" s="28">
        <f>MAX(clean_data[[#This Row],[ATK]:[SPD]]) - MIN(clean_data[[#This Row],[ATK]:[SPD]])</f>
        <v>51</v>
      </c>
      <c r="AH403" s="28" t="str">
        <f>IF(clean_data[[#This Row],[Balanced Score]] = MIN(clean_data[Balanced Score]), "Most Balanced", "")</f>
        <v/>
      </c>
    </row>
    <row r="404" spans="1:34" x14ac:dyDescent="0.3">
      <c r="A404" s="2" t="s">
        <v>1388</v>
      </c>
      <c r="B404" s="2" t="s">
        <v>1389</v>
      </c>
      <c r="C404" s="2" t="s">
        <v>353</v>
      </c>
      <c r="D404" s="2" t="s">
        <v>40</v>
      </c>
      <c r="E404" s="2" t="s">
        <v>51</v>
      </c>
      <c r="F404" s="2" t="s">
        <v>42</v>
      </c>
      <c r="G404" s="2">
        <v>90</v>
      </c>
      <c r="H404" s="2" t="s">
        <v>75</v>
      </c>
      <c r="I404" s="2" t="s">
        <v>140</v>
      </c>
      <c r="J404" s="2" t="s">
        <v>81</v>
      </c>
      <c r="K404" s="2" t="s">
        <v>99</v>
      </c>
      <c r="L404" s="13">
        <v>44458</v>
      </c>
      <c r="M404" s="2">
        <v>113</v>
      </c>
      <c r="N404" s="2">
        <v>145</v>
      </c>
      <c r="O404" s="2">
        <v>113</v>
      </c>
      <c r="P404" s="2">
        <v>1341</v>
      </c>
      <c r="Q404" s="2">
        <v>72</v>
      </c>
      <c r="R404" s="2">
        <v>371</v>
      </c>
      <c r="S404" s="2">
        <v>3767</v>
      </c>
      <c r="T404" s="2">
        <v>289</v>
      </c>
      <c r="U404" s="2">
        <v>284</v>
      </c>
      <c r="V404" s="12">
        <f>ABS(RPG_dataset[[#This Row],[Win Rate (%)]])</f>
        <v>93</v>
      </c>
      <c r="W404" s="2">
        <v>437</v>
      </c>
      <c r="X404" s="9">
        <v>926222</v>
      </c>
      <c r="Y404" s="2" t="s">
        <v>36</v>
      </c>
      <c r="Z404" s="2">
        <v>36</v>
      </c>
      <c r="AA404" s="2" t="s">
        <v>1737</v>
      </c>
      <c r="AB404" s="2" t="b">
        <v>0</v>
      </c>
      <c r="AC404" s="2" t="s">
        <v>1730</v>
      </c>
      <c r="AD404" s="2" t="s">
        <v>1741</v>
      </c>
      <c r="AE404" s="2" t="s">
        <v>1731</v>
      </c>
      <c r="AF404" s="2" t="s">
        <v>1740</v>
      </c>
      <c r="AG404" s="28">
        <f>MAX(clean_data[[#This Row],[ATK]:[SPD]]) - MIN(clean_data[[#This Row],[ATK]:[SPD]])</f>
        <v>32</v>
      </c>
      <c r="AH404" s="28" t="str">
        <f>IF(clean_data[[#This Row],[Balanced Score]] = MIN(clean_data[Balanced Score]), "Most Balanced", "")</f>
        <v/>
      </c>
    </row>
    <row r="405" spans="1:34" x14ac:dyDescent="0.3">
      <c r="A405" s="2" t="s">
        <v>1392</v>
      </c>
      <c r="B405" s="2" t="s">
        <v>1393</v>
      </c>
      <c r="C405" s="2" t="s">
        <v>517</v>
      </c>
      <c r="D405" s="2" t="s">
        <v>150</v>
      </c>
      <c r="E405" s="2" t="s">
        <v>169</v>
      </c>
      <c r="F405" s="2" t="s">
        <v>72</v>
      </c>
      <c r="G405" s="2">
        <v>18</v>
      </c>
      <c r="H405" s="2" t="s">
        <v>43</v>
      </c>
      <c r="I405" s="2" t="s">
        <v>63</v>
      </c>
      <c r="J405" s="2" t="s">
        <v>88</v>
      </c>
      <c r="K405" s="2" t="s">
        <v>106</v>
      </c>
      <c r="L405" s="13">
        <v>44480</v>
      </c>
      <c r="M405" s="2">
        <v>51</v>
      </c>
      <c r="N405" s="2">
        <v>131</v>
      </c>
      <c r="O405" s="2">
        <v>129</v>
      </c>
      <c r="P405" s="2">
        <v>2330</v>
      </c>
      <c r="Q405" s="2">
        <v>2497</v>
      </c>
      <c r="R405" s="2">
        <v>311</v>
      </c>
      <c r="S405" s="2">
        <v>1913</v>
      </c>
      <c r="T405" s="2">
        <v>923</v>
      </c>
      <c r="U405" s="2">
        <v>236</v>
      </c>
      <c r="V405" s="12">
        <f>ABS(RPG_dataset[[#This Row],[Win Rate (%)]])</f>
        <v>67</v>
      </c>
      <c r="W405" s="2">
        <v>6996</v>
      </c>
      <c r="X405" s="9">
        <v>287992</v>
      </c>
      <c r="Y405" s="2" t="s">
        <v>46</v>
      </c>
      <c r="Z405" s="2">
        <v>359</v>
      </c>
      <c r="AA405" s="2" t="s">
        <v>1735</v>
      </c>
      <c r="AB405" s="2" t="b">
        <v>0</v>
      </c>
      <c r="AC405" s="2" t="s">
        <v>1738</v>
      </c>
      <c r="AD405" s="2" t="s">
        <v>1727</v>
      </c>
      <c r="AE405" s="2" t="s">
        <v>1742</v>
      </c>
      <c r="AF405" s="2" t="s">
        <v>1739</v>
      </c>
      <c r="AG405" s="28">
        <f>MAX(clean_data[[#This Row],[ATK]:[SPD]]) - MIN(clean_data[[#This Row],[ATK]:[SPD]])</f>
        <v>80</v>
      </c>
      <c r="AH405" s="28" t="str">
        <f>IF(clean_data[[#This Row],[Balanced Score]] = MIN(clean_data[Balanced Score]), "Most Balanced", "")</f>
        <v/>
      </c>
    </row>
    <row r="406" spans="1:34" x14ac:dyDescent="0.3">
      <c r="A406" s="2" t="s">
        <v>1395</v>
      </c>
      <c r="B406" s="2" t="s">
        <v>1396</v>
      </c>
      <c r="C406" s="2" t="s">
        <v>154</v>
      </c>
      <c r="D406" s="2" t="s">
        <v>349</v>
      </c>
      <c r="E406" s="2" t="s">
        <v>51</v>
      </c>
      <c r="F406" s="2" t="s">
        <v>72</v>
      </c>
      <c r="G406" s="2">
        <v>38</v>
      </c>
      <c r="H406" s="2" t="s">
        <v>62</v>
      </c>
      <c r="I406" s="2" t="s">
        <v>126</v>
      </c>
      <c r="J406" s="2" t="s">
        <v>163</v>
      </c>
      <c r="K406" s="2" t="s">
        <v>44</v>
      </c>
      <c r="L406" s="13">
        <v>44819</v>
      </c>
      <c r="M406" s="2">
        <v>16</v>
      </c>
      <c r="N406" s="2">
        <v>65</v>
      </c>
      <c r="O406" s="2">
        <v>39</v>
      </c>
      <c r="P406" s="2">
        <v>4829</v>
      </c>
      <c r="Q406" s="2">
        <v>1416</v>
      </c>
      <c r="R406" s="2">
        <v>120</v>
      </c>
      <c r="S406" s="2">
        <v>3783</v>
      </c>
      <c r="T406" s="2">
        <v>649</v>
      </c>
      <c r="U406" s="2">
        <v>69</v>
      </c>
      <c r="V406" s="12">
        <f>ABS(RPG_dataset[[#This Row],[Win Rate (%)]])</f>
        <v>85</v>
      </c>
      <c r="W406" s="2">
        <v>422</v>
      </c>
      <c r="X406" s="9">
        <v>547147</v>
      </c>
      <c r="Y406" s="2" t="s">
        <v>46</v>
      </c>
      <c r="Z406" s="2">
        <v>229</v>
      </c>
      <c r="AA406" s="2" t="s">
        <v>1733</v>
      </c>
      <c r="AB406" s="2" t="b">
        <v>1</v>
      </c>
      <c r="AC406" s="2" t="s">
        <v>1730</v>
      </c>
      <c r="AD406" s="2" t="s">
        <v>1727</v>
      </c>
      <c r="AE406" s="2" t="s">
        <v>1728</v>
      </c>
      <c r="AF406" s="2" t="s">
        <v>1729</v>
      </c>
      <c r="AG406" s="28">
        <f>MAX(clean_data[[#This Row],[ATK]:[SPD]]) - MIN(clean_data[[#This Row],[ATK]:[SPD]])</f>
        <v>49</v>
      </c>
      <c r="AH406" s="28" t="str">
        <f>IF(clean_data[[#This Row],[Balanced Score]] = MIN(clean_data[Balanced Score]), "Most Balanced", "")</f>
        <v/>
      </c>
    </row>
    <row r="407" spans="1:34" x14ac:dyDescent="0.3">
      <c r="A407" s="2" t="s">
        <v>1398</v>
      </c>
      <c r="B407" s="2" t="s">
        <v>1399</v>
      </c>
      <c r="C407" s="2" t="s">
        <v>360</v>
      </c>
      <c r="D407" s="2" t="s">
        <v>349</v>
      </c>
      <c r="E407" s="2" t="s">
        <v>60</v>
      </c>
      <c r="F407" s="2" t="s">
        <v>194</v>
      </c>
      <c r="G407" s="2">
        <v>80</v>
      </c>
      <c r="H407" s="2" t="s">
        <v>125</v>
      </c>
      <c r="I407" s="2" t="s">
        <v>32</v>
      </c>
      <c r="J407" s="2" t="s">
        <v>64</v>
      </c>
      <c r="K407" s="2" t="s">
        <v>44</v>
      </c>
      <c r="L407" s="13">
        <v>43577</v>
      </c>
      <c r="M407" s="2">
        <v>46</v>
      </c>
      <c r="N407" s="2">
        <v>74</v>
      </c>
      <c r="O407" s="2">
        <v>28</v>
      </c>
      <c r="P407" s="2">
        <v>4879</v>
      </c>
      <c r="Q407" s="2">
        <v>993</v>
      </c>
      <c r="R407" s="2">
        <v>148</v>
      </c>
      <c r="S407" s="2">
        <v>4736</v>
      </c>
      <c r="T407" s="2">
        <v>965</v>
      </c>
      <c r="U407" s="2">
        <v>290</v>
      </c>
      <c r="V407" s="12">
        <f>ABS(RPG_dataset[[#This Row],[Win Rate (%)]])</f>
        <v>83</v>
      </c>
      <c r="W407" s="2">
        <v>9888</v>
      </c>
      <c r="X407" s="9">
        <v>760750</v>
      </c>
      <c r="Y407" s="2" t="s">
        <v>46</v>
      </c>
      <c r="Z407" s="2">
        <v>123</v>
      </c>
      <c r="AA407" s="2" t="s">
        <v>1737</v>
      </c>
      <c r="AB407" s="2" t="b">
        <v>1</v>
      </c>
      <c r="AC407" s="2" t="s">
        <v>1730</v>
      </c>
      <c r="AD407" s="2" t="s">
        <v>1727</v>
      </c>
      <c r="AE407" s="2" t="s">
        <v>1728</v>
      </c>
      <c r="AF407" s="2" t="s">
        <v>1729</v>
      </c>
      <c r="AG407" s="28">
        <f>MAX(clean_data[[#This Row],[ATK]:[SPD]]) - MIN(clean_data[[#This Row],[ATK]:[SPD]])</f>
        <v>46</v>
      </c>
      <c r="AH407" s="28" t="str">
        <f>IF(clean_data[[#This Row],[Balanced Score]] = MIN(clean_data[Balanced Score]), "Most Balanced", "")</f>
        <v/>
      </c>
    </row>
    <row r="408" spans="1:34" x14ac:dyDescent="0.3">
      <c r="A408" s="2" t="s">
        <v>1401</v>
      </c>
      <c r="B408" s="2" t="s">
        <v>1402</v>
      </c>
      <c r="C408" s="2" t="s">
        <v>97</v>
      </c>
      <c r="D408" s="2" t="s">
        <v>131</v>
      </c>
      <c r="E408" s="2" t="s">
        <v>29</v>
      </c>
      <c r="F408" s="2" t="s">
        <v>61</v>
      </c>
      <c r="G408" s="2">
        <v>73</v>
      </c>
      <c r="H408" s="2" t="s">
        <v>53</v>
      </c>
      <c r="I408" s="2" t="s">
        <v>63</v>
      </c>
      <c r="J408" s="2" t="s">
        <v>92</v>
      </c>
      <c r="K408" s="2" t="s">
        <v>44</v>
      </c>
      <c r="L408" s="13">
        <v>44514</v>
      </c>
      <c r="M408" s="2">
        <v>144</v>
      </c>
      <c r="N408" s="2">
        <v>107</v>
      </c>
      <c r="O408" s="2">
        <v>66</v>
      </c>
      <c r="P408" s="2">
        <v>4207</v>
      </c>
      <c r="Q408" s="2">
        <v>320</v>
      </c>
      <c r="R408" s="2">
        <v>317</v>
      </c>
      <c r="S408" s="2">
        <v>4764</v>
      </c>
      <c r="T408" s="2">
        <v>318</v>
      </c>
      <c r="U408" s="2">
        <v>137</v>
      </c>
      <c r="V408" s="12">
        <f>ABS(RPG_dataset[[#This Row],[Win Rate (%)]])</f>
        <v>94</v>
      </c>
      <c r="W408" s="2">
        <v>6219</v>
      </c>
      <c r="X408" s="9">
        <v>319637</v>
      </c>
      <c r="Y408" s="2" t="s">
        <v>46</v>
      </c>
      <c r="Z408" s="2">
        <v>346</v>
      </c>
      <c r="AA408" s="2" t="s">
        <v>1725</v>
      </c>
      <c r="AB408" s="2" t="b">
        <v>1</v>
      </c>
      <c r="AC408" s="2" t="s">
        <v>1730</v>
      </c>
      <c r="AD408" s="2" t="s">
        <v>1727</v>
      </c>
      <c r="AE408" s="2" t="s">
        <v>1728</v>
      </c>
      <c r="AF408" s="2" t="s">
        <v>1734</v>
      </c>
      <c r="AG408" s="28">
        <f>MAX(clean_data[[#This Row],[ATK]:[SPD]]) - MIN(clean_data[[#This Row],[ATK]:[SPD]])</f>
        <v>78</v>
      </c>
      <c r="AH408" s="28" t="str">
        <f>IF(clean_data[[#This Row],[Balanced Score]] = MIN(clean_data[Balanced Score]), "Most Balanced", "")</f>
        <v/>
      </c>
    </row>
    <row r="409" spans="1:34" x14ac:dyDescent="0.3">
      <c r="A409" s="2" t="s">
        <v>1405</v>
      </c>
      <c r="B409" s="2" t="s">
        <v>1406</v>
      </c>
      <c r="C409" s="2" t="s">
        <v>281</v>
      </c>
      <c r="D409" s="2" t="s">
        <v>104</v>
      </c>
      <c r="E409" s="2" t="s">
        <v>29</v>
      </c>
      <c r="F409" s="2" t="s">
        <v>98</v>
      </c>
      <c r="G409" s="2">
        <v>14</v>
      </c>
      <c r="H409" s="2" t="s">
        <v>80</v>
      </c>
      <c r="I409" s="2" t="s">
        <v>54</v>
      </c>
      <c r="J409" s="2" t="s">
        <v>81</v>
      </c>
      <c r="K409" s="2" t="s">
        <v>44</v>
      </c>
      <c r="L409" s="13">
        <v>43394</v>
      </c>
      <c r="M409" s="2">
        <v>86</v>
      </c>
      <c r="N409" s="2">
        <v>88</v>
      </c>
      <c r="O409" s="2">
        <v>126</v>
      </c>
      <c r="P409" s="2">
        <v>3059</v>
      </c>
      <c r="Q409" s="2">
        <v>1001</v>
      </c>
      <c r="R409" s="2">
        <v>300</v>
      </c>
      <c r="S409" s="2">
        <v>4972</v>
      </c>
      <c r="T409" s="2">
        <v>908</v>
      </c>
      <c r="U409" s="2">
        <v>129</v>
      </c>
      <c r="V409" s="12">
        <f>ABS(RPG_dataset[[#This Row],[Win Rate (%)]])</f>
        <v>85</v>
      </c>
      <c r="W409" s="2">
        <v>9040</v>
      </c>
      <c r="X409" s="9">
        <v>110702</v>
      </c>
      <c r="Y409" s="2" t="s">
        <v>46</v>
      </c>
      <c r="Z409" s="2">
        <v>431</v>
      </c>
      <c r="AA409" s="2" t="s">
        <v>1735</v>
      </c>
      <c r="AB409" s="2" t="b">
        <v>1</v>
      </c>
      <c r="AC409" s="2" t="s">
        <v>1730</v>
      </c>
      <c r="AD409" s="2" t="s">
        <v>1727</v>
      </c>
      <c r="AE409" s="2" t="s">
        <v>1728</v>
      </c>
      <c r="AF409" s="2" t="s">
        <v>1736</v>
      </c>
      <c r="AG409" s="28">
        <f>MAX(clean_data[[#This Row],[ATK]:[SPD]]) - MIN(clean_data[[#This Row],[ATK]:[SPD]])</f>
        <v>40</v>
      </c>
      <c r="AH409" s="28" t="str">
        <f>IF(clean_data[[#This Row],[Balanced Score]] = MIN(clean_data[Balanced Score]), "Most Balanced", "")</f>
        <v/>
      </c>
    </row>
    <row r="410" spans="1:34" x14ac:dyDescent="0.3">
      <c r="A410" s="2" t="s">
        <v>1408</v>
      </c>
      <c r="B410" s="2" t="s">
        <v>1409</v>
      </c>
      <c r="C410" s="2" t="s">
        <v>227</v>
      </c>
      <c r="D410" s="2" t="s">
        <v>50</v>
      </c>
      <c r="E410" s="2" t="s">
        <v>51</v>
      </c>
      <c r="F410" s="2" t="s">
        <v>61</v>
      </c>
      <c r="G410" s="2">
        <v>29</v>
      </c>
      <c r="H410" s="2" t="s">
        <v>31</v>
      </c>
      <c r="I410" s="2" t="s">
        <v>63</v>
      </c>
      <c r="J410" s="2" t="s">
        <v>163</v>
      </c>
      <c r="K410" s="2" t="s">
        <v>106</v>
      </c>
      <c r="L410" s="13">
        <v>44228</v>
      </c>
      <c r="M410" s="2">
        <v>22</v>
      </c>
      <c r="N410" s="2">
        <v>54</v>
      </c>
      <c r="O410" s="2">
        <v>82</v>
      </c>
      <c r="P410" s="2">
        <v>2710</v>
      </c>
      <c r="Q410" s="2">
        <v>137</v>
      </c>
      <c r="R410" s="2">
        <v>158</v>
      </c>
      <c r="S410" s="2">
        <v>2238</v>
      </c>
      <c r="T410" s="2">
        <v>397</v>
      </c>
      <c r="U410" s="2">
        <v>65</v>
      </c>
      <c r="V410" s="12">
        <f>ABS(RPG_dataset[[#This Row],[Win Rate (%)]])</f>
        <v>85</v>
      </c>
      <c r="W410" s="2">
        <v>9432</v>
      </c>
      <c r="X410" s="9">
        <v>981906</v>
      </c>
      <c r="Y410" s="2" t="s">
        <v>36</v>
      </c>
      <c r="Z410" s="2">
        <v>10</v>
      </c>
      <c r="AA410" s="2" t="s">
        <v>1733</v>
      </c>
      <c r="AB410" s="2" t="b">
        <v>0</v>
      </c>
      <c r="AC410" s="2" t="s">
        <v>1730</v>
      </c>
      <c r="AD410" s="2" t="s">
        <v>1727</v>
      </c>
      <c r="AE410" s="2" t="s">
        <v>1728</v>
      </c>
      <c r="AF410" s="2" t="s">
        <v>1729</v>
      </c>
      <c r="AG410" s="28">
        <f>MAX(clean_data[[#This Row],[ATK]:[SPD]]) - MIN(clean_data[[#This Row],[ATK]:[SPD]])</f>
        <v>60</v>
      </c>
      <c r="AH410" s="28" t="str">
        <f>IF(clean_data[[#This Row],[Balanced Score]] = MIN(clean_data[Balanced Score]), "Most Balanced", "")</f>
        <v/>
      </c>
    </row>
    <row r="411" spans="1:34" x14ac:dyDescent="0.3">
      <c r="A411" s="2" t="s">
        <v>1411</v>
      </c>
      <c r="B411" s="2" t="s">
        <v>1412</v>
      </c>
      <c r="C411" s="2" t="s">
        <v>360</v>
      </c>
      <c r="D411" s="2" t="s">
        <v>254</v>
      </c>
      <c r="E411" s="2" t="s">
        <v>60</v>
      </c>
      <c r="F411" s="2" t="s">
        <v>42</v>
      </c>
      <c r="G411" s="2">
        <v>68</v>
      </c>
      <c r="H411" s="2" t="s">
        <v>73</v>
      </c>
      <c r="I411" s="2" t="s">
        <v>87</v>
      </c>
      <c r="J411" s="2" t="s">
        <v>111</v>
      </c>
      <c r="K411" s="2" t="s">
        <v>75</v>
      </c>
      <c r="L411" s="13">
        <v>44701</v>
      </c>
      <c r="M411" s="2">
        <v>67</v>
      </c>
      <c r="N411" s="2">
        <v>32</v>
      </c>
      <c r="O411" s="2">
        <v>33</v>
      </c>
      <c r="P411" s="2">
        <v>3698</v>
      </c>
      <c r="Q411" s="2">
        <v>1065</v>
      </c>
      <c r="R411" s="2">
        <v>132</v>
      </c>
      <c r="S411" s="2">
        <v>97</v>
      </c>
      <c r="T411" s="2">
        <v>85</v>
      </c>
      <c r="U411" s="2">
        <v>186</v>
      </c>
      <c r="V411" s="12">
        <f>ABS(RPG_dataset[[#This Row],[Win Rate (%)]])</f>
        <v>53</v>
      </c>
      <c r="W411" s="2">
        <v>8280</v>
      </c>
      <c r="X411" s="9">
        <v>106809</v>
      </c>
      <c r="Y411" s="2" t="s">
        <v>36</v>
      </c>
      <c r="Z411" s="2">
        <v>435</v>
      </c>
      <c r="AA411" s="2" t="s">
        <v>1725</v>
      </c>
      <c r="AB411" s="2" t="b">
        <v>0</v>
      </c>
      <c r="AC411" s="2" t="s">
        <v>1738</v>
      </c>
      <c r="AD411" s="2" t="s">
        <v>1727</v>
      </c>
      <c r="AE411" s="2" t="s">
        <v>1728</v>
      </c>
      <c r="AF411" s="2" t="s">
        <v>1729</v>
      </c>
      <c r="AG411" s="28">
        <f>MAX(clean_data[[#This Row],[ATK]:[SPD]]) - MIN(clean_data[[#This Row],[ATK]:[SPD]])</f>
        <v>35</v>
      </c>
      <c r="AH411" s="28" t="str">
        <f>IF(clean_data[[#This Row],[Balanced Score]] = MIN(clean_data[Balanced Score]), "Most Balanced", "")</f>
        <v/>
      </c>
    </row>
    <row r="412" spans="1:34" x14ac:dyDescent="0.3">
      <c r="A412" s="2" t="s">
        <v>1414</v>
      </c>
      <c r="B412" s="2" t="s">
        <v>1415</v>
      </c>
      <c r="C412" s="2" t="s">
        <v>543</v>
      </c>
      <c r="D412" s="2" t="s">
        <v>28</v>
      </c>
      <c r="E412" s="2" t="s">
        <v>51</v>
      </c>
      <c r="F412" s="2" t="s">
        <v>194</v>
      </c>
      <c r="G412" s="2">
        <v>2</v>
      </c>
      <c r="H412" s="2" t="s">
        <v>157</v>
      </c>
      <c r="I412" s="2" t="s">
        <v>87</v>
      </c>
      <c r="J412" s="2" t="s">
        <v>64</v>
      </c>
      <c r="K412" s="2" t="s">
        <v>44</v>
      </c>
      <c r="L412" s="13">
        <v>45526</v>
      </c>
      <c r="M412" s="2">
        <v>81</v>
      </c>
      <c r="N412" s="2">
        <v>58</v>
      </c>
      <c r="O412" s="2">
        <v>78</v>
      </c>
      <c r="P412" s="2">
        <v>3857</v>
      </c>
      <c r="Q412" s="2">
        <v>903</v>
      </c>
      <c r="R412" s="2"/>
      <c r="S412" s="2">
        <v>3543</v>
      </c>
      <c r="T412" s="2">
        <v>39</v>
      </c>
      <c r="U412" s="2">
        <v>49</v>
      </c>
      <c r="V412" s="12">
        <f>ABS(RPG_dataset[[#This Row],[Win Rate (%)]])</f>
        <v>99</v>
      </c>
      <c r="W412" s="2">
        <v>315</v>
      </c>
      <c r="X412" s="9">
        <v>29105</v>
      </c>
      <c r="Y412" s="2" t="s">
        <v>36</v>
      </c>
      <c r="Z412" s="2">
        <v>467</v>
      </c>
      <c r="AA412" s="2" t="s">
        <v>1735</v>
      </c>
      <c r="AB412" s="2" t="b">
        <v>1</v>
      </c>
      <c r="AC412" s="2" t="s">
        <v>1730</v>
      </c>
      <c r="AD412" s="2" t="s">
        <v>1727</v>
      </c>
      <c r="AE412" s="2" t="s">
        <v>1728</v>
      </c>
      <c r="AF412" s="2" t="s">
        <v>1729</v>
      </c>
      <c r="AG412" s="28">
        <f>MAX(clean_data[[#This Row],[ATK]:[SPD]]) - MIN(clean_data[[#This Row],[ATK]:[SPD]])</f>
        <v>23</v>
      </c>
      <c r="AH412" s="28" t="str">
        <f>IF(clean_data[[#This Row],[Balanced Score]] = MIN(clean_data[Balanced Score]), "Most Balanced", "")</f>
        <v/>
      </c>
    </row>
    <row r="413" spans="1:34" x14ac:dyDescent="0.3">
      <c r="A413" s="2" t="s">
        <v>1419</v>
      </c>
      <c r="B413" s="2" t="s">
        <v>1420</v>
      </c>
      <c r="C413" s="2" t="s">
        <v>27</v>
      </c>
      <c r="D413" s="2" t="s">
        <v>234</v>
      </c>
      <c r="E413" s="2" t="s">
        <v>105</v>
      </c>
      <c r="F413" s="2" t="s">
        <v>52</v>
      </c>
      <c r="G413" s="2">
        <v>50</v>
      </c>
      <c r="H413" s="2" t="s">
        <v>157</v>
      </c>
      <c r="I413" s="2" t="s">
        <v>87</v>
      </c>
      <c r="J413" s="2" t="s">
        <v>92</v>
      </c>
      <c r="K413" s="2" t="s">
        <v>106</v>
      </c>
      <c r="L413" s="13">
        <v>44145</v>
      </c>
      <c r="M413" s="2">
        <v>71</v>
      </c>
      <c r="N413" s="2">
        <v>130</v>
      </c>
      <c r="O413" s="2">
        <v>99</v>
      </c>
      <c r="P413" s="2">
        <v>779</v>
      </c>
      <c r="Q413" s="2">
        <v>1635</v>
      </c>
      <c r="R413" s="2">
        <v>300</v>
      </c>
      <c r="S413" s="2">
        <v>4651</v>
      </c>
      <c r="T413" s="2">
        <v>481</v>
      </c>
      <c r="U413" s="2">
        <v>89</v>
      </c>
      <c r="V413" s="12">
        <f>ABS(RPG_dataset[[#This Row],[Win Rate (%)]])</f>
        <v>91</v>
      </c>
      <c r="W413" s="2">
        <v>4772</v>
      </c>
      <c r="X413" s="9">
        <v>735863</v>
      </c>
      <c r="Y413" s="2" t="s">
        <v>36</v>
      </c>
      <c r="Z413" s="2">
        <v>136</v>
      </c>
      <c r="AA413" s="2" t="s">
        <v>1733</v>
      </c>
      <c r="AB413" s="2" t="b">
        <v>0</v>
      </c>
      <c r="AC413" s="2" t="s">
        <v>1730</v>
      </c>
      <c r="AD413" s="2" t="s">
        <v>1727</v>
      </c>
      <c r="AE413" s="2" t="s">
        <v>1728</v>
      </c>
      <c r="AF413" s="2" t="s">
        <v>1736</v>
      </c>
      <c r="AG413" s="28">
        <f>MAX(clean_data[[#This Row],[ATK]:[SPD]]) - MIN(clean_data[[#This Row],[ATK]:[SPD]])</f>
        <v>59</v>
      </c>
      <c r="AH413" s="28" t="str">
        <f>IF(clean_data[[#This Row],[Balanced Score]] = MIN(clean_data[Balanced Score]), "Most Balanced", "")</f>
        <v/>
      </c>
    </row>
    <row r="414" spans="1:34" x14ac:dyDescent="0.3">
      <c r="A414" s="2" t="s">
        <v>1422</v>
      </c>
      <c r="B414" s="2" t="s">
        <v>1423</v>
      </c>
      <c r="C414" s="2" t="s">
        <v>79</v>
      </c>
      <c r="D414" s="2" t="s">
        <v>28</v>
      </c>
      <c r="E414" s="2" t="s">
        <v>51</v>
      </c>
      <c r="F414" s="2" t="s">
        <v>61</v>
      </c>
      <c r="G414" s="2">
        <v>15</v>
      </c>
      <c r="H414" s="2" t="s">
        <v>125</v>
      </c>
      <c r="I414" s="2" t="s">
        <v>140</v>
      </c>
      <c r="J414" s="2" t="s">
        <v>163</v>
      </c>
      <c r="K414" s="2" t="s">
        <v>44</v>
      </c>
      <c r="L414" s="13">
        <v>45203</v>
      </c>
      <c r="M414" s="2">
        <v>48</v>
      </c>
      <c r="N414" s="2">
        <v>15</v>
      </c>
      <c r="O414" s="2">
        <v>113</v>
      </c>
      <c r="P414" s="2">
        <v>2182</v>
      </c>
      <c r="Q414" s="2">
        <v>118</v>
      </c>
      <c r="R414" s="2">
        <v>176</v>
      </c>
      <c r="S414" s="2">
        <v>1039</v>
      </c>
      <c r="T414" s="2">
        <v>465</v>
      </c>
      <c r="U414" s="2">
        <v>31</v>
      </c>
      <c r="V414" s="12">
        <f>ABS(RPG_dataset[[#This Row],[Win Rate (%)]])</f>
        <v>69</v>
      </c>
      <c r="W414" s="2">
        <v>3758</v>
      </c>
      <c r="X414" s="9">
        <v>452062</v>
      </c>
      <c r="Y414" s="2" t="s">
        <v>36</v>
      </c>
      <c r="Z414" s="2">
        <v>278</v>
      </c>
      <c r="AA414" s="2" t="s">
        <v>1735</v>
      </c>
      <c r="AB414" s="2" t="b">
        <v>1</v>
      </c>
      <c r="AC414" s="2" t="s">
        <v>1738</v>
      </c>
      <c r="AD414" s="2" t="s">
        <v>1727</v>
      </c>
      <c r="AE414" s="2" t="s">
        <v>1728</v>
      </c>
      <c r="AF414" s="2" t="s">
        <v>1740</v>
      </c>
      <c r="AG414" s="28">
        <f>MAX(clean_data[[#This Row],[ATK]:[SPD]]) - MIN(clean_data[[#This Row],[ATK]:[SPD]])</f>
        <v>98</v>
      </c>
      <c r="AH414" s="28" t="str">
        <f>IF(clean_data[[#This Row],[Balanced Score]] = MIN(clean_data[Balanced Score]), "Most Balanced", "")</f>
        <v/>
      </c>
    </row>
    <row r="415" spans="1:34" x14ac:dyDescent="0.3">
      <c r="A415" s="2" t="s">
        <v>1425</v>
      </c>
      <c r="B415" s="2" t="s">
        <v>1426</v>
      </c>
      <c r="C415" s="2" t="s">
        <v>276</v>
      </c>
      <c r="D415" s="2" t="s">
        <v>401</v>
      </c>
      <c r="E415" s="2" t="s">
        <v>169</v>
      </c>
      <c r="F415" s="2" t="s">
        <v>52</v>
      </c>
      <c r="G415" s="2">
        <v>44</v>
      </c>
      <c r="H415" s="2" t="s">
        <v>31</v>
      </c>
      <c r="I415" s="2" t="s">
        <v>63</v>
      </c>
      <c r="J415" s="2" t="s">
        <v>163</v>
      </c>
      <c r="K415" s="2" t="s">
        <v>99</v>
      </c>
      <c r="L415" s="13">
        <v>43458</v>
      </c>
      <c r="M415" s="2">
        <v>28</v>
      </c>
      <c r="N415" s="2">
        <v>62</v>
      </c>
      <c r="O415" s="2"/>
      <c r="P415" s="2">
        <v>2801</v>
      </c>
      <c r="Q415" s="2">
        <v>1169</v>
      </c>
      <c r="R415" s="2">
        <v>197</v>
      </c>
      <c r="S415" s="2">
        <v>3836</v>
      </c>
      <c r="T415" s="2">
        <v>45</v>
      </c>
      <c r="U415" s="2">
        <v>16</v>
      </c>
      <c r="V415" s="12">
        <f>ABS(RPG_dataset[[#This Row],[Win Rate (%)]])</f>
        <v>99</v>
      </c>
      <c r="W415" s="2">
        <v>8362</v>
      </c>
      <c r="X415" s="9">
        <v>990122</v>
      </c>
      <c r="Y415" s="2" t="s">
        <v>46</v>
      </c>
      <c r="Z415" s="2">
        <v>6</v>
      </c>
      <c r="AA415" s="2" t="s">
        <v>1733</v>
      </c>
      <c r="AB415" s="2" t="b">
        <v>0</v>
      </c>
      <c r="AC415" s="2" t="s">
        <v>1730</v>
      </c>
      <c r="AD415" s="2" t="s">
        <v>1727</v>
      </c>
      <c r="AE415" s="2" t="s">
        <v>1728</v>
      </c>
      <c r="AF415" s="2" t="s">
        <v>1729</v>
      </c>
      <c r="AG415" s="28">
        <f>MAX(clean_data[[#This Row],[ATK]:[SPD]]) - MIN(clean_data[[#This Row],[ATK]:[SPD]])</f>
        <v>34</v>
      </c>
      <c r="AH415" s="28" t="str">
        <f>IF(clean_data[[#This Row],[Balanced Score]] = MIN(clean_data[Balanced Score]), "Most Balanced", "")</f>
        <v/>
      </c>
    </row>
    <row r="416" spans="1:34" x14ac:dyDescent="0.3">
      <c r="A416" s="2" t="s">
        <v>1429</v>
      </c>
      <c r="B416" s="2" t="s">
        <v>1430</v>
      </c>
      <c r="C416" s="2" t="s">
        <v>97</v>
      </c>
      <c r="D416" s="2" t="s">
        <v>150</v>
      </c>
      <c r="E416" s="2" t="s">
        <v>60</v>
      </c>
      <c r="F416" s="2" t="s">
        <v>61</v>
      </c>
      <c r="G416" s="2">
        <v>87</v>
      </c>
      <c r="H416" s="2" t="s">
        <v>157</v>
      </c>
      <c r="I416" s="2" t="s">
        <v>126</v>
      </c>
      <c r="J416" s="2" t="s">
        <v>81</v>
      </c>
      <c r="K416" s="2" t="s">
        <v>44</v>
      </c>
      <c r="L416" s="13">
        <v>44678</v>
      </c>
      <c r="M416" s="2">
        <v>102</v>
      </c>
      <c r="N416" s="2">
        <v>111</v>
      </c>
      <c r="O416" s="2">
        <v>89</v>
      </c>
      <c r="P416" s="2">
        <v>721</v>
      </c>
      <c r="Q416" s="2">
        <v>2491</v>
      </c>
      <c r="R416" s="2">
        <v>302</v>
      </c>
      <c r="S416" s="2">
        <v>3017</v>
      </c>
      <c r="T416" s="2">
        <v>451</v>
      </c>
      <c r="U416" s="2">
        <v>66</v>
      </c>
      <c r="V416" s="12">
        <f>ABS(RPG_dataset[[#This Row],[Win Rate (%)]])</f>
        <v>87</v>
      </c>
      <c r="W416" s="2">
        <v>4347</v>
      </c>
      <c r="X416" s="9">
        <v>813373</v>
      </c>
      <c r="Y416" s="2" t="s">
        <v>36</v>
      </c>
      <c r="Z416" s="2">
        <v>99</v>
      </c>
      <c r="AA416" s="2" t="s">
        <v>1737</v>
      </c>
      <c r="AB416" s="2" t="b">
        <v>1</v>
      </c>
      <c r="AC416" s="2" t="s">
        <v>1730</v>
      </c>
      <c r="AD416" s="2" t="s">
        <v>1727</v>
      </c>
      <c r="AE416" s="2" t="s">
        <v>1731</v>
      </c>
      <c r="AF416" s="2" t="s">
        <v>1736</v>
      </c>
      <c r="AG416" s="28">
        <f>MAX(clean_data[[#This Row],[ATK]:[SPD]]) - MIN(clean_data[[#This Row],[ATK]:[SPD]])</f>
        <v>22</v>
      </c>
      <c r="AH416" s="28" t="str">
        <f>IF(clean_data[[#This Row],[Balanced Score]] = MIN(clean_data[Balanced Score]), "Most Balanced", "")</f>
        <v/>
      </c>
    </row>
    <row r="417" spans="1:34" x14ac:dyDescent="0.3">
      <c r="A417" s="2" t="s">
        <v>1432</v>
      </c>
      <c r="B417" s="2" t="s">
        <v>1433</v>
      </c>
      <c r="C417" s="2" t="s">
        <v>130</v>
      </c>
      <c r="D417" s="2" t="s">
        <v>119</v>
      </c>
      <c r="E417" s="2" t="s">
        <v>51</v>
      </c>
      <c r="F417" s="2" t="s">
        <v>98</v>
      </c>
      <c r="G417" s="2">
        <v>90</v>
      </c>
      <c r="H417" s="2" t="s">
        <v>80</v>
      </c>
      <c r="I417" s="2" t="s">
        <v>74</v>
      </c>
      <c r="J417" s="2" t="s">
        <v>120</v>
      </c>
      <c r="K417" s="2" t="s">
        <v>106</v>
      </c>
      <c r="L417" s="13">
        <v>43284</v>
      </c>
      <c r="M417" s="2">
        <v>146</v>
      </c>
      <c r="N417" s="2">
        <v>29</v>
      </c>
      <c r="O417" s="2">
        <v>127</v>
      </c>
      <c r="P417" s="2">
        <v>4576</v>
      </c>
      <c r="Q417" s="2">
        <v>2793</v>
      </c>
      <c r="R417" s="2">
        <v>302</v>
      </c>
      <c r="S417" s="2">
        <v>2610</v>
      </c>
      <c r="T417" s="2">
        <v>998</v>
      </c>
      <c r="U417" s="2">
        <v>124</v>
      </c>
      <c r="V417" s="12">
        <f>ABS(RPG_dataset[[#This Row],[Win Rate (%)]])</f>
        <v>72</v>
      </c>
      <c r="W417" s="2">
        <v>1583</v>
      </c>
      <c r="X417" s="9">
        <v>426999</v>
      </c>
      <c r="Y417" s="2" t="s">
        <v>36</v>
      </c>
      <c r="Z417" s="2">
        <v>292</v>
      </c>
      <c r="AA417" s="2" t="s">
        <v>1737</v>
      </c>
      <c r="AB417" s="2" t="b">
        <v>0</v>
      </c>
      <c r="AC417" s="2" t="s">
        <v>1730</v>
      </c>
      <c r="AD417" s="2" t="s">
        <v>1727</v>
      </c>
      <c r="AE417" s="2" t="s">
        <v>1731</v>
      </c>
      <c r="AF417" s="2" t="s">
        <v>1736</v>
      </c>
      <c r="AG417" s="28">
        <f>MAX(clean_data[[#This Row],[ATK]:[SPD]]) - MIN(clean_data[[#This Row],[ATK]:[SPD]])</f>
        <v>117</v>
      </c>
      <c r="AH417" s="28" t="str">
        <f>IF(clean_data[[#This Row],[Balanced Score]] = MIN(clean_data[Balanced Score]), "Most Balanced", "")</f>
        <v/>
      </c>
    </row>
    <row r="418" spans="1:34" x14ac:dyDescent="0.3">
      <c r="A418" s="2" t="s">
        <v>1435</v>
      </c>
      <c r="B418" s="2" t="s">
        <v>1436</v>
      </c>
      <c r="C418" s="2" t="s">
        <v>130</v>
      </c>
      <c r="D418" s="2" t="s">
        <v>250</v>
      </c>
      <c r="E418" s="2" t="s">
        <v>29</v>
      </c>
      <c r="F418" s="2" t="s">
        <v>194</v>
      </c>
      <c r="G418" s="2">
        <v>16</v>
      </c>
      <c r="H418" s="2" t="s">
        <v>53</v>
      </c>
      <c r="I418" s="2" t="s">
        <v>126</v>
      </c>
      <c r="J418" s="2" t="s">
        <v>88</v>
      </c>
      <c r="K418" s="2" t="s">
        <v>106</v>
      </c>
      <c r="L418" s="13">
        <v>45379</v>
      </c>
      <c r="M418" s="2">
        <v>84</v>
      </c>
      <c r="N418" s="2"/>
      <c r="O418" s="2">
        <v>74</v>
      </c>
      <c r="P418" s="2">
        <v>4940</v>
      </c>
      <c r="Q418" s="2">
        <v>1174</v>
      </c>
      <c r="R418" s="2">
        <v>264</v>
      </c>
      <c r="S418" s="2">
        <v>1615</v>
      </c>
      <c r="T418" s="2"/>
      <c r="U418" s="2">
        <v>184</v>
      </c>
      <c r="V418" s="12">
        <f>ABS(RPG_dataset[[#This Row],[Win Rate (%)]])</f>
        <v>87</v>
      </c>
      <c r="W418" s="2">
        <v>6945</v>
      </c>
      <c r="X418" s="9">
        <v>800361</v>
      </c>
      <c r="Y418" s="2" t="s">
        <v>36</v>
      </c>
      <c r="Z418" s="2">
        <v>104</v>
      </c>
      <c r="AA418" s="2" t="s">
        <v>1735</v>
      </c>
      <c r="AB418" s="2" t="b">
        <v>0</v>
      </c>
      <c r="AC418" s="2" t="s">
        <v>1730</v>
      </c>
      <c r="AD418" s="2" t="s">
        <v>1727</v>
      </c>
      <c r="AE418" s="2" t="s">
        <v>1728</v>
      </c>
      <c r="AF418" s="2" t="s">
        <v>1732</v>
      </c>
      <c r="AG418" s="28">
        <f>MAX(clean_data[[#This Row],[ATK]:[SPD]]) - MIN(clean_data[[#This Row],[ATK]:[SPD]])</f>
        <v>10</v>
      </c>
      <c r="AH418" s="28" t="str">
        <f>IF(clean_data[[#This Row],[Balanced Score]] = MIN(clean_data[Balanced Score]), "Most Balanced", "")</f>
        <v/>
      </c>
    </row>
    <row r="419" spans="1:34" x14ac:dyDescent="0.3">
      <c r="A419" s="2" t="s">
        <v>1438</v>
      </c>
      <c r="B419" s="2" t="s">
        <v>1439</v>
      </c>
      <c r="C419" s="2" t="s">
        <v>689</v>
      </c>
      <c r="D419" s="2" t="s">
        <v>277</v>
      </c>
      <c r="E419" s="2" t="s">
        <v>60</v>
      </c>
      <c r="F419" s="2" t="s">
        <v>124</v>
      </c>
      <c r="G419" s="2">
        <v>84</v>
      </c>
      <c r="H419" s="2" t="s">
        <v>125</v>
      </c>
      <c r="I419" s="2" t="s">
        <v>126</v>
      </c>
      <c r="J419" s="2" t="s">
        <v>88</v>
      </c>
      <c r="K419" s="2" t="s">
        <v>44</v>
      </c>
      <c r="L419" s="13">
        <v>43835</v>
      </c>
      <c r="M419" s="2">
        <v>147</v>
      </c>
      <c r="N419" s="2">
        <v>124</v>
      </c>
      <c r="O419" s="2">
        <v>18</v>
      </c>
      <c r="P419" s="2">
        <v>1635</v>
      </c>
      <c r="Q419" s="2">
        <v>829</v>
      </c>
      <c r="R419" s="2">
        <v>289</v>
      </c>
      <c r="S419" s="2">
        <v>2158</v>
      </c>
      <c r="T419" s="2">
        <v>157</v>
      </c>
      <c r="U419" s="2">
        <v>164</v>
      </c>
      <c r="V419" s="12">
        <f>ABS(RPG_dataset[[#This Row],[Win Rate (%)]])</f>
        <v>93</v>
      </c>
      <c r="W419" s="2">
        <v>941</v>
      </c>
      <c r="X419" s="9">
        <v>930317</v>
      </c>
      <c r="Y419" s="2" t="s">
        <v>46</v>
      </c>
      <c r="Z419" s="2">
        <v>35</v>
      </c>
      <c r="AA419" s="2" t="s">
        <v>1737</v>
      </c>
      <c r="AB419" s="2" t="b">
        <v>1</v>
      </c>
      <c r="AC419" s="2" t="s">
        <v>1730</v>
      </c>
      <c r="AD419" s="2" t="s">
        <v>1727</v>
      </c>
      <c r="AE419" s="2" t="s">
        <v>1728</v>
      </c>
      <c r="AF419" s="2" t="s">
        <v>1729</v>
      </c>
      <c r="AG419" s="28">
        <f>MAX(clean_data[[#This Row],[ATK]:[SPD]]) - MIN(clean_data[[#This Row],[ATK]:[SPD]])</f>
        <v>129</v>
      </c>
      <c r="AH419" s="28" t="str">
        <f>IF(clean_data[[#This Row],[Balanced Score]] = MIN(clean_data[Balanced Score]), "Most Balanced", "")</f>
        <v/>
      </c>
    </row>
    <row r="420" spans="1:34" x14ac:dyDescent="0.3">
      <c r="A420" s="2" t="s">
        <v>1441</v>
      </c>
      <c r="B420" s="2" t="s">
        <v>1442</v>
      </c>
      <c r="C420" s="2" t="s">
        <v>543</v>
      </c>
      <c r="D420" s="2" t="s">
        <v>250</v>
      </c>
      <c r="E420" s="2" t="s">
        <v>71</v>
      </c>
      <c r="F420" s="2" t="s">
        <v>42</v>
      </c>
      <c r="G420" s="2">
        <v>66</v>
      </c>
      <c r="H420" s="2" t="s">
        <v>73</v>
      </c>
      <c r="I420" s="2" t="s">
        <v>54</v>
      </c>
      <c r="J420" s="2" t="s">
        <v>88</v>
      </c>
      <c r="K420" s="2" t="s">
        <v>44</v>
      </c>
      <c r="L420" s="13">
        <v>43900</v>
      </c>
      <c r="M420" s="2">
        <v>66</v>
      </c>
      <c r="N420" s="2">
        <v>60</v>
      </c>
      <c r="O420" s="2">
        <v>148</v>
      </c>
      <c r="P420" s="2">
        <v>2055</v>
      </c>
      <c r="Q420" s="2">
        <v>604</v>
      </c>
      <c r="R420" s="2">
        <v>274</v>
      </c>
      <c r="S420" s="2">
        <v>1961</v>
      </c>
      <c r="T420" s="2">
        <v>774</v>
      </c>
      <c r="U420" s="2">
        <v>293</v>
      </c>
      <c r="V420" s="12">
        <f>ABS(RPG_dataset[[#This Row],[Win Rate (%)]])</f>
        <v>72</v>
      </c>
      <c r="W420" s="2">
        <v>8640</v>
      </c>
      <c r="X420" s="9">
        <v>502559</v>
      </c>
      <c r="Y420" s="2" t="s">
        <v>36</v>
      </c>
      <c r="Z420" s="2">
        <v>250</v>
      </c>
      <c r="AA420" s="2" t="s">
        <v>1725</v>
      </c>
      <c r="AB420" s="2" t="b">
        <v>0</v>
      </c>
      <c r="AC420" s="2" t="s">
        <v>1730</v>
      </c>
      <c r="AD420" s="2" t="s">
        <v>1727</v>
      </c>
      <c r="AE420" s="2" t="s">
        <v>1731</v>
      </c>
      <c r="AF420" s="2" t="s">
        <v>1736</v>
      </c>
      <c r="AG420" s="28">
        <f>MAX(clean_data[[#This Row],[ATK]:[SPD]]) - MIN(clean_data[[#This Row],[ATK]:[SPD]])</f>
        <v>88</v>
      </c>
      <c r="AH420" s="28" t="str">
        <f>IF(clean_data[[#This Row],[Balanced Score]] = MIN(clean_data[Balanced Score]), "Most Balanced", "")</f>
        <v/>
      </c>
    </row>
    <row r="421" spans="1:34" x14ac:dyDescent="0.3">
      <c r="A421" s="2" t="s">
        <v>1444</v>
      </c>
      <c r="B421" s="2" t="s">
        <v>1445</v>
      </c>
      <c r="C421" s="2" t="s">
        <v>58</v>
      </c>
      <c r="D421" s="2" t="s">
        <v>75</v>
      </c>
      <c r="E421" s="2" t="s">
        <v>169</v>
      </c>
      <c r="F421" s="2" t="s">
        <v>61</v>
      </c>
      <c r="G421" s="2">
        <v>92</v>
      </c>
      <c r="H421" s="2" t="s">
        <v>80</v>
      </c>
      <c r="I421" s="2" t="s">
        <v>63</v>
      </c>
      <c r="J421" s="2" t="s">
        <v>33</v>
      </c>
      <c r="K421" s="2" t="s">
        <v>44</v>
      </c>
      <c r="L421" s="13">
        <v>44182</v>
      </c>
      <c r="M421" s="2">
        <v>11</v>
      </c>
      <c r="N421" s="2">
        <v>148</v>
      </c>
      <c r="O421" s="2">
        <v>134</v>
      </c>
      <c r="P421" s="2">
        <v>3082</v>
      </c>
      <c r="Q421" s="2">
        <v>602</v>
      </c>
      <c r="R421" s="2">
        <v>293</v>
      </c>
      <c r="S421" s="2">
        <v>16</v>
      </c>
      <c r="T421" s="2">
        <v>938</v>
      </c>
      <c r="U421" s="2">
        <v>284</v>
      </c>
      <c r="V421" s="12">
        <f>ABS(RPG_dataset[[#This Row],[Win Rate (%)]])</f>
        <v>2</v>
      </c>
      <c r="W421" s="2">
        <v>47</v>
      </c>
      <c r="X421" s="9">
        <v>45907</v>
      </c>
      <c r="Y421" s="2" t="s">
        <v>36</v>
      </c>
      <c r="Z421" s="2">
        <v>460</v>
      </c>
      <c r="AA421" s="2" t="s">
        <v>1737</v>
      </c>
      <c r="AB421" s="2" t="b">
        <v>1</v>
      </c>
      <c r="AC421" s="2" t="s">
        <v>1726</v>
      </c>
      <c r="AD421" s="2" t="s">
        <v>1727</v>
      </c>
      <c r="AE421" s="2" t="s">
        <v>1728</v>
      </c>
      <c r="AF421" s="2" t="s">
        <v>1736</v>
      </c>
      <c r="AG421" s="28">
        <f>MAX(clean_data[[#This Row],[ATK]:[SPD]]) - MIN(clean_data[[#This Row],[ATK]:[SPD]])</f>
        <v>137</v>
      </c>
      <c r="AH421" s="28" t="str">
        <f>IF(clean_data[[#This Row],[Balanced Score]] = MIN(clean_data[Balanced Score]), "Most Balanced", "")</f>
        <v/>
      </c>
    </row>
    <row r="422" spans="1:34" x14ac:dyDescent="0.3">
      <c r="A422" s="2" t="s">
        <v>1447</v>
      </c>
      <c r="B422" s="2" t="s">
        <v>1448</v>
      </c>
      <c r="C422" s="2" t="s">
        <v>79</v>
      </c>
      <c r="D422" s="2" t="s">
        <v>144</v>
      </c>
      <c r="E422" s="2" t="s">
        <v>75</v>
      </c>
      <c r="F422" s="2" t="s">
        <v>124</v>
      </c>
      <c r="G422" s="2">
        <v>42</v>
      </c>
      <c r="H422" s="2" t="s">
        <v>125</v>
      </c>
      <c r="I422" s="2" t="s">
        <v>54</v>
      </c>
      <c r="J422" s="2" t="s">
        <v>64</v>
      </c>
      <c r="K422" s="2" t="s">
        <v>44</v>
      </c>
      <c r="L422" s="13">
        <v>43533</v>
      </c>
      <c r="M422" s="2">
        <v>127</v>
      </c>
      <c r="N422" s="2">
        <v>10</v>
      </c>
      <c r="O422" s="2">
        <v>147</v>
      </c>
      <c r="P422" s="2">
        <v>1379</v>
      </c>
      <c r="Q422" s="2">
        <v>1681</v>
      </c>
      <c r="R422" s="2">
        <v>284</v>
      </c>
      <c r="S422" s="2"/>
      <c r="T422" s="2">
        <v>874</v>
      </c>
      <c r="U422" s="2">
        <v>81</v>
      </c>
      <c r="V422" s="12">
        <f>ABS(RPG_dataset[[#This Row],[Win Rate (%)]])</f>
        <v>72</v>
      </c>
      <c r="W422" s="2">
        <v>8561</v>
      </c>
      <c r="X422" s="9">
        <v>354305</v>
      </c>
      <c r="Y422" s="2" t="s">
        <v>36</v>
      </c>
      <c r="Z422" s="2">
        <v>328</v>
      </c>
      <c r="AA422" s="2" t="s">
        <v>1733</v>
      </c>
      <c r="AB422" s="2" t="b">
        <v>1</v>
      </c>
      <c r="AC422" s="2" t="s">
        <v>1730</v>
      </c>
      <c r="AD422" s="2" t="s">
        <v>1727</v>
      </c>
      <c r="AE422" s="2" t="s">
        <v>1728</v>
      </c>
      <c r="AF422" s="2" t="s">
        <v>1736</v>
      </c>
      <c r="AG422" s="28">
        <f>MAX(clean_data[[#This Row],[ATK]:[SPD]]) - MIN(clean_data[[#This Row],[ATK]:[SPD]])</f>
        <v>137</v>
      </c>
      <c r="AH422" s="28" t="str">
        <f>IF(clean_data[[#This Row],[Balanced Score]] = MIN(clean_data[Balanced Score]), "Most Balanced", "")</f>
        <v/>
      </c>
    </row>
    <row r="423" spans="1:34" x14ac:dyDescent="0.3">
      <c r="A423" s="2" t="s">
        <v>1450</v>
      </c>
      <c r="B423" s="2" t="s">
        <v>1451</v>
      </c>
      <c r="C423" s="2" t="s">
        <v>693</v>
      </c>
      <c r="D423" s="2" t="s">
        <v>40</v>
      </c>
      <c r="E423" s="2" t="s">
        <v>105</v>
      </c>
      <c r="F423" s="2" t="s">
        <v>42</v>
      </c>
      <c r="G423" s="2">
        <v>31</v>
      </c>
      <c r="H423" s="2" t="s">
        <v>125</v>
      </c>
      <c r="I423" s="2" t="s">
        <v>140</v>
      </c>
      <c r="J423" s="2" t="s">
        <v>111</v>
      </c>
      <c r="K423" s="2" t="s">
        <v>106</v>
      </c>
      <c r="L423" s="13">
        <v>43107</v>
      </c>
      <c r="M423" s="2">
        <v>34</v>
      </c>
      <c r="N423" s="2">
        <v>23</v>
      </c>
      <c r="O423" s="2">
        <v>52</v>
      </c>
      <c r="P423" s="2">
        <v>2029</v>
      </c>
      <c r="Q423" s="2">
        <v>357</v>
      </c>
      <c r="R423" s="2">
        <v>109</v>
      </c>
      <c r="S423" s="2">
        <v>4966</v>
      </c>
      <c r="T423" s="2">
        <v>901</v>
      </c>
      <c r="U423" s="2">
        <v>167</v>
      </c>
      <c r="V423" s="12">
        <f>ABS(RPG_dataset[[#This Row],[Win Rate (%)]])</f>
        <v>85</v>
      </c>
      <c r="W423" s="2">
        <v>7122</v>
      </c>
      <c r="X423" s="9">
        <v>84095</v>
      </c>
      <c r="Y423" s="2" t="s">
        <v>36</v>
      </c>
      <c r="Z423" s="2">
        <v>445</v>
      </c>
      <c r="AA423" s="2" t="s">
        <v>1733</v>
      </c>
      <c r="AB423" s="2" t="b">
        <v>0</v>
      </c>
      <c r="AC423" s="2" t="s">
        <v>1730</v>
      </c>
      <c r="AD423" s="2" t="s">
        <v>1727</v>
      </c>
      <c r="AE423" s="2" t="s">
        <v>1728</v>
      </c>
      <c r="AF423" s="2" t="s">
        <v>1740</v>
      </c>
      <c r="AG423" s="28">
        <f>MAX(clean_data[[#This Row],[ATK]:[SPD]]) - MIN(clean_data[[#This Row],[ATK]:[SPD]])</f>
        <v>29</v>
      </c>
      <c r="AH423" s="28" t="str">
        <f>IF(clean_data[[#This Row],[Balanced Score]] = MIN(clean_data[Balanced Score]), "Most Balanced", "")</f>
        <v/>
      </c>
    </row>
    <row r="424" spans="1:34" x14ac:dyDescent="0.3">
      <c r="A424" s="2" t="s">
        <v>1453</v>
      </c>
      <c r="B424" s="2" t="s">
        <v>1454</v>
      </c>
      <c r="C424" s="2" t="s">
        <v>223</v>
      </c>
      <c r="D424" s="2" t="s">
        <v>349</v>
      </c>
      <c r="E424" s="2" t="s">
        <v>169</v>
      </c>
      <c r="F424" s="2" t="s">
        <v>72</v>
      </c>
      <c r="G424" s="2">
        <v>51</v>
      </c>
      <c r="H424" s="2" t="s">
        <v>62</v>
      </c>
      <c r="I424" s="2" t="s">
        <v>54</v>
      </c>
      <c r="J424" s="2" t="s">
        <v>163</v>
      </c>
      <c r="K424" s="2" t="s">
        <v>44</v>
      </c>
      <c r="L424" s="13">
        <v>44822</v>
      </c>
      <c r="M424" s="2">
        <v>146</v>
      </c>
      <c r="N424" s="2">
        <v>140</v>
      </c>
      <c r="O424" s="2">
        <v>124</v>
      </c>
      <c r="P424" s="2">
        <v>3321</v>
      </c>
      <c r="Q424" s="2">
        <v>1288</v>
      </c>
      <c r="R424" s="2">
        <v>410</v>
      </c>
      <c r="S424" s="2">
        <v>3914</v>
      </c>
      <c r="T424" s="2">
        <v>902</v>
      </c>
      <c r="U424" s="2">
        <v>48</v>
      </c>
      <c r="V424" s="12">
        <f>ABS(RPG_dataset[[#This Row],[Win Rate (%)]])</f>
        <v>81</v>
      </c>
      <c r="W424" s="2">
        <v>9993</v>
      </c>
      <c r="X424" s="9">
        <v>291652</v>
      </c>
      <c r="Y424" s="2" t="s">
        <v>46</v>
      </c>
      <c r="Z424" s="2">
        <v>355</v>
      </c>
      <c r="AA424" s="2" t="s">
        <v>1725</v>
      </c>
      <c r="AB424" s="2" t="b">
        <v>1</v>
      </c>
      <c r="AC424" s="2" t="s">
        <v>1730</v>
      </c>
      <c r="AD424" s="2" t="s">
        <v>1727</v>
      </c>
      <c r="AE424" s="2" t="s">
        <v>1728</v>
      </c>
      <c r="AF424" s="2" t="s">
        <v>1739</v>
      </c>
      <c r="AG424" s="28">
        <f>MAX(clean_data[[#This Row],[ATK]:[SPD]]) - MIN(clean_data[[#This Row],[ATK]:[SPD]])</f>
        <v>22</v>
      </c>
      <c r="AH424" s="28" t="str">
        <f>IF(clean_data[[#This Row],[Balanced Score]] = MIN(clean_data[Balanced Score]), "Most Balanced", "")</f>
        <v/>
      </c>
    </row>
    <row r="425" spans="1:34" x14ac:dyDescent="0.3">
      <c r="A425" s="2" t="s">
        <v>1456</v>
      </c>
      <c r="B425" s="2" t="s">
        <v>1457</v>
      </c>
      <c r="C425" s="2" t="s">
        <v>39</v>
      </c>
      <c r="D425" s="2" t="s">
        <v>174</v>
      </c>
      <c r="E425" s="2" t="s">
        <v>71</v>
      </c>
      <c r="F425" s="2" t="s">
        <v>124</v>
      </c>
      <c r="G425" s="2">
        <v>30</v>
      </c>
      <c r="H425" s="2" t="s">
        <v>31</v>
      </c>
      <c r="I425" s="2" t="s">
        <v>140</v>
      </c>
      <c r="J425" s="2" t="s">
        <v>33</v>
      </c>
      <c r="K425" s="2" t="s">
        <v>99</v>
      </c>
      <c r="L425" s="13">
        <v>45378</v>
      </c>
      <c r="M425" s="2">
        <v>69</v>
      </c>
      <c r="N425" s="2">
        <v>69</v>
      </c>
      <c r="O425" s="2">
        <v>101</v>
      </c>
      <c r="P425" s="2">
        <v>503</v>
      </c>
      <c r="Q425" s="2">
        <v>2505</v>
      </c>
      <c r="R425" s="2">
        <v>239</v>
      </c>
      <c r="S425" s="2">
        <v>4945</v>
      </c>
      <c r="T425" s="2">
        <v>707</v>
      </c>
      <c r="U425" s="2">
        <v>175</v>
      </c>
      <c r="V425" s="12">
        <f>ABS(RPG_dataset[[#This Row],[Win Rate (%)]])</f>
        <v>87</v>
      </c>
      <c r="W425" s="2">
        <v>7987</v>
      </c>
      <c r="X425" s="9">
        <v>986359</v>
      </c>
      <c r="Y425" s="2" t="s">
        <v>46</v>
      </c>
      <c r="Z425" s="2">
        <v>8</v>
      </c>
      <c r="AA425" s="2" t="s">
        <v>1733</v>
      </c>
      <c r="AB425" s="2" t="b">
        <v>0</v>
      </c>
      <c r="AC425" s="2" t="s">
        <v>1730</v>
      </c>
      <c r="AD425" s="2" t="s">
        <v>1727</v>
      </c>
      <c r="AE425" s="2" t="s">
        <v>1728</v>
      </c>
      <c r="AF425" s="2" t="s">
        <v>1740</v>
      </c>
      <c r="AG425" s="28">
        <f>MAX(clean_data[[#This Row],[ATK]:[SPD]]) - MIN(clean_data[[#This Row],[ATK]:[SPD]])</f>
        <v>32</v>
      </c>
      <c r="AH425" s="28" t="str">
        <f>IF(clean_data[[#This Row],[Balanced Score]] = MIN(clean_data[Balanced Score]), "Most Balanced", "")</f>
        <v/>
      </c>
    </row>
    <row r="426" spans="1:34" x14ac:dyDescent="0.3">
      <c r="A426" s="2" t="s">
        <v>1459</v>
      </c>
      <c r="B426" s="2" t="s">
        <v>1460</v>
      </c>
      <c r="C426" s="2" t="s">
        <v>238</v>
      </c>
      <c r="D426" s="2" t="s">
        <v>28</v>
      </c>
      <c r="E426" s="2" t="s">
        <v>60</v>
      </c>
      <c r="F426" s="2" t="s">
        <v>98</v>
      </c>
      <c r="G426" s="2">
        <v>52</v>
      </c>
      <c r="H426" s="2" t="s">
        <v>73</v>
      </c>
      <c r="I426" s="2" t="s">
        <v>63</v>
      </c>
      <c r="J426" s="2" t="s">
        <v>88</v>
      </c>
      <c r="K426" s="2" t="s">
        <v>34</v>
      </c>
      <c r="L426" s="13">
        <v>43535</v>
      </c>
      <c r="M426" s="2">
        <v>28</v>
      </c>
      <c r="N426" s="2">
        <v>73</v>
      </c>
      <c r="O426" s="2">
        <v>143</v>
      </c>
      <c r="P426" s="2"/>
      <c r="Q426" s="2">
        <v>2246</v>
      </c>
      <c r="R426" s="2">
        <v>244</v>
      </c>
      <c r="S426" s="2">
        <v>3585</v>
      </c>
      <c r="T426" s="2">
        <v>450</v>
      </c>
      <c r="U426" s="2">
        <v>205</v>
      </c>
      <c r="V426" s="12">
        <f>ABS(RPG_dataset[[#This Row],[Win Rate (%)]])</f>
        <v>89</v>
      </c>
      <c r="W426" s="2">
        <v>4798</v>
      </c>
      <c r="X426" s="9">
        <v>424915</v>
      </c>
      <c r="Y426" s="2" t="s">
        <v>46</v>
      </c>
      <c r="Z426" s="2">
        <v>294</v>
      </c>
      <c r="AA426" s="2" t="s">
        <v>1725</v>
      </c>
      <c r="AB426" s="2" t="b">
        <v>0</v>
      </c>
      <c r="AC426" s="2" t="s">
        <v>1730</v>
      </c>
      <c r="AD426" s="2" t="s">
        <v>1727</v>
      </c>
      <c r="AE426" s="2" t="s">
        <v>1728</v>
      </c>
      <c r="AF426" s="2" t="s">
        <v>1736</v>
      </c>
      <c r="AG426" s="28">
        <f>MAX(clean_data[[#This Row],[ATK]:[SPD]]) - MIN(clean_data[[#This Row],[ATK]:[SPD]])</f>
        <v>115</v>
      </c>
      <c r="AH426" s="28" t="str">
        <f>IF(clean_data[[#This Row],[Balanced Score]] = MIN(clean_data[Balanced Score]), "Most Balanced", "")</f>
        <v/>
      </c>
    </row>
    <row r="427" spans="1:34" x14ac:dyDescent="0.3">
      <c r="A427" s="2" t="s">
        <v>1462</v>
      </c>
      <c r="B427" s="2" t="s">
        <v>1463</v>
      </c>
      <c r="C427" s="2" t="s">
        <v>253</v>
      </c>
      <c r="D427" s="2" t="s">
        <v>155</v>
      </c>
      <c r="E427" s="2" t="s">
        <v>41</v>
      </c>
      <c r="F427" s="2" t="s">
        <v>194</v>
      </c>
      <c r="G427" s="2">
        <v>33</v>
      </c>
      <c r="H427" s="2" t="s">
        <v>53</v>
      </c>
      <c r="I427" s="2" t="s">
        <v>126</v>
      </c>
      <c r="J427" s="2" t="s">
        <v>81</v>
      </c>
      <c r="K427" s="2" t="s">
        <v>34</v>
      </c>
      <c r="L427" s="13">
        <v>43673</v>
      </c>
      <c r="M427" s="2">
        <v>47</v>
      </c>
      <c r="N427" s="2">
        <v>49</v>
      </c>
      <c r="O427" s="2">
        <v>56</v>
      </c>
      <c r="P427" s="2">
        <v>480</v>
      </c>
      <c r="Q427" s="2">
        <v>2452</v>
      </c>
      <c r="R427" s="2">
        <v>152</v>
      </c>
      <c r="S427" s="2">
        <v>1513</v>
      </c>
      <c r="T427" s="2">
        <v>563</v>
      </c>
      <c r="U427" s="2">
        <v>123</v>
      </c>
      <c r="V427" s="12">
        <f>ABS(RPG_dataset[[#This Row],[Win Rate (%)]])</f>
        <v>73</v>
      </c>
      <c r="W427" s="2">
        <v>2963</v>
      </c>
      <c r="X427" s="9"/>
      <c r="Y427" s="2" t="s">
        <v>36</v>
      </c>
      <c r="Z427" s="2">
        <v>486</v>
      </c>
      <c r="AA427" s="2" t="s">
        <v>1733</v>
      </c>
      <c r="AB427" s="2" t="b">
        <v>0</v>
      </c>
      <c r="AC427" s="2" t="s">
        <v>1730</v>
      </c>
      <c r="AD427" s="2" t="s">
        <v>1727</v>
      </c>
      <c r="AE427" s="2" t="s">
        <v>1728</v>
      </c>
      <c r="AF427" s="2" t="s">
        <v>1729</v>
      </c>
      <c r="AG427" s="28">
        <f>MAX(clean_data[[#This Row],[ATK]:[SPD]]) - MIN(clean_data[[#This Row],[ATK]:[SPD]])</f>
        <v>9</v>
      </c>
      <c r="AH427" s="28" t="str">
        <f>IF(clean_data[[#This Row],[Balanced Score]] = MIN(clean_data[Balanced Score]), "Most Balanced", "")</f>
        <v/>
      </c>
    </row>
    <row r="428" spans="1:34" x14ac:dyDescent="0.3">
      <c r="A428" s="2" t="s">
        <v>1465</v>
      </c>
      <c r="B428" s="2" t="s">
        <v>1466</v>
      </c>
      <c r="C428" s="2" t="s">
        <v>223</v>
      </c>
      <c r="D428" s="2" t="s">
        <v>155</v>
      </c>
      <c r="E428" s="2" t="s">
        <v>60</v>
      </c>
      <c r="F428" s="2" t="s">
        <v>42</v>
      </c>
      <c r="G428" s="2"/>
      <c r="H428" s="2" t="s">
        <v>43</v>
      </c>
      <c r="I428" s="2" t="s">
        <v>87</v>
      </c>
      <c r="J428" s="2" t="s">
        <v>64</v>
      </c>
      <c r="K428" s="2" t="s">
        <v>44</v>
      </c>
      <c r="L428" s="13">
        <v>43874</v>
      </c>
      <c r="M428" s="2">
        <v>70</v>
      </c>
      <c r="N428" s="2">
        <v>25</v>
      </c>
      <c r="O428" s="2">
        <v>121</v>
      </c>
      <c r="P428" s="2">
        <v>4103</v>
      </c>
      <c r="Q428" s="2">
        <v>817</v>
      </c>
      <c r="R428" s="2">
        <v>216</v>
      </c>
      <c r="S428" s="2">
        <v>818</v>
      </c>
      <c r="T428" s="2">
        <v>948</v>
      </c>
      <c r="U428" s="2">
        <v>222</v>
      </c>
      <c r="V428" s="12">
        <f>ABS(RPG_dataset[[#This Row],[Win Rate (%)]])</f>
        <v>46</v>
      </c>
      <c r="W428" s="2">
        <v>139</v>
      </c>
      <c r="X428" s="9">
        <v>161850</v>
      </c>
      <c r="Y428" s="2" t="s">
        <v>36</v>
      </c>
      <c r="Z428" s="2">
        <v>418</v>
      </c>
      <c r="AA428" s="2" t="s">
        <v>1735</v>
      </c>
      <c r="AB428" s="2" t="b">
        <v>1</v>
      </c>
      <c r="AC428" s="2" t="s">
        <v>1738</v>
      </c>
      <c r="AD428" s="2" t="s">
        <v>1727</v>
      </c>
      <c r="AE428" s="2" t="s">
        <v>1728</v>
      </c>
      <c r="AF428" s="2" t="s">
        <v>1736</v>
      </c>
      <c r="AG428" s="28">
        <f>MAX(clean_data[[#This Row],[ATK]:[SPD]]) - MIN(clean_data[[#This Row],[ATK]:[SPD]])</f>
        <v>96</v>
      </c>
      <c r="AH428" s="28" t="str">
        <f>IF(clean_data[[#This Row],[Balanced Score]] = MIN(clean_data[Balanced Score]), "Most Balanced", "")</f>
        <v/>
      </c>
    </row>
    <row r="429" spans="1:34" x14ac:dyDescent="0.3">
      <c r="A429" s="2" t="s">
        <v>1468</v>
      </c>
      <c r="B429" s="2" t="s">
        <v>1469</v>
      </c>
      <c r="C429" s="2" t="s">
        <v>173</v>
      </c>
      <c r="D429" s="2" t="s">
        <v>144</v>
      </c>
      <c r="E429" s="2" t="s">
        <v>71</v>
      </c>
      <c r="F429" s="2" t="s">
        <v>72</v>
      </c>
      <c r="G429" s="2">
        <v>100</v>
      </c>
      <c r="H429" s="2" t="s">
        <v>157</v>
      </c>
      <c r="I429" s="2" t="s">
        <v>74</v>
      </c>
      <c r="J429" s="2" t="s">
        <v>88</v>
      </c>
      <c r="K429" s="2" t="s">
        <v>44</v>
      </c>
      <c r="L429" s="13">
        <v>45087</v>
      </c>
      <c r="M429" s="2">
        <v>54</v>
      </c>
      <c r="N429" s="2">
        <v>10</v>
      </c>
      <c r="O429" s="2">
        <v>132</v>
      </c>
      <c r="P429" s="2">
        <v>421</v>
      </c>
      <c r="Q429" s="2">
        <v>444</v>
      </c>
      <c r="R429" s="2">
        <v>196</v>
      </c>
      <c r="S429" s="2">
        <v>1719</v>
      </c>
      <c r="T429" s="2">
        <v>817</v>
      </c>
      <c r="U429" s="2">
        <v>62</v>
      </c>
      <c r="V429" s="12">
        <f>ABS(RPG_dataset[[#This Row],[Win Rate (%)]])</f>
        <v>68</v>
      </c>
      <c r="W429" s="2">
        <v>1679</v>
      </c>
      <c r="X429" s="9">
        <v>134947</v>
      </c>
      <c r="Y429" s="2" t="s">
        <v>36</v>
      </c>
      <c r="Z429" s="2">
        <v>425</v>
      </c>
      <c r="AA429" s="2" t="s">
        <v>1737</v>
      </c>
      <c r="AB429" s="2" t="b">
        <v>1</v>
      </c>
      <c r="AC429" s="2" t="s">
        <v>1738</v>
      </c>
      <c r="AD429" s="2" t="s">
        <v>1727</v>
      </c>
      <c r="AE429" s="2" t="s">
        <v>1728</v>
      </c>
      <c r="AF429" s="2" t="s">
        <v>1736</v>
      </c>
      <c r="AG429" s="28">
        <f>MAX(clean_data[[#This Row],[ATK]:[SPD]]) - MIN(clean_data[[#This Row],[ATK]:[SPD]])</f>
        <v>122</v>
      </c>
      <c r="AH429" s="28" t="str">
        <f>IF(clean_data[[#This Row],[Balanced Score]] = MIN(clean_data[Balanced Score]), "Most Balanced", "")</f>
        <v/>
      </c>
    </row>
    <row r="430" spans="1:34" x14ac:dyDescent="0.3">
      <c r="A430" s="2" t="s">
        <v>1471</v>
      </c>
      <c r="B430" s="2" t="s">
        <v>1472</v>
      </c>
      <c r="C430" s="2" t="s">
        <v>103</v>
      </c>
      <c r="D430" s="2" t="s">
        <v>174</v>
      </c>
      <c r="E430" s="2" t="s">
        <v>169</v>
      </c>
      <c r="F430" s="2" t="s">
        <v>194</v>
      </c>
      <c r="G430" s="2">
        <v>43</v>
      </c>
      <c r="H430" s="2" t="s">
        <v>62</v>
      </c>
      <c r="I430" s="2" t="s">
        <v>63</v>
      </c>
      <c r="J430" s="2" t="s">
        <v>81</v>
      </c>
      <c r="K430" s="2" t="s">
        <v>44</v>
      </c>
      <c r="L430" s="13">
        <v>45096</v>
      </c>
      <c r="M430" s="2">
        <v>25</v>
      </c>
      <c r="N430" s="2">
        <v>72</v>
      </c>
      <c r="O430" s="2">
        <v>136</v>
      </c>
      <c r="P430" s="2">
        <v>1641</v>
      </c>
      <c r="Q430" s="2">
        <v>2429</v>
      </c>
      <c r="R430" s="2">
        <v>233</v>
      </c>
      <c r="S430" s="2">
        <v>2369</v>
      </c>
      <c r="T430" s="2">
        <v>787</v>
      </c>
      <c r="U430" s="2">
        <v>159</v>
      </c>
      <c r="V430" s="12">
        <f>ABS(RPG_dataset[[#This Row],[Win Rate (%)]])</f>
        <v>75</v>
      </c>
      <c r="W430" s="2">
        <v>3764</v>
      </c>
      <c r="X430" s="9">
        <v>627261</v>
      </c>
      <c r="Y430" s="2" t="s">
        <v>36</v>
      </c>
      <c r="Z430" s="2">
        <v>189</v>
      </c>
      <c r="AA430" s="2" t="s">
        <v>1733</v>
      </c>
      <c r="AB430" s="2" t="b">
        <v>0</v>
      </c>
      <c r="AC430" s="2" t="s">
        <v>1730</v>
      </c>
      <c r="AD430" s="2" t="s">
        <v>1727</v>
      </c>
      <c r="AE430" s="2" t="s">
        <v>1728</v>
      </c>
      <c r="AF430" s="2" t="s">
        <v>1736</v>
      </c>
      <c r="AG430" s="28">
        <f>MAX(clean_data[[#This Row],[ATK]:[SPD]]) - MIN(clean_data[[#This Row],[ATK]:[SPD]])</f>
        <v>111</v>
      </c>
      <c r="AH430" s="28" t="str">
        <f>IF(clean_data[[#This Row],[Balanced Score]] = MIN(clean_data[Balanced Score]), "Most Balanced", "")</f>
        <v/>
      </c>
    </row>
    <row r="431" spans="1:34" x14ac:dyDescent="0.3">
      <c r="A431" s="2" t="s">
        <v>1474</v>
      </c>
      <c r="B431" s="2" t="s">
        <v>1475</v>
      </c>
      <c r="C431" s="2" t="s">
        <v>123</v>
      </c>
      <c r="D431" s="2" t="s">
        <v>139</v>
      </c>
      <c r="E431" s="2" t="s">
        <v>228</v>
      </c>
      <c r="F431" s="2" t="s">
        <v>72</v>
      </c>
      <c r="G431" s="2">
        <v>78</v>
      </c>
      <c r="H431" s="2" t="s">
        <v>73</v>
      </c>
      <c r="I431" s="2" t="s">
        <v>54</v>
      </c>
      <c r="J431" s="2" t="s">
        <v>120</v>
      </c>
      <c r="K431" s="2" t="s">
        <v>44</v>
      </c>
      <c r="L431" s="13">
        <v>45459</v>
      </c>
      <c r="M431" s="2">
        <v>120</v>
      </c>
      <c r="N431" s="2">
        <v>46</v>
      </c>
      <c r="O431" s="2">
        <v>17</v>
      </c>
      <c r="P431" s="2">
        <v>4680</v>
      </c>
      <c r="Q431" s="2">
        <v>2623</v>
      </c>
      <c r="R431" s="2">
        <v>183</v>
      </c>
      <c r="S431" s="2">
        <v>4916</v>
      </c>
      <c r="T431" s="2">
        <v>498</v>
      </c>
      <c r="U431" s="2">
        <v>31</v>
      </c>
      <c r="V431" s="12">
        <f>ABS(RPG_dataset[[#This Row],[Win Rate (%)]])</f>
        <v>91</v>
      </c>
      <c r="W431" s="2">
        <v>4809</v>
      </c>
      <c r="X431" s="9">
        <v>504525</v>
      </c>
      <c r="Y431" s="2" t="s">
        <v>46</v>
      </c>
      <c r="Z431" s="2">
        <v>248</v>
      </c>
      <c r="AA431" s="2" t="s">
        <v>1737</v>
      </c>
      <c r="AB431" s="2" t="b">
        <v>1</v>
      </c>
      <c r="AC431" s="2" t="s">
        <v>1730</v>
      </c>
      <c r="AD431" s="2" t="s">
        <v>1727</v>
      </c>
      <c r="AE431" s="2" t="s">
        <v>1728</v>
      </c>
      <c r="AF431" s="2" t="s">
        <v>61</v>
      </c>
      <c r="AG431" s="28">
        <f>MAX(clean_data[[#This Row],[ATK]:[SPD]]) - MIN(clean_data[[#This Row],[ATK]:[SPD]])</f>
        <v>103</v>
      </c>
      <c r="AH431" s="28" t="str">
        <f>IF(clean_data[[#This Row],[Balanced Score]] = MIN(clean_data[Balanced Score]), "Most Balanced", "")</f>
        <v/>
      </c>
    </row>
    <row r="432" spans="1:34" x14ac:dyDescent="0.3">
      <c r="A432" s="2" t="s">
        <v>1477</v>
      </c>
      <c r="B432" s="2" t="s">
        <v>1478</v>
      </c>
      <c r="C432" s="2" t="s">
        <v>154</v>
      </c>
      <c r="D432" s="2" t="s">
        <v>349</v>
      </c>
      <c r="E432" s="2" t="s">
        <v>29</v>
      </c>
      <c r="F432" s="2" t="s">
        <v>124</v>
      </c>
      <c r="G432" s="2">
        <v>2</v>
      </c>
      <c r="H432" s="2" t="s">
        <v>43</v>
      </c>
      <c r="I432" s="2" t="s">
        <v>54</v>
      </c>
      <c r="J432" s="2" t="s">
        <v>33</v>
      </c>
      <c r="K432" s="2" t="s">
        <v>34</v>
      </c>
      <c r="L432" s="13">
        <v>44847</v>
      </c>
      <c r="M432" s="2">
        <v>136</v>
      </c>
      <c r="N432" s="2">
        <v>15</v>
      </c>
      <c r="O432" s="2">
        <v>129</v>
      </c>
      <c r="P432" s="2">
        <v>2606</v>
      </c>
      <c r="Q432" s="2">
        <v>1393</v>
      </c>
      <c r="R432" s="2">
        <v>280</v>
      </c>
      <c r="S432" s="2">
        <v>1900</v>
      </c>
      <c r="T432" s="2">
        <v>378</v>
      </c>
      <c r="U432" s="2">
        <v>75</v>
      </c>
      <c r="V432" s="12">
        <f>ABS(RPG_dataset[[#This Row],[Win Rate (%)]])</f>
        <v>83</v>
      </c>
      <c r="W432" s="2">
        <v>7389</v>
      </c>
      <c r="X432" s="9">
        <v>697241</v>
      </c>
      <c r="Y432" s="2" t="s">
        <v>46</v>
      </c>
      <c r="Z432" s="2">
        <v>151</v>
      </c>
      <c r="AA432" s="2" t="s">
        <v>1735</v>
      </c>
      <c r="AB432" s="2" t="b">
        <v>0</v>
      </c>
      <c r="AC432" s="2" t="s">
        <v>1730</v>
      </c>
      <c r="AD432" s="2" t="s">
        <v>1727</v>
      </c>
      <c r="AE432" s="2" t="s">
        <v>1728</v>
      </c>
      <c r="AF432" s="2" t="s">
        <v>1736</v>
      </c>
      <c r="AG432" s="28">
        <f>MAX(clean_data[[#This Row],[ATK]:[SPD]]) - MIN(clean_data[[#This Row],[ATK]:[SPD]])</f>
        <v>121</v>
      </c>
      <c r="AH432" s="28" t="str">
        <f>IF(clean_data[[#This Row],[Balanced Score]] = MIN(clean_data[Balanced Score]), "Most Balanced", "")</f>
        <v/>
      </c>
    </row>
    <row r="433" spans="1:34" x14ac:dyDescent="0.3">
      <c r="A433" s="2" t="s">
        <v>1480</v>
      </c>
      <c r="B433" s="2" t="s">
        <v>1481</v>
      </c>
      <c r="C433" s="2" t="s">
        <v>689</v>
      </c>
      <c r="D433" s="2" t="s">
        <v>277</v>
      </c>
      <c r="E433" s="2" t="s">
        <v>51</v>
      </c>
      <c r="F433" s="2" t="s">
        <v>194</v>
      </c>
      <c r="G433" s="2">
        <v>31</v>
      </c>
      <c r="H433" s="2" t="s">
        <v>62</v>
      </c>
      <c r="I433" s="2" t="s">
        <v>32</v>
      </c>
      <c r="J433" s="2" t="s">
        <v>33</v>
      </c>
      <c r="K433" s="2" t="s">
        <v>44</v>
      </c>
      <c r="L433" s="13">
        <v>43192</v>
      </c>
      <c r="M433" s="2">
        <v>140</v>
      </c>
      <c r="N433" s="2">
        <v>66</v>
      </c>
      <c r="O433" s="2">
        <v>15</v>
      </c>
      <c r="P433" s="2">
        <v>706</v>
      </c>
      <c r="Q433" s="2">
        <v>2565</v>
      </c>
      <c r="R433" s="2"/>
      <c r="S433" s="2">
        <v>4227</v>
      </c>
      <c r="T433" s="2">
        <v>821</v>
      </c>
      <c r="U433" s="2">
        <v>146</v>
      </c>
      <c r="V433" s="12">
        <f>ABS(RPG_dataset[[#This Row],[Win Rate (%)]])</f>
        <v>84</v>
      </c>
      <c r="W433" s="2">
        <v>3881</v>
      </c>
      <c r="X433" s="9">
        <v>548888</v>
      </c>
      <c r="Y433" s="2" t="s">
        <v>36</v>
      </c>
      <c r="Z433" s="2">
        <v>228</v>
      </c>
      <c r="AA433" s="2" t="s">
        <v>1733</v>
      </c>
      <c r="AB433" s="2" t="b">
        <v>1</v>
      </c>
      <c r="AC433" s="2" t="s">
        <v>1730</v>
      </c>
      <c r="AD433" s="2" t="s">
        <v>1727</v>
      </c>
      <c r="AE433" s="2" t="s">
        <v>1728</v>
      </c>
      <c r="AF433" s="2" t="s">
        <v>1729</v>
      </c>
      <c r="AG433" s="28">
        <f>MAX(clean_data[[#This Row],[ATK]:[SPD]]) - MIN(clean_data[[#This Row],[ATK]:[SPD]])</f>
        <v>125</v>
      </c>
      <c r="AH433" s="28" t="str">
        <f>IF(clean_data[[#This Row],[Balanced Score]] = MIN(clean_data[Balanced Score]), "Most Balanced", "")</f>
        <v/>
      </c>
    </row>
    <row r="434" spans="1:34" x14ac:dyDescent="0.3">
      <c r="A434" s="2" t="s">
        <v>1482</v>
      </c>
      <c r="B434" s="2" t="s">
        <v>1483</v>
      </c>
      <c r="C434" s="2" t="s">
        <v>223</v>
      </c>
      <c r="D434" s="2" t="s">
        <v>162</v>
      </c>
      <c r="E434" s="2" t="s">
        <v>51</v>
      </c>
      <c r="F434" s="2" t="s">
        <v>98</v>
      </c>
      <c r="G434" s="2">
        <v>78</v>
      </c>
      <c r="H434" s="2" t="s">
        <v>31</v>
      </c>
      <c r="I434" s="2" t="s">
        <v>63</v>
      </c>
      <c r="J434" s="2" t="s">
        <v>33</v>
      </c>
      <c r="K434" s="2" t="s">
        <v>44</v>
      </c>
      <c r="L434" s="13">
        <v>45274</v>
      </c>
      <c r="M434" s="2">
        <v>99</v>
      </c>
      <c r="N434" s="2">
        <v>26</v>
      </c>
      <c r="O434" s="2">
        <v>130</v>
      </c>
      <c r="P434" s="2">
        <v>368</v>
      </c>
      <c r="Q434" s="2">
        <v>966</v>
      </c>
      <c r="R434" s="2">
        <v>255</v>
      </c>
      <c r="S434" s="2">
        <v>4542</v>
      </c>
      <c r="T434" s="2">
        <v>824</v>
      </c>
      <c r="U434" s="2">
        <v>250</v>
      </c>
      <c r="V434" s="12">
        <f>ABS(RPG_dataset[[#This Row],[Win Rate (%)]])</f>
        <v>85</v>
      </c>
      <c r="W434" s="2">
        <v>1044</v>
      </c>
      <c r="X434" s="9">
        <v>971305</v>
      </c>
      <c r="Y434" s="2" t="s">
        <v>36</v>
      </c>
      <c r="Z434" s="2">
        <v>14</v>
      </c>
      <c r="AA434" s="2" t="s">
        <v>1737</v>
      </c>
      <c r="AB434" s="2" t="b">
        <v>1</v>
      </c>
      <c r="AC434" s="2" t="s">
        <v>1730</v>
      </c>
      <c r="AD434" s="2" t="s">
        <v>1727</v>
      </c>
      <c r="AE434" s="2" t="s">
        <v>1731</v>
      </c>
      <c r="AF434" s="2" t="s">
        <v>1736</v>
      </c>
      <c r="AG434" s="28">
        <f>MAX(clean_data[[#This Row],[ATK]:[SPD]]) - MIN(clean_data[[#This Row],[ATK]:[SPD]])</f>
        <v>104</v>
      </c>
      <c r="AH434" s="28" t="str">
        <f>IF(clean_data[[#This Row],[Balanced Score]] = MIN(clean_data[Balanced Score]), "Most Balanced", "")</f>
        <v/>
      </c>
    </row>
    <row r="435" spans="1:34" x14ac:dyDescent="0.3">
      <c r="A435" s="2" t="s">
        <v>1485</v>
      </c>
      <c r="B435" s="2" t="s">
        <v>1486</v>
      </c>
      <c r="C435" s="2" t="s">
        <v>138</v>
      </c>
      <c r="D435" s="2" t="s">
        <v>40</v>
      </c>
      <c r="E435" s="2" t="s">
        <v>71</v>
      </c>
      <c r="F435" s="2" t="s">
        <v>42</v>
      </c>
      <c r="G435" s="2">
        <v>89</v>
      </c>
      <c r="H435" s="2" t="s">
        <v>53</v>
      </c>
      <c r="I435" s="2" t="s">
        <v>54</v>
      </c>
      <c r="J435" s="2" t="s">
        <v>88</v>
      </c>
      <c r="K435" s="2" t="s">
        <v>44</v>
      </c>
      <c r="L435" s="13">
        <v>43447</v>
      </c>
      <c r="M435" s="2">
        <v>82</v>
      </c>
      <c r="N435" s="2">
        <v>80</v>
      </c>
      <c r="O435" s="2">
        <v>88</v>
      </c>
      <c r="P435" s="2"/>
      <c r="Q435" s="2">
        <v>299</v>
      </c>
      <c r="R435" s="2">
        <v>250</v>
      </c>
      <c r="S435" s="2">
        <v>2505</v>
      </c>
      <c r="T435" s="2">
        <v>725</v>
      </c>
      <c r="U435" s="2">
        <v>220</v>
      </c>
      <c r="V435" s="12">
        <f>ABS(RPG_dataset[[#This Row],[Win Rate (%)]])</f>
        <v>78</v>
      </c>
      <c r="W435" s="2">
        <v>5757</v>
      </c>
      <c r="X435" s="9">
        <v>214633</v>
      </c>
      <c r="Y435" s="2" t="s">
        <v>46</v>
      </c>
      <c r="Z435" s="2">
        <v>394</v>
      </c>
      <c r="AA435" s="2" t="s">
        <v>1737</v>
      </c>
      <c r="AB435" s="2" t="b">
        <v>1</v>
      </c>
      <c r="AC435" s="2" t="s">
        <v>1730</v>
      </c>
      <c r="AD435" s="2" t="s">
        <v>1727</v>
      </c>
      <c r="AE435" s="2" t="s">
        <v>1728</v>
      </c>
      <c r="AF435" s="2" t="s">
        <v>1736</v>
      </c>
      <c r="AG435" s="28">
        <f>MAX(clean_data[[#This Row],[ATK]:[SPD]]) - MIN(clean_data[[#This Row],[ATK]:[SPD]])</f>
        <v>8</v>
      </c>
      <c r="AH435" s="28" t="str">
        <f>IF(clean_data[[#This Row],[Balanced Score]] = MIN(clean_data[Balanced Score]), "Most Balanced", "")</f>
        <v/>
      </c>
    </row>
    <row r="436" spans="1:34" x14ac:dyDescent="0.3">
      <c r="A436" s="2" t="s">
        <v>1488</v>
      </c>
      <c r="B436" s="2" t="s">
        <v>1489</v>
      </c>
      <c r="C436" s="2" t="s">
        <v>276</v>
      </c>
      <c r="D436" s="2" t="s">
        <v>254</v>
      </c>
      <c r="E436" s="2" t="s">
        <v>105</v>
      </c>
      <c r="F436" s="2" t="s">
        <v>72</v>
      </c>
      <c r="G436" s="2">
        <v>25</v>
      </c>
      <c r="H436" s="2" t="s">
        <v>62</v>
      </c>
      <c r="I436" s="2" t="s">
        <v>32</v>
      </c>
      <c r="J436" s="2" t="s">
        <v>88</v>
      </c>
      <c r="K436" s="2" t="s">
        <v>44</v>
      </c>
      <c r="L436" s="13">
        <v>43503</v>
      </c>
      <c r="M436" s="2">
        <v>20</v>
      </c>
      <c r="N436" s="2">
        <v>108</v>
      </c>
      <c r="O436" s="2">
        <v>52</v>
      </c>
      <c r="P436" s="2">
        <v>4189</v>
      </c>
      <c r="Q436" s="2">
        <v>2613</v>
      </c>
      <c r="R436" s="2">
        <v>180</v>
      </c>
      <c r="S436" s="2">
        <v>1215</v>
      </c>
      <c r="T436" s="2">
        <v>237</v>
      </c>
      <c r="U436" s="2">
        <v>35</v>
      </c>
      <c r="V436" s="12">
        <f>ABS(RPG_dataset[[#This Row],[Win Rate (%)]])</f>
        <v>84</v>
      </c>
      <c r="W436" s="2">
        <v>8955</v>
      </c>
      <c r="X436" s="9">
        <v>207356</v>
      </c>
      <c r="Y436" s="2" t="s">
        <v>46</v>
      </c>
      <c r="Z436" s="2">
        <v>396</v>
      </c>
      <c r="AA436" s="2" t="s">
        <v>1735</v>
      </c>
      <c r="AB436" s="2" t="b">
        <v>1</v>
      </c>
      <c r="AC436" s="2" t="s">
        <v>1730</v>
      </c>
      <c r="AD436" s="2" t="s">
        <v>1727</v>
      </c>
      <c r="AE436" s="2" t="s">
        <v>1728</v>
      </c>
      <c r="AF436" s="2" t="s">
        <v>1734</v>
      </c>
      <c r="AG436" s="28">
        <f>MAX(clean_data[[#This Row],[ATK]:[SPD]]) - MIN(clean_data[[#This Row],[ATK]:[SPD]])</f>
        <v>88</v>
      </c>
      <c r="AH436" s="28" t="str">
        <f>IF(clean_data[[#This Row],[Balanced Score]] = MIN(clean_data[Balanced Score]), "Most Balanced", "")</f>
        <v/>
      </c>
    </row>
    <row r="437" spans="1:34" x14ac:dyDescent="0.3">
      <c r="A437" s="2" t="s">
        <v>1491</v>
      </c>
      <c r="B437" s="2" t="s">
        <v>1492</v>
      </c>
      <c r="C437" s="2" t="s">
        <v>276</v>
      </c>
      <c r="D437" s="2" t="s">
        <v>174</v>
      </c>
      <c r="E437" s="2" t="s">
        <v>105</v>
      </c>
      <c r="F437" s="2" t="s">
        <v>30</v>
      </c>
      <c r="G437" s="2">
        <v>49</v>
      </c>
      <c r="H437" s="2" t="s">
        <v>125</v>
      </c>
      <c r="I437" s="2" t="s">
        <v>32</v>
      </c>
      <c r="J437" s="2" t="s">
        <v>81</v>
      </c>
      <c r="K437" s="2" t="s">
        <v>44</v>
      </c>
      <c r="L437" s="13">
        <v>45081</v>
      </c>
      <c r="M437" s="2">
        <v>44</v>
      </c>
      <c r="N437" s="2">
        <v>64</v>
      </c>
      <c r="O437" s="2">
        <v>62</v>
      </c>
      <c r="P437" s="2">
        <v>4897</v>
      </c>
      <c r="Q437" s="2"/>
      <c r="R437" s="2">
        <v>170</v>
      </c>
      <c r="S437" s="2">
        <v>1894</v>
      </c>
      <c r="T437" s="2">
        <v>218</v>
      </c>
      <c r="U437" s="2">
        <v>43</v>
      </c>
      <c r="V437" s="12">
        <f>ABS(RPG_dataset[[#This Row],[Win Rate (%)]])</f>
        <v>90</v>
      </c>
      <c r="W437" s="2">
        <v>633</v>
      </c>
      <c r="X437" s="9">
        <v>493928</v>
      </c>
      <c r="Y437" s="2" t="s">
        <v>46</v>
      </c>
      <c r="Z437" s="2">
        <v>256</v>
      </c>
      <c r="AA437" s="2" t="s">
        <v>1733</v>
      </c>
      <c r="AB437" s="2" t="b">
        <v>1</v>
      </c>
      <c r="AC437" s="2" t="s">
        <v>1730</v>
      </c>
      <c r="AD437" s="2" t="s">
        <v>1727</v>
      </c>
      <c r="AE437" s="2" t="s">
        <v>1728</v>
      </c>
      <c r="AF437" s="2" t="s">
        <v>1729</v>
      </c>
      <c r="AG437" s="28">
        <f>MAX(clean_data[[#This Row],[ATK]:[SPD]]) - MIN(clean_data[[#This Row],[ATK]:[SPD]])</f>
        <v>20</v>
      </c>
      <c r="AH437" s="28" t="str">
        <f>IF(clean_data[[#This Row],[Balanced Score]] = MIN(clean_data[Balanced Score]), "Most Balanced", "")</f>
        <v/>
      </c>
    </row>
    <row r="438" spans="1:34" x14ac:dyDescent="0.3">
      <c r="A438" s="2" t="s">
        <v>1494</v>
      </c>
      <c r="B438" s="2" t="s">
        <v>1495</v>
      </c>
      <c r="C438" s="2" t="s">
        <v>75</v>
      </c>
      <c r="D438" s="2" t="s">
        <v>119</v>
      </c>
      <c r="E438" s="2" t="s">
        <v>75</v>
      </c>
      <c r="F438" s="2" t="s">
        <v>42</v>
      </c>
      <c r="G438" s="2">
        <v>44</v>
      </c>
      <c r="H438" s="2" t="s">
        <v>53</v>
      </c>
      <c r="I438" s="2" t="s">
        <v>74</v>
      </c>
      <c r="J438" s="2" t="s">
        <v>120</v>
      </c>
      <c r="K438" s="2" t="s">
        <v>44</v>
      </c>
      <c r="L438" s="13">
        <v>43720</v>
      </c>
      <c r="M438" s="2">
        <v>33</v>
      </c>
      <c r="N438" s="2">
        <v>105</v>
      </c>
      <c r="O438" s="2">
        <v>25</v>
      </c>
      <c r="P438" s="2">
        <v>4350</v>
      </c>
      <c r="Q438" s="2">
        <v>156</v>
      </c>
      <c r="R438" s="2">
        <v>163</v>
      </c>
      <c r="S438" s="2">
        <v>2073</v>
      </c>
      <c r="T438" s="2">
        <v>65</v>
      </c>
      <c r="U438" s="2">
        <v>6</v>
      </c>
      <c r="V438" s="12">
        <f>ABS(RPG_dataset[[#This Row],[Win Rate (%)]])</f>
        <v>97</v>
      </c>
      <c r="W438" s="2">
        <v>9610</v>
      </c>
      <c r="X438" s="9">
        <v>523695</v>
      </c>
      <c r="Y438" s="2" t="s">
        <v>36</v>
      </c>
      <c r="Z438" s="2">
        <v>238</v>
      </c>
      <c r="AA438" s="2" t="s">
        <v>1733</v>
      </c>
      <c r="AB438" s="2" t="b">
        <v>1</v>
      </c>
      <c r="AC438" s="2" t="s">
        <v>1730</v>
      </c>
      <c r="AD438" s="2" t="s">
        <v>1727</v>
      </c>
      <c r="AE438" s="2" t="s">
        <v>1728</v>
      </c>
      <c r="AF438" s="2" t="s">
        <v>1734</v>
      </c>
      <c r="AG438" s="28">
        <f>MAX(clean_data[[#This Row],[ATK]:[SPD]]) - MIN(clean_data[[#This Row],[ATK]:[SPD]])</f>
        <v>80</v>
      </c>
      <c r="AH438" s="28" t="str">
        <f>IF(clean_data[[#This Row],[Balanced Score]] = MIN(clean_data[Balanced Score]), "Most Balanced", "")</f>
        <v/>
      </c>
    </row>
    <row r="439" spans="1:34" x14ac:dyDescent="0.3">
      <c r="A439" s="2" t="s">
        <v>1497</v>
      </c>
      <c r="B439" s="2" t="s">
        <v>1498</v>
      </c>
      <c r="C439" s="2" t="s">
        <v>130</v>
      </c>
      <c r="D439" s="2" t="s">
        <v>50</v>
      </c>
      <c r="E439" s="2" t="s">
        <v>169</v>
      </c>
      <c r="F439" s="2" t="s">
        <v>42</v>
      </c>
      <c r="G439" s="2">
        <v>49</v>
      </c>
      <c r="H439" s="2" t="s">
        <v>125</v>
      </c>
      <c r="I439" s="2" t="s">
        <v>140</v>
      </c>
      <c r="J439" s="2" t="s">
        <v>92</v>
      </c>
      <c r="K439" s="2" t="s">
        <v>34</v>
      </c>
      <c r="L439" s="13">
        <v>45155</v>
      </c>
      <c r="M439" s="2">
        <v>50</v>
      </c>
      <c r="N439" s="2">
        <v>35</v>
      </c>
      <c r="O439" s="2">
        <v>104</v>
      </c>
      <c r="P439" s="2">
        <v>165</v>
      </c>
      <c r="Q439" s="2">
        <v>637</v>
      </c>
      <c r="R439" s="2">
        <v>189</v>
      </c>
      <c r="S439" s="2">
        <v>765</v>
      </c>
      <c r="T439" s="2">
        <v>248</v>
      </c>
      <c r="U439" s="2">
        <v>294</v>
      </c>
      <c r="V439" s="12">
        <f>ABS(RPG_dataset[[#This Row],[Win Rate (%)]])</f>
        <v>76</v>
      </c>
      <c r="W439" s="2">
        <v>2843</v>
      </c>
      <c r="X439" s="9">
        <v>656549</v>
      </c>
      <c r="Y439" s="2" t="s">
        <v>46</v>
      </c>
      <c r="Z439" s="2">
        <v>172</v>
      </c>
      <c r="AA439" s="2" t="s">
        <v>1733</v>
      </c>
      <c r="AB439" s="2" t="b">
        <v>0</v>
      </c>
      <c r="AC439" s="2" t="s">
        <v>1730</v>
      </c>
      <c r="AD439" s="2" t="s">
        <v>1727</v>
      </c>
      <c r="AE439" s="2" t="s">
        <v>1728</v>
      </c>
      <c r="AF439" s="2" t="s">
        <v>1740</v>
      </c>
      <c r="AG439" s="28">
        <f>MAX(clean_data[[#This Row],[ATK]:[SPD]]) - MIN(clean_data[[#This Row],[ATK]:[SPD]])</f>
        <v>69</v>
      </c>
      <c r="AH439" s="28" t="str">
        <f>IF(clean_data[[#This Row],[Balanced Score]] = MIN(clean_data[Balanced Score]), "Most Balanced", "")</f>
        <v/>
      </c>
    </row>
    <row r="440" spans="1:34" x14ac:dyDescent="0.3">
      <c r="A440" s="2" t="s">
        <v>1500</v>
      </c>
      <c r="B440" s="2" t="s">
        <v>1501</v>
      </c>
      <c r="C440" s="2" t="s">
        <v>161</v>
      </c>
      <c r="D440" s="2" t="s">
        <v>304</v>
      </c>
      <c r="E440" s="2" t="s">
        <v>228</v>
      </c>
      <c r="F440" s="2" t="s">
        <v>30</v>
      </c>
      <c r="G440" s="2">
        <v>56</v>
      </c>
      <c r="H440" s="2" t="s">
        <v>31</v>
      </c>
      <c r="I440" s="2" t="s">
        <v>140</v>
      </c>
      <c r="J440" s="2" t="s">
        <v>92</v>
      </c>
      <c r="K440" s="2" t="s">
        <v>34</v>
      </c>
      <c r="L440" s="13">
        <v>44163</v>
      </c>
      <c r="M440" s="2">
        <v>30</v>
      </c>
      <c r="N440" s="2">
        <v>122</v>
      </c>
      <c r="O440" s="2">
        <v>79</v>
      </c>
      <c r="P440" s="2"/>
      <c r="Q440" s="2">
        <v>2555</v>
      </c>
      <c r="R440" s="2">
        <v>231</v>
      </c>
      <c r="S440" s="2">
        <v>2190</v>
      </c>
      <c r="T440" s="2">
        <v>90</v>
      </c>
      <c r="U440" s="2">
        <v>83</v>
      </c>
      <c r="V440" s="12">
        <f>ABS(RPG_dataset[[#This Row],[Win Rate (%)]])</f>
        <v>96</v>
      </c>
      <c r="W440" s="2">
        <v>7273</v>
      </c>
      <c r="X440" s="9">
        <v>62372</v>
      </c>
      <c r="Y440" s="2" t="s">
        <v>46</v>
      </c>
      <c r="Z440" s="2">
        <v>454</v>
      </c>
      <c r="AA440" s="2" t="s">
        <v>1725</v>
      </c>
      <c r="AB440" s="2" t="b">
        <v>0</v>
      </c>
      <c r="AC440" s="2" t="s">
        <v>1730</v>
      </c>
      <c r="AD440" s="2" t="s">
        <v>1727</v>
      </c>
      <c r="AE440" s="2" t="s">
        <v>1728</v>
      </c>
      <c r="AF440" s="2" t="s">
        <v>1740</v>
      </c>
      <c r="AG440" s="28">
        <f>MAX(clean_data[[#This Row],[ATK]:[SPD]]) - MIN(clean_data[[#This Row],[ATK]:[SPD]])</f>
        <v>92</v>
      </c>
      <c r="AH440" s="28" t="str">
        <f>IF(clean_data[[#This Row],[Balanced Score]] = MIN(clean_data[Balanced Score]), "Most Balanced", "")</f>
        <v/>
      </c>
    </row>
    <row r="441" spans="1:34" x14ac:dyDescent="0.3">
      <c r="A441" s="2" t="s">
        <v>1503</v>
      </c>
      <c r="B441" s="2" t="s">
        <v>1504</v>
      </c>
      <c r="C441" s="2" t="s">
        <v>517</v>
      </c>
      <c r="D441" s="2" t="s">
        <v>150</v>
      </c>
      <c r="E441" s="2" t="s">
        <v>51</v>
      </c>
      <c r="F441" s="2" t="s">
        <v>52</v>
      </c>
      <c r="G441" s="2">
        <v>2</v>
      </c>
      <c r="H441" s="2" t="s">
        <v>43</v>
      </c>
      <c r="I441" s="2" t="s">
        <v>87</v>
      </c>
      <c r="J441" s="2" t="s">
        <v>33</v>
      </c>
      <c r="K441" s="2" t="s">
        <v>44</v>
      </c>
      <c r="L441" s="13">
        <v>44223</v>
      </c>
      <c r="M441" s="2">
        <v>58</v>
      </c>
      <c r="N441" s="2">
        <v>90</v>
      </c>
      <c r="O441" s="2">
        <v>136</v>
      </c>
      <c r="P441" s="2">
        <v>2711</v>
      </c>
      <c r="Q441" s="2">
        <v>2905</v>
      </c>
      <c r="R441" s="2">
        <v>284</v>
      </c>
      <c r="S441" s="2"/>
      <c r="T441" s="2">
        <v>111</v>
      </c>
      <c r="U441" s="2">
        <v>140</v>
      </c>
      <c r="V441" s="12">
        <f>ABS(RPG_dataset[[#This Row],[Win Rate (%)]])</f>
        <v>86</v>
      </c>
      <c r="W441" s="2">
        <v>8963</v>
      </c>
      <c r="X441" s="9">
        <v>362743</v>
      </c>
      <c r="Y441" s="2" t="s">
        <v>46</v>
      </c>
      <c r="Z441" s="2">
        <v>323</v>
      </c>
      <c r="AA441" s="2" t="s">
        <v>1735</v>
      </c>
      <c r="AB441" s="2" t="b">
        <v>1</v>
      </c>
      <c r="AC441" s="2" t="s">
        <v>1730</v>
      </c>
      <c r="AD441" s="2" t="s">
        <v>1727</v>
      </c>
      <c r="AE441" s="2" t="s">
        <v>1728</v>
      </c>
      <c r="AF441" s="2" t="s">
        <v>1736</v>
      </c>
      <c r="AG441" s="28">
        <f>MAX(clean_data[[#This Row],[ATK]:[SPD]]) - MIN(clean_data[[#This Row],[ATK]:[SPD]])</f>
        <v>78</v>
      </c>
      <c r="AH441" s="28" t="str">
        <f>IF(clean_data[[#This Row],[Balanced Score]] = MIN(clean_data[Balanced Score]), "Most Balanced", "")</f>
        <v/>
      </c>
    </row>
    <row r="442" spans="1:34" x14ac:dyDescent="0.3">
      <c r="A442" s="2" t="s">
        <v>1506</v>
      </c>
      <c r="B442" s="2" t="s">
        <v>1507</v>
      </c>
      <c r="C442" s="2" t="s">
        <v>203</v>
      </c>
      <c r="D442" s="2" t="s">
        <v>234</v>
      </c>
      <c r="E442" s="2" t="s">
        <v>71</v>
      </c>
      <c r="F442" s="2" t="s">
        <v>30</v>
      </c>
      <c r="G442" s="2">
        <v>80</v>
      </c>
      <c r="H442" s="2" t="s">
        <v>62</v>
      </c>
      <c r="I442" s="2" t="s">
        <v>63</v>
      </c>
      <c r="J442" s="2" t="s">
        <v>33</v>
      </c>
      <c r="K442" s="2" t="s">
        <v>44</v>
      </c>
      <c r="L442" s="13">
        <v>44399</v>
      </c>
      <c r="M442" s="2">
        <v>109</v>
      </c>
      <c r="N442" s="2">
        <v>130</v>
      </c>
      <c r="O442" s="2">
        <v>16</v>
      </c>
      <c r="P442" s="2">
        <v>4403</v>
      </c>
      <c r="Q442" s="2">
        <v>173</v>
      </c>
      <c r="R442" s="2">
        <v>255</v>
      </c>
      <c r="S442" s="2">
        <v>4070</v>
      </c>
      <c r="T442" s="2">
        <v>15</v>
      </c>
      <c r="U442" s="2">
        <v>23</v>
      </c>
      <c r="V442" s="12">
        <f>ABS(RPG_dataset[[#This Row],[Win Rate (%)]])</f>
        <v>100</v>
      </c>
      <c r="W442" s="2">
        <v>4294</v>
      </c>
      <c r="X442" s="9"/>
      <c r="Y442" s="2" t="s">
        <v>36</v>
      </c>
      <c r="Z442" s="2">
        <v>486</v>
      </c>
      <c r="AA442" s="2" t="s">
        <v>1737</v>
      </c>
      <c r="AB442" s="2" t="b">
        <v>1</v>
      </c>
      <c r="AC442" s="2" t="s">
        <v>1730</v>
      </c>
      <c r="AD442" s="2" t="s">
        <v>1727</v>
      </c>
      <c r="AE442" s="2" t="s">
        <v>1731</v>
      </c>
      <c r="AF442" s="2" t="s">
        <v>1734</v>
      </c>
      <c r="AG442" s="28">
        <f>MAX(clean_data[[#This Row],[ATK]:[SPD]]) - MIN(clean_data[[#This Row],[ATK]:[SPD]])</f>
        <v>114</v>
      </c>
      <c r="AH442" s="28" t="str">
        <f>IF(clean_data[[#This Row],[Balanced Score]] = MIN(clean_data[Balanced Score]), "Most Balanced", "")</f>
        <v/>
      </c>
    </row>
    <row r="443" spans="1:34" x14ac:dyDescent="0.3">
      <c r="A443" s="2" t="s">
        <v>1509</v>
      </c>
      <c r="B443" s="2" t="s">
        <v>1510</v>
      </c>
      <c r="C443" s="2" t="s">
        <v>27</v>
      </c>
      <c r="D443" s="2" t="s">
        <v>40</v>
      </c>
      <c r="E443" s="2" t="s">
        <v>51</v>
      </c>
      <c r="F443" s="2" t="s">
        <v>98</v>
      </c>
      <c r="G443" s="2">
        <v>43</v>
      </c>
      <c r="H443" s="2" t="s">
        <v>53</v>
      </c>
      <c r="I443" s="2" t="s">
        <v>54</v>
      </c>
      <c r="J443" s="2" t="s">
        <v>64</v>
      </c>
      <c r="K443" s="2" t="s">
        <v>99</v>
      </c>
      <c r="L443" s="13">
        <v>45365</v>
      </c>
      <c r="M443" s="2">
        <v>137</v>
      </c>
      <c r="N443" s="2">
        <v>101</v>
      </c>
      <c r="O443" s="2">
        <v>52</v>
      </c>
      <c r="P443" s="2">
        <v>4374</v>
      </c>
      <c r="Q443" s="2">
        <v>964</v>
      </c>
      <c r="R443" s="2">
        <v>290</v>
      </c>
      <c r="S443" s="2">
        <v>4282</v>
      </c>
      <c r="T443" s="2">
        <v>798</v>
      </c>
      <c r="U443" s="2">
        <v>195</v>
      </c>
      <c r="V443" s="12">
        <f>ABS(RPG_dataset[[#This Row],[Win Rate (%)]])</f>
        <v>84</v>
      </c>
      <c r="W443" s="2">
        <v>9088</v>
      </c>
      <c r="X443" s="9">
        <v>336695</v>
      </c>
      <c r="Y443" s="2" t="s">
        <v>46</v>
      </c>
      <c r="Z443" s="2">
        <v>340</v>
      </c>
      <c r="AA443" s="2" t="s">
        <v>1733</v>
      </c>
      <c r="AB443" s="2" t="b">
        <v>0</v>
      </c>
      <c r="AC443" s="2" t="s">
        <v>1730</v>
      </c>
      <c r="AD443" s="2" t="s">
        <v>1727</v>
      </c>
      <c r="AE443" s="2" t="s">
        <v>1728</v>
      </c>
      <c r="AF443" s="2" t="s">
        <v>1734</v>
      </c>
      <c r="AG443" s="28">
        <f>MAX(clean_data[[#This Row],[ATK]:[SPD]]) - MIN(clean_data[[#This Row],[ATK]:[SPD]])</f>
        <v>85</v>
      </c>
      <c r="AH443" s="28" t="str">
        <f>IF(clean_data[[#This Row],[Balanced Score]] = MIN(clean_data[Balanced Score]), "Most Balanced", "")</f>
        <v/>
      </c>
    </row>
    <row r="444" spans="1:34" x14ac:dyDescent="0.3">
      <c r="A444" s="2" t="s">
        <v>1512</v>
      </c>
      <c r="B444" s="2" t="s">
        <v>1513</v>
      </c>
      <c r="C444" s="2" t="s">
        <v>49</v>
      </c>
      <c r="D444" s="2" t="s">
        <v>272</v>
      </c>
      <c r="E444" s="2" t="s">
        <v>29</v>
      </c>
      <c r="F444" s="2" t="s">
        <v>124</v>
      </c>
      <c r="G444" s="2">
        <v>78</v>
      </c>
      <c r="H444" s="2" t="s">
        <v>62</v>
      </c>
      <c r="I444" s="2" t="s">
        <v>140</v>
      </c>
      <c r="J444" s="2" t="s">
        <v>92</v>
      </c>
      <c r="K444" s="2" t="s">
        <v>106</v>
      </c>
      <c r="L444" s="13">
        <v>44589</v>
      </c>
      <c r="M444" s="2">
        <v>31</v>
      </c>
      <c r="N444" s="2">
        <v>16</v>
      </c>
      <c r="O444" s="2">
        <v>55</v>
      </c>
      <c r="P444" s="2">
        <v>1403</v>
      </c>
      <c r="Q444" s="2">
        <v>1653</v>
      </c>
      <c r="R444" s="2"/>
      <c r="S444" s="2">
        <v>3615</v>
      </c>
      <c r="T444" s="2">
        <v>778</v>
      </c>
      <c r="U444" s="2">
        <v>70</v>
      </c>
      <c r="V444" s="12">
        <f>ABS(RPG_dataset[[#This Row],[Win Rate (%)]])</f>
        <v>82</v>
      </c>
      <c r="W444" s="2">
        <v>4517</v>
      </c>
      <c r="X444" s="9"/>
      <c r="Y444" s="2" t="s">
        <v>46</v>
      </c>
      <c r="Z444" s="2">
        <v>486</v>
      </c>
      <c r="AA444" s="2" t="s">
        <v>1737</v>
      </c>
      <c r="AB444" s="2" t="b">
        <v>0</v>
      </c>
      <c r="AC444" s="2" t="s">
        <v>1730</v>
      </c>
      <c r="AD444" s="2" t="s">
        <v>1727</v>
      </c>
      <c r="AE444" s="2" t="s">
        <v>1728</v>
      </c>
      <c r="AF444" s="2" t="s">
        <v>1740</v>
      </c>
      <c r="AG444" s="28">
        <f>MAX(clean_data[[#This Row],[ATK]:[SPD]]) - MIN(clean_data[[#This Row],[ATK]:[SPD]])</f>
        <v>39</v>
      </c>
      <c r="AH444" s="28" t="str">
        <f>IF(clean_data[[#This Row],[Balanced Score]] = MIN(clean_data[Balanced Score]), "Most Balanced", "")</f>
        <v/>
      </c>
    </row>
    <row r="445" spans="1:34" x14ac:dyDescent="0.3">
      <c r="A445" s="2" t="s">
        <v>1515</v>
      </c>
      <c r="B445" s="2" t="s">
        <v>1516</v>
      </c>
      <c r="C445" s="2" t="s">
        <v>371</v>
      </c>
      <c r="D445" s="2" t="s">
        <v>250</v>
      </c>
      <c r="E445" s="2" t="s">
        <v>71</v>
      </c>
      <c r="F445" s="2" t="s">
        <v>42</v>
      </c>
      <c r="G445" s="2">
        <v>85</v>
      </c>
      <c r="H445" s="2" t="s">
        <v>157</v>
      </c>
      <c r="I445" s="2" t="s">
        <v>87</v>
      </c>
      <c r="J445" s="2" t="s">
        <v>88</v>
      </c>
      <c r="K445" s="2" t="s">
        <v>44</v>
      </c>
      <c r="L445" s="13">
        <v>43103</v>
      </c>
      <c r="M445" s="2">
        <v>116</v>
      </c>
      <c r="N445" s="2"/>
      <c r="O445" s="2">
        <v>147</v>
      </c>
      <c r="P445" s="2">
        <v>3662</v>
      </c>
      <c r="Q445" s="2">
        <v>467</v>
      </c>
      <c r="R445" s="2">
        <v>358</v>
      </c>
      <c r="S445" s="2">
        <v>3438</v>
      </c>
      <c r="T445" s="2">
        <v>139</v>
      </c>
      <c r="U445" s="2">
        <v>248</v>
      </c>
      <c r="V445" s="12">
        <f>ABS(RPG_dataset[[#This Row],[Win Rate (%)]])</f>
        <v>96</v>
      </c>
      <c r="W445" s="2">
        <v>1282</v>
      </c>
      <c r="X445" s="9">
        <v>960532</v>
      </c>
      <c r="Y445" s="2" t="s">
        <v>36</v>
      </c>
      <c r="Z445" s="2">
        <v>18</v>
      </c>
      <c r="AA445" s="2" t="s">
        <v>1737</v>
      </c>
      <c r="AB445" s="2" t="b">
        <v>1</v>
      </c>
      <c r="AC445" s="2" t="s">
        <v>1730</v>
      </c>
      <c r="AD445" s="2" t="s">
        <v>1741</v>
      </c>
      <c r="AE445" s="2" t="s">
        <v>1731</v>
      </c>
      <c r="AF445" s="2" t="s">
        <v>1736</v>
      </c>
      <c r="AG445" s="28">
        <f>MAX(clean_data[[#This Row],[ATK]:[SPD]]) - MIN(clean_data[[#This Row],[ATK]:[SPD]])</f>
        <v>31</v>
      </c>
      <c r="AH445" s="28" t="str">
        <f>IF(clean_data[[#This Row],[Balanced Score]] = MIN(clean_data[Balanced Score]), "Most Balanced", "")</f>
        <v/>
      </c>
    </row>
    <row r="446" spans="1:34" x14ac:dyDescent="0.3">
      <c r="A446" s="2" t="s">
        <v>1518</v>
      </c>
      <c r="B446" s="2" t="s">
        <v>1519</v>
      </c>
      <c r="C446" s="2" t="s">
        <v>517</v>
      </c>
      <c r="D446" s="2" t="s">
        <v>155</v>
      </c>
      <c r="E446" s="2" t="s">
        <v>29</v>
      </c>
      <c r="F446" s="2" t="s">
        <v>72</v>
      </c>
      <c r="G446" s="2">
        <v>11</v>
      </c>
      <c r="H446" s="2" t="s">
        <v>157</v>
      </c>
      <c r="I446" s="2" t="s">
        <v>74</v>
      </c>
      <c r="J446" s="2" t="s">
        <v>92</v>
      </c>
      <c r="K446" s="2" t="s">
        <v>44</v>
      </c>
      <c r="L446" s="13">
        <v>44662</v>
      </c>
      <c r="M446" s="2">
        <v>104</v>
      </c>
      <c r="N446" s="2">
        <v>150</v>
      </c>
      <c r="O446" s="2">
        <v>117</v>
      </c>
      <c r="P446" s="2">
        <v>653</v>
      </c>
      <c r="Q446" s="2"/>
      <c r="R446" s="2">
        <v>371</v>
      </c>
      <c r="S446" s="2">
        <v>4200</v>
      </c>
      <c r="T446" s="2">
        <v>502</v>
      </c>
      <c r="U446" s="2">
        <v>19</v>
      </c>
      <c r="V446" s="12">
        <f>ABS(RPG_dataset[[#This Row],[Win Rate (%)]])</f>
        <v>89</v>
      </c>
      <c r="W446" s="2">
        <v>1708</v>
      </c>
      <c r="X446" s="9">
        <v>362603</v>
      </c>
      <c r="Y446" s="2" t="s">
        <v>46</v>
      </c>
      <c r="Z446" s="2">
        <v>324</v>
      </c>
      <c r="AA446" s="2" t="s">
        <v>1735</v>
      </c>
      <c r="AB446" s="2" t="b">
        <v>1</v>
      </c>
      <c r="AC446" s="2" t="s">
        <v>1730</v>
      </c>
      <c r="AD446" s="2" t="s">
        <v>1727</v>
      </c>
      <c r="AE446" s="2" t="s">
        <v>1728</v>
      </c>
      <c r="AF446" s="2" t="s">
        <v>1739</v>
      </c>
      <c r="AG446" s="28">
        <f>MAX(clean_data[[#This Row],[ATK]:[SPD]]) - MIN(clean_data[[#This Row],[ATK]:[SPD]])</f>
        <v>46</v>
      </c>
      <c r="AH446" s="28" t="str">
        <f>IF(clean_data[[#This Row],[Balanced Score]] = MIN(clean_data[Balanced Score]), "Most Balanced", "")</f>
        <v/>
      </c>
    </row>
    <row r="447" spans="1:34" x14ac:dyDescent="0.3">
      <c r="A447" s="2" t="s">
        <v>1521</v>
      </c>
      <c r="B447" s="2" t="s">
        <v>1522</v>
      </c>
      <c r="C447" s="2" t="s">
        <v>604</v>
      </c>
      <c r="D447" s="2" t="s">
        <v>234</v>
      </c>
      <c r="E447" s="2" t="s">
        <v>60</v>
      </c>
      <c r="F447" s="2" t="s">
        <v>194</v>
      </c>
      <c r="G447" s="2">
        <v>37</v>
      </c>
      <c r="H447" s="2" t="s">
        <v>31</v>
      </c>
      <c r="I447" s="2" t="s">
        <v>32</v>
      </c>
      <c r="J447" s="2" t="s">
        <v>111</v>
      </c>
      <c r="K447" s="2" t="s">
        <v>106</v>
      </c>
      <c r="L447" s="13">
        <v>44088</v>
      </c>
      <c r="M447" s="2">
        <v>130</v>
      </c>
      <c r="N447" s="2">
        <v>90</v>
      </c>
      <c r="O447" s="2">
        <v>31</v>
      </c>
      <c r="P447" s="2">
        <v>298</v>
      </c>
      <c r="Q447" s="2">
        <v>888</v>
      </c>
      <c r="R447" s="2">
        <v>251</v>
      </c>
      <c r="S447" s="2">
        <v>2506</v>
      </c>
      <c r="T447" s="2">
        <v>305</v>
      </c>
      <c r="U447" s="2">
        <v>93</v>
      </c>
      <c r="V447" s="12">
        <f>ABS(RPG_dataset[[#This Row],[Win Rate (%)]])</f>
        <v>89</v>
      </c>
      <c r="W447" s="2">
        <v>2337</v>
      </c>
      <c r="X447" s="9">
        <v>45389</v>
      </c>
      <c r="Y447" s="2" t="s">
        <v>46</v>
      </c>
      <c r="Z447" s="2">
        <v>461</v>
      </c>
      <c r="AA447" s="2" t="s">
        <v>1733</v>
      </c>
      <c r="AB447" s="2" t="b">
        <v>0</v>
      </c>
      <c r="AC447" s="2" t="s">
        <v>1730</v>
      </c>
      <c r="AD447" s="2" t="s">
        <v>1727</v>
      </c>
      <c r="AE447" s="2" t="s">
        <v>1728</v>
      </c>
      <c r="AF447" s="2" t="s">
        <v>1729</v>
      </c>
      <c r="AG447" s="28">
        <f>MAX(clean_data[[#This Row],[ATK]:[SPD]]) - MIN(clean_data[[#This Row],[ATK]:[SPD]])</f>
        <v>99</v>
      </c>
      <c r="AH447" s="28" t="str">
        <f>IF(clean_data[[#This Row],[Balanced Score]] = MIN(clean_data[Balanced Score]), "Most Balanced", "")</f>
        <v/>
      </c>
    </row>
    <row r="448" spans="1:34" x14ac:dyDescent="0.3">
      <c r="A448" s="2" t="s">
        <v>1524</v>
      </c>
      <c r="B448" s="2" t="s">
        <v>1525</v>
      </c>
      <c r="C448" s="2" t="s">
        <v>85</v>
      </c>
      <c r="D448" s="2" t="s">
        <v>104</v>
      </c>
      <c r="E448" s="2" t="s">
        <v>169</v>
      </c>
      <c r="F448" s="2" t="s">
        <v>124</v>
      </c>
      <c r="G448" s="2">
        <v>70</v>
      </c>
      <c r="H448" s="2" t="s">
        <v>62</v>
      </c>
      <c r="I448" s="2" t="s">
        <v>87</v>
      </c>
      <c r="J448" s="2" t="s">
        <v>111</v>
      </c>
      <c r="K448" s="2" t="s">
        <v>34</v>
      </c>
      <c r="L448" s="13">
        <v>44887</v>
      </c>
      <c r="M448" s="2">
        <v>66</v>
      </c>
      <c r="N448" s="2">
        <v>99</v>
      </c>
      <c r="O448" s="2">
        <v>129</v>
      </c>
      <c r="P448" s="2">
        <v>785</v>
      </c>
      <c r="Q448" s="2">
        <v>763</v>
      </c>
      <c r="R448" s="2">
        <v>294</v>
      </c>
      <c r="S448" s="2">
        <v>1918</v>
      </c>
      <c r="T448" s="2"/>
      <c r="U448" s="2">
        <v>202</v>
      </c>
      <c r="V448" s="12">
        <f>ABS(RPG_dataset[[#This Row],[Win Rate (%)]])</f>
        <v>69</v>
      </c>
      <c r="W448" s="2">
        <v>6222</v>
      </c>
      <c r="X448" s="9">
        <v>920365</v>
      </c>
      <c r="Y448" s="2" t="s">
        <v>46</v>
      </c>
      <c r="Z448" s="2">
        <v>39</v>
      </c>
      <c r="AA448" s="2" t="s">
        <v>1725</v>
      </c>
      <c r="AB448" s="2" t="b">
        <v>0</v>
      </c>
      <c r="AC448" s="2" t="s">
        <v>1738</v>
      </c>
      <c r="AD448" s="2" t="s">
        <v>1727</v>
      </c>
      <c r="AE448" s="2" t="s">
        <v>1728</v>
      </c>
      <c r="AF448" s="2" t="s">
        <v>1736</v>
      </c>
      <c r="AG448" s="28">
        <f>MAX(clean_data[[#This Row],[ATK]:[SPD]]) - MIN(clean_data[[#This Row],[ATK]:[SPD]])</f>
        <v>63</v>
      </c>
      <c r="AH448" s="28" t="str">
        <f>IF(clean_data[[#This Row],[Balanced Score]] = MIN(clean_data[Balanced Score]), "Most Balanced", "")</f>
        <v/>
      </c>
    </row>
    <row r="449" spans="1:34" x14ac:dyDescent="0.3">
      <c r="A449" s="2" t="s">
        <v>1527</v>
      </c>
      <c r="B449" s="2" t="s">
        <v>1528</v>
      </c>
      <c r="C449" s="2" t="s">
        <v>219</v>
      </c>
      <c r="D449" s="2" t="s">
        <v>168</v>
      </c>
      <c r="E449" s="2" t="s">
        <v>105</v>
      </c>
      <c r="F449" s="2" t="s">
        <v>124</v>
      </c>
      <c r="G449" s="2">
        <v>16</v>
      </c>
      <c r="H449" s="2" t="s">
        <v>73</v>
      </c>
      <c r="I449" s="2" t="s">
        <v>54</v>
      </c>
      <c r="J449" s="2" t="s">
        <v>81</v>
      </c>
      <c r="K449" s="2" t="s">
        <v>44</v>
      </c>
      <c r="L449" s="13">
        <v>43304</v>
      </c>
      <c r="M449" s="2">
        <v>30</v>
      </c>
      <c r="N449" s="2">
        <v>19</v>
      </c>
      <c r="O449" s="2">
        <v>43</v>
      </c>
      <c r="P449" s="2">
        <v>4902</v>
      </c>
      <c r="Q449" s="2">
        <v>2068</v>
      </c>
      <c r="R449" s="2">
        <v>92</v>
      </c>
      <c r="S449" s="2">
        <v>1436</v>
      </c>
      <c r="T449" s="2">
        <v>382</v>
      </c>
      <c r="U449" s="2">
        <v>218</v>
      </c>
      <c r="V449" s="12">
        <f>ABS(RPG_dataset[[#This Row],[Win Rate (%)]])</f>
        <v>79</v>
      </c>
      <c r="W449" s="2">
        <v>9493</v>
      </c>
      <c r="X449" s="9">
        <v>112784</v>
      </c>
      <c r="Y449" s="2" t="s">
        <v>46</v>
      </c>
      <c r="Z449" s="2">
        <v>429</v>
      </c>
      <c r="AA449" s="2" t="s">
        <v>1735</v>
      </c>
      <c r="AB449" s="2" t="b">
        <v>1</v>
      </c>
      <c r="AC449" s="2" t="s">
        <v>1730</v>
      </c>
      <c r="AD449" s="2" t="s">
        <v>1727</v>
      </c>
      <c r="AE449" s="2" t="s">
        <v>1728</v>
      </c>
      <c r="AF449" s="2" t="s">
        <v>61</v>
      </c>
      <c r="AG449" s="28">
        <f>MAX(clean_data[[#This Row],[ATK]:[SPD]]) - MIN(clean_data[[#This Row],[ATK]:[SPD]])</f>
        <v>24</v>
      </c>
      <c r="AH449" s="28" t="str">
        <f>IF(clean_data[[#This Row],[Balanced Score]] = MIN(clean_data[Balanced Score]), "Most Balanced", "")</f>
        <v/>
      </c>
    </row>
    <row r="450" spans="1:34" x14ac:dyDescent="0.3">
      <c r="A450" s="2" t="s">
        <v>1530</v>
      </c>
      <c r="B450" s="2" t="s">
        <v>1531</v>
      </c>
      <c r="C450" s="2" t="s">
        <v>507</v>
      </c>
      <c r="D450" s="2" t="s">
        <v>75</v>
      </c>
      <c r="E450" s="2" t="s">
        <v>105</v>
      </c>
      <c r="F450" s="2" t="s">
        <v>42</v>
      </c>
      <c r="G450" s="2">
        <v>49</v>
      </c>
      <c r="H450" s="2" t="s">
        <v>43</v>
      </c>
      <c r="I450" s="2" t="s">
        <v>32</v>
      </c>
      <c r="J450" s="2" t="s">
        <v>163</v>
      </c>
      <c r="K450" s="2" t="s">
        <v>44</v>
      </c>
      <c r="L450" s="13">
        <v>44787</v>
      </c>
      <c r="M450" s="2">
        <v>50</v>
      </c>
      <c r="N450" s="2">
        <v>86</v>
      </c>
      <c r="O450" s="2">
        <v>72</v>
      </c>
      <c r="P450" s="2">
        <v>2217</v>
      </c>
      <c r="Q450" s="2">
        <v>383</v>
      </c>
      <c r="R450" s="2">
        <v>208</v>
      </c>
      <c r="S450" s="2">
        <v>3014</v>
      </c>
      <c r="T450" s="2">
        <v>601</v>
      </c>
      <c r="U450" s="2">
        <v>167</v>
      </c>
      <c r="V450" s="12">
        <f>ABS(RPG_dataset[[#This Row],[Win Rate (%)]])</f>
        <v>83</v>
      </c>
      <c r="W450" s="2">
        <v>9504</v>
      </c>
      <c r="X450" s="9">
        <v>701972</v>
      </c>
      <c r="Y450" s="2" t="s">
        <v>36</v>
      </c>
      <c r="Z450" s="2">
        <v>147</v>
      </c>
      <c r="AA450" s="2" t="s">
        <v>1733</v>
      </c>
      <c r="AB450" s="2" t="b">
        <v>1</v>
      </c>
      <c r="AC450" s="2" t="s">
        <v>1730</v>
      </c>
      <c r="AD450" s="2" t="s">
        <v>1727</v>
      </c>
      <c r="AE450" s="2" t="s">
        <v>1728</v>
      </c>
      <c r="AF450" s="2" t="s">
        <v>1729</v>
      </c>
      <c r="AG450" s="28">
        <f>MAX(clean_data[[#This Row],[ATK]:[SPD]]) - MIN(clean_data[[#This Row],[ATK]:[SPD]])</f>
        <v>36</v>
      </c>
      <c r="AH450" s="28" t="str">
        <f>IF(clean_data[[#This Row],[Balanced Score]] = MIN(clean_data[Balanced Score]), "Most Balanced", "")</f>
        <v/>
      </c>
    </row>
    <row r="451" spans="1:34" x14ac:dyDescent="0.3">
      <c r="A451" s="2" t="s">
        <v>1533</v>
      </c>
      <c r="B451" s="2" t="s">
        <v>1534</v>
      </c>
      <c r="C451" s="2" t="s">
        <v>314</v>
      </c>
      <c r="D451" s="2" t="s">
        <v>119</v>
      </c>
      <c r="E451" s="2" t="s">
        <v>29</v>
      </c>
      <c r="F451" s="2" t="s">
        <v>98</v>
      </c>
      <c r="G451" s="2">
        <v>79</v>
      </c>
      <c r="H451" s="2" t="s">
        <v>62</v>
      </c>
      <c r="I451" s="2" t="s">
        <v>74</v>
      </c>
      <c r="J451" s="2" t="s">
        <v>88</v>
      </c>
      <c r="K451" s="2" t="s">
        <v>34</v>
      </c>
      <c r="L451" s="13">
        <v>43906</v>
      </c>
      <c r="M451" s="2">
        <v>43</v>
      </c>
      <c r="N451" s="2">
        <v>32</v>
      </c>
      <c r="O451" s="2">
        <v>136</v>
      </c>
      <c r="P451" s="2">
        <v>2187</v>
      </c>
      <c r="Q451" s="2">
        <v>2829</v>
      </c>
      <c r="R451" s="2">
        <v>211</v>
      </c>
      <c r="S451" s="2">
        <v>4418</v>
      </c>
      <c r="T451" s="2">
        <v>485</v>
      </c>
      <c r="U451" s="2">
        <v>47</v>
      </c>
      <c r="V451" s="12">
        <f>ABS(RPG_dataset[[#This Row],[Win Rate (%)]])</f>
        <v>90</v>
      </c>
      <c r="W451" s="2">
        <v>5368</v>
      </c>
      <c r="X451" s="9">
        <v>367987</v>
      </c>
      <c r="Y451" s="2" t="s">
        <v>36</v>
      </c>
      <c r="Z451" s="2">
        <v>320</v>
      </c>
      <c r="AA451" s="2" t="s">
        <v>1737</v>
      </c>
      <c r="AB451" s="2" t="b">
        <v>0</v>
      </c>
      <c r="AC451" s="2" t="s">
        <v>1730</v>
      </c>
      <c r="AD451" s="2" t="s">
        <v>1727</v>
      </c>
      <c r="AE451" s="2" t="s">
        <v>1731</v>
      </c>
      <c r="AF451" s="2" t="s">
        <v>1736</v>
      </c>
      <c r="AG451" s="28">
        <f>MAX(clean_data[[#This Row],[ATK]:[SPD]]) - MIN(clean_data[[#This Row],[ATK]:[SPD]])</f>
        <v>104</v>
      </c>
      <c r="AH451" s="28" t="str">
        <f>IF(clean_data[[#This Row],[Balanced Score]] = MIN(clean_data[Balanced Score]), "Most Balanced", "")</f>
        <v/>
      </c>
    </row>
    <row r="452" spans="1:34" x14ac:dyDescent="0.3">
      <c r="A452" s="2" t="s">
        <v>1536</v>
      </c>
      <c r="B452" s="2" t="s">
        <v>1537</v>
      </c>
      <c r="C452" s="2" t="s">
        <v>173</v>
      </c>
      <c r="D452" s="2" t="s">
        <v>254</v>
      </c>
      <c r="E452" s="2" t="s">
        <v>51</v>
      </c>
      <c r="F452" s="2" t="s">
        <v>61</v>
      </c>
      <c r="G452" s="2">
        <v>24</v>
      </c>
      <c r="H452" s="2" t="s">
        <v>43</v>
      </c>
      <c r="I452" s="2" t="s">
        <v>32</v>
      </c>
      <c r="J452" s="2" t="s">
        <v>88</v>
      </c>
      <c r="K452" s="2" t="s">
        <v>34</v>
      </c>
      <c r="L452" s="13">
        <v>44168</v>
      </c>
      <c r="M452" s="2">
        <v>144</v>
      </c>
      <c r="N452" s="2">
        <v>75</v>
      </c>
      <c r="O452" s="2">
        <v>28</v>
      </c>
      <c r="P452" s="2">
        <v>2842</v>
      </c>
      <c r="Q452" s="2">
        <v>2154</v>
      </c>
      <c r="R452" s="2">
        <v>247</v>
      </c>
      <c r="S452" s="2">
        <v>3978</v>
      </c>
      <c r="T452" s="2">
        <v>157</v>
      </c>
      <c r="U452" s="2">
        <v>32</v>
      </c>
      <c r="V452" s="12">
        <f>ABS(RPG_dataset[[#This Row],[Win Rate (%)]])</f>
        <v>96</v>
      </c>
      <c r="W452" s="2">
        <v>6088</v>
      </c>
      <c r="X452" s="9">
        <v>177075</v>
      </c>
      <c r="Y452" s="2" t="s">
        <v>36</v>
      </c>
      <c r="Z452" s="2">
        <v>411</v>
      </c>
      <c r="AA452" s="2" t="s">
        <v>1735</v>
      </c>
      <c r="AB452" s="2" t="b">
        <v>0</v>
      </c>
      <c r="AC452" s="2" t="s">
        <v>1730</v>
      </c>
      <c r="AD452" s="2" t="s">
        <v>1727</v>
      </c>
      <c r="AE452" s="2" t="s">
        <v>1728</v>
      </c>
      <c r="AF452" s="2" t="s">
        <v>1729</v>
      </c>
      <c r="AG452" s="28">
        <f>MAX(clean_data[[#This Row],[ATK]:[SPD]]) - MIN(clean_data[[#This Row],[ATK]:[SPD]])</f>
        <v>116</v>
      </c>
      <c r="AH452" s="28" t="str">
        <f>IF(clean_data[[#This Row],[Balanced Score]] = MIN(clean_data[Balanced Score]), "Most Balanced", "")</f>
        <v/>
      </c>
    </row>
    <row r="453" spans="1:34" x14ac:dyDescent="0.3">
      <c r="A453" s="2" t="s">
        <v>1539</v>
      </c>
      <c r="B453" s="2" t="s">
        <v>1540</v>
      </c>
      <c r="C453" s="2" t="s">
        <v>253</v>
      </c>
      <c r="D453" s="2" t="s">
        <v>277</v>
      </c>
      <c r="E453" s="2" t="s">
        <v>71</v>
      </c>
      <c r="F453" s="2" t="s">
        <v>52</v>
      </c>
      <c r="G453" s="2">
        <v>96</v>
      </c>
      <c r="H453" s="2" t="s">
        <v>73</v>
      </c>
      <c r="I453" s="2" t="s">
        <v>63</v>
      </c>
      <c r="J453" s="2" t="s">
        <v>120</v>
      </c>
      <c r="K453" s="2" t="s">
        <v>99</v>
      </c>
      <c r="L453" s="13">
        <v>45255</v>
      </c>
      <c r="M453" s="2">
        <v>20</v>
      </c>
      <c r="N453" s="2">
        <v>29</v>
      </c>
      <c r="O453" s="2">
        <v>119</v>
      </c>
      <c r="P453" s="2">
        <v>4211</v>
      </c>
      <c r="Q453" s="2">
        <v>52</v>
      </c>
      <c r="R453" s="2">
        <v>168</v>
      </c>
      <c r="S453" s="2">
        <v>2867</v>
      </c>
      <c r="T453" s="2">
        <v>66</v>
      </c>
      <c r="U453" s="2">
        <v>260</v>
      </c>
      <c r="V453" s="12">
        <f>ABS(RPG_dataset[[#This Row],[Win Rate (%)]])</f>
        <v>98</v>
      </c>
      <c r="W453" s="2">
        <v>2135</v>
      </c>
      <c r="X453" s="9">
        <v>696503</v>
      </c>
      <c r="Y453" s="2" t="s">
        <v>46</v>
      </c>
      <c r="Z453" s="2">
        <v>154</v>
      </c>
      <c r="AA453" s="2" t="s">
        <v>1737</v>
      </c>
      <c r="AB453" s="2" t="b">
        <v>0</v>
      </c>
      <c r="AC453" s="2" t="s">
        <v>1730</v>
      </c>
      <c r="AD453" s="2" t="s">
        <v>1727</v>
      </c>
      <c r="AE453" s="2" t="s">
        <v>1728</v>
      </c>
      <c r="AF453" s="2" t="s">
        <v>1736</v>
      </c>
      <c r="AG453" s="28">
        <f>MAX(clean_data[[#This Row],[ATK]:[SPD]]) - MIN(clean_data[[#This Row],[ATK]:[SPD]])</f>
        <v>99</v>
      </c>
      <c r="AH453" s="28" t="str">
        <f>IF(clean_data[[#This Row],[Balanced Score]] = MIN(clean_data[Balanced Score]), "Most Balanced", "")</f>
        <v/>
      </c>
    </row>
    <row r="454" spans="1:34" x14ac:dyDescent="0.3">
      <c r="A454" s="2" t="s">
        <v>1543</v>
      </c>
      <c r="B454" s="2" t="s">
        <v>1544</v>
      </c>
      <c r="C454" s="2" t="s">
        <v>85</v>
      </c>
      <c r="D454" s="2" t="s">
        <v>401</v>
      </c>
      <c r="E454" s="2" t="s">
        <v>169</v>
      </c>
      <c r="F454" s="2" t="s">
        <v>52</v>
      </c>
      <c r="G454" s="2">
        <v>50</v>
      </c>
      <c r="H454" s="2" t="s">
        <v>80</v>
      </c>
      <c r="I454" s="2" t="s">
        <v>32</v>
      </c>
      <c r="J454" s="2" t="s">
        <v>33</v>
      </c>
      <c r="K454" s="2" t="s">
        <v>34</v>
      </c>
      <c r="L454" s="13">
        <v>43239</v>
      </c>
      <c r="M454" s="2">
        <v>110</v>
      </c>
      <c r="N454" s="2">
        <v>36</v>
      </c>
      <c r="O454" s="2">
        <v>61</v>
      </c>
      <c r="P454" s="2">
        <v>2267</v>
      </c>
      <c r="Q454" s="2">
        <v>1560</v>
      </c>
      <c r="R454" s="2">
        <v>207</v>
      </c>
      <c r="S454" s="2"/>
      <c r="T454" s="2">
        <v>147</v>
      </c>
      <c r="U454" s="2">
        <v>132</v>
      </c>
      <c r="V454" s="12">
        <f>ABS(RPG_dataset[[#This Row],[Win Rate (%)]])</f>
        <v>85</v>
      </c>
      <c r="W454" s="2">
        <v>3555</v>
      </c>
      <c r="X454" s="9">
        <v>790213</v>
      </c>
      <c r="Y454" s="2" t="s">
        <v>46</v>
      </c>
      <c r="Z454" s="2">
        <v>114</v>
      </c>
      <c r="AA454" s="2" t="s">
        <v>1733</v>
      </c>
      <c r="AB454" s="2" t="b">
        <v>0</v>
      </c>
      <c r="AC454" s="2" t="s">
        <v>1730</v>
      </c>
      <c r="AD454" s="2" t="s">
        <v>1727</v>
      </c>
      <c r="AE454" s="2" t="s">
        <v>1728</v>
      </c>
      <c r="AF454" s="2" t="s">
        <v>1732</v>
      </c>
      <c r="AG454" s="28">
        <f>MAX(clean_data[[#This Row],[ATK]:[SPD]]) - MIN(clean_data[[#This Row],[ATK]:[SPD]])</f>
        <v>74</v>
      </c>
      <c r="AH454" s="28" t="str">
        <f>IF(clean_data[[#This Row],[Balanced Score]] = MIN(clean_data[Balanced Score]), "Most Balanced", "")</f>
        <v/>
      </c>
    </row>
    <row r="455" spans="1:34" x14ac:dyDescent="0.3">
      <c r="A455" s="2" t="s">
        <v>1546</v>
      </c>
      <c r="B455" s="2" t="s">
        <v>1547</v>
      </c>
      <c r="C455" s="2" t="s">
        <v>39</v>
      </c>
      <c r="D455" s="2" t="s">
        <v>40</v>
      </c>
      <c r="E455" s="2" t="s">
        <v>51</v>
      </c>
      <c r="F455" s="2" t="s">
        <v>52</v>
      </c>
      <c r="G455" s="2">
        <v>53</v>
      </c>
      <c r="H455" s="2" t="s">
        <v>125</v>
      </c>
      <c r="I455" s="2" t="s">
        <v>140</v>
      </c>
      <c r="J455" s="2" t="s">
        <v>120</v>
      </c>
      <c r="K455" s="2" t="s">
        <v>106</v>
      </c>
      <c r="L455" s="13">
        <v>44609</v>
      </c>
      <c r="M455" s="2">
        <v>41</v>
      </c>
      <c r="N455" s="2">
        <v>48</v>
      </c>
      <c r="O455" s="2">
        <v>70</v>
      </c>
      <c r="P455" s="2">
        <v>4211</v>
      </c>
      <c r="Q455" s="2">
        <v>940</v>
      </c>
      <c r="R455" s="2">
        <v>159</v>
      </c>
      <c r="S455" s="2">
        <v>2895</v>
      </c>
      <c r="T455" s="2">
        <v>647</v>
      </c>
      <c r="U455" s="2">
        <v>12</v>
      </c>
      <c r="V455" s="12">
        <f>ABS(RPG_dataset[[#This Row],[Win Rate (%)]])</f>
        <v>0</v>
      </c>
      <c r="W455" s="2">
        <v>9367</v>
      </c>
      <c r="X455" s="9">
        <v>144249</v>
      </c>
      <c r="Y455" s="2" t="s">
        <v>36</v>
      </c>
      <c r="Z455" s="2">
        <v>421</v>
      </c>
      <c r="AA455" s="2" t="s">
        <v>1725</v>
      </c>
      <c r="AB455" s="2" t="b">
        <v>0</v>
      </c>
      <c r="AC455" s="2" t="s">
        <v>1726</v>
      </c>
      <c r="AD455" s="2" t="s">
        <v>1727</v>
      </c>
      <c r="AE455" s="2" t="s">
        <v>1728</v>
      </c>
      <c r="AF455" s="2" t="s">
        <v>1740</v>
      </c>
      <c r="AG455" s="28">
        <f>MAX(clean_data[[#This Row],[ATK]:[SPD]]) - MIN(clean_data[[#This Row],[ATK]:[SPD]])</f>
        <v>29</v>
      </c>
      <c r="AH455" s="28" t="str">
        <f>IF(clean_data[[#This Row],[Balanced Score]] = MIN(clean_data[Balanced Score]), "Most Balanced", "")</f>
        <v/>
      </c>
    </row>
    <row r="456" spans="1:34" x14ac:dyDescent="0.3">
      <c r="A456" s="2" t="s">
        <v>1549</v>
      </c>
      <c r="B456" s="2" t="s">
        <v>1550</v>
      </c>
      <c r="C456" s="2" t="s">
        <v>75</v>
      </c>
      <c r="D456" s="2" t="s">
        <v>162</v>
      </c>
      <c r="E456" s="2" t="s">
        <v>71</v>
      </c>
      <c r="F456" s="2" t="s">
        <v>30</v>
      </c>
      <c r="G456" s="2">
        <v>81</v>
      </c>
      <c r="H456" s="2" t="s">
        <v>73</v>
      </c>
      <c r="I456" s="2" t="s">
        <v>63</v>
      </c>
      <c r="J456" s="2" t="s">
        <v>33</v>
      </c>
      <c r="K456" s="2" t="s">
        <v>34</v>
      </c>
      <c r="L456" s="13">
        <v>43641</v>
      </c>
      <c r="M456" s="2">
        <v>123</v>
      </c>
      <c r="N456" s="2">
        <v>75</v>
      </c>
      <c r="O456" s="2">
        <v>60</v>
      </c>
      <c r="P456" s="2">
        <v>2886</v>
      </c>
      <c r="Q456" s="2">
        <v>2679</v>
      </c>
      <c r="R456" s="2">
        <v>258</v>
      </c>
      <c r="S456" s="2">
        <v>1254</v>
      </c>
      <c r="T456" s="2">
        <v>681</v>
      </c>
      <c r="U456" s="2">
        <v>225</v>
      </c>
      <c r="V456" s="12">
        <f>ABS(RPG_dataset[[#This Row],[Win Rate (%)]])</f>
        <v>65</v>
      </c>
      <c r="W456" s="2">
        <v>885</v>
      </c>
      <c r="X456" s="9">
        <v>849000</v>
      </c>
      <c r="Y456" s="2" t="s">
        <v>46</v>
      </c>
      <c r="Z456" s="2">
        <v>78</v>
      </c>
      <c r="AA456" s="2" t="s">
        <v>1737</v>
      </c>
      <c r="AB456" s="2" t="b">
        <v>0</v>
      </c>
      <c r="AC456" s="2" t="s">
        <v>1738</v>
      </c>
      <c r="AD456" s="2" t="s">
        <v>1727</v>
      </c>
      <c r="AE456" s="2" t="s">
        <v>1728</v>
      </c>
      <c r="AF456" s="2" t="s">
        <v>1732</v>
      </c>
      <c r="AG456" s="28">
        <f>MAX(clean_data[[#This Row],[ATK]:[SPD]]) - MIN(clean_data[[#This Row],[ATK]:[SPD]])</f>
        <v>63</v>
      </c>
      <c r="AH456" s="28" t="str">
        <f>IF(clean_data[[#This Row],[Balanced Score]] = MIN(clean_data[Balanced Score]), "Most Balanced", "")</f>
        <v/>
      </c>
    </row>
    <row r="457" spans="1:34" x14ac:dyDescent="0.3">
      <c r="A457" s="2" t="s">
        <v>1551</v>
      </c>
      <c r="B457" s="2" t="s">
        <v>1552</v>
      </c>
      <c r="C457" s="2" t="s">
        <v>233</v>
      </c>
      <c r="D457" s="2" t="s">
        <v>70</v>
      </c>
      <c r="E457" s="2" t="s">
        <v>29</v>
      </c>
      <c r="F457" s="2" t="s">
        <v>30</v>
      </c>
      <c r="G457" s="2">
        <v>86</v>
      </c>
      <c r="H457" s="2" t="s">
        <v>53</v>
      </c>
      <c r="I457" s="2" t="s">
        <v>140</v>
      </c>
      <c r="J457" s="2" t="s">
        <v>111</v>
      </c>
      <c r="K457" s="2" t="s">
        <v>34</v>
      </c>
      <c r="L457" s="13">
        <v>43369</v>
      </c>
      <c r="M457" s="2">
        <v>17</v>
      </c>
      <c r="N457" s="2">
        <v>22</v>
      </c>
      <c r="O457" s="2">
        <v>65</v>
      </c>
      <c r="P457" s="2">
        <v>1773</v>
      </c>
      <c r="Q457" s="2">
        <v>1107</v>
      </c>
      <c r="R457" s="2">
        <v>104</v>
      </c>
      <c r="S457" s="2">
        <v>3063</v>
      </c>
      <c r="T457" s="2">
        <v>393</v>
      </c>
      <c r="U457" s="2">
        <v>254</v>
      </c>
      <c r="V457" s="12">
        <f>ABS(RPG_dataset[[#This Row],[Win Rate (%)]])</f>
        <v>89</v>
      </c>
      <c r="W457" s="2">
        <v>1328</v>
      </c>
      <c r="X457" s="9">
        <v>82083</v>
      </c>
      <c r="Y457" s="2" t="s">
        <v>46</v>
      </c>
      <c r="Z457" s="2">
        <v>447</v>
      </c>
      <c r="AA457" s="2" t="s">
        <v>1737</v>
      </c>
      <c r="AB457" s="2" t="b">
        <v>0</v>
      </c>
      <c r="AC457" s="2" t="s">
        <v>1730</v>
      </c>
      <c r="AD457" s="2" t="s">
        <v>1727</v>
      </c>
      <c r="AE457" s="2" t="s">
        <v>1728</v>
      </c>
      <c r="AF457" s="2" t="s">
        <v>1740</v>
      </c>
      <c r="AG457" s="28">
        <f>MAX(clean_data[[#This Row],[ATK]:[SPD]]) - MIN(clean_data[[#This Row],[ATK]:[SPD]])</f>
        <v>48</v>
      </c>
      <c r="AH457" s="28" t="str">
        <f>IF(clean_data[[#This Row],[Balanced Score]] = MIN(clean_data[Balanced Score]), "Most Balanced", "")</f>
        <v/>
      </c>
    </row>
    <row r="458" spans="1:34" x14ac:dyDescent="0.3">
      <c r="A458" s="2" t="s">
        <v>1554</v>
      </c>
      <c r="B458" s="2" t="s">
        <v>1555</v>
      </c>
      <c r="C458" s="2" t="s">
        <v>161</v>
      </c>
      <c r="D458" s="2" t="s">
        <v>75</v>
      </c>
      <c r="E458" s="2" t="s">
        <v>169</v>
      </c>
      <c r="F458" s="2" t="s">
        <v>98</v>
      </c>
      <c r="G458" s="2">
        <v>53</v>
      </c>
      <c r="H458" s="2" t="s">
        <v>53</v>
      </c>
      <c r="I458" s="2" t="s">
        <v>87</v>
      </c>
      <c r="J458" s="2" t="s">
        <v>33</v>
      </c>
      <c r="K458" s="2" t="s">
        <v>44</v>
      </c>
      <c r="L458" s="13">
        <v>43474</v>
      </c>
      <c r="M458" s="2">
        <v>28</v>
      </c>
      <c r="N458" s="2">
        <v>35</v>
      </c>
      <c r="O458" s="2">
        <v>112</v>
      </c>
      <c r="P458" s="2">
        <v>4730</v>
      </c>
      <c r="Q458" s="2">
        <v>365</v>
      </c>
      <c r="R458" s="2">
        <v>175</v>
      </c>
      <c r="S458" s="2">
        <v>1948</v>
      </c>
      <c r="T458" s="2">
        <v>406</v>
      </c>
      <c r="U458" s="2">
        <v>30</v>
      </c>
      <c r="V458" s="12">
        <f>ABS(RPG_dataset[[#This Row],[Win Rate (%)]])</f>
        <v>83</v>
      </c>
      <c r="W458" s="2">
        <v>603</v>
      </c>
      <c r="X458" s="9">
        <v>857803</v>
      </c>
      <c r="Y458" s="2" t="s">
        <v>46</v>
      </c>
      <c r="Z458" s="2">
        <v>72</v>
      </c>
      <c r="AA458" s="2" t="s">
        <v>1725</v>
      </c>
      <c r="AB458" s="2" t="b">
        <v>1</v>
      </c>
      <c r="AC458" s="2" t="s">
        <v>1730</v>
      </c>
      <c r="AD458" s="2" t="s">
        <v>1727</v>
      </c>
      <c r="AE458" s="2" t="s">
        <v>1728</v>
      </c>
      <c r="AF458" s="2" t="s">
        <v>1736</v>
      </c>
      <c r="AG458" s="28">
        <f>MAX(clean_data[[#This Row],[ATK]:[SPD]]) - MIN(clean_data[[#This Row],[ATK]:[SPD]])</f>
        <v>84</v>
      </c>
      <c r="AH458" s="28" t="str">
        <f>IF(clean_data[[#This Row],[Balanced Score]] = MIN(clean_data[Balanced Score]), "Most Balanced", "")</f>
        <v/>
      </c>
    </row>
    <row r="459" spans="1:34" x14ac:dyDescent="0.3">
      <c r="A459" s="2" t="s">
        <v>1557</v>
      </c>
      <c r="B459" s="2" t="s">
        <v>1558</v>
      </c>
      <c r="C459" s="2" t="s">
        <v>517</v>
      </c>
      <c r="D459" s="2" t="s">
        <v>40</v>
      </c>
      <c r="E459" s="2" t="s">
        <v>51</v>
      </c>
      <c r="F459" s="2" t="s">
        <v>124</v>
      </c>
      <c r="G459" s="2">
        <v>15</v>
      </c>
      <c r="H459" s="2" t="s">
        <v>31</v>
      </c>
      <c r="I459" s="2" t="s">
        <v>74</v>
      </c>
      <c r="J459" s="2" t="s">
        <v>120</v>
      </c>
      <c r="K459" s="2" t="s">
        <v>44</v>
      </c>
      <c r="L459" s="13">
        <v>43164</v>
      </c>
      <c r="M459" s="2">
        <v>111</v>
      </c>
      <c r="N459" s="2">
        <v>18</v>
      </c>
      <c r="O459" s="2">
        <v>62</v>
      </c>
      <c r="P459" s="2">
        <v>1227</v>
      </c>
      <c r="Q459" s="2">
        <v>1219</v>
      </c>
      <c r="R459" s="2">
        <v>191</v>
      </c>
      <c r="S459" s="2">
        <v>2869</v>
      </c>
      <c r="T459" s="2">
        <v>174</v>
      </c>
      <c r="U459" s="2">
        <v>21</v>
      </c>
      <c r="V459" s="12">
        <f>ABS(RPG_dataset[[#This Row],[Win Rate (%)]])</f>
        <v>94</v>
      </c>
      <c r="W459" s="2">
        <v>2182</v>
      </c>
      <c r="X459" s="9">
        <v>425995</v>
      </c>
      <c r="Y459" s="2" t="s">
        <v>36</v>
      </c>
      <c r="Z459" s="2">
        <v>293</v>
      </c>
      <c r="AA459" s="2" t="s">
        <v>1735</v>
      </c>
      <c r="AB459" s="2" t="b">
        <v>1</v>
      </c>
      <c r="AC459" s="2" t="s">
        <v>1730</v>
      </c>
      <c r="AD459" s="2" t="s">
        <v>1727</v>
      </c>
      <c r="AE459" s="2" t="s">
        <v>1728</v>
      </c>
      <c r="AF459" s="2" t="s">
        <v>1732</v>
      </c>
      <c r="AG459" s="28">
        <f>MAX(clean_data[[#This Row],[ATK]:[SPD]]) - MIN(clean_data[[#This Row],[ATK]:[SPD]])</f>
        <v>93</v>
      </c>
      <c r="AH459" s="28" t="str">
        <f>IF(clean_data[[#This Row],[Balanced Score]] = MIN(clean_data[Balanced Score]), "Most Balanced", "")</f>
        <v/>
      </c>
    </row>
    <row r="460" spans="1:34" x14ac:dyDescent="0.3">
      <c r="A460" s="2" t="s">
        <v>1559</v>
      </c>
      <c r="B460" s="2" t="s">
        <v>1560</v>
      </c>
      <c r="C460" s="2" t="s">
        <v>720</v>
      </c>
      <c r="D460" s="2" t="s">
        <v>168</v>
      </c>
      <c r="E460" s="2" t="s">
        <v>105</v>
      </c>
      <c r="F460" s="2" t="s">
        <v>61</v>
      </c>
      <c r="G460" s="2">
        <v>52</v>
      </c>
      <c r="H460" s="2" t="s">
        <v>62</v>
      </c>
      <c r="I460" s="2" t="s">
        <v>126</v>
      </c>
      <c r="J460" s="2" t="s">
        <v>64</v>
      </c>
      <c r="K460" s="2" t="s">
        <v>106</v>
      </c>
      <c r="L460" s="13">
        <v>45142</v>
      </c>
      <c r="M460" s="2">
        <v>73</v>
      </c>
      <c r="N460" s="2">
        <v>139</v>
      </c>
      <c r="O460" s="2">
        <v>132</v>
      </c>
      <c r="P460" s="2">
        <v>1100</v>
      </c>
      <c r="Q460" s="2">
        <v>2824</v>
      </c>
      <c r="R460" s="2">
        <v>344</v>
      </c>
      <c r="S460" s="2">
        <v>3574</v>
      </c>
      <c r="T460" s="2">
        <v>851</v>
      </c>
      <c r="U460" s="2">
        <v>21</v>
      </c>
      <c r="V460" s="12">
        <f>ABS(RPG_dataset[[#This Row],[Win Rate (%)]])</f>
        <v>81</v>
      </c>
      <c r="W460" s="2">
        <v>3414</v>
      </c>
      <c r="X460" s="9">
        <v>309775</v>
      </c>
      <c r="Y460" s="2" t="s">
        <v>46</v>
      </c>
      <c r="Z460" s="2">
        <v>348</v>
      </c>
      <c r="AA460" s="2" t="s">
        <v>1725</v>
      </c>
      <c r="AB460" s="2" t="b">
        <v>0</v>
      </c>
      <c r="AC460" s="2" t="s">
        <v>1730</v>
      </c>
      <c r="AD460" s="2" t="s">
        <v>1727</v>
      </c>
      <c r="AE460" s="2" t="s">
        <v>1728</v>
      </c>
      <c r="AF460" s="2" t="s">
        <v>1736</v>
      </c>
      <c r="AG460" s="28">
        <f>MAX(clean_data[[#This Row],[ATK]:[SPD]]) - MIN(clean_data[[#This Row],[ATK]:[SPD]])</f>
        <v>66</v>
      </c>
      <c r="AH460" s="28" t="str">
        <f>IF(clean_data[[#This Row],[Balanced Score]] = MIN(clean_data[Balanced Score]), "Most Balanced", "")</f>
        <v/>
      </c>
    </row>
    <row r="461" spans="1:34" x14ac:dyDescent="0.3">
      <c r="A461" s="2" t="s">
        <v>1562</v>
      </c>
      <c r="B461" s="2" t="s">
        <v>1563</v>
      </c>
      <c r="C461" s="2" t="s">
        <v>371</v>
      </c>
      <c r="D461" s="2" t="s">
        <v>168</v>
      </c>
      <c r="E461" s="2" t="s">
        <v>41</v>
      </c>
      <c r="F461" s="2" t="s">
        <v>30</v>
      </c>
      <c r="G461" s="2">
        <v>72</v>
      </c>
      <c r="H461" s="2" t="s">
        <v>53</v>
      </c>
      <c r="I461" s="2" t="s">
        <v>63</v>
      </c>
      <c r="J461" s="2" t="s">
        <v>111</v>
      </c>
      <c r="K461" s="2" t="s">
        <v>44</v>
      </c>
      <c r="L461" s="13">
        <v>43468</v>
      </c>
      <c r="M461" s="2">
        <v>12</v>
      </c>
      <c r="N461" s="2">
        <v>148</v>
      </c>
      <c r="O461" s="2">
        <v>138</v>
      </c>
      <c r="P461" s="2">
        <v>1634</v>
      </c>
      <c r="Q461" s="2">
        <v>709</v>
      </c>
      <c r="R461" s="2">
        <v>298</v>
      </c>
      <c r="S461" s="2">
        <v>1215</v>
      </c>
      <c r="T461" s="2">
        <v>782</v>
      </c>
      <c r="U461" s="2">
        <v>268</v>
      </c>
      <c r="V461" s="12">
        <f>ABS(RPG_dataset[[#This Row],[Win Rate (%)]])</f>
        <v>61</v>
      </c>
      <c r="W461" s="2">
        <v>6159</v>
      </c>
      <c r="X461" s="9">
        <v>943688</v>
      </c>
      <c r="Y461" s="2" t="s">
        <v>46</v>
      </c>
      <c r="Z461" s="2">
        <v>27</v>
      </c>
      <c r="AA461" s="2" t="s">
        <v>1725</v>
      </c>
      <c r="AB461" s="2" t="b">
        <v>0</v>
      </c>
      <c r="AC461" s="2" t="s">
        <v>1738</v>
      </c>
      <c r="AD461" s="2" t="s">
        <v>1727</v>
      </c>
      <c r="AE461" s="2" t="s">
        <v>1728</v>
      </c>
      <c r="AF461" s="2" t="s">
        <v>1736</v>
      </c>
      <c r="AG461" s="28">
        <f>MAX(clean_data[[#This Row],[ATK]:[SPD]]) - MIN(clean_data[[#This Row],[ATK]:[SPD]])</f>
        <v>136</v>
      </c>
      <c r="AH461" s="28" t="str">
        <f>IF(clean_data[[#This Row],[Balanced Score]] = MIN(clean_data[Balanced Score]), "Most Balanced", "")</f>
        <v/>
      </c>
    </row>
    <row r="462" spans="1:34" x14ac:dyDescent="0.3">
      <c r="A462" s="2" t="s">
        <v>1565</v>
      </c>
      <c r="B462" s="2" t="s">
        <v>1566</v>
      </c>
      <c r="C462" s="2" t="s">
        <v>367</v>
      </c>
      <c r="D462" s="2" t="s">
        <v>250</v>
      </c>
      <c r="E462" s="2" t="s">
        <v>105</v>
      </c>
      <c r="F462" s="2" t="s">
        <v>194</v>
      </c>
      <c r="G462" s="2">
        <v>18</v>
      </c>
      <c r="H462" s="2" t="s">
        <v>125</v>
      </c>
      <c r="I462" s="2" t="s">
        <v>63</v>
      </c>
      <c r="J462" s="2" t="s">
        <v>88</v>
      </c>
      <c r="K462" s="2" t="s">
        <v>44</v>
      </c>
      <c r="L462" s="13">
        <v>44256</v>
      </c>
      <c r="M462" s="2">
        <v>113</v>
      </c>
      <c r="N462" s="2">
        <v>27</v>
      </c>
      <c r="O462" s="2">
        <v>125</v>
      </c>
      <c r="P462" s="2">
        <v>813</v>
      </c>
      <c r="Q462" s="2">
        <v>1039</v>
      </c>
      <c r="R462" s="2"/>
      <c r="S462" s="2">
        <v>2171</v>
      </c>
      <c r="T462" s="2">
        <v>972</v>
      </c>
      <c r="U462" s="2">
        <v>107</v>
      </c>
      <c r="V462" s="12">
        <f>ABS(RPG_dataset[[#This Row],[Win Rate (%)]])</f>
        <v>69</v>
      </c>
      <c r="W462" s="2">
        <v>9165</v>
      </c>
      <c r="X462" s="9">
        <v>884369</v>
      </c>
      <c r="Y462" s="2" t="s">
        <v>46</v>
      </c>
      <c r="Z462" s="2">
        <v>60</v>
      </c>
      <c r="AA462" s="2" t="s">
        <v>1735</v>
      </c>
      <c r="AB462" s="2" t="b">
        <v>1</v>
      </c>
      <c r="AC462" s="2" t="s">
        <v>1738</v>
      </c>
      <c r="AD462" s="2" t="s">
        <v>1727</v>
      </c>
      <c r="AE462" s="2" t="s">
        <v>1742</v>
      </c>
      <c r="AF462" s="2" t="s">
        <v>1736</v>
      </c>
      <c r="AG462" s="28">
        <f>MAX(clean_data[[#This Row],[ATK]:[SPD]]) - MIN(clean_data[[#This Row],[ATK]:[SPD]])</f>
        <v>98</v>
      </c>
      <c r="AH462" s="28" t="str">
        <f>IF(clean_data[[#This Row],[Balanced Score]] = MIN(clean_data[Balanced Score]), "Most Balanced", "")</f>
        <v/>
      </c>
    </row>
    <row r="463" spans="1:34" x14ac:dyDescent="0.3">
      <c r="A463" s="2" t="s">
        <v>1567</v>
      </c>
      <c r="B463" s="2" t="s">
        <v>1568</v>
      </c>
      <c r="C463" s="2" t="s">
        <v>371</v>
      </c>
      <c r="D463" s="2" t="s">
        <v>401</v>
      </c>
      <c r="E463" s="2" t="s">
        <v>105</v>
      </c>
      <c r="F463" s="2" t="s">
        <v>98</v>
      </c>
      <c r="G463" s="2">
        <v>9</v>
      </c>
      <c r="H463" s="2" t="s">
        <v>31</v>
      </c>
      <c r="I463" s="2" t="s">
        <v>54</v>
      </c>
      <c r="J463" s="2" t="s">
        <v>33</v>
      </c>
      <c r="K463" s="2" t="s">
        <v>44</v>
      </c>
      <c r="L463" s="13">
        <v>44024</v>
      </c>
      <c r="M463" s="2">
        <v>88</v>
      </c>
      <c r="N463" s="2">
        <v>48</v>
      </c>
      <c r="O463" s="2">
        <v>105</v>
      </c>
      <c r="P463" s="2">
        <v>3485</v>
      </c>
      <c r="Q463" s="2">
        <v>463</v>
      </c>
      <c r="R463" s="2">
        <v>241</v>
      </c>
      <c r="S463" s="2">
        <v>1512</v>
      </c>
      <c r="T463" s="2">
        <v>148</v>
      </c>
      <c r="U463" s="2">
        <v>28</v>
      </c>
      <c r="V463" s="12">
        <f>ABS(RPG_dataset[[#This Row],[Win Rate (%)]])</f>
        <v>91</v>
      </c>
      <c r="W463" s="2">
        <v>9696</v>
      </c>
      <c r="X463" s="9">
        <v>46231</v>
      </c>
      <c r="Y463" s="2" t="s">
        <v>46</v>
      </c>
      <c r="Z463" s="2">
        <v>459</v>
      </c>
      <c r="AA463" s="2" t="s">
        <v>1735</v>
      </c>
      <c r="AB463" s="2" t="b">
        <v>1</v>
      </c>
      <c r="AC463" s="2" t="s">
        <v>1730</v>
      </c>
      <c r="AD463" s="2" t="s">
        <v>1727</v>
      </c>
      <c r="AE463" s="2" t="s">
        <v>1728</v>
      </c>
      <c r="AF463" s="2" t="s">
        <v>1736</v>
      </c>
      <c r="AG463" s="28">
        <f>MAX(clean_data[[#This Row],[ATK]:[SPD]]) - MIN(clean_data[[#This Row],[ATK]:[SPD]])</f>
        <v>57</v>
      </c>
      <c r="AH463" s="28" t="str">
        <f>IF(clean_data[[#This Row],[Balanced Score]] = MIN(clean_data[Balanced Score]), "Most Balanced", "")</f>
        <v/>
      </c>
    </row>
    <row r="464" spans="1:34" x14ac:dyDescent="0.3">
      <c r="A464" s="2" t="s">
        <v>1570</v>
      </c>
      <c r="B464" s="2" t="s">
        <v>1571</v>
      </c>
      <c r="C464" s="2" t="s">
        <v>138</v>
      </c>
      <c r="D464" s="2" t="s">
        <v>277</v>
      </c>
      <c r="E464" s="2" t="s">
        <v>29</v>
      </c>
      <c r="F464" s="2" t="s">
        <v>61</v>
      </c>
      <c r="G464" s="2">
        <v>71</v>
      </c>
      <c r="H464" s="2" t="s">
        <v>62</v>
      </c>
      <c r="I464" s="2" t="s">
        <v>54</v>
      </c>
      <c r="J464" s="2" t="s">
        <v>92</v>
      </c>
      <c r="K464" s="2" t="s">
        <v>34</v>
      </c>
      <c r="L464" s="13">
        <v>45024</v>
      </c>
      <c r="M464" s="2">
        <v>89</v>
      </c>
      <c r="N464" s="2">
        <v>55</v>
      </c>
      <c r="O464" s="2">
        <v>34</v>
      </c>
      <c r="P464" s="2">
        <v>4208</v>
      </c>
      <c r="Q464" s="2">
        <v>1404</v>
      </c>
      <c r="R464" s="2">
        <v>178</v>
      </c>
      <c r="S464" s="2">
        <v>3511</v>
      </c>
      <c r="T464" s="2">
        <v>874</v>
      </c>
      <c r="U464" s="2">
        <v>256</v>
      </c>
      <c r="V464" s="12">
        <f>ABS(RPG_dataset[[#This Row],[Win Rate (%)]])</f>
        <v>80</v>
      </c>
      <c r="W464" s="2">
        <v>9488</v>
      </c>
      <c r="X464" s="9">
        <v>108077</v>
      </c>
      <c r="Y464" s="2" t="s">
        <v>46</v>
      </c>
      <c r="Z464" s="2">
        <v>434</v>
      </c>
      <c r="AA464" s="2" t="s">
        <v>1725</v>
      </c>
      <c r="AB464" s="2" t="b">
        <v>0</v>
      </c>
      <c r="AC464" s="2" t="s">
        <v>1730</v>
      </c>
      <c r="AD464" s="2" t="s">
        <v>1727</v>
      </c>
      <c r="AE464" s="2" t="s">
        <v>1728</v>
      </c>
      <c r="AF464" s="2" t="s">
        <v>61</v>
      </c>
      <c r="AG464" s="28">
        <f>MAX(clean_data[[#This Row],[ATK]:[SPD]]) - MIN(clean_data[[#This Row],[ATK]:[SPD]])</f>
        <v>55</v>
      </c>
      <c r="AH464" s="28" t="str">
        <f>IF(clean_data[[#This Row],[Balanced Score]] = MIN(clean_data[Balanced Score]), "Most Balanced", "")</f>
        <v/>
      </c>
    </row>
    <row r="465" spans="1:34" x14ac:dyDescent="0.3">
      <c r="A465" s="2" t="s">
        <v>1572</v>
      </c>
      <c r="B465" s="2" t="s">
        <v>1573</v>
      </c>
      <c r="C465" s="2" t="s">
        <v>296</v>
      </c>
      <c r="D465" s="2" t="s">
        <v>155</v>
      </c>
      <c r="E465" s="2" t="s">
        <v>60</v>
      </c>
      <c r="F465" s="2" t="s">
        <v>194</v>
      </c>
      <c r="G465" s="2">
        <v>55</v>
      </c>
      <c r="H465" s="2" t="s">
        <v>125</v>
      </c>
      <c r="I465" s="2" t="s">
        <v>63</v>
      </c>
      <c r="J465" s="2" t="s">
        <v>111</v>
      </c>
      <c r="K465" s="2" t="s">
        <v>99</v>
      </c>
      <c r="L465" s="13">
        <v>45294</v>
      </c>
      <c r="M465" s="2">
        <v>144</v>
      </c>
      <c r="N465" s="2">
        <v>50</v>
      </c>
      <c r="O465" s="2">
        <v>18</v>
      </c>
      <c r="P465" s="2">
        <v>3220</v>
      </c>
      <c r="Q465" s="2">
        <v>409</v>
      </c>
      <c r="R465" s="2">
        <v>212</v>
      </c>
      <c r="S465" s="2">
        <v>1991</v>
      </c>
      <c r="T465" s="2">
        <v>198</v>
      </c>
      <c r="U465" s="2">
        <v>111</v>
      </c>
      <c r="V465" s="12">
        <f>ABS(RPG_dataset[[#This Row],[Win Rate (%)]])</f>
        <v>0</v>
      </c>
      <c r="W465" s="2">
        <v>5816</v>
      </c>
      <c r="X465" s="9">
        <v>512892</v>
      </c>
      <c r="Y465" s="2" t="s">
        <v>46</v>
      </c>
      <c r="Z465" s="2">
        <v>243</v>
      </c>
      <c r="AA465" s="2" t="s">
        <v>1725</v>
      </c>
      <c r="AB465" s="2" t="b">
        <v>0</v>
      </c>
      <c r="AC465" s="2" t="s">
        <v>1726</v>
      </c>
      <c r="AD465" s="2" t="s">
        <v>1727</v>
      </c>
      <c r="AE465" s="2" t="s">
        <v>1728</v>
      </c>
      <c r="AF465" s="2" t="s">
        <v>1729</v>
      </c>
      <c r="AG465" s="28">
        <f>MAX(clean_data[[#This Row],[ATK]:[SPD]]) - MIN(clean_data[[#This Row],[ATK]:[SPD]])</f>
        <v>126</v>
      </c>
      <c r="AH465" s="28" t="str">
        <f>IF(clean_data[[#This Row],[Balanced Score]] = MIN(clean_data[Balanced Score]), "Most Balanced", "")</f>
        <v/>
      </c>
    </row>
    <row r="466" spans="1:34" x14ac:dyDescent="0.3">
      <c r="A466" s="2" t="s">
        <v>1574</v>
      </c>
      <c r="B466" s="2" t="s">
        <v>1575</v>
      </c>
      <c r="C466" s="2" t="s">
        <v>367</v>
      </c>
      <c r="D466" s="2" t="s">
        <v>40</v>
      </c>
      <c r="E466" s="2" t="s">
        <v>71</v>
      </c>
      <c r="F466" s="2" t="s">
        <v>72</v>
      </c>
      <c r="G466" s="2">
        <v>68</v>
      </c>
      <c r="H466" s="2" t="s">
        <v>125</v>
      </c>
      <c r="I466" s="2" t="s">
        <v>54</v>
      </c>
      <c r="J466" s="2" t="s">
        <v>88</v>
      </c>
      <c r="K466" s="2" t="s">
        <v>44</v>
      </c>
      <c r="L466" s="13">
        <v>45278</v>
      </c>
      <c r="M466" s="2">
        <v>90</v>
      </c>
      <c r="N466" s="2">
        <v>108</v>
      </c>
      <c r="O466" s="2">
        <v>68</v>
      </c>
      <c r="P466" s="2">
        <v>199</v>
      </c>
      <c r="Q466" s="2">
        <v>1969</v>
      </c>
      <c r="R466" s="2">
        <v>266</v>
      </c>
      <c r="S466" s="2">
        <v>3628</v>
      </c>
      <c r="T466" s="2">
        <v>537</v>
      </c>
      <c r="U466" s="2">
        <v>78</v>
      </c>
      <c r="V466" s="12">
        <f>ABS(RPG_dataset[[#This Row],[Win Rate (%)]])</f>
        <v>87</v>
      </c>
      <c r="W466" s="2">
        <v>6658</v>
      </c>
      <c r="X466" s="9">
        <v>3185</v>
      </c>
      <c r="Y466" s="2" t="s">
        <v>36</v>
      </c>
      <c r="Z466" s="2">
        <v>485</v>
      </c>
      <c r="AA466" s="2" t="s">
        <v>1725</v>
      </c>
      <c r="AB466" s="2" t="b">
        <v>1</v>
      </c>
      <c r="AC466" s="2" t="s">
        <v>1730</v>
      </c>
      <c r="AD466" s="2" t="s">
        <v>1727</v>
      </c>
      <c r="AE466" s="2" t="s">
        <v>1731</v>
      </c>
      <c r="AF466" s="2" t="s">
        <v>1732</v>
      </c>
      <c r="AG466" s="28">
        <f>MAX(clean_data[[#This Row],[ATK]:[SPD]]) - MIN(clean_data[[#This Row],[ATK]:[SPD]])</f>
        <v>40</v>
      </c>
      <c r="AH466" s="28" t="str">
        <f>IF(clean_data[[#This Row],[Balanced Score]] = MIN(clean_data[Balanced Score]), "Most Balanced", "")</f>
        <v/>
      </c>
    </row>
    <row r="467" spans="1:34" x14ac:dyDescent="0.3">
      <c r="A467" s="2" t="s">
        <v>1577</v>
      </c>
      <c r="B467" s="2" t="s">
        <v>1578</v>
      </c>
      <c r="C467" s="2" t="s">
        <v>680</v>
      </c>
      <c r="D467" s="2" t="s">
        <v>168</v>
      </c>
      <c r="E467" s="2" t="s">
        <v>105</v>
      </c>
      <c r="F467" s="2" t="s">
        <v>194</v>
      </c>
      <c r="G467" s="2">
        <v>51</v>
      </c>
      <c r="H467" s="2" t="s">
        <v>80</v>
      </c>
      <c r="I467" s="2" t="s">
        <v>87</v>
      </c>
      <c r="J467" s="2" t="s">
        <v>92</v>
      </c>
      <c r="K467" s="2" t="s">
        <v>44</v>
      </c>
      <c r="L467" s="13">
        <v>44557</v>
      </c>
      <c r="M467" s="2">
        <v>144</v>
      </c>
      <c r="N467" s="2">
        <v>123</v>
      </c>
      <c r="O467" s="2">
        <v>137</v>
      </c>
      <c r="P467" s="2">
        <v>1194</v>
      </c>
      <c r="Q467" s="2">
        <v>598</v>
      </c>
      <c r="R467" s="2">
        <v>404</v>
      </c>
      <c r="S467" s="2">
        <v>2306</v>
      </c>
      <c r="T467" s="2">
        <v>208</v>
      </c>
      <c r="U467" s="2">
        <v>291</v>
      </c>
      <c r="V467" s="12">
        <f>ABS(RPG_dataset[[#This Row],[Win Rate (%)]])</f>
        <v>92</v>
      </c>
      <c r="W467" s="2">
        <v>7250</v>
      </c>
      <c r="X467" s="9">
        <v>611480</v>
      </c>
      <c r="Y467" s="2" t="s">
        <v>46</v>
      </c>
      <c r="Z467" s="2">
        <v>197</v>
      </c>
      <c r="AA467" s="2" t="s">
        <v>1725</v>
      </c>
      <c r="AB467" s="2" t="b">
        <v>1</v>
      </c>
      <c r="AC467" s="2" t="s">
        <v>1730</v>
      </c>
      <c r="AD467" s="2" t="s">
        <v>1727</v>
      </c>
      <c r="AE467" s="2" t="s">
        <v>1728</v>
      </c>
      <c r="AF467" s="2" t="s">
        <v>1736</v>
      </c>
      <c r="AG467" s="28">
        <f>MAX(clean_data[[#This Row],[ATK]:[SPD]]) - MIN(clean_data[[#This Row],[ATK]:[SPD]])</f>
        <v>21</v>
      </c>
      <c r="AH467" s="28" t="str">
        <f>IF(clean_data[[#This Row],[Balanced Score]] = MIN(clean_data[Balanced Score]), "Most Balanced", "")</f>
        <v/>
      </c>
    </row>
    <row r="468" spans="1:34" x14ac:dyDescent="0.3">
      <c r="A468" s="2" t="s">
        <v>1580</v>
      </c>
      <c r="B468" s="2" t="s">
        <v>1581</v>
      </c>
      <c r="C468" s="2" t="s">
        <v>296</v>
      </c>
      <c r="D468" s="2" t="s">
        <v>168</v>
      </c>
      <c r="E468" s="2" t="s">
        <v>51</v>
      </c>
      <c r="F468" s="2" t="s">
        <v>98</v>
      </c>
      <c r="G468" s="2">
        <v>8</v>
      </c>
      <c r="H468" s="2" t="s">
        <v>62</v>
      </c>
      <c r="I468" s="2" t="s">
        <v>74</v>
      </c>
      <c r="J468" s="2" t="s">
        <v>33</v>
      </c>
      <c r="K468" s="2" t="s">
        <v>34</v>
      </c>
      <c r="L468" s="13">
        <v>44075</v>
      </c>
      <c r="M468" s="2">
        <v>60</v>
      </c>
      <c r="N468" s="2">
        <v>104</v>
      </c>
      <c r="O468" s="2">
        <v>39</v>
      </c>
      <c r="P468" s="2">
        <v>3110</v>
      </c>
      <c r="Q468" s="2">
        <v>538</v>
      </c>
      <c r="R468" s="2">
        <v>203</v>
      </c>
      <c r="S468" s="2">
        <v>2309</v>
      </c>
      <c r="T468" s="2">
        <v>603</v>
      </c>
      <c r="U468" s="2">
        <v>293</v>
      </c>
      <c r="V468" s="12">
        <f>ABS(RPG_dataset[[#This Row],[Win Rate (%)]])</f>
        <v>79</v>
      </c>
      <c r="W468" s="2">
        <v>1001</v>
      </c>
      <c r="X468" s="9">
        <v>837410</v>
      </c>
      <c r="Y468" s="2" t="s">
        <v>46</v>
      </c>
      <c r="Z468" s="2">
        <v>87</v>
      </c>
      <c r="AA468" s="2" t="s">
        <v>1735</v>
      </c>
      <c r="AB468" s="2" t="b">
        <v>0</v>
      </c>
      <c r="AC468" s="2" t="s">
        <v>1730</v>
      </c>
      <c r="AD468" s="2" t="s">
        <v>1727</v>
      </c>
      <c r="AE468" s="2" t="s">
        <v>1728</v>
      </c>
      <c r="AF468" s="2" t="s">
        <v>1734</v>
      </c>
      <c r="AG468" s="28">
        <f>MAX(clean_data[[#This Row],[ATK]:[SPD]]) - MIN(clean_data[[#This Row],[ATK]:[SPD]])</f>
        <v>65</v>
      </c>
      <c r="AH468" s="28" t="str">
        <f>IF(clean_data[[#This Row],[Balanced Score]] = MIN(clean_data[Balanced Score]), "Most Balanced", "")</f>
        <v/>
      </c>
    </row>
    <row r="469" spans="1:34" x14ac:dyDescent="0.3">
      <c r="A469" s="2" t="s">
        <v>1584</v>
      </c>
      <c r="B469" s="2" t="s">
        <v>1585</v>
      </c>
      <c r="C469" s="2" t="s">
        <v>69</v>
      </c>
      <c r="D469" s="2" t="s">
        <v>70</v>
      </c>
      <c r="E469" s="2" t="s">
        <v>169</v>
      </c>
      <c r="F469" s="2" t="s">
        <v>72</v>
      </c>
      <c r="G469" s="2"/>
      <c r="H469" s="2" t="s">
        <v>80</v>
      </c>
      <c r="I469" s="2" t="s">
        <v>140</v>
      </c>
      <c r="J469" s="2" t="s">
        <v>88</v>
      </c>
      <c r="K469" s="2" t="s">
        <v>34</v>
      </c>
      <c r="L469" s="13">
        <v>44581</v>
      </c>
      <c r="M469" s="2">
        <v>53</v>
      </c>
      <c r="N469" s="2">
        <v>115</v>
      </c>
      <c r="O469" s="2">
        <v>77</v>
      </c>
      <c r="P469" s="2">
        <v>1546</v>
      </c>
      <c r="Q469" s="2"/>
      <c r="R469" s="2">
        <v>245</v>
      </c>
      <c r="S469" s="2">
        <v>4433</v>
      </c>
      <c r="T469" s="2">
        <v>120</v>
      </c>
      <c r="U469" s="2">
        <v>222</v>
      </c>
      <c r="V469" s="12">
        <f>ABS(RPG_dataset[[#This Row],[Win Rate (%)]])</f>
        <v>97</v>
      </c>
      <c r="W469" s="2">
        <v>4921</v>
      </c>
      <c r="X469" s="9">
        <v>226409</v>
      </c>
      <c r="Y469" s="2" t="s">
        <v>46</v>
      </c>
      <c r="Z469" s="2">
        <v>388</v>
      </c>
      <c r="AA469" s="2" t="s">
        <v>1735</v>
      </c>
      <c r="AB469" s="2" t="b">
        <v>0</v>
      </c>
      <c r="AC469" s="2" t="s">
        <v>1730</v>
      </c>
      <c r="AD469" s="2" t="s">
        <v>1727</v>
      </c>
      <c r="AE469" s="2" t="s">
        <v>1728</v>
      </c>
      <c r="AF469" s="2" t="s">
        <v>1740</v>
      </c>
      <c r="AG469" s="28">
        <f>MAX(clean_data[[#This Row],[ATK]:[SPD]]) - MIN(clean_data[[#This Row],[ATK]:[SPD]])</f>
        <v>62</v>
      </c>
      <c r="AH469" s="28" t="str">
        <f>IF(clean_data[[#This Row],[Balanced Score]] = MIN(clean_data[Balanced Score]), "Most Balanced", "")</f>
        <v/>
      </c>
    </row>
    <row r="470" spans="1:34" x14ac:dyDescent="0.3">
      <c r="A470" s="2" t="s">
        <v>1587</v>
      </c>
      <c r="B470" s="2" t="s">
        <v>1588</v>
      </c>
      <c r="C470" s="2" t="s">
        <v>75</v>
      </c>
      <c r="D470" s="2" t="s">
        <v>162</v>
      </c>
      <c r="E470" s="2" t="s">
        <v>228</v>
      </c>
      <c r="F470" s="2" t="s">
        <v>98</v>
      </c>
      <c r="G470" s="2">
        <v>68</v>
      </c>
      <c r="H470" s="2" t="s">
        <v>62</v>
      </c>
      <c r="I470" s="2" t="s">
        <v>63</v>
      </c>
      <c r="J470" s="2" t="s">
        <v>33</v>
      </c>
      <c r="K470" s="2" t="s">
        <v>44</v>
      </c>
      <c r="L470" s="13">
        <v>43665</v>
      </c>
      <c r="M470" s="2">
        <v>51</v>
      </c>
      <c r="N470" s="2">
        <v>22</v>
      </c>
      <c r="O470" s="2">
        <v>75</v>
      </c>
      <c r="P470" s="2">
        <v>2149</v>
      </c>
      <c r="Q470" s="2">
        <v>2332</v>
      </c>
      <c r="R470" s="2">
        <v>148</v>
      </c>
      <c r="S470" s="2">
        <v>2438</v>
      </c>
      <c r="T470" s="2">
        <v>228</v>
      </c>
      <c r="U470" s="2">
        <v>3</v>
      </c>
      <c r="V470" s="12">
        <f>ABS(RPG_dataset[[#This Row],[Win Rate (%)]])</f>
        <v>91</v>
      </c>
      <c r="W470" s="2">
        <v>9119</v>
      </c>
      <c r="X470" s="9">
        <v>610682</v>
      </c>
      <c r="Y470" s="2" t="s">
        <v>36</v>
      </c>
      <c r="Z470" s="2">
        <v>199</v>
      </c>
      <c r="AA470" s="2" t="s">
        <v>1725</v>
      </c>
      <c r="AB470" s="2" t="b">
        <v>1</v>
      </c>
      <c r="AC470" s="2" t="s">
        <v>1730</v>
      </c>
      <c r="AD470" s="2" t="s">
        <v>1727</v>
      </c>
      <c r="AE470" s="2" t="s">
        <v>1731</v>
      </c>
      <c r="AF470" s="2" t="s">
        <v>1729</v>
      </c>
      <c r="AG470" s="28">
        <f>MAX(clean_data[[#This Row],[ATK]:[SPD]]) - MIN(clean_data[[#This Row],[ATK]:[SPD]])</f>
        <v>53</v>
      </c>
      <c r="AH470" s="28" t="str">
        <f>IF(clean_data[[#This Row],[Balanced Score]] = MIN(clean_data[Balanced Score]), "Most Balanced", "")</f>
        <v/>
      </c>
    </row>
    <row r="471" spans="1:34" x14ac:dyDescent="0.3">
      <c r="A471" s="2" t="s">
        <v>1589</v>
      </c>
      <c r="B471" s="2" t="s">
        <v>1590</v>
      </c>
      <c r="C471" s="2" t="s">
        <v>1226</v>
      </c>
      <c r="D471" s="2" t="s">
        <v>40</v>
      </c>
      <c r="E471" s="2" t="s">
        <v>71</v>
      </c>
      <c r="F471" s="2" t="s">
        <v>42</v>
      </c>
      <c r="G471" s="2">
        <v>88</v>
      </c>
      <c r="H471" s="2" t="s">
        <v>73</v>
      </c>
      <c r="I471" s="2" t="s">
        <v>140</v>
      </c>
      <c r="J471" s="2" t="s">
        <v>120</v>
      </c>
      <c r="K471" s="2" t="s">
        <v>34</v>
      </c>
      <c r="L471" s="13">
        <v>44078</v>
      </c>
      <c r="M471" s="2">
        <v>113</v>
      </c>
      <c r="N471" s="2">
        <v>88</v>
      </c>
      <c r="O471" s="2">
        <v>45</v>
      </c>
      <c r="P471" s="2">
        <v>808</v>
      </c>
      <c r="Q471" s="2">
        <v>1601</v>
      </c>
      <c r="R471" s="2">
        <v>246</v>
      </c>
      <c r="S471" s="2">
        <v>3833</v>
      </c>
      <c r="T471" s="2">
        <v>798</v>
      </c>
      <c r="U471" s="2">
        <v>91</v>
      </c>
      <c r="V471" s="12">
        <f>ABS(RPG_dataset[[#This Row],[Win Rate (%)]])</f>
        <v>83</v>
      </c>
      <c r="W471" s="2">
        <v>7578</v>
      </c>
      <c r="X471" s="9">
        <v>218831</v>
      </c>
      <c r="Y471" s="2" t="s">
        <v>46</v>
      </c>
      <c r="Z471" s="2">
        <v>391</v>
      </c>
      <c r="AA471" s="2" t="s">
        <v>1737</v>
      </c>
      <c r="AB471" s="2" t="b">
        <v>0</v>
      </c>
      <c r="AC471" s="2" t="s">
        <v>1730</v>
      </c>
      <c r="AD471" s="2" t="s">
        <v>1727</v>
      </c>
      <c r="AE471" s="2" t="s">
        <v>1728</v>
      </c>
      <c r="AF471" s="2" t="s">
        <v>1740</v>
      </c>
      <c r="AG471" s="28">
        <f>MAX(clean_data[[#This Row],[ATK]:[SPD]]) - MIN(clean_data[[#This Row],[ATK]:[SPD]])</f>
        <v>68</v>
      </c>
      <c r="AH471" s="28" t="str">
        <f>IF(clean_data[[#This Row],[Balanced Score]] = MIN(clean_data[Balanced Score]), "Most Balanced", "")</f>
        <v/>
      </c>
    </row>
    <row r="472" spans="1:34" x14ac:dyDescent="0.3">
      <c r="A472" s="2" t="s">
        <v>1592</v>
      </c>
      <c r="B472" s="2" t="s">
        <v>1593</v>
      </c>
      <c r="C472" s="2" t="s">
        <v>724</v>
      </c>
      <c r="D472" s="2" t="s">
        <v>104</v>
      </c>
      <c r="E472" s="2" t="s">
        <v>29</v>
      </c>
      <c r="F472" s="2" t="s">
        <v>42</v>
      </c>
      <c r="G472" s="2">
        <v>42</v>
      </c>
      <c r="H472" s="2" t="s">
        <v>31</v>
      </c>
      <c r="I472" s="2" t="s">
        <v>54</v>
      </c>
      <c r="J472" s="2" t="s">
        <v>120</v>
      </c>
      <c r="K472" s="2" t="s">
        <v>44</v>
      </c>
      <c r="L472" s="13">
        <v>43749</v>
      </c>
      <c r="M472" s="2">
        <v>124</v>
      </c>
      <c r="N472" s="2">
        <v>41</v>
      </c>
      <c r="O472" s="2">
        <v>26</v>
      </c>
      <c r="P472" s="2"/>
      <c r="Q472" s="2">
        <v>336</v>
      </c>
      <c r="R472" s="2">
        <v>191</v>
      </c>
      <c r="S472" s="2">
        <v>3075</v>
      </c>
      <c r="T472" s="2">
        <v>164</v>
      </c>
      <c r="U472" s="2">
        <v>100</v>
      </c>
      <c r="V472" s="12">
        <f>ABS(RPG_dataset[[#This Row],[Win Rate (%)]])</f>
        <v>95</v>
      </c>
      <c r="W472" s="2">
        <v>4052</v>
      </c>
      <c r="X472" s="9">
        <v>228585</v>
      </c>
      <c r="Y472" s="2" t="s">
        <v>36</v>
      </c>
      <c r="Z472" s="2">
        <v>386</v>
      </c>
      <c r="AA472" s="2" t="s">
        <v>1733</v>
      </c>
      <c r="AB472" s="2" t="b">
        <v>1</v>
      </c>
      <c r="AC472" s="2" t="s">
        <v>1730</v>
      </c>
      <c r="AD472" s="2" t="s">
        <v>1727</v>
      </c>
      <c r="AE472" s="2" t="s">
        <v>1728</v>
      </c>
      <c r="AF472" s="2" t="s">
        <v>61</v>
      </c>
      <c r="AG472" s="28">
        <f>MAX(clean_data[[#This Row],[ATK]:[SPD]]) - MIN(clean_data[[#This Row],[ATK]:[SPD]])</f>
        <v>98</v>
      </c>
      <c r="AH472" s="28" t="str">
        <f>IF(clean_data[[#This Row],[Balanced Score]] = MIN(clean_data[Balanced Score]), "Most Balanced", "")</f>
        <v/>
      </c>
    </row>
    <row r="473" spans="1:34" x14ac:dyDescent="0.3">
      <c r="A473" s="2" t="s">
        <v>1595</v>
      </c>
      <c r="B473" s="2" t="s">
        <v>1596</v>
      </c>
      <c r="C473" s="2" t="s">
        <v>281</v>
      </c>
      <c r="D473" s="2" t="s">
        <v>234</v>
      </c>
      <c r="E473" s="2" t="s">
        <v>51</v>
      </c>
      <c r="F473" s="2" t="s">
        <v>194</v>
      </c>
      <c r="G473" s="2">
        <v>59</v>
      </c>
      <c r="H473" s="2" t="s">
        <v>53</v>
      </c>
      <c r="I473" s="2" t="s">
        <v>87</v>
      </c>
      <c r="J473" s="2" t="s">
        <v>88</v>
      </c>
      <c r="K473" s="2" t="s">
        <v>44</v>
      </c>
      <c r="L473" s="13">
        <v>44366</v>
      </c>
      <c r="M473" s="2">
        <v>129</v>
      </c>
      <c r="N473" s="2">
        <v>13</v>
      </c>
      <c r="O473" s="2">
        <v>25</v>
      </c>
      <c r="P473" s="2">
        <v>2677</v>
      </c>
      <c r="Q473" s="2"/>
      <c r="R473" s="2">
        <v>167</v>
      </c>
      <c r="S473" s="2">
        <v>3094</v>
      </c>
      <c r="T473" s="2">
        <v>360</v>
      </c>
      <c r="U473" s="2">
        <v>106</v>
      </c>
      <c r="V473" s="12">
        <f>ABS(RPG_dataset[[#This Row],[Win Rate (%)]])</f>
        <v>90</v>
      </c>
      <c r="W473" s="2">
        <v>7516</v>
      </c>
      <c r="X473" s="9">
        <v>920184</v>
      </c>
      <c r="Y473" s="2" t="s">
        <v>36</v>
      </c>
      <c r="Z473" s="2">
        <v>40</v>
      </c>
      <c r="AA473" s="2" t="s">
        <v>1725</v>
      </c>
      <c r="AB473" s="2" t="b">
        <v>1</v>
      </c>
      <c r="AC473" s="2" t="s">
        <v>1730</v>
      </c>
      <c r="AD473" s="2" t="s">
        <v>1727</v>
      </c>
      <c r="AE473" s="2" t="s">
        <v>1731</v>
      </c>
      <c r="AF473" s="2" t="s">
        <v>1729</v>
      </c>
      <c r="AG473" s="28">
        <f>MAX(clean_data[[#This Row],[ATK]:[SPD]]) - MIN(clean_data[[#This Row],[ATK]:[SPD]])</f>
        <v>116</v>
      </c>
      <c r="AH473" s="28" t="str">
        <f>IF(clean_data[[#This Row],[Balanced Score]] = MIN(clean_data[Balanced Score]), "Most Balanced", "")</f>
        <v/>
      </c>
    </row>
    <row r="474" spans="1:34" x14ac:dyDescent="0.3">
      <c r="A474" s="2" t="s">
        <v>1599</v>
      </c>
      <c r="B474" s="2" t="s">
        <v>1600</v>
      </c>
      <c r="C474" s="2" t="s">
        <v>314</v>
      </c>
      <c r="D474" s="2" t="s">
        <v>304</v>
      </c>
      <c r="E474" s="2" t="s">
        <v>60</v>
      </c>
      <c r="F474" s="2" t="s">
        <v>124</v>
      </c>
      <c r="G474" s="2">
        <v>98</v>
      </c>
      <c r="H474" s="2" t="s">
        <v>157</v>
      </c>
      <c r="I474" s="2" t="s">
        <v>54</v>
      </c>
      <c r="J474" s="2" t="s">
        <v>81</v>
      </c>
      <c r="K474" s="2" t="s">
        <v>44</v>
      </c>
      <c r="L474" s="13">
        <v>43671</v>
      </c>
      <c r="M474" s="2">
        <v>29</v>
      </c>
      <c r="N474" s="2">
        <v>87</v>
      </c>
      <c r="O474" s="2">
        <v>113</v>
      </c>
      <c r="P474" s="2">
        <v>309</v>
      </c>
      <c r="Q474" s="2">
        <v>1909</v>
      </c>
      <c r="R474" s="2">
        <v>229</v>
      </c>
      <c r="S474" s="2">
        <v>983</v>
      </c>
      <c r="T474" s="2">
        <v>785</v>
      </c>
      <c r="U474" s="2">
        <v>243</v>
      </c>
      <c r="V474" s="12">
        <f>ABS(RPG_dataset[[#This Row],[Win Rate (%)]])</f>
        <v>56</v>
      </c>
      <c r="W474" s="2">
        <v>9272</v>
      </c>
      <c r="X474" s="9">
        <v>939403</v>
      </c>
      <c r="Y474" s="2" t="s">
        <v>36</v>
      </c>
      <c r="Z474" s="2">
        <v>29</v>
      </c>
      <c r="AA474" s="2" t="s">
        <v>1737</v>
      </c>
      <c r="AB474" s="2" t="b">
        <v>1</v>
      </c>
      <c r="AC474" s="2" t="s">
        <v>1738</v>
      </c>
      <c r="AD474" s="2" t="s">
        <v>1727</v>
      </c>
      <c r="AE474" s="2" t="s">
        <v>1728</v>
      </c>
      <c r="AF474" s="2" t="s">
        <v>1736</v>
      </c>
      <c r="AG474" s="28">
        <f>MAX(clean_data[[#This Row],[ATK]:[SPD]]) - MIN(clean_data[[#This Row],[ATK]:[SPD]])</f>
        <v>84</v>
      </c>
      <c r="AH474" s="28" t="str">
        <f>IF(clean_data[[#This Row],[Balanced Score]] = MIN(clean_data[Balanced Score]), "Most Balanced", "")</f>
        <v/>
      </c>
    </row>
    <row r="475" spans="1:34" x14ac:dyDescent="0.3">
      <c r="A475" s="2" t="s">
        <v>1602</v>
      </c>
      <c r="B475" s="2" t="s">
        <v>1603</v>
      </c>
      <c r="C475" s="2" t="s">
        <v>154</v>
      </c>
      <c r="D475" s="2" t="s">
        <v>618</v>
      </c>
      <c r="E475" s="2" t="s">
        <v>105</v>
      </c>
      <c r="F475" s="2" t="s">
        <v>98</v>
      </c>
      <c r="G475" s="2">
        <v>97</v>
      </c>
      <c r="H475" s="2" t="s">
        <v>80</v>
      </c>
      <c r="I475" s="2" t="s">
        <v>32</v>
      </c>
      <c r="J475" s="2" t="s">
        <v>120</v>
      </c>
      <c r="K475" s="2" t="s">
        <v>44</v>
      </c>
      <c r="L475" s="13">
        <v>43726</v>
      </c>
      <c r="M475" s="2">
        <v>89</v>
      </c>
      <c r="N475" s="2"/>
      <c r="O475" s="2">
        <v>66</v>
      </c>
      <c r="P475" s="2">
        <v>1312</v>
      </c>
      <c r="Q475" s="2">
        <v>1351</v>
      </c>
      <c r="R475" s="2">
        <v>296</v>
      </c>
      <c r="S475" s="2">
        <v>3043</v>
      </c>
      <c r="T475" s="2">
        <v>829</v>
      </c>
      <c r="U475" s="2">
        <v>65</v>
      </c>
      <c r="V475" s="12">
        <f>ABS(RPG_dataset[[#This Row],[Win Rate (%)]])</f>
        <v>79</v>
      </c>
      <c r="W475" s="2">
        <v>7982</v>
      </c>
      <c r="X475" s="9">
        <v>975314</v>
      </c>
      <c r="Y475" s="2" t="s">
        <v>46</v>
      </c>
      <c r="Z475" s="2">
        <v>13</v>
      </c>
      <c r="AA475" s="2" t="s">
        <v>1737</v>
      </c>
      <c r="AB475" s="2" t="b">
        <v>1</v>
      </c>
      <c r="AC475" s="2" t="s">
        <v>1730</v>
      </c>
      <c r="AD475" s="2" t="s">
        <v>1727</v>
      </c>
      <c r="AE475" s="2" t="s">
        <v>1728</v>
      </c>
      <c r="AF475" s="2" t="s">
        <v>1732</v>
      </c>
      <c r="AG475" s="28">
        <f>MAX(clean_data[[#This Row],[ATK]:[SPD]]) - MIN(clean_data[[#This Row],[ATK]:[SPD]])</f>
        <v>23</v>
      </c>
      <c r="AH475" s="28" t="str">
        <f>IF(clean_data[[#This Row],[Balanced Score]] = MIN(clean_data[Balanced Score]), "Most Balanced", "")</f>
        <v/>
      </c>
    </row>
    <row r="476" spans="1:34" x14ac:dyDescent="0.3">
      <c r="A476" s="2" t="s">
        <v>1605</v>
      </c>
      <c r="B476" s="2" t="s">
        <v>1606</v>
      </c>
      <c r="C476" s="2" t="s">
        <v>198</v>
      </c>
      <c r="D476" s="2" t="s">
        <v>59</v>
      </c>
      <c r="E476" s="2" t="s">
        <v>169</v>
      </c>
      <c r="F476" s="2" t="s">
        <v>52</v>
      </c>
      <c r="G476" s="2">
        <v>61</v>
      </c>
      <c r="H476" s="2" t="s">
        <v>73</v>
      </c>
      <c r="I476" s="2" t="s">
        <v>63</v>
      </c>
      <c r="J476" s="2" t="s">
        <v>33</v>
      </c>
      <c r="K476" s="2" t="s">
        <v>106</v>
      </c>
      <c r="L476" s="13">
        <v>44141</v>
      </c>
      <c r="M476" s="2">
        <v>75</v>
      </c>
      <c r="N476" s="2">
        <v>94</v>
      </c>
      <c r="O476" s="2">
        <v>143</v>
      </c>
      <c r="P476" s="2">
        <v>4863</v>
      </c>
      <c r="Q476" s="2">
        <v>512</v>
      </c>
      <c r="R476" s="2">
        <v>312</v>
      </c>
      <c r="S476" s="2">
        <v>3587</v>
      </c>
      <c r="T476" s="2">
        <v>163</v>
      </c>
      <c r="U476" s="2">
        <v>125</v>
      </c>
      <c r="V476" s="12">
        <f>ABS(RPG_dataset[[#This Row],[Win Rate (%)]])</f>
        <v>96</v>
      </c>
      <c r="W476" s="2">
        <v>8900</v>
      </c>
      <c r="X476" s="9">
        <v>574898</v>
      </c>
      <c r="Y476" s="2" t="s">
        <v>46</v>
      </c>
      <c r="Z476" s="2">
        <v>214</v>
      </c>
      <c r="AA476" s="2" t="s">
        <v>1725</v>
      </c>
      <c r="AB476" s="2" t="b">
        <v>0</v>
      </c>
      <c r="AC476" s="2" t="s">
        <v>1730</v>
      </c>
      <c r="AD476" s="2" t="s">
        <v>1727</v>
      </c>
      <c r="AE476" s="2" t="s">
        <v>1728</v>
      </c>
      <c r="AF476" s="2" t="s">
        <v>1736</v>
      </c>
      <c r="AG476" s="28">
        <f>MAX(clean_data[[#This Row],[ATK]:[SPD]]) - MIN(clean_data[[#This Row],[ATK]:[SPD]])</f>
        <v>68</v>
      </c>
      <c r="AH476" s="28" t="str">
        <f>IF(clean_data[[#This Row],[Balanced Score]] = MIN(clean_data[Balanced Score]), "Most Balanced", "")</f>
        <v/>
      </c>
    </row>
    <row r="477" spans="1:34" x14ac:dyDescent="0.3">
      <c r="A477" s="2" t="s">
        <v>1608</v>
      </c>
      <c r="B477" s="2" t="s">
        <v>1609</v>
      </c>
      <c r="C477" s="2" t="s">
        <v>167</v>
      </c>
      <c r="D477" s="2" t="s">
        <v>139</v>
      </c>
      <c r="E477" s="2" t="s">
        <v>51</v>
      </c>
      <c r="F477" s="2" t="s">
        <v>42</v>
      </c>
      <c r="G477" s="2">
        <v>75</v>
      </c>
      <c r="H477" s="2" t="s">
        <v>157</v>
      </c>
      <c r="I477" s="2" t="s">
        <v>32</v>
      </c>
      <c r="J477" s="2" t="s">
        <v>111</v>
      </c>
      <c r="K477" s="2" t="s">
        <v>99</v>
      </c>
      <c r="L477" s="13">
        <v>43550</v>
      </c>
      <c r="M477" s="2">
        <v>106</v>
      </c>
      <c r="N477" s="2">
        <v>128</v>
      </c>
      <c r="O477" s="2">
        <v>135</v>
      </c>
      <c r="P477" s="2">
        <v>613</v>
      </c>
      <c r="Q477" s="2">
        <v>1919</v>
      </c>
      <c r="R477" s="2">
        <v>369</v>
      </c>
      <c r="S477" s="2">
        <v>4504</v>
      </c>
      <c r="T477" s="2">
        <v>898</v>
      </c>
      <c r="U477" s="2">
        <v>160</v>
      </c>
      <c r="V477" s="12">
        <f>ABS(RPG_dataset[[#This Row],[Win Rate (%)]])</f>
        <v>83</v>
      </c>
      <c r="W477" s="2">
        <v>5476</v>
      </c>
      <c r="X477" s="9">
        <v>258704</v>
      </c>
      <c r="Y477" s="2" t="s">
        <v>46</v>
      </c>
      <c r="Z477" s="2">
        <v>372</v>
      </c>
      <c r="AA477" s="2" t="s">
        <v>1725</v>
      </c>
      <c r="AB477" s="2" t="b">
        <v>0</v>
      </c>
      <c r="AC477" s="2" t="s">
        <v>1730</v>
      </c>
      <c r="AD477" s="2" t="s">
        <v>1727</v>
      </c>
      <c r="AE477" s="2" t="s">
        <v>1728</v>
      </c>
      <c r="AF477" s="2" t="s">
        <v>1736</v>
      </c>
      <c r="AG477" s="28">
        <f>MAX(clean_data[[#This Row],[ATK]:[SPD]]) - MIN(clean_data[[#This Row],[ATK]:[SPD]])</f>
        <v>29</v>
      </c>
      <c r="AH477" s="28" t="str">
        <f>IF(clean_data[[#This Row],[Balanced Score]] = MIN(clean_data[Balanced Score]), "Most Balanced", "")</f>
        <v/>
      </c>
    </row>
    <row r="478" spans="1:34" x14ac:dyDescent="0.3">
      <c r="A478" s="2" t="s">
        <v>1611</v>
      </c>
      <c r="B478" s="2" t="s">
        <v>1612</v>
      </c>
      <c r="C478" s="2" t="s">
        <v>27</v>
      </c>
      <c r="D478" s="2" t="s">
        <v>618</v>
      </c>
      <c r="E478" s="2" t="s">
        <v>41</v>
      </c>
      <c r="F478" s="2" t="s">
        <v>124</v>
      </c>
      <c r="G478" s="2">
        <v>80</v>
      </c>
      <c r="H478" s="2" t="s">
        <v>80</v>
      </c>
      <c r="I478" s="2" t="s">
        <v>87</v>
      </c>
      <c r="J478" s="2" t="s">
        <v>81</v>
      </c>
      <c r="K478" s="2" t="s">
        <v>44</v>
      </c>
      <c r="L478" s="13">
        <v>45171</v>
      </c>
      <c r="M478" s="2">
        <v>35</v>
      </c>
      <c r="N478" s="2">
        <v>42</v>
      </c>
      <c r="O478" s="2">
        <v>142</v>
      </c>
      <c r="P478" s="2">
        <v>2359</v>
      </c>
      <c r="Q478" s="2">
        <v>1930</v>
      </c>
      <c r="R478" s="2">
        <v>219</v>
      </c>
      <c r="S478" s="2">
        <v>938</v>
      </c>
      <c r="T478" s="2">
        <v>409</v>
      </c>
      <c r="U478" s="2">
        <v>138</v>
      </c>
      <c r="V478" s="12">
        <f>ABS(RPG_dataset[[#This Row],[Win Rate (%)]])</f>
        <v>70</v>
      </c>
      <c r="W478" s="2">
        <v>7068</v>
      </c>
      <c r="X478" s="9">
        <v>858849</v>
      </c>
      <c r="Y478" s="2" t="s">
        <v>46</v>
      </c>
      <c r="Z478" s="2">
        <v>68</v>
      </c>
      <c r="AA478" s="2" t="s">
        <v>1737</v>
      </c>
      <c r="AB478" s="2" t="b">
        <v>1</v>
      </c>
      <c r="AC478" s="2" t="s">
        <v>1738</v>
      </c>
      <c r="AD478" s="2" t="s">
        <v>1727</v>
      </c>
      <c r="AE478" s="2" t="s">
        <v>1728</v>
      </c>
      <c r="AF478" s="2" t="s">
        <v>1736</v>
      </c>
      <c r="AG478" s="28">
        <f>MAX(clean_data[[#This Row],[ATK]:[SPD]]) - MIN(clean_data[[#This Row],[ATK]:[SPD]])</f>
        <v>107</v>
      </c>
      <c r="AH478" s="28" t="str">
        <f>IF(clean_data[[#This Row],[Balanced Score]] = MIN(clean_data[Balanced Score]), "Most Balanced", "")</f>
        <v/>
      </c>
    </row>
    <row r="479" spans="1:34" x14ac:dyDescent="0.3">
      <c r="A479" s="2" t="s">
        <v>1614</v>
      </c>
      <c r="B479" s="2" t="s">
        <v>1615</v>
      </c>
      <c r="C479" s="2" t="s">
        <v>233</v>
      </c>
      <c r="D479" s="2" t="s">
        <v>272</v>
      </c>
      <c r="E479" s="2" t="s">
        <v>71</v>
      </c>
      <c r="F479" s="2" t="s">
        <v>61</v>
      </c>
      <c r="G479" s="2">
        <v>26</v>
      </c>
      <c r="H479" s="2" t="s">
        <v>73</v>
      </c>
      <c r="I479" s="2" t="s">
        <v>87</v>
      </c>
      <c r="J479" s="2" t="s">
        <v>81</v>
      </c>
      <c r="K479" s="2" t="s">
        <v>44</v>
      </c>
      <c r="L479" s="13">
        <v>43742</v>
      </c>
      <c r="M479" s="2">
        <v>24</v>
      </c>
      <c r="N479" s="2">
        <v>144</v>
      </c>
      <c r="O479" s="2">
        <v>74</v>
      </c>
      <c r="P479" s="2">
        <v>3217</v>
      </c>
      <c r="Q479" s="2">
        <v>1215</v>
      </c>
      <c r="R479" s="2">
        <v>242</v>
      </c>
      <c r="S479" s="2">
        <v>610</v>
      </c>
      <c r="T479" s="2">
        <v>989</v>
      </c>
      <c r="U479" s="2">
        <v>214</v>
      </c>
      <c r="V479" s="12">
        <f>ABS(RPG_dataset[[#This Row],[Win Rate (%)]])</f>
        <v>38</v>
      </c>
      <c r="W479" s="2">
        <v>6102</v>
      </c>
      <c r="X479" s="9">
        <v>751926</v>
      </c>
      <c r="Y479" s="2" t="s">
        <v>36</v>
      </c>
      <c r="Z479" s="2">
        <v>129</v>
      </c>
      <c r="AA479" s="2" t="s">
        <v>1733</v>
      </c>
      <c r="AB479" s="2" t="b">
        <v>0</v>
      </c>
      <c r="AC479" s="2" t="s">
        <v>1726</v>
      </c>
      <c r="AD479" s="2" t="s">
        <v>1727</v>
      </c>
      <c r="AE479" s="2" t="s">
        <v>1728</v>
      </c>
      <c r="AF479" s="2" t="s">
        <v>1734</v>
      </c>
      <c r="AG479" s="28">
        <f>MAX(clean_data[[#This Row],[ATK]:[SPD]]) - MIN(clean_data[[#This Row],[ATK]:[SPD]])</f>
        <v>120</v>
      </c>
      <c r="AH479" s="28" t="str">
        <f>IF(clean_data[[#This Row],[Balanced Score]] = MIN(clean_data[Balanced Score]), "Most Balanced", "")</f>
        <v/>
      </c>
    </row>
    <row r="480" spans="1:34" x14ac:dyDescent="0.3">
      <c r="A480" s="2" t="s">
        <v>1617</v>
      </c>
      <c r="B480" s="2" t="s">
        <v>1618</v>
      </c>
      <c r="C480" s="2" t="s">
        <v>154</v>
      </c>
      <c r="D480" s="2" t="s">
        <v>272</v>
      </c>
      <c r="E480" s="2" t="s">
        <v>105</v>
      </c>
      <c r="F480" s="2" t="s">
        <v>72</v>
      </c>
      <c r="G480" s="2">
        <v>28</v>
      </c>
      <c r="H480" s="2" t="s">
        <v>62</v>
      </c>
      <c r="I480" s="2" t="s">
        <v>87</v>
      </c>
      <c r="J480" s="2" t="s">
        <v>33</v>
      </c>
      <c r="K480" s="2" t="s">
        <v>44</v>
      </c>
      <c r="L480" s="13">
        <v>44931</v>
      </c>
      <c r="M480" s="2">
        <v>101</v>
      </c>
      <c r="N480" s="2">
        <v>105</v>
      </c>
      <c r="O480" s="2">
        <v>57</v>
      </c>
      <c r="P480" s="2">
        <v>2395</v>
      </c>
      <c r="Q480" s="2">
        <v>2761</v>
      </c>
      <c r="R480" s="2">
        <v>263</v>
      </c>
      <c r="S480" s="2">
        <v>586</v>
      </c>
      <c r="T480" s="2">
        <v>368</v>
      </c>
      <c r="U480" s="2">
        <v>131</v>
      </c>
      <c r="V480" s="12">
        <f>ABS(RPG_dataset[[#This Row],[Win Rate (%)]])</f>
        <v>61</v>
      </c>
      <c r="W480" s="2">
        <v>9807</v>
      </c>
      <c r="X480" s="9">
        <v>993117</v>
      </c>
      <c r="Y480" s="2" t="s">
        <v>46</v>
      </c>
      <c r="Z480" s="2">
        <v>3</v>
      </c>
      <c r="AA480" s="2" t="s">
        <v>1733</v>
      </c>
      <c r="AB480" s="2" t="b">
        <v>1</v>
      </c>
      <c r="AC480" s="2" t="s">
        <v>1738</v>
      </c>
      <c r="AD480" s="2" t="s">
        <v>1727</v>
      </c>
      <c r="AE480" s="2" t="s">
        <v>1742</v>
      </c>
      <c r="AF480" s="2" t="s">
        <v>1729</v>
      </c>
      <c r="AG480" s="28">
        <f>MAX(clean_data[[#This Row],[ATK]:[SPD]]) - MIN(clean_data[[#This Row],[ATK]:[SPD]])</f>
        <v>48</v>
      </c>
      <c r="AH480" s="28" t="str">
        <f>IF(clean_data[[#This Row],[Balanced Score]] = MIN(clean_data[Balanced Score]), "Most Balanced", "")</f>
        <v/>
      </c>
    </row>
    <row r="481" spans="1:34" x14ac:dyDescent="0.3">
      <c r="A481" s="2" t="s">
        <v>1621</v>
      </c>
      <c r="B481" s="2" t="s">
        <v>1622</v>
      </c>
      <c r="C481" s="2" t="s">
        <v>154</v>
      </c>
      <c r="D481" s="2" t="s">
        <v>155</v>
      </c>
      <c r="E481" s="2" t="s">
        <v>51</v>
      </c>
      <c r="F481" s="2" t="s">
        <v>42</v>
      </c>
      <c r="G481" s="2">
        <v>73</v>
      </c>
      <c r="H481" s="2" t="s">
        <v>125</v>
      </c>
      <c r="I481" s="2" t="s">
        <v>54</v>
      </c>
      <c r="J481" s="2" t="s">
        <v>88</v>
      </c>
      <c r="K481" s="2" t="s">
        <v>44</v>
      </c>
      <c r="L481" s="13">
        <v>44720</v>
      </c>
      <c r="M481" s="2">
        <v>44</v>
      </c>
      <c r="N481" s="2">
        <v>142</v>
      </c>
      <c r="O481" s="2">
        <v>65</v>
      </c>
      <c r="P481" s="2">
        <v>2215</v>
      </c>
      <c r="Q481" s="2">
        <v>1185</v>
      </c>
      <c r="R481" s="2">
        <v>251</v>
      </c>
      <c r="S481" s="2"/>
      <c r="T481" s="2">
        <v>644</v>
      </c>
      <c r="U481" s="2">
        <v>114</v>
      </c>
      <c r="V481" s="12">
        <f>ABS(RPG_dataset[[#This Row],[Win Rate (%)]])</f>
        <v>83</v>
      </c>
      <c r="W481" s="2">
        <v>1005</v>
      </c>
      <c r="X481" s="9"/>
      <c r="Y481" s="2" t="s">
        <v>36</v>
      </c>
      <c r="Z481" s="2">
        <v>486</v>
      </c>
      <c r="AA481" s="2" t="s">
        <v>1725</v>
      </c>
      <c r="AB481" s="2" t="b">
        <v>1</v>
      </c>
      <c r="AC481" s="2" t="s">
        <v>1730</v>
      </c>
      <c r="AD481" s="2" t="s">
        <v>1727</v>
      </c>
      <c r="AE481" s="2" t="s">
        <v>1731</v>
      </c>
      <c r="AF481" s="2" t="s">
        <v>61</v>
      </c>
      <c r="AG481" s="28">
        <f>MAX(clean_data[[#This Row],[ATK]:[SPD]]) - MIN(clean_data[[#This Row],[ATK]:[SPD]])</f>
        <v>98</v>
      </c>
      <c r="AH481" s="28" t="str">
        <f>IF(clean_data[[#This Row],[Balanced Score]] = MIN(clean_data[Balanced Score]), "Most Balanced", "")</f>
        <v/>
      </c>
    </row>
    <row r="482" spans="1:34" x14ac:dyDescent="0.3">
      <c r="A482" s="2" t="s">
        <v>1624</v>
      </c>
      <c r="B482" s="2" t="s">
        <v>1625</v>
      </c>
      <c r="C482" s="2" t="s">
        <v>689</v>
      </c>
      <c r="D482" s="2" t="s">
        <v>304</v>
      </c>
      <c r="E482" s="2" t="s">
        <v>71</v>
      </c>
      <c r="F482" s="2" t="s">
        <v>72</v>
      </c>
      <c r="G482" s="2">
        <v>4</v>
      </c>
      <c r="H482" s="2" t="s">
        <v>62</v>
      </c>
      <c r="I482" s="2" t="s">
        <v>54</v>
      </c>
      <c r="J482" s="2" t="s">
        <v>64</v>
      </c>
      <c r="K482" s="2" t="s">
        <v>44</v>
      </c>
      <c r="L482" s="13">
        <v>44490</v>
      </c>
      <c r="M482" s="2">
        <v>119</v>
      </c>
      <c r="N482" s="2">
        <v>94</v>
      </c>
      <c r="O482" s="2">
        <v>49</v>
      </c>
      <c r="P482" s="2">
        <v>2506</v>
      </c>
      <c r="Q482" s="2">
        <v>661</v>
      </c>
      <c r="R482" s="2">
        <v>262</v>
      </c>
      <c r="S482" s="2">
        <v>800</v>
      </c>
      <c r="T482" s="2">
        <v>149</v>
      </c>
      <c r="U482" s="2">
        <v>81</v>
      </c>
      <c r="V482" s="12">
        <f>ABS(RPG_dataset[[#This Row],[Win Rate (%)]])</f>
        <v>84</v>
      </c>
      <c r="W482" s="2">
        <v>6686</v>
      </c>
      <c r="X482" s="9">
        <v>381395</v>
      </c>
      <c r="Y482" s="2" t="s">
        <v>36</v>
      </c>
      <c r="Z482" s="2">
        <v>314</v>
      </c>
      <c r="AA482" s="2" t="s">
        <v>1735</v>
      </c>
      <c r="AB482" s="2" t="b">
        <v>1</v>
      </c>
      <c r="AC482" s="2" t="s">
        <v>1730</v>
      </c>
      <c r="AD482" s="2" t="s">
        <v>1727</v>
      </c>
      <c r="AE482" s="2" t="s">
        <v>1728</v>
      </c>
      <c r="AF482" s="2" t="s">
        <v>61</v>
      </c>
      <c r="AG482" s="28">
        <f>MAX(clean_data[[#This Row],[ATK]:[SPD]]) - MIN(clean_data[[#This Row],[ATK]:[SPD]])</f>
        <v>70</v>
      </c>
      <c r="AH482" s="28" t="str">
        <f>IF(clean_data[[#This Row],[Balanced Score]] = MIN(clean_data[Balanced Score]), "Most Balanced", "")</f>
        <v/>
      </c>
    </row>
    <row r="483" spans="1:34" x14ac:dyDescent="0.3">
      <c r="A483" s="2" t="s">
        <v>1628</v>
      </c>
      <c r="B483" s="2" t="s">
        <v>1629</v>
      </c>
      <c r="C483" s="2" t="s">
        <v>288</v>
      </c>
      <c r="D483" s="2" t="s">
        <v>104</v>
      </c>
      <c r="E483" s="2" t="s">
        <v>228</v>
      </c>
      <c r="F483" s="2" t="s">
        <v>42</v>
      </c>
      <c r="G483" s="2">
        <v>77</v>
      </c>
      <c r="H483" s="2" t="s">
        <v>157</v>
      </c>
      <c r="I483" s="2" t="s">
        <v>140</v>
      </c>
      <c r="J483" s="2" t="s">
        <v>64</v>
      </c>
      <c r="K483" s="2" t="s">
        <v>44</v>
      </c>
      <c r="L483" s="13">
        <v>44198</v>
      </c>
      <c r="M483" s="2">
        <v>130</v>
      </c>
      <c r="N483" s="2">
        <v>94</v>
      </c>
      <c r="O483" s="2">
        <v>96</v>
      </c>
      <c r="P483" s="2">
        <v>3552</v>
      </c>
      <c r="Q483" s="2">
        <v>1523</v>
      </c>
      <c r="R483" s="2">
        <v>320</v>
      </c>
      <c r="S483" s="2">
        <v>4227</v>
      </c>
      <c r="T483" s="2">
        <v>803</v>
      </c>
      <c r="U483" s="2">
        <v>254</v>
      </c>
      <c r="V483" s="12">
        <f>ABS(RPG_dataset[[#This Row],[Win Rate (%)]])</f>
        <v>84</v>
      </c>
      <c r="W483" s="2">
        <v>1235</v>
      </c>
      <c r="X483" s="9">
        <v>66919</v>
      </c>
      <c r="Y483" s="2" t="s">
        <v>46</v>
      </c>
      <c r="Z483" s="2">
        <v>451</v>
      </c>
      <c r="AA483" s="2" t="s">
        <v>1737</v>
      </c>
      <c r="AB483" s="2" t="b">
        <v>1</v>
      </c>
      <c r="AC483" s="2" t="s">
        <v>1730</v>
      </c>
      <c r="AD483" s="2" t="s">
        <v>1727</v>
      </c>
      <c r="AE483" s="2" t="s">
        <v>1728</v>
      </c>
      <c r="AF483" s="2" t="s">
        <v>1740</v>
      </c>
      <c r="AG483" s="28">
        <f>MAX(clean_data[[#This Row],[ATK]:[SPD]]) - MIN(clean_data[[#This Row],[ATK]:[SPD]])</f>
        <v>36</v>
      </c>
      <c r="AH483" s="28" t="str">
        <f>IF(clean_data[[#This Row],[Balanced Score]] = MIN(clean_data[Balanced Score]), "Most Balanced", "")</f>
        <v/>
      </c>
    </row>
    <row r="484" spans="1:34" x14ac:dyDescent="0.3">
      <c r="A484" s="2" t="s">
        <v>1631</v>
      </c>
      <c r="B484" s="2" t="s">
        <v>1632</v>
      </c>
      <c r="C484" s="2" t="s">
        <v>720</v>
      </c>
      <c r="D484" s="2" t="s">
        <v>349</v>
      </c>
      <c r="E484" s="2" t="s">
        <v>51</v>
      </c>
      <c r="F484" s="2" t="s">
        <v>42</v>
      </c>
      <c r="G484" s="2">
        <v>96</v>
      </c>
      <c r="H484" s="2" t="s">
        <v>62</v>
      </c>
      <c r="I484" s="2" t="s">
        <v>54</v>
      </c>
      <c r="J484" s="2" t="s">
        <v>120</v>
      </c>
      <c r="K484" s="2" t="s">
        <v>44</v>
      </c>
      <c r="L484" s="13">
        <v>44162</v>
      </c>
      <c r="M484" s="2">
        <v>32</v>
      </c>
      <c r="N484" s="2">
        <v>72</v>
      </c>
      <c r="O484" s="2">
        <v>137</v>
      </c>
      <c r="P484" s="2"/>
      <c r="Q484" s="2">
        <v>2707</v>
      </c>
      <c r="R484" s="2">
        <v>241</v>
      </c>
      <c r="S484" s="2">
        <v>3991</v>
      </c>
      <c r="T484" s="2">
        <v>477</v>
      </c>
      <c r="U484" s="2">
        <v>69</v>
      </c>
      <c r="V484" s="12">
        <f>ABS(RPG_dataset[[#This Row],[Win Rate (%)]])</f>
        <v>89</v>
      </c>
      <c r="W484" s="2">
        <v>210</v>
      </c>
      <c r="X484" s="9">
        <v>350490</v>
      </c>
      <c r="Y484" s="2" t="s">
        <v>46</v>
      </c>
      <c r="Z484" s="2">
        <v>329</v>
      </c>
      <c r="AA484" s="2" t="s">
        <v>1737</v>
      </c>
      <c r="AB484" s="2" t="b">
        <v>1</v>
      </c>
      <c r="AC484" s="2" t="s">
        <v>1730</v>
      </c>
      <c r="AD484" s="2" t="s">
        <v>1727</v>
      </c>
      <c r="AE484" s="2" t="s">
        <v>1728</v>
      </c>
      <c r="AF484" s="2" t="s">
        <v>1736</v>
      </c>
      <c r="AG484" s="28">
        <f>MAX(clean_data[[#This Row],[ATK]:[SPD]]) - MIN(clean_data[[#This Row],[ATK]:[SPD]])</f>
        <v>105</v>
      </c>
      <c r="AH484" s="28" t="str">
        <f>IF(clean_data[[#This Row],[Balanced Score]] = MIN(clean_data[Balanced Score]), "Most Balanced", "")</f>
        <v/>
      </c>
    </row>
    <row r="485" spans="1:34" x14ac:dyDescent="0.3">
      <c r="A485" s="2" t="s">
        <v>1634</v>
      </c>
      <c r="B485" s="2" t="s">
        <v>1635</v>
      </c>
      <c r="C485" s="2" t="s">
        <v>49</v>
      </c>
      <c r="D485" s="2" t="s">
        <v>618</v>
      </c>
      <c r="E485" s="2" t="s">
        <v>41</v>
      </c>
      <c r="F485" s="2" t="s">
        <v>98</v>
      </c>
      <c r="G485" s="2">
        <v>99</v>
      </c>
      <c r="H485" s="2" t="s">
        <v>125</v>
      </c>
      <c r="I485" s="2" t="s">
        <v>63</v>
      </c>
      <c r="J485" s="2" t="s">
        <v>92</v>
      </c>
      <c r="K485" s="2" t="s">
        <v>44</v>
      </c>
      <c r="L485" s="13">
        <v>44581</v>
      </c>
      <c r="M485" s="2">
        <v>56</v>
      </c>
      <c r="N485" s="2">
        <v>17</v>
      </c>
      <c r="O485" s="2"/>
      <c r="P485" s="2">
        <v>3867</v>
      </c>
      <c r="Q485" s="2">
        <v>1036</v>
      </c>
      <c r="R485" s="2">
        <v>123</v>
      </c>
      <c r="S485" s="2">
        <v>4934</v>
      </c>
      <c r="T485" s="2">
        <v>119</v>
      </c>
      <c r="U485" s="2">
        <v>196</v>
      </c>
      <c r="V485" s="12">
        <f>ABS(RPG_dataset[[#This Row],[Win Rate (%)]])</f>
        <v>98</v>
      </c>
      <c r="W485" s="2">
        <v>2425</v>
      </c>
      <c r="X485" s="9">
        <v>696778</v>
      </c>
      <c r="Y485" s="2" t="s">
        <v>46</v>
      </c>
      <c r="Z485" s="2">
        <v>153</v>
      </c>
      <c r="AA485" s="2" t="s">
        <v>1737</v>
      </c>
      <c r="AB485" s="2" t="b">
        <v>1</v>
      </c>
      <c r="AC485" s="2" t="s">
        <v>1730</v>
      </c>
      <c r="AD485" s="2" t="s">
        <v>1727</v>
      </c>
      <c r="AE485" s="2" t="s">
        <v>1728</v>
      </c>
      <c r="AF485" s="2" t="s">
        <v>1729</v>
      </c>
      <c r="AG485" s="28">
        <f>MAX(clean_data[[#This Row],[ATK]:[SPD]]) - MIN(clean_data[[#This Row],[ATK]:[SPD]])</f>
        <v>39</v>
      </c>
      <c r="AH485" s="28" t="str">
        <f>IF(clean_data[[#This Row],[Balanced Score]] = MIN(clean_data[Balanced Score]), "Most Balanced", "")</f>
        <v/>
      </c>
    </row>
    <row r="486" spans="1:34" x14ac:dyDescent="0.3">
      <c r="A486" s="2" t="s">
        <v>1636</v>
      </c>
      <c r="B486" s="2" t="s">
        <v>1637</v>
      </c>
      <c r="C486" s="2" t="s">
        <v>720</v>
      </c>
      <c r="D486" s="2" t="s">
        <v>75</v>
      </c>
      <c r="E486" s="2" t="s">
        <v>51</v>
      </c>
      <c r="F486" s="2" t="s">
        <v>42</v>
      </c>
      <c r="G486" s="2">
        <v>96</v>
      </c>
      <c r="H486" s="2" t="s">
        <v>31</v>
      </c>
      <c r="I486" s="2" t="s">
        <v>63</v>
      </c>
      <c r="J486" s="2" t="s">
        <v>33</v>
      </c>
      <c r="K486" s="2" t="s">
        <v>44</v>
      </c>
      <c r="L486" s="13">
        <v>43894</v>
      </c>
      <c r="M486" s="2">
        <v>75</v>
      </c>
      <c r="N486" s="2">
        <v>129</v>
      </c>
      <c r="O486" s="2">
        <v>95</v>
      </c>
      <c r="P486" s="2">
        <v>2731</v>
      </c>
      <c r="Q486" s="2"/>
      <c r="R486" s="2">
        <v>299</v>
      </c>
      <c r="S486" s="2">
        <v>3238</v>
      </c>
      <c r="T486" s="2">
        <v>367</v>
      </c>
      <c r="U486" s="2">
        <v>165</v>
      </c>
      <c r="V486" s="12">
        <f>ABS(RPG_dataset[[#This Row],[Win Rate (%)]])</f>
        <v>90</v>
      </c>
      <c r="W486" s="2">
        <v>8320</v>
      </c>
      <c r="X486" s="9">
        <v>248969</v>
      </c>
      <c r="Y486" s="2" t="s">
        <v>46</v>
      </c>
      <c r="Z486" s="2">
        <v>375</v>
      </c>
      <c r="AA486" s="2" t="s">
        <v>1737</v>
      </c>
      <c r="AB486" s="2" t="b">
        <v>1</v>
      </c>
      <c r="AC486" s="2" t="s">
        <v>1730</v>
      </c>
      <c r="AD486" s="2" t="s">
        <v>1727</v>
      </c>
      <c r="AE486" s="2" t="s">
        <v>1728</v>
      </c>
      <c r="AF486" s="2" t="s">
        <v>1736</v>
      </c>
      <c r="AG486" s="28">
        <f>MAX(clean_data[[#This Row],[ATK]:[SPD]]) - MIN(clean_data[[#This Row],[ATK]:[SPD]])</f>
        <v>54</v>
      </c>
      <c r="AH486" s="28" t="str">
        <f>IF(clean_data[[#This Row],[Balanced Score]] = MIN(clean_data[Balanced Score]), "Most Balanced", "")</f>
        <v/>
      </c>
    </row>
    <row r="487" spans="1:34" x14ac:dyDescent="0.3">
      <c r="A487" s="2" t="s">
        <v>1639</v>
      </c>
      <c r="B487" s="2" t="s">
        <v>1640</v>
      </c>
      <c r="C487" s="2" t="s">
        <v>353</v>
      </c>
      <c r="D487" s="2" t="s">
        <v>59</v>
      </c>
      <c r="E487" s="2" t="s">
        <v>29</v>
      </c>
      <c r="F487" s="2" t="s">
        <v>42</v>
      </c>
      <c r="G487" s="2"/>
      <c r="H487" s="2" t="s">
        <v>80</v>
      </c>
      <c r="I487" s="2" t="s">
        <v>140</v>
      </c>
      <c r="J487" s="2" t="s">
        <v>92</v>
      </c>
      <c r="K487" s="2" t="s">
        <v>44</v>
      </c>
      <c r="L487" s="13">
        <v>43891</v>
      </c>
      <c r="M487" s="2">
        <v>81</v>
      </c>
      <c r="N487" s="2">
        <v>16</v>
      </c>
      <c r="O487" s="2">
        <v>30</v>
      </c>
      <c r="P487" s="2">
        <v>443</v>
      </c>
      <c r="Q487" s="2">
        <v>1650</v>
      </c>
      <c r="R487" s="2">
        <v>127</v>
      </c>
      <c r="S487" s="2">
        <v>3720</v>
      </c>
      <c r="T487" s="2">
        <v>980</v>
      </c>
      <c r="U487" s="2">
        <v>128</v>
      </c>
      <c r="V487" s="12">
        <f>ABS(RPG_dataset[[#This Row],[Win Rate (%)]])</f>
        <v>79</v>
      </c>
      <c r="W487" s="2">
        <v>4858</v>
      </c>
      <c r="X487" s="9">
        <v>9522</v>
      </c>
      <c r="Y487" s="2" t="s">
        <v>46</v>
      </c>
      <c r="Z487" s="2">
        <v>481</v>
      </c>
      <c r="AA487" s="2" t="s">
        <v>1735</v>
      </c>
      <c r="AB487" s="2" t="b">
        <v>1</v>
      </c>
      <c r="AC487" s="2" t="s">
        <v>1730</v>
      </c>
      <c r="AD487" s="2" t="s">
        <v>1727</v>
      </c>
      <c r="AE487" s="2" t="s">
        <v>1728</v>
      </c>
      <c r="AF487" s="2" t="s">
        <v>1740</v>
      </c>
      <c r="AG487" s="28">
        <f>MAX(clean_data[[#This Row],[ATK]:[SPD]]) - MIN(clean_data[[#This Row],[ATK]:[SPD]])</f>
        <v>65</v>
      </c>
      <c r="AH487" s="28" t="str">
        <f>IF(clean_data[[#This Row],[Balanced Score]] = MIN(clean_data[Balanced Score]), "Most Balanced", "")</f>
        <v/>
      </c>
    </row>
    <row r="488" spans="1:34" x14ac:dyDescent="0.3">
      <c r="A488" s="2" t="s">
        <v>1642</v>
      </c>
      <c r="B488" s="2" t="s">
        <v>1643</v>
      </c>
      <c r="C488" s="2" t="s">
        <v>173</v>
      </c>
      <c r="D488" s="2" t="s">
        <v>210</v>
      </c>
      <c r="E488" s="2" t="s">
        <v>169</v>
      </c>
      <c r="F488" s="2" t="s">
        <v>30</v>
      </c>
      <c r="G488" s="2">
        <v>2</v>
      </c>
      <c r="H488" s="2" t="s">
        <v>75</v>
      </c>
      <c r="I488" s="2" t="s">
        <v>126</v>
      </c>
      <c r="J488" s="2" t="s">
        <v>120</v>
      </c>
      <c r="K488" s="2" t="s">
        <v>44</v>
      </c>
      <c r="L488" s="13">
        <v>44272</v>
      </c>
      <c r="M488" s="2">
        <v>72</v>
      </c>
      <c r="N488" s="2">
        <v>73</v>
      </c>
      <c r="O488" s="2">
        <v>130</v>
      </c>
      <c r="P488" s="2">
        <v>4510</v>
      </c>
      <c r="Q488" s="2">
        <v>1584</v>
      </c>
      <c r="R488" s="2">
        <v>275</v>
      </c>
      <c r="S488" s="2">
        <v>3938</v>
      </c>
      <c r="T488" s="2">
        <v>459</v>
      </c>
      <c r="U488" s="2">
        <v>1</v>
      </c>
      <c r="V488" s="12">
        <f>ABS(RPG_dataset[[#This Row],[Win Rate (%)]])</f>
        <v>90</v>
      </c>
      <c r="W488" s="2">
        <v>1496</v>
      </c>
      <c r="X488" s="9">
        <v>445843</v>
      </c>
      <c r="Y488" s="2" t="s">
        <v>46</v>
      </c>
      <c r="Z488" s="2">
        <v>281</v>
      </c>
      <c r="AA488" s="2" t="s">
        <v>1735</v>
      </c>
      <c r="AB488" s="2" t="b">
        <v>1</v>
      </c>
      <c r="AC488" s="2" t="s">
        <v>1730</v>
      </c>
      <c r="AD488" s="2" t="s">
        <v>1727</v>
      </c>
      <c r="AE488" s="2" t="s">
        <v>1728</v>
      </c>
      <c r="AF488" s="2" t="s">
        <v>1736</v>
      </c>
      <c r="AG488" s="28">
        <f>MAX(clean_data[[#This Row],[ATK]:[SPD]]) - MIN(clean_data[[#This Row],[ATK]:[SPD]])</f>
        <v>58</v>
      </c>
      <c r="AH488" s="28" t="str">
        <f>IF(clean_data[[#This Row],[Balanced Score]] = MIN(clean_data[Balanced Score]), "Most Balanced", "")</f>
        <v/>
      </c>
    </row>
    <row r="489" spans="1:34" x14ac:dyDescent="0.3">
      <c r="A489" s="2" t="s">
        <v>1646</v>
      </c>
      <c r="B489" s="2" t="s">
        <v>1647</v>
      </c>
      <c r="C489" s="2" t="s">
        <v>178</v>
      </c>
      <c r="D489" s="2" t="s">
        <v>144</v>
      </c>
      <c r="E489" s="2" t="s">
        <v>71</v>
      </c>
      <c r="F489" s="2" t="s">
        <v>30</v>
      </c>
      <c r="G489" s="2">
        <v>73</v>
      </c>
      <c r="H489" s="2" t="s">
        <v>157</v>
      </c>
      <c r="I489" s="2" t="s">
        <v>63</v>
      </c>
      <c r="J489" s="2" t="s">
        <v>111</v>
      </c>
      <c r="K489" s="2" t="s">
        <v>106</v>
      </c>
      <c r="L489" s="13">
        <v>43211</v>
      </c>
      <c r="M489" s="2">
        <v>62</v>
      </c>
      <c r="N489" s="2">
        <v>51</v>
      </c>
      <c r="O489" s="2">
        <v>112</v>
      </c>
      <c r="P489" s="2">
        <v>4625</v>
      </c>
      <c r="Q489" s="2"/>
      <c r="R489" s="2">
        <v>225</v>
      </c>
      <c r="S489" s="2">
        <v>3641</v>
      </c>
      <c r="T489" s="2">
        <v>979</v>
      </c>
      <c r="U489" s="2">
        <v>92</v>
      </c>
      <c r="V489" s="12">
        <f>ABS(RPG_dataset[[#This Row],[Win Rate (%)]])</f>
        <v>79</v>
      </c>
      <c r="W489" s="2">
        <v>8943</v>
      </c>
      <c r="X489" s="9">
        <v>341034</v>
      </c>
      <c r="Y489" s="2" t="s">
        <v>36</v>
      </c>
      <c r="Z489" s="2">
        <v>336</v>
      </c>
      <c r="AA489" s="2" t="s">
        <v>1725</v>
      </c>
      <c r="AB489" s="2" t="b">
        <v>0</v>
      </c>
      <c r="AC489" s="2" t="s">
        <v>1730</v>
      </c>
      <c r="AD489" s="2" t="s">
        <v>1727</v>
      </c>
      <c r="AE489" s="2" t="s">
        <v>1731</v>
      </c>
      <c r="AF489" s="2" t="s">
        <v>1736</v>
      </c>
      <c r="AG489" s="28">
        <f>MAX(clean_data[[#This Row],[ATK]:[SPD]]) - MIN(clean_data[[#This Row],[ATK]:[SPD]])</f>
        <v>61</v>
      </c>
      <c r="AH489" s="28" t="str">
        <f>IF(clean_data[[#This Row],[Balanced Score]] = MIN(clean_data[Balanced Score]), "Most Balanced", "")</f>
        <v/>
      </c>
    </row>
    <row r="490" spans="1:34" x14ac:dyDescent="0.3">
      <c r="A490" s="2" t="s">
        <v>1649</v>
      </c>
      <c r="B490" s="2" t="s">
        <v>1650</v>
      </c>
      <c r="C490" s="2" t="s">
        <v>680</v>
      </c>
      <c r="D490" s="2" t="s">
        <v>75</v>
      </c>
      <c r="E490" s="2" t="s">
        <v>105</v>
      </c>
      <c r="F490" s="2" t="s">
        <v>194</v>
      </c>
      <c r="G490" s="2">
        <v>76</v>
      </c>
      <c r="H490" s="2" t="s">
        <v>43</v>
      </c>
      <c r="I490" s="2" t="s">
        <v>63</v>
      </c>
      <c r="J490" s="2" t="s">
        <v>163</v>
      </c>
      <c r="K490" s="2" t="s">
        <v>44</v>
      </c>
      <c r="L490" s="13">
        <v>43639</v>
      </c>
      <c r="M490" s="2">
        <v>148</v>
      </c>
      <c r="N490" s="2">
        <v>32</v>
      </c>
      <c r="O490" s="2">
        <v>122</v>
      </c>
      <c r="P490" s="2">
        <v>4205</v>
      </c>
      <c r="Q490" s="2">
        <v>593</v>
      </c>
      <c r="R490" s="2">
        <v>302</v>
      </c>
      <c r="S490" s="2">
        <v>2716</v>
      </c>
      <c r="T490" s="2">
        <v>717</v>
      </c>
      <c r="U490" s="2">
        <v>62</v>
      </c>
      <c r="V490" s="12">
        <f>ABS(RPG_dataset[[#This Row],[Win Rate (%)]])</f>
        <v>79</v>
      </c>
      <c r="W490" s="2">
        <v>1698</v>
      </c>
      <c r="X490" s="9">
        <v>373665</v>
      </c>
      <c r="Y490" s="2" t="s">
        <v>46</v>
      </c>
      <c r="Z490" s="2">
        <v>317</v>
      </c>
      <c r="AA490" s="2" t="s">
        <v>1737</v>
      </c>
      <c r="AB490" s="2" t="b">
        <v>1</v>
      </c>
      <c r="AC490" s="2" t="s">
        <v>1730</v>
      </c>
      <c r="AD490" s="2" t="s">
        <v>1727</v>
      </c>
      <c r="AE490" s="2" t="s">
        <v>1728</v>
      </c>
      <c r="AF490" s="2" t="s">
        <v>1736</v>
      </c>
      <c r="AG490" s="28">
        <f>MAX(clean_data[[#This Row],[ATK]:[SPD]]) - MIN(clean_data[[#This Row],[ATK]:[SPD]])</f>
        <v>116</v>
      </c>
      <c r="AH490" s="28" t="str">
        <f>IF(clean_data[[#This Row],[Balanced Score]] = MIN(clean_data[Balanced Score]), "Most Balanced", "")</f>
        <v/>
      </c>
    </row>
    <row r="491" spans="1:34" x14ac:dyDescent="0.3">
      <c r="A491" s="2" t="s">
        <v>1651</v>
      </c>
      <c r="B491" s="2" t="s">
        <v>1652</v>
      </c>
      <c r="C491" s="2" t="s">
        <v>223</v>
      </c>
      <c r="D491" s="2" t="s">
        <v>139</v>
      </c>
      <c r="E491" s="2" t="s">
        <v>228</v>
      </c>
      <c r="F491" s="2" t="s">
        <v>52</v>
      </c>
      <c r="G491" s="2">
        <v>88</v>
      </c>
      <c r="H491" s="2" t="s">
        <v>43</v>
      </c>
      <c r="I491" s="2" t="s">
        <v>63</v>
      </c>
      <c r="J491" s="2" t="s">
        <v>81</v>
      </c>
      <c r="K491" s="2" t="s">
        <v>34</v>
      </c>
      <c r="L491" s="13">
        <v>44693</v>
      </c>
      <c r="M491" s="2">
        <v>53</v>
      </c>
      <c r="N491" s="2">
        <v>60</v>
      </c>
      <c r="O491" s="2">
        <v>144</v>
      </c>
      <c r="P491" s="2">
        <v>819</v>
      </c>
      <c r="Q491" s="2">
        <v>1116</v>
      </c>
      <c r="R491" s="2">
        <v>257</v>
      </c>
      <c r="S491" s="2"/>
      <c r="T491" s="2">
        <v>632</v>
      </c>
      <c r="U491" s="2">
        <v>265</v>
      </c>
      <c r="V491" s="12">
        <f>ABS(RPG_dataset[[#This Row],[Win Rate (%)]])</f>
        <v>85</v>
      </c>
      <c r="W491" s="2">
        <v>1024</v>
      </c>
      <c r="X491" s="9">
        <v>507098</v>
      </c>
      <c r="Y491" s="2" t="s">
        <v>36</v>
      </c>
      <c r="Z491" s="2">
        <v>246</v>
      </c>
      <c r="AA491" s="2" t="s">
        <v>1737</v>
      </c>
      <c r="AB491" s="2" t="b">
        <v>0</v>
      </c>
      <c r="AC491" s="2" t="s">
        <v>1730</v>
      </c>
      <c r="AD491" s="2" t="s">
        <v>1727</v>
      </c>
      <c r="AE491" s="2" t="s">
        <v>1731</v>
      </c>
      <c r="AF491" s="2" t="s">
        <v>1736</v>
      </c>
      <c r="AG491" s="28">
        <f>MAX(clean_data[[#This Row],[ATK]:[SPD]]) - MIN(clean_data[[#This Row],[ATK]:[SPD]])</f>
        <v>91</v>
      </c>
      <c r="AH491" s="28" t="str">
        <f>IF(clean_data[[#This Row],[Balanced Score]] = MIN(clean_data[Balanced Score]), "Most Balanced", "")</f>
        <v/>
      </c>
    </row>
    <row r="492" spans="1:34" x14ac:dyDescent="0.3">
      <c r="A492" s="2" t="s">
        <v>1655</v>
      </c>
      <c r="B492" s="2" t="s">
        <v>1656</v>
      </c>
      <c r="C492" s="2" t="s">
        <v>604</v>
      </c>
      <c r="D492" s="2" t="s">
        <v>349</v>
      </c>
      <c r="E492" s="2" t="s">
        <v>60</v>
      </c>
      <c r="F492" s="2" t="s">
        <v>75</v>
      </c>
      <c r="G492" s="2">
        <v>13</v>
      </c>
      <c r="H492" s="2" t="s">
        <v>53</v>
      </c>
      <c r="I492" s="2" t="s">
        <v>63</v>
      </c>
      <c r="J492" s="2" t="s">
        <v>163</v>
      </c>
      <c r="K492" s="2" t="s">
        <v>44</v>
      </c>
      <c r="L492" s="13">
        <v>43634</v>
      </c>
      <c r="M492" s="2">
        <v>133</v>
      </c>
      <c r="N492" s="2">
        <v>69</v>
      </c>
      <c r="O492" s="2">
        <v>62</v>
      </c>
      <c r="P492" s="2">
        <v>1435</v>
      </c>
      <c r="Q492" s="2">
        <v>2050</v>
      </c>
      <c r="R492" s="2">
        <v>264</v>
      </c>
      <c r="S492" s="2">
        <v>2816</v>
      </c>
      <c r="T492" s="2">
        <v>398</v>
      </c>
      <c r="U492" s="2">
        <v>150</v>
      </c>
      <c r="V492" s="12">
        <f>ABS(RPG_dataset[[#This Row],[Win Rate (%)]])</f>
        <v>88</v>
      </c>
      <c r="W492" s="2">
        <v>2725</v>
      </c>
      <c r="X492" s="9">
        <v>217079</v>
      </c>
      <c r="Y492" s="2" t="s">
        <v>46</v>
      </c>
      <c r="Z492" s="2">
        <v>392</v>
      </c>
      <c r="AA492" s="2" t="s">
        <v>1735</v>
      </c>
      <c r="AB492" s="2" t="b">
        <v>1</v>
      </c>
      <c r="AC492" s="2" t="s">
        <v>1730</v>
      </c>
      <c r="AD492" s="2" t="s">
        <v>1727</v>
      </c>
      <c r="AE492" s="2" t="s">
        <v>1728</v>
      </c>
      <c r="AF492" s="2" t="s">
        <v>1732</v>
      </c>
      <c r="AG492" s="28">
        <f>MAX(clean_data[[#This Row],[ATK]:[SPD]]) - MIN(clean_data[[#This Row],[ATK]:[SPD]])</f>
        <v>71</v>
      </c>
      <c r="AH492" s="28" t="str">
        <f>IF(clean_data[[#This Row],[Balanced Score]] = MIN(clean_data[Balanced Score]), "Most Balanced", "")</f>
        <v/>
      </c>
    </row>
    <row r="493" spans="1:34" x14ac:dyDescent="0.3">
      <c r="A493" s="2" t="s">
        <v>1658</v>
      </c>
      <c r="B493" s="2" t="s">
        <v>1659</v>
      </c>
      <c r="C493" s="2" t="s">
        <v>276</v>
      </c>
      <c r="D493" s="2" t="s">
        <v>349</v>
      </c>
      <c r="E493" s="2" t="s">
        <v>71</v>
      </c>
      <c r="F493" s="2" t="s">
        <v>72</v>
      </c>
      <c r="G493" s="2">
        <v>15</v>
      </c>
      <c r="H493" s="2" t="s">
        <v>73</v>
      </c>
      <c r="I493" s="2" t="s">
        <v>140</v>
      </c>
      <c r="J493" s="2" t="s">
        <v>163</v>
      </c>
      <c r="K493" s="2" t="s">
        <v>44</v>
      </c>
      <c r="L493" s="13">
        <v>44602</v>
      </c>
      <c r="M493" s="2">
        <v>68</v>
      </c>
      <c r="N493" s="2">
        <v>128</v>
      </c>
      <c r="O493" s="2">
        <v>145</v>
      </c>
      <c r="P493" s="2">
        <v>1150</v>
      </c>
      <c r="Q493" s="2">
        <v>1901</v>
      </c>
      <c r="R493" s="2">
        <v>341</v>
      </c>
      <c r="S493" s="2">
        <v>2047</v>
      </c>
      <c r="T493" s="2">
        <v>338</v>
      </c>
      <c r="U493" s="2">
        <v>99</v>
      </c>
      <c r="V493" s="12">
        <f>ABS(RPG_dataset[[#This Row],[Win Rate (%)]])</f>
        <v>86</v>
      </c>
      <c r="W493" s="2">
        <v>8676</v>
      </c>
      <c r="X493" s="9">
        <v>20985</v>
      </c>
      <c r="Y493" s="2" t="s">
        <v>46</v>
      </c>
      <c r="Z493" s="2">
        <v>475</v>
      </c>
      <c r="AA493" s="2" t="s">
        <v>1735</v>
      </c>
      <c r="AB493" s="2" t="b">
        <v>1</v>
      </c>
      <c r="AC493" s="2" t="s">
        <v>1730</v>
      </c>
      <c r="AD493" s="2" t="s">
        <v>1727</v>
      </c>
      <c r="AE493" s="2" t="s">
        <v>1728</v>
      </c>
      <c r="AF493" s="2" t="s">
        <v>1739</v>
      </c>
      <c r="AG493" s="28">
        <f>MAX(clean_data[[#This Row],[ATK]:[SPD]]) - MIN(clean_data[[#This Row],[ATK]:[SPD]])</f>
        <v>77</v>
      </c>
      <c r="AH493" s="28" t="str">
        <f>IF(clean_data[[#This Row],[Balanced Score]] = MIN(clean_data[Balanced Score]), "Most Balanced", "")</f>
        <v/>
      </c>
    </row>
    <row r="494" spans="1:34" x14ac:dyDescent="0.3">
      <c r="A494" s="2" t="s">
        <v>1661</v>
      </c>
      <c r="B494" s="2" t="s">
        <v>1662</v>
      </c>
      <c r="C494" s="2" t="s">
        <v>79</v>
      </c>
      <c r="D494" s="2" t="s">
        <v>618</v>
      </c>
      <c r="E494" s="2" t="s">
        <v>169</v>
      </c>
      <c r="F494" s="2" t="s">
        <v>194</v>
      </c>
      <c r="G494" s="2">
        <v>53</v>
      </c>
      <c r="H494" s="2" t="s">
        <v>80</v>
      </c>
      <c r="I494" s="2" t="s">
        <v>87</v>
      </c>
      <c r="J494" s="2" t="s">
        <v>33</v>
      </c>
      <c r="K494" s="2" t="s">
        <v>34</v>
      </c>
      <c r="L494" s="13">
        <v>43192</v>
      </c>
      <c r="M494" s="2">
        <v>44</v>
      </c>
      <c r="N494" s="2">
        <v>72</v>
      </c>
      <c r="O494" s="2">
        <v>141</v>
      </c>
      <c r="P494" s="2">
        <v>4920</v>
      </c>
      <c r="Q494" s="2">
        <v>964</v>
      </c>
      <c r="R494" s="2">
        <v>257</v>
      </c>
      <c r="S494" s="2">
        <v>1745</v>
      </c>
      <c r="T494" s="2">
        <v>522</v>
      </c>
      <c r="U494" s="2">
        <v>11</v>
      </c>
      <c r="V494" s="12">
        <f>ABS(RPG_dataset[[#This Row],[Win Rate (%)]])</f>
        <v>77</v>
      </c>
      <c r="W494" s="2">
        <v>8381</v>
      </c>
      <c r="X494" s="9">
        <v>828756</v>
      </c>
      <c r="Y494" s="2" t="s">
        <v>36</v>
      </c>
      <c r="Z494" s="2">
        <v>89</v>
      </c>
      <c r="AA494" s="2" t="s">
        <v>1725</v>
      </c>
      <c r="AB494" s="2" t="b">
        <v>0</v>
      </c>
      <c r="AC494" s="2" t="s">
        <v>1730</v>
      </c>
      <c r="AD494" s="2" t="s">
        <v>1727</v>
      </c>
      <c r="AE494" s="2" t="s">
        <v>1731</v>
      </c>
      <c r="AF494" s="2" t="s">
        <v>1736</v>
      </c>
      <c r="AG494" s="28">
        <f>MAX(clean_data[[#This Row],[ATK]:[SPD]]) - MIN(clean_data[[#This Row],[ATK]:[SPD]])</f>
        <v>97</v>
      </c>
      <c r="AH494" s="28" t="str">
        <f>IF(clean_data[[#This Row],[Balanced Score]] = MIN(clean_data[Balanced Score]), "Most Balanced", "")</f>
        <v/>
      </c>
    </row>
    <row r="495" spans="1:34" x14ac:dyDescent="0.3">
      <c r="A495" s="2" t="s">
        <v>1663</v>
      </c>
      <c r="B495" s="2" t="s">
        <v>75</v>
      </c>
      <c r="C495" s="2" t="s">
        <v>97</v>
      </c>
      <c r="D495" s="2" t="s">
        <v>131</v>
      </c>
      <c r="E495" s="2" t="s">
        <v>105</v>
      </c>
      <c r="F495" s="2" t="s">
        <v>124</v>
      </c>
      <c r="G495" s="2">
        <v>17</v>
      </c>
      <c r="H495" s="2" t="s">
        <v>157</v>
      </c>
      <c r="I495" s="2" t="s">
        <v>74</v>
      </c>
      <c r="J495" s="2" t="s">
        <v>88</v>
      </c>
      <c r="K495" s="2" t="s">
        <v>99</v>
      </c>
      <c r="L495" s="13">
        <v>43883</v>
      </c>
      <c r="M495" s="2">
        <v>128</v>
      </c>
      <c r="N495" s="2">
        <v>87</v>
      </c>
      <c r="O495" s="2">
        <v>50</v>
      </c>
      <c r="P495" s="2">
        <v>4347</v>
      </c>
      <c r="Q495" s="2">
        <v>1277</v>
      </c>
      <c r="R495" s="2">
        <v>265</v>
      </c>
      <c r="S495" s="2">
        <v>1681</v>
      </c>
      <c r="T495" s="2">
        <v>922</v>
      </c>
      <c r="U495" s="2">
        <v>49</v>
      </c>
      <c r="V495" s="12">
        <f>ABS(RPG_dataset[[#This Row],[Win Rate (%)]])</f>
        <v>65</v>
      </c>
      <c r="W495" s="2">
        <v>9574</v>
      </c>
      <c r="X495" s="9">
        <v>32883</v>
      </c>
      <c r="Y495" s="2" t="s">
        <v>36</v>
      </c>
      <c r="Z495" s="2">
        <v>464</v>
      </c>
      <c r="AA495" s="2" t="s">
        <v>1735</v>
      </c>
      <c r="AB495" s="2" t="b">
        <v>0</v>
      </c>
      <c r="AC495" s="2" t="s">
        <v>1738</v>
      </c>
      <c r="AD495" s="2" t="s">
        <v>1727</v>
      </c>
      <c r="AE495" s="2" t="s">
        <v>1728</v>
      </c>
      <c r="AF495" s="2" t="s">
        <v>1729</v>
      </c>
      <c r="AG495" s="28">
        <f>MAX(clean_data[[#This Row],[ATK]:[SPD]]) - MIN(clean_data[[#This Row],[ATK]:[SPD]])</f>
        <v>78</v>
      </c>
      <c r="AH495" s="28" t="str">
        <f>IF(clean_data[[#This Row],[Balanced Score]] = MIN(clean_data[Balanced Score]), "Most Balanced", "")</f>
        <v/>
      </c>
    </row>
    <row r="496" spans="1:34" x14ac:dyDescent="0.3">
      <c r="A496" s="2" t="s">
        <v>1665</v>
      </c>
      <c r="B496" s="2" t="s">
        <v>1666</v>
      </c>
      <c r="C496" s="2" t="s">
        <v>97</v>
      </c>
      <c r="D496" s="2" t="s">
        <v>40</v>
      </c>
      <c r="E496" s="2" t="s">
        <v>169</v>
      </c>
      <c r="F496" s="2" t="s">
        <v>30</v>
      </c>
      <c r="G496" s="2">
        <v>96</v>
      </c>
      <c r="H496" s="2" t="s">
        <v>73</v>
      </c>
      <c r="I496" s="2" t="s">
        <v>54</v>
      </c>
      <c r="J496" s="2" t="s">
        <v>33</v>
      </c>
      <c r="K496" s="2" t="s">
        <v>44</v>
      </c>
      <c r="L496" s="13">
        <v>44669</v>
      </c>
      <c r="M496" s="2">
        <v>101</v>
      </c>
      <c r="N496" s="2">
        <v>143</v>
      </c>
      <c r="O496" s="2">
        <v>137</v>
      </c>
      <c r="P496" s="2">
        <v>2793</v>
      </c>
      <c r="Q496" s="2">
        <v>547</v>
      </c>
      <c r="R496" s="2">
        <v>381</v>
      </c>
      <c r="S496" s="2">
        <v>260</v>
      </c>
      <c r="T496" s="2">
        <v>988</v>
      </c>
      <c r="U496" s="2">
        <v>191</v>
      </c>
      <c r="V496" s="12">
        <f>ABS(RPG_dataset[[#This Row],[Win Rate (%)]])</f>
        <v>21</v>
      </c>
      <c r="W496" s="2">
        <v>9882</v>
      </c>
      <c r="X496" s="9">
        <v>796173</v>
      </c>
      <c r="Y496" s="2" t="s">
        <v>36</v>
      </c>
      <c r="Z496" s="2">
        <v>108</v>
      </c>
      <c r="AA496" s="2" t="s">
        <v>1737</v>
      </c>
      <c r="AB496" s="2" t="b">
        <v>1</v>
      </c>
      <c r="AC496" s="2" t="s">
        <v>1726</v>
      </c>
      <c r="AD496" s="2" t="s">
        <v>1741</v>
      </c>
      <c r="AE496" s="2" t="s">
        <v>1728</v>
      </c>
      <c r="AF496" s="2" t="s">
        <v>1736</v>
      </c>
      <c r="AG496" s="28">
        <f>MAX(clean_data[[#This Row],[ATK]:[SPD]]) - MIN(clean_data[[#This Row],[ATK]:[SPD]])</f>
        <v>42</v>
      </c>
      <c r="AH496" s="28" t="str">
        <f>IF(clean_data[[#This Row],[Balanced Score]] = MIN(clean_data[Balanced Score]), "Most Balanced", "")</f>
        <v/>
      </c>
    </row>
    <row r="497" spans="1:34" x14ac:dyDescent="0.3">
      <c r="A497" s="2" t="s">
        <v>1668</v>
      </c>
      <c r="B497" s="2" t="s">
        <v>1669</v>
      </c>
      <c r="C497" s="2" t="s">
        <v>276</v>
      </c>
      <c r="D497" s="2" t="s">
        <v>250</v>
      </c>
      <c r="E497" s="2" t="s">
        <v>41</v>
      </c>
      <c r="F497" s="2" t="s">
        <v>72</v>
      </c>
      <c r="G497" s="2">
        <v>26</v>
      </c>
      <c r="H497" s="2" t="s">
        <v>31</v>
      </c>
      <c r="I497" s="2" t="s">
        <v>140</v>
      </c>
      <c r="J497" s="2" t="s">
        <v>88</v>
      </c>
      <c r="K497" s="2" t="s">
        <v>44</v>
      </c>
      <c r="L497" s="13">
        <v>45098</v>
      </c>
      <c r="M497" s="2">
        <v>40</v>
      </c>
      <c r="N497" s="2">
        <v>12</v>
      </c>
      <c r="O497" s="2">
        <v>60</v>
      </c>
      <c r="P497" s="2">
        <v>3879</v>
      </c>
      <c r="Q497" s="2">
        <v>1038</v>
      </c>
      <c r="R497" s="2">
        <v>112</v>
      </c>
      <c r="S497" s="2">
        <v>1972</v>
      </c>
      <c r="T497" s="2">
        <v>391</v>
      </c>
      <c r="U497" s="2">
        <v>49</v>
      </c>
      <c r="V497" s="12">
        <f>ABS(RPG_dataset[[#This Row],[Win Rate (%)]])</f>
        <v>83</v>
      </c>
      <c r="W497" s="2">
        <v>2843</v>
      </c>
      <c r="X497" s="9">
        <v>492393</v>
      </c>
      <c r="Y497" s="2" t="s">
        <v>46</v>
      </c>
      <c r="Z497" s="2">
        <v>258</v>
      </c>
      <c r="AA497" s="2" t="s">
        <v>1733</v>
      </c>
      <c r="AB497" s="2" t="b">
        <v>1</v>
      </c>
      <c r="AC497" s="2" t="s">
        <v>1730</v>
      </c>
      <c r="AD497" s="2" t="s">
        <v>1727</v>
      </c>
      <c r="AE497" s="2" t="s">
        <v>1728</v>
      </c>
      <c r="AF497" s="2" t="s">
        <v>1740</v>
      </c>
      <c r="AG497" s="28">
        <f>MAX(clean_data[[#This Row],[ATK]:[SPD]]) - MIN(clean_data[[#This Row],[ATK]:[SPD]])</f>
        <v>48</v>
      </c>
      <c r="AH497" s="28" t="str">
        <f>IF(clean_data[[#This Row],[Balanced Score]] = MIN(clean_data[Balanced Score]), "Most Balanced", "")</f>
        <v/>
      </c>
    </row>
    <row r="498" spans="1:34" x14ac:dyDescent="0.3">
      <c r="A498" s="2" t="s">
        <v>1671</v>
      </c>
      <c r="B498" s="2" t="s">
        <v>75</v>
      </c>
      <c r="C498" s="2" t="s">
        <v>110</v>
      </c>
      <c r="D498" s="2" t="s">
        <v>168</v>
      </c>
      <c r="E498" s="2" t="s">
        <v>169</v>
      </c>
      <c r="F498" s="2" t="s">
        <v>61</v>
      </c>
      <c r="G498" s="2">
        <v>85</v>
      </c>
      <c r="H498" s="2" t="s">
        <v>53</v>
      </c>
      <c r="I498" s="2" t="s">
        <v>140</v>
      </c>
      <c r="J498" s="2" t="s">
        <v>111</v>
      </c>
      <c r="K498" s="2" t="s">
        <v>44</v>
      </c>
      <c r="L498" s="13">
        <v>44008</v>
      </c>
      <c r="M498" s="2">
        <v>107</v>
      </c>
      <c r="N498" s="2">
        <v>51</v>
      </c>
      <c r="O498" s="2">
        <v>126</v>
      </c>
      <c r="P498" s="2">
        <v>950</v>
      </c>
      <c r="Q498" s="2">
        <v>868</v>
      </c>
      <c r="R498" s="2">
        <v>284</v>
      </c>
      <c r="S498" s="2">
        <v>1898</v>
      </c>
      <c r="T498" s="2">
        <v>319</v>
      </c>
      <c r="U498" s="2">
        <v>99</v>
      </c>
      <c r="V498" s="12">
        <f>ABS(RPG_dataset[[#This Row],[Win Rate (%)]])</f>
        <v>0</v>
      </c>
      <c r="W498" s="2">
        <v>9390</v>
      </c>
      <c r="X498" s="9">
        <v>272805</v>
      </c>
      <c r="Y498" s="2" t="s">
        <v>36</v>
      </c>
      <c r="Z498" s="2">
        <v>365</v>
      </c>
      <c r="AA498" s="2" t="s">
        <v>1737</v>
      </c>
      <c r="AB498" s="2" t="b">
        <v>1</v>
      </c>
      <c r="AC498" s="2" t="s">
        <v>1726</v>
      </c>
      <c r="AD498" s="2" t="s">
        <v>1727</v>
      </c>
      <c r="AE498" s="2" t="s">
        <v>1728</v>
      </c>
      <c r="AF498" s="2" t="s">
        <v>1740</v>
      </c>
      <c r="AG498" s="28">
        <f>MAX(clean_data[[#This Row],[ATK]:[SPD]]) - MIN(clean_data[[#This Row],[ATK]:[SPD]])</f>
        <v>75</v>
      </c>
      <c r="AH498" s="28" t="str">
        <f>IF(clean_data[[#This Row],[Balanced Score]] = MIN(clean_data[Balanced Score]), "Most Balanced", "")</f>
        <v/>
      </c>
    </row>
    <row r="499" spans="1:34" x14ac:dyDescent="0.3">
      <c r="A499" s="2" t="s">
        <v>1673</v>
      </c>
      <c r="B499" s="2" t="s">
        <v>1674</v>
      </c>
      <c r="C499" s="2" t="s">
        <v>233</v>
      </c>
      <c r="D499" s="2" t="s">
        <v>131</v>
      </c>
      <c r="E499" s="2" t="s">
        <v>169</v>
      </c>
      <c r="F499" s="2" t="s">
        <v>194</v>
      </c>
      <c r="G499" s="2">
        <v>4</v>
      </c>
      <c r="H499" s="2" t="s">
        <v>53</v>
      </c>
      <c r="I499" s="2" t="s">
        <v>54</v>
      </c>
      <c r="J499" s="2" t="s">
        <v>81</v>
      </c>
      <c r="K499" s="2" t="s">
        <v>99</v>
      </c>
      <c r="L499" s="13">
        <v>44959</v>
      </c>
      <c r="M499" s="2">
        <v>95</v>
      </c>
      <c r="N499" s="2">
        <v>101</v>
      </c>
      <c r="O499" s="2">
        <v>31</v>
      </c>
      <c r="P499" s="2">
        <v>471</v>
      </c>
      <c r="Q499" s="2">
        <v>2939</v>
      </c>
      <c r="R499" s="2">
        <v>227</v>
      </c>
      <c r="S499" s="2">
        <v>3925</v>
      </c>
      <c r="T499" s="2">
        <v>124</v>
      </c>
      <c r="U499" s="2">
        <v>129</v>
      </c>
      <c r="V499" s="12">
        <f>ABS(RPG_dataset[[#This Row],[Win Rate (%)]])</f>
        <v>97</v>
      </c>
      <c r="W499" s="2">
        <v>6130</v>
      </c>
      <c r="X499" s="9">
        <v>333113</v>
      </c>
      <c r="Y499" s="2" t="s">
        <v>36</v>
      </c>
      <c r="Z499" s="2">
        <v>343</v>
      </c>
      <c r="AA499" s="2" t="s">
        <v>1735</v>
      </c>
      <c r="AB499" s="2" t="b">
        <v>0</v>
      </c>
      <c r="AC499" s="2" t="s">
        <v>1730</v>
      </c>
      <c r="AD499" s="2" t="s">
        <v>1727</v>
      </c>
      <c r="AE499" s="2" t="s">
        <v>1728</v>
      </c>
      <c r="AF499" s="2" t="s">
        <v>61</v>
      </c>
      <c r="AG499" s="28">
        <f>MAX(clean_data[[#This Row],[ATK]:[SPD]]) - MIN(clean_data[[#This Row],[ATK]:[SPD]])</f>
        <v>70</v>
      </c>
      <c r="AH499" s="28" t="str">
        <f>IF(clean_data[[#This Row],[Balanced Score]] = MIN(clean_data[Balanced Score]), "Most Balanced", "")</f>
        <v/>
      </c>
    </row>
    <row r="500" spans="1:34" x14ac:dyDescent="0.3">
      <c r="A500" s="2" t="s">
        <v>1676</v>
      </c>
      <c r="B500" s="2" t="s">
        <v>1677</v>
      </c>
      <c r="C500" s="2" t="s">
        <v>276</v>
      </c>
      <c r="D500" s="2" t="s">
        <v>304</v>
      </c>
      <c r="E500" s="2" t="s">
        <v>29</v>
      </c>
      <c r="F500" s="2" t="s">
        <v>98</v>
      </c>
      <c r="G500" s="2">
        <v>19</v>
      </c>
      <c r="H500" s="2" t="s">
        <v>80</v>
      </c>
      <c r="I500" s="2" t="s">
        <v>74</v>
      </c>
      <c r="J500" s="2" t="s">
        <v>33</v>
      </c>
      <c r="K500" s="2" t="s">
        <v>44</v>
      </c>
      <c r="L500" s="13">
        <v>44595</v>
      </c>
      <c r="M500" s="2">
        <v>88</v>
      </c>
      <c r="N500" s="2">
        <v>15</v>
      </c>
      <c r="O500" s="2">
        <v>61</v>
      </c>
      <c r="P500" s="2">
        <v>638</v>
      </c>
      <c r="Q500" s="2">
        <v>469</v>
      </c>
      <c r="R500" s="2">
        <v>164</v>
      </c>
      <c r="S500" s="2">
        <v>4903</v>
      </c>
      <c r="T500" s="2">
        <v>982</v>
      </c>
      <c r="U500" s="2">
        <v>206</v>
      </c>
      <c r="V500" s="12">
        <f>ABS(RPG_dataset[[#This Row],[Win Rate (%)]])</f>
        <v>83</v>
      </c>
      <c r="W500" s="2">
        <v>9726</v>
      </c>
      <c r="X500" s="9">
        <v>514150</v>
      </c>
      <c r="Y500" s="2" t="s">
        <v>46</v>
      </c>
      <c r="Z500" s="2">
        <v>242</v>
      </c>
      <c r="AA500" s="2" t="s">
        <v>1735</v>
      </c>
      <c r="AB500" s="2" t="b">
        <v>1</v>
      </c>
      <c r="AC500" s="2" t="s">
        <v>1730</v>
      </c>
      <c r="AD500" s="2" t="s">
        <v>1727</v>
      </c>
      <c r="AE500" s="2" t="s">
        <v>1728</v>
      </c>
      <c r="AF500" s="2" t="s">
        <v>1732</v>
      </c>
      <c r="AG500" s="28">
        <f>MAX(clean_data[[#This Row],[ATK]:[SPD]]) - MIN(clean_data[[#This Row],[ATK]:[SPD]])</f>
        <v>73</v>
      </c>
      <c r="AH500" s="28" t="str">
        <f>IF(clean_data[[#This Row],[Balanced Score]] = MIN(clean_data[Balanced Score]), "Most Balanced", "")</f>
        <v/>
      </c>
    </row>
    <row r="501" spans="1:34" x14ac:dyDescent="0.3">
      <c r="A501" s="2" t="s">
        <v>1678</v>
      </c>
      <c r="B501" s="2" t="s">
        <v>1723</v>
      </c>
      <c r="C501" s="2" t="s">
        <v>238</v>
      </c>
      <c r="D501" s="2" t="s">
        <v>210</v>
      </c>
      <c r="E501" s="2" t="s">
        <v>228</v>
      </c>
      <c r="F501" s="2" t="s">
        <v>61</v>
      </c>
      <c r="G501" s="2">
        <v>12</v>
      </c>
      <c r="H501" s="2" t="s">
        <v>31</v>
      </c>
      <c r="I501" s="2" t="s">
        <v>63</v>
      </c>
      <c r="J501" s="2" t="s">
        <v>163</v>
      </c>
      <c r="K501" s="2" t="s">
        <v>44</v>
      </c>
      <c r="L501" s="13">
        <v>45613</v>
      </c>
      <c r="M501" s="2">
        <v>99</v>
      </c>
      <c r="N501" s="2">
        <v>16</v>
      </c>
      <c r="O501" s="2">
        <v>115</v>
      </c>
      <c r="P501" s="2">
        <v>4559</v>
      </c>
      <c r="Q501" s="2">
        <v>2857</v>
      </c>
      <c r="R501" s="2"/>
      <c r="S501" s="2">
        <v>1590</v>
      </c>
      <c r="T501" s="2">
        <v>50</v>
      </c>
      <c r="U501" s="2">
        <v>227</v>
      </c>
      <c r="V501" s="12">
        <f>ABS(RPG_dataset[[#This Row],[Win Rate (%)]])</f>
        <v>97</v>
      </c>
      <c r="W501" s="2">
        <v>9756</v>
      </c>
      <c r="X501" s="9">
        <v>586676</v>
      </c>
      <c r="Y501" s="2" t="s">
        <v>36</v>
      </c>
      <c r="Z501" s="2">
        <v>208</v>
      </c>
      <c r="AA501" s="2" t="s">
        <v>1735</v>
      </c>
      <c r="AB501" s="2" t="b">
        <v>1</v>
      </c>
      <c r="AC501" s="2" t="s">
        <v>1730</v>
      </c>
      <c r="AD501" s="2" t="s">
        <v>1727</v>
      </c>
      <c r="AE501" s="2" t="s">
        <v>1728</v>
      </c>
      <c r="AF501" s="2" t="s">
        <v>1736</v>
      </c>
      <c r="AG501" s="28">
        <f>MAX(clean_data[[#This Row],[ATK]:[SPD]]) - MIN(clean_data[[#This Row],[ATK]:[SPD]])</f>
        <v>99</v>
      </c>
      <c r="AH501" s="28" t="str">
        <f>IF(clean_data[[#This Row],[Balanced Score]] = MIN(clean_data[Balanced Score]), "Most Balanced", "")</f>
        <v/>
      </c>
    </row>
  </sheetData>
  <mergeCells count="2">
    <mergeCell ref="AJ2:AK2"/>
    <mergeCell ref="AJ9:AK9"/>
  </mergeCells>
  <conditionalFormatting sqref="A1:O501 Q1:AF501">
    <cfRule type="containsBlanks" dxfId="2" priority="6">
      <formula>LEN(TRIM(A1))=0</formula>
    </cfRule>
  </conditionalFormatting>
  <conditionalFormatting sqref="M2:M501">
    <cfRule type="colorScale" priority="5">
      <colorScale>
        <cfvo type="min"/>
        <cfvo type="percentile" val="50"/>
        <cfvo type="max"/>
        <color rgb="FFF8696B"/>
        <color rgb="FFFFEB84"/>
        <color rgb="FF63BE7B"/>
      </colorScale>
    </cfRule>
  </conditionalFormatting>
  <conditionalFormatting sqref="N1:N501">
    <cfRule type="colorScale" priority="4">
      <colorScale>
        <cfvo type="min"/>
        <cfvo type="percentile" val="50"/>
        <cfvo type="max"/>
        <color rgb="FFF8696B"/>
        <color rgb="FFFFEB84"/>
        <color rgb="FF63BE7B"/>
      </colorScale>
    </cfRule>
  </conditionalFormatting>
  <conditionalFormatting sqref="O2:O501">
    <cfRule type="colorScale" priority="3">
      <colorScale>
        <cfvo type="min"/>
        <cfvo type="percentile" val="50"/>
        <cfvo type="max"/>
        <color rgb="FFF8696B"/>
        <color rgb="FFFFEB84"/>
        <color rgb="FF63BE7B"/>
      </colorScale>
    </cfRule>
  </conditionalFormatting>
  <conditionalFormatting sqref="AG2:AG501">
    <cfRule type="top10" dxfId="0" priority="1" bottom="1" rank="10"/>
  </conditionalFormatting>
  <dataValidations count="2">
    <dataValidation type="list" allowBlank="1" showInputMessage="1" showErrorMessage="1" sqref="AK17" xr:uid="{4C10A54C-347D-464A-A334-EC2CFA93A186}">
      <formula1>$AO$3:$AO$4</formula1>
    </dataValidation>
    <dataValidation type="list" allowBlank="1" showInputMessage="1" showErrorMessage="1" sqref="AK14 AK20 AK46 AO15" xr:uid="{1F342EBF-45DC-43B0-9799-51AABBDC646B}">
      <formula1>$AQ$3:$AQ$10</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C5F2DE5D-0068-4E99-84B1-774E6A644449}">
          <x14:formula1>
            <xm:f>'RPG_dataset'!$B$2:$B$501</xm:f>
          </x14:formula1>
          <xm:sqref>AK39</xm:sqref>
        </x14:dataValidation>
        <x14:dataValidation type="list" allowBlank="1" showInputMessage="1" showErrorMessage="1" xr:uid="{7BDAE173-99F2-4679-8CE7-3456BFF2BBC7}">
          <x14:formula1>
            <xm:f>'RPG_dataset'!$A$2:$A$501</xm:f>
          </x14:formula1>
          <xm:sqref>AK33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B0DD5F-6606-40D5-A0CA-A7D4DFA8F64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RPG_dataset</vt:lpstr>
      <vt:lpstr>Pivot</vt:lpstr>
      <vt:lpstr>Dashboard</vt:lpstr>
      <vt:lpstr>clean_data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Astrid Shaina</dc:creator>
  <cp:lastModifiedBy>Astrid Shaina</cp:lastModifiedBy>
  <dcterms:created xsi:type="dcterms:W3CDTF">2026-06-03T09:50:53Z</dcterms:created>
  <dcterms:modified xsi:type="dcterms:W3CDTF">2026-06-05T04:55:47Z</dcterms:modified>
</cp:coreProperties>
</file>