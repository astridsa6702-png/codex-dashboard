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e3a493edff0b5f7e/Documents/Practice/Excel - RPG/"/>
    </mc:Choice>
  </mc:AlternateContent>
  <xr:revisionPtr revIDLastSave="446" documentId="8_{155F2B1A-D3CF-4B83-9A63-09FDDF3B585A}" xr6:coauthVersionLast="47" xr6:coauthVersionMax="47" xr10:uidLastSave="{D1F24196-B8EF-4531-9555-13781DAE6606}"/>
  <bookViews>
    <workbookView xWindow="2904" yWindow="3084" windowWidth="9456" windowHeight="7812" firstSheet="2" activeTab="2" xr2:uid="{3483FA06-4B88-41B9-9669-C9A6EB9F60A9}"/>
  </bookViews>
  <sheets>
    <sheet name="Pivot2" sheetId="18" r:id="rId1"/>
    <sheet name="Pivot" sheetId="14" r:id="rId2"/>
    <sheet name="characters" sheetId="2" r:id="rId3"/>
    <sheet name="Stats_Data" sheetId="5" r:id="rId4"/>
    <sheet name="latihan_cleaning (2)" sheetId="7" r:id="rId5"/>
    <sheet name="studi kasus" sheetId="8" r:id="rId6"/>
  </sheets>
  <definedNames>
    <definedName name="_xlcn.WorksheetConnection_ExcelPracticewithGemini.xlsxcharacters" hidden="1">characters[]</definedName>
    <definedName name="ExternalData_1" localSheetId="2" hidden="1">'characters'!$A$1:$G$33</definedName>
    <definedName name="ExternalData_1" localSheetId="4" hidden="1">'latihan_cleaning (2)'!$A$1:$B$33</definedName>
    <definedName name="ExternalData_1" localSheetId="3" hidden="1">Stats_Data!$A$1:$E$33</definedName>
    <definedName name="ExternalData_1" localSheetId="5" hidden="1">'studi kasus'!$A$1:$C$11</definedName>
    <definedName name="Slicer_Faction">#N/A</definedName>
    <definedName name="Slicer_Grup">#N/A</definedName>
    <definedName name="Slicer_Kategori_Tempur">#N/A</definedName>
    <definedName name="Slicer_Kode_Squad">#N/A</definedName>
    <definedName name="Slicer_Status_Squad">#N/A</definedName>
    <definedName name="Slicer_Status_Squad1">#N/A</definedName>
    <definedName name="Slicer_Sub_Kelompok">#N/A</definedName>
  </definedNames>
  <calcPr calcId="191029"/>
  <pivotCaches>
    <pivotCache cacheId="0" r:id="rId7"/>
    <pivotCache cacheId="1" r:id="rId8"/>
    <pivotCache cacheId="2" r:id="rId9"/>
  </pivotCaches>
  <extLst>
    <ext xmlns:x14="http://schemas.microsoft.com/office/spreadsheetml/2009/9/main" uri="{876F7934-8845-4945-9796-88D515C7AA90}">
      <x14:pivotCaches>
        <pivotCache cacheId="3" r:id="rId10"/>
      </x14:pivotCaches>
    </ex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aracters" name="characters" connection="WorksheetConnection_Excel Practice with Gemini.xlsx!charact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2" i="2" l="1"/>
  <c r="L4" i="5"/>
  <c r="R2" i="2"/>
  <c r="R3" i="2"/>
  <c r="R4" i="2"/>
  <c r="R5" i="2"/>
  <c r="R6" i="2"/>
  <c r="R7" i="2"/>
  <c r="R8" i="2"/>
  <c r="R9" i="2"/>
  <c r="R10" i="2"/>
  <c r="R11" i="2"/>
  <c r="R12" i="2"/>
  <c r="R13" i="2"/>
  <c r="R14" i="2"/>
  <c r="R15" i="2"/>
  <c r="R16" i="2"/>
  <c r="R17" i="2"/>
  <c r="R18" i="2"/>
  <c r="R19" i="2"/>
  <c r="R20" i="2"/>
  <c r="R21" i="2"/>
  <c r="AB4" i="2" s="1"/>
  <c r="R22" i="2"/>
  <c r="R23" i="2"/>
  <c r="R24" i="2"/>
  <c r="R25" i="2"/>
  <c r="R26" i="2"/>
  <c r="R27" i="2"/>
  <c r="R28" i="2"/>
  <c r="R29" i="2"/>
  <c r="R30" i="2"/>
  <c r="R31" i="2"/>
  <c r="R32" i="2"/>
  <c r="R33"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G21" i="8"/>
  <c r="H21" i="8" s="1" a="1"/>
  <c r="H21" i="8" s="1"/>
  <c r="G17" i="8"/>
  <c r="H17" i="8" s="1" a="1"/>
  <c r="H17" i="8" s="1"/>
  <c r="G18" i="8"/>
  <c r="H18" i="8" s="1" a="1"/>
  <c r="H18" i="8" s="1"/>
  <c r="G19" i="8"/>
  <c r="H19" i="8" s="1" a="1"/>
  <c r="H19" i="8" s="1"/>
  <c r="G20" i="8"/>
  <c r="H20" i="8" s="1" a="1"/>
  <c r="H20" i="8" s="1"/>
  <c r="G22" i="8"/>
  <c r="H22" i="8" s="1" a="1"/>
  <c r="H22" i="8" s="1"/>
  <c r="G23" i="8"/>
  <c r="H23" i="8" s="1" a="1"/>
  <c r="H23" i="8" s="1"/>
  <c r="G24" i="8"/>
  <c r="H24" i="8" s="1" a="1"/>
  <c r="H24" i="8" s="1"/>
  <c r="G25" i="8"/>
  <c r="H25" i="8" s="1" a="1"/>
  <c r="H25" i="8" s="1"/>
  <c r="G16" i="8"/>
  <c r="H16" i="8" s="1" a="1"/>
  <c r="H16" i="8" s="1"/>
  <c r="F16" i="8"/>
  <c r="F17" i="8"/>
  <c r="F18" i="8"/>
  <c r="F19" i="8"/>
  <c r="F20" i="8"/>
  <c r="F21" i="8"/>
  <c r="F22" i="8"/>
  <c r="F23" i="8"/>
  <c r="F24" i="8"/>
  <c r="F25" i="8"/>
  <c r="E16" i="8"/>
  <c r="E17" i="8"/>
  <c r="E18" i="8"/>
  <c r="E19" i="8"/>
  <c r="E20" i="8"/>
  <c r="E21" i="8"/>
  <c r="E22" i="8"/>
  <c r="E23" i="8"/>
  <c r="E24" i="8"/>
  <c r="E25" i="8"/>
  <c r="F2" i="8"/>
  <c r="F3" i="8"/>
  <c r="F4" i="8"/>
  <c r="F5" i="8"/>
  <c r="F6" i="8"/>
  <c r="F7" i="8"/>
  <c r="F8" i="8"/>
  <c r="F9" i="8"/>
  <c r="F10" i="8"/>
  <c r="F11" i="8"/>
  <c r="E2" i="8"/>
  <c r="E3" i="8"/>
  <c r="E4" i="8"/>
  <c r="E5" i="8"/>
  <c r="E6" i="8"/>
  <c r="E7" i="8"/>
  <c r="E8" i="8"/>
  <c r="E9" i="8"/>
  <c r="E10" i="8"/>
  <c r="E11" i="8"/>
  <c r="D2" i="8"/>
  <c r="D3" i="8"/>
  <c r="D4" i="8"/>
  <c r="D5" i="8"/>
  <c r="D6" i="8"/>
  <c r="D7" i="8"/>
  <c r="D8" i="8"/>
  <c r="D9" i="8"/>
  <c r="D10" i="8"/>
  <c r="D11" i="8"/>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F4" i="7"/>
  <c r="E2" i="7"/>
  <c r="F2" i="7" s="1"/>
  <c r="E3" i="7"/>
  <c r="F3" i="7" s="1"/>
  <c r="E4" i="7"/>
  <c r="E5" i="7"/>
  <c r="F5" i="7" s="1"/>
  <c r="E6" i="7"/>
  <c r="F6" i="7" s="1"/>
  <c r="E7" i="7"/>
  <c r="F7" i="7" s="1"/>
  <c r="E8" i="7"/>
  <c r="F8" i="7" s="1"/>
  <c r="E9" i="7"/>
  <c r="F9" i="7" s="1"/>
  <c r="E10" i="7"/>
  <c r="F10" i="7" s="1"/>
  <c r="E11" i="7"/>
  <c r="F11" i="7" s="1"/>
  <c r="E12" i="7"/>
  <c r="F12" i="7" s="1"/>
  <c r="E13" i="7"/>
  <c r="F13" i="7" s="1"/>
  <c r="E14" i="7"/>
  <c r="F14" i="7" s="1"/>
  <c r="E15" i="7"/>
  <c r="F15" i="7" s="1"/>
  <c r="E16" i="7"/>
  <c r="F16" i="7" s="1"/>
  <c r="E17" i="7"/>
  <c r="F17" i="7" s="1"/>
  <c r="E18" i="7"/>
  <c r="F18" i="7" s="1"/>
  <c r="E19" i="7"/>
  <c r="F19" i="7" s="1"/>
  <c r="E20" i="7"/>
  <c r="F20" i="7" s="1"/>
  <c r="E21" i="7"/>
  <c r="F21" i="7" s="1"/>
  <c r="E22" i="7"/>
  <c r="F22" i="7" s="1"/>
  <c r="E23" i="7"/>
  <c r="F23" i="7" s="1"/>
  <c r="E24" i="7"/>
  <c r="F24" i="7" s="1"/>
  <c r="E25" i="7"/>
  <c r="F25" i="7" s="1"/>
  <c r="E26" i="7"/>
  <c r="F26" i="7" s="1"/>
  <c r="E27" i="7"/>
  <c r="F27" i="7" s="1"/>
  <c r="E28" i="7"/>
  <c r="F28" i="7" s="1"/>
  <c r="E29" i="7"/>
  <c r="F29" i="7" s="1"/>
  <c r="E30" i="7"/>
  <c r="F30" i="7" s="1"/>
  <c r="E31" i="7"/>
  <c r="F31" i="7" s="1"/>
  <c r="E32" i="7"/>
  <c r="F32" i="7" s="1"/>
  <c r="E33" i="7"/>
  <c r="F33" i="7" s="1"/>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Z3" i="2"/>
  <c r="M2" i="2"/>
  <c r="M23" i="2"/>
  <c r="M4" i="2"/>
  <c r="M13" i="2"/>
  <c r="M24" i="2"/>
  <c r="M14" i="2"/>
  <c r="M25" i="2"/>
  <c r="M5" i="2"/>
  <c r="M6" i="2"/>
  <c r="M15" i="2"/>
  <c r="M16" i="2"/>
  <c r="M26" i="2"/>
  <c r="M17" i="2"/>
  <c r="M18" i="2"/>
  <c r="M27" i="2"/>
  <c r="M7" i="2"/>
  <c r="M19" i="2"/>
  <c r="M28" i="2"/>
  <c r="M29" i="2"/>
  <c r="M30" i="2"/>
  <c r="M20" i="2"/>
  <c r="M8" i="2"/>
  <c r="M9" i="2"/>
  <c r="M31" i="2"/>
  <c r="M32" i="2"/>
  <c r="M21" i="2"/>
  <c r="M10" i="2"/>
  <c r="M11" i="2"/>
  <c r="M22" i="2"/>
  <c r="M12" i="2"/>
  <c r="M33" i="2"/>
  <c r="L2" i="2"/>
  <c r="L23" i="2"/>
  <c r="L4" i="2"/>
  <c r="L13" i="2"/>
  <c r="L24" i="2"/>
  <c r="L14" i="2"/>
  <c r="L25" i="2"/>
  <c r="L5" i="2"/>
  <c r="L6" i="2"/>
  <c r="L15" i="2"/>
  <c r="L16" i="2"/>
  <c r="L26" i="2"/>
  <c r="L17" i="2"/>
  <c r="L18" i="2"/>
  <c r="L27" i="2"/>
  <c r="L7" i="2"/>
  <c r="L19" i="2"/>
  <c r="L28" i="2"/>
  <c r="L29" i="2"/>
  <c r="L30" i="2"/>
  <c r="L20" i="2"/>
  <c r="L8" i="2"/>
  <c r="L9" i="2"/>
  <c r="L31" i="2"/>
  <c r="L32" i="2"/>
  <c r="L21" i="2"/>
  <c r="L10" i="2"/>
  <c r="L11" i="2"/>
  <c r="L22" i="2"/>
  <c r="L12" i="2"/>
  <c r="L33" i="2"/>
  <c r="K2" i="2"/>
  <c r="T2" i="2" s="1"/>
  <c r="K23" i="2"/>
  <c r="T23" i="2" s="1"/>
  <c r="K4" i="2"/>
  <c r="T4" i="2" s="1"/>
  <c r="K13" i="2"/>
  <c r="T13" i="2" s="1"/>
  <c r="K24" i="2"/>
  <c r="T24" i="2" s="1"/>
  <c r="K14" i="2"/>
  <c r="T14" i="2" s="1"/>
  <c r="K25" i="2"/>
  <c r="T25" i="2" s="1"/>
  <c r="K5" i="2"/>
  <c r="T5" i="2" s="1"/>
  <c r="K6" i="2"/>
  <c r="T6" i="2" s="1"/>
  <c r="K15" i="2"/>
  <c r="T15" i="2" s="1"/>
  <c r="K16" i="2"/>
  <c r="T16" i="2" s="1"/>
  <c r="K26" i="2"/>
  <c r="T26" i="2" s="1"/>
  <c r="K17" i="2"/>
  <c r="T17" i="2" s="1"/>
  <c r="K18" i="2"/>
  <c r="T18" i="2" s="1"/>
  <c r="K27" i="2"/>
  <c r="T27" i="2" s="1"/>
  <c r="K7" i="2"/>
  <c r="T7" i="2" s="1"/>
  <c r="K19" i="2"/>
  <c r="T19" i="2" s="1"/>
  <c r="K28" i="2"/>
  <c r="T28" i="2" s="1"/>
  <c r="K29" i="2"/>
  <c r="T29" i="2" s="1"/>
  <c r="K30" i="2"/>
  <c r="T30" i="2" s="1"/>
  <c r="K20" i="2"/>
  <c r="T20" i="2" s="1"/>
  <c r="K8" i="2"/>
  <c r="T8" i="2" s="1"/>
  <c r="K9" i="2"/>
  <c r="T9" i="2" s="1"/>
  <c r="K31" i="2"/>
  <c r="T31" i="2" s="1"/>
  <c r="K32" i="2"/>
  <c r="T32" i="2" s="1"/>
  <c r="K21" i="2"/>
  <c r="T21" i="2" s="1"/>
  <c r="AB5" i="2" s="1"/>
  <c r="K10" i="2"/>
  <c r="T10" i="2" s="1"/>
  <c r="K11" i="2"/>
  <c r="T11" i="2" s="1"/>
  <c r="K22" i="2"/>
  <c r="T22" i="2" s="1"/>
  <c r="K12" i="2"/>
  <c r="T12" i="2" s="1"/>
  <c r="K33" i="2"/>
  <c r="T33" i="2" s="1"/>
  <c r="J2" i="2"/>
  <c r="J23" i="2"/>
  <c r="J4" i="2"/>
  <c r="J13" i="2"/>
  <c r="J24" i="2"/>
  <c r="J14" i="2"/>
  <c r="J25" i="2"/>
  <c r="J5" i="2"/>
  <c r="J6" i="2"/>
  <c r="J15" i="2"/>
  <c r="J16" i="2"/>
  <c r="J26" i="2"/>
  <c r="J17" i="2"/>
  <c r="J18" i="2"/>
  <c r="J27" i="2"/>
  <c r="J7" i="2"/>
  <c r="J19" i="2"/>
  <c r="J28" i="2"/>
  <c r="J29" i="2"/>
  <c r="J30" i="2"/>
  <c r="J20" i="2"/>
  <c r="J8" i="2"/>
  <c r="J9" i="2"/>
  <c r="J31" i="2"/>
  <c r="J32" i="2"/>
  <c r="J21" i="2"/>
  <c r="J10" i="2"/>
  <c r="J11" i="2"/>
  <c r="J22" i="2"/>
  <c r="J12" i="2"/>
  <c r="J33" i="2"/>
  <c r="I2" i="2"/>
  <c r="I23" i="2"/>
  <c r="I4" i="2"/>
  <c r="I13" i="2"/>
  <c r="I24" i="2"/>
  <c r="I14" i="2"/>
  <c r="I25" i="2"/>
  <c r="I5" i="2"/>
  <c r="I6" i="2"/>
  <c r="I15" i="2"/>
  <c r="I16" i="2"/>
  <c r="I26" i="2"/>
  <c r="I17" i="2"/>
  <c r="I18" i="2"/>
  <c r="I27" i="2"/>
  <c r="I7" i="2"/>
  <c r="I19" i="2"/>
  <c r="I28" i="2"/>
  <c r="I29" i="2"/>
  <c r="I30" i="2"/>
  <c r="I20" i="2"/>
  <c r="I8" i="2"/>
  <c r="I9" i="2"/>
  <c r="I31" i="2"/>
  <c r="I32" i="2"/>
  <c r="I21" i="2"/>
  <c r="I10" i="2"/>
  <c r="I11" i="2"/>
  <c r="I22" i="2"/>
  <c r="I12" i="2"/>
  <c r="I33" i="2"/>
  <c r="H2" i="2"/>
  <c r="H23" i="2"/>
  <c r="H3" i="2"/>
  <c r="H4" i="2"/>
  <c r="H13" i="2"/>
  <c r="H24" i="2"/>
  <c r="H14" i="2"/>
  <c r="H25" i="2"/>
  <c r="H5" i="2"/>
  <c r="H6" i="2"/>
  <c r="H15" i="2"/>
  <c r="H16" i="2"/>
  <c r="H26" i="2"/>
  <c r="H17" i="2"/>
  <c r="H18" i="2"/>
  <c r="H27" i="2"/>
  <c r="H7" i="2"/>
  <c r="H19" i="2"/>
  <c r="H28" i="2"/>
  <c r="H29" i="2"/>
  <c r="H30" i="2"/>
  <c r="H20" i="2"/>
  <c r="H8" i="2"/>
  <c r="H9" i="2"/>
  <c r="H31" i="2"/>
  <c r="H32" i="2"/>
  <c r="H21" i="2"/>
  <c r="H10" i="2"/>
  <c r="H11" i="2"/>
  <c r="H22" i="2"/>
  <c r="H12" i="2"/>
  <c r="H33" i="2"/>
  <c r="Z4" i="2"/>
  <c r="Z19" i="2" l="1"/>
  <c r="Z18" i="2"/>
  <c r="AE21" i="2" a="1"/>
  <c r="AE21" i="2" s="1"/>
  <c r="S20" i="2"/>
  <c r="W20" i="2" s="1" a="1"/>
  <c r="W20" i="2" s="1"/>
  <c r="S16" i="2"/>
  <c r="W16" i="2" s="1" a="1"/>
  <c r="W16" i="2" s="1"/>
  <c r="S17" i="2"/>
  <c r="W17" i="2" s="1" a="1"/>
  <c r="W17" i="2" s="1"/>
  <c r="S10" i="2"/>
  <c r="W10" i="2" s="1" a="1"/>
  <c r="W10" i="2" s="1"/>
  <c r="S7" i="2"/>
  <c r="W7" i="2" s="1" a="1"/>
  <c r="W7" i="2" s="1"/>
  <c r="S13" i="2"/>
  <c r="W13" i="2" s="1" a="1"/>
  <c r="W13" i="2" s="1"/>
  <c r="S29" i="2"/>
  <c r="W29" i="2" s="1" a="1"/>
  <c r="W29" i="2" s="1"/>
  <c r="S23" i="2"/>
  <c r="W23" i="2" s="1" a="1"/>
  <c r="W23" i="2" s="1"/>
  <c r="S19" i="2"/>
  <c r="W19" i="2" s="1" a="1"/>
  <c r="W19" i="2" s="1"/>
  <c r="S2" i="2"/>
  <c r="W2" i="2" s="1" a="1"/>
  <c r="W2" i="2" s="1"/>
  <c r="S12" i="2"/>
  <c r="W12" i="2" s="1" a="1"/>
  <c r="W12" i="2" s="1"/>
  <c r="S18" i="2"/>
  <c r="W18" i="2" s="1" a="1"/>
  <c r="W18" i="2" s="1"/>
  <c r="S27" i="2"/>
  <c r="W27" i="2" s="1" a="1"/>
  <c r="W27" i="2" s="1"/>
  <c r="S22" i="2"/>
  <c r="W22" i="2" s="1" a="1"/>
  <c r="W22" i="2" s="1"/>
  <c r="S11" i="2"/>
  <c r="W11" i="2" s="1" a="1"/>
  <c r="W11" i="2" s="1"/>
  <c r="S26" i="2"/>
  <c r="W26" i="2" s="1" a="1"/>
  <c r="W26" i="2" s="1"/>
  <c r="S15" i="2"/>
  <c r="W15" i="2" s="1" a="1"/>
  <c r="W15" i="2" s="1"/>
  <c r="S6" i="2"/>
  <c r="W6" i="2" s="1" a="1"/>
  <c r="W6" i="2" s="1"/>
  <c r="S32" i="2"/>
  <c r="W32" i="2" s="1" a="1"/>
  <c r="W32" i="2" s="1"/>
  <c r="S31" i="2"/>
  <c r="W31" i="2" s="1" a="1"/>
  <c r="W31" i="2" s="1"/>
  <c r="S5" i="2"/>
  <c r="W5" i="2" s="1" a="1"/>
  <c r="W5" i="2" s="1"/>
  <c r="S21" i="2"/>
  <c r="W21" i="2" s="1" a="1"/>
  <c r="W21" i="2" s="1"/>
  <c r="S9" i="2"/>
  <c r="W9" i="2" s="1" a="1"/>
  <c r="W9" i="2" s="1"/>
  <c r="S25" i="2"/>
  <c r="W25" i="2" s="1" a="1"/>
  <c r="W25" i="2" s="1"/>
  <c r="S8" i="2"/>
  <c r="W8" i="2" s="1" a="1"/>
  <c r="W8" i="2" s="1"/>
  <c r="S14" i="2"/>
  <c r="W14" i="2" s="1" a="1"/>
  <c r="W14" i="2" s="1"/>
  <c r="S30" i="2"/>
  <c r="W30" i="2" s="1" a="1"/>
  <c r="W30" i="2" s="1"/>
  <c r="S24" i="2"/>
  <c r="W24" i="2" s="1" a="1"/>
  <c r="W24" i="2" s="1"/>
  <c r="S4" i="2"/>
  <c r="W4" i="2" s="1" a="1"/>
  <c r="W4" i="2" s="1"/>
  <c r="S28" i="2"/>
  <c r="W28" i="2" s="1" a="1"/>
  <c r="W28" i="2" s="1"/>
  <c r="S33" i="2"/>
  <c r="W33" i="2" s="1" a="1"/>
  <c r="W33" i="2" s="1"/>
  <c r="Q28" i="2"/>
  <c r="Q29" i="2"/>
  <c r="Q30" i="2"/>
  <c r="Q23" i="2"/>
  <c r="Q33" i="2"/>
  <c r="Q17" i="2"/>
  <c r="Q32" i="2"/>
  <c r="Q16" i="2"/>
  <c r="Q31" i="2"/>
  <c r="Q15" i="2"/>
  <c r="Q14" i="2"/>
  <c r="Q13" i="2"/>
  <c r="Q12" i="2"/>
  <c r="Q27" i="2"/>
  <c r="Q11" i="2"/>
  <c r="Q26" i="2"/>
  <c r="Q10" i="2"/>
  <c r="Q25" i="2"/>
  <c r="Q9" i="2"/>
  <c r="Q24" i="2"/>
  <c r="Q8" i="2"/>
  <c r="Q7" i="2"/>
  <c r="Q22" i="2"/>
  <c r="Q6" i="2"/>
  <c r="Q21" i="2"/>
  <c r="Q5" i="2"/>
  <c r="Q20" i="2"/>
  <c r="Q4" i="2"/>
  <c r="Q19" i="2"/>
  <c r="Q18" i="2"/>
  <c r="Q2" i="2"/>
  <c r="AA19" i="2"/>
  <c r="I5" i="8"/>
  <c r="I4" i="8"/>
  <c r="Z15" i="2"/>
  <c r="I13" i="7"/>
  <c r="I12" i="7"/>
  <c r="Z5" i="2"/>
  <c r="Z9" i="2"/>
  <c r="Z8" i="2"/>
  <c r="Z7" i="2"/>
  <c r="AB3" i="2" l="1"/>
  <c r="AC26" i="2"/>
  <c r="AB19" i="2"/>
  <c r="M3" i="2"/>
  <c r="Z13" i="2" s="1"/>
  <c r="AA13" i="2" s="1"/>
  <c r="L3" i="2"/>
  <c r="K3" i="2"/>
  <c r="Y34" i="2" s="1" a="1"/>
  <c r="Y34" i="2" s="1"/>
  <c r="I3" i="2"/>
  <c r="J3" i="2"/>
  <c r="Y31" i="2" l="1"/>
  <c r="Z12" i="2"/>
  <c r="AA12" i="2" s="1"/>
  <c r="Y32" i="2"/>
  <c r="S3" i="2"/>
  <c r="Z11" i="2"/>
  <c r="AA11" i="2" s="1"/>
  <c r="Q3" i="2"/>
  <c r="T3" i="2"/>
  <c r="AA18" i="2"/>
  <c r="W3" i="2" l="1" a="1"/>
  <c r="W3" i="2" s="1"/>
  <c r="AB2" i="2"/>
  <c r="AC19" i="2"/>
  <c r="AB18" i="2"/>
  <c r="AC18" i="2" s="1"/>
  <c r="Z24" i="2"/>
  <c r="I6" i="7"/>
  <c r="I5" i="7"/>
  <c r="Z22" i="2" l="1"/>
  <c r="Z25" i="2"/>
  <c r="Z26" i="2"/>
  <c r="Z27" i="2"/>
  <c r="Z28" i="2"/>
  <c r="Z2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F33774-23F9-44EA-A9C8-8A717C08B093}" keepAlive="1" name="Query - characters" description="Connection to the 'characters' query in the workbook." type="5" refreshedVersion="8" background="1" saveData="1">
    <dbPr connection="Provider=Microsoft.Mashup.OleDb.1;Data Source=$Workbook$;Location=characters;Extended Properties=&quot;&quot;" command="SELECT * FROM [characters]"/>
  </connection>
  <connection id="2" xr16:uid="{2CEEC26A-B9A7-4F47-9B00-E750D67A3567}" keepAlive="1" name="Query - characters (2)" description="Connection to the 'characters (2)' query in the workbook." type="5" refreshedVersion="8" background="1" saveData="1">
    <dbPr connection="Provider=Microsoft.Mashup.OleDb.1;Data Source=$Workbook$;Location=&quot;characters (2)&quot;;Extended Properties=&quot;&quot;" command="SELECT * FROM [characters (2)]"/>
  </connection>
  <connection id="3" xr16:uid="{02F6740D-96D2-4C98-B9D5-DD448A1C56C7}" keepAlive="1" name="Query - latihan_cleaning" description="Connection to the 'latihan_cleaning' query in the workbook." type="5" refreshedVersion="0" background="1">
    <dbPr connection="Provider=Microsoft.Mashup.OleDb.1;Data Source=$Workbook$;Location=latihan_cleaning;Extended Properties=&quot;&quot;" command="SELECT * FROM [latihan_cleaning]"/>
  </connection>
  <connection id="4" xr16:uid="{38DE03F6-BF45-4208-980E-B40FFFA6952D}" keepAlive="1" name="Query - latihan_cleaning (2)" description="Connection to the 'latihan_cleaning (2)' query in the workbook." type="5" refreshedVersion="8" background="1" saveData="1">
    <dbPr connection="Provider=Microsoft.Mashup.OleDb.1;Data Source=$Workbook$;Location=&quot;latihan_cleaning (2)&quot;;Extended Properties=&quot;&quot;" command="SELECT * FROM [latihan_cleaning (2)]"/>
  </connection>
  <connection id="5" xr16:uid="{D4E94DC1-D263-46DD-968D-B60C99FC7DF2}" keepAlive="1" name="Query - stats_karakter" description="Connection to the 'stats_karakter' query in the workbook." type="5" refreshedVersion="8" background="1" saveData="1">
    <dbPr connection="Provider=Microsoft.Mashup.OleDb.1;Data Source=$Workbook$;Location=stats_karakter;Extended Properties=&quot;&quot;" command="SELECT * FROM [stats_karakter]"/>
  </connection>
  <connection id="6" xr16:uid="{F13ACF16-7277-424A-9C41-D2EF799C1261}" keepAlive="1" name="Query - stats2" description="Connection to the 'stats2' query in the workbook." type="5" refreshedVersion="0" background="1" saveData="1">
    <dbPr connection="Provider=Microsoft.Mashup.OleDb.1;Data Source=$Workbook$;Location=stats2;Extended Properties=&quot;&quot;" command="SELECT * FROM [stats2]"/>
  </connection>
  <connection id="7" xr16:uid="{53D4F0CB-B5C5-4014-AB0A-3429286EB4A4}" keepAlive="1" name="Query - studi kasus" description="Connection to the 'studi kasus' query in the workbook." type="5" refreshedVersion="8" background="1" saveData="1">
    <dbPr connection="Provider=Microsoft.Mashup.OleDb.1;Data Source=$Workbook$;Location=&quot;studi kasus&quot;;Extended Properties=&quot;&quot;" command="SELECT * FROM [studi kasus]"/>
  </connection>
  <connection id="8" xr16:uid="{3E730DFE-2753-4364-B39E-A7235BBBC7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B94DC406-7677-4B04-A5A2-80B62569E5B2}" name="WorksheetConnection_Excel Practice with Gemini.xlsx!characters" type="102" refreshedVersion="8" minRefreshableVersion="5">
    <extLst>
      <ext xmlns:x15="http://schemas.microsoft.com/office/spreadsheetml/2010/11/main" uri="{DE250136-89BD-433C-8126-D09CA5730AF9}">
        <x15:connection id="characters" autoDelete="1">
          <x15:rangePr sourceName="_xlcn.WorksheetConnection_ExcelPracticewithGemini.xlsxcharact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<sst xmlns="http://schemas.openxmlformats.org/spreadsheetml/2006/main" count="470" uniqueCount="275">
  <si>
    <t>Nama Karakter</t>
  </si>
  <si>
    <t>MBTI</t>
  </si>
  <si>
    <t>Umur</t>
  </si>
  <si>
    <t>Tinggi (cm)</t>
  </si>
  <si>
    <t>Grup</t>
  </si>
  <si>
    <t>Sub-Kelompok</t>
  </si>
  <si>
    <t>Role / Kekuatan Utama</t>
  </si>
  <si>
    <t>Paula Lopez</t>
  </si>
  <si>
    <t>INTP</t>
  </si>
  <si>
    <t>Modern</t>
  </si>
  <si>
    <t>The Analysts</t>
  </si>
  <si>
    <t>Fracture Surge</t>
  </si>
  <si>
    <t>Mica Dwyer</t>
  </si>
  <si>
    <t>ENTP</t>
  </si>
  <si>
    <t>Adaptive Mutation</t>
  </si>
  <si>
    <t>Hiromi Masaki</t>
  </si>
  <si>
    <t>INTJ</t>
  </si>
  <si>
    <t>Gravity Rend</t>
  </si>
  <si>
    <t>Gillian Wiley</t>
  </si>
  <si>
    <t>ENTJ</t>
  </si>
  <si>
    <t>Ruin Pulse Engine</t>
  </si>
  <si>
    <t>Hayami Amamiya</t>
  </si>
  <si>
    <t>ISTP</t>
  </si>
  <si>
    <t>The Explorers</t>
  </si>
  <si>
    <t>Elemental Mastery</t>
  </si>
  <si>
    <t>Shaye Kaylen</t>
  </si>
  <si>
    <t>ESTP</t>
  </si>
  <si>
    <t>Combat Escalation Law</t>
  </si>
  <si>
    <t>Shiina Ishioka</t>
  </si>
  <si>
    <t>ISFP</t>
  </si>
  <si>
    <t>Essence Severance</t>
  </si>
  <si>
    <t>Theresa Felix</t>
  </si>
  <si>
    <t>ESFP</t>
  </si>
  <si>
    <t>Sensory Collapse Domain</t>
  </si>
  <si>
    <t>Chiyo Funai</t>
  </si>
  <si>
    <t>ISTJ</t>
  </si>
  <si>
    <t>The Sentinels</t>
  </si>
  <si>
    <t>Guillotine Line</t>
  </si>
  <si>
    <t>Shizuka Aikawa</t>
  </si>
  <si>
    <t>ESTJ</t>
  </si>
  <si>
    <t>Warbrand Arsenal</t>
  </si>
  <si>
    <t>Mayumi Sasaki</t>
  </si>
  <si>
    <t>ISFJ</t>
  </si>
  <si>
    <t>Damage Reflection Lattice</t>
  </si>
  <si>
    <t>Lily Raven</t>
  </si>
  <si>
    <t>ESFJ</t>
  </si>
  <si>
    <t>Heartstrike Overload</t>
  </si>
  <si>
    <t>Sonia Spade</t>
  </si>
  <si>
    <t>INFJ</t>
  </si>
  <si>
    <t>The Diplomats</t>
  </si>
  <si>
    <t>Emotional Vectoring</t>
  </si>
  <si>
    <t>Himiko Nakayama</t>
  </si>
  <si>
    <t>ENFJ</t>
  </si>
  <si>
    <t>Dominion Mark</t>
  </si>
  <si>
    <t>Katie Olson</t>
  </si>
  <si>
    <t>INFP</t>
  </si>
  <si>
    <t>Soulfire Manifestation</t>
  </si>
  <si>
    <t>Emily Caddel</t>
  </si>
  <si>
    <t>ENFP</t>
  </si>
  <si>
    <t>Dimensional Phase Shifting</t>
  </si>
  <si>
    <t>Cael Dunmore</t>
  </si>
  <si>
    <t>Fantasy</t>
  </si>
  <si>
    <t>Probability Flux / Treasure Hunter</t>
  </si>
  <si>
    <t>Aldric Crane</t>
  </si>
  <si>
    <t>Primal Sovereign / Engineer</t>
  </si>
  <si>
    <t>Mara Solene</t>
  </si>
  <si>
    <t>Resonant Aria / Performer</t>
  </si>
  <si>
    <t>Luno Bright</t>
  </si>
  <si>
    <t>Living Canvas / Cartographer</t>
  </si>
  <si>
    <t>Zivan Holt</t>
  </si>
  <si>
    <t>Transmutation Aura / Alchemist</t>
  </si>
  <si>
    <t>Sylvaine Morrel</t>
  </si>
  <si>
    <t>Runic Deconstruction / Scholar</t>
  </si>
  <si>
    <t>Seren Ashvale</t>
  </si>
  <si>
    <t>Absolute Command / General</t>
  </si>
  <si>
    <t>Caius Nox</t>
  </si>
  <si>
    <t>Fate Weave / Royal Advisor</t>
  </si>
  <si>
    <t>Mira Vane</t>
  </si>
  <si>
    <t>Momentum Surge / Knight-Errant</t>
  </si>
  <si>
    <t>Elara Moss</t>
  </si>
  <si>
    <t>Verdant Wrath / Forest Herbalist</t>
  </si>
  <si>
    <t>Rhen Caen</t>
  </si>
  <si>
    <t>Covenant Bond / Healer &amp; Diplomat</t>
  </si>
  <si>
    <t>Orin Eld</t>
  </si>
  <si>
    <t>Moment moment of Truth / Oracle</t>
  </si>
  <si>
    <t>Kiran Sol</t>
  </si>
  <si>
    <t>Zone of Order / City Watch Captain</t>
  </si>
  <si>
    <t>Dorian Penn</t>
  </si>
  <si>
    <t>Archive of Blades / Guild Archivist</t>
  </si>
  <si>
    <t>Tobias Rey</t>
  </si>
  <si>
    <t>Triage Field / Field Medic</t>
  </si>
  <si>
    <t>Nora Voss</t>
  </si>
  <si>
    <t>Memory Palace / Librarian Assistant</t>
  </si>
  <si>
    <t>Kategori Tinggi</t>
  </si>
  <si>
    <t>Jumlah OC Tinggi</t>
  </si>
  <si>
    <t>Jumlah OC Normal</t>
  </si>
  <si>
    <t>Name</t>
  </si>
  <si>
    <t>Power</t>
  </si>
  <si>
    <t>Tinggi</t>
  </si>
  <si>
    <t>Jumlah OC Pendek</t>
  </si>
  <si>
    <t>Row Labels</t>
  </si>
  <si>
    <t>Grand Total</t>
  </si>
  <si>
    <t>ID Karakter</t>
  </si>
  <si>
    <t>HP</t>
  </si>
  <si>
    <t>ATK</t>
  </si>
  <si>
    <t>DEF</t>
  </si>
  <si>
    <t>SPD</t>
  </si>
  <si>
    <t>Total Stat</t>
  </si>
  <si>
    <t>ATK Tertinggi</t>
  </si>
  <si>
    <t>SPD Tertinggi</t>
  </si>
  <si>
    <t>DEF Tertinggi</t>
  </si>
  <si>
    <t>Role</t>
  </si>
  <si>
    <t>Total Stats</t>
  </si>
  <si>
    <t>Kode Mentah</t>
  </si>
  <si>
    <t>Nama Berantakan</t>
  </si>
  <si>
    <t xml:space="preserve">ID-85-MOD </t>
  </si>
  <si>
    <t xml:space="preserve"> pAuLa lOpEz</t>
  </si>
  <si>
    <t>ID-75-MOD</t>
  </si>
  <si>
    <t xml:space="preserve">ID-90-MOD </t>
  </si>
  <si>
    <t>hiromi masaki</t>
  </si>
  <si>
    <t>ID-88-MOD</t>
  </si>
  <si>
    <t xml:space="preserve"> GILLIAN wiley</t>
  </si>
  <si>
    <t>ID-82-MOD</t>
  </si>
  <si>
    <t>hayami AMAMIYA</t>
  </si>
  <si>
    <t xml:space="preserve">ID-87-MOD </t>
  </si>
  <si>
    <t xml:space="preserve"> shaye KAYLEN</t>
  </si>
  <si>
    <t>ID-95-MOD</t>
  </si>
  <si>
    <t>ID-70-MOD</t>
  </si>
  <si>
    <t xml:space="preserve"> theresa felix</t>
  </si>
  <si>
    <t xml:space="preserve">ID-65-MOD </t>
  </si>
  <si>
    <t>CHIYO funai</t>
  </si>
  <si>
    <t>ID-80-MOD</t>
  </si>
  <si>
    <t xml:space="preserve"> shizuka AIKAWA</t>
  </si>
  <si>
    <t>ID-55-MOD</t>
  </si>
  <si>
    <t>mayumi sasaki</t>
  </si>
  <si>
    <t xml:space="preserve">ID-78-MOD </t>
  </si>
  <si>
    <t xml:space="preserve"> lIlY rAvEn</t>
  </si>
  <si>
    <t>ID-60-MOD</t>
  </si>
  <si>
    <t>ID-72-MOD</t>
  </si>
  <si>
    <t xml:space="preserve"> himiko nakayama</t>
  </si>
  <si>
    <t xml:space="preserve">ID-88-MOD </t>
  </si>
  <si>
    <t>katie olson</t>
  </si>
  <si>
    <t xml:space="preserve"> EMILY caddel</t>
  </si>
  <si>
    <t>ID-84-FAN</t>
  </si>
  <si>
    <t xml:space="preserve"> cAeL dUnMoRe</t>
  </si>
  <si>
    <t xml:space="preserve">ID-78-FAN </t>
  </si>
  <si>
    <t>aldric crane</t>
  </si>
  <si>
    <t>ID-70-FAN</t>
  </si>
  <si>
    <t>ID-75-FAN</t>
  </si>
  <si>
    <t xml:space="preserve"> luno BRIGHT</t>
  </si>
  <si>
    <t xml:space="preserve">ID-85-FAN </t>
  </si>
  <si>
    <t>ZiVaN hOlT</t>
  </si>
  <si>
    <t>ID-92-FAN</t>
  </si>
  <si>
    <t>sylvaine morrel</t>
  </si>
  <si>
    <t>ID-88-FAN</t>
  </si>
  <si>
    <t xml:space="preserve"> SEREN ASHVALE</t>
  </si>
  <si>
    <t xml:space="preserve">ID-80-FAN </t>
  </si>
  <si>
    <t>caius nox</t>
  </si>
  <si>
    <t>ID-83-FAN</t>
  </si>
  <si>
    <t xml:space="preserve"> mira VANE</t>
  </si>
  <si>
    <t>ID-76-FAN</t>
  </si>
  <si>
    <t>ID-65-FAN</t>
  </si>
  <si>
    <t xml:space="preserve"> rhen caen</t>
  </si>
  <si>
    <t xml:space="preserve">ID-70-FAN </t>
  </si>
  <si>
    <t xml:space="preserve"> oRiN eLd</t>
  </si>
  <si>
    <t>ID-82-FAN</t>
  </si>
  <si>
    <t>ID-80-FAN</t>
  </si>
  <si>
    <t xml:space="preserve"> dorian PENN</t>
  </si>
  <si>
    <t xml:space="preserve">ID-60-FAN </t>
  </si>
  <si>
    <t>tobias rey</t>
  </si>
  <si>
    <t>ID-55-FAN</t>
  </si>
  <si>
    <t xml:space="preserve"> NORA voss</t>
  </si>
  <si>
    <t>Nama Bersih</t>
  </si>
  <si>
    <t>Ekstrak Angka ATK</t>
  </si>
  <si>
    <t>Ekstrak Kode Grup</t>
  </si>
  <si>
    <t>Konversi Grup</t>
  </si>
  <si>
    <t>Grup yang Dicari</t>
  </si>
  <si>
    <t>Role yang Dicari</t>
  </si>
  <si>
    <t>Jumlah Karakter</t>
  </si>
  <si>
    <t>Total ATK Tim</t>
  </si>
  <si>
    <t>Group Target</t>
  </si>
  <si>
    <t>Tinggi Target</t>
  </si>
  <si>
    <t>Berapa Orang</t>
  </si>
  <si>
    <t>Total ATK Mereka</t>
  </si>
  <si>
    <t>Normal</t>
  </si>
  <si>
    <t>Tanggal Lahir</t>
  </si>
  <si>
    <t>Umur Akurat</t>
  </si>
  <si>
    <t>Rata-rata Umur</t>
  </si>
  <si>
    <t>Kode Registrasi</t>
  </si>
  <si>
    <t>Tanggal Bergabung</t>
  </si>
  <si>
    <t xml:space="preserve">REG-S-2023 </t>
  </si>
  <si>
    <t xml:space="preserve"> vAlKyRiE oNe </t>
  </si>
  <si>
    <t>REG-A-2023</t>
  </si>
  <si>
    <t xml:space="preserve"> pHaNtOm sTrIkE </t>
  </si>
  <si>
    <t xml:space="preserve">REG-D-2024 </t>
  </si>
  <si>
    <t>gHoSt rIdEr</t>
  </si>
  <si>
    <t>REG-S-2024</t>
  </si>
  <si>
    <t xml:space="preserve">nEoN bLaDe </t>
  </si>
  <si>
    <t>REG-A-2025</t>
  </si>
  <si>
    <t xml:space="preserve"> cYbEr nOvA </t>
  </si>
  <si>
    <t xml:space="preserve">REG-D-2022 </t>
  </si>
  <si>
    <t xml:space="preserve"> iRoN cLaD </t>
  </si>
  <si>
    <t>REG-S-2023</t>
  </si>
  <si>
    <t>ApOlLo nInE</t>
  </si>
  <si>
    <t xml:space="preserve">REG-A-2024 </t>
  </si>
  <si>
    <t xml:space="preserve"> sHaDoW wAlKeR</t>
  </si>
  <si>
    <t>REG-D-2025</t>
  </si>
  <si>
    <t xml:space="preserve"> zEwS pRiMe </t>
  </si>
  <si>
    <t xml:space="preserve">REG-S-2025 </t>
  </si>
  <si>
    <t xml:space="preserve">aLfA bRaVo </t>
  </si>
  <si>
    <t>Tipe Divisi</t>
  </si>
  <si>
    <t>Masa Bakti</t>
  </si>
  <si>
    <t>Divisi Target</t>
  </si>
  <si>
    <t>Rata-rata Masa Bakti</t>
  </si>
  <si>
    <t>Masa Bakti Terlama</t>
  </si>
  <si>
    <t>Jumlah Personel</t>
  </si>
  <si>
    <t>Rata-Rata ATK</t>
  </si>
  <si>
    <t>Total Stats Tertinggi</t>
  </si>
  <si>
    <t>Pemilik Stat Tertinggi</t>
  </si>
  <si>
    <t>Attacker</t>
  </si>
  <si>
    <t>Status Squad</t>
  </si>
  <si>
    <t>Squad:</t>
  </si>
  <si>
    <t>Reguler</t>
  </si>
  <si>
    <t>Squad Inti</t>
  </si>
  <si>
    <t>Tanker</t>
  </si>
  <si>
    <t>Tactician</t>
  </si>
  <si>
    <t>Brawler</t>
  </si>
  <si>
    <t>Elite Spy</t>
  </si>
  <si>
    <t>Ranger</t>
  </si>
  <si>
    <t>Average of Height (cm)</t>
  </si>
  <si>
    <t>Average of Age</t>
  </si>
  <si>
    <t>Count of Characters</t>
  </si>
  <si>
    <t>ID Radar</t>
  </si>
  <si>
    <t>Nama Personel</t>
  </si>
  <si>
    <t>Tanggal Rekrut</t>
  </si>
  <si>
    <t>Kekuatan Fisik</t>
  </si>
  <si>
    <t xml:space="preserve">   SQUAD-A-2022   </t>
  </si>
  <si>
    <t xml:space="preserve">  kAeL dUnMoRe  </t>
  </si>
  <si>
    <t>SQUAD-B-2023</t>
  </si>
  <si>
    <t xml:space="preserve">  pAuLa lOpEz  </t>
  </si>
  <si>
    <t xml:space="preserve">  SQUAD-A-2024   </t>
  </si>
  <si>
    <t>hiromi MASAKI</t>
  </si>
  <si>
    <t>SQUAD-C-2023</t>
  </si>
  <si>
    <t xml:space="preserve">   gIlLiAn WiLeY   </t>
  </si>
  <si>
    <t xml:space="preserve">  SQUAD-B-2025   </t>
  </si>
  <si>
    <t xml:space="preserve">  hAyAmI aMaMiYa  </t>
  </si>
  <si>
    <t>SQUAD-A-2023</t>
  </si>
  <si>
    <t xml:space="preserve">aldric CRANE   </t>
  </si>
  <si>
    <t xml:space="preserve">  SQUAD-C-2024   </t>
  </si>
  <si>
    <t xml:space="preserve">   sHiInA iShIoKa</t>
  </si>
  <si>
    <t>SQUAD-B-2022</t>
  </si>
  <si>
    <t xml:space="preserve">  mArA sOlEnE  </t>
  </si>
  <si>
    <t xml:space="preserve">  SQUAD-A-2025   </t>
  </si>
  <si>
    <t xml:space="preserve">lUnO bRiGhT   </t>
  </si>
  <si>
    <t>SQUAD-C-2025</t>
  </si>
  <si>
    <t xml:space="preserve">  zIvAn hOlT  </t>
  </si>
  <si>
    <t>Kode Squad</t>
  </si>
  <si>
    <t>Kategori Tempur</t>
  </si>
  <si>
    <t>Kael Dunmore</t>
  </si>
  <si>
    <t>Rata-rata Kekuatan Fisik</t>
  </si>
  <si>
    <t>A</t>
  </si>
  <si>
    <t>CRIT Rate</t>
  </si>
  <si>
    <t>MP</t>
  </si>
  <si>
    <t>Win Rate</t>
  </si>
  <si>
    <t>Faksi Wilayah</t>
  </si>
  <si>
    <t>Northern Tundra</t>
  </si>
  <si>
    <t>Eastern Sunrise</t>
  </si>
  <si>
    <t>Western Citadel</t>
  </si>
  <si>
    <t>Southern Isles</t>
  </si>
  <si>
    <t>Crit Rate</t>
  </si>
  <si>
    <t>Faction</t>
  </si>
  <si>
    <t>Avg Win Rate</t>
  </si>
  <si>
    <t>Total MP</t>
  </si>
  <si>
    <t>Potensi Damage</t>
  </si>
  <si>
    <t>Rata-rata Potensi Damage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</si>
</sst>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 Tahun&quot;"/>
    <numFmt numFmtId="165" formatCode="0&quot; Hari&quot;"/>
    <numFmt numFmtId="166" formatCode="dd/mm/yyyy;@"/>
    <numFmt numFmtId="167" formatCode="0&quot; Orang&quot;"/>
    <numFmt numFmtId="168" formatCode="0&quot; Pts&quot;"/>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vertical="center" wrapText="1"/>
    </xf>
    <xf numFmtId="14"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0" fillId="0" borderId="1" xfId="0" applyBorder="1" applyAlignment="1">
      <alignment horizontal="center" vertical="center"/>
    </xf>
    <xf numFmtId="167" fontId="0" fillId="0" borderId="1" xfId="0" applyNumberFormat="1" applyBorder="1" applyAlignment="1">
      <alignment horizontal="center" vertical="center"/>
    </xf>
    <xf numFmtId="2" fontId="0" fillId="0" borderId="1" xfId="0" applyNumberFormat="1" applyBorder="1" applyAlignment="1">
      <alignment horizontal="center" vertical="center"/>
    </xf>
    <xf numFmtId="168"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0" xfId="0" applyAlignment="1">
      <alignment horizontal="left" indent="1"/>
    </xf>
    <xf numFmtId="14" fontId="0" fillId="0" borderId="1"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8" xfId="0" applyNumberFormat="1" applyBorder="1" applyAlignment="1">
      <alignment horizontal="center" vertical="center"/>
    </xf>
    <xf numFmtId="0" fontId="0" fillId="0" borderId="9" xfId="0" applyBorder="1" applyAlignment="1">
      <alignment horizontal="center" vertical="center"/>
    </xf>
    <xf numFmtId="10" fontId="0" fillId="0" borderId="0" xfId="0" applyNumberFormat="1" applyAlignment="1">
      <alignment horizontal="center" vertical="center"/>
    </xf>
    <xf numFmtId="2" fontId="0" fillId="0" borderId="0" xfId="0" applyNumberFormat="1" applyAlignment="1">
      <alignment horizontal="center" vertical="center"/>
    </xf>
    <xf numFmtId="0" fontId="0" fillId="0" borderId="10" xfId="0" applyBorder="1" applyAlignment="1">
      <alignment horizontal="center" vertical="center"/>
    </xf>
  </cellXfs>
  <cellStyles count="1">
    <cellStyle name="Normal" xfId="0" builtinId="0"/>
  </cellStyles>
  <dxfs count="6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65" formatCode="0&quot; Hari&quot;"/>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6"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0&quot; Tahun&quot;"/>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with Gemini.xlsx]Pivot!PivotTable4</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Average of Height (cm)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Pivot!$A$4:$A$10</c:f>
              <c:multiLvlStrCache>
                <c:ptCount val="4"/>
                <c:lvl>
                  <c:pt idx="0">
                    <c:v>Gillian Wiley</c:v>
                  </c:pt>
                  <c:pt idx="1">
                    <c:v>Seren Ashvale</c:v>
                  </c:pt>
                  <c:pt idx="2">
                    <c:v>Aldric Crane</c:v>
                  </c:pt>
                  <c:pt idx="3">
                    <c:v>Hayami Amamiya</c:v>
                  </c:pt>
                </c:lvl>
                <c:lvl>
                  <c:pt idx="0">
                    <c:v>The Analysts</c:v>
                  </c:pt>
                  <c:pt idx="2">
                    <c:v>The Explorers</c:v>
                  </c:pt>
                </c:lvl>
              </c:multiLvlStrCache>
            </c:multiLvlStrRef>
          </c:cat>
          <c:val>
            <c:numRef>
              <c:f>Pivot!$B$4:$B$10</c:f>
              <c:numCache>
                <c:formatCode>General</c:formatCode>
                <c:ptCount val="4"/>
                <c:pt idx="0">
                  <c:v>172</c:v>
                </c:pt>
                <c:pt idx="1">
                  <c:v>175</c:v>
                </c:pt>
                <c:pt idx="2">
                  <c:v>184</c:v>
                </c:pt>
                <c:pt idx="3">
                  <c:v>173</c:v>
                </c:pt>
              </c:numCache>
            </c:numRef>
          </c:val>
          <c:extLst>
            <c:ext xmlns:c16="http://schemas.microsoft.com/office/drawing/2014/chart" uri="{C3380CC4-5D6E-409C-BE32-E72D297353CC}">
              <c16:uniqueId val="{00000000-A01E-494E-A8E8-90E7DC88D40D}"/>
            </c:ext>
          </c:extLst>
        </c:ser>
        <c:ser>
          <c:idx val="1"/>
          <c:order val="1"/>
          <c:tx>
            <c:strRef>
              <c:f>Pivot!$C$3</c:f>
              <c:strCache>
                <c:ptCount val="1"/>
                <c:pt idx="0">
                  <c:v>Average of Age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Pivot!$A$4:$A$10</c:f>
              <c:multiLvlStrCache>
                <c:ptCount val="4"/>
                <c:lvl>
                  <c:pt idx="0">
                    <c:v>Gillian Wiley</c:v>
                  </c:pt>
                  <c:pt idx="1">
                    <c:v>Seren Ashvale</c:v>
                  </c:pt>
                  <c:pt idx="2">
                    <c:v>Aldric Crane</c:v>
                  </c:pt>
                  <c:pt idx="3">
                    <c:v>Hayami Amamiya</c:v>
                  </c:pt>
                </c:lvl>
                <c:lvl>
                  <c:pt idx="0">
                    <c:v>The Analysts</c:v>
                  </c:pt>
                  <c:pt idx="2">
                    <c:v>The Explorers</c:v>
                  </c:pt>
                </c:lvl>
              </c:multiLvlStrCache>
            </c:multiLvlStrRef>
          </c:cat>
          <c:val>
            <c:numRef>
              <c:f>Pivot!$C$4:$C$10</c:f>
              <c:numCache>
                <c:formatCode>General</c:formatCode>
                <c:ptCount val="4"/>
                <c:pt idx="0">
                  <c:v>23</c:v>
                </c:pt>
                <c:pt idx="1">
                  <c:v>23</c:v>
                </c:pt>
                <c:pt idx="2">
                  <c:v>22</c:v>
                </c:pt>
                <c:pt idx="3">
                  <c:v>22</c:v>
                </c:pt>
              </c:numCache>
            </c:numRef>
          </c:val>
          <c:extLst>
            <c:ext xmlns:c16="http://schemas.microsoft.com/office/drawing/2014/chart" uri="{C3380CC4-5D6E-409C-BE32-E72D297353CC}">
              <c16:uniqueId val="{00000001-A01E-494E-A8E8-90E7DC88D40D}"/>
            </c:ext>
          </c:extLst>
        </c:ser>
        <c:ser>
          <c:idx val="2"/>
          <c:order val="2"/>
          <c:tx>
            <c:strRef>
              <c:f>Pivot!$D$3</c:f>
              <c:strCache>
                <c:ptCount val="1"/>
                <c:pt idx="0">
                  <c:v>Count of Characters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Pivot!$A$4:$A$10</c:f>
              <c:multiLvlStrCache>
                <c:ptCount val="4"/>
                <c:lvl>
                  <c:pt idx="0">
                    <c:v>Gillian Wiley</c:v>
                  </c:pt>
                  <c:pt idx="1">
                    <c:v>Seren Ashvale</c:v>
                  </c:pt>
                  <c:pt idx="2">
                    <c:v>Aldric Crane</c:v>
                  </c:pt>
                  <c:pt idx="3">
                    <c:v>Hayami Amamiya</c:v>
                  </c:pt>
                </c:lvl>
                <c:lvl>
                  <c:pt idx="0">
                    <c:v>The Analysts</c:v>
                  </c:pt>
                  <c:pt idx="2">
                    <c:v>The Explorers</c:v>
                  </c:pt>
                </c:lvl>
              </c:multiLvlStrCache>
            </c:multiLvlStrRef>
          </c:cat>
          <c:val>
            <c:numRef>
              <c:f>Pivot!$D$4:$D$10</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2-A01E-494E-A8E8-90E7DC88D40D}"/>
            </c:ext>
          </c:extLst>
        </c:ser>
        <c:dLbls>
          <c:dLblPos val="inEnd"/>
          <c:showLegendKey val="0"/>
          <c:showVal val="1"/>
          <c:showCatName val="0"/>
          <c:showSerName val="0"/>
          <c:showPercent val="0"/>
          <c:showBubbleSize val="0"/>
        </c:dLbls>
        <c:gapWidth val="65"/>
        <c:axId val="1535989120"/>
        <c:axId val="1535988160"/>
      </c:barChart>
      <c:catAx>
        <c:axId val="15359891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5988160"/>
        <c:crosses val="autoZero"/>
        <c:auto val="1"/>
        <c:lblAlgn val="ctr"/>
        <c:lblOffset val="100"/>
        <c:noMultiLvlLbl val="0"/>
      </c:catAx>
      <c:valAx>
        <c:axId val="15359881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59891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42-4F82-9677-99064473AA9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42-4F82-9677-99064473AA9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842-4F82-9677-99064473AA9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'characters'!$Y$7:$Y$9</c:f>
              <c:strCache>
                <c:ptCount val="3"/>
                <c:pt idx="0">
                  <c:v>Jumlah OC Tinggi</c:v>
                </c:pt>
                <c:pt idx="1">
                  <c:v>Jumlah OC Normal</c:v>
                </c:pt>
                <c:pt idx="2">
                  <c:v>Jumlah OC Pendek</c:v>
                </c:pt>
              </c:strCache>
            </c:strRef>
          </c:cat>
          <c:val>
            <c:numRef>
              <c:f>'characters'!$Z$7:$Z$9</c:f>
              <c:numCache>
                <c:formatCode>General</c:formatCode>
                <c:ptCount val="3"/>
                <c:pt idx="0">
                  <c:v>11</c:v>
                </c:pt>
                <c:pt idx="1">
                  <c:v>14</c:v>
                </c:pt>
                <c:pt idx="2">
                  <c:v>7</c:v>
                </c:pt>
              </c:numCache>
            </c:numRef>
          </c:val>
          <c:extLst>
            <c:ext xmlns:c16="http://schemas.microsoft.com/office/drawing/2014/chart" uri="{C3380CC4-5D6E-409C-BE32-E72D297353CC}">
              <c16:uniqueId val="{00000000-9177-40EE-8E57-34A4E1FDF6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15240</xdr:rowOff>
    </xdr:from>
    <xdr:to>
      <xdr:col>1</xdr:col>
      <xdr:colOff>822960</xdr:colOff>
      <xdr:row>23</xdr:row>
      <xdr:rowOff>104775</xdr:rowOff>
    </xdr:to>
    <mc:AlternateContent xmlns:mc="http://schemas.openxmlformats.org/markup-compatibility/2006" xmlns:a14="http://schemas.microsoft.com/office/drawing/2010/main">
      <mc:Choice Requires="a14">
        <xdr:graphicFrame macro="">
          <xdr:nvGraphicFramePr>
            <xdr:cNvPr id="2" name="Faction">
              <a:extLst>
                <a:ext uri="{FF2B5EF4-FFF2-40B4-BE49-F238E27FC236}">
                  <a16:creationId xmlns:a16="http://schemas.microsoft.com/office/drawing/2014/main" id="{5D692CE2-B405-0A6A-2AB4-2F888BF07A88}"/>
                </a:ext>
              </a:extLst>
            </xdr:cNvPr>
            <xdr:cNvGraphicFramePr/>
          </xdr:nvGraphicFramePr>
          <xdr:xfrm>
            <a:off x="0" y="0"/>
            <a:ext cx="0" cy="0"/>
          </xdr:xfrm>
          <a:graphic>
            <a:graphicData uri="http://schemas.microsoft.com/office/drawing/2010/slicer">
              <sle:slicer xmlns:sle="http://schemas.microsoft.com/office/drawing/2010/slicer" name="Faction"/>
            </a:graphicData>
          </a:graphic>
        </xdr:graphicFrame>
      </mc:Choice>
      <mc:Fallback xmlns="">
        <xdr:sp macro="" textlink="">
          <xdr:nvSpPr>
            <xdr:cNvPr id="0" name=""/>
            <xdr:cNvSpPr>
              <a:spLocks noTextEdit="1"/>
            </xdr:cNvSpPr>
          </xdr:nvSpPr>
          <xdr:spPr>
            <a:xfrm>
              <a:off x="0" y="1844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815340</xdr:colOff>
      <xdr:row>10</xdr:row>
      <xdr:rowOff>15240</xdr:rowOff>
    </xdr:from>
    <xdr:to>
      <xdr:col>3</xdr:col>
      <xdr:colOff>45720</xdr:colOff>
      <xdr:row>23</xdr:row>
      <xdr:rowOff>104775</xdr:rowOff>
    </xdr:to>
    <mc:AlternateContent xmlns:mc="http://schemas.openxmlformats.org/markup-compatibility/2006" xmlns:a14="http://schemas.microsoft.com/office/drawing/2010/main">
      <mc:Choice Requires="a14">
        <xdr:graphicFrame macro="">
          <xdr:nvGraphicFramePr>
            <xdr:cNvPr id="3" name="Status Squad 1">
              <a:extLst>
                <a:ext uri="{FF2B5EF4-FFF2-40B4-BE49-F238E27FC236}">
                  <a16:creationId xmlns:a16="http://schemas.microsoft.com/office/drawing/2014/main" id="{F8DB2FB8-21E0-0F26-FDB1-EF285FBF9272}"/>
                </a:ext>
              </a:extLst>
            </xdr:cNvPr>
            <xdr:cNvGraphicFramePr/>
          </xdr:nvGraphicFramePr>
          <xdr:xfrm>
            <a:off x="0" y="0"/>
            <a:ext cx="0" cy="0"/>
          </xdr:xfrm>
          <a:graphic>
            <a:graphicData uri="http://schemas.microsoft.com/office/drawing/2010/slicer">
              <sle:slicer xmlns:sle="http://schemas.microsoft.com/office/drawing/2010/slicer" name="Status Squad 1"/>
            </a:graphicData>
          </a:graphic>
        </xdr:graphicFrame>
      </mc:Choice>
      <mc:Fallback xmlns="">
        <xdr:sp macro="" textlink="">
          <xdr:nvSpPr>
            <xdr:cNvPr id="0" name=""/>
            <xdr:cNvSpPr>
              <a:spLocks noTextEdit="1"/>
            </xdr:cNvSpPr>
          </xdr:nvSpPr>
          <xdr:spPr>
            <a:xfrm>
              <a:off x="1821180" y="1844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xdr:colOff>
      <xdr:row>10</xdr:row>
      <xdr:rowOff>15240</xdr:rowOff>
    </xdr:from>
    <xdr:to>
      <xdr:col>6</xdr:col>
      <xdr:colOff>30480</xdr:colOff>
      <xdr:row>23</xdr:row>
      <xdr:rowOff>104775</xdr:rowOff>
    </xdr:to>
    <mc:AlternateContent xmlns:mc="http://schemas.openxmlformats.org/markup-compatibility/2006" xmlns:a14="http://schemas.microsoft.com/office/drawing/2010/main">
      <mc:Choice Requires="a14">
        <xdr:graphicFrame macro="">
          <xdr:nvGraphicFramePr>
            <xdr:cNvPr id="4" name="Sub-Kelompok">
              <a:extLst>
                <a:ext uri="{FF2B5EF4-FFF2-40B4-BE49-F238E27FC236}">
                  <a16:creationId xmlns:a16="http://schemas.microsoft.com/office/drawing/2014/main" id="{898CD87B-C5A3-740C-0D3E-14D23D7824E0}"/>
                </a:ext>
              </a:extLst>
            </xdr:cNvPr>
            <xdr:cNvGraphicFramePr/>
          </xdr:nvGraphicFramePr>
          <xdr:xfrm>
            <a:off x="0" y="0"/>
            <a:ext cx="0" cy="0"/>
          </xdr:xfrm>
          <a:graphic>
            <a:graphicData uri="http://schemas.microsoft.com/office/drawing/2010/slicer">
              <sle:slicer xmlns:sle="http://schemas.microsoft.com/office/drawing/2010/slicer" name="Sub-Kelompok"/>
            </a:graphicData>
          </a:graphic>
        </xdr:graphicFrame>
      </mc:Choice>
      <mc:Fallback xmlns="">
        <xdr:sp macro="" textlink="">
          <xdr:nvSpPr>
            <xdr:cNvPr id="0" name=""/>
            <xdr:cNvSpPr>
              <a:spLocks noTextEdit="1"/>
            </xdr:cNvSpPr>
          </xdr:nvSpPr>
          <xdr:spPr>
            <a:xfrm>
              <a:off x="3634740" y="1844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15240</xdr:colOff>
      <xdr:row>2</xdr:row>
      <xdr:rowOff>0</xdr:rowOff>
    </xdr:from>
    <xdr:to>
      <xdr:col>8</xdr:col>
      <xdr:colOff>15240</xdr:colOff>
      <xdr:row>15</xdr:row>
      <xdr:rowOff>89535</xdr:rowOff>
    </xdr:to>
    <mc:AlternateContent xmlns:mc="http://schemas.openxmlformats.org/markup-compatibility/2006" xmlns:a14="http://schemas.microsoft.com/office/drawing/2010/main">
      <mc:Choice Requires="a14">
        <xdr:graphicFrame macro="">
          <xdr:nvGraphicFramePr>
            <xdr:cNvPr id="2" name="Grup">
              <a:extLst>
                <a:ext uri="{FF2B5EF4-FFF2-40B4-BE49-F238E27FC236}">
                  <a16:creationId xmlns:a16="http://schemas.microsoft.com/office/drawing/2014/main" id="{A6CA6470-F03D-9759-65D7-60C235BBBFE0}"/>
                </a:ext>
              </a:extLst>
            </xdr:cNvPr>
            <xdr:cNvGraphicFramePr/>
          </xdr:nvGraphicFramePr>
          <xdr:xfrm>
            <a:off x="0" y="0"/>
            <a:ext cx="0" cy="0"/>
          </xdr:xfrm>
          <a:graphic>
            <a:graphicData uri="http://schemas.microsoft.com/office/drawing/2010/slicer">
              <sle:slicer xmlns:sle="http://schemas.microsoft.com/office/drawing/2010/slicer" name="Grup"/>
            </a:graphicData>
          </a:graphic>
        </xdr:graphicFrame>
      </mc:Choice>
      <mc:Fallback xmlns="">
        <xdr:sp macro="" textlink="">
          <xdr:nvSpPr>
            <xdr:cNvPr id="0" name=""/>
            <xdr:cNvSpPr>
              <a:spLocks noTextEdit="1"/>
            </xdr:cNvSpPr>
          </xdr:nvSpPr>
          <xdr:spPr>
            <a:xfrm>
              <a:off x="5608644" y="372894"/>
              <a:ext cx="1823936" cy="2513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xdr:colOff>
      <xdr:row>2</xdr:row>
      <xdr:rowOff>7620</xdr:rowOff>
    </xdr:from>
    <xdr:to>
      <xdr:col>12</xdr:col>
      <xdr:colOff>30480</xdr:colOff>
      <xdr:row>15</xdr:row>
      <xdr:rowOff>97155</xdr:rowOff>
    </xdr:to>
    <mc:AlternateContent xmlns:mc="http://schemas.openxmlformats.org/markup-compatibility/2006" xmlns:a14="http://schemas.microsoft.com/office/drawing/2010/main">
      <mc:Choice Requires="a14">
        <xdr:graphicFrame macro="">
          <xdr:nvGraphicFramePr>
            <xdr:cNvPr id="3" name="Status Squad">
              <a:extLst>
                <a:ext uri="{FF2B5EF4-FFF2-40B4-BE49-F238E27FC236}">
                  <a16:creationId xmlns:a16="http://schemas.microsoft.com/office/drawing/2014/main" id="{5C5F5BC0-C1E9-4075-D980-E9F8B000E225}"/>
                </a:ext>
              </a:extLst>
            </xdr:cNvPr>
            <xdr:cNvGraphicFramePr/>
          </xdr:nvGraphicFramePr>
          <xdr:xfrm>
            <a:off x="0" y="0"/>
            <a:ext cx="0" cy="0"/>
          </xdr:xfrm>
          <a:graphic>
            <a:graphicData uri="http://schemas.microsoft.com/office/drawing/2010/slicer">
              <sle:slicer xmlns:sle="http://schemas.microsoft.com/office/drawing/2010/slicer" name="Status Squad"/>
            </a:graphicData>
          </a:graphic>
        </xdr:graphicFrame>
      </mc:Choice>
      <mc:Fallback xmlns="">
        <xdr:sp macro="" textlink="">
          <xdr:nvSpPr>
            <xdr:cNvPr id="0" name=""/>
            <xdr:cNvSpPr>
              <a:spLocks noTextEdit="1"/>
            </xdr:cNvSpPr>
          </xdr:nvSpPr>
          <xdr:spPr>
            <a:xfrm>
              <a:off x="8055799" y="380514"/>
              <a:ext cx="1823936" cy="2513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12</xdr:row>
      <xdr:rowOff>48962</xdr:rowOff>
    </xdr:from>
    <xdr:to>
      <xdr:col>4</xdr:col>
      <xdr:colOff>547343</xdr:colOff>
      <xdr:row>30</xdr:row>
      <xdr:rowOff>3243</xdr:rowOff>
    </xdr:to>
    <xdr:graphicFrame macro="">
      <xdr:nvGraphicFramePr>
        <xdr:cNvPr id="4" name="Chart 3">
          <a:extLst>
            <a:ext uri="{FF2B5EF4-FFF2-40B4-BE49-F238E27FC236}">
              <a16:creationId xmlns:a16="http://schemas.microsoft.com/office/drawing/2014/main" id="{64DCED12-4F5D-6CC4-79FD-2FC1AFE37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1082040</xdr:colOff>
      <xdr:row>35</xdr:row>
      <xdr:rowOff>3810</xdr:rowOff>
    </xdr:from>
    <xdr:to>
      <xdr:col>5</xdr:col>
      <xdr:colOff>1078230</xdr:colOff>
      <xdr:row>49</xdr:row>
      <xdr:rowOff>7620</xdr:rowOff>
    </xdr:to>
    <xdr:graphicFrame macro="">
      <xdr:nvGraphicFramePr>
        <xdr:cNvPr id="2" name="Chart 1">
          <a:extLst>
            <a:ext uri="{FF2B5EF4-FFF2-40B4-BE49-F238E27FC236}">
              <a16:creationId xmlns:a16="http://schemas.microsoft.com/office/drawing/2014/main" id="{4D947F02-C5AA-B5FA-27A6-5181A798D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998220</xdr:colOff>
      <xdr:row>29</xdr:row>
      <xdr:rowOff>15240</xdr:rowOff>
    </xdr:from>
    <xdr:to>
      <xdr:col>5</xdr:col>
      <xdr:colOff>640080</xdr:colOff>
      <xdr:row>42</xdr:row>
      <xdr:rowOff>104775</xdr:rowOff>
    </xdr:to>
    <mc:AlternateContent xmlns:mc="http://schemas.openxmlformats.org/markup-compatibility/2006" xmlns:a14="http://schemas.microsoft.com/office/drawing/2010/main">
      <mc:Choice Requires="a14">
        <xdr:graphicFrame macro="">
          <xdr:nvGraphicFramePr>
            <xdr:cNvPr id="2" name="Kode Squad">
              <a:extLst>
                <a:ext uri="{FF2B5EF4-FFF2-40B4-BE49-F238E27FC236}">
                  <a16:creationId xmlns:a16="http://schemas.microsoft.com/office/drawing/2014/main" id="{1F60D176-A6C4-3FFC-6C6E-7E00E306EA4C}"/>
                </a:ext>
              </a:extLst>
            </xdr:cNvPr>
            <xdr:cNvGraphicFramePr/>
          </xdr:nvGraphicFramePr>
          <xdr:xfrm>
            <a:off x="0" y="0"/>
            <a:ext cx="0" cy="0"/>
          </xdr:xfrm>
          <a:graphic>
            <a:graphicData uri="http://schemas.microsoft.com/office/drawing/2010/slicer">
              <sle:slicer xmlns:sle="http://schemas.microsoft.com/office/drawing/2010/slicer" name="Kode Squad"/>
            </a:graphicData>
          </a:graphic>
        </xdr:graphicFrame>
      </mc:Choice>
      <mc:Fallback xmlns="">
        <xdr:sp macro="" textlink="">
          <xdr:nvSpPr>
            <xdr:cNvPr id="0" name=""/>
            <xdr:cNvSpPr>
              <a:spLocks noTextEdit="1"/>
            </xdr:cNvSpPr>
          </xdr:nvSpPr>
          <xdr:spPr>
            <a:xfrm>
              <a:off x="4637986" y="5422197"/>
              <a:ext cx="1822477" cy="2513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29</xdr:row>
      <xdr:rowOff>7620</xdr:rowOff>
    </xdr:from>
    <xdr:to>
      <xdr:col>3</xdr:col>
      <xdr:colOff>899160</xdr:colOff>
      <xdr:row>42</xdr:row>
      <xdr:rowOff>97155</xdr:rowOff>
    </xdr:to>
    <mc:AlternateContent xmlns:mc="http://schemas.openxmlformats.org/markup-compatibility/2006" xmlns:a14="http://schemas.microsoft.com/office/drawing/2010/main">
      <mc:Choice Requires="a14">
        <xdr:graphicFrame macro="">
          <xdr:nvGraphicFramePr>
            <xdr:cNvPr id="3" name="Kategori Tempur">
              <a:extLst>
                <a:ext uri="{FF2B5EF4-FFF2-40B4-BE49-F238E27FC236}">
                  <a16:creationId xmlns:a16="http://schemas.microsoft.com/office/drawing/2014/main" id="{73B7C0F2-A87B-BC3A-90A7-EF3757218494}"/>
                </a:ext>
              </a:extLst>
            </xdr:cNvPr>
            <xdr:cNvGraphicFramePr/>
          </xdr:nvGraphicFramePr>
          <xdr:xfrm>
            <a:off x="0" y="0"/>
            <a:ext cx="0" cy="0"/>
          </xdr:xfrm>
          <a:graphic>
            <a:graphicData uri="http://schemas.microsoft.com/office/drawing/2010/slicer">
              <sle:slicer xmlns:sle="http://schemas.microsoft.com/office/drawing/2010/slicer" name="Kategori Tempur"/>
            </a:graphicData>
          </a:graphic>
        </xdr:graphicFrame>
      </mc:Choice>
      <mc:Fallback xmlns="">
        <xdr:sp macro="" textlink="">
          <xdr:nvSpPr>
            <xdr:cNvPr id="0" name=""/>
            <xdr:cNvSpPr>
              <a:spLocks noTextEdit="1"/>
            </xdr:cNvSpPr>
          </xdr:nvSpPr>
          <xdr:spPr>
            <a:xfrm>
              <a:off x="2711585" y="5414577"/>
              <a:ext cx="1827341" cy="2513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gion" refreshedDate="46172.698058449074" createdVersion="8" refreshedVersion="8" minRefreshableVersion="3" recordCount="32" xr:uid="{6A7C91ED-F171-4D47-BC43-288F89A0292D}">
  <cacheSource type="worksheet">
    <worksheetSource name="characters"/>
  </cacheSource>
  <cacheFields count="18">
    <cacheField name="Nama Karakter" numFmtId="0">
      <sharedItems count="32">
        <s v="Paula Lopez"/>
        <s v="Hiromi Masaki"/>
        <s v="Gillian Wiley"/>
        <s v="Chiyo Funai"/>
        <s v="Shizuka Aikawa"/>
        <s v="Cael Dunmore"/>
        <s v="Seren Ashvale"/>
        <s v="Caius Nox"/>
        <s v="Orin Eld"/>
        <s v="Kiran Sol"/>
        <s v="Tobias Rey"/>
        <s v="Hayami Amamiya"/>
        <s v="Shiina Ishioka"/>
        <s v="Mayumi Sasaki"/>
        <s v="Lily Raven"/>
        <s v="Himiko Nakayama"/>
        <s v="Katie Olson"/>
        <s v="Aldric Crane"/>
        <s v="Sylvaine Morrel"/>
        <s v="Rhen Caen"/>
        <s v="Dorian Penn"/>
        <s v="Mica Dwyer"/>
        <s v="Shaye Kaylen"/>
        <s v="Theresa Felix"/>
        <s v="Sonia Spade"/>
        <s v="Emily Caddel"/>
        <s v="Mara Solene"/>
        <s v="Luno Bright"/>
        <s v="Zivan Holt"/>
        <s v="Mira Vane"/>
        <s v="Elara Moss"/>
        <s v="Nora Voss"/>
      </sharedItems>
    </cacheField>
    <cacheField name="MBTI" numFmtId="0">
      <sharedItems/>
    </cacheField>
    <cacheField name="Umur" numFmtId="0">
      <sharedItems containsSemiMixedTypes="0" containsString="0" containsNumber="1" containsInteger="1" minValue="21" maxValue="23"/>
    </cacheField>
    <cacheField name="Tinggi (cm)" numFmtId="0">
      <sharedItems containsSemiMixedTypes="0" containsString="0" containsNumber="1" containsInteger="1" minValue="165" maxValue="184"/>
    </cacheField>
    <cacheField name="Grup" numFmtId="0">
      <sharedItems count="2">
        <s v="Modern"/>
        <s v="Fantasy"/>
      </sharedItems>
    </cacheField>
    <cacheField name="Sub-Kelompok" numFmtId="0">
      <sharedItems count="4">
        <s v="The Analysts"/>
        <s v="The Sentinels"/>
        <s v="The Explorers"/>
        <s v="The Diplomats"/>
      </sharedItems>
    </cacheField>
    <cacheField name="Role / Kekuatan Utama" numFmtId="0">
      <sharedItems/>
    </cacheField>
    <cacheField name="Kategori Tinggi" numFmtId="0">
      <sharedItems/>
    </cacheField>
    <cacheField name="ID Karakter" numFmtId="0">
      <sharedItems/>
    </cacheField>
    <cacheField name="HP" numFmtId="0">
      <sharedItems containsSemiMixedTypes="0" containsString="0" containsNumber="1" containsInteger="1" minValue="105" maxValue="150"/>
    </cacheField>
    <cacheField name="ATK" numFmtId="0">
      <sharedItems containsSemiMixedTypes="0" containsString="0" containsNumber="1" containsInteger="1" minValue="55" maxValue="97"/>
    </cacheField>
    <cacheField name="DEF" numFmtId="0">
      <sharedItems containsSemiMixedTypes="0" containsString="0" containsNumber="1" containsInteger="1" minValue="50" maxValue="95"/>
    </cacheField>
    <cacheField name="SPD" numFmtId="0">
      <sharedItems containsSemiMixedTypes="0" containsString="0" containsNumber="1" containsInteger="1" minValue="45" maxValue="95"/>
    </cacheField>
    <cacheField name="Total Stat" numFmtId="0">
      <sharedItems containsSemiMixedTypes="0" containsString="0" containsNumber="1" containsInteger="1" minValue="315" maxValue="397"/>
    </cacheField>
    <cacheField name="Role" numFmtId="0">
      <sharedItems/>
    </cacheField>
    <cacheField name="Tanggal Lahir" numFmtId="14">
      <sharedItems containsSemiMixedTypes="0" containsNonDate="0" containsDate="1" containsString="0" minDate="2002-01-08T00:00:00" maxDate="2004-11-10T00:00:00"/>
    </cacheField>
    <cacheField name="Umur Akurat" numFmtId="164">
      <sharedItems containsSemiMixedTypes="0" containsString="0" containsNumber="1" containsInteger="1" minValue="21" maxValue="24"/>
    </cacheField>
    <cacheField name="Status Squad" numFmtId="0">
      <sharedItems count="7">
        <s v="Tactician"/>
        <s v="Squad Inti"/>
        <s v="Tanker"/>
        <s v="Elite Spy"/>
        <s v="Reguler"/>
        <s v="Brawler"/>
        <s v="Ranger"/>
      </sharedItems>
    </cacheField>
  </cacheFields>
  <extLst>
    <ext xmlns:x14="http://schemas.microsoft.com/office/spreadsheetml/2009/9/main" uri="{725AE2AE-9491-48be-B2B4-4EB974FC3084}">
      <x14:pivotCacheDefinition pivotCacheId="312488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gion" refreshedDate="46173.503100347225" createdVersion="8" refreshedVersion="8" minRefreshableVersion="3" recordCount="10" xr:uid="{6B04FE20-0C44-4C14-89AB-507CFCB7F04E}">
  <cacheSource type="worksheet">
    <worksheetSource name="Table3"/>
  </cacheSource>
  <cacheFields count="8">
    <cacheField name="ID Radar" numFmtId="0">
      <sharedItems/>
    </cacheField>
    <cacheField name="Nama Personel" numFmtId="0">
      <sharedItems/>
    </cacheField>
    <cacheField name="Tanggal Rekrut" numFmtId="14">
      <sharedItems containsSemiMixedTypes="0" containsNonDate="0" containsDate="1" containsString="0" minDate="2022-01-10T00:00:00" maxDate="2025-06-19T00:00:00"/>
    </cacheField>
    <cacheField name="Kekuatan Fisik" numFmtId="0">
      <sharedItems containsSemiMixedTypes="0" containsString="0" containsNumber="1" containsInteger="1" minValue="78" maxValue="97"/>
    </cacheField>
    <cacheField name="Nama Bersih" numFmtId="0">
      <sharedItems count="10">
        <s v="Kael Dunmore"/>
        <s v="Paula Lopez"/>
        <s v="Hiromi Masaki"/>
        <s v="Gillian Wiley"/>
        <s v="Hayami Amamiya"/>
        <s v="Aldric Crane"/>
        <s v="Shiina Ishioka"/>
        <s v="Mara Solene"/>
        <s v="Luno Bright"/>
        <s v="Zivan Holt"/>
      </sharedItems>
    </cacheField>
    <cacheField name="Kode Squad" numFmtId="0">
      <sharedItems count="3">
        <s v="A"/>
        <s v="B"/>
        <s v="C"/>
      </sharedItems>
    </cacheField>
    <cacheField name="Masa Bakti" numFmtId="165">
      <sharedItems containsSemiMixedTypes="0" containsString="0" containsNumber="1" containsInteger="1" minValue="347" maxValue="1602"/>
    </cacheField>
    <cacheField name="Kategori Tempur" numFmtId="0">
      <sharedItems count="3">
        <s v="Commander"/>
        <s v="Frontliner"/>
        <s v="Cadangan"/>
      </sharedItems>
    </cacheField>
  </cacheFields>
  <extLst>
    <ext xmlns:x14="http://schemas.microsoft.com/office/spreadsheetml/2009/9/main" uri="{725AE2AE-9491-48be-B2B4-4EB974FC3084}">
      <x14:pivotCacheDefinition pivotCacheId="73685102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gion" refreshedDate="46173.538738888892" backgroundQuery="1" createdVersion="8" refreshedVersion="8" minRefreshableVersion="3" recordCount="0" supportSubquery="1" supportAdvancedDrill="1" xr:uid="{C22C4800-8647-4AFE-8180-54AAE7AEE0A0}">
  <cacheSource type="external" connectionId="8"/>
  <cacheFields count="4">
    <cacheField name="[characters].[Faction].[Faction]" caption="Faction" numFmtId="0" hierarchy="17" level="1">
      <sharedItems count="4">
        <s v="Eastern Sunrise"/>
        <s v="Northern Tundra"/>
        <s v="Southern Isles"/>
        <s v="Western Citadel"/>
      </sharedItems>
    </cacheField>
    <cacheField name="[Measures].[Average of Potensi Damage]" caption="Average of Potensi Damage" numFmtId="0" hierarchy="26" level="32767"/>
    <cacheField name="[Measures].[Count of Nama Karakter]" caption="Count of Nama Karakter" numFmtId="0" hierarchy="27" level="32767"/>
    <cacheField name="[characters].[Status Squad].[Status Squad]" caption="Status Squad" numFmtId="0" hierarchy="22" level="1">
      <sharedItems containsSemiMixedTypes="0" containsNonDate="0" containsString="0"/>
    </cacheField>
  </cacheFields>
  <cacheHierarchies count="28">
    <cacheHierarchy uniqueName="[characters].[Nama Karakter]" caption="Nama Karakter" attribute="1" defaultMemberUniqueName="[characters].[Nama Karakter].[All]" allUniqueName="[characters].[Nama Karakter].[All]" dimensionUniqueName="[characters]" displayFolder="" count="2" memberValueDatatype="130" unbalanced="0"/>
    <cacheHierarchy uniqueName="[characters].[MBTI]" caption="MBTI" attribute="1" defaultMemberUniqueName="[characters].[MBTI].[All]" allUniqueName="[characters].[MBTI].[All]" dimensionUniqueName="[characters]" displayFolder="" count="2" memberValueDatatype="130" unbalanced="0"/>
    <cacheHierarchy uniqueName="[characters].[Umur]" caption="Umur" attribute="1" defaultMemberUniqueName="[characters].[Umur].[All]" allUniqueName="[characters].[Umur].[All]" dimensionUniqueName="[characters]" displayFolder="" count="2" memberValueDatatype="20" unbalanced="0"/>
    <cacheHierarchy uniqueName="[characters].[Tinggi (cm)]" caption="Tinggi (cm)" attribute="1" defaultMemberUniqueName="[characters].[Tinggi (cm)].[All]" allUniqueName="[characters].[Tinggi (cm)].[All]" dimensionUniqueName="[characters]" displayFolder="" count="2" memberValueDatatype="20" unbalanced="0"/>
    <cacheHierarchy uniqueName="[characters].[Grup]" caption="Grup" attribute="1" defaultMemberUniqueName="[characters].[Grup].[All]" allUniqueName="[characters].[Grup].[All]" dimensionUniqueName="[characters]" displayFolder="" count="2" memberValueDatatype="130" unbalanced="0"/>
    <cacheHierarchy uniqueName="[characters].[Sub-Kelompok]" caption="Sub-Kelompok" attribute="1" defaultMemberUniqueName="[characters].[Sub-Kelompok].[All]" allUniqueName="[characters].[Sub-Kelompok].[All]" dimensionUniqueName="[characters]" displayFolder="" count="2" memberValueDatatype="130" unbalanced="0"/>
    <cacheHierarchy uniqueName="[characters].[Role / Kekuatan Utama]" caption="Role / Kekuatan Utama" attribute="1" defaultMemberUniqueName="[characters].[Role / Kekuatan Utama].[All]" allUniqueName="[characters].[Role / Kekuatan Utama].[All]" dimensionUniqueName="[characters]" displayFolder="" count="2" memberValueDatatype="130" unbalanced="0"/>
    <cacheHierarchy uniqueName="[characters].[Kategori Tinggi]" caption="Kategori Tinggi" attribute="1" defaultMemberUniqueName="[characters].[Kategori Tinggi].[All]" allUniqueName="[characters].[Kategori Tinggi].[All]" dimensionUniqueName="[characters]" displayFolder="" count="2" memberValueDatatype="130" unbalanced="0"/>
    <cacheHierarchy uniqueName="[characters].[ID Karakter]" caption="ID Karakter" attribute="1" defaultMemberUniqueName="[characters].[ID Karakter].[All]" allUniqueName="[characters].[ID Karakter].[All]" dimensionUniqueName="[characters]" displayFolder="" count="2" memberValueDatatype="130" unbalanced="0"/>
    <cacheHierarchy uniqueName="[characters].[HP]" caption="HP" attribute="1" defaultMemberUniqueName="[characters].[HP].[All]" allUniqueName="[characters].[HP].[All]" dimensionUniqueName="[characters]" displayFolder="" count="2" memberValueDatatype="20" unbalanced="0"/>
    <cacheHierarchy uniqueName="[characters].[ATK]" caption="ATK" attribute="1" defaultMemberUniqueName="[characters].[ATK].[All]" allUniqueName="[characters].[ATK].[All]" dimensionUniqueName="[characters]" displayFolder="" count="2" memberValueDatatype="20" unbalanced="0"/>
    <cacheHierarchy uniqueName="[characters].[DEF]" caption="DEF" attribute="1" defaultMemberUniqueName="[characters].[DEF].[All]" allUniqueName="[characters].[DEF].[All]" dimensionUniqueName="[characters]" displayFolder="" count="2" memberValueDatatype="20" unbalanced="0"/>
    <cacheHierarchy uniqueName="[characters].[SPD]" caption="SPD" attribute="1" defaultMemberUniqueName="[characters].[SPD].[All]" allUniqueName="[characters].[SPD].[All]" dimensionUniqueName="[characters]" displayFolder="" count="2" memberValueDatatype="20" unbalanced="0"/>
    <cacheHierarchy uniqueName="[characters].[Crit Rate]" caption="Crit Rate" attribute="1" defaultMemberUniqueName="[characters].[Crit Rate].[All]" allUniqueName="[characters].[Crit Rate].[All]" dimensionUniqueName="[characters]" displayFolder="" count="2" memberValueDatatype="5" unbalanced="0"/>
    <cacheHierarchy uniqueName="[characters].[MP]" caption="MP" attribute="1" defaultMemberUniqueName="[characters].[MP].[All]" allUniqueName="[characters].[MP].[All]" dimensionUniqueName="[characters]" displayFolder="" count="2" memberValueDatatype="20" unbalanced="0"/>
    <cacheHierarchy uniqueName="[characters].[Win Rate]" caption="Win Rate" attribute="1" defaultMemberUniqueName="[characters].[Win Rate].[All]" allUniqueName="[characters].[Win Rate].[All]" dimensionUniqueName="[characters]" displayFolder="" count="2" memberValueDatatype="5" unbalanced="0"/>
    <cacheHierarchy uniqueName="[characters].[Potensi Damage]" caption="Potensi Damage" attribute="1" defaultMemberUniqueName="[characters].[Potensi Damage].[All]" allUniqueName="[characters].[Potensi Damage].[All]" dimensionUniqueName="[characters]" displayFolder="" count="2" memberValueDatatype="5" unbalanced="0"/>
    <cacheHierarchy uniqueName="[characters].[Faction]" caption="Faction" attribute="1" defaultMemberUniqueName="[characters].[Faction].[All]" allUniqueName="[characters].[Faction].[All]" dimensionUniqueName="[characters]" displayFolder="" count="2" memberValueDatatype="130" unbalanced="0">
      <fieldsUsage count="2">
        <fieldUsage x="-1"/>
        <fieldUsage x="0"/>
      </fieldsUsage>
    </cacheHierarchy>
    <cacheHierarchy uniqueName="[characters].[Total Stat]" caption="Total Stat" attribute="1" defaultMemberUniqueName="[characters].[Total Stat].[All]" allUniqueName="[characters].[Total Stat].[All]" dimensionUniqueName="[characters]" displayFolder="" count="2" memberValueDatatype="5" unbalanced="0"/>
    <cacheHierarchy uniqueName="[characters].[Role]" caption="Role" attribute="1" defaultMemberUniqueName="[characters].[Role].[All]" allUniqueName="[characters].[Role].[All]" dimensionUniqueName="[characters]" displayFolder="" count="2" memberValueDatatype="130" unbalanced="0"/>
    <cacheHierarchy uniqueName="[characters].[Tanggal Lahir]" caption="Tanggal Lahir" attribute="1" time="1" defaultMemberUniqueName="[characters].[Tanggal Lahir].[All]" allUniqueName="[characters].[Tanggal Lahir].[All]" dimensionUniqueName="[characters]" displayFolder="" count="2" memberValueDatatype="7" unbalanced="0"/>
    <cacheHierarchy uniqueName="[characters].[Umur Akurat]" caption="Umur Akurat" attribute="1" defaultMemberUniqueName="[characters].[Umur Akurat].[All]" allUniqueName="[characters].[Umur Akurat].[All]" dimensionUniqueName="[characters]" displayFolder="" count="2" memberValueDatatype="20" unbalanced="0"/>
    <cacheHierarchy uniqueName="[characters].[Status Squad]" caption="Status Squad" attribute="1" defaultMemberUniqueName="[characters].[Status Squad].[All]" allUniqueName="[characters].[Status Squad].[All]" dimensionUniqueName="[characters]" displayFolder="" count="2" memberValueDatatype="130" unbalanced="0">
      <fieldsUsage count="2">
        <fieldUsage x="-1"/>
        <fieldUsage x="3"/>
      </fieldsUsage>
    </cacheHierarchy>
    <cacheHierarchy uniqueName="[Measures].[__XL_Count characters]" caption="__XL_Count characters" measure="1" displayFolder="" measureGroup="characters" count="0" hidden="1"/>
    <cacheHierarchy uniqueName="[Measures].[__No measures defined]" caption="__No measures defined" measure="1" displayFolder="" count="0" hidden="1"/>
    <cacheHierarchy uniqueName="[Measures].[Sum of Potensi Damage]" caption="Sum of Potensi Damage" measure="1" displayFolder="" measureGroup="characters" count="0" hidden="1">
      <extLst>
        <ext xmlns:x15="http://schemas.microsoft.com/office/spreadsheetml/2010/11/main" uri="{B97F6D7D-B522-45F9-BDA1-12C45D357490}">
          <x15:cacheHierarchy aggregatedColumn="16"/>
        </ext>
      </extLst>
    </cacheHierarchy>
    <cacheHierarchy uniqueName="[Measures].[Average of Potensi Damage]" caption="Average of Potensi Damage" measure="1" displayFolder="" measureGroup="character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Nama Karakter]" caption="Count of Nama Karakter" measure="1" displayFolder="" measureGroup="characters"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name="characters" uniqueName="[characters]" caption="characters"/>
    <dimension measure="1" name="Measures" uniqueName="[Measures]" caption="Measures"/>
  </dimensions>
  <measureGroups count="1">
    <measureGroup name="characters" caption="charact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gion" refreshedDate="46173.538331365744" backgroundQuery="1" createdVersion="3" refreshedVersion="8" minRefreshableVersion="3" recordCount="0" supportSubquery="1" supportAdvancedDrill="1" xr:uid="{DA56DD52-1452-463F-AE23-F3F6E9F57272}">
  <cacheSource type="external" connectionId="8">
    <extLst>
      <ext xmlns:x14="http://schemas.microsoft.com/office/spreadsheetml/2009/9/main" uri="{F057638F-6D5F-4e77-A914-E7F072B9BCA8}">
        <x14:sourceConnection name="ThisWorkbookDataModel"/>
      </ext>
    </extLst>
  </cacheSource>
  <cacheFields count="0"/>
  <cacheHierarchies count="28">
    <cacheHierarchy uniqueName="[characters].[Nama Karakter]" caption="Nama Karakter" attribute="1" defaultMemberUniqueName="[characters].[Nama Karakter].[All]" allUniqueName="[characters].[Nama Karakter].[All]" dimensionUniqueName="[characters]" displayFolder="" count="0" memberValueDatatype="130" unbalanced="0"/>
    <cacheHierarchy uniqueName="[characters].[MBTI]" caption="MBTI" attribute="1" defaultMemberUniqueName="[characters].[MBTI].[All]" allUniqueName="[characters].[MBTI].[All]" dimensionUniqueName="[characters]" displayFolder="" count="0" memberValueDatatype="130" unbalanced="0"/>
    <cacheHierarchy uniqueName="[characters].[Umur]" caption="Umur" attribute="1" defaultMemberUniqueName="[characters].[Umur].[All]" allUniqueName="[characters].[Umur].[All]" dimensionUniqueName="[characters]" displayFolder="" count="0" memberValueDatatype="20" unbalanced="0"/>
    <cacheHierarchy uniqueName="[characters].[Tinggi (cm)]" caption="Tinggi (cm)" attribute="1" defaultMemberUniqueName="[characters].[Tinggi (cm)].[All]" allUniqueName="[characters].[Tinggi (cm)].[All]" dimensionUniqueName="[characters]" displayFolder="" count="0" memberValueDatatype="20" unbalanced="0"/>
    <cacheHierarchy uniqueName="[characters].[Grup]" caption="Grup" attribute="1" defaultMemberUniqueName="[characters].[Grup].[All]" allUniqueName="[characters].[Grup].[All]" dimensionUniqueName="[characters]" displayFolder="" count="0" memberValueDatatype="130" unbalanced="0"/>
    <cacheHierarchy uniqueName="[characters].[Sub-Kelompok]" caption="Sub-Kelompok" attribute="1" defaultMemberUniqueName="[characters].[Sub-Kelompok].[All]" allUniqueName="[characters].[Sub-Kelompok].[All]" dimensionUniqueName="[characters]" displayFolder="" count="2" memberValueDatatype="130" unbalanced="0"/>
    <cacheHierarchy uniqueName="[characters].[Role / Kekuatan Utama]" caption="Role / Kekuatan Utama" attribute="1" defaultMemberUniqueName="[characters].[Role / Kekuatan Utama].[All]" allUniqueName="[characters].[Role / Kekuatan Utama].[All]" dimensionUniqueName="[characters]" displayFolder="" count="0" memberValueDatatype="130" unbalanced="0"/>
    <cacheHierarchy uniqueName="[characters].[Kategori Tinggi]" caption="Kategori Tinggi" attribute="1" defaultMemberUniqueName="[characters].[Kategori Tinggi].[All]" allUniqueName="[characters].[Kategori Tinggi].[All]" dimensionUniqueName="[characters]" displayFolder="" count="0" memberValueDatatype="130" unbalanced="0"/>
    <cacheHierarchy uniqueName="[characters].[ID Karakter]" caption="ID Karakter" attribute="1" defaultMemberUniqueName="[characters].[ID Karakter].[All]" allUniqueName="[characters].[ID Karakter].[All]" dimensionUniqueName="[characters]" displayFolder="" count="0" memberValueDatatype="130" unbalanced="0"/>
    <cacheHierarchy uniqueName="[characters].[HP]" caption="HP" attribute="1" defaultMemberUniqueName="[characters].[HP].[All]" allUniqueName="[characters].[HP].[All]" dimensionUniqueName="[characters]" displayFolder="" count="0" memberValueDatatype="20" unbalanced="0"/>
    <cacheHierarchy uniqueName="[characters].[ATK]" caption="ATK" attribute="1" defaultMemberUniqueName="[characters].[ATK].[All]" allUniqueName="[characters].[ATK].[All]" dimensionUniqueName="[characters]" displayFolder="" count="0" memberValueDatatype="20" unbalanced="0"/>
    <cacheHierarchy uniqueName="[characters].[DEF]" caption="DEF" attribute="1" defaultMemberUniqueName="[characters].[DEF].[All]" allUniqueName="[characters].[DEF].[All]" dimensionUniqueName="[characters]" displayFolder="" count="0" memberValueDatatype="20" unbalanced="0"/>
    <cacheHierarchy uniqueName="[characters].[SPD]" caption="SPD" attribute="1" defaultMemberUniqueName="[characters].[SPD].[All]" allUniqueName="[characters].[SPD].[All]" dimensionUniqueName="[characters]" displayFolder="" count="0" memberValueDatatype="20" unbalanced="0"/>
    <cacheHierarchy uniqueName="[characters].[Crit Rate]" caption="Crit Rate" attribute="1" defaultMemberUniqueName="[characters].[Crit Rate].[All]" allUniqueName="[characters].[Crit Rate].[All]" dimensionUniqueName="[characters]" displayFolder="" count="0" memberValueDatatype="5" unbalanced="0"/>
    <cacheHierarchy uniqueName="[characters].[MP]" caption="MP" attribute="1" defaultMemberUniqueName="[characters].[MP].[All]" allUniqueName="[characters].[MP].[All]" dimensionUniqueName="[characters]" displayFolder="" count="0" memberValueDatatype="20" unbalanced="0"/>
    <cacheHierarchy uniqueName="[characters].[Win Rate]" caption="Win Rate" attribute="1" defaultMemberUniqueName="[characters].[Win Rate].[All]" allUniqueName="[characters].[Win Rate].[All]" dimensionUniqueName="[characters]" displayFolder="" count="0" memberValueDatatype="5" unbalanced="0"/>
    <cacheHierarchy uniqueName="[characters].[Potensi Damage]" caption="Potensi Damage" attribute="1" defaultMemberUniqueName="[characters].[Potensi Damage].[All]" allUniqueName="[characters].[Potensi Damage].[All]" dimensionUniqueName="[characters]" displayFolder="" count="0" memberValueDatatype="5" unbalanced="0"/>
    <cacheHierarchy uniqueName="[characters].[Faction]" caption="Faction" attribute="1" defaultMemberUniqueName="[characters].[Faction].[All]" allUniqueName="[characters].[Faction].[All]" dimensionUniqueName="[characters]" displayFolder="" count="2" memberValueDatatype="130" unbalanced="0"/>
    <cacheHierarchy uniqueName="[characters].[Total Stat]" caption="Total Stat" attribute="1" defaultMemberUniqueName="[characters].[Total Stat].[All]" allUniqueName="[characters].[Total Stat].[All]" dimensionUniqueName="[characters]" displayFolder="" count="0" memberValueDatatype="5" unbalanced="0"/>
    <cacheHierarchy uniqueName="[characters].[Role]" caption="Role" attribute="1" defaultMemberUniqueName="[characters].[Role].[All]" allUniqueName="[characters].[Role].[All]" dimensionUniqueName="[characters]" displayFolder="" count="0" memberValueDatatype="130" unbalanced="0"/>
    <cacheHierarchy uniqueName="[characters].[Tanggal Lahir]" caption="Tanggal Lahir" attribute="1" time="1" defaultMemberUniqueName="[characters].[Tanggal Lahir].[All]" allUniqueName="[characters].[Tanggal Lahir].[All]" dimensionUniqueName="[characters]" displayFolder="" count="0" memberValueDatatype="7" unbalanced="0"/>
    <cacheHierarchy uniqueName="[characters].[Umur Akurat]" caption="Umur Akurat" attribute="1" defaultMemberUniqueName="[characters].[Umur Akurat].[All]" allUniqueName="[characters].[Umur Akurat].[All]" dimensionUniqueName="[characters]" displayFolder="" count="0" memberValueDatatype="20" unbalanced="0"/>
    <cacheHierarchy uniqueName="[characters].[Status Squad]" caption="Status Squad" attribute="1" defaultMemberUniqueName="[characters].[Status Squad].[All]" allUniqueName="[characters].[Status Squad].[All]" dimensionUniqueName="[characters]" displayFolder="" count="2" memberValueDatatype="130" unbalanced="0"/>
    <cacheHierarchy uniqueName="[Measures].[__XL_Count characters]" caption="__XL_Count characters" measure="1" displayFolder="" measureGroup="characters" count="0" hidden="1"/>
    <cacheHierarchy uniqueName="[Measures].[__No measures defined]" caption="__No measures defined" measure="1" displayFolder="" count="0" hidden="1"/>
    <cacheHierarchy uniqueName="[Measures].[Sum of Potensi Damage]" caption="Sum of Potensi Damage" measure="1" displayFolder="" measureGroup="characters" count="0" hidden="1">
      <extLst>
        <ext xmlns:x15="http://schemas.microsoft.com/office/spreadsheetml/2010/11/main" uri="{B97F6D7D-B522-45F9-BDA1-12C45D357490}">
          <x15:cacheHierarchy aggregatedColumn="16"/>
        </ext>
      </extLst>
    </cacheHierarchy>
    <cacheHierarchy uniqueName="[Measures].[Average of Potensi Damage]" caption="Average of Potensi Damage" measure="1" displayFolder="" measureGroup="characters" count="0" hidden="1">
      <extLst>
        <ext xmlns:x15="http://schemas.microsoft.com/office/spreadsheetml/2010/11/main" uri="{B97F6D7D-B522-45F9-BDA1-12C45D357490}">
          <x15:cacheHierarchy aggregatedColumn="16"/>
        </ext>
      </extLst>
    </cacheHierarchy>
    <cacheHierarchy uniqueName="[Measures].[Count of Nama Karakter]" caption="Count of Nama Karakter" measure="1" displayFolder="" measureGroup="charact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3690881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s v="INTP"/>
    <n v="23"/>
    <n v="171"/>
    <x v="0"/>
    <x v="0"/>
    <s v="Fracture Surge"/>
    <s v="Normal"/>
    <s v="Paula Lopez [INTP]"/>
    <n v="120"/>
    <n v="85"/>
    <n v="65"/>
    <n v="70"/>
    <n v="340"/>
    <s v="Balanced"/>
    <d v="2002-09-14T00:00:00"/>
    <n v="23"/>
    <x v="0"/>
  </r>
  <r>
    <x v="1"/>
    <s v="INTJ"/>
    <n v="23"/>
    <n v="175"/>
    <x v="0"/>
    <x v="0"/>
    <s v="Gravity Rend"/>
    <s v="Tinggi"/>
    <s v="Hiromi Masaki [INTJ]"/>
    <n v="130"/>
    <n v="90"/>
    <n v="75"/>
    <n v="60"/>
    <n v="355"/>
    <s v="Attacker"/>
    <d v="2002-01-19T00:00:00"/>
    <n v="24"/>
    <x v="0"/>
  </r>
  <r>
    <x v="2"/>
    <s v="ENTJ"/>
    <n v="23"/>
    <n v="172"/>
    <x v="0"/>
    <x v="0"/>
    <s v="Ruin Pulse Engine"/>
    <s v="Normal"/>
    <s v="Gillian Wiley [ENTJ]"/>
    <n v="140"/>
    <n v="88"/>
    <n v="80"/>
    <n v="65"/>
    <n v="373"/>
    <s v="Attacker"/>
    <d v="2002-07-08T00:00:00"/>
    <n v="23"/>
    <x v="1"/>
  </r>
  <r>
    <x v="3"/>
    <s v="ISTJ"/>
    <n v="23"/>
    <n v="173"/>
    <x v="0"/>
    <x v="1"/>
    <s v="Guillotine Line"/>
    <s v="Normal"/>
    <s v="Chiyo Funai [ISTJ]"/>
    <n v="135"/>
    <n v="65"/>
    <n v="90"/>
    <n v="55"/>
    <n v="345"/>
    <s v="Support"/>
    <d v="2002-01-08T00:00:00"/>
    <n v="24"/>
    <x v="2"/>
  </r>
  <r>
    <x v="4"/>
    <s v="ESTJ"/>
    <n v="23"/>
    <n v="169"/>
    <x v="0"/>
    <x v="1"/>
    <s v="Warbrand Arsenal"/>
    <s v="Normal"/>
    <s v="Shizuka Aikawa [ESTJ]"/>
    <n v="145"/>
    <n v="80"/>
    <n v="85"/>
    <n v="50"/>
    <n v="360"/>
    <s v="Balanced"/>
    <d v="2002-12-28T00:00:00"/>
    <n v="23"/>
    <x v="2"/>
  </r>
  <r>
    <x v="5"/>
    <s v="ESTP"/>
    <n v="23"/>
    <n v="180"/>
    <x v="1"/>
    <x v="2"/>
    <s v="Probability Flux / Treasure Hunter"/>
    <s v="Tinggi"/>
    <s v="Cael Dunmore [ESTP]"/>
    <n v="120"/>
    <n v="84"/>
    <n v="65"/>
    <n v="88"/>
    <n v="357"/>
    <s v="Balanced"/>
    <d v="2002-02-02T00:00:00"/>
    <n v="24"/>
    <x v="3"/>
  </r>
  <r>
    <x v="6"/>
    <s v="ENTJ"/>
    <n v="23"/>
    <n v="175"/>
    <x v="1"/>
    <x v="0"/>
    <s v="Absolute Command / General"/>
    <s v="Tinggi"/>
    <s v="Seren Ashvale [ENTJ]"/>
    <n v="135"/>
    <n v="88"/>
    <n v="80"/>
    <n v="62"/>
    <n v="365"/>
    <s v="Attacker"/>
    <d v="2002-03-24T00:00:00"/>
    <n v="24"/>
    <x v="1"/>
  </r>
  <r>
    <x v="7"/>
    <s v="INTJ"/>
    <n v="23"/>
    <n v="178"/>
    <x v="1"/>
    <x v="0"/>
    <s v="Fate Weave / Royal Advisor"/>
    <s v="Tinggi"/>
    <s v="Caius Nox [INTJ]"/>
    <n v="122"/>
    <n v="80"/>
    <n v="75"/>
    <n v="70"/>
    <n v="347"/>
    <s v="Balanced"/>
    <d v="2002-04-28T00:00:00"/>
    <n v="24"/>
    <x v="0"/>
  </r>
  <r>
    <x v="8"/>
    <s v="INFJ"/>
    <n v="23"/>
    <n v="176"/>
    <x v="1"/>
    <x v="3"/>
    <s v="Moment moment of Truth / Oracle"/>
    <s v="Tinggi"/>
    <s v="Orin Eld [INFJ]"/>
    <n v="110"/>
    <n v="70"/>
    <n v="70"/>
    <n v="65"/>
    <n v="315"/>
    <s v="Support"/>
    <d v="2002-01-17T00:00:00"/>
    <n v="24"/>
    <x v="4"/>
  </r>
  <r>
    <x v="9"/>
    <s v="ESTJ"/>
    <n v="23"/>
    <n v="175"/>
    <x v="1"/>
    <x v="1"/>
    <s v="Zone of Order / City Watch Captain"/>
    <s v="Tinggi"/>
    <s v="Kiran Sol [ESTJ]"/>
    <n v="138"/>
    <n v="82"/>
    <n v="82"/>
    <n v="58"/>
    <n v="360"/>
    <s v="Balanced"/>
    <d v="2002-05-01T00:00:00"/>
    <n v="24"/>
    <x v="2"/>
  </r>
  <r>
    <x v="10"/>
    <s v="ESFJ"/>
    <n v="23"/>
    <n v="178"/>
    <x v="1"/>
    <x v="1"/>
    <s v="Triage Field / Field Medic"/>
    <s v="Tinggi"/>
    <s v="Tobias Rey [ESFJ]"/>
    <n v="132"/>
    <n v="60"/>
    <n v="80"/>
    <n v="60"/>
    <n v="332"/>
    <s v="Support"/>
    <d v="2002-06-07T00:00:00"/>
    <n v="23"/>
    <x v="2"/>
  </r>
  <r>
    <x v="11"/>
    <s v="ISTP"/>
    <n v="22"/>
    <n v="173"/>
    <x v="0"/>
    <x v="2"/>
    <s v="Elemental Mastery"/>
    <s v="Normal"/>
    <s v="Hayami Amamiya [ISTP]"/>
    <n v="110"/>
    <n v="97"/>
    <n v="82"/>
    <n v="95"/>
    <n v="384"/>
    <s v="Attacker"/>
    <d v="2003-02-16T00:00:00"/>
    <n v="23"/>
    <x v="1"/>
  </r>
  <r>
    <x v="12"/>
    <s v="ISFP"/>
    <n v="22"/>
    <n v="165"/>
    <x v="0"/>
    <x v="2"/>
    <s v="Essence Severance"/>
    <s v="Pendek"/>
    <s v="Shiina Ishioka [ISFP]"/>
    <n v="105"/>
    <n v="80"/>
    <n v="50"/>
    <n v="90"/>
    <n v="325"/>
    <s v="Balanced"/>
    <d v="2003-03-30T00:00:00"/>
    <n v="23"/>
    <x v="3"/>
  </r>
  <r>
    <x v="13"/>
    <s v="ISFJ"/>
    <n v="22"/>
    <n v="168"/>
    <x v="0"/>
    <x v="1"/>
    <s v="Damage Reflection Lattice"/>
    <s v="Normal"/>
    <s v="Mayumi Sasaki [ISFJ]"/>
    <n v="150"/>
    <n v="55"/>
    <n v="95"/>
    <n v="45"/>
    <n v="345"/>
    <s v="Support"/>
    <d v="2003-03-06T00:00:00"/>
    <n v="23"/>
    <x v="2"/>
  </r>
  <r>
    <x v="14"/>
    <s v="ESFJ"/>
    <n v="22"/>
    <n v="167"/>
    <x v="0"/>
    <x v="1"/>
    <s v="Heartstrike Overload"/>
    <s v="Pendek"/>
    <s v="Lily Raven [ESFJ]"/>
    <n v="120"/>
    <n v="78"/>
    <n v="70"/>
    <n v="75"/>
    <n v="343"/>
    <s v="Balanced"/>
    <d v="2003-09-02T00:00:00"/>
    <n v="22"/>
    <x v="4"/>
  </r>
  <r>
    <x v="15"/>
    <s v="ENFJ"/>
    <n v="22"/>
    <n v="169"/>
    <x v="0"/>
    <x v="3"/>
    <s v="Dominion Mark"/>
    <s v="Normal"/>
    <s v="Himiko Nakayama [ENFJ]"/>
    <n v="125"/>
    <n v="72"/>
    <n v="75"/>
    <n v="70"/>
    <n v="342"/>
    <s v="Support"/>
    <d v="2003-04-21T00:00:00"/>
    <n v="23"/>
    <x v="4"/>
  </r>
  <r>
    <x v="16"/>
    <s v="INFP"/>
    <n v="22"/>
    <n v="165"/>
    <x v="0"/>
    <x v="3"/>
    <s v="Soulfire Manifestation"/>
    <s v="Pendek"/>
    <s v="Katie Olson [INFP]"/>
    <n v="105"/>
    <n v="88"/>
    <n v="55"/>
    <n v="75"/>
    <n v="323"/>
    <s v="Attacker"/>
    <d v="2003-03-12T00:00:00"/>
    <n v="23"/>
    <x v="5"/>
  </r>
  <r>
    <x v="17"/>
    <s v="ISTP"/>
    <n v="22"/>
    <n v="184"/>
    <x v="1"/>
    <x v="2"/>
    <s v="Primal Sovereign / Engineer"/>
    <s v="Tinggi"/>
    <s v="Aldric Crane [ISTP]"/>
    <n v="130"/>
    <n v="95"/>
    <n v="85"/>
    <n v="87"/>
    <n v="397"/>
    <s v="Attacker"/>
    <d v="2003-08-21T00:00:00"/>
    <n v="22"/>
    <x v="1"/>
  </r>
  <r>
    <x v="18"/>
    <s v="INTP"/>
    <n v="22"/>
    <n v="173"/>
    <x v="1"/>
    <x v="0"/>
    <s v="Runic Deconstruction / Scholar"/>
    <s v="Normal"/>
    <s v="Sylvaine Morrel [INTP]"/>
    <n v="112"/>
    <n v="92"/>
    <n v="58"/>
    <n v="68"/>
    <n v="330"/>
    <s v="Attacker"/>
    <d v="2003-01-29T00:00:00"/>
    <n v="23"/>
    <x v="0"/>
  </r>
  <r>
    <x v="19"/>
    <s v="ENFJ"/>
    <n v="22"/>
    <n v="181"/>
    <x v="1"/>
    <x v="3"/>
    <s v="Covenant Bond / Healer &amp; Diplomat"/>
    <s v="Tinggi"/>
    <s v="Rhen Caen [ENFJ]"/>
    <n v="140"/>
    <n v="65"/>
    <n v="85"/>
    <n v="55"/>
    <n v="345"/>
    <s v="Support"/>
    <d v="2003-05-16T00:00:00"/>
    <n v="23"/>
    <x v="2"/>
  </r>
  <r>
    <x v="20"/>
    <s v="ISTJ"/>
    <n v="22"/>
    <n v="179"/>
    <x v="1"/>
    <x v="1"/>
    <s v="Archive of Blades / Guild Archivist"/>
    <s v="Tinggi"/>
    <s v="Dorian Penn [ISTJ]"/>
    <n v="128"/>
    <n v="80"/>
    <n v="78"/>
    <n v="64"/>
    <n v="350"/>
    <s v="Balanced"/>
    <d v="2003-03-04T00:00:00"/>
    <n v="23"/>
    <x v="4"/>
  </r>
  <r>
    <x v="21"/>
    <s v="ENTP"/>
    <n v="21"/>
    <n v="168"/>
    <x v="0"/>
    <x v="0"/>
    <s v="Adaptive Mutation"/>
    <s v="Normal"/>
    <s v="Mica Dwyer [ENTP]"/>
    <n v="115"/>
    <n v="75"/>
    <n v="70"/>
    <n v="85"/>
    <n v="345"/>
    <s v="Balanced"/>
    <d v="2004-06-11T00:00:00"/>
    <n v="21"/>
    <x v="0"/>
  </r>
  <r>
    <x v="22"/>
    <s v="ESTP"/>
    <n v="21"/>
    <n v="171"/>
    <x v="0"/>
    <x v="2"/>
    <s v="Combat Escalation Law"/>
    <s v="Normal"/>
    <s v="Shaye Kaylen [ESTP]"/>
    <n v="125"/>
    <n v="87"/>
    <n v="65"/>
    <n v="80"/>
    <n v="357"/>
    <s v="Balanced"/>
    <d v="2004-07-30T00:00:00"/>
    <n v="21"/>
    <x v="5"/>
  </r>
  <r>
    <x v="23"/>
    <s v="ESFP"/>
    <n v="21"/>
    <n v="167"/>
    <x v="0"/>
    <x v="2"/>
    <s v="Sensory Collapse Domain"/>
    <s v="Pendek"/>
    <s v="Theresa Felix [ESFP]"/>
    <n v="115"/>
    <n v="70"/>
    <n v="55"/>
    <n v="85"/>
    <n v="325"/>
    <s v="Support"/>
    <d v="2004-07-14T00:00:00"/>
    <n v="21"/>
    <x v="3"/>
  </r>
  <r>
    <x v="24"/>
    <s v="INFJ"/>
    <n v="21"/>
    <n v="166"/>
    <x v="0"/>
    <x v="3"/>
    <s v="Emotional Vectoring"/>
    <s v="Pendek"/>
    <s v="Sonia Spade [INFJ]"/>
    <n v="110"/>
    <n v="60"/>
    <n v="65"/>
    <n v="80"/>
    <n v="315"/>
    <s v="Support"/>
    <d v="2004-02-27T00:00:00"/>
    <n v="22"/>
    <x v="4"/>
  </r>
  <r>
    <x v="25"/>
    <s v="ENFP"/>
    <n v="21"/>
    <n v="167"/>
    <x v="0"/>
    <x v="3"/>
    <s v="Dimensional Phase Shifting"/>
    <s v="Pendek"/>
    <s v="Emily Caddel [ENFP]"/>
    <n v="110"/>
    <n v="75"/>
    <n v="60"/>
    <n v="90"/>
    <n v="335"/>
    <s v="Balanced"/>
    <d v="2004-05-18T00:00:00"/>
    <n v="22"/>
    <x v="3"/>
  </r>
  <r>
    <x v="26"/>
    <s v="ESFP"/>
    <n v="21"/>
    <n v="168"/>
    <x v="1"/>
    <x v="2"/>
    <s v="Resonant Aria / Performer"/>
    <s v="Normal"/>
    <s v="Mara Solene [ESFP]"/>
    <n v="115"/>
    <n v="70"/>
    <n v="60"/>
    <n v="82"/>
    <n v="327"/>
    <s v="Support"/>
    <d v="2004-03-25T00:00:00"/>
    <n v="22"/>
    <x v="6"/>
  </r>
  <r>
    <x v="27"/>
    <s v="ISFP"/>
    <n v="21"/>
    <n v="170"/>
    <x v="1"/>
    <x v="2"/>
    <s v="Living Canvas / Cartographer"/>
    <s v="Normal"/>
    <s v="Luno Bright [ISFP]"/>
    <n v="110"/>
    <n v="75"/>
    <n v="65"/>
    <n v="75"/>
    <n v="325"/>
    <s v="Balanced"/>
    <d v="2004-07-12T00:00:00"/>
    <n v="21"/>
    <x v="6"/>
  </r>
  <r>
    <x v="28"/>
    <s v="ENTP"/>
    <n v="21"/>
    <n v="180"/>
    <x v="1"/>
    <x v="0"/>
    <s v="Transmutation Aura / Alchemist"/>
    <s v="Tinggi"/>
    <s v="Zivan Holt [ENTP]"/>
    <n v="118"/>
    <n v="85"/>
    <n v="70"/>
    <n v="75"/>
    <n v="348"/>
    <s v="Balanced"/>
    <d v="2004-11-09T00:00:00"/>
    <n v="21"/>
    <x v="0"/>
  </r>
  <r>
    <x v="29"/>
    <s v="ENFP"/>
    <n v="21"/>
    <n v="167"/>
    <x v="1"/>
    <x v="3"/>
    <s v="Momentum Surge / Knight-Errant"/>
    <s v="Pendek"/>
    <s v="Mira Vane [ENFP]"/>
    <n v="125"/>
    <n v="83"/>
    <n v="67"/>
    <n v="80"/>
    <n v="355"/>
    <s v="Balanced"/>
    <d v="2004-05-04T00:00:00"/>
    <n v="22"/>
    <x v="5"/>
  </r>
  <r>
    <x v="30"/>
    <s v="INFP"/>
    <n v="21"/>
    <n v="168"/>
    <x v="1"/>
    <x v="3"/>
    <s v="Verdant Wrath / Forest Herbalist"/>
    <s v="Normal"/>
    <s v="Elara Moss [INFP]"/>
    <n v="115"/>
    <n v="76"/>
    <n v="62"/>
    <n v="72"/>
    <n v="325"/>
    <s v="Balanced"/>
    <d v="2004-09-18T00:00:00"/>
    <n v="21"/>
    <x v="4"/>
  </r>
  <r>
    <x v="31"/>
    <s v="ISFJ"/>
    <n v="21"/>
    <n v="168"/>
    <x v="1"/>
    <x v="1"/>
    <s v="Memory Palace / Librarian Assistant"/>
    <s v="Normal"/>
    <s v="Nora Voss [ISFJ]"/>
    <n v="120"/>
    <n v="55"/>
    <n v="85"/>
    <n v="55"/>
    <n v="315"/>
    <s v="Support"/>
    <d v="2004-02-11T00:00:00"/>
    <n v="2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   SQUAD-A-2022   "/>
    <s v="  kAeL dUnMoRe  "/>
    <d v="2022-12-15T00:00:00"/>
    <n v="95"/>
    <x v="0"/>
    <x v="0"/>
    <n v="1263"/>
    <x v="0"/>
  </r>
  <r>
    <s v="SQUAD-B-2023"/>
    <s v="  pAuLa lOpEz  "/>
    <d v="2023-04-22T00:00:00"/>
    <n v="88"/>
    <x v="1"/>
    <x v="1"/>
    <n v="1135"/>
    <x v="1"/>
  </r>
  <r>
    <s v="  SQUAD-A-2024   "/>
    <s v="hiromi MASAKI"/>
    <d v="2024-08-19T00:00:00"/>
    <n v="92"/>
    <x v="2"/>
    <x v="0"/>
    <n v="650"/>
    <x v="1"/>
  </r>
  <r>
    <s v="SQUAD-C-2023"/>
    <s v="   gIlLiAn WiLeY   "/>
    <d v="2023-05-11T00:00:00"/>
    <n v="84"/>
    <x v="3"/>
    <x v="2"/>
    <n v="1116"/>
    <x v="2"/>
  </r>
  <r>
    <s v="  SQUAD-B-2025   "/>
    <s v="  hAyAmI aMaMiYa  "/>
    <d v="2025-02-14T00:00:00"/>
    <n v="97"/>
    <x v="4"/>
    <x v="1"/>
    <n v="471"/>
    <x v="1"/>
  </r>
  <r>
    <s v="SQUAD-A-2023"/>
    <s v="aldric CRANE   "/>
    <d v="2023-07-30T00:00:00"/>
    <n v="89"/>
    <x v="5"/>
    <x v="0"/>
    <n v="1036"/>
    <x v="1"/>
  </r>
  <r>
    <s v="  SQUAD-C-2024   "/>
    <s v="   sHiInA iShIoKa"/>
    <d v="2024-12-05T00:00:00"/>
    <n v="78"/>
    <x v="6"/>
    <x v="2"/>
    <n v="542"/>
    <x v="2"/>
  </r>
  <r>
    <s v="SQUAD-B-2022"/>
    <s v="  mArA sOlEnE  "/>
    <d v="2022-01-10T00:00:00"/>
    <n v="82"/>
    <x v="7"/>
    <x v="1"/>
    <n v="1602"/>
    <x v="2"/>
  </r>
  <r>
    <s v="  SQUAD-A-2025   "/>
    <s v="lUnO bRiGhT   "/>
    <d v="2025-01-28T00:00:00"/>
    <n v="85"/>
    <x v="8"/>
    <x v="0"/>
    <n v="488"/>
    <x v="1"/>
  </r>
  <r>
    <s v="SQUAD-C-2025"/>
    <s v="  zIvAn hOlT  "/>
    <d v="2025-06-18T00:00:00"/>
    <n v="91"/>
    <x v="9"/>
    <x v="2"/>
    <n v="34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A72331-DF69-498E-9882-935ABFE115A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Rata-rata Potensi Damage" fld="1" subtotal="average" baseField="0" baseItem="0"/>
    <dataField name="Jumlah Personel"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Rata-rata Potensi Damage"/>
    <pivotHierarchy dragToData="1" caption="Jumlah Personel"/>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actice with Gemini.xlsx!characters">
        <x15:activeTabTopLevelEntity name="[charac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C98430-F48D-454F-87CB-475800B849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0" firstHeaderRow="0" firstDataRow="1" firstDataCol="1"/>
  <pivotFields count="18">
    <pivotField axis="axisRow" dataField="1" showAll="0">
      <items count="33">
        <item x="17"/>
        <item x="5"/>
        <item x="7"/>
        <item x="3"/>
        <item x="20"/>
        <item x="30"/>
        <item x="25"/>
        <item x="2"/>
        <item x="11"/>
        <item x="15"/>
        <item x="1"/>
        <item x="16"/>
        <item x="9"/>
        <item x="14"/>
        <item x="27"/>
        <item x="26"/>
        <item x="13"/>
        <item x="21"/>
        <item x="29"/>
        <item x="31"/>
        <item x="8"/>
        <item x="0"/>
        <item x="19"/>
        <item x="6"/>
        <item x="22"/>
        <item x="12"/>
        <item x="4"/>
        <item x="24"/>
        <item x="18"/>
        <item x="23"/>
        <item x="10"/>
        <item x="28"/>
        <item t="default"/>
      </items>
    </pivotField>
    <pivotField showAll="0"/>
    <pivotField dataField="1" showAll="0"/>
    <pivotField dataField="1" showAll="0"/>
    <pivotField showAll="0">
      <items count="3">
        <item x="1"/>
        <item x="0"/>
        <item t="default"/>
      </items>
    </pivotField>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showAll="0"/>
    <pivotField numFmtId="14" showAll="0"/>
    <pivotField numFmtId="164" showAll="0"/>
    <pivotField showAll="0">
      <items count="8">
        <item h="1" x="5"/>
        <item h="1" x="3"/>
        <item h="1" x="6"/>
        <item h="1" x="4"/>
        <item x="1"/>
        <item h="1" x="0"/>
        <item h="1" x="2"/>
        <item t="default"/>
      </items>
    </pivotField>
  </pivotFields>
  <rowFields count="2">
    <field x="5"/>
    <field x="0"/>
  </rowFields>
  <rowItems count="7">
    <i>
      <x/>
    </i>
    <i r="1">
      <x v="7"/>
    </i>
    <i r="1">
      <x v="23"/>
    </i>
    <i>
      <x v="2"/>
    </i>
    <i r="1">
      <x/>
    </i>
    <i r="1">
      <x v="8"/>
    </i>
    <i t="grand">
      <x/>
    </i>
  </rowItems>
  <colFields count="1">
    <field x="-2"/>
  </colFields>
  <colItems count="3">
    <i>
      <x/>
    </i>
    <i i="1">
      <x v="1"/>
    </i>
    <i i="2">
      <x v="2"/>
    </i>
  </colItems>
  <dataFields count="3">
    <dataField name="Average of Height (cm)" fld="3" subtotal="average" baseField="0" baseItem="6"/>
    <dataField name="Average of Age" fld="2" subtotal="average" baseField="0" baseItem="6"/>
    <dataField name="Count of Characters" fld="0" subtotal="count" baseField="0" baseItem="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3F9B10-A8CD-410F-9F87-7D794CF22C4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41" firstHeaderRow="1" firstDataRow="1" firstDataCol="1"/>
  <pivotFields count="8">
    <pivotField showAll="0"/>
    <pivotField showAll="0"/>
    <pivotField numFmtId="14" showAll="0"/>
    <pivotField dataField="1" showAll="0"/>
    <pivotField axis="axisRow" showAll="0">
      <items count="11">
        <item x="5"/>
        <item x="3"/>
        <item x="4"/>
        <item x="2"/>
        <item x="0"/>
        <item x="8"/>
        <item x="7"/>
        <item x="1"/>
        <item x="6"/>
        <item x="9"/>
        <item t="default"/>
      </items>
    </pivotField>
    <pivotField showAll="0">
      <items count="4">
        <item x="0"/>
        <item x="1"/>
        <item x="2"/>
        <item t="default"/>
      </items>
    </pivotField>
    <pivotField numFmtId="165" showAll="0"/>
    <pivotField showAll="0">
      <items count="4">
        <item x="2"/>
        <item x="0"/>
        <item x="1"/>
        <item t="default"/>
      </items>
    </pivotField>
  </pivotFields>
  <rowFields count="1">
    <field x="4"/>
  </rowFields>
  <rowItems count="11">
    <i>
      <x/>
    </i>
    <i>
      <x v="1"/>
    </i>
    <i>
      <x v="2"/>
    </i>
    <i>
      <x v="3"/>
    </i>
    <i>
      <x v="4"/>
    </i>
    <i>
      <x v="5"/>
    </i>
    <i>
      <x v="6"/>
    </i>
    <i>
      <x v="7"/>
    </i>
    <i>
      <x v="8"/>
    </i>
    <i>
      <x v="9"/>
    </i>
    <i t="grand">
      <x/>
    </i>
  </rowItems>
  <colItems count="1">
    <i/>
  </colItems>
  <dataFields count="1">
    <dataField name="Rata-rata Kekuatan Fisik" fld="3"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01D992-EC0E-432C-A62F-3E67BD03AB3D}" autoFormatId="16" applyNumberFormats="0" applyBorderFormats="0" applyFontFormats="0" applyPatternFormats="0" applyAlignmentFormats="0" applyWidthHeightFormats="0">
  <queryTableRefresh nextId="27" unboundColumnsRight="16">
    <queryTableFields count="23">
      <queryTableField id="1" name="Nama Karakter" tableColumnId="1"/>
      <queryTableField id="2" name="MBTI" tableColumnId="2"/>
      <queryTableField id="3" name="Umur" tableColumnId="3"/>
      <queryTableField id="4" name="Tinggi (cm)" tableColumnId="4"/>
      <queryTableField id="5" name="Grup" tableColumnId="5"/>
      <queryTableField id="6" name="Sub-Kelompok" tableColumnId="6"/>
      <queryTableField id="7" name="Role / Kekuatan Utama" tableColumnId="7"/>
      <queryTableField id="8" dataBound="0" tableColumnId="8"/>
      <queryTableField id="9" dataBound="0" tableColumnId="10"/>
      <queryTableField id="10" dataBound="0" tableColumnId="11"/>
      <queryTableField id="11" dataBound="0" tableColumnId="12"/>
      <queryTableField id="12" dataBound="0" tableColumnId="13"/>
      <queryTableField id="13" dataBound="0" tableColumnId="14"/>
      <queryTableField id="25" dataBound="0" tableColumnId="22"/>
      <queryTableField id="24" dataBound="0" tableColumnId="20"/>
      <queryTableField id="23" dataBound="0" tableColumnId="19"/>
      <queryTableField id="26" dataBound="0" tableColumnId="23"/>
      <queryTableField id="22" dataBound="0" tableColumnId="9"/>
      <queryTableField id="14" dataBound="0" tableColumnId="15"/>
      <queryTableField id="15" dataBound="0" tableColumnId="16"/>
      <queryTableField id="16" dataBound="0" tableColumnId="17"/>
      <queryTableField id="17" dataBound="0" tableColumnId="18"/>
      <queryTableField id="20" dataBound="0"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F630839E-95E5-4AFD-B307-C3D05902B42F}" autoFormatId="16" applyNumberFormats="0" applyBorderFormats="0" applyFontFormats="0" applyPatternFormats="0" applyAlignmentFormats="0" applyWidthHeightFormats="0">
  <queryTableRefresh nextId="10" unboundColumnsRight="4">
    <queryTableFields count="9">
      <queryTableField id="1" name="Nama Karakter" tableColumnId="1"/>
      <queryTableField id="2" name="HP" tableColumnId="2"/>
      <queryTableField id="3" name="ATK" tableColumnId="3"/>
      <queryTableField id="4" name="DEF" tableColumnId="4"/>
      <queryTableField id="5" name="SPD"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24A21D4A-F223-471D-9ACF-EC65793F956F}" autoFormatId="16" applyNumberFormats="0" applyBorderFormats="0" applyFontFormats="0" applyPatternFormats="0" applyAlignmentFormats="0" applyWidthHeightFormats="0">
  <queryTableRefresh nextId="7" unboundColumnsRight="4">
    <queryTableFields count="6">
      <queryTableField id="1" name="Column1" tableColumnId="1"/>
      <queryTableField id="2" name="Column2" tableColumnId="2"/>
      <queryTableField id="3" dataBound="0" tableColumnId="3"/>
      <queryTableField id="4" dataBound="0" tableColumnId="4"/>
      <queryTableField id="5" dataBound="0" tableColumnId="5"/>
      <queryTableField id="6" dataBound="0"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2650C300-1CDC-4804-9E91-ABBE38BC214F}" autoFormatId="16" applyNumberFormats="0" applyBorderFormats="0" applyFontFormats="0" applyPatternFormats="0" applyAlignmentFormats="0" applyWidthHeightFormats="0">
  <queryTableRefresh nextId="7" unboundColumnsRight="3">
    <queryTableFields count="6">
      <queryTableField id="1" name="Column1" tableColumnId="1"/>
      <queryTableField id="2" name="Column2" tableColumnId="2"/>
      <queryTableField id="3" name="Column3" tableColumnId="3"/>
      <queryTableField id="4" dataBound="0" tableColumnId="4"/>
      <queryTableField id="5" dataBound="0"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up" xr10:uid="{38484993-95D5-4472-A49D-3169A6F2ACBC}" sourceName="Grup">
  <pivotTables>
    <pivotTable tabId="14" name="PivotTable4"/>
  </pivotTables>
  <data>
    <tabular pivotCacheId="3124885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Squad" xr10:uid="{A6F8CE7D-4B1A-4DA3-BD13-D210787141D9}" sourceName="Status Squad">
  <pivotTables>
    <pivotTable tabId="14" name="PivotTable4"/>
  </pivotTables>
  <data>
    <tabular pivotCacheId="31248856">
      <items count="7">
        <i x="5"/>
        <i x="3"/>
        <i x="6"/>
        <i x="4"/>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de_Squad" xr10:uid="{73662C9E-5D5D-47E0-B0FA-58169E3B0F2A}" sourceName="Kode Squad">
  <pivotTables>
    <pivotTable tabId="8" name="PivotTable1"/>
  </pivotTables>
  <data>
    <tabular pivotCacheId="73685102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Tempur" xr10:uid="{E12F5C8E-4A6B-496D-A3E0-AB8E10EF751C}" sourceName="Kategori Tempur">
  <pivotTables>
    <pivotTable tabId="8" name="PivotTable1"/>
  </pivotTables>
  <data>
    <tabular pivotCacheId="736851021">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tion" xr10:uid="{A9ED3557-7BD5-40F6-8EB8-9A78FA35B8FE}" sourceName="[characters].[Faction]">
  <pivotTables>
    <pivotTable tabId="18" name="PivotTable7"/>
  </pivotTables>
  <data>
    <olap pivotCacheId="1736908813">
      <levels count="2">
        <level uniqueName="[characters].[Faction].[(All)]" sourceCaption="(All)" count="0"/>
        <level uniqueName="[characters].[Faction].[Faction]" sourceCaption="Faction" count="4">
          <ranges>
            <range startItem="0">
              <i n="[characters].[Faction].&amp;[Eastern Sunrise]" c="Eastern Sunrise"/>
              <i n="[characters].[Faction].&amp;[Northern Tundra]" c="Northern Tundra"/>
              <i n="[characters].[Faction].&amp;[Southern Isles]" c="Southern Isles"/>
              <i n="[characters].[Faction].&amp;[Western Citadel]" c="Western Citadel"/>
            </range>
          </ranges>
        </level>
      </levels>
      <selections count="1">
        <selection n="[characters].[Fact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Squad1" xr10:uid="{76F24F8B-0B44-48A8-ADFF-79B8C082ED29}" sourceName="[characters].[Status Squad]">
  <pivotTables>
    <pivotTable tabId="18" name="PivotTable7"/>
  </pivotTables>
  <data>
    <olap pivotCacheId="1736908813">
      <levels count="2">
        <level uniqueName="[characters].[Status Squad].[(All)]" sourceCaption="(All)" count="0"/>
        <level uniqueName="[characters].[Status Squad].[Status Squad]" sourceCaption="Status Squad" count="7">
          <ranges>
            <range startItem="0">
              <i n="[characters].[Status Squad].&amp;[Brawler]" c="Brawler"/>
              <i n="[characters].[Status Squad].&amp;[Elite Spy]" c="Elite Spy"/>
              <i n="[characters].[Status Squad].&amp;[Ranger]" c="Ranger"/>
              <i n="[characters].[Status Squad].&amp;[Reguler]" c="Reguler"/>
              <i n="[characters].[Status Squad].&amp;[Squad Inti]" c="Squad Inti"/>
              <i n="[characters].[Status Squad].&amp;[Tactician]" c="Tactician"/>
              <i n="[characters].[Status Squad].&amp;[Tanker]" c="Tanker"/>
            </range>
          </ranges>
        </level>
      </levels>
      <selections count="1">
        <selection n="[characters].[Status Squa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Kelompok" xr10:uid="{652DE124-063B-4298-94C2-065658C0419E}" sourceName="[characters].[Sub-Kelompok]">
  <pivotTables>
    <pivotTable tabId="18" name="PivotTable7"/>
  </pivotTables>
  <data>
    <olap pivotCacheId="1736908813">
      <levels count="2">
        <level uniqueName="[characters].[Sub-Kelompok].[(All)]" sourceCaption="(All)" count="0"/>
        <level uniqueName="[characters].[Sub-Kelompok].[Sub-Kelompok]" sourceCaption="Sub-Kelompok" count="4">
          <ranges>
            <range startItem="0">
              <i n="[characters].[Sub-Kelompok].&amp;[The Analysts]" c="The Analysts"/>
              <i n="[characters].[Sub-Kelompok].&amp;[The Diplomats]" c="The Diplomats"/>
              <i n="[characters].[Sub-Kelompok].&amp;[The Explorers]" c="The Explorers"/>
              <i n="[characters].[Sub-Kelompok].&amp;[The Sentinels]" c="The Sentinels"/>
            </range>
          </ranges>
        </level>
      </levels>
      <selections count="1">
        <selection n="[characters].[Sub-Kelompok].[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tion" xr10:uid="{68413DCB-D3F7-4346-AAF3-3A1F522874F7}" cache="Slicer_Faction" caption="Faction" level="1" rowHeight="234950"/>
  <slicer name="Status Squad 1" xr10:uid="{3C663A13-79B3-49E1-A99E-79FFD3C2986A}" cache="Slicer_Status_Squad1" caption="Status Squad" level="1" rowHeight="234950"/>
  <slicer name="Sub-Kelompok" xr10:uid="{BD384A12-4F83-46D6-BA06-B6F26D5A9F32}" cache="Slicer_Sub_Kelompok" caption="Sub-Kelompok"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up" xr10:uid="{0BBEB872-325A-4642-A36F-B6260826C183}" cache="Slicer_Grup" caption="Grup" style="SlicerStyleOther2" rowHeight="234950"/>
  <slicer name="Status Squad" xr10:uid="{32A38784-D00C-4FB5-945A-4FB56D89BB70}" cache="Slicer_Status_Squad" caption="Status Squad"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ode Squad" xr10:uid="{91AC7A01-89E0-4C65-9199-6FB1C5DF741B}" cache="Slicer_Kode_Squad" caption="Kode Squad" style="SlicerStyleLight5" rowHeight="234950"/>
  <slicer name="Kategori Tempur" xr10:uid="{E310C2F4-3EA9-4A0F-B42D-60CD7551C4EA}" cache="Slicer_Kategori_Tempur" caption="Kategori Tempur" style="SlicerStyleLight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046CC1-E7D4-4B64-86DA-26342A497420}" name="characters" displayName="characters" ref="A1:W33" tableType="queryTable" totalsRowShown="0" headerRowDxfId="67" dataDxfId="66">
  <autoFilter ref="A1:W33" xr:uid="{F7046CC1-E7D4-4B64-86DA-26342A497420}"/>
  <sortState xmlns:xlrd2="http://schemas.microsoft.com/office/spreadsheetml/2017/richdata2" ref="A2:U33">
    <sortCondition descending="1" ref="C1:C33"/>
  </sortState>
  <tableColumns count="23">
    <tableColumn id="1" xr3:uid="{A985ED6C-E7CE-442E-BEE7-F82F6D23BA6C}" uniqueName="1" name="Nama Karakter" queryTableFieldId="1" dataDxfId="65"/>
    <tableColumn id="2" xr3:uid="{10CB05EF-84EC-49D3-8183-AEFCD1873D72}" uniqueName="2" name="MBTI" queryTableFieldId="2" dataDxfId="64"/>
    <tableColumn id="3" xr3:uid="{E8DEBFD8-50C6-48F1-80EF-F512988F6A4D}" uniqueName="3" name="Umur" queryTableFieldId="3" dataDxfId="63"/>
    <tableColumn id="4" xr3:uid="{9A932110-71CE-4718-8C16-E1730840EB2D}" uniqueName="4" name="Tinggi (cm)" queryTableFieldId="4" dataDxfId="62"/>
    <tableColumn id="5" xr3:uid="{54511053-23E6-4A42-A5FA-6FCD2F44D094}" uniqueName="5" name="Grup" queryTableFieldId="5" dataDxfId="61"/>
    <tableColumn id="6" xr3:uid="{C328C482-6111-4207-94D0-0178273D050F}" uniqueName="6" name="Sub-Kelompok" queryTableFieldId="6" dataDxfId="60"/>
    <tableColumn id="7" xr3:uid="{84E5D202-E1D7-4C14-A074-F7B87A4D948C}" uniqueName="7" name="Role / Kekuatan Utama" queryTableFieldId="7" dataDxfId="59"/>
    <tableColumn id="8" xr3:uid="{5209D3B2-FBF1-43C4-8C53-641F3AE42069}" uniqueName="8" name="Kategori Tinggi" queryTableFieldId="8" dataDxfId="58">
      <calculatedColumnFormula>IF(characters[[#This Row],[Tinggi (cm)]]&gt;=175, "Tinggi", IF(characters[[#This Row],[Tinggi (cm)]]&gt;=168, "Normal", "Pendek"))</calculatedColumnFormula>
    </tableColumn>
    <tableColumn id="10" xr3:uid="{ECBB227A-E3DD-4226-888F-6FE3D8391C2D}" uniqueName="10" name="ID Karakter" queryTableFieldId="9" dataDxfId="57">
      <calculatedColumnFormula>characters[[#This Row],[Nama Karakter]] &amp; " [" &amp; B2 &amp; "]"</calculatedColumnFormula>
    </tableColumn>
    <tableColumn id="11" xr3:uid="{1C239828-89B1-4432-80F9-933D45E4BE87}" uniqueName="11" name="HP" queryTableFieldId="10" dataDxfId="56">
      <calculatedColumnFormula>VLOOKUP(characters[[#This Row],[Nama Karakter]],Stats_Data[],2,FALSE)</calculatedColumnFormula>
    </tableColumn>
    <tableColumn id="12" xr3:uid="{53DE81F6-552B-4CE5-B3C3-72FCFE9FBBE1}" uniqueName="12" name="ATK" queryTableFieldId="11" dataDxfId="55">
      <calculatedColumnFormula>VLOOKUP(characters[[#This Row],[Nama Karakter]],Stats_Data[],3,FALSE)</calculatedColumnFormula>
    </tableColumn>
    <tableColumn id="13" xr3:uid="{E20AA501-BC73-49C4-975F-0734A302F89E}" uniqueName="13" name="DEF" queryTableFieldId="12" dataDxfId="54">
      <calculatedColumnFormula>VLOOKUP(characters[[#This Row],[Nama Karakter]],Stats_Data[],4,FALSE)</calculatedColumnFormula>
    </tableColumn>
    <tableColumn id="14" xr3:uid="{FE09CB58-FE7B-44DD-A73F-C2D3DA40C9DB}" uniqueName="14" name="SPD" queryTableFieldId="13" dataDxfId="53">
      <calculatedColumnFormula>VLOOKUP(characters[[#This Row],[Nama Karakter]],Stats_Data[],5,FALSE)</calculatedColumnFormula>
    </tableColumn>
    <tableColumn id="22" xr3:uid="{B0290E7C-C574-4769-BE63-B37337A5BFCE}" uniqueName="22" name="Crit Rate" queryTableFieldId="25" dataDxfId="52">
      <calculatedColumnFormula>VLOOKUP(characters[[#This Row],[Nama Karakter]],Stats_Data[],6, FALSE)</calculatedColumnFormula>
    </tableColumn>
    <tableColumn id="20" xr3:uid="{024276AB-D3CA-4785-BD76-4DF1C7BE121C}" uniqueName="20" name="MP" queryTableFieldId="24" dataDxfId="51">
      <calculatedColumnFormula>VLOOKUP(characters[[#This Row],[Nama Karakter]],Stats_Data[],7, FALSE)</calculatedColumnFormula>
    </tableColumn>
    <tableColumn id="19" xr3:uid="{3141E386-5169-49F3-AF93-89F9720FCA8E}" uniqueName="19" name="Win Rate" queryTableFieldId="23" dataDxfId="50">
      <calculatedColumnFormula>VLOOKUP(characters[[#This Row],[Nama Karakter]],Stats_Data[],8, FALSE)</calculatedColumnFormula>
    </tableColumn>
    <tableColumn id="23" xr3:uid="{3C6D7CE8-5FE0-407E-BDAE-2A15B6534937}" uniqueName="23" name="Potensi Damage" queryTableFieldId="26" dataDxfId="49">
      <calculatedColumnFormula>characters[[#This Row],[ATK]]*(1+characters[[#This Row],[Crit Rate]])</calculatedColumnFormula>
    </tableColumn>
    <tableColumn id="9" xr3:uid="{8C972B3D-814C-4CFA-BE66-51BE726B855A}" uniqueName="9" name="Faction" queryTableFieldId="22" dataDxfId="48">
      <calculatedColumnFormula>VLOOKUP(characters[[#This Row],[Nama Karakter]],Stats_Data[],9, FALSE)</calculatedColumnFormula>
    </tableColumn>
    <tableColumn id="15" xr3:uid="{F54ED671-CE4E-4E54-983F-666CDDD61A02}" uniqueName="15" name="Total Stat" queryTableFieldId="14" dataDxfId="47">
      <calculatedColumnFormula>SUM(characters[[#This Row],[HP]:[Win Rate]])</calculatedColumnFormula>
    </tableColumn>
    <tableColumn id="16" xr3:uid="{38AE70EB-11BC-41A2-A878-B42EA61295A4}" uniqueName="16" name="Role" queryTableFieldId="15" dataDxfId="46">
      <calculatedColumnFormula>IF(characters[[#This Row],[ATK]]&gt;=88, "Attacker", IF(characters[[#This Row],[ATK]]&gt;=75, "Balanced", "Support"))</calculatedColumnFormula>
    </tableColumn>
    <tableColumn id="17" xr3:uid="{69BDF507-9402-4881-822B-2DB9E8F602D2}" uniqueName="17" name="Tanggal Lahir" queryTableFieldId="16" dataDxfId="45"/>
    <tableColumn id="18" xr3:uid="{2C7B55D2-6792-43F3-8CA1-DE0A4DDB324B}" uniqueName="18" name="Umur Akurat" queryTableFieldId="17" dataDxfId="44">
      <calculatedColumnFormula>(DATEDIF(characters[[#This Row],[Tanggal Lahir]],TODAY(), "Y"))</calculatedColumnFormula>
    </tableColumn>
    <tableColumn id="21" xr3:uid="{3A82BB65-412A-4620-952F-42C2D70BBB90}" uniqueName="21" name="Status Squad" queryTableFieldId="20" dataDxfId="43">
      <calculatedColumnFormula array="1">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calculatedColumnFormula>
    </tableColumn>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718C30-C2D6-4EE5-931C-5571AF654FCE}" name="Stats_Data" displayName="Stats_Data" ref="A1:I33" tableType="queryTable" totalsRowShown="0" headerRowDxfId="42" dataDxfId="41">
  <autoFilter ref="A1:I33" xr:uid="{FD718C30-C2D6-4EE5-931C-5571AF654FCE}"/>
  <sortState xmlns:xlrd2="http://schemas.microsoft.com/office/spreadsheetml/2017/richdata2" ref="A2:I33">
    <sortCondition descending="1" ref="C1:C33"/>
  </sortState>
  <tableColumns count="9">
    <tableColumn id="1" xr3:uid="{D23AEC41-FB1E-4A6C-B392-0E30F23665AA}" uniqueName="1" name="Nama Karakter" queryTableFieldId="1" dataDxfId="40"/>
    <tableColumn id="2" xr3:uid="{932F03C0-9485-4261-9352-2A57DF1C4552}" uniqueName="2" name="HP" queryTableFieldId="2" dataDxfId="39"/>
    <tableColumn id="3" xr3:uid="{2A08E918-9406-4923-BF6D-502230A19F67}" uniqueName="3" name="ATK" queryTableFieldId="3" dataDxfId="38"/>
    <tableColumn id="4" xr3:uid="{88A6C3D3-2999-4A16-8314-EFDF83DBE16D}" uniqueName="4" name="DEF" queryTableFieldId="4" dataDxfId="37"/>
    <tableColumn id="5" xr3:uid="{75D81FDD-D9A2-4C16-90E6-56FF914D1DAB}" uniqueName="5" name="SPD" queryTableFieldId="5" dataDxfId="36"/>
    <tableColumn id="6" xr3:uid="{A8BEF426-BFB4-434D-96D3-9ABD4165CBC6}" uniqueName="6" name="CRIT Rate" queryTableFieldId="6" dataDxfId="35"/>
    <tableColumn id="7" xr3:uid="{90B8CBB0-FC8D-4A4E-A50C-207D592EB06C}" uniqueName="7" name="MP" queryTableFieldId="7" dataDxfId="34"/>
    <tableColumn id="8" xr3:uid="{0CD220F9-FD2E-45CC-B7C8-AFD5EDC3D3D5}" uniqueName="8" name="Win Rate" queryTableFieldId="8" dataDxfId="33"/>
    <tableColumn id="9" xr3:uid="{18CA0229-99BE-45DE-BCD8-B137C78BE060}" uniqueName="9" name="Faksi Wilayah" queryTableFieldId="9" dataDxfId="3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BDC636-8CA9-4070-8ACC-0491DC0DA2AA}" name="latihan_cleaning__2" displayName="latihan_cleaning__2" ref="A1:F33" tableType="queryTable" totalsRowShown="0" headerRowDxfId="31" dataDxfId="30">
  <autoFilter ref="A1:F33" xr:uid="{87BDC636-8CA9-4070-8ACC-0491DC0DA2AA}"/>
  <tableColumns count="6">
    <tableColumn id="1" xr3:uid="{C4C92759-5590-40FB-9ADE-16A5EDD61AB0}" uniqueName="1" name="Kode Mentah" queryTableFieldId="1" dataDxfId="29"/>
    <tableColumn id="2" xr3:uid="{19A7DDDD-3C5D-419B-863D-F79A2F9466D5}" uniqueName="2" name="Nama Berantakan" queryTableFieldId="2" dataDxfId="28"/>
    <tableColumn id="3" xr3:uid="{F3B5C903-305C-47AB-84CB-096D78BB34F8}" uniqueName="3" name="Nama Bersih" queryTableFieldId="3" dataDxfId="27">
      <calculatedColumnFormula>PROPER(TRIM(B2))</calculatedColumnFormula>
    </tableColumn>
    <tableColumn id="4" xr3:uid="{BDE00F9A-71CA-49ED-A5E6-7EF6BA6A1076}" uniqueName="4" name="Ekstrak Angka ATK" queryTableFieldId="4" dataDxfId="26">
      <calculatedColumnFormula>VALUE(MID(TRIM(latihan_cleaning__2[[#This Row],[Kode Mentah]]),4,2))</calculatedColumnFormula>
    </tableColumn>
    <tableColumn id="5" xr3:uid="{0180E089-C2E2-4394-9376-AA73E12D0B8D}" uniqueName="5" name="Ekstrak Kode Grup" queryTableFieldId="5" dataDxfId="25">
      <calculatedColumnFormula>RIGHT(TRIM(latihan_cleaning__2[[#This Row],[Kode Mentah]]),3)</calculatedColumnFormula>
    </tableColumn>
    <tableColumn id="6" xr3:uid="{51C9D08F-D1C2-4D31-AF95-FD1FEE73C46E}" uniqueName="6" name="Konversi Grup" queryTableFieldId="6" dataDxfId="24">
      <calculatedColumnFormula>IF(latihan_cleaning__2[[#This Row],[Ekstrak Kode Grup]]="MOD", "Modern", "Fantasy")</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D466FC-166D-4C8E-AE84-B869D9565AF8}" name="studi_kasus" displayName="studi_kasus" ref="A1:F11" tableType="queryTable" totalsRowShown="0" headerRowDxfId="23" dataDxfId="22">
  <autoFilter ref="A1:F11" xr:uid="{67D466FC-166D-4C8E-AE84-B869D9565AF8}"/>
  <tableColumns count="6">
    <tableColumn id="1" xr3:uid="{7B7FF835-6AF1-4D7F-95BE-174D80D1477A}" uniqueName="1" name="Kode Registrasi" queryTableFieldId="1" dataDxfId="21"/>
    <tableColumn id="2" xr3:uid="{D5450138-E443-481B-9D46-2676A1675876}" uniqueName="2" name="Nama Berantakan" queryTableFieldId="2" dataDxfId="20"/>
    <tableColumn id="3" xr3:uid="{0C406153-CFE6-4AA3-AD65-3E4F7C08600C}" uniqueName="3" name="Tanggal Bergabung" queryTableFieldId="3" dataDxfId="19"/>
    <tableColumn id="4" xr3:uid="{21B19EA8-ED73-4A05-8158-237579203454}" uniqueName="4" name="Nama Bersih" queryTableFieldId="4" dataDxfId="18">
      <calculatedColumnFormula>PROPER(TRIM(studi_kasus[[#This Row],[Nama Berantakan]]))</calculatedColumnFormula>
    </tableColumn>
    <tableColumn id="5" xr3:uid="{62E2295D-14B4-4E7D-B241-09A56957E21C}" uniqueName="5" name="Tipe Divisi" queryTableFieldId="5" dataDxfId="17">
      <calculatedColumnFormula>MID(TRIM(studi_kasus[[#This Row],[Kode Registrasi]]),5,1)</calculatedColumnFormula>
    </tableColumn>
    <tableColumn id="6" xr3:uid="{E1736A30-CC72-48C0-A30B-D6E1DB7B722B}" uniqueName="6" name="Masa Bakti" queryTableFieldId="6" dataDxfId="16">
      <calculatedColumnFormula>DATEDIF(studi_kasus[[#This Row],[Tanggal Bergabung]], TODAY(), "D")</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E41D6D-D7CB-4885-A66D-B76AF000751D}" name="Table3" displayName="Table3" ref="A15:H25" totalsRowShown="0" headerRowDxfId="15" headerRowBorderDxfId="14" tableBorderDxfId="13" totalsRowBorderDxfId="12">
  <autoFilter ref="A15:H25" xr:uid="{81E41D6D-D7CB-4885-A66D-B76AF000751D}"/>
  <tableColumns count="8">
    <tableColumn id="1" xr3:uid="{A3B110F8-66D7-4BC0-BC7F-893773A489C4}" name="ID Radar" dataDxfId="11"/>
    <tableColumn id="2" xr3:uid="{6D0588EC-CAC1-47E3-9039-7EBA334DF3E3}" name="Nama Personel" dataDxfId="10"/>
    <tableColumn id="3" xr3:uid="{A7D5A6CB-86D5-4AE4-967E-77529981796D}" name="Tanggal Rekrut" dataDxfId="9"/>
    <tableColumn id="4" xr3:uid="{625A5FE7-388E-4A3D-B396-0D96B8B876D7}" name="Kekuatan Fisik" dataDxfId="8"/>
    <tableColumn id="5" xr3:uid="{417FBF76-5D7B-4DAB-B6CC-3F48F6267994}" name="Nama Bersih" dataDxfId="7">
      <calculatedColumnFormula>PROPER(TRIM(Table3[[#This Row],[Nama Personel]]))</calculatedColumnFormula>
    </tableColumn>
    <tableColumn id="6" xr3:uid="{F40E4250-5749-4CE2-8419-BA364E6965D4}" name="Kode Squad" dataDxfId="6">
      <calculatedColumnFormula>MID(TRIM(Table3[[#This Row],[ID Radar]]),7,1)</calculatedColumnFormula>
    </tableColumn>
    <tableColumn id="7" xr3:uid="{E6EF47DA-1203-4273-BC64-2E029938E6E8}" name="Masa Bakti" dataDxfId="5">
      <calculatedColumnFormula>DATEDIF(Table3[[#This Row],[Tanggal Rekrut]], TODAY(), "D")</calculatedColumnFormula>
    </tableColumn>
    <tableColumn id="8" xr3:uid="{F7E1978E-83AA-42F3-9472-4329E21463D8}" name="Kategori Tempur" dataDxfId="4">
      <calculatedColumnFormula array="1">_xlfn.IFS(AND(Table3[[#This Row],[Kekuatan Fisik]]&gt;=92, Table3[[#This Row],[Masa Bakti]]&gt;=700), "Commander", Table3[[#This Row],[Kekuatan Fisik]]&gt;=85, "Frontliner", TRUE, "Cadangan")</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DBC19-E93C-44E0-A193-F375EF789417}">
  <dimension ref="A3:C8"/>
  <sheetViews>
    <sheetView topLeftCell="A2" workbookViewId="0">
      <selection activeCell="E7" sqref="E7"/>
    </sheetView>
  </sheetViews>
  <sheetFormatPr defaultRowHeight="14.4" x14ac:dyDescent="0.3"/>
  <cols>
    <col min="1" max="1" width="14.6640625" bestFit="1" customWidth="1"/>
    <col min="2" max="2" width="23.109375" bestFit="1" customWidth="1"/>
    <col min="3" max="3" width="14.77734375" bestFit="1" customWidth="1"/>
  </cols>
  <sheetData>
    <row r="3" spans="1:3" x14ac:dyDescent="0.3">
      <c r="A3" s="2" t="s">
        <v>100</v>
      </c>
      <c r="B3" t="s">
        <v>274</v>
      </c>
      <c r="C3" t="s">
        <v>215</v>
      </c>
    </row>
    <row r="4" spans="1:3" x14ac:dyDescent="0.3">
      <c r="A4" s="3" t="s">
        <v>266</v>
      </c>
      <c r="B4">
        <v>121.47</v>
      </c>
      <c r="C4">
        <v>8</v>
      </c>
    </row>
    <row r="5" spans="1:3" x14ac:dyDescent="0.3">
      <c r="A5" s="3" t="s">
        <v>265</v>
      </c>
      <c r="B5">
        <v>133.14000000000001</v>
      </c>
      <c r="C5">
        <v>8</v>
      </c>
    </row>
    <row r="6" spans="1:3" x14ac:dyDescent="0.3">
      <c r="A6" s="3" t="s">
        <v>268</v>
      </c>
      <c r="B6">
        <v>113.11874999999999</v>
      </c>
      <c r="C6">
        <v>8</v>
      </c>
    </row>
    <row r="7" spans="1:3" x14ac:dyDescent="0.3">
      <c r="A7" s="3" t="s">
        <v>267</v>
      </c>
      <c r="B7">
        <v>102.24375000000001</v>
      </c>
      <c r="C7">
        <v>8</v>
      </c>
    </row>
    <row r="8" spans="1:3" x14ac:dyDescent="0.3">
      <c r="A8" s="3" t="s">
        <v>101</v>
      </c>
      <c r="B8">
        <v>117.49312500000001</v>
      </c>
      <c r="C8">
        <v>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E76A-E4EA-4141-8B45-C24FE4363854}">
  <dimension ref="A3:D10"/>
  <sheetViews>
    <sheetView zoomScale="94" workbookViewId="0">
      <selection activeCell="A36" sqref="A36"/>
    </sheetView>
  </sheetViews>
  <sheetFormatPr defaultRowHeight="14.4" x14ac:dyDescent="0.3"/>
  <cols>
    <col min="1" max="1" width="21.6640625" bestFit="1" customWidth="1"/>
    <col min="2" max="2" width="20.6640625" bestFit="1" customWidth="1"/>
    <col min="3" max="3" width="13.88671875" bestFit="1" customWidth="1"/>
    <col min="4" max="4" width="17.88671875" bestFit="1" customWidth="1"/>
  </cols>
  <sheetData>
    <row r="3" spans="1:4" x14ac:dyDescent="0.3">
      <c r="A3" s="2" t="s">
        <v>100</v>
      </c>
      <c r="B3" t="s">
        <v>229</v>
      </c>
      <c r="C3" t="s">
        <v>230</v>
      </c>
      <c r="D3" t="s">
        <v>231</v>
      </c>
    </row>
    <row r="4" spans="1:4" x14ac:dyDescent="0.3">
      <c r="A4" s="3" t="s">
        <v>10</v>
      </c>
      <c r="B4">
        <v>173.5</v>
      </c>
      <c r="C4">
        <v>23</v>
      </c>
      <c r="D4">
        <v>2</v>
      </c>
    </row>
    <row r="5" spans="1:4" x14ac:dyDescent="0.3">
      <c r="A5" s="15" t="s">
        <v>18</v>
      </c>
      <c r="B5">
        <v>172</v>
      </c>
      <c r="C5">
        <v>23</v>
      </c>
      <c r="D5">
        <v>1</v>
      </c>
    </row>
    <row r="6" spans="1:4" x14ac:dyDescent="0.3">
      <c r="A6" s="15" t="s">
        <v>73</v>
      </c>
      <c r="B6">
        <v>175</v>
      </c>
      <c r="C6">
        <v>23</v>
      </c>
      <c r="D6">
        <v>1</v>
      </c>
    </row>
    <row r="7" spans="1:4" x14ac:dyDescent="0.3">
      <c r="A7" s="3" t="s">
        <v>23</v>
      </c>
      <c r="B7">
        <v>178.5</v>
      </c>
      <c r="C7">
        <v>22</v>
      </c>
      <c r="D7">
        <v>2</v>
      </c>
    </row>
    <row r="8" spans="1:4" x14ac:dyDescent="0.3">
      <c r="A8" s="15" t="s">
        <v>63</v>
      </c>
      <c r="B8">
        <v>184</v>
      </c>
      <c r="C8">
        <v>22</v>
      </c>
      <c r="D8">
        <v>1</v>
      </c>
    </row>
    <row r="9" spans="1:4" x14ac:dyDescent="0.3">
      <c r="A9" s="15" t="s">
        <v>21</v>
      </c>
      <c r="B9">
        <v>173</v>
      </c>
      <c r="C9">
        <v>22</v>
      </c>
      <c r="D9">
        <v>1</v>
      </c>
    </row>
    <row r="10" spans="1:4" x14ac:dyDescent="0.3">
      <c r="A10" s="3" t="s">
        <v>101</v>
      </c>
      <c r="B10">
        <v>176</v>
      </c>
      <c r="C10">
        <v>22.5</v>
      </c>
      <c r="D10">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BD331-DECB-421F-B802-74E5005B8BAB}">
  <dimension ref="A1:AE36"/>
  <sheetViews>
    <sheetView tabSelected="1" workbookViewId="0">
      <pane xSplit="1" topLeftCell="B1" activePane="topRight" state="frozen"/>
      <selection pane="topRight" activeCell="W1" sqref="A1:W33"/>
    </sheetView>
  </sheetViews>
  <sheetFormatPr defaultRowHeight="14.4" x14ac:dyDescent="0.3"/>
  <cols>
    <col min="1" max="1" width="15.88671875" style="1" bestFit="1" customWidth="1"/>
    <col min="2" max="2" width="7.6640625" style="1" bestFit="1" customWidth="1"/>
    <col min="3" max="3" width="8" style="1" bestFit="1" customWidth="1"/>
    <col min="4" max="4" width="12.5546875" style="1" bestFit="1" customWidth="1"/>
    <col min="5" max="5" width="7.44140625" style="1" bestFit="1" customWidth="1"/>
    <col min="6" max="6" width="16.21875" style="1" bestFit="1" customWidth="1"/>
    <col min="7" max="7" width="30.6640625" style="1" bestFit="1" customWidth="1"/>
    <col min="8" max="8" width="19.44140625" style="1" customWidth="1"/>
    <col min="9" max="9" width="23.33203125" style="1" customWidth="1"/>
    <col min="10" max="10" width="8.6640625" style="1" customWidth="1"/>
    <col min="11" max="11" width="8.21875" style="1" customWidth="1"/>
    <col min="12" max="16" width="8.6640625" style="1" customWidth="1"/>
    <col min="17" max="17" width="13.88671875" style="1" customWidth="1"/>
    <col min="18" max="18" width="15.88671875" style="1" customWidth="1"/>
    <col min="19" max="19" width="10.33203125" style="1" customWidth="1"/>
    <col min="20" max="22" width="13" style="1" customWidth="1"/>
    <col min="23" max="23" width="13.6640625" style="1" customWidth="1"/>
    <col min="24" max="24" width="13" style="1" customWidth="1"/>
    <col min="25" max="25" width="16.6640625" style="1" customWidth="1"/>
    <col min="26" max="26" width="32.77734375" style="1" customWidth="1"/>
    <col min="27" max="27" width="16.109375" style="1" customWidth="1"/>
    <col min="28" max="28" width="17.88671875" style="1" customWidth="1"/>
    <col min="29" max="29" width="18.109375" style="1" customWidth="1"/>
    <col min="30" max="30" width="8.88671875" style="1"/>
    <col min="31" max="31" width="16.21875" style="1" customWidth="1"/>
    <col min="32" max="16384" width="8.88671875" style="1"/>
  </cols>
  <sheetData>
    <row r="1" spans="1:28" x14ac:dyDescent="0.3">
      <c r="A1" s="1" t="s">
        <v>0</v>
      </c>
      <c r="B1" s="1" t="s">
        <v>1</v>
      </c>
      <c r="C1" s="1" t="s">
        <v>2</v>
      </c>
      <c r="D1" s="1" t="s">
        <v>3</v>
      </c>
      <c r="E1" s="1" t="s">
        <v>4</v>
      </c>
      <c r="F1" s="1" t="s">
        <v>5</v>
      </c>
      <c r="G1" s="1" t="s">
        <v>6</v>
      </c>
      <c r="H1" s="1" t="s">
        <v>93</v>
      </c>
      <c r="I1" s="1" t="s">
        <v>102</v>
      </c>
      <c r="J1" s="1" t="s">
        <v>103</v>
      </c>
      <c r="K1" s="1" t="s">
        <v>104</v>
      </c>
      <c r="L1" s="1" t="s">
        <v>105</v>
      </c>
      <c r="M1" s="1" t="s">
        <v>106</v>
      </c>
      <c r="N1" s="1" t="s">
        <v>269</v>
      </c>
      <c r="O1" s="1" t="s">
        <v>262</v>
      </c>
      <c r="P1" s="1" t="s">
        <v>263</v>
      </c>
      <c r="Q1" s="1" t="s">
        <v>273</v>
      </c>
      <c r="R1" s="1" t="s">
        <v>270</v>
      </c>
      <c r="S1" s="1" t="s">
        <v>107</v>
      </c>
      <c r="T1" s="1" t="s">
        <v>111</v>
      </c>
      <c r="U1" s="1" t="s">
        <v>185</v>
      </c>
      <c r="V1" s="1" t="s">
        <v>186</v>
      </c>
      <c r="W1" s="1" t="s">
        <v>220</v>
      </c>
    </row>
    <row r="2" spans="1:28" x14ac:dyDescent="0.3">
      <c r="A2" s="1" t="s">
        <v>7</v>
      </c>
      <c r="B2" s="1" t="s">
        <v>8</v>
      </c>
      <c r="C2" s="1">
        <v>23</v>
      </c>
      <c r="D2" s="1">
        <v>171</v>
      </c>
      <c r="E2" s="1" t="s">
        <v>9</v>
      </c>
      <c r="F2" s="1" t="s">
        <v>10</v>
      </c>
      <c r="G2" s="1" t="s">
        <v>11</v>
      </c>
      <c r="H2" s="1" t="str">
        <f>IF(characters[[#This Row],[Tinggi (cm)]]&gt;=175, "Tinggi", IF(characters[[#This Row],[Tinggi (cm)]]&gt;=168, "Normal", "Pendek"))</f>
        <v>Normal</v>
      </c>
      <c r="I2" s="1" t="str">
        <f>characters[[#This Row],[Nama Karakter]] &amp; " [" &amp; B2 &amp; "]"</f>
        <v>Paula Lopez [INTP]</v>
      </c>
      <c r="J2" s="1">
        <f>VLOOKUP(characters[[#This Row],[Nama Karakter]],Stats_Data[],2,FALSE)</f>
        <v>120</v>
      </c>
      <c r="K2" s="1">
        <f>VLOOKUP(characters[[#This Row],[Nama Karakter]],Stats_Data[],3,FALSE)</f>
        <v>85</v>
      </c>
      <c r="L2" s="1">
        <f>VLOOKUP(characters[[#This Row],[Nama Karakter]],Stats_Data[],4,FALSE)</f>
        <v>65</v>
      </c>
      <c r="M2" s="1">
        <f>VLOOKUP(characters[[#This Row],[Nama Karakter]],Stats_Data[],5,FALSE)</f>
        <v>70</v>
      </c>
      <c r="N2" s="25">
        <f>VLOOKUP(characters[[#This Row],[Nama Karakter]],Stats_Data[],6, FALSE)</f>
        <v>0.88</v>
      </c>
      <c r="O2" s="1">
        <f>VLOOKUP(characters[[#This Row],[Nama Karakter]],Stats_Data[],7, FALSE)</f>
        <v>310</v>
      </c>
      <c r="P2" s="25">
        <f>VLOOKUP(characters[[#This Row],[Nama Karakter]],Stats_Data[],8, FALSE)</f>
        <v>0.69</v>
      </c>
      <c r="Q2" s="26">
        <f>characters[[#This Row],[ATK]]*(1+characters[[#This Row],[Crit Rate]])</f>
        <v>159.79999999999998</v>
      </c>
      <c r="R2" s="1" t="str">
        <f>VLOOKUP(characters[[#This Row],[Nama Karakter]],Stats_Data[],9, FALSE)</f>
        <v>Northern Tundra</v>
      </c>
      <c r="S2" s="1">
        <f>SUM(characters[[#This Row],[HP]:[Win Rate]])</f>
        <v>651.57000000000005</v>
      </c>
      <c r="T2" s="1" t="str">
        <f>IF(characters[[#This Row],[ATK]]&gt;=88, "Attacker", IF(characters[[#This Row],[ATK]]&gt;=75, "Balanced", "Support"))</f>
        <v>Balanced</v>
      </c>
      <c r="U2" s="5">
        <v>37513</v>
      </c>
      <c r="V2" s="6">
        <f ca="1">(DATEDIF(characters[[#This Row],[Tanggal Lahir]],TODAY(), "Y"))</f>
        <v>23</v>
      </c>
      <c r="W2" s="1" t="str" cm="1">
        <f t="array" ref="W2">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Tactician</v>
      </c>
      <c r="X2" s="6"/>
      <c r="Y2" s="9" t="s">
        <v>96</v>
      </c>
      <c r="Z2" s="14" t="s">
        <v>81</v>
      </c>
      <c r="AA2" s="9" t="s">
        <v>112</v>
      </c>
      <c r="AB2" s="9">
        <f>_xlfn.XLOOKUP(Z2,characters[Nama Karakter], characters[Total Stat])</f>
        <v>586.27</v>
      </c>
    </row>
    <row r="3" spans="1:28" x14ac:dyDescent="0.3">
      <c r="A3" s="1" t="s">
        <v>15</v>
      </c>
      <c r="B3" s="1" t="s">
        <v>16</v>
      </c>
      <c r="C3" s="1">
        <v>23</v>
      </c>
      <c r="D3" s="1">
        <v>175</v>
      </c>
      <c r="E3" s="1" t="s">
        <v>9</v>
      </c>
      <c r="F3" s="1" t="s">
        <v>10</v>
      </c>
      <c r="G3" s="1" t="s">
        <v>17</v>
      </c>
      <c r="H3" s="1" t="str">
        <f>IF(characters[[#This Row],[Tinggi (cm)]]&gt;=175, "Tinggi", IF(characters[[#This Row],[Tinggi (cm)]]&gt;=168, "Normal", "Pendek"))</f>
        <v>Tinggi</v>
      </c>
      <c r="I3" s="1" t="str">
        <f>characters[[#This Row],[Nama Karakter]] &amp; " [" &amp; B3 &amp; "]"</f>
        <v>Hiromi Masaki [INTJ]</v>
      </c>
      <c r="J3" s="1">
        <f>VLOOKUP(characters[[#This Row],[Nama Karakter]],Stats_Data[],2,FALSE)</f>
        <v>130</v>
      </c>
      <c r="K3" s="1">
        <f>VLOOKUP(characters[[#This Row],[Nama Karakter]],Stats_Data[],3,FALSE)</f>
        <v>90</v>
      </c>
      <c r="L3" s="1">
        <f>VLOOKUP(characters[[#This Row],[Nama Karakter]],Stats_Data[],4,FALSE)</f>
        <v>75</v>
      </c>
      <c r="M3" s="1">
        <f>VLOOKUP(characters[[#This Row],[Nama Karakter]],Stats_Data[],5,FALSE)</f>
        <v>60</v>
      </c>
      <c r="N3" s="25">
        <f>VLOOKUP(characters[[#This Row],[Nama Karakter]],Stats_Data[],6, FALSE)</f>
        <v>0.15</v>
      </c>
      <c r="O3" s="1">
        <f>VLOOKUP(characters[[#This Row],[Nama Karakter]],Stats_Data[],7, FALSE)</f>
        <v>330</v>
      </c>
      <c r="P3" s="25">
        <f>VLOOKUP(characters[[#This Row],[Nama Karakter]],Stats_Data[],8, FALSE)</f>
        <v>0.54</v>
      </c>
      <c r="Q3" s="26">
        <f>characters[[#This Row],[ATK]]*(1+characters[[#This Row],[Crit Rate]])</f>
        <v>103.49999999999999</v>
      </c>
      <c r="R3" s="1" t="str">
        <f>VLOOKUP(characters[[#This Row],[Nama Karakter]],Stats_Data[],9, FALSE)</f>
        <v>Eastern Sunrise</v>
      </c>
      <c r="S3" s="1">
        <f>SUM(characters[[#This Row],[HP]:[Win Rate]])</f>
        <v>685.68999999999994</v>
      </c>
      <c r="T3" s="1" t="str">
        <f>IF(characters[[#This Row],[ATK]]&gt;=88, "Attacker", IF(characters[[#This Row],[ATK]]&gt;=75, "Balanced", "Support"))</f>
        <v>Attacker</v>
      </c>
      <c r="U3" s="5">
        <v>37275</v>
      </c>
      <c r="V3" s="6">
        <f ca="1">(DATEDIF(characters[[#This Row],[Tanggal Lahir]],TODAY(), "Y"))</f>
        <v>24</v>
      </c>
      <c r="W3" s="1" t="str" cm="1">
        <f t="array" ref="W3">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Squad Inti</v>
      </c>
      <c r="X3" s="6"/>
      <c r="Y3" s="9" t="s">
        <v>1</v>
      </c>
      <c r="Z3" s="9" t="str">
        <f>IFERROR(VLOOKUP(Z2,A2:G33,2,FALSE), "")</f>
        <v>ENFJ</v>
      </c>
      <c r="AA3" s="9" t="s">
        <v>220</v>
      </c>
      <c r="AB3" s="9" t="str">
        <f>_xlfn.XLOOKUP(Z2,characters[Nama Karakter],characters[Status Squad])</f>
        <v>Tanker</v>
      </c>
    </row>
    <row r="4" spans="1:28" ht="16.2" customHeight="1" x14ac:dyDescent="0.3">
      <c r="A4" s="1" t="s">
        <v>18</v>
      </c>
      <c r="B4" s="1" t="s">
        <v>19</v>
      </c>
      <c r="C4" s="1">
        <v>23</v>
      </c>
      <c r="D4" s="1">
        <v>172</v>
      </c>
      <c r="E4" s="1" t="s">
        <v>9</v>
      </c>
      <c r="F4" s="1" t="s">
        <v>10</v>
      </c>
      <c r="G4" s="1" t="s">
        <v>20</v>
      </c>
      <c r="H4" s="1" t="str">
        <f>IF(characters[[#This Row],[Tinggi (cm)]]&gt;=175, "Tinggi", IF(characters[[#This Row],[Tinggi (cm)]]&gt;=168, "Normal", "Pendek"))</f>
        <v>Normal</v>
      </c>
      <c r="I4" s="1" t="str">
        <f>characters[[#This Row],[Nama Karakter]] &amp; " [" &amp; B4 &amp; "]"</f>
        <v>Gillian Wiley [ENTJ]</v>
      </c>
      <c r="J4" s="1">
        <f>VLOOKUP(characters[[#This Row],[Nama Karakter]],Stats_Data[],2,FALSE)</f>
        <v>140</v>
      </c>
      <c r="K4" s="1">
        <f>VLOOKUP(characters[[#This Row],[Nama Karakter]],Stats_Data[],3,FALSE)</f>
        <v>88</v>
      </c>
      <c r="L4" s="1">
        <f>VLOOKUP(characters[[#This Row],[Nama Karakter]],Stats_Data[],4,FALSE)</f>
        <v>80</v>
      </c>
      <c r="M4" s="1">
        <f>VLOOKUP(characters[[#This Row],[Nama Karakter]],Stats_Data[],5,FALSE)</f>
        <v>65</v>
      </c>
      <c r="N4" s="25">
        <f>VLOOKUP(characters[[#This Row],[Nama Karakter]],Stats_Data[],6, FALSE)</f>
        <v>0.35</v>
      </c>
      <c r="O4" s="1">
        <f>VLOOKUP(characters[[#This Row],[Nama Karakter]],Stats_Data[],7, FALSE)</f>
        <v>200</v>
      </c>
      <c r="P4" s="25">
        <f>VLOOKUP(characters[[#This Row],[Nama Karakter]],Stats_Data[],8, FALSE)</f>
        <v>0.51</v>
      </c>
      <c r="Q4" s="26">
        <f>characters[[#This Row],[ATK]]*(1+characters[[#This Row],[Crit Rate]])</f>
        <v>118.80000000000001</v>
      </c>
      <c r="R4" s="1" t="str">
        <f>VLOOKUP(characters[[#This Row],[Nama Karakter]],Stats_Data[],9, FALSE)</f>
        <v>Southern Isles</v>
      </c>
      <c r="S4" s="1">
        <f>SUM(characters[[#This Row],[HP]:[Win Rate]])</f>
        <v>573.86</v>
      </c>
      <c r="T4" s="1" t="str">
        <f>IF(characters[[#This Row],[ATK]]&gt;=88, "Attacker", IF(characters[[#This Row],[ATK]]&gt;=75, "Balanced", "Support"))</f>
        <v>Attacker</v>
      </c>
      <c r="U4" s="5">
        <v>37445</v>
      </c>
      <c r="V4" s="6">
        <f ca="1">(DATEDIF(characters[[#This Row],[Tanggal Lahir]],TODAY(), "Y"))</f>
        <v>23</v>
      </c>
      <c r="W4" s="1" t="str" cm="1">
        <f t="array" ref="W4">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Squad Inti</v>
      </c>
      <c r="X4" s="6"/>
      <c r="Y4" s="9" t="s">
        <v>97</v>
      </c>
      <c r="Z4" s="13" t="str">
        <f>IFERROR(VLOOKUP(Z2,characters[],7,FALSE), "")</f>
        <v>Covenant Bond / Healer &amp; Diplomat</v>
      </c>
      <c r="AA4" s="9" t="s">
        <v>270</v>
      </c>
      <c r="AB4" s="9" t="str">
        <f>_xlfn.XLOOKUP(Z2,characters[Nama Karakter],characters[Faction])</f>
        <v>Western Citadel</v>
      </c>
    </row>
    <row r="5" spans="1:28" x14ac:dyDescent="0.3">
      <c r="A5" s="1" t="s">
        <v>34</v>
      </c>
      <c r="B5" s="1" t="s">
        <v>35</v>
      </c>
      <c r="C5" s="1">
        <v>23</v>
      </c>
      <c r="D5" s="1">
        <v>173</v>
      </c>
      <c r="E5" s="1" t="s">
        <v>9</v>
      </c>
      <c r="F5" s="1" t="s">
        <v>36</v>
      </c>
      <c r="G5" s="1" t="s">
        <v>37</v>
      </c>
      <c r="H5" s="1" t="str">
        <f>IF(characters[[#This Row],[Tinggi (cm)]]&gt;=175, "Tinggi", IF(characters[[#This Row],[Tinggi (cm)]]&gt;=168, "Normal", "Pendek"))</f>
        <v>Normal</v>
      </c>
      <c r="I5" s="1" t="str">
        <f>characters[[#This Row],[Nama Karakter]] &amp; " [" &amp; B5 &amp; "]"</f>
        <v>Chiyo Funai [ISTJ]</v>
      </c>
      <c r="J5" s="1">
        <f>VLOOKUP(characters[[#This Row],[Nama Karakter]],Stats_Data[],2,FALSE)</f>
        <v>135</v>
      </c>
      <c r="K5" s="1">
        <f>VLOOKUP(characters[[#This Row],[Nama Karakter]],Stats_Data[],3,FALSE)</f>
        <v>65</v>
      </c>
      <c r="L5" s="1">
        <f>VLOOKUP(characters[[#This Row],[Nama Karakter]],Stats_Data[],4,FALSE)</f>
        <v>90</v>
      </c>
      <c r="M5" s="1">
        <f>VLOOKUP(characters[[#This Row],[Nama Karakter]],Stats_Data[],5,FALSE)</f>
        <v>55</v>
      </c>
      <c r="N5" s="25">
        <f>VLOOKUP(characters[[#This Row],[Nama Karakter]],Stats_Data[],6, FALSE)</f>
        <v>0.5</v>
      </c>
      <c r="O5" s="1">
        <f>VLOOKUP(characters[[#This Row],[Nama Karakter]],Stats_Data[],7, FALSE)</f>
        <v>300</v>
      </c>
      <c r="P5" s="25">
        <f>VLOOKUP(characters[[#This Row],[Nama Karakter]],Stats_Data[],8, FALSE)</f>
        <v>0.74</v>
      </c>
      <c r="Q5" s="26">
        <f>characters[[#This Row],[ATK]]*(1+characters[[#This Row],[Crit Rate]])</f>
        <v>97.5</v>
      </c>
      <c r="R5" s="1" t="str">
        <f>VLOOKUP(characters[[#This Row],[Nama Karakter]],Stats_Data[],9, FALSE)</f>
        <v>Western Citadel</v>
      </c>
      <c r="S5" s="1">
        <f>SUM(characters[[#This Row],[HP]:[Win Rate]])</f>
        <v>646.24</v>
      </c>
      <c r="T5" s="1" t="str">
        <f>IF(characters[[#This Row],[ATK]]&gt;=88, "Attacker", IF(characters[[#This Row],[ATK]]&gt;=75, "Balanced", "Support"))</f>
        <v>Support</v>
      </c>
      <c r="U5" s="5">
        <v>37264</v>
      </c>
      <c r="V5" s="6">
        <f ca="1">(DATEDIF(characters[[#This Row],[Tanggal Lahir]],TODAY(), "Y"))</f>
        <v>24</v>
      </c>
      <c r="W5" s="1" t="str" cm="1">
        <f t="array" ref="W5">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Tanker</v>
      </c>
      <c r="X5" s="6"/>
      <c r="Y5" s="9" t="s">
        <v>98</v>
      </c>
      <c r="Z5" s="9" t="str">
        <f>IFERROR(VLOOKUP(Z2,characters[],8,FALSE),"")</f>
        <v>Tinggi</v>
      </c>
      <c r="AA5" s="9" t="s">
        <v>111</v>
      </c>
      <c r="AB5" s="9" t="str">
        <f>_xlfn.XLOOKUP(Z2,characters[Nama Karakter], characters[Role])</f>
        <v>Support</v>
      </c>
    </row>
    <row r="6" spans="1:28" x14ac:dyDescent="0.3">
      <c r="A6" s="1" t="s">
        <v>38</v>
      </c>
      <c r="B6" s="1" t="s">
        <v>39</v>
      </c>
      <c r="C6" s="1">
        <v>23</v>
      </c>
      <c r="D6" s="1">
        <v>169</v>
      </c>
      <c r="E6" s="1" t="s">
        <v>9</v>
      </c>
      <c r="F6" s="1" t="s">
        <v>36</v>
      </c>
      <c r="G6" s="1" t="s">
        <v>40</v>
      </c>
      <c r="H6" s="1" t="str">
        <f>IF(characters[[#This Row],[Tinggi (cm)]]&gt;=175, "Tinggi", IF(characters[[#This Row],[Tinggi (cm)]]&gt;=168, "Normal", "Pendek"))</f>
        <v>Normal</v>
      </c>
      <c r="I6" s="1" t="str">
        <f>characters[[#This Row],[Nama Karakter]] &amp; " [" &amp; B6 &amp; "]"</f>
        <v>Shizuka Aikawa [ESTJ]</v>
      </c>
      <c r="J6" s="1">
        <f>VLOOKUP(characters[[#This Row],[Nama Karakter]],Stats_Data[],2,FALSE)</f>
        <v>145</v>
      </c>
      <c r="K6" s="1">
        <f>VLOOKUP(characters[[#This Row],[Nama Karakter]],Stats_Data[],3,FALSE)</f>
        <v>80</v>
      </c>
      <c r="L6" s="1">
        <f>VLOOKUP(characters[[#This Row],[Nama Karakter]],Stats_Data[],4,FALSE)</f>
        <v>85</v>
      </c>
      <c r="M6" s="1">
        <f>VLOOKUP(characters[[#This Row],[Nama Karakter]],Stats_Data[],5,FALSE)</f>
        <v>50</v>
      </c>
      <c r="N6" s="25">
        <f>VLOOKUP(characters[[#This Row],[Nama Karakter]],Stats_Data[],6, FALSE)</f>
        <v>0.25</v>
      </c>
      <c r="O6" s="1">
        <f>VLOOKUP(characters[[#This Row],[Nama Karakter]],Stats_Data[],7, FALSE)</f>
        <v>300</v>
      </c>
      <c r="P6" s="25">
        <f>VLOOKUP(characters[[#This Row],[Nama Karakter]],Stats_Data[],8, FALSE)</f>
        <v>0.7</v>
      </c>
      <c r="Q6" s="26">
        <f>characters[[#This Row],[ATK]]*(1+characters[[#This Row],[Crit Rate]])</f>
        <v>100</v>
      </c>
      <c r="R6" s="1" t="str">
        <f>VLOOKUP(characters[[#This Row],[Nama Karakter]],Stats_Data[],9, FALSE)</f>
        <v>Western Citadel</v>
      </c>
      <c r="S6" s="1">
        <f>SUM(characters[[#This Row],[HP]:[Win Rate]])</f>
        <v>660.95</v>
      </c>
      <c r="T6" s="1" t="str">
        <f>IF(characters[[#This Row],[ATK]]&gt;=88, "Attacker", IF(characters[[#This Row],[ATK]]&gt;=75, "Balanced", "Support"))</f>
        <v>Balanced</v>
      </c>
      <c r="U6" s="5">
        <v>37618</v>
      </c>
      <c r="V6" s="6">
        <f ca="1">(DATEDIF(characters[[#This Row],[Tanggal Lahir]],TODAY(), "Y"))</f>
        <v>23</v>
      </c>
      <c r="W6" s="1" t="str" cm="1">
        <f t="array" ref="W6">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Tanker</v>
      </c>
      <c r="X6" s="6"/>
    </row>
    <row r="7" spans="1:28" x14ac:dyDescent="0.3">
      <c r="A7" s="1" t="s">
        <v>60</v>
      </c>
      <c r="B7" s="1" t="s">
        <v>26</v>
      </c>
      <c r="C7" s="1">
        <v>23</v>
      </c>
      <c r="D7" s="1">
        <v>180</v>
      </c>
      <c r="E7" s="1" t="s">
        <v>61</v>
      </c>
      <c r="F7" s="1" t="s">
        <v>23</v>
      </c>
      <c r="G7" s="1" t="s">
        <v>62</v>
      </c>
      <c r="H7" s="1" t="str">
        <f>IF(characters[[#This Row],[Tinggi (cm)]]&gt;=175, "Tinggi", IF(characters[[#This Row],[Tinggi (cm)]]&gt;=168, "Normal", "Pendek"))</f>
        <v>Tinggi</v>
      </c>
      <c r="I7" s="1" t="str">
        <f>characters[[#This Row],[Nama Karakter]] &amp; " [" &amp; B7 &amp; "]"</f>
        <v>Cael Dunmore [ESTP]</v>
      </c>
      <c r="J7" s="1">
        <f>VLOOKUP(characters[[#This Row],[Nama Karakter]],Stats_Data[],2,FALSE)</f>
        <v>120</v>
      </c>
      <c r="K7" s="1">
        <f>VLOOKUP(characters[[#This Row],[Nama Karakter]],Stats_Data[],3,FALSE)</f>
        <v>84</v>
      </c>
      <c r="L7" s="1">
        <f>VLOOKUP(characters[[#This Row],[Nama Karakter]],Stats_Data[],4,FALSE)</f>
        <v>65</v>
      </c>
      <c r="M7" s="1">
        <f>VLOOKUP(characters[[#This Row],[Nama Karakter]],Stats_Data[],5,FALSE)</f>
        <v>88</v>
      </c>
      <c r="N7" s="25">
        <f>VLOOKUP(characters[[#This Row],[Nama Karakter]],Stats_Data[],6, FALSE)</f>
        <v>0.45</v>
      </c>
      <c r="O7" s="1">
        <f>VLOOKUP(characters[[#This Row],[Nama Karakter]],Stats_Data[],7, FALSE)</f>
        <v>180</v>
      </c>
      <c r="P7" s="25">
        <f>VLOOKUP(characters[[#This Row],[Nama Karakter]],Stats_Data[],8, FALSE)</f>
        <v>0.55000000000000004</v>
      </c>
      <c r="Q7" s="26">
        <f>characters[[#This Row],[ATK]]*(1+characters[[#This Row],[Crit Rate]])</f>
        <v>121.8</v>
      </c>
      <c r="R7" s="1" t="str">
        <f>VLOOKUP(characters[[#This Row],[Nama Karakter]],Stats_Data[],9, FALSE)</f>
        <v>Eastern Sunrise</v>
      </c>
      <c r="S7" s="1">
        <f>SUM(characters[[#This Row],[HP]:[Win Rate]])</f>
        <v>538</v>
      </c>
      <c r="T7" s="1" t="str">
        <f>IF(characters[[#This Row],[ATK]]&gt;=88, "Attacker", IF(characters[[#This Row],[ATK]]&gt;=75, "Balanced", "Support"))</f>
        <v>Balanced</v>
      </c>
      <c r="U7" s="5">
        <v>37289</v>
      </c>
      <c r="V7" s="6">
        <f ca="1">(DATEDIF(characters[[#This Row],[Tanggal Lahir]],TODAY(), "Y"))</f>
        <v>24</v>
      </c>
      <c r="W7" s="1" t="str" cm="1">
        <f t="array" ref="W7">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Elite Spy</v>
      </c>
      <c r="X7" s="6"/>
      <c r="Y7" s="9" t="s">
        <v>94</v>
      </c>
      <c r="Z7" s="9">
        <f>COUNTIF(characters[Kategori Tinggi], "Tinggi")</f>
        <v>11</v>
      </c>
    </row>
    <row r="8" spans="1:28" x14ac:dyDescent="0.3">
      <c r="A8" s="1" t="s">
        <v>73</v>
      </c>
      <c r="B8" s="1" t="s">
        <v>19</v>
      </c>
      <c r="C8" s="1">
        <v>23</v>
      </c>
      <c r="D8" s="1">
        <v>175</v>
      </c>
      <c r="E8" s="1" t="s">
        <v>61</v>
      </c>
      <c r="F8" s="1" t="s">
        <v>10</v>
      </c>
      <c r="G8" s="1" t="s">
        <v>74</v>
      </c>
      <c r="H8" s="1" t="str">
        <f>IF(characters[[#This Row],[Tinggi (cm)]]&gt;=175, "Tinggi", IF(characters[[#This Row],[Tinggi (cm)]]&gt;=168, "Normal", "Pendek"))</f>
        <v>Tinggi</v>
      </c>
      <c r="I8" s="1" t="str">
        <f>characters[[#This Row],[Nama Karakter]] &amp; " [" &amp; B8 &amp; "]"</f>
        <v>Seren Ashvale [ENTJ]</v>
      </c>
      <c r="J8" s="1">
        <f>VLOOKUP(characters[[#This Row],[Nama Karakter]],Stats_Data[],2,FALSE)</f>
        <v>135</v>
      </c>
      <c r="K8" s="1">
        <f>VLOOKUP(characters[[#This Row],[Nama Karakter]],Stats_Data[],3,FALSE)</f>
        <v>88</v>
      </c>
      <c r="L8" s="1">
        <f>VLOOKUP(characters[[#This Row],[Nama Karakter]],Stats_Data[],4,FALSE)</f>
        <v>80</v>
      </c>
      <c r="M8" s="1">
        <f>VLOOKUP(characters[[#This Row],[Nama Karakter]],Stats_Data[],5,FALSE)</f>
        <v>62</v>
      </c>
      <c r="N8" s="25">
        <f>VLOOKUP(characters[[#This Row],[Nama Karakter]],Stats_Data[],6, FALSE)</f>
        <v>0.62</v>
      </c>
      <c r="O8" s="1">
        <f>VLOOKUP(characters[[#This Row],[Nama Karakter]],Stats_Data[],7, FALSE)</f>
        <v>270</v>
      </c>
      <c r="P8" s="25">
        <f>VLOOKUP(characters[[#This Row],[Nama Karakter]],Stats_Data[],8, FALSE)</f>
        <v>0.67</v>
      </c>
      <c r="Q8" s="26">
        <f>characters[[#This Row],[ATK]]*(1+characters[[#This Row],[Crit Rate]])</f>
        <v>142.56</v>
      </c>
      <c r="R8" s="1" t="str">
        <f>VLOOKUP(characters[[#This Row],[Nama Karakter]],Stats_Data[],9, FALSE)</f>
        <v>Northern Tundra</v>
      </c>
      <c r="S8" s="1">
        <f>SUM(characters[[#This Row],[HP]:[Win Rate]])</f>
        <v>636.29</v>
      </c>
      <c r="T8" s="1" t="str">
        <f>IF(characters[[#This Row],[ATK]]&gt;=88, "Attacker", IF(characters[[#This Row],[ATK]]&gt;=75, "Balanced", "Support"))</f>
        <v>Attacker</v>
      </c>
      <c r="U8" s="5">
        <v>37339</v>
      </c>
      <c r="V8" s="6">
        <f ca="1">(DATEDIF(characters[[#This Row],[Tanggal Lahir]],TODAY(), "Y"))</f>
        <v>24</v>
      </c>
      <c r="W8" s="1" t="str" cm="1">
        <f t="array" ref="W8">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Squad Inti</v>
      </c>
      <c r="X8" s="6"/>
      <c r="Y8" s="9" t="s">
        <v>95</v>
      </c>
      <c r="Z8" s="9">
        <f>COUNTIF(characters[Kategori Tinggi], "Normal")</f>
        <v>14</v>
      </c>
    </row>
    <row r="9" spans="1:28" x14ac:dyDescent="0.3">
      <c r="A9" s="1" t="s">
        <v>75</v>
      </c>
      <c r="B9" s="1" t="s">
        <v>16</v>
      </c>
      <c r="C9" s="1">
        <v>23</v>
      </c>
      <c r="D9" s="1">
        <v>178</v>
      </c>
      <c r="E9" s="1" t="s">
        <v>61</v>
      </c>
      <c r="F9" s="1" t="s">
        <v>10</v>
      </c>
      <c r="G9" s="1" t="s">
        <v>76</v>
      </c>
      <c r="H9" s="1" t="str">
        <f>IF(characters[[#This Row],[Tinggi (cm)]]&gt;=175, "Tinggi", IF(characters[[#This Row],[Tinggi (cm)]]&gt;=168, "Normal", "Pendek"))</f>
        <v>Tinggi</v>
      </c>
      <c r="I9" s="1" t="str">
        <f>characters[[#This Row],[Nama Karakter]] &amp; " [" &amp; B9 &amp; "]"</f>
        <v>Caius Nox [INTJ]</v>
      </c>
      <c r="J9" s="1">
        <f>VLOOKUP(characters[[#This Row],[Nama Karakter]],Stats_Data[],2,FALSE)</f>
        <v>122</v>
      </c>
      <c r="K9" s="1">
        <f>VLOOKUP(characters[[#This Row],[Nama Karakter]],Stats_Data[],3,FALSE)</f>
        <v>80</v>
      </c>
      <c r="L9" s="1">
        <f>VLOOKUP(characters[[#This Row],[Nama Karakter]],Stats_Data[],4,FALSE)</f>
        <v>75</v>
      </c>
      <c r="M9" s="1">
        <f>VLOOKUP(characters[[#This Row],[Nama Karakter]],Stats_Data[],5,FALSE)</f>
        <v>70</v>
      </c>
      <c r="N9" s="25">
        <f>VLOOKUP(characters[[#This Row],[Nama Karakter]],Stats_Data[],6, FALSE)</f>
        <v>0.85</v>
      </c>
      <c r="O9" s="1">
        <f>VLOOKUP(characters[[#This Row],[Nama Karakter]],Stats_Data[],7, FALSE)</f>
        <v>120</v>
      </c>
      <c r="P9" s="25">
        <f>VLOOKUP(characters[[#This Row],[Nama Karakter]],Stats_Data[],8, FALSE)</f>
        <v>0.68</v>
      </c>
      <c r="Q9" s="26">
        <f>characters[[#This Row],[ATK]]*(1+characters[[#This Row],[Crit Rate]])</f>
        <v>148</v>
      </c>
      <c r="R9" s="1" t="str">
        <f>VLOOKUP(characters[[#This Row],[Nama Karakter]],Stats_Data[],9, FALSE)</f>
        <v>Northern Tundra</v>
      </c>
      <c r="S9" s="1">
        <f>SUM(characters[[#This Row],[HP]:[Win Rate]])</f>
        <v>468.53000000000003</v>
      </c>
      <c r="T9" s="1" t="str">
        <f>IF(characters[[#This Row],[ATK]]&gt;=88, "Attacker", IF(characters[[#This Row],[ATK]]&gt;=75, "Balanced", "Support"))</f>
        <v>Balanced</v>
      </c>
      <c r="U9" s="5">
        <v>37374</v>
      </c>
      <c r="V9" s="6">
        <f ca="1">(DATEDIF(characters[[#This Row],[Tanggal Lahir]],TODAY(), "Y"))</f>
        <v>24</v>
      </c>
      <c r="W9" s="1" t="str" cm="1">
        <f t="array" ref="W9">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Tactician</v>
      </c>
      <c r="X9" s="6"/>
      <c r="Y9" s="9" t="s">
        <v>99</v>
      </c>
      <c r="Z9" s="9">
        <f>COUNTIF(characters[Kategori Tinggi], "Pendek")</f>
        <v>7</v>
      </c>
    </row>
    <row r="10" spans="1:28" x14ac:dyDescent="0.3">
      <c r="A10" s="1" t="s">
        <v>83</v>
      </c>
      <c r="B10" s="1" t="s">
        <v>48</v>
      </c>
      <c r="C10" s="1">
        <v>23</v>
      </c>
      <c r="D10" s="1">
        <v>176</v>
      </c>
      <c r="E10" s="1" t="s">
        <v>61</v>
      </c>
      <c r="F10" s="1" t="s">
        <v>49</v>
      </c>
      <c r="G10" s="1" t="s">
        <v>84</v>
      </c>
      <c r="H10" s="1" t="str">
        <f>IF(characters[[#This Row],[Tinggi (cm)]]&gt;=175, "Tinggi", IF(characters[[#This Row],[Tinggi (cm)]]&gt;=168, "Normal", "Pendek"))</f>
        <v>Tinggi</v>
      </c>
      <c r="I10" s="1" t="str">
        <f>characters[[#This Row],[Nama Karakter]] &amp; " [" &amp; B10 &amp; "]"</f>
        <v>Orin Eld [INFJ]</v>
      </c>
      <c r="J10" s="1">
        <f>VLOOKUP(characters[[#This Row],[Nama Karakter]],Stats_Data[],2,FALSE)</f>
        <v>110</v>
      </c>
      <c r="K10" s="1">
        <f>VLOOKUP(characters[[#This Row],[Nama Karakter]],Stats_Data[],3,FALSE)</f>
        <v>70</v>
      </c>
      <c r="L10" s="1">
        <f>VLOOKUP(characters[[#This Row],[Nama Karakter]],Stats_Data[],4,FALSE)</f>
        <v>70</v>
      </c>
      <c r="M10" s="1">
        <f>VLOOKUP(characters[[#This Row],[Nama Karakter]],Stats_Data[],5,FALSE)</f>
        <v>65</v>
      </c>
      <c r="N10" s="25">
        <f>VLOOKUP(characters[[#This Row],[Nama Karakter]],Stats_Data[],6, FALSE)</f>
        <v>0.72</v>
      </c>
      <c r="O10" s="1">
        <f>VLOOKUP(characters[[#This Row],[Nama Karakter]],Stats_Data[],7, FALSE)</f>
        <v>290</v>
      </c>
      <c r="P10" s="25">
        <f>VLOOKUP(characters[[#This Row],[Nama Karakter]],Stats_Data[],8, FALSE)</f>
        <v>0.61</v>
      </c>
      <c r="Q10" s="26">
        <f>characters[[#This Row],[ATK]]*(1+characters[[#This Row],[Crit Rate]])</f>
        <v>120.39999999999999</v>
      </c>
      <c r="R10" s="1" t="str">
        <f>VLOOKUP(characters[[#This Row],[Nama Karakter]],Stats_Data[],9, FALSE)</f>
        <v>Northern Tundra</v>
      </c>
      <c r="S10" s="1">
        <f>SUM(characters[[#This Row],[HP]:[Win Rate]])</f>
        <v>606.33000000000004</v>
      </c>
      <c r="T10" s="1" t="str">
        <f>IF(characters[[#This Row],[ATK]]&gt;=88, "Attacker", IF(characters[[#This Row],[ATK]]&gt;=75, "Balanced", "Support"))</f>
        <v>Support</v>
      </c>
      <c r="U10" s="5">
        <v>37273</v>
      </c>
      <c r="V10" s="6">
        <f ca="1">(DATEDIF(characters[[#This Row],[Tanggal Lahir]],TODAY(), "Y"))</f>
        <v>24</v>
      </c>
      <c r="W10" s="1" t="str" cm="1">
        <f t="array" ref="W10">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Reguler</v>
      </c>
      <c r="X10" s="6"/>
    </row>
    <row r="11" spans="1:28" x14ac:dyDescent="0.3">
      <c r="A11" s="1" t="s">
        <v>85</v>
      </c>
      <c r="B11" s="1" t="s">
        <v>39</v>
      </c>
      <c r="C11" s="1">
        <v>23</v>
      </c>
      <c r="D11" s="1">
        <v>175</v>
      </c>
      <c r="E11" s="1" t="s">
        <v>61</v>
      </c>
      <c r="F11" s="1" t="s">
        <v>36</v>
      </c>
      <c r="G11" s="1" t="s">
        <v>86</v>
      </c>
      <c r="H11" s="1" t="str">
        <f>IF(characters[[#This Row],[Tinggi (cm)]]&gt;=175, "Tinggi", IF(characters[[#This Row],[Tinggi (cm)]]&gt;=168, "Normal", "Pendek"))</f>
        <v>Tinggi</v>
      </c>
      <c r="I11" s="1" t="str">
        <f>characters[[#This Row],[Nama Karakter]] &amp; " [" &amp; B11 &amp; "]"</f>
        <v>Kiran Sol [ESTJ]</v>
      </c>
      <c r="J11" s="1">
        <f>VLOOKUP(characters[[#This Row],[Nama Karakter]],Stats_Data[],2,FALSE)</f>
        <v>138</v>
      </c>
      <c r="K11" s="1">
        <f>VLOOKUP(characters[[#This Row],[Nama Karakter]],Stats_Data[],3,FALSE)</f>
        <v>82</v>
      </c>
      <c r="L11" s="1">
        <f>VLOOKUP(characters[[#This Row],[Nama Karakter]],Stats_Data[],4,FALSE)</f>
        <v>82</v>
      </c>
      <c r="M11" s="1">
        <f>VLOOKUP(characters[[#This Row],[Nama Karakter]],Stats_Data[],5,FALSE)</f>
        <v>58</v>
      </c>
      <c r="N11" s="25">
        <f>VLOOKUP(characters[[#This Row],[Nama Karakter]],Stats_Data[],6, FALSE)</f>
        <v>0.3</v>
      </c>
      <c r="O11" s="1">
        <f>VLOOKUP(characters[[#This Row],[Nama Karakter]],Stats_Data[],7, FALSE)</f>
        <v>350</v>
      </c>
      <c r="P11" s="25">
        <f>VLOOKUP(characters[[#This Row],[Nama Karakter]],Stats_Data[],8, FALSE)</f>
        <v>0.6</v>
      </c>
      <c r="Q11" s="26">
        <f>characters[[#This Row],[ATK]]*(1+characters[[#This Row],[Crit Rate]])</f>
        <v>106.60000000000001</v>
      </c>
      <c r="R11" s="1" t="str">
        <f>VLOOKUP(characters[[#This Row],[Nama Karakter]],Stats_Data[],9, FALSE)</f>
        <v>Northern Tundra</v>
      </c>
      <c r="S11" s="1">
        <f>SUM(characters[[#This Row],[HP]:[Win Rate]])</f>
        <v>710.9</v>
      </c>
      <c r="T11" s="1" t="str">
        <f>IF(characters[[#This Row],[ATK]]&gt;=88, "Attacker", IF(characters[[#This Row],[ATK]]&gt;=75, "Balanced", "Support"))</f>
        <v>Balanced</v>
      </c>
      <c r="U11" s="5">
        <v>37377</v>
      </c>
      <c r="V11" s="6">
        <f ca="1">(DATEDIF(characters[[#This Row],[Tanggal Lahir]],TODAY(), "Y"))</f>
        <v>24</v>
      </c>
      <c r="W11" s="1" t="str" cm="1">
        <f t="array" ref="W11">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Tanker</v>
      </c>
      <c r="X11" s="6"/>
      <c r="Y11" s="9" t="s">
        <v>108</v>
      </c>
      <c r="Z11" s="9">
        <f>MAX(characters[ATK])</f>
        <v>98</v>
      </c>
      <c r="AA11" s="9" t="str">
        <f>_xlfn.XLOOKUP(Z11,characters[ATK], characters[Nama Karakter])</f>
        <v>Hayami Amamiya</v>
      </c>
    </row>
    <row r="12" spans="1:28" x14ac:dyDescent="0.3">
      <c r="A12" s="1" t="s">
        <v>89</v>
      </c>
      <c r="B12" s="1" t="s">
        <v>45</v>
      </c>
      <c r="C12" s="1">
        <v>23</v>
      </c>
      <c r="D12" s="1">
        <v>178</v>
      </c>
      <c r="E12" s="1" t="s">
        <v>61</v>
      </c>
      <c r="F12" s="1" t="s">
        <v>36</v>
      </c>
      <c r="G12" s="1" t="s">
        <v>90</v>
      </c>
      <c r="H12" s="1" t="str">
        <f>IF(characters[[#This Row],[Tinggi (cm)]]&gt;=175, "Tinggi", IF(characters[[#This Row],[Tinggi (cm)]]&gt;=168, "Normal", "Pendek"))</f>
        <v>Tinggi</v>
      </c>
      <c r="I12" s="1" t="str">
        <f>characters[[#This Row],[Nama Karakter]] &amp; " [" &amp; B12 &amp; "]"</f>
        <v>Tobias Rey [ESFJ]</v>
      </c>
      <c r="J12" s="1">
        <f>VLOOKUP(characters[[#This Row],[Nama Karakter]],Stats_Data[],2,FALSE)</f>
        <v>132</v>
      </c>
      <c r="K12" s="1">
        <f>VLOOKUP(characters[[#This Row],[Nama Karakter]],Stats_Data[],3,FALSE)</f>
        <v>60</v>
      </c>
      <c r="L12" s="1">
        <f>VLOOKUP(characters[[#This Row],[Nama Karakter]],Stats_Data[],4,FALSE)</f>
        <v>80</v>
      </c>
      <c r="M12" s="1">
        <f>VLOOKUP(characters[[#This Row],[Nama Karakter]],Stats_Data[],5,FALSE)</f>
        <v>60</v>
      </c>
      <c r="N12" s="25">
        <f>VLOOKUP(characters[[#This Row],[Nama Karakter]],Stats_Data[],6, FALSE)</f>
        <v>0.3</v>
      </c>
      <c r="O12" s="1">
        <f>VLOOKUP(characters[[#This Row],[Nama Karakter]],Stats_Data[],7, FALSE)</f>
        <v>280</v>
      </c>
      <c r="P12" s="25">
        <f>VLOOKUP(characters[[#This Row],[Nama Karakter]],Stats_Data[],8, FALSE)</f>
        <v>0.57999999999999996</v>
      </c>
      <c r="Q12" s="26">
        <f>characters[[#This Row],[ATK]]*(1+characters[[#This Row],[Crit Rate]])</f>
        <v>78</v>
      </c>
      <c r="R12" s="1" t="str">
        <f>VLOOKUP(characters[[#This Row],[Nama Karakter]],Stats_Data[],9, FALSE)</f>
        <v>Southern Isles</v>
      </c>
      <c r="S12" s="1">
        <f>SUM(characters[[#This Row],[HP]:[Win Rate]])</f>
        <v>612.88</v>
      </c>
      <c r="T12" s="1" t="str">
        <f>IF(characters[[#This Row],[ATK]]&gt;=88, "Attacker", IF(characters[[#This Row],[ATK]]&gt;=75, "Balanced", "Support"))</f>
        <v>Support</v>
      </c>
      <c r="U12" s="5">
        <v>37414</v>
      </c>
      <c r="V12" s="6">
        <f ca="1">(DATEDIF(characters[[#This Row],[Tanggal Lahir]],TODAY(), "Y"))</f>
        <v>24</v>
      </c>
      <c r="W12" s="1" t="str" cm="1">
        <f t="array" ref="W12">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Tanker</v>
      </c>
      <c r="X12" s="6"/>
      <c r="Y12" s="9" t="s">
        <v>110</v>
      </c>
      <c r="Z12" s="9">
        <f>MAX(characters[DEF])</f>
        <v>95</v>
      </c>
      <c r="AA12" s="9" t="str">
        <f>_xlfn.XLOOKUP(Z12,characters[DEF], characters[Nama Karakter])</f>
        <v>Mayumi Sasaki</v>
      </c>
    </row>
    <row r="13" spans="1:28" x14ac:dyDescent="0.3">
      <c r="A13" s="1" t="s">
        <v>21</v>
      </c>
      <c r="B13" s="1" t="s">
        <v>22</v>
      </c>
      <c r="C13" s="1">
        <v>22</v>
      </c>
      <c r="D13" s="1">
        <v>173</v>
      </c>
      <c r="E13" s="1" t="s">
        <v>9</v>
      </c>
      <c r="F13" s="1" t="s">
        <v>23</v>
      </c>
      <c r="G13" s="1" t="s">
        <v>24</v>
      </c>
      <c r="H13" s="1" t="str">
        <f>IF(characters[[#This Row],[Tinggi (cm)]]&gt;=175, "Tinggi", IF(characters[[#This Row],[Tinggi (cm)]]&gt;=168, "Normal", "Pendek"))</f>
        <v>Normal</v>
      </c>
      <c r="I13" s="1" t="str">
        <f>characters[[#This Row],[Nama Karakter]] &amp; " [" &amp; B13 &amp; "]"</f>
        <v>Hayami Amamiya [ISTP]</v>
      </c>
      <c r="J13" s="1">
        <f>VLOOKUP(characters[[#This Row],[Nama Karakter]],Stats_Data[],2,FALSE)</f>
        <v>110</v>
      </c>
      <c r="K13" s="1">
        <f>VLOOKUP(characters[[#This Row],[Nama Karakter]],Stats_Data[],3,FALSE)</f>
        <v>98</v>
      </c>
      <c r="L13" s="1">
        <f>VLOOKUP(characters[[#This Row],[Nama Karakter]],Stats_Data[],4,FALSE)</f>
        <v>82</v>
      </c>
      <c r="M13" s="1">
        <f>VLOOKUP(characters[[#This Row],[Nama Karakter]],Stats_Data[],5,FALSE)</f>
        <v>95</v>
      </c>
      <c r="N13" s="25">
        <f>VLOOKUP(characters[[#This Row],[Nama Karakter]],Stats_Data[],6, FALSE)</f>
        <v>0.43</v>
      </c>
      <c r="O13" s="1">
        <f>VLOOKUP(characters[[#This Row],[Nama Karakter]],Stats_Data[],7, FALSE)</f>
        <v>340</v>
      </c>
      <c r="P13" s="25">
        <f>VLOOKUP(characters[[#This Row],[Nama Karakter]],Stats_Data[],8, FALSE)</f>
        <v>0.91</v>
      </c>
      <c r="Q13" s="26">
        <f>characters[[#This Row],[ATK]]*(1+characters[[#This Row],[Crit Rate]])</f>
        <v>140.13999999999999</v>
      </c>
      <c r="R13" s="1" t="str">
        <f>VLOOKUP(characters[[#This Row],[Nama Karakter]],Stats_Data[],9, FALSE)</f>
        <v>Northern Tundra</v>
      </c>
      <c r="S13" s="1">
        <f>SUM(characters[[#This Row],[HP]:[Win Rate]])</f>
        <v>726.34</v>
      </c>
      <c r="T13" s="1" t="str">
        <f>IF(characters[[#This Row],[ATK]]&gt;=88, "Attacker", IF(characters[[#This Row],[ATK]]&gt;=75, "Balanced", "Support"))</f>
        <v>Attacker</v>
      </c>
      <c r="U13" s="5">
        <v>37668</v>
      </c>
      <c r="V13" s="6">
        <f ca="1">(DATEDIF(characters[[#This Row],[Tanggal Lahir]],TODAY(), "Y"))</f>
        <v>23</v>
      </c>
      <c r="W13" s="1" t="str" cm="1">
        <f t="array" ref="W13">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Squad Inti</v>
      </c>
      <c r="X13" s="6"/>
      <c r="Y13" s="9" t="s">
        <v>109</v>
      </c>
      <c r="Z13" s="9">
        <f>MAX(characters[SPD])</f>
        <v>95</v>
      </c>
      <c r="AA13" s="9" t="str">
        <f>_xlfn.XLOOKUP(Z13,characters[SPD], characters[Nama Karakter])</f>
        <v>Hayami Amamiya</v>
      </c>
    </row>
    <row r="14" spans="1:28" x14ac:dyDescent="0.3">
      <c r="A14" s="1" t="s">
        <v>28</v>
      </c>
      <c r="B14" s="1" t="s">
        <v>29</v>
      </c>
      <c r="C14" s="1">
        <v>22</v>
      </c>
      <c r="D14" s="1">
        <v>165</v>
      </c>
      <c r="E14" s="1" t="s">
        <v>9</v>
      </c>
      <c r="F14" s="1" t="s">
        <v>23</v>
      </c>
      <c r="G14" s="1" t="s">
        <v>30</v>
      </c>
      <c r="H14" s="1" t="str">
        <f>IF(characters[[#This Row],[Tinggi (cm)]]&gt;=175, "Tinggi", IF(characters[[#This Row],[Tinggi (cm)]]&gt;=168, "Normal", "Pendek"))</f>
        <v>Pendek</v>
      </c>
      <c r="I14" s="1" t="str">
        <f>characters[[#This Row],[Nama Karakter]] &amp; " [" &amp; B14 &amp; "]"</f>
        <v>Shiina Ishioka [ISFP]</v>
      </c>
      <c r="J14" s="1">
        <f>VLOOKUP(characters[[#This Row],[Nama Karakter]],Stats_Data[],2,FALSE)</f>
        <v>105</v>
      </c>
      <c r="K14" s="1">
        <f>VLOOKUP(characters[[#This Row],[Nama Karakter]],Stats_Data[],3,FALSE)</f>
        <v>80</v>
      </c>
      <c r="L14" s="1">
        <f>VLOOKUP(characters[[#This Row],[Nama Karakter]],Stats_Data[],4,FALSE)</f>
        <v>50</v>
      </c>
      <c r="M14" s="1">
        <f>VLOOKUP(characters[[#This Row],[Nama Karakter]],Stats_Data[],5,FALSE)</f>
        <v>90</v>
      </c>
      <c r="N14" s="25">
        <f>VLOOKUP(characters[[#This Row],[Nama Karakter]],Stats_Data[],6, FALSE)</f>
        <v>0.42</v>
      </c>
      <c r="O14" s="1">
        <f>VLOOKUP(characters[[#This Row],[Nama Karakter]],Stats_Data[],7, FALSE)</f>
        <v>330</v>
      </c>
      <c r="P14" s="25">
        <f>VLOOKUP(characters[[#This Row],[Nama Karakter]],Stats_Data[],8, FALSE)</f>
        <v>0.5</v>
      </c>
      <c r="Q14" s="26">
        <f>characters[[#This Row],[ATK]]*(1+characters[[#This Row],[Crit Rate]])</f>
        <v>113.6</v>
      </c>
      <c r="R14" s="1" t="str">
        <f>VLOOKUP(characters[[#This Row],[Nama Karakter]],Stats_Data[],9, FALSE)</f>
        <v>Southern Isles</v>
      </c>
      <c r="S14" s="1">
        <f>SUM(characters[[#This Row],[HP]:[Win Rate]])</f>
        <v>655.92000000000007</v>
      </c>
      <c r="T14" s="1" t="str">
        <f>IF(characters[[#This Row],[ATK]]&gt;=88, "Attacker", IF(characters[[#This Row],[ATK]]&gt;=75, "Balanced", "Support"))</f>
        <v>Balanced</v>
      </c>
      <c r="U14" s="5">
        <v>37710</v>
      </c>
      <c r="V14" s="6">
        <f ca="1">(DATEDIF(characters[[#This Row],[Tanggal Lahir]],TODAY(), "Y"))</f>
        <v>23</v>
      </c>
      <c r="W14" s="1" t="str" cm="1">
        <f t="array" ref="W14">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Elite Spy</v>
      </c>
      <c r="X14" s="6"/>
    </row>
    <row r="15" spans="1:28" x14ac:dyDescent="0.3">
      <c r="A15" s="1" t="s">
        <v>41</v>
      </c>
      <c r="B15" s="1" t="s">
        <v>42</v>
      </c>
      <c r="C15" s="1">
        <v>22</v>
      </c>
      <c r="D15" s="1">
        <v>168</v>
      </c>
      <c r="E15" s="1" t="s">
        <v>9</v>
      </c>
      <c r="F15" s="1" t="s">
        <v>36</v>
      </c>
      <c r="G15" s="1" t="s">
        <v>43</v>
      </c>
      <c r="H15" s="1" t="str">
        <f>IF(characters[[#This Row],[Tinggi (cm)]]&gt;=175, "Tinggi", IF(characters[[#This Row],[Tinggi (cm)]]&gt;=168, "Normal", "Pendek"))</f>
        <v>Normal</v>
      </c>
      <c r="I15" s="1" t="str">
        <f>characters[[#This Row],[Nama Karakter]] &amp; " [" &amp; B15 &amp; "]"</f>
        <v>Mayumi Sasaki [ISFJ]</v>
      </c>
      <c r="J15" s="1">
        <f>VLOOKUP(characters[[#This Row],[Nama Karakter]],Stats_Data[],2,FALSE)</f>
        <v>150</v>
      </c>
      <c r="K15" s="1">
        <f>VLOOKUP(characters[[#This Row],[Nama Karakter]],Stats_Data[],3,FALSE)</f>
        <v>55</v>
      </c>
      <c r="L15" s="1">
        <f>VLOOKUP(characters[[#This Row],[Nama Karakter]],Stats_Data[],4,FALSE)</f>
        <v>95</v>
      </c>
      <c r="M15" s="1">
        <f>VLOOKUP(characters[[#This Row],[Nama Karakter]],Stats_Data[],5,FALSE)</f>
        <v>45</v>
      </c>
      <c r="N15" s="25">
        <f>VLOOKUP(characters[[#This Row],[Nama Karakter]],Stats_Data[],6, FALSE)</f>
        <v>0.68</v>
      </c>
      <c r="O15" s="1">
        <f>VLOOKUP(characters[[#This Row],[Nama Karakter]],Stats_Data[],7, FALSE)</f>
        <v>140</v>
      </c>
      <c r="P15" s="25">
        <f>VLOOKUP(characters[[#This Row],[Nama Karakter]],Stats_Data[],8, FALSE)</f>
        <v>0.64</v>
      </c>
      <c r="Q15" s="26">
        <f>characters[[#This Row],[ATK]]*(1+characters[[#This Row],[Crit Rate]])</f>
        <v>92.4</v>
      </c>
      <c r="R15" s="1" t="str">
        <f>VLOOKUP(characters[[#This Row],[Nama Karakter]],Stats_Data[],9, FALSE)</f>
        <v>Western Citadel</v>
      </c>
      <c r="S15" s="1">
        <f>SUM(characters[[#This Row],[HP]:[Win Rate]])</f>
        <v>486.32</v>
      </c>
      <c r="T15" s="1" t="str">
        <f>IF(characters[[#This Row],[ATK]]&gt;=88, "Attacker", IF(characters[[#This Row],[ATK]]&gt;=75, "Balanced", "Support"))</f>
        <v>Support</v>
      </c>
      <c r="U15" s="5">
        <v>37686</v>
      </c>
      <c r="V15" s="6">
        <f ca="1">(DATEDIF(characters[[#This Row],[Tanggal Lahir]],TODAY(), "Y"))</f>
        <v>23</v>
      </c>
      <c r="W15" s="1" t="str" cm="1">
        <f t="array" ref="W15">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Tanker</v>
      </c>
      <c r="X15" s="6"/>
      <c r="Y15" s="9" t="s">
        <v>187</v>
      </c>
      <c r="Z15" s="9">
        <f ca="1">AVERAGE(characters[Umur Akurat])</f>
        <v>22.6875</v>
      </c>
    </row>
    <row r="16" spans="1:28" x14ac:dyDescent="0.3">
      <c r="A16" s="1" t="s">
        <v>44</v>
      </c>
      <c r="B16" s="1" t="s">
        <v>45</v>
      </c>
      <c r="C16" s="1">
        <v>22</v>
      </c>
      <c r="D16" s="1">
        <v>167</v>
      </c>
      <c r="E16" s="1" t="s">
        <v>9</v>
      </c>
      <c r="F16" s="1" t="s">
        <v>36</v>
      </c>
      <c r="G16" s="1" t="s">
        <v>46</v>
      </c>
      <c r="H16" s="1" t="str">
        <f>IF(characters[[#This Row],[Tinggi (cm)]]&gt;=175, "Tinggi", IF(characters[[#This Row],[Tinggi (cm)]]&gt;=168, "Normal", "Pendek"))</f>
        <v>Pendek</v>
      </c>
      <c r="I16" s="1" t="str">
        <f>characters[[#This Row],[Nama Karakter]] &amp; " [" &amp; B16 &amp; "]"</f>
        <v>Lily Raven [ESFJ]</v>
      </c>
      <c r="J16" s="1">
        <f>VLOOKUP(characters[[#This Row],[Nama Karakter]],Stats_Data[],2,FALSE)</f>
        <v>120</v>
      </c>
      <c r="K16" s="1">
        <f>VLOOKUP(characters[[#This Row],[Nama Karakter]],Stats_Data[],3,FALSE)</f>
        <v>78</v>
      </c>
      <c r="L16" s="1">
        <f>VLOOKUP(characters[[#This Row],[Nama Karakter]],Stats_Data[],4,FALSE)</f>
        <v>70</v>
      </c>
      <c r="M16" s="1">
        <f>VLOOKUP(characters[[#This Row],[Nama Karakter]],Stats_Data[],5,FALSE)</f>
        <v>75</v>
      </c>
      <c r="N16" s="25">
        <f>VLOOKUP(characters[[#This Row],[Nama Karakter]],Stats_Data[],6, FALSE)</f>
        <v>0.25</v>
      </c>
      <c r="O16" s="1">
        <f>VLOOKUP(characters[[#This Row],[Nama Karakter]],Stats_Data[],7, FALSE)</f>
        <v>280</v>
      </c>
      <c r="P16" s="25">
        <f>VLOOKUP(characters[[#This Row],[Nama Karakter]],Stats_Data[],8, FALSE)</f>
        <v>0.52</v>
      </c>
      <c r="Q16" s="26">
        <f>characters[[#This Row],[ATK]]*(1+characters[[#This Row],[Crit Rate]])</f>
        <v>97.5</v>
      </c>
      <c r="R16" s="1" t="str">
        <f>VLOOKUP(characters[[#This Row],[Nama Karakter]],Stats_Data[],9, FALSE)</f>
        <v>Western Citadel</v>
      </c>
      <c r="S16" s="1">
        <f>SUM(characters[[#This Row],[HP]:[Win Rate]])</f>
        <v>623.77</v>
      </c>
      <c r="T16" s="1" t="str">
        <f>IF(characters[[#This Row],[ATK]]&gt;=88, "Attacker", IF(characters[[#This Row],[ATK]]&gt;=75, "Balanced", "Support"))</f>
        <v>Balanced</v>
      </c>
      <c r="U16" s="5">
        <v>37866</v>
      </c>
      <c r="V16" s="6">
        <f ca="1">(DATEDIF(characters[[#This Row],[Tanggal Lahir]],TODAY(), "Y"))</f>
        <v>22</v>
      </c>
      <c r="W16" s="1" t="str" cm="1">
        <f t="array" ref="W16">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Reguler</v>
      </c>
      <c r="X16" s="6"/>
    </row>
    <row r="17" spans="1:31" x14ac:dyDescent="0.3">
      <c r="A17" s="1" t="s">
        <v>51</v>
      </c>
      <c r="B17" s="1" t="s">
        <v>52</v>
      </c>
      <c r="C17" s="1">
        <v>22</v>
      </c>
      <c r="D17" s="1">
        <v>169</v>
      </c>
      <c r="E17" s="1" t="s">
        <v>9</v>
      </c>
      <c r="F17" s="1" t="s">
        <v>49</v>
      </c>
      <c r="G17" s="1" t="s">
        <v>53</v>
      </c>
      <c r="H17" s="1" t="str">
        <f>IF(characters[[#This Row],[Tinggi (cm)]]&gt;=175, "Tinggi", IF(characters[[#This Row],[Tinggi (cm)]]&gt;=168, "Normal", "Pendek"))</f>
        <v>Normal</v>
      </c>
      <c r="I17" s="1" t="str">
        <f>characters[[#This Row],[Nama Karakter]] &amp; " [" &amp; B17 &amp; "]"</f>
        <v>Himiko Nakayama [ENFJ]</v>
      </c>
      <c r="J17" s="1">
        <f>VLOOKUP(characters[[#This Row],[Nama Karakter]],Stats_Data[],2,FALSE)</f>
        <v>125</v>
      </c>
      <c r="K17" s="1">
        <f>VLOOKUP(characters[[#This Row],[Nama Karakter]],Stats_Data[],3,FALSE)</f>
        <v>72</v>
      </c>
      <c r="L17" s="1">
        <f>VLOOKUP(characters[[#This Row],[Nama Karakter]],Stats_Data[],4,FALSE)</f>
        <v>75</v>
      </c>
      <c r="M17" s="1">
        <f>VLOOKUP(characters[[#This Row],[Nama Karakter]],Stats_Data[],5,FALSE)</f>
        <v>70</v>
      </c>
      <c r="N17" s="25">
        <f>VLOOKUP(characters[[#This Row],[Nama Karakter]],Stats_Data[],6, FALSE)</f>
        <v>0.4</v>
      </c>
      <c r="O17" s="1">
        <f>VLOOKUP(characters[[#This Row],[Nama Karakter]],Stats_Data[],7, FALSE)</f>
        <v>150</v>
      </c>
      <c r="P17" s="25">
        <f>VLOOKUP(characters[[#This Row],[Nama Karakter]],Stats_Data[],8, FALSE)</f>
        <v>0.66</v>
      </c>
      <c r="Q17" s="26">
        <f>characters[[#This Row],[ATK]]*(1+characters[[#This Row],[Crit Rate]])</f>
        <v>100.8</v>
      </c>
      <c r="R17" s="1" t="str">
        <f>VLOOKUP(characters[[#This Row],[Nama Karakter]],Stats_Data[],9, FALSE)</f>
        <v>Western Citadel</v>
      </c>
      <c r="S17" s="1">
        <f>SUM(characters[[#This Row],[HP]:[Win Rate]])</f>
        <v>493.06</v>
      </c>
      <c r="T17" s="1" t="str">
        <f>IF(characters[[#This Row],[ATK]]&gt;=88, "Attacker", IF(characters[[#This Row],[ATK]]&gt;=75, "Balanced", "Support"))</f>
        <v>Support</v>
      </c>
      <c r="U17" s="5">
        <v>37732</v>
      </c>
      <c r="V17" s="6">
        <f ca="1">(DATEDIF(characters[[#This Row],[Tanggal Lahir]],TODAY(), "Y"))</f>
        <v>23</v>
      </c>
      <c r="W17" s="1" t="str" cm="1">
        <f t="array" ref="W17">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Reguler</v>
      </c>
      <c r="X17" s="6"/>
      <c r="Y17" s="9" t="s">
        <v>4</v>
      </c>
      <c r="Z17" s="9" t="s">
        <v>215</v>
      </c>
      <c r="AA17" s="9" t="s">
        <v>216</v>
      </c>
      <c r="AB17" s="9" t="s">
        <v>217</v>
      </c>
      <c r="AC17" s="9" t="s">
        <v>218</v>
      </c>
    </row>
    <row r="18" spans="1:31" x14ac:dyDescent="0.3">
      <c r="A18" s="1" t="s">
        <v>54</v>
      </c>
      <c r="B18" s="1" t="s">
        <v>55</v>
      </c>
      <c r="C18" s="1">
        <v>22</v>
      </c>
      <c r="D18" s="1">
        <v>165</v>
      </c>
      <c r="E18" s="1" t="s">
        <v>9</v>
      </c>
      <c r="F18" s="1" t="s">
        <v>49</v>
      </c>
      <c r="G18" s="1" t="s">
        <v>56</v>
      </c>
      <c r="H18" s="1" t="str">
        <f>IF(characters[[#This Row],[Tinggi (cm)]]&gt;=175, "Tinggi", IF(characters[[#This Row],[Tinggi (cm)]]&gt;=168, "Normal", "Pendek"))</f>
        <v>Pendek</v>
      </c>
      <c r="I18" s="1" t="str">
        <f>characters[[#This Row],[Nama Karakter]] &amp; " [" &amp; B18 &amp; "]"</f>
        <v>Katie Olson [INFP]</v>
      </c>
      <c r="J18" s="1">
        <f>VLOOKUP(characters[[#This Row],[Nama Karakter]],Stats_Data[],2,FALSE)</f>
        <v>105</v>
      </c>
      <c r="K18" s="1">
        <f>VLOOKUP(characters[[#This Row],[Nama Karakter]],Stats_Data[],3,FALSE)</f>
        <v>88</v>
      </c>
      <c r="L18" s="1">
        <f>VLOOKUP(characters[[#This Row],[Nama Karakter]],Stats_Data[],4,FALSE)</f>
        <v>55</v>
      </c>
      <c r="M18" s="1">
        <f>VLOOKUP(characters[[#This Row],[Nama Karakter]],Stats_Data[],5,FALSE)</f>
        <v>75</v>
      </c>
      <c r="N18" s="25">
        <f>VLOOKUP(characters[[#This Row],[Nama Karakter]],Stats_Data[],6, FALSE)</f>
        <v>0.55000000000000004</v>
      </c>
      <c r="O18" s="1">
        <f>VLOOKUP(characters[[#This Row],[Nama Karakter]],Stats_Data[],7, FALSE)</f>
        <v>160</v>
      </c>
      <c r="P18" s="25">
        <f>VLOOKUP(characters[[#This Row],[Nama Karakter]],Stats_Data[],8, FALSE)</f>
        <v>0.57999999999999996</v>
      </c>
      <c r="Q18" s="26">
        <f>characters[[#This Row],[ATK]]*(1+characters[[#This Row],[Crit Rate]])</f>
        <v>136.4</v>
      </c>
      <c r="R18" s="1" t="str">
        <f>VLOOKUP(characters[[#This Row],[Nama Karakter]],Stats_Data[],9, FALSE)</f>
        <v>Southern Isles</v>
      </c>
      <c r="S18" s="1">
        <f>SUM(characters[[#This Row],[HP]:[Win Rate]])</f>
        <v>484.13</v>
      </c>
      <c r="T18" s="1" t="str">
        <f>IF(characters[[#This Row],[ATK]]&gt;=88, "Attacker", IF(characters[[#This Row],[ATK]]&gt;=75, "Balanced", "Support"))</f>
        <v>Attacker</v>
      </c>
      <c r="U18" s="5">
        <v>37692</v>
      </c>
      <c r="V18" s="6">
        <f ca="1">(DATEDIF(characters[[#This Row],[Tanggal Lahir]],TODAY(), "Y"))</f>
        <v>23</v>
      </c>
      <c r="W18" s="1" t="str" cm="1">
        <f t="array" ref="W18">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Squad Inti</v>
      </c>
      <c r="X18" s="6"/>
      <c r="Y18" s="9" t="s">
        <v>9</v>
      </c>
      <c r="Z18" s="10">
        <f>COUNTIFS(latihan_cleaning__2[Konversi Grup],Y18)</f>
        <v>16</v>
      </c>
      <c r="AA18" s="11">
        <f>AVERAGEIFS(characters[ATK],latihan_cleaning__2[Konversi Grup],Y18)</f>
        <v>78.4375</v>
      </c>
      <c r="AB18" s="12">
        <f>_xlfn.MAXIFS(characters[Total Stat],latihan_cleaning__2[Konversi Grup],Y18)</f>
        <v>726.34</v>
      </c>
      <c r="AC18" s="9" t="str">
        <f>_xlfn.XLOOKUP(AB18,characters[Total Stat],characters[Nama Karakter])</f>
        <v>Hayami Amamiya</v>
      </c>
    </row>
    <row r="19" spans="1:31" x14ac:dyDescent="0.3">
      <c r="A19" s="1" t="s">
        <v>63</v>
      </c>
      <c r="B19" s="1" t="s">
        <v>22</v>
      </c>
      <c r="C19" s="1">
        <v>22</v>
      </c>
      <c r="D19" s="1">
        <v>184</v>
      </c>
      <c r="E19" s="1" t="s">
        <v>61</v>
      </c>
      <c r="F19" s="1" t="s">
        <v>23</v>
      </c>
      <c r="G19" s="1" t="s">
        <v>64</v>
      </c>
      <c r="H19" s="1" t="str">
        <f>IF(characters[[#This Row],[Tinggi (cm)]]&gt;=175, "Tinggi", IF(characters[[#This Row],[Tinggi (cm)]]&gt;=168, "Normal", "Pendek"))</f>
        <v>Tinggi</v>
      </c>
      <c r="I19" s="1" t="str">
        <f>characters[[#This Row],[Nama Karakter]] &amp; " [" &amp; B19 &amp; "]"</f>
        <v>Aldric Crane [ISTP]</v>
      </c>
      <c r="J19" s="1">
        <f>VLOOKUP(characters[[#This Row],[Nama Karakter]],Stats_Data[],2,FALSE)</f>
        <v>130</v>
      </c>
      <c r="K19" s="1">
        <f>VLOOKUP(characters[[#This Row],[Nama Karakter]],Stats_Data[],3,FALSE)</f>
        <v>95</v>
      </c>
      <c r="L19" s="1">
        <f>VLOOKUP(characters[[#This Row],[Nama Karakter]],Stats_Data[],4,FALSE)</f>
        <v>85</v>
      </c>
      <c r="M19" s="1">
        <f>VLOOKUP(characters[[#This Row],[Nama Karakter]],Stats_Data[],5,FALSE)</f>
        <v>87</v>
      </c>
      <c r="N19" s="25">
        <f>VLOOKUP(characters[[#This Row],[Nama Karakter]],Stats_Data[],6, FALSE)</f>
        <v>0.75</v>
      </c>
      <c r="O19" s="1">
        <f>VLOOKUP(characters[[#This Row],[Nama Karakter]],Stats_Data[],7, FALSE)</f>
        <v>350</v>
      </c>
      <c r="P19" s="25">
        <f>VLOOKUP(characters[[#This Row],[Nama Karakter]],Stats_Data[],8, FALSE)</f>
        <v>0.62</v>
      </c>
      <c r="Q19" s="26">
        <f>characters[[#This Row],[ATK]]*(1+characters[[#This Row],[Crit Rate]])</f>
        <v>166.25</v>
      </c>
      <c r="R19" s="1" t="str">
        <f>VLOOKUP(characters[[#This Row],[Nama Karakter]],Stats_Data[],9, FALSE)</f>
        <v>Northern Tundra</v>
      </c>
      <c r="S19" s="1">
        <f>SUM(characters[[#This Row],[HP]:[Win Rate]])</f>
        <v>748.37</v>
      </c>
      <c r="T19" s="1" t="str">
        <f>IF(characters[[#This Row],[ATK]]&gt;=88, "Attacker", IF(characters[[#This Row],[ATK]]&gt;=75, "Balanced", "Support"))</f>
        <v>Attacker</v>
      </c>
      <c r="U19" s="5">
        <v>37854</v>
      </c>
      <c r="V19" s="6">
        <f ca="1">(DATEDIF(characters[[#This Row],[Tanggal Lahir]],TODAY(), "Y"))</f>
        <v>22</v>
      </c>
      <c r="W19" s="1" t="str" cm="1">
        <f t="array" ref="W19">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Squad Inti</v>
      </c>
      <c r="X19" s="6"/>
      <c r="Y19" s="9" t="s">
        <v>61</v>
      </c>
      <c r="Z19" s="10">
        <f>COUNTIFS(latihan_cleaning__2[Konversi Grup],Y19)</f>
        <v>16</v>
      </c>
      <c r="AA19" s="11">
        <f>AVERAGEIFS(characters[ATK],latihan_cleaning__2[Konversi Grup],Y19)</f>
        <v>76.9375</v>
      </c>
      <c r="AB19" s="12">
        <f>_xlfn.MAXIFS(characters[Total Stat],latihan_cleaning__2[Konversi Grup],Y19)</f>
        <v>748.37</v>
      </c>
      <c r="AC19" s="9" t="str">
        <f>_xlfn.XLOOKUP(AB19,characters[Total Stat],characters[Nama Karakter])</f>
        <v>Aldric Crane</v>
      </c>
    </row>
    <row r="20" spans="1:31" x14ac:dyDescent="0.3">
      <c r="A20" s="1" t="s">
        <v>71</v>
      </c>
      <c r="B20" s="1" t="s">
        <v>8</v>
      </c>
      <c r="C20" s="1">
        <v>22</v>
      </c>
      <c r="D20" s="1">
        <v>173</v>
      </c>
      <c r="E20" s="1" t="s">
        <v>61</v>
      </c>
      <c r="F20" s="1" t="s">
        <v>10</v>
      </c>
      <c r="G20" s="1" t="s">
        <v>72</v>
      </c>
      <c r="H20" s="1" t="str">
        <f>IF(characters[[#This Row],[Tinggi (cm)]]&gt;=175, "Tinggi", IF(characters[[#This Row],[Tinggi (cm)]]&gt;=168, "Normal", "Pendek"))</f>
        <v>Normal</v>
      </c>
      <c r="I20" s="1" t="str">
        <f>characters[[#This Row],[Nama Karakter]] &amp; " [" &amp; B20 &amp; "]"</f>
        <v>Sylvaine Morrel [INTP]</v>
      </c>
      <c r="J20" s="1">
        <f>VLOOKUP(characters[[#This Row],[Nama Karakter]],Stats_Data[],2,FALSE)</f>
        <v>112</v>
      </c>
      <c r="K20" s="1">
        <f>VLOOKUP(characters[[#This Row],[Nama Karakter]],Stats_Data[],3,FALSE)</f>
        <v>92</v>
      </c>
      <c r="L20" s="1">
        <f>VLOOKUP(characters[[#This Row],[Nama Karakter]],Stats_Data[],4,FALSE)</f>
        <v>58</v>
      </c>
      <c r="M20" s="1">
        <f>VLOOKUP(characters[[#This Row],[Nama Karakter]],Stats_Data[],5,FALSE)</f>
        <v>68</v>
      </c>
      <c r="N20" s="25">
        <f>VLOOKUP(characters[[#This Row],[Nama Karakter]],Stats_Data[],6, FALSE)</f>
        <v>0.5</v>
      </c>
      <c r="O20" s="1">
        <f>VLOOKUP(characters[[#This Row],[Nama Karakter]],Stats_Data[],7, FALSE)</f>
        <v>210</v>
      </c>
      <c r="P20" s="25">
        <f>VLOOKUP(characters[[#This Row],[Nama Karakter]],Stats_Data[],8, FALSE)</f>
        <v>0.63</v>
      </c>
      <c r="Q20" s="26">
        <f>characters[[#This Row],[ATK]]*(1+characters[[#This Row],[Crit Rate]])</f>
        <v>138</v>
      </c>
      <c r="R20" s="1" t="str">
        <f>VLOOKUP(characters[[#This Row],[Nama Karakter]],Stats_Data[],9, FALSE)</f>
        <v>Eastern Sunrise</v>
      </c>
      <c r="S20" s="1">
        <f>SUM(characters[[#This Row],[HP]:[Win Rate]])</f>
        <v>541.13</v>
      </c>
      <c r="T20" s="1" t="str">
        <f>IF(characters[[#This Row],[ATK]]&gt;=88, "Attacker", IF(characters[[#This Row],[ATK]]&gt;=75, "Balanced", "Support"))</f>
        <v>Attacker</v>
      </c>
      <c r="U20" s="5">
        <v>37650</v>
      </c>
      <c r="V20" s="6">
        <f ca="1">(DATEDIF(characters[[#This Row],[Tanggal Lahir]],TODAY(), "Y"))</f>
        <v>23</v>
      </c>
      <c r="W20" s="1" t="str" cm="1">
        <f t="array" ref="W20">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Squad Inti</v>
      </c>
      <c r="X20" s="6"/>
    </row>
    <row r="21" spans="1:31" x14ac:dyDescent="0.3">
      <c r="A21" s="1" t="s">
        <v>81</v>
      </c>
      <c r="B21" s="1" t="s">
        <v>52</v>
      </c>
      <c r="C21" s="1">
        <v>22</v>
      </c>
      <c r="D21" s="1">
        <v>181</v>
      </c>
      <c r="E21" s="1" t="s">
        <v>61</v>
      </c>
      <c r="F21" s="1" t="s">
        <v>49</v>
      </c>
      <c r="G21" s="1" t="s">
        <v>82</v>
      </c>
      <c r="H21" s="1" t="str">
        <f>IF(characters[[#This Row],[Tinggi (cm)]]&gt;=175, "Tinggi", IF(characters[[#This Row],[Tinggi (cm)]]&gt;=168, "Normal", "Pendek"))</f>
        <v>Tinggi</v>
      </c>
      <c r="I21" s="1" t="str">
        <f>characters[[#This Row],[Nama Karakter]] &amp; " [" &amp; B21 &amp; "]"</f>
        <v>Rhen Caen [ENFJ]</v>
      </c>
      <c r="J21" s="1">
        <f>VLOOKUP(characters[[#This Row],[Nama Karakter]],Stats_Data[],2,FALSE)</f>
        <v>140</v>
      </c>
      <c r="K21" s="1">
        <f>VLOOKUP(characters[[#This Row],[Nama Karakter]],Stats_Data[],3,FALSE)</f>
        <v>65</v>
      </c>
      <c r="L21" s="1">
        <f>VLOOKUP(characters[[#This Row],[Nama Karakter]],Stats_Data[],4,FALSE)</f>
        <v>85</v>
      </c>
      <c r="M21" s="1">
        <f>VLOOKUP(characters[[#This Row],[Nama Karakter]],Stats_Data[],5,FALSE)</f>
        <v>55</v>
      </c>
      <c r="N21" s="25">
        <f>VLOOKUP(characters[[#This Row],[Nama Karakter]],Stats_Data[],6, FALSE)</f>
        <v>0.55000000000000004</v>
      </c>
      <c r="O21" s="1">
        <f>VLOOKUP(characters[[#This Row],[Nama Karakter]],Stats_Data[],7, FALSE)</f>
        <v>240</v>
      </c>
      <c r="P21" s="25">
        <f>VLOOKUP(characters[[#This Row],[Nama Karakter]],Stats_Data[],8, FALSE)</f>
        <v>0.72</v>
      </c>
      <c r="Q21" s="26">
        <f>characters[[#This Row],[ATK]]*(1+characters[[#This Row],[Crit Rate]])</f>
        <v>100.75</v>
      </c>
      <c r="R21" s="1" t="str">
        <f>VLOOKUP(characters[[#This Row],[Nama Karakter]],Stats_Data[],9, FALSE)</f>
        <v>Western Citadel</v>
      </c>
      <c r="S21" s="1">
        <f>SUM(characters[[#This Row],[HP]:[Win Rate]])</f>
        <v>586.27</v>
      </c>
      <c r="T21" s="1" t="str">
        <f>IF(characters[[#This Row],[ATK]]&gt;=88, "Attacker", IF(characters[[#This Row],[ATK]]&gt;=75, "Balanced", "Support"))</f>
        <v>Support</v>
      </c>
      <c r="U21" s="5">
        <v>37757</v>
      </c>
      <c r="V21" s="6">
        <f ca="1">(DATEDIF(characters[[#This Row],[Tanggal Lahir]],TODAY(), "Y"))</f>
        <v>23</v>
      </c>
      <c r="W21" s="1" t="str" cm="1">
        <f t="array" ref="W21">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Tanker</v>
      </c>
      <c r="X21" s="6"/>
      <c r="Y21" s="9" t="s">
        <v>221</v>
      </c>
      <c r="Z21" s="9"/>
      <c r="AB21" s="9" t="s">
        <v>270</v>
      </c>
      <c r="AC21" s="9" t="s">
        <v>265</v>
      </c>
      <c r="AE21" s="1" t="str" cm="1">
        <f t="array" ref="AE21:AE24">_xlfn.UNIQUE(characters[Faction])</f>
        <v>Northern Tundra</v>
      </c>
    </row>
    <row r="22" spans="1:31" x14ac:dyDescent="0.3">
      <c r="A22" s="1" t="s">
        <v>87</v>
      </c>
      <c r="B22" s="1" t="s">
        <v>35</v>
      </c>
      <c r="C22" s="1">
        <v>22</v>
      </c>
      <c r="D22" s="1">
        <v>179</v>
      </c>
      <c r="E22" s="1" t="s">
        <v>61</v>
      </c>
      <c r="F22" s="1" t="s">
        <v>36</v>
      </c>
      <c r="G22" s="1" t="s">
        <v>88</v>
      </c>
      <c r="H22" s="1" t="str">
        <f>IF(characters[[#This Row],[Tinggi (cm)]]&gt;=175, "Tinggi", IF(characters[[#This Row],[Tinggi (cm)]]&gt;=168, "Normal", "Pendek"))</f>
        <v>Tinggi</v>
      </c>
      <c r="I22" s="1" t="str">
        <f>characters[[#This Row],[Nama Karakter]] &amp; " [" &amp; B22 &amp; "]"</f>
        <v>Dorian Penn [ISTJ]</v>
      </c>
      <c r="J22" s="1">
        <f>VLOOKUP(characters[[#This Row],[Nama Karakter]],Stats_Data[],2,FALSE)</f>
        <v>128</v>
      </c>
      <c r="K22" s="1">
        <f>VLOOKUP(characters[[#This Row],[Nama Karakter]],Stats_Data[],3,FALSE)</f>
        <v>80</v>
      </c>
      <c r="L22" s="1">
        <f>VLOOKUP(characters[[#This Row],[Nama Karakter]],Stats_Data[],4,FALSE)</f>
        <v>78</v>
      </c>
      <c r="M22" s="1">
        <f>VLOOKUP(characters[[#This Row],[Nama Karakter]],Stats_Data[],5,FALSE)</f>
        <v>64</v>
      </c>
      <c r="N22" s="25">
        <f>VLOOKUP(characters[[#This Row],[Nama Karakter]],Stats_Data[],6, FALSE)</f>
        <v>0.9</v>
      </c>
      <c r="O22" s="1">
        <f>VLOOKUP(characters[[#This Row],[Nama Karakter]],Stats_Data[],7, FALSE)</f>
        <v>90</v>
      </c>
      <c r="P22" s="25">
        <f>VLOOKUP(characters[[#This Row],[Nama Karakter]],Stats_Data[],8, FALSE)</f>
        <v>0.81</v>
      </c>
      <c r="Q22" s="26">
        <f>characters[[#This Row],[ATK]]*(1+characters[[#This Row],[Crit Rate]])</f>
        <v>152</v>
      </c>
      <c r="R22" s="1" t="str">
        <f>VLOOKUP(characters[[#This Row],[Nama Karakter]],Stats_Data[],9, FALSE)</f>
        <v>Eastern Sunrise</v>
      </c>
      <c r="S22" s="1">
        <f>SUM(characters[[#This Row],[HP]:[Win Rate]])</f>
        <v>441.71</v>
      </c>
      <c r="T22" s="1" t="str">
        <f>IF(characters[[#This Row],[ATK]]&gt;=88, "Attacker", IF(characters[[#This Row],[ATK]]&gt;=75, "Balanced", "Support"))</f>
        <v>Balanced</v>
      </c>
      <c r="U22" s="5">
        <v>37684</v>
      </c>
      <c r="V22" s="6">
        <f ca="1">(DATEDIF(characters[[#This Row],[Tanggal Lahir]],TODAY(), "Y"))</f>
        <v>23</v>
      </c>
      <c r="W22" s="1" t="str" cm="1">
        <f t="array" ref="W22">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Reguler</v>
      </c>
      <c r="X22" s="6"/>
      <c r="Y22" s="9" t="s">
        <v>222</v>
      </c>
      <c r="Z22" s="9">
        <f>COUNTIF(characters[Status Squad], Y22)</f>
        <v>7</v>
      </c>
      <c r="AB22" s="9" t="s">
        <v>271</v>
      </c>
      <c r="AC22" s="9">
        <f>IFERROR(AVERAGEIFS(Stats_Data[Win Rate],Stats_Data[Faksi Wilayah],AC21), "")</f>
        <v>0.66625000000000001</v>
      </c>
      <c r="AE22" s="1" t="str">
        <v>Eastern Sunrise</v>
      </c>
    </row>
    <row r="23" spans="1:31" x14ac:dyDescent="0.3">
      <c r="A23" s="1" t="s">
        <v>12</v>
      </c>
      <c r="B23" s="1" t="s">
        <v>13</v>
      </c>
      <c r="C23" s="1">
        <v>21</v>
      </c>
      <c r="D23" s="1">
        <v>168</v>
      </c>
      <c r="E23" s="1" t="s">
        <v>9</v>
      </c>
      <c r="F23" s="1" t="s">
        <v>10</v>
      </c>
      <c r="G23" s="1" t="s">
        <v>14</v>
      </c>
      <c r="H23" s="1" t="str">
        <f>IF(characters[[#This Row],[Tinggi (cm)]]&gt;=175, "Tinggi", IF(characters[[#This Row],[Tinggi (cm)]]&gt;=168, "Normal", "Pendek"))</f>
        <v>Normal</v>
      </c>
      <c r="I23" s="1" t="str">
        <f>characters[[#This Row],[Nama Karakter]] &amp; " [" &amp; B23 &amp; "]"</f>
        <v>Mica Dwyer [ENTP]</v>
      </c>
      <c r="J23" s="1">
        <f>VLOOKUP(characters[[#This Row],[Nama Karakter]],Stats_Data[],2,FALSE)</f>
        <v>115</v>
      </c>
      <c r="K23" s="1">
        <f>VLOOKUP(characters[[#This Row],[Nama Karakter]],Stats_Data[],3,FALSE)</f>
        <v>75</v>
      </c>
      <c r="L23" s="1">
        <f>VLOOKUP(characters[[#This Row],[Nama Karakter]],Stats_Data[],4,FALSE)</f>
        <v>70</v>
      </c>
      <c r="M23" s="1">
        <f>VLOOKUP(characters[[#This Row],[Nama Karakter]],Stats_Data[],5,FALSE)</f>
        <v>85</v>
      </c>
      <c r="N23" s="25">
        <f>VLOOKUP(characters[[#This Row],[Nama Karakter]],Stats_Data[],6, FALSE)</f>
        <v>0.4</v>
      </c>
      <c r="O23" s="1">
        <f>VLOOKUP(characters[[#This Row],[Nama Karakter]],Stats_Data[],7, FALSE)</f>
        <v>260</v>
      </c>
      <c r="P23" s="25">
        <f>VLOOKUP(characters[[#This Row],[Nama Karakter]],Stats_Data[],8, FALSE)</f>
        <v>0.75</v>
      </c>
      <c r="Q23" s="26">
        <f>characters[[#This Row],[ATK]]*(1+characters[[#This Row],[Crit Rate]])</f>
        <v>105</v>
      </c>
      <c r="R23" s="1" t="str">
        <f>VLOOKUP(characters[[#This Row],[Nama Karakter]],Stats_Data[],9, FALSE)</f>
        <v>Eastern Sunrise</v>
      </c>
      <c r="S23" s="1">
        <f>SUM(characters[[#This Row],[HP]:[Win Rate]])</f>
        <v>606.15</v>
      </c>
      <c r="T23" s="1" t="str">
        <f>IF(characters[[#This Row],[ATK]]&gt;=88, "Attacker", IF(characters[[#This Row],[ATK]]&gt;=75, "Balanced", "Support"))</f>
        <v>Balanced</v>
      </c>
      <c r="U23" s="5">
        <v>38149</v>
      </c>
      <c r="V23" s="6">
        <f ca="1">(DATEDIF(characters[[#This Row],[Tanggal Lahir]],TODAY(), "Y"))</f>
        <v>22</v>
      </c>
      <c r="W23" s="1" t="str" cm="1">
        <f t="array" ref="W23">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Tactician</v>
      </c>
      <c r="X23" s="6"/>
      <c r="Y23" s="9" t="s">
        <v>223</v>
      </c>
      <c r="Z23" s="9">
        <f>COUNTIF(characters[Status Squad], Y23)</f>
        <v>7</v>
      </c>
      <c r="AE23" s="1" t="str">
        <v>Southern Isles</v>
      </c>
    </row>
    <row r="24" spans="1:31" x14ac:dyDescent="0.3">
      <c r="A24" s="1" t="s">
        <v>25</v>
      </c>
      <c r="B24" s="1" t="s">
        <v>26</v>
      </c>
      <c r="C24" s="1">
        <v>21</v>
      </c>
      <c r="D24" s="1">
        <v>171</v>
      </c>
      <c r="E24" s="1" t="s">
        <v>9</v>
      </c>
      <c r="F24" s="1" t="s">
        <v>23</v>
      </c>
      <c r="G24" s="1" t="s">
        <v>27</v>
      </c>
      <c r="H24" s="1" t="str">
        <f>IF(characters[[#This Row],[Tinggi (cm)]]&gt;=175, "Tinggi", IF(characters[[#This Row],[Tinggi (cm)]]&gt;=168, "Normal", "Pendek"))</f>
        <v>Normal</v>
      </c>
      <c r="I24" s="1" t="str">
        <f>characters[[#This Row],[Nama Karakter]] &amp; " [" &amp; B24 &amp; "]"</f>
        <v>Shaye Kaylen [ESTP]</v>
      </c>
      <c r="J24" s="1">
        <f>VLOOKUP(characters[[#This Row],[Nama Karakter]],Stats_Data[],2,FALSE)</f>
        <v>125</v>
      </c>
      <c r="K24" s="1">
        <f>VLOOKUP(characters[[#This Row],[Nama Karakter]],Stats_Data[],3,FALSE)</f>
        <v>87</v>
      </c>
      <c r="L24" s="1">
        <f>VLOOKUP(characters[[#This Row],[Nama Karakter]],Stats_Data[],4,FALSE)</f>
        <v>65</v>
      </c>
      <c r="M24" s="1">
        <f>VLOOKUP(characters[[#This Row],[Nama Karakter]],Stats_Data[],5,FALSE)</f>
        <v>80</v>
      </c>
      <c r="N24" s="25">
        <f>VLOOKUP(characters[[#This Row],[Nama Karakter]],Stats_Data[],6, FALSE)</f>
        <v>0.57999999999999996</v>
      </c>
      <c r="O24" s="1">
        <f>VLOOKUP(characters[[#This Row],[Nama Karakter]],Stats_Data[],7, FALSE)</f>
        <v>190</v>
      </c>
      <c r="P24" s="25">
        <f>VLOOKUP(characters[[#This Row],[Nama Karakter]],Stats_Data[],8, FALSE)</f>
        <v>0.56000000000000005</v>
      </c>
      <c r="Q24" s="26">
        <f>characters[[#This Row],[ATK]]*(1+characters[[#This Row],[Crit Rate]])</f>
        <v>137.46</v>
      </c>
      <c r="R24" s="1" t="str">
        <f>VLOOKUP(characters[[#This Row],[Nama Karakter]],Stats_Data[],9, FALSE)</f>
        <v>Eastern Sunrise</v>
      </c>
      <c r="S24" s="1">
        <f>SUM(characters[[#This Row],[HP]:[Win Rate]])</f>
        <v>548.13999999999987</v>
      </c>
      <c r="T24" s="1" t="str">
        <f>IF(characters[[#This Row],[ATK]]&gt;=88, "Attacker", IF(characters[[#This Row],[ATK]]&gt;=75, "Balanced", "Support"))</f>
        <v>Balanced</v>
      </c>
      <c r="U24" s="5">
        <v>38198</v>
      </c>
      <c r="V24" s="6">
        <f ca="1">(DATEDIF(characters[[#This Row],[Tanggal Lahir]],TODAY(), "Y"))</f>
        <v>21</v>
      </c>
      <c r="W24" s="1" t="str" cm="1">
        <f t="array" ref="W24">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Brawler</v>
      </c>
      <c r="X24" s="6"/>
      <c r="Y24" s="9" t="s">
        <v>224</v>
      </c>
      <c r="Z24" s="9">
        <f>COUNTIF(characters[Status Squad], Y24)</f>
        <v>6</v>
      </c>
      <c r="AB24" s="9" t="s">
        <v>270</v>
      </c>
      <c r="AC24" s="9" t="s">
        <v>265</v>
      </c>
      <c r="AE24" s="1" t="str">
        <v>Western Citadel</v>
      </c>
    </row>
    <row r="25" spans="1:31" x14ac:dyDescent="0.3">
      <c r="A25" s="1" t="s">
        <v>31</v>
      </c>
      <c r="B25" s="1" t="s">
        <v>32</v>
      </c>
      <c r="C25" s="1">
        <v>21</v>
      </c>
      <c r="D25" s="1">
        <v>167</v>
      </c>
      <c r="E25" s="1" t="s">
        <v>9</v>
      </c>
      <c r="F25" s="1" t="s">
        <v>23</v>
      </c>
      <c r="G25" s="1" t="s">
        <v>33</v>
      </c>
      <c r="H25" s="1" t="str">
        <f>IF(characters[[#This Row],[Tinggi (cm)]]&gt;=175, "Tinggi", IF(characters[[#This Row],[Tinggi (cm)]]&gt;=168, "Normal", "Pendek"))</f>
        <v>Pendek</v>
      </c>
      <c r="I25" s="1" t="str">
        <f>characters[[#This Row],[Nama Karakter]] &amp; " [" &amp; B25 &amp; "]"</f>
        <v>Theresa Felix [ESFP]</v>
      </c>
      <c r="J25" s="1">
        <f>VLOOKUP(characters[[#This Row],[Nama Karakter]],Stats_Data[],2,FALSE)</f>
        <v>115</v>
      </c>
      <c r="K25" s="1">
        <f>VLOOKUP(characters[[#This Row],[Nama Karakter]],Stats_Data[],3,FALSE)</f>
        <v>70</v>
      </c>
      <c r="L25" s="1">
        <f>VLOOKUP(characters[[#This Row],[Nama Karakter]],Stats_Data[],4,FALSE)</f>
        <v>55</v>
      </c>
      <c r="M25" s="1">
        <f>VLOOKUP(characters[[#This Row],[Nama Karakter]],Stats_Data[],5,FALSE)</f>
        <v>85</v>
      </c>
      <c r="N25" s="25">
        <f>VLOOKUP(characters[[#This Row],[Nama Karakter]],Stats_Data[],6, FALSE)</f>
        <v>0.48</v>
      </c>
      <c r="O25" s="1">
        <f>VLOOKUP(characters[[#This Row],[Nama Karakter]],Stats_Data[],7, FALSE)</f>
        <v>220</v>
      </c>
      <c r="P25" s="25">
        <f>VLOOKUP(characters[[#This Row],[Nama Karakter]],Stats_Data[],8, FALSE)</f>
        <v>0.61</v>
      </c>
      <c r="Q25" s="26">
        <f>characters[[#This Row],[ATK]]*(1+characters[[#This Row],[Crit Rate]])</f>
        <v>103.6</v>
      </c>
      <c r="R25" s="1" t="str">
        <f>VLOOKUP(characters[[#This Row],[Nama Karakter]],Stats_Data[],9, FALSE)</f>
        <v>Western Citadel</v>
      </c>
      <c r="S25" s="1">
        <f>SUM(characters[[#This Row],[HP]:[Win Rate]])</f>
        <v>546.09</v>
      </c>
      <c r="T25" s="1" t="str">
        <f>IF(characters[[#This Row],[ATK]]&gt;=88, "Attacker", IF(characters[[#This Row],[ATK]]&gt;=75, "Balanced", "Support"))</f>
        <v>Support</v>
      </c>
      <c r="U25" s="5">
        <v>38182</v>
      </c>
      <c r="V25" s="6">
        <f ca="1">(DATEDIF(characters[[#This Row],[Tanggal Lahir]],TODAY(), "Y"))</f>
        <v>21</v>
      </c>
      <c r="W25" s="1" t="str" cm="1">
        <f t="array" ref="W25">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Elite Spy</v>
      </c>
      <c r="X25" s="6"/>
      <c r="Y25" s="9" t="s">
        <v>225</v>
      </c>
      <c r="Z25" s="9">
        <f>COUNTIF(characters[Status Squad], Y25)</f>
        <v>4</v>
      </c>
      <c r="AB25" s="9" t="s">
        <v>220</v>
      </c>
      <c r="AC25" s="9" t="s">
        <v>224</v>
      </c>
    </row>
    <row r="26" spans="1:31" x14ac:dyDescent="0.3">
      <c r="A26" s="1" t="s">
        <v>47</v>
      </c>
      <c r="B26" s="1" t="s">
        <v>48</v>
      </c>
      <c r="C26" s="1">
        <v>21</v>
      </c>
      <c r="D26" s="1">
        <v>166</v>
      </c>
      <c r="E26" s="1" t="s">
        <v>9</v>
      </c>
      <c r="F26" s="1" t="s">
        <v>49</v>
      </c>
      <c r="G26" s="1" t="s">
        <v>50</v>
      </c>
      <c r="H26" s="1" t="str">
        <f>IF(characters[[#This Row],[Tinggi (cm)]]&gt;=175, "Tinggi", IF(characters[[#This Row],[Tinggi (cm)]]&gt;=168, "Normal", "Pendek"))</f>
        <v>Pendek</v>
      </c>
      <c r="I26" s="1" t="str">
        <f>characters[[#This Row],[Nama Karakter]] &amp; " [" &amp; B26 &amp; "]"</f>
        <v>Sonia Spade [INFJ]</v>
      </c>
      <c r="J26" s="1">
        <f>VLOOKUP(characters[[#This Row],[Nama Karakter]],Stats_Data[],2,FALSE)</f>
        <v>110</v>
      </c>
      <c r="K26" s="1">
        <f>VLOOKUP(characters[[#This Row],[Nama Karakter]],Stats_Data[],3,FALSE)</f>
        <v>60</v>
      </c>
      <c r="L26" s="1">
        <f>VLOOKUP(characters[[#This Row],[Nama Karakter]],Stats_Data[],4,FALSE)</f>
        <v>65</v>
      </c>
      <c r="M26" s="1">
        <f>VLOOKUP(characters[[#This Row],[Nama Karakter]],Stats_Data[],5,FALSE)</f>
        <v>80</v>
      </c>
      <c r="N26" s="25">
        <f>VLOOKUP(characters[[#This Row],[Nama Karakter]],Stats_Data[],6, FALSE)</f>
        <v>0.38</v>
      </c>
      <c r="O26" s="1">
        <f>VLOOKUP(characters[[#This Row],[Nama Karakter]],Stats_Data[],7, FALSE)</f>
        <v>380</v>
      </c>
      <c r="P26" s="25">
        <f>VLOOKUP(characters[[#This Row],[Nama Karakter]],Stats_Data[],8, FALSE)</f>
        <v>0.55000000000000004</v>
      </c>
      <c r="Q26" s="26">
        <f>characters[[#This Row],[ATK]]*(1+characters[[#This Row],[Crit Rate]])</f>
        <v>82.8</v>
      </c>
      <c r="R26" s="1" t="str">
        <f>VLOOKUP(characters[[#This Row],[Nama Karakter]],Stats_Data[],9, FALSE)</f>
        <v>Northern Tundra</v>
      </c>
      <c r="S26" s="1">
        <f>SUM(characters[[#This Row],[HP]:[Win Rate]])</f>
        <v>695.93</v>
      </c>
      <c r="T26" s="1" t="str">
        <f>IF(characters[[#This Row],[ATK]]&gt;=88, "Attacker", IF(characters[[#This Row],[ATK]]&gt;=75, "Balanced", "Support"))</f>
        <v>Support</v>
      </c>
      <c r="U26" s="5">
        <v>38044</v>
      </c>
      <c r="V26" s="6">
        <f ca="1">(DATEDIF(characters[[#This Row],[Tanggal Lahir]],TODAY(), "Y"))</f>
        <v>22</v>
      </c>
      <c r="W26" s="1" t="str" cm="1">
        <f t="array" ref="W26">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Reguler</v>
      </c>
      <c r="X26" s="6"/>
      <c r="Y26" s="9" t="s">
        <v>226</v>
      </c>
      <c r="Z26" s="9">
        <f>COUNTIF(characters[Status Squad], Y26)</f>
        <v>2</v>
      </c>
      <c r="AB26" s="9" t="s">
        <v>272</v>
      </c>
      <c r="AC26" s="9">
        <f>SUMIFS(characters[MP],characters[Faction],AC24,characters[Status Squad],AC25)</f>
        <v>350</v>
      </c>
    </row>
    <row r="27" spans="1:31" x14ac:dyDescent="0.3">
      <c r="A27" s="1" t="s">
        <v>57</v>
      </c>
      <c r="B27" s="1" t="s">
        <v>58</v>
      </c>
      <c r="C27" s="1">
        <v>21</v>
      </c>
      <c r="D27" s="1">
        <v>167</v>
      </c>
      <c r="E27" s="1" t="s">
        <v>9</v>
      </c>
      <c r="F27" s="1" t="s">
        <v>49</v>
      </c>
      <c r="G27" s="1" t="s">
        <v>59</v>
      </c>
      <c r="H27" s="1" t="str">
        <f>IF(characters[[#This Row],[Tinggi (cm)]]&gt;=175, "Tinggi", IF(characters[[#This Row],[Tinggi (cm)]]&gt;=168, "Normal", "Pendek"))</f>
        <v>Pendek</v>
      </c>
      <c r="I27" s="1" t="str">
        <f>characters[[#This Row],[Nama Karakter]] &amp; " [" &amp; B27 &amp; "]"</f>
        <v>Emily Caddel [ENFP]</v>
      </c>
      <c r="J27" s="1">
        <f>VLOOKUP(characters[[#This Row],[Nama Karakter]],Stats_Data[],2,FALSE)</f>
        <v>110</v>
      </c>
      <c r="K27" s="1">
        <f>VLOOKUP(characters[[#This Row],[Nama Karakter]],Stats_Data[],3,FALSE)</f>
        <v>75</v>
      </c>
      <c r="L27" s="1">
        <f>VLOOKUP(characters[[#This Row],[Nama Karakter]],Stats_Data[],4,FALSE)</f>
        <v>60</v>
      </c>
      <c r="M27" s="1">
        <f>VLOOKUP(characters[[#This Row],[Nama Karakter]],Stats_Data[],5,FALSE)</f>
        <v>90</v>
      </c>
      <c r="N27" s="25">
        <f>VLOOKUP(characters[[#This Row],[Nama Karakter]],Stats_Data[],6, FALSE)</f>
        <v>0.8</v>
      </c>
      <c r="O27" s="1">
        <f>VLOOKUP(characters[[#This Row],[Nama Karakter]],Stats_Data[],7, FALSE)</f>
        <v>110</v>
      </c>
      <c r="P27" s="25">
        <f>VLOOKUP(characters[[#This Row],[Nama Karakter]],Stats_Data[],8, FALSE)</f>
        <v>0.63</v>
      </c>
      <c r="Q27" s="26">
        <f>characters[[#This Row],[ATK]]*(1+characters[[#This Row],[Crit Rate]])</f>
        <v>135</v>
      </c>
      <c r="R27" s="1" t="str">
        <f>VLOOKUP(characters[[#This Row],[Nama Karakter]],Stats_Data[],9, FALSE)</f>
        <v>Southern Isles</v>
      </c>
      <c r="S27" s="1">
        <f>SUM(characters[[#This Row],[HP]:[Win Rate]])</f>
        <v>446.43</v>
      </c>
      <c r="T27" s="1" t="str">
        <f>IF(characters[[#This Row],[ATK]]&gt;=88, "Attacker", IF(characters[[#This Row],[ATK]]&gt;=75, "Balanced", "Support"))</f>
        <v>Balanced</v>
      </c>
      <c r="U27" s="5">
        <v>38125</v>
      </c>
      <c r="V27" s="6">
        <f ca="1">(DATEDIF(characters[[#This Row],[Tanggal Lahir]],TODAY(), "Y"))</f>
        <v>22</v>
      </c>
      <c r="W27" s="1" t="str" cm="1">
        <f t="array" ref="W27">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Elite Spy</v>
      </c>
      <c r="X27" s="6"/>
      <c r="Y27" s="9" t="s">
        <v>227</v>
      </c>
      <c r="Z27" s="9">
        <f>COUNTIF(characters[Status Squad], Y27)</f>
        <v>4</v>
      </c>
    </row>
    <row r="28" spans="1:31" x14ac:dyDescent="0.3">
      <c r="A28" s="1" t="s">
        <v>65</v>
      </c>
      <c r="B28" s="1" t="s">
        <v>32</v>
      </c>
      <c r="C28" s="1">
        <v>21</v>
      </c>
      <c r="D28" s="1">
        <v>168</v>
      </c>
      <c r="E28" s="1" t="s">
        <v>61</v>
      </c>
      <c r="F28" s="1" t="s">
        <v>23</v>
      </c>
      <c r="G28" s="1" t="s">
        <v>66</v>
      </c>
      <c r="H28" s="1" t="str">
        <f>IF(characters[[#This Row],[Tinggi (cm)]]&gt;=175, "Tinggi", IF(characters[[#This Row],[Tinggi (cm)]]&gt;=168, "Normal", "Pendek"))</f>
        <v>Normal</v>
      </c>
      <c r="I28" s="1" t="str">
        <f>characters[[#This Row],[Nama Karakter]] &amp; " [" &amp; B28 &amp; "]"</f>
        <v>Mara Solene [ESFP]</v>
      </c>
      <c r="J28" s="1">
        <f>VLOOKUP(characters[[#This Row],[Nama Karakter]],Stats_Data[],2,FALSE)</f>
        <v>115</v>
      </c>
      <c r="K28" s="1">
        <f>VLOOKUP(characters[[#This Row],[Nama Karakter]],Stats_Data[],3,FALSE)</f>
        <v>70</v>
      </c>
      <c r="L28" s="1">
        <f>VLOOKUP(characters[[#This Row],[Nama Karakter]],Stats_Data[],4,FALSE)</f>
        <v>60</v>
      </c>
      <c r="M28" s="1">
        <f>VLOOKUP(characters[[#This Row],[Nama Karakter]],Stats_Data[],5,FALSE)</f>
        <v>82</v>
      </c>
      <c r="N28" s="25">
        <f>VLOOKUP(characters[[#This Row],[Nama Karakter]],Stats_Data[],6, FALSE)</f>
        <v>0.6</v>
      </c>
      <c r="O28" s="1">
        <f>VLOOKUP(characters[[#This Row],[Nama Karakter]],Stats_Data[],7, FALSE)</f>
        <v>220</v>
      </c>
      <c r="P28" s="25">
        <f>VLOOKUP(characters[[#This Row],[Nama Karakter]],Stats_Data[],8, FALSE)</f>
        <v>0.71</v>
      </c>
      <c r="Q28" s="26">
        <f>characters[[#This Row],[ATK]]*(1+characters[[#This Row],[Crit Rate]])</f>
        <v>112</v>
      </c>
      <c r="R28" s="1" t="str">
        <f>VLOOKUP(characters[[#This Row],[Nama Karakter]],Stats_Data[],9, FALSE)</f>
        <v>Eastern Sunrise</v>
      </c>
      <c r="S28" s="1">
        <f>SUM(characters[[#This Row],[HP]:[Win Rate]])</f>
        <v>548.31000000000006</v>
      </c>
      <c r="T28" s="1" t="str">
        <f>IF(characters[[#This Row],[ATK]]&gt;=88, "Attacker", IF(characters[[#This Row],[ATK]]&gt;=75, "Balanced", "Support"))</f>
        <v>Support</v>
      </c>
      <c r="U28" s="5">
        <v>38071</v>
      </c>
      <c r="V28" s="6">
        <f ca="1">(DATEDIF(characters[[#This Row],[Tanggal Lahir]],TODAY(), "Y"))</f>
        <v>22</v>
      </c>
      <c r="W28" s="1" t="str" cm="1">
        <f t="array" ref="W28">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Ranger</v>
      </c>
      <c r="X28" s="6"/>
      <c r="Y28" s="9" t="s">
        <v>228</v>
      </c>
      <c r="Z28" s="9">
        <f>COUNTIF(characters[Status Squad], Y28)</f>
        <v>2</v>
      </c>
    </row>
    <row r="29" spans="1:31" x14ac:dyDescent="0.3">
      <c r="A29" s="1" t="s">
        <v>67</v>
      </c>
      <c r="B29" s="1" t="s">
        <v>29</v>
      </c>
      <c r="C29" s="1">
        <v>21</v>
      </c>
      <c r="D29" s="1">
        <v>170</v>
      </c>
      <c r="E29" s="1" t="s">
        <v>61</v>
      </c>
      <c r="F29" s="1" t="s">
        <v>23</v>
      </c>
      <c r="G29" s="1" t="s">
        <v>68</v>
      </c>
      <c r="H29" s="1" t="str">
        <f>IF(characters[[#This Row],[Tinggi (cm)]]&gt;=175, "Tinggi", IF(characters[[#This Row],[Tinggi (cm)]]&gt;=168, "Normal", "Pendek"))</f>
        <v>Normal</v>
      </c>
      <c r="I29" s="1" t="str">
        <f>characters[[#This Row],[Nama Karakter]] &amp; " [" &amp; B29 &amp; "]"</f>
        <v>Luno Bright [ISFP]</v>
      </c>
      <c r="J29" s="1">
        <f>VLOOKUP(characters[[#This Row],[Nama Karakter]],Stats_Data[],2,FALSE)</f>
        <v>110</v>
      </c>
      <c r="K29" s="1">
        <f>VLOOKUP(characters[[#This Row],[Nama Karakter]],Stats_Data[],3,FALSE)</f>
        <v>75</v>
      </c>
      <c r="L29" s="1">
        <f>VLOOKUP(characters[[#This Row],[Nama Karakter]],Stats_Data[],4,FALSE)</f>
        <v>65</v>
      </c>
      <c r="M29" s="1">
        <f>VLOOKUP(characters[[#This Row],[Nama Karakter]],Stats_Data[],5,FALSE)</f>
        <v>75</v>
      </c>
      <c r="N29" s="25">
        <f>VLOOKUP(characters[[#This Row],[Nama Karakter]],Stats_Data[],6, FALSE)</f>
        <v>0.7</v>
      </c>
      <c r="O29" s="1">
        <f>VLOOKUP(characters[[#This Row],[Nama Karakter]],Stats_Data[],7, FALSE)</f>
        <v>210</v>
      </c>
      <c r="P29" s="25">
        <f>VLOOKUP(characters[[#This Row],[Nama Karakter]],Stats_Data[],8, FALSE)</f>
        <v>0.48</v>
      </c>
      <c r="Q29" s="26">
        <f>characters[[#This Row],[ATK]]*(1+characters[[#This Row],[Crit Rate]])</f>
        <v>127.5</v>
      </c>
      <c r="R29" s="1" t="str">
        <f>VLOOKUP(characters[[#This Row],[Nama Karakter]],Stats_Data[],9, FALSE)</f>
        <v>Southern Isles</v>
      </c>
      <c r="S29" s="1">
        <f>SUM(characters[[#This Row],[HP]:[Win Rate]])</f>
        <v>536.18000000000006</v>
      </c>
      <c r="T29" s="1" t="str">
        <f>IF(characters[[#This Row],[ATK]]&gt;=88, "Attacker", IF(characters[[#This Row],[ATK]]&gt;=75, "Balanced", "Support"))</f>
        <v>Balanced</v>
      </c>
      <c r="U29" s="5">
        <v>38180</v>
      </c>
      <c r="V29" s="6">
        <f ca="1">(DATEDIF(characters[[#This Row],[Tanggal Lahir]],TODAY(), "Y"))</f>
        <v>21</v>
      </c>
      <c r="W29" s="1" t="str" cm="1">
        <f t="array" ref="W29">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Ranger</v>
      </c>
      <c r="X29" s="6"/>
    </row>
    <row r="30" spans="1:31" x14ac:dyDescent="0.3">
      <c r="A30" s="1" t="s">
        <v>69</v>
      </c>
      <c r="B30" s="1" t="s">
        <v>13</v>
      </c>
      <c r="C30" s="1">
        <v>21</v>
      </c>
      <c r="D30" s="1">
        <v>180</v>
      </c>
      <c r="E30" s="1" t="s">
        <v>61</v>
      </c>
      <c r="F30" s="1" t="s">
        <v>10</v>
      </c>
      <c r="G30" s="1" t="s">
        <v>70</v>
      </c>
      <c r="H30" s="1" t="str">
        <f>IF(characters[[#This Row],[Tinggi (cm)]]&gt;=175, "Tinggi", IF(characters[[#This Row],[Tinggi (cm)]]&gt;=168, "Normal", "Pendek"))</f>
        <v>Tinggi</v>
      </c>
      <c r="I30" s="1" t="str">
        <f>characters[[#This Row],[Nama Karakter]] &amp; " [" &amp; B30 &amp; "]"</f>
        <v>Zivan Holt [ENTP]</v>
      </c>
      <c r="J30" s="1">
        <f>VLOOKUP(characters[[#This Row],[Nama Karakter]],Stats_Data[],2,FALSE)</f>
        <v>118</v>
      </c>
      <c r="K30" s="1">
        <f>VLOOKUP(characters[[#This Row],[Nama Karakter]],Stats_Data[],3,FALSE)</f>
        <v>85</v>
      </c>
      <c r="L30" s="1">
        <f>VLOOKUP(characters[[#This Row],[Nama Karakter]],Stats_Data[],4,FALSE)</f>
        <v>70</v>
      </c>
      <c r="M30" s="1">
        <f>VLOOKUP(characters[[#This Row],[Nama Karakter]],Stats_Data[],5,FALSE)</f>
        <v>75</v>
      </c>
      <c r="N30" s="25">
        <f>VLOOKUP(characters[[#This Row],[Nama Karakter]],Stats_Data[],6, FALSE)</f>
        <v>0.2</v>
      </c>
      <c r="O30" s="1">
        <f>VLOOKUP(characters[[#This Row],[Nama Karakter]],Stats_Data[],7, FALSE)</f>
        <v>340</v>
      </c>
      <c r="P30" s="25">
        <f>VLOOKUP(characters[[#This Row],[Nama Karakter]],Stats_Data[],8, FALSE)</f>
        <v>0.52</v>
      </c>
      <c r="Q30" s="26">
        <f>characters[[#This Row],[ATK]]*(1+characters[[#This Row],[Crit Rate]])</f>
        <v>102</v>
      </c>
      <c r="R30" s="1" t="str">
        <f>VLOOKUP(characters[[#This Row],[Nama Karakter]],Stats_Data[],9, FALSE)</f>
        <v>Eastern Sunrise</v>
      </c>
      <c r="S30" s="1">
        <f>SUM(characters[[#This Row],[HP]:[Win Rate]])</f>
        <v>688.72</v>
      </c>
      <c r="T30" s="1" t="str">
        <f>IF(characters[[#This Row],[ATK]]&gt;=88, "Attacker", IF(characters[[#This Row],[ATK]]&gt;=75, "Balanced", "Support"))</f>
        <v>Balanced</v>
      </c>
      <c r="U30" s="5">
        <v>38300</v>
      </c>
      <c r="V30" s="6">
        <f ca="1">(DATEDIF(characters[[#This Row],[Tanggal Lahir]],TODAY(), "Y"))</f>
        <v>21</v>
      </c>
      <c r="W30" s="1" t="str" cm="1">
        <f t="array" ref="W30">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Tactician</v>
      </c>
      <c r="X30" s="6"/>
    </row>
    <row r="31" spans="1:31" x14ac:dyDescent="0.3">
      <c r="A31" s="1" t="s">
        <v>77</v>
      </c>
      <c r="B31" s="1" t="s">
        <v>58</v>
      </c>
      <c r="C31" s="1">
        <v>21</v>
      </c>
      <c r="D31" s="1">
        <v>167</v>
      </c>
      <c r="E31" s="1" t="s">
        <v>61</v>
      </c>
      <c r="F31" s="1" t="s">
        <v>49</v>
      </c>
      <c r="G31" s="1" t="s">
        <v>78</v>
      </c>
      <c r="H31" s="1" t="str">
        <f>IF(characters[[#This Row],[Tinggi (cm)]]&gt;=175, "Tinggi", IF(characters[[#This Row],[Tinggi (cm)]]&gt;=168, "Normal", "Pendek"))</f>
        <v>Pendek</v>
      </c>
      <c r="I31" s="1" t="str">
        <f>characters[[#This Row],[Nama Karakter]] &amp; " [" &amp; B31 &amp; "]"</f>
        <v>Mira Vane [ENFP]</v>
      </c>
      <c r="J31" s="1">
        <f>VLOOKUP(characters[[#This Row],[Nama Karakter]],Stats_Data[],2,FALSE)</f>
        <v>125</v>
      </c>
      <c r="K31" s="1">
        <f>VLOOKUP(characters[[#This Row],[Nama Karakter]],Stats_Data[],3,FALSE)</f>
        <v>83</v>
      </c>
      <c r="L31" s="1">
        <f>VLOOKUP(characters[[#This Row],[Nama Karakter]],Stats_Data[],4,FALSE)</f>
        <v>67</v>
      </c>
      <c r="M31" s="1">
        <f>VLOOKUP(characters[[#This Row],[Nama Karakter]],Stats_Data[],5,FALSE)</f>
        <v>80</v>
      </c>
      <c r="N31" s="25">
        <f>VLOOKUP(characters[[#This Row],[Nama Karakter]],Stats_Data[],6, FALSE)</f>
        <v>0.35</v>
      </c>
      <c r="O31" s="1">
        <f>VLOOKUP(characters[[#This Row],[Nama Karakter]],Stats_Data[],7, FALSE)</f>
        <v>320</v>
      </c>
      <c r="P31" s="25">
        <f>VLOOKUP(characters[[#This Row],[Nama Karakter]],Stats_Data[],8, FALSE)</f>
        <v>0.57999999999999996</v>
      </c>
      <c r="Q31" s="26">
        <f>characters[[#This Row],[ATK]]*(1+characters[[#This Row],[Crit Rate]])</f>
        <v>112.05000000000001</v>
      </c>
      <c r="R31" s="1" t="str">
        <f>VLOOKUP(characters[[#This Row],[Nama Karakter]],Stats_Data[],9, FALSE)</f>
        <v>Southern Isles</v>
      </c>
      <c r="S31" s="1">
        <f>SUM(characters[[#This Row],[HP]:[Win Rate]])</f>
        <v>675.93000000000006</v>
      </c>
      <c r="T31" s="1" t="str">
        <f>IF(characters[[#This Row],[ATK]]&gt;=88, "Attacker", IF(characters[[#This Row],[ATK]]&gt;=75, "Balanced", "Support"))</f>
        <v>Balanced</v>
      </c>
      <c r="U31" s="5">
        <v>38111</v>
      </c>
      <c r="V31" s="6">
        <f ca="1">(DATEDIF(characters[[#This Row],[Tanggal Lahir]],TODAY(), "Y"))</f>
        <v>22</v>
      </c>
      <c r="W31" s="1" t="str" cm="1">
        <f t="array" ref="W31">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Brawler</v>
      </c>
      <c r="X31" s="6"/>
      <c r="Y31" s="22" t="str">
        <f>INDEX(characters[Nama Karakter], MATCH(98,characters[ATK],0))</f>
        <v>Hayami Amamiya</v>
      </c>
    </row>
    <row r="32" spans="1:31" x14ac:dyDescent="0.3">
      <c r="A32" s="1" t="s">
        <v>79</v>
      </c>
      <c r="B32" s="1" t="s">
        <v>55</v>
      </c>
      <c r="C32" s="1">
        <v>21</v>
      </c>
      <c r="D32" s="1">
        <v>168</v>
      </c>
      <c r="E32" s="1" t="s">
        <v>61</v>
      </c>
      <c r="F32" s="1" t="s">
        <v>49</v>
      </c>
      <c r="G32" s="1" t="s">
        <v>80</v>
      </c>
      <c r="H32" s="1" t="str">
        <f>IF(characters[[#This Row],[Tinggi (cm)]]&gt;=175, "Tinggi", IF(characters[[#This Row],[Tinggi (cm)]]&gt;=168, "Normal", "Pendek"))</f>
        <v>Normal</v>
      </c>
      <c r="I32" s="1" t="str">
        <f>characters[[#This Row],[Nama Karakter]] &amp; " [" &amp; B32 &amp; "]"</f>
        <v>Elara Moss [INFP]</v>
      </c>
      <c r="J32" s="1">
        <f>VLOOKUP(characters[[#This Row],[Nama Karakter]],Stats_Data[],2,FALSE)</f>
        <v>115</v>
      </c>
      <c r="K32" s="1">
        <f>VLOOKUP(characters[[#This Row],[Nama Karakter]],Stats_Data[],3,FALSE)</f>
        <v>76</v>
      </c>
      <c r="L32" s="1">
        <f>VLOOKUP(characters[[#This Row],[Nama Karakter]],Stats_Data[],4,FALSE)</f>
        <v>62</v>
      </c>
      <c r="M32" s="1">
        <f>VLOOKUP(characters[[#This Row],[Nama Karakter]],Stats_Data[],5,FALSE)</f>
        <v>72</v>
      </c>
      <c r="N32" s="25">
        <f>VLOOKUP(characters[[#This Row],[Nama Karakter]],Stats_Data[],6, FALSE)</f>
        <v>0.65</v>
      </c>
      <c r="O32" s="1">
        <f>VLOOKUP(characters[[#This Row],[Nama Karakter]],Stats_Data[],7, FALSE)</f>
        <v>150</v>
      </c>
      <c r="P32" s="25">
        <f>VLOOKUP(characters[[#This Row],[Nama Karakter]],Stats_Data[],8, FALSE)</f>
        <v>0.59</v>
      </c>
      <c r="Q32" s="26">
        <f>characters[[#This Row],[ATK]]*(1+characters[[#This Row],[Crit Rate]])</f>
        <v>125.39999999999999</v>
      </c>
      <c r="R32" s="1" t="str">
        <f>VLOOKUP(characters[[#This Row],[Nama Karakter]],Stats_Data[],9, FALSE)</f>
        <v>Western Citadel</v>
      </c>
      <c r="S32" s="1">
        <f>SUM(characters[[#This Row],[HP]:[Win Rate]])</f>
        <v>476.23999999999995</v>
      </c>
      <c r="T32" s="1" t="str">
        <f>IF(characters[[#This Row],[ATK]]&gt;=88, "Attacker", IF(characters[[#This Row],[ATK]]&gt;=75, "Balanced", "Support"))</f>
        <v>Balanced</v>
      </c>
      <c r="U32" s="5">
        <v>38248</v>
      </c>
      <c r="V32" s="6">
        <f ca="1">(DATEDIF(characters[[#This Row],[Tanggal Lahir]],TODAY(), "Y"))</f>
        <v>21</v>
      </c>
      <c r="W32" s="1" t="str" cm="1">
        <f t="array" ref="W32">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Reguler</v>
      </c>
      <c r="X32" s="6"/>
      <c r="Y32" s="19" t="str">
        <f>INDEX(characters[Nama Karakter], MATCH(95, characters[DEF],0))</f>
        <v>Mayumi Sasaki</v>
      </c>
    </row>
    <row r="33" spans="1:25" x14ac:dyDescent="0.3">
      <c r="A33" s="1" t="s">
        <v>91</v>
      </c>
      <c r="B33" s="1" t="s">
        <v>42</v>
      </c>
      <c r="C33" s="1">
        <v>21</v>
      </c>
      <c r="D33" s="1">
        <v>168</v>
      </c>
      <c r="E33" s="1" t="s">
        <v>61</v>
      </c>
      <c r="F33" s="1" t="s">
        <v>36</v>
      </c>
      <c r="G33" s="1" t="s">
        <v>92</v>
      </c>
      <c r="H33" s="1" t="str">
        <f>IF(characters[[#This Row],[Tinggi (cm)]]&gt;=175, "Tinggi", IF(characters[[#This Row],[Tinggi (cm)]]&gt;=168, "Normal", "Pendek"))</f>
        <v>Normal</v>
      </c>
      <c r="I33" s="1" t="str">
        <f>characters[[#This Row],[Nama Karakter]] &amp; " [" &amp; B33 &amp; "]"</f>
        <v>Nora Voss [ISFJ]</v>
      </c>
      <c r="J33" s="1">
        <f>VLOOKUP(characters[[#This Row],[Nama Karakter]],Stats_Data[],2,FALSE)</f>
        <v>120</v>
      </c>
      <c r="K33" s="1">
        <f>VLOOKUP(characters[[#This Row],[Nama Karakter]],Stats_Data[],3,FALSE)</f>
        <v>55</v>
      </c>
      <c r="L33" s="1">
        <f>VLOOKUP(characters[[#This Row],[Nama Karakter]],Stats_Data[],4,FALSE)</f>
        <v>85</v>
      </c>
      <c r="M33" s="1">
        <f>VLOOKUP(characters[[#This Row],[Nama Karakter]],Stats_Data[],5,FALSE)</f>
        <v>55</v>
      </c>
      <c r="N33" s="25">
        <f>VLOOKUP(characters[[#This Row],[Nama Karakter]],Stats_Data[],6, FALSE)</f>
        <v>0.52</v>
      </c>
      <c r="O33" s="1">
        <f>VLOOKUP(characters[[#This Row],[Nama Karakter]],Stats_Data[],7, FALSE)</f>
        <v>175</v>
      </c>
      <c r="P33" s="25">
        <f>VLOOKUP(characters[[#This Row],[Nama Karakter]],Stats_Data[],8, FALSE)</f>
        <v>0.53</v>
      </c>
      <c r="Q33" s="26">
        <f>characters[[#This Row],[ATK]]*(1+characters[[#This Row],[Crit Rate]])</f>
        <v>83.6</v>
      </c>
      <c r="R33" s="1" t="str">
        <f>VLOOKUP(characters[[#This Row],[Nama Karakter]],Stats_Data[],9, FALSE)</f>
        <v>Southern Isles</v>
      </c>
      <c r="S33" s="1">
        <f>SUM(characters[[#This Row],[HP]:[Win Rate]])</f>
        <v>491.04999999999995</v>
      </c>
      <c r="T33" s="1" t="str">
        <f>IF(characters[[#This Row],[ATK]]&gt;=88, "Attacker", IF(characters[[#This Row],[ATK]]&gt;=75, "Balanced", "Support"))</f>
        <v>Support</v>
      </c>
      <c r="U33" s="5">
        <v>38028</v>
      </c>
      <c r="V33" s="6">
        <f ca="1">(DATEDIF(characters[[#This Row],[Tanggal Lahir]],TODAY(), "Y"))</f>
        <v>22</v>
      </c>
      <c r="W33" s="1" t="str" cm="1">
        <f t="array" ref="W33">_xlfn.IFS(AND(characters[[#This Row],[Total Stat]]&gt;=360, characters[[#This Row],[Role]]="Attacker"), "Squad Inti",  characters[[#This Row],[Sub-Kelompok]]="The Analysts", "Tactician", characters[[#This Row],[SPD]]&gt;=83, "Elite Spy",  AND(characters[[#This Row],[HP]]&gt;=130, characters[[#This Row],[DEF]]&gt;=80), "Tanker", AND(characters[[#This Row],[ATK]]&gt;=82, characters[[#This Row],[SPD]]&gt;=72), "Brawler", characters[[#This Row],[Sub-Kelompok]]="The Explorers", "Ranger",  TRUE, "Reguler")</f>
        <v>Reguler</v>
      </c>
      <c r="X33" s="6"/>
    </row>
    <row r="34" spans="1:25" x14ac:dyDescent="0.3">
      <c r="Y34" s="22" t="str" cm="1">
        <f t="array" ref="Y34:Y36">_xlfn._xlws.FILTER(characters[Nama Karakter], characters[ATK]=88)</f>
        <v>Gillian Wiley</v>
      </c>
    </row>
    <row r="35" spans="1:25" x14ac:dyDescent="0.3">
      <c r="Y35" s="27" t="str">
        <v>Seren Ashvale</v>
      </c>
    </row>
    <row r="36" spans="1:25" x14ac:dyDescent="0.3">
      <c r="Y36" s="19" t="str">
        <v>Katie Olson</v>
      </c>
    </row>
  </sheetData>
  <phoneticPr fontId="1" type="noConversion"/>
  <conditionalFormatting sqref="H2:M33 R2:T33">
    <cfRule type="containsText" dxfId="3" priority="13" operator="containsText" text="Normal">
      <formula>NOT(ISERROR(SEARCH("Normal",H2)))</formula>
    </cfRule>
    <cfRule type="containsText" dxfId="2" priority="14" operator="containsText" text="PEndek">
      <formula>NOT(ISERROR(SEARCH("PEndek",H2)))</formula>
    </cfRule>
    <cfRule type="containsText" dxfId="1" priority="15" operator="containsText" text="Tinggi">
      <formula>NOT(ISERROR(SEARCH("Tinggi",H2)))</formula>
    </cfRule>
  </conditionalFormatting>
  <conditionalFormatting sqref="J1:J1048576">
    <cfRule type="dataBar" priority="10">
      <dataBar>
        <cfvo type="min"/>
        <cfvo type="max"/>
        <color rgb="FF63C384"/>
      </dataBar>
      <extLst>
        <ext xmlns:x14="http://schemas.microsoft.com/office/spreadsheetml/2009/9/main" uri="{B025F937-C7B1-47D3-B67F-A62EFF666E3E}">
          <x14:id>{57962564-AF33-4CCC-A38E-5DC9C88E61A6}</x14:id>
        </ext>
      </extLst>
    </cfRule>
  </conditionalFormatting>
  <conditionalFormatting sqref="K1:K1048576">
    <cfRule type="dataBar" priority="9">
      <dataBar>
        <cfvo type="min"/>
        <cfvo type="max"/>
        <color rgb="FFFF555A"/>
      </dataBar>
      <extLst>
        <ext xmlns:x14="http://schemas.microsoft.com/office/spreadsheetml/2009/9/main" uri="{B025F937-C7B1-47D3-B67F-A62EFF666E3E}">
          <x14:id>{50B0BEB6-EE7D-4D81-8401-AF823CEF5D3D}</x14:id>
        </ext>
      </extLst>
    </cfRule>
  </conditionalFormatting>
  <conditionalFormatting sqref="L1:L1048576">
    <cfRule type="dataBar" priority="8">
      <dataBar>
        <cfvo type="min"/>
        <cfvo type="max"/>
        <color rgb="FF638EC6"/>
      </dataBar>
      <extLst>
        <ext xmlns:x14="http://schemas.microsoft.com/office/spreadsheetml/2009/9/main" uri="{B025F937-C7B1-47D3-B67F-A62EFF666E3E}">
          <x14:id>{D8D35383-DA1D-413A-A10A-739777C9DA52}</x14:id>
        </ext>
      </extLst>
    </cfRule>
  </conditionalFormatting>
  <conditionalFormatting sqref="M1:M1048576 R1:R1048576">
    <cfRule type="dataBar" priority="7">
      <dataBar>
        <cfvo type="min"/>
        <cfvo type="max"/>
        <color rgb="FFFFB628"/>
      </dataBar>
      <extLst>
        <ext xmlns:x14="http://schemas.microsoft.com/office/spreadsheetml/2009/9/main" uri="{B025F937-C7B1-47D3-B67F-A62EFF666E3E}">
          <x14:id>{AEE33553-4104-44FB-92D3-2115E636EB1A}</x14:id>
        </ext>
      </extLst>
    </cfRule>
  </conditionalFormatting>
  <conditionalFormatting sqref="N1:N1048576">
    <cfRule type="dataBar" priority="4">
      <dataBar>
        <cfvo type="min"/>
        <cfvo type="max"/>
        <color rgb="FFD6007B"/>
      </dataBar>
      <extLst>
        <ext xmlns:x14="http://schemas.microsoft.com/office/spreadsheetml/2009/9/main" uri="{B025F937-C7B1-47D3-B67F-A62EFF666E3E}">
          <x14:id>{9782C259-4698-495B-9528-7CA4B7973C11}</x14:id>
        </ext>
      </extLst>
    </cfRule>
  </conditionalFormatting>
  <conditionalFormatting sqref="O1:O1048576">
    <cfRule type="dataBar" priority="5">
      <dataBar>
        <cfvo type="min"/>
        <cfvo type="max"/>
        <color rgb="FF008AEF"/>
      </dataBar>
      <extLst>
        <ext xmlns:x14="http://schemas.microsoft.com/office/spreadsheetml/2009/9/main" uri="{B025F937-C7B1-47D3-B67F-A62EFF666E3E}">
          <x14:id>{34861BD9-8097-40AA-BCE3-3B9D786DD989}</x14:id>
        </ext>
      </extLst>
    </cfRule>
  </conditionalFormatting>
  <conditionalFormatting sqref="P2:P33">
    <cfRule type="dataBar" priority="2">
      <dataBar>
        <cfvo type="min"/>
        <cfvo type="max"/>
        <color rgb="FF63C384"/>
      </dataBar>
      <extLst>
        <ext xmlns:x14="http://schemas.microsoft.com/office/spreadsheetml/2009/9/main" uri="{B025F937-C7B1-47D3-B67F-A62EFF666E3E}">
          <x14:id>{2A43D702-2A26-4B1D-8AE6-85D231427C78}</x14:id>
        </ext>
      </extLst>
    </cfRule>
  </conditionalFormatting>
  <conditionalFormatting sqref="P1:Q1048576">
    <cfRule type="dataBar" priority="3">
      <dataBar>
        <cfvo type="min"/>
        <cfvo type="max"/>
        <color rgb="FF63C384"/>
      </dataBar>
      <extLst>
        <ext xmlns:x14="http://schemas.microsoft.com/office/spreadsheetml/2009/9/main" uri="{B025F937-C7B1-47D3-B67F-A62EFF666E3E}">
          <x14:id>{1EB97861-A510-42BD-9112-CDB5ACAFAFA4}</x14:id>
        </ext>
      </extLst>
    </cfRule>
  </conditionalFormatting>
  <conditionalFormatting sqref="Q2:Q33">
    <cfRule type="dataBar" priority="1">
      <dataBar>
        <cfvo type="min"/>
        <cfvo type="max"/>
        <color rgb="FFFF555A"/>
      </dataBar>
      <extLst>
        <ext xmlns:x14="http://schemas.microsoft.com/office/spreadsheetml/2009/9/main" uri="{B025F937-C7B1-47D3-B67F-A62EFF666E3E}">
          <x14:id>{6A736FC1-8D23-48DB-ACA1-7E15E4712B8C}</x14:id>
        </ext>
      </extLst>
    </cfRule>
  </conditionalFormatting>
  <conditionalFormatting sqref="S1:X1 S34:X1048576 S2:T33">
    <cfRule type="top10" dxfId="0" priority="19" rank="3"/>
  </conditionalFormatting>
  <dataValidations count="3">
    <dataValidation type="list" allowBlank="1" showInputMessage="1" showErrorMessage="1" sqref="Z2" xr:uid="{009776A4-E5BE-4E7E-A561-534B5CD92F13}">
      <formula1>$A$2:$A$33</formula1>
    </dataValidation>
    <dataValidation type="list" allowBlank="1" showInputMessage="1" showErrorMessage="1" sqref="AC24 AC21" xr:uid="{8F789AF7-2959-43EB-BCBF-DD05A1400FB1}">
      <formula1>$AE$21:$AE$24</formula1>
    </dataValidation>
    <dataValidation type="list" allowBlank="1" showInputMessage="1" showErrorMessage="1" sqref="AC25" xr:uid="{F7909DC6-57B2-4ABB-8B76-503940C5D77E}">
      <formula1>$Y$22:$Y$28</formula1>
    </dataValidation>
  </dataValidations>
  <pageMargins left="0.7" right="0.7" top="0.75" bottom="0.75" header="0.3" footer="0.3"/>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57962564-AF33-4CCC-A38E-5DC9C88E61A6}">
            <x14:dataBar minLength="0" maxLength="100" border="1" negativeBarBorderColorSameAsPositive="0">
              <x14:cfvo type="autoMin"/>
              <x14:cfvo type="autoMax"/>
              <x14:borderColor rgb="FF63C384"/>
              <x14:negativeFillColor rgb="FFFF0000"/>
              <x14:negativeBorderColor rgb="FFFF0000"/>
              <x14:axisColor rgb="FF000000"/>
            </x14:dataBar>
          </x14:cfRule>
          <xm:sqref>J1:J1048576</xm:sqref>
        </x14:conditionalFormatting>
        <x14:conditionalFormatting xmlns:xm="http://schemas.microsoft.com/office/excel/2006/main">
          <x14:cfRule type="dataBar" id="{50B0BEB6-EE7D-4D81-8401-AF823CEF5D3D}">
            <x14:dataBar minLength="0" maxLength="100" border="1" negativeBarBorderColorSameAsPositive="0">
              <x14:cfvo type="autoMin"/>
              <x14:cfvo type="autoMax"/>
              <x14:borderColor rgb="FFFF555A"/>
              <x14:negativeFillColor rgb="FFFF0000"/>
              <x14:negativeBorderColor rgb="FFFF0000"/>
              <x14:axisColor rgb="FF000000"/>
            </x14:dataBar>
          </x14:cfRule>
          <xm:sqref>K1:K1048576</xm:sqref>
        </x14:conditionalFormatting>
        <x14:conditionalFormatting xmlns:xm="http://schemas.microsoft.com/office/excel/2006/main">
          <x14:cfRule type="dataBar" id="{D8D35383-DA1D-413A-A10A-739777C9DA52}">
            <x14:dataBar minLength="0" maxLength="100" border="1" negativeBarBorderColorSameAsPositive="0">
              <x14:cfvo type="autoMin"/>
              <x14:cfvo type="autoMax"/>
              <x14:borderColor rgb="FF638EC6"/>
              <x14:negativeFillColor rgb="FFFF0000"/>
              <x14:negativeBorderColor rgb="FFFF0000"/>
              <x14:axisColor rgb="FF000000"/>
            </x14:dataBar>
          </x14:cfRule>
          <xm:sqref>L1:L1048576</xm:sqref>
        </x14:conditionalFormatting>
        <x14:conditionalFormatting xmlns:xm="http://schemas.microsoft.com/office/excel/2006/main">
          <x14:cfRule type="dataBar" id="{AEE33553-4104-44FB-92D3-2115E636EB1A}">
            <x14:dataBar minLength="0" maxLength="100" border="1" negativeBarBorderColorSameAsPositive="0">
              <x14:cfvo type="autoMin"/>
              <x14:cfvo type="autoMax"/>
              <x14:borderColor rgb="FFFFB628"/>
              <x14:negativeFillColor rgb="FFFF0000"/>
              <x14:negativeBorderColor rgb="FFFF0000"/>
              <x14:axisColor rgb="FF000000"/>
            </x14:dataBar>
          </x14:cfRule>
          <xm:sqref>M1:M1048576 R1:R1048576</xm:sqref>
        </x14:conditionalFormatting>
        <x14:conditionalFormatting xmlns:xm="http://schemas.microsoft.com/office/excel/2006/main">
          <x14:cfRule type="dataBar" id="{9782C259-4698-495B-9528-7CA4B7973C11}">
            <x14:dataBar minLength="0" maxLength="100" border="1" negativeBarBorderColorSameAsPositive="0">
              <x14:cfvo type="autoMin"/>
              <x14:cfvo type="autoMax"/>
              <x14:borderColor rgb="FFD6007B"/>
              <x14:negativeFillColor rgb="FFFF0000"/>
              <x14:negativeBorderColor rgb="FFFF0000"/>
              <x14:axisColor rgb="FF000000"/>
            </x14:dataBar>
          </x14:cfRule>
          <xm:sqref>N1:N1048576</xm:sqref>
        </x14:conditionalFormatting>
        <x14:conditionalFormatting xmlns:xm="http://schemas.microsoft.com/office/excel/2006/main">
          <x14:cfRule type="dataBar" id="{34861BD9-8097-40AA-BCE3-3B9D786DD989}">
            <x14:dataBar minLength="0" maxLength="100" border="1" negativeBarBorderColorSameAsPositive="0">
              <x14:cfvo type="autoMin"/>
              <x14:cfvo type="autoMax"/>
              <x14:borderColor rgb="FF008AEF"/>
              <x14:negativeFillColor rgb="FFFF0000"/>
              <x14:negativeBorderColor rgb="FFFF0000"/>
              <x14:axisColor rgb="FF000000"/>
            </x14:dataBar>
          </x14:cfRule>
          <xm:sqref>O1:O1048576</xm:sqref>
        </x14:conditionalFormatting>
        <x14:conditionalFormatting xmlns:xm="http://schemas.microsoft.com/office/excel/2006/main">
          <x14:cfRule type="dataBar" id="{2A43D702-2A26-4B1D-8AE6-85D231427C78}">
            <x14:dataBar minLength="0" maxLength="100" border="1" negativeBarBorderColorSameAsPositive="0">
              <x14:cfvo type="autoMin"/>
              <x14:cfvo type="autoMax"/>
              <x14:borderColor rgb="FF63C384"/>
              <x14:negativeFillColor rgb="FFFF0000"/>
              <x14:negativeBorderColor rgb="FFFF0000"/>
              <x14:axisColor rgb="FF000000"/>
            </x14:dataBar>
          </x14:cfRule>
          <xm:sqref>P2:P33</xm:sqref>
        </x14:conditionalFormatting>
        <x14:conditionalFormatting xmlns:xm="http://schemas.microsoft.com/office/excel/2006/main">
          <x14:cfRule type="dataBar" id="{1EB97861-A510-42BD-9112-CDB5ACAFAFA4}">
            <x14:dataBar minLength="0" maxLength="100" border="1" negativeBarBorderColorSameAsPositive="0">
              <x14:cfvo type="autoMin"/>
              <x14:cfvo type="autoMax"/>
              <x14:borderColor rgb="FF63C384"/>
              <x14:negativeFillColor rgb="FFFF0000"/>
              <x14:negativeBorderColor rgb="FFFF0000"/>
              <x14:axisColor rgb="FF000000"/>
            </x14:dataBar>
          </x14:cfRule>
          <xm:sqref>P1:Q1048576</xm:sqref>
        </x14:conditionalFormatting>
        <x14:conditionalFormatting xmlns:xm="http://schemas.microsoft.com/office/excel/2006/main">
          <x14:cfRule type="dataBar" id="{6A736FC1-8D23-48DB-ACA1-7E15E4712B8C}">
            <x14:dataBar minLength="0" maxLength="100" border="1" negativeBarBorderColorSameAsPositive="0">
              <x14:cfvo type="autoMin"/>
              <x14:cfvo type="autoMax"/>
              <x14:borderColor rgb="FFFF555A"/>
              <x14:negativeFillColor rgb="FFFF0000"/>
              <x14:negativeBorderColor rgb="FFFF0000"/>
              <x14:axisColor rgb="FF000000"/>
            </x14:dataBar>
          </x14:cfRule>
          <xm:sqref>Q2:Q33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7CB85-0482-473C-81D8-496D93D478E5}">
  <dimension ref="A1:L33"/>
  <sheetViews>
    <sheetView workbookViewId="0">
      <selection activeCell="C11" sqref="C11"/>
    </sheetView>
  </sheetViews>
  <sheetFormatPr defaultRowHeight="14.4" x14ac:dyDescent="0.3"/>
  <cols>
    <col min="1" max="1" width="15.88671875" style="1" bestFit="1" customWidth="1"/>
    <col min="2" max="2" width="5.5546875" style="1" bestFit="1" customWidth="1"/>
    <col min="3" max="3" width="6.5546875" style="1" bestFit="1" customWidth="1"/>
    <col min="4" max="4" width="6.33203125" style="1" bestFit="1" customWidth="1"/>
    <col min="5" max="5" width="6.5546875" style="1" bestFit="1" customWidth="1"/>
    <col min="6" max="6" width="10.21875" customWidth="1"/>
    <col min="7" max="7" width="6.109375" bestFit="1" customWidth="1"/>
    <col min="8" max="8" width="10.77734375" bestFit="1" customWidth="1"/>
    <col min="9" max="9" width="15.77734375" customWidth="1"/>
    <col min="10" max="10" width="8.88671875" style="1"/>
    <col min="11" max="11" width="14.44140625" style="1" customWidth="1"/>
    <col min="12" max="12" width="15.109375" style="1" customWidth="1"/>
    <col min="13" max="16384" width="8.88671875" style="1"/>
  </cols>
  <sheetData>
    <row r="1" spans="1:12" x14ac:dyDescent="0.3">
      <c r="A1" s="1" t="s">
        <v>0</v>
      </c>
      <c r="B1" s="1" t="s">
        <v>103</v>
      </c>
      <c r="C1" s="1" t="s">
        <v>104</v>
      </c>
      <c r="D1" s="1" t="s">
        <v>105</v>
      </c>
      <c r="E1" s="1" t="s">
        <v>106</v>
      </c>
      <c r="F1" s="1" t="s">
        <v>261</v>
      </c>
      <c r="G1" s="1" t="s">
        <v>262</v>
      </c>
      <c r="H1" s="1" t="s">
        <v>263</v>
      </c>
      <c r="I1" s="1" t="s">
        <v>264</v>
      </c>
    </row>
    <row r="2" spans="1:12" x14ac:dyDescent="0.3">
      <c r="A2" s="1" t="s">
        <v>21</v>
      </c>
      <c r="B2" s="1">
        <v>110</v>
      </c>
      <c r="C2" s="1">
        <v>98</v>
      </c>
      <c r="D2" s="1">
        <v>82</v>
      </c>
      <c r="E2" s="1">
        <v>95</v>
      </c>
      <c r="F2" s="1">
        <v>0.43</v>
      </c>
      <c r="G2" s="1">
        <v>340</v>
      </c>
      <c r="H2" s="1">
        <v>0.91</v>
      </c>
      <c r="I2" s="1" t="s">
        <v>265</v>
      </c>
    </row>
    <row r="3" spans="1:12" x14ac:dyDescent="0.3">
      <c r="A3" s="1" t="s">
        <v>63</v>
      </c>
      <c r="B3" s="1">
        <v>130</v>
      </c>
      <c r="C3" s="1">
        <v>95</v>
      </c>
      <c r="D3" s="1">
        <v>85</v>
      </c>
      <c r="E3" s="1">
        <v>87</v>
      </c>
      <c r="F3" s="1">
        <v>0.75</v>
      </c>
      <c r="G3" s="1">
        <v>350</v>
      </c>
      <c r="H3" s="1">
        <v>0.62</v>
      </c>
      <c r="I3" s="1" t="s">
        <v>265</v>
      </c>
      <c r="K3" s="1" t="s">
        <v>270</v>
      </c>
      <c r="L3" s="1" t="s">
        <v>265</v>
      </c>
    </row>
    <row r="4" spans="1:12" x14ac:dyDescent="0.3">
      <c r="A4" s="1" t="s">
        <v>71</v>
      </c>
      <c r="B4" s="1">
        <v>112</v>
      </c>
      <c r="C4" s="1">
        <v>92</v>
      </c>
      <c r="D4" s="1">
        <v>58</v>
      </c>
      <c r="E4" s="1">
        <v>68</v>
      </c>
      <c r="F4" s="1">
        <v>0.5</v>
      </c>
      <c r="G4" s="1">
        <v>210</v>
      </c>
      <c r="H4" s="1">
        <v>0.63</v>
      </c>
      <c r="I4" s="1" t="s">
        <v>266</v>
      </c>
      <c r="K4" s="1" t="s">
        <v>271</v>
      </c>
      <c r="L4" s="1">
        <f>IFERROR(AVERAGEIFS(Stats_Data[Win Rate],Stats_Data[Faksi Wilayah],L3), "")</f>
        <v>0.66625000000000001</v>
      </c>
    </row>
    <row r="5" spans="1:12" x14ac:dyDescent="0.3">
      <c r="A5" s="1" t="s">
        <v>15</v>
      </c>
      <c r="B5" s="1">
        <v>130</v>
      </c>
      <c r="C5" s="1">
        <v>90</v>
      </c>
      <c r="D5" s="1">
        <v>75</v>
      </c>
      <c r="E5" s="1">
        <v>60</v>
      </c>
      <c r="F5" s="1">
        <v>0.15</v>
      </c>
      <c r="G5" s="1">
        <v>330</v>
      </c>
      <c r="H5" s="1">
        <v>0.54</v>
      </c>
      <c r="I5" s="1" t="s">
        <v>266</v>
      </c>
    </row>
    <row r="6" spans="1:12" x14ac:dyDescent="0.3">
      <c r="A6" s="1" t="s">
        <v>18</v>
      </c>
      <c r="B6" s="1">
        <v>140</v>
      </c>
      <c r="C6" s="1">
        <v>88</v>
      </c>
      <c r="D6" s="1">
        <v>80</v>
      </c>
      <c r="E6" s="1">
        <v>65</v>
      </c>
      <c r="F6" s="1">
        <v>0.35</v>
      </c>
      <c r="G6" s="1">
        <v>200</v>
      </c>
      <c r="H6" s="1">
        <v>0.51</v>
      </c>
      <c r="I6" s="1" t="s">
        <v>268</v>
      </c>
    </row>
    <row r="7" spans="1:12" x14ac:dyDescent="0.3">
      <c r="A7" s="1" t="s">
        <v>54</v>
      </c>
      <c r="B7" s="1">
        <v>105</v>
      </c>
      <c r="C7" s="1">
        <v>88</v>
      </c>
      <c r="D7" s="1">
        <v>55</v>
      </c>
      <c r="E7" s="1">
        <v>75</v>
      </c>
      <c r="F7" s="1">
        <v>0.55000000000000004</v>
      </c>
      <c r="G7" s="1">
        <v>160</v>
      </c>
      <c r="H7" s="1">
        <v>0.57999999999999996</v>
      </c>
      <c r="I7" s="1" t="s">
        <v>268</v>
      </c>
    </row>
    <row r="8" spans="1:12" x14ac:dyDescent="0.3">
      <c r="A8" s="1" t="s">
        <v>73</v>
      </c>
      <c r="B8" s="1">
        <v>135</v>
      </c>
      <c r="C8" s="1">
        <v>88</v>
      </c>
      <c r="D8" s="1">
        <v>80</v>
      </c>
      <c r="E8" s="1">
        <v>62</v>
      </c>
      <c r="F8" s="1">
        <v>0.62</v>
      </c>
      <c r="G8" s="1">
        <v>270</v>
      </c>
      <c r="H8" s="1">
        <v>0.67</v>
      </c>
      <c r="I8" s="1" t="s">
        <v>265</v>
      </c>
    </row>
    <row r="9" spans="1:12" x14ac:dyDescent="0.3">
      <c r="A9" s="1" t="s">
        <v>25</v>
      </c>
      <c r="B9" s="1">
        <v>125</v>
      </c>
      <c r="C9" s="1">
        <v>87</v>
      </c>
      <c r="D9" s="1">
        <v>65</v>
      </c>
      <c r="E9" s="1">
        <v>80</v>
      </c>
      <c r="F9" s="1">
        <v>0.57999999999999996</v>
      </c>
      <c r="G9" s="1">
        <v>190</v>
      </c>
      <c r="H9" s="1">
        <v>0.56000000000000005</v>
      </c>
      <c r="I9" s="1" t="s">
        <v>266</v>
      </c>
    </row>
    <row r="10" spans="1:12" x14ac:dyDescent="0.3">
      <c r="A10" s="1" t="s">
        <v>7</v>
      </c>
      <c r="B10" s="1">
        <v>120</v>
      </c>
      <c r="C10" s="1">
        <v>85</v>
      </c>
      <c r="D10" s="1">
        <v>65</v>
      </c>
      <c r="E10" s="1">
        <v>70</v>
      </c>
      <c r="F10" s="1">
        <v>0.88</v>
      </c>
      <c r="G10" s="1">
        <v>310</v>
      </c>
      <c r="H10" s="1">
        <v>0.69</v>
      </c>
      <c r="I10" s="1" t="s">
        <v>265</v>
      </c>
    </row>
    <row r="11" spans="1:12" x14ac:dyDescent="0.3">
      <c r="A11" s="1" t="s">
        <v>69</v>
      </c>
      <c r="B11" s="1">
        <v>118</v>
      </c>
      <c r="C11" s="1">
        <v>85</v>
      </c>
      <c r="D11" s="1">
        <v>70</v>
      </c>
      <c r="E11" s="1">
        <v>75</v>
      </c>
      <c r="F11" s="1">
        <v>0.2</v>
      </c>
      <c r="G11" s="1">
        <v>340</v>
      </c>
      <c r="H11" s="1">
        <v>0.52</v>
      </c>
      <c r="I11" s="1" t="s">
        <v>266</v>
      </c>
    </row>
    <row r="12" spans="1:12" x14ac:dyDescent="0.3">
      <c r="A12" s="1" t="s">
        <v>60</v>
      </c>
      <c r="B12" s="1">
        <v>120</v>
      </c>
      <c r="C12" s="1">
        <v>84</v>
      </c>
      <c r="D12" s="1">
        <v>65</v>
      </c>
      <c r="E12" s="1">
        <v>88</v>
      </c>
      <c r="F12" s="1">
        <v>0.45</v>
      </c>
      <c r="G12" s="1">
        <v>180</v>
      </c>
      <c r="H12" s="1">
        <v>0.55000000000000004</v>
      </c>
      <c r="I12" s="1" t="s">
        <v>266</v>
      </c>
    </row>
    <row r="13" spans="1:12" x14ac:dyDescent="0.3">
      <c r="A13" s="1" t="s">
        <v>77</v>
      </c>
      <c r="B13" s="1">
        <v>125</v>
      </c>
      <c r="C13" s="1">
        <v>83</v>
      </c>
      <c r="D13" s="1">
        <v>67</v>
      </c>
      <c r="E13" s="1">
        <v>80</v>
      </c>
      <c r="F13" s="1">
        <v>0.35</v>
      </c>
      <c r="G13" s="1">
        <v>320</v>
      </c>
      <c r="H13" s="1">
        <v>0.57999999999999996</v>
      </c>
      <c r="I13" s="1" t="s">
        <v>268</v>
      </c>
    </row>
    <row r="14" spans="1:12" x14ac:dyDescent="0.3">
      <c r="A14" s="1" t="s">
        <v>85</v>
      </c>
      <c r="B14" s="1">
        <v>138</v>
      </c>
      <c r="C14" s="1">
        <v>82</v>
      </c>
      <c r="D14" s="1">
        <v>82</v>
      </c>
      <c r="E14" s="1">
        <v>58</v>
      </c>
      <c r="F14" s="1">
        <v>0.3</v>
      </c>
      <c r="G14" s="1">
        <v>350</v>
      </c>
      <c r="H14" s="1">
        <v>0.6</v>
      </c>
      <c r="I14" s="1" t="s">
        <v>265</v>
      </c>
    </row>
    <row r="15" spans="1:12" x14ac:dyDescent="0.3">
      <c r="A15" s="1" t="s">
        <v>75</v>
      </c>
      <c r="B15" s="1">
        <v>122</v>
      </c>
      <c r="C15" s="1">
        <v>80</v>
      </c>
      <c r="D15" s="1">
        <v>75</v>
      </c>
      <c r="E15" s="1">
        <v>70</v>
      </c>
      <c r="F15" s="1">
        <v>0.85</v>
      </c>
      <c r="G15" s="1">
        <v>120</v>
      </c>
      <c r="H15" s="1">
        <v>0.68</v>
      </c>
      <c r="I15" s="1" t="s">
        <v>265</v>
      </c>
    </row>
    <row r="16" spans="1:12" x14ac:dyDescent="0.3">
      <c r="A16" s="1" t="s">
        <v>87</v>
      </c>
      <c r="B16" s="1">
        <v>128</v>
      </c>
      <c r="C16" s="1">
        <v>80</v>
      </c>
      <c r="D16" s="1">
        <v>78</v>
      </c>
      <c r="E16" s="1">
        <v>64</v>
      </c>
      <c r="F16" s="1">
        <v>0.9</v>
      </c>
      <c r="G16" s="1">
        <v>90</v>
      </c>
      <c r="H16" s="1">
        <v>0.81</v>
      </c>
      <c r="I16" s="1" t="s">
        <v>266</v>
      </c>
    </row>
    <row r="17" spans="1:9" x14ac:dyDescent="0.3">
      <c r="A17" s="1" t="s">
        <v>28</v>
      </c>
      <c r="B17" s="1">
        <v>105</v>
      </c>
      <c r="C17" s="1">
        <v>80</v>
      </c>
      <c r="D17" s="1">
        <v>50</v>
      </c>
      <c r="E17" s="1">
        <v>90</v>
      </c>
      <c r="F17" s="1">
        <v>0.42</v>
      </c>
      <c r="G17" s="1">
        <v>330</v>
      </c>
      <c r="H17" s="1">
        <v>0.5</v>
      </c>
      <c r="I17" s="1" t="s">
        <v>268</v>
      </c>
    </row>
    <row r="18" spans="1:9" x14ac:dyDescent="0.3">
      <c r="A18" s="1" t="s">
        <v>38</v>
      </c>
      <c r="B18" s="1">
        <v>145</v>
      </c>
      <c r="C18" s="1">
        <v>80</v>
      </c>
      <c r="D18" s="1">
        <v>85</v>
      </c>
      <c r="E18" s="1">
        <v>50</v>
      </c>
      <c r="F18" s="1">
        <v>0.25</v>
      </c>
      <c r="G18" s="1">
        <v>300</v>
      </c>
      <c r="H18" s="1">
        <v>0.7</v>
      </c>
      <c r="I18" s="1" t="s">
        <v>267</v>
      </c>
    </row>
    <row r="19" spans="1:9" x14ac:dyDescent="0.3">
      <c r="A19" s="1" t="s">
        <v>44</v>
      </c>
      <c r="B19" s="1">
        <v>120</v>
      </c>
      <c r="C19" s="1">
        <v>78</v>
      </c>
      <c r="D19" s="1">
        <v>70</v>
      </c>
      <c r="E19" s="1">
        <v>75</v>
      </c>
      <c r="F19" s="1">
        <v>0.25</v>
      </c>
      <c r="G19" s="1">
        <v>280</v>
      </c>
      <c r="H19" s="1">
        <v>0.52</v>
      </c>
      <c r="I19" s="1" t="s">
        <v>267</v>
      </c>
    </row>
    <row r="20" spans="1:9" x14ac:dyDescent="0.3">
      <c r="A20" s="1" t="s">
        <v>79</v>
      </c>
      <c r="B20" s="1">
        <v>115</v>
      </c>
      <c r="C20" s="1">
        <v>76</v>
      </c>
      <c r="D20" s="1">
        <v>62</v>
      </c>
      <c r="E20" s="1">
        <v>72</v>
      </c>
      <c r="F20" s="1">
        <v>0.65</v>
      </c>
      <c r="G20" s="1">
        <v>150</v>
      </c>
      <c r="H20" s="1">
        <v>0.59</v>
      </c>
      <c r="I20" s="1" t="s">
        <v>267</v>
      </c>
    </row>
    <row r="21" spans="1:9" x14ac:dyDescent="0.3">
      <c r="A21" s="1" t="s">
        <v>57</v>
      </c>
      <c r="B21" s="1">
        <v>110</v>
      </c>
      <c r="C21" s="1">
        <v>75</v>
      </c>
      <c r="D21" s="1">
        <v>60</v>
      </c>
      <c r="E21" s="1">
        <v>90</v>
      </c>
      <c r="F21" s="1">
        <v>0.8</v>
      </c>
      <c r="G21" s="1">
        <v>110</v>
      </c>
      <c r="H21" s="1">
        <v>0.63</v>
      </c>
      <c r="I21" s="1" t="s">
        <v>268</v>
      </c>
    </row>
    <row r="22" spans="1:9" x14ac:dyDescent="0.3">
      <c r="A22" s="1" t="s">
        <v>67</v>
      </c>
      <c r="B22" s="1">
        <v>110</v>
      </c>
      <c r="C22" s="1">
        <v>75</v>
      </c>
      <c r="D22" s="1">
        <v>65</v>
      </c>
      <c r="E22" s="1">
        <v>75</v>
      </c>
      <c r="F22" s="1">
        <v>0.7</v>
      </c>
      <c r="G22" s="1">
        <v>210</v>
      </c>
      <c r="H22" s="1">
        <v>0.48</v>
      </c>
      <c r="I22" s="1" t="s">
        <v>268</v>
      </c>
    </row>
    <row r="23" spans="1:9" x14ac:dyDescent="0.3">
      <c r="A23" s="1" t="s">
        <v>12</v>
      </c>
      <c r="B23" s="1">
        <v>115</v>
      </c>
      <c r="C23" s="1">
        <v>75</v>
      </c>
      <c r="D23" s="1">
        <v>70</v>
      </c>
      <c r="E23" s="1">
        <v>85</v>
      </c>
      <c r="F23" s="1">
        <v>0.4</v>
      </c>
      <c r="G23" s="1">
        <v>260</v>
      </c>
      <c r="H23" s="1">
        <v>0.75</v>
      </c>
      <c r="I23" s="1" t="s">
        <v>266</v>
      </c>
    </row>
    <row r="24" spans="1:9" x14ac:dyDescent="0.3">
      <c r="A24" s="1" t="s">
        <v>51</v>
      </c>
      <c r="B24" s="1">
        <v>125</v>
      </c>
      <c r="C24" s="1">
        <v>72</v>
      </c>
      <c r="D24" s="1">
        <v>75</v>
      </c>
      <c r="E24" s="1">
        <v>70</v>
      </c>
      <c r="F24" s="1">
        <v>0.4</v>
      </c>
      <c r="G24" s="1">
        <v>150</v>
      </c>
      <c r="H24" s="1">
        <v>0.66</v>
      </c>
      <c r="I24" s="1" t="s">
        <v>267</v>
      </c>
    </row>
    <row r="25" spans="1:9" x14ac:dyDescent="0.3">
      <c r="A25" s="1" t="s">
        <v>65</v>
      </c>
      <c r="B25" s="1">
        <v>115</v>
      </c>
      <c r="C25" s="1">
        <v>70</v>
      </c>
      <c r="D25" s="1">
        <v>60</v>
      </c>
      <c r="E25" s="1">
        <v>82</v>
      </c>
      <c r="F25" s="1">
        <v>0.6</v>
      </c>
      <c r="G25" s="1">
        <v>220</v>
      </c>
      <c r="H25" s="1">
        <v>0.71</v>
      </c>
      <c r="I25" s="1" t="s">
        <v>266</v>
      </c>
    </row>
    <row r="26" spans="1:9" x14ac:dyDescent="0.3">
      <c r="A26" s="1" t="s">
        <v>83</v>
      </c>
      <c r="B26" s="1">
        <v>110</v>
      </c>
      <c r="C26" s="1">
        <v>70</v>
      </c>
      <c r="D26" s="1">
        <v>70</v>
      </c>
      <c r="E26" s="1">
        <v>65</v>
      </c>
      <c r="F26" s="1">
        <v>0.72</v>
      </c>
      <c r="G26" s="1">
        <v>290</v>
      </c>
      <c r="H26" s="1">
        <v>0.61</v>
      </c>
      <c r="I26" s="1" t="s">
        <v>265</v>
      </c>
    </row>
    <row r="27" spans="1:9" x14ac:dyDescent="0.3">
      <c r="A27" s="1" t="s">
        <v>31</v>
      </c>
      <c r="B27" s="1">
        <v>115</v>
      </c>
      <c r="C27" s="1">
        <v>70</v>
      </c>
      <c r="D27" s="1">
        <v>55</v>
      </c>
      <c r="E27" s="1">
        <v>85</v>
      </c>
      <c r="F27" s="1">
        <v>0.48</v>
      </c>
      <c r="G27" s="1">
        <v>220</v>
      </c>
      <c r="H27" s="1">
        <v>0.61</v>
      </c>
      <c r="I27" s="1" t="s">
        <v>267</v>
      </c>
    </row>
    <row r="28" spans="1:9" x14ac:dyDescent="0.3">
      <c r="A28" s="1" t="s">
        <v>34</v>
      </c>
      <c r="B28" s="1">
        <v>135</v>
      </c>
      <c r="C28" s="1">
        <v>65</v>
      </c>
      <c r="D28" s="1">
        <v>90</v>
      </c>
      <c r="E28" s="1">
        <v>55</v>
      </c>
      <c r="F28" s="1">
        <v>0.5</v>
      </c>
      <c r="G28" s="1">
        <v>300</v>
      </c>
      <c r="H28" s="1">
        <v>0.74</v>
      </c>
      <c r="I28" s="1" t="s">
        <v>267</v>
      </c>
    </row>
    <row r="29" spans="1:9" x14ac:dyDescent="0.3">
      <c r="A29" s="1" t="s">
        <v>81</v>
      </c>
      <c r="B29" s="1">
        <v>140</v>
      </c>
      <c r="C29" s="1">
        <v>65</v>
      </c>
      <c r="D29" s="1">
        <v>85</v>
      </c>
      <c r="E29" s="1">
        <v>55</v>
      </c>
      <c r="F29" s="1">
        <v>0.55000000000000004</v>
      </c>
      <c r="G29" s="1">
        <v>240</v>
      </c>
      <c r="H29" s="1">
        <v>0.72</v>
      </c>
      <c r="I29" s="1" t="s">
        <v>267</v>
      </c>
    </row>
    <row r="30" spans="1:9" x14ac:dyDescent="0.3">
      <c r="A30" s="1" t="s">
        <v>47</v>
      </c>
      <c r="B30" s="1">
        <v>110</v>
      </c>
      <c r="C30" s="1">
        <v>60</v>
      </c>
      <c r="D30" s="1">
        <v>65</v>
      </c>
      <c r="E30" s="1">
        <v>80</v>
      </c>
      <c r="F30" s="1">
        <v>0.38</v>
      </c>
      <c r="G30" s="1">
        <v>380</v>
      </c>
      <c r="H30" s="1">
        <v>0.55000000000000004</v>
      </c>
      <c r="I30" s="1" t="s">
        <v>265</v>
      </c>
    </row>
    <row r="31" spans="1:9" x14ac:dyDescent="0.3">
      <c r="A31" s="1" t="s">
        <v>89</v>
      </c>
      <c r="B31" s="1">
        <v>132</v>
      </c>
      <c r="C31" s="1">
        <v>60</v>
      </c>
      <c r="D31" s="1">
        <v>80</v>
      </c>
      <c r="E31" s="1">
        <v>60</v>
      </c>
      <c r="F31" s="1">
        <v>0.3</v>
      </c>
      <c r="G31" s="1">
        <v>280</v>
      </c>
      <c r="H31" s="1">
        <v>0.57999999999999996</v>
      </c>
      <c r="I31" s="1" t="s">
        <v>268</v>
      </c>
    </row>
    <row r="32" spans="1:9" x14ac:dyDescent="0.3">
      <c r="A32" s="1" t="s">
        <v>41</v>
      </c>
      <c r="B32" s="1">
        <v>150</v>
      </c>
      <c r="C32" s="1">
        <v>55</v>
      </c>
      <c r="D32" s="1">
        <v>95</v>
      </c>
      <c r="E32" s="1">
        <v>45</v>
      </c>
      <c r="F32" s="1">
        <v>0.68</v>
      </c>
      <c r="G32" s="1">
        <v>140</v>
      </c>
      <c r="H32" s="1">
        <v>0.64</v>
      </c>
      <c r="I32" s="1" t="s">
        <v>267</v>
      </c>
    </row>
    <row r="33" spans="1:9" x14ac:dyDescent="0.3">
      <c r="A33" s="1" t="s">
        <v>91</v>
      </c>
      <c r="B33" s="1">
        <v>120</v>
      </c>
      <c r="C33" s="1">
        <v>55</v>
      </c>
      <c r="D33" s="1">
        <v>85</v>
      </c>
      <c r="E33" s="1">
        <v>55</v>
      </c>
      <c r="F33" s="1">
        <v>0.52</v>
      </c>
      <c r="G33" s="1">
        <v>175</v>
      </c>
      <c r="H33" s="1">
        <v>0.53</v>
      </c>
      <c r="I33" s="1" t="s">
        <v>268</v>
      </c>
    </row>
  </sheetData>
  <dataValidations count="1">
    <dataValidation type="list" allowBlank="1" showInputMessage="1" showErrorMessage="1" sqref="L3" xr:uid="{E482E537-68AA-4A4B-A582-C56F0FC9C7D4}">
      <formula1>"Northern Tundra, Eastern Sunrise, Western Citadel, Southern Isles"</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4ECE1-0DFC-4B01-9A20-FF74BBD8EB7E}">
  <dimension ref="A1:I33"/>
  <sheetViews>
    <sheetView workbookViewId="0">
      <selection activeCell="F2" sqref="F2:F33"/>
    </sheetView>
  </sheetViews>
  <sheetFormatPr defaultRowHeight="14.4" x14ac:dyDescent="0.3"/>
  <cols>
    <col min="1" max="1" width="17.6640625" style="1" customWidth="1"/>
    <col min="2" max="2" width="20.33203125" style="1" customWidth="1"/>
    <col min="3" max="3" width="18.5546875" style="1" customWidth="1"/>
    <col min="4" max="4" width="9.21875" style="1" customWidth="1"/>
    <col min="5" max="7" width="8.88671875" style="1"/>
    <col min="8" max="8" width="16.109375" style="1" customWidth="1"/>
    <col min="9" max="16384" width="8.88671875" style="1"/>
  </cols>
  <sheetData>
    <row r="1" spans="1:9" ht="43.2" x14ac:dyDescent="0.3">
      <c r="A1" s="1" t="s">
        <v>113</v>
      </c>
      <c r="B1" s="1" t="s">
        <v>114</v>
      </c>
      <c r="C1" s="1" t="s">
        <v>172</v>
      </c>
      <c r="D1" s="4" t="s">
        <v>173</v>
      </c>
      <c r="E1" s="4" t="s">
        <v>174</v>
      </c>
      <c r="F1" s="4" t="s">
        <v>175</v>
      </c>
    </row>
    <row r="2" spans="1:9" x14ac:dyDescent="0.3">
      <c r="A2" s="1" t="s">
        <v>115</v>
      </c>
      <c r="B2" s="1" t="s">
        <v>116</v>
      </c>
      <c r="C2" s="1" t="str">
        <f t="shared" ref="C2:C33" si="0">PROPER(TRIM(B2))</f>
        <v>Paula Lopez</v>
      </c>
      <c r="D2" s="1">
        <f>VALUE(MID(TRIM(latihan_cleaning__2[[#This Row],[Kode Mentah]]),4,2))</f>
        <v>85</v>
      </c>
      <c r="E2" s="1" t="str">
        <f>RIGHT(TRIM(latihan_cleaning__2[[#This Row],[Kode Mentah]]),3)</f>
        <v>MOD</v>
      </c>
      <c r="F2" s="1" t="str">
        <f>IF(latihan_cleaning__2[[#This Row],[Ekstrak Kode Grup]]="MOD", "Modern", "Fantasy")</f>
        <v>Modern</v>
      </c>
      <c r="H2" s="1" t="s">
        <v>176</v>
      </c>
      <c r="I2" s="1" t="s">
        <v>9</v>
      </c>
    </row>
    <row r="3" spans="1:9" x14ac:dyDescent="0.3">
      <c r="A3" s="1" t="s">
        <v>117</v>
      </c>
      <c r="B3" s="1" t="s">
        <v>12</v>
      </c>
      <c r="C3" s="1" t="str">
        <f t="shared" si="0"/>
        <v>Mica Dwyer</v>
      </c>
      <c r="D3" s="1">
        <f>VALUE(MID(TRIM(latihan_cleaning__2[[#This Row],[Kode Mentah]]),4,2))</f>
        <v>75</v>
      </c>
      <c r="E3" s="1" t="str">
        <f>RIGHT(TRIM(latihan_cleaning__2[[#This Row],[Kode Mentah]]),3)</f>
        <v>MOD</v>
      </c>
      <c r="F3" s="1" t="str">
        <f>IF(latihan_cleaning__2[[#This Row],[Ekstrak Kode Grup]]="MOD", "Modern", "Fantasy")</f>
        <v>Modern</v>
      </c>
      <c r="H3" s="1" t="s">
        <v>177</v>
      </c>
      <c r="I3" s="1" t="s">
        <v>219</v>
      </c>
    </row>
    <row r="4" spans="1:9" x14ac:dyDescent="0.3">
      <c r="A4" s="1" t="s">
        <v>118</v>
      </c>
      <c r="B4" s="1" t="s">
        <v>119</v>
      </c>
      <c r="C4" s="1" t="str">
        <f t="shared" si="0"/>
        <v>Hiromi Masaki</v>
      </c>
      <c r="D4" s="1">
        <f>VALUE(MID(TRIM(latihan_cleaning__2[[#This Row],[Kode Mentah]]),4,2))</f>
        <v>90</v>
      </c>
      <c r="E4" s="1" t="str">
        <f>RIGHT(TRIM(latihan_cleaning__2[[#This Row],[Kode Mentah]]),3)</f>
        <v>MOD</v>
      </c>
      <c r="F4" s="1" t="str">
        <f>IF(latihan_cleaning__2[[#This Row],[Ekstrak Kode Grup]]="MOD", "Modern", "Fantasy")</f>
        <v>Modern</v>
      </c>
    </row>
    <row r="5" spans="1:9" x14ac:dyDescent="0.3">
      <c r="A5" s="1" t="s">
        <v>120</v>
      </c>
      <c r="B5" s="1" t="s">
        <v>121</v>
      </c>
      <c r="C5" s="1" t="str">
        <f t="shared" si="0"/>
        <v>Gillian Wiley</v>
      </c>
      <c r="D5" s="1">
        <f>VALUE(MID(TRIM(latihan_cleaning__2[[#This Row],[Kode Mentah]]),4,2))</f>
        <v>88</v>
      </c>
      <c r="E5" s="1" t="str">
        <f>RIGHT(TRIM(latihan_cleaning__2[[#This Row],[Kode Mentah]]),3)</f>
        <v>MOD</v>
      </c>
      <c r="F5" s="1" t="str">
        <f>IF(latihan_cleaning__2[[#This Row],[Ekstrak Kode Grup]]="MOD", "Modern", "Fantasy")</f>
        <v>Modern</v>
      </c>
      <c r="H5" s="1" t="s">
        <v>178</v>
      </c>
      <c r="I5" s="1">
        <f>COUNTIFS(latihan_cleaning__2[Konversi Grup],I2,characters[Role],I3)</f>
        <v>4</v>
      </c>
    </row>
    <row r="6" spans="1:9" x14ac:dyDescent="0.3">
      <c r="A6" s="1" t="s">
        <v>122</v>
      </c>
      <c r="B6" s="1" t="s">
        <v>123</v>
      </c>
      <c r="C6" s="1" t="str">
        <f t="shared" si="0"/>
        <v>Hayami Amamiya</v>
      </c>
      <c r="D6" s="1">
        <f>VALUE(MID(TRIM(latihan_cleaning__2[[#This Row],[Kode Mentah]]),4,2))</f>
        <v>82</v>
      </c>
      <c r="E6" s="1" t="str">
        <f>RIGHT(TRIM(latihan_cleaning__2[[#This Row],[Kode Mentah]]),3)</f>
        <v>MOD</v>
      </c>
      <c r="F6" s="1" t="str">
        <f>IF(latihan_cleaning__2[[#This Row],[Ekstrak Kode Grup]]="MOD", "Modern", "Fantasy")</f>
        <v>Modern</v>
      </c>
      <c r="H6" s="1" t="s">
        <v>179</v>
      </c>
      <c r="I6" s="1">
        <f>SUMIFS(latihan_cleaning__2[Ekstrak Angka ATK],latihan_cleaning__2[Konversi Grup],I2,characters[Role],I3)</f>
        <v>338</v>
      </c>
    </row>
    <row r="7" spans="1:9" x14ac:dyDescent="0.3">
      <c r="A7" s="1" t="s">
        <v>124</v>
      </c>
      <c r="B7" s="1" t="s">
        <v>125</v>
      </c>
      <c r="C7" s="1" t="str">
        <f t="shared" si="0"/>
        <v>Shaye Kaylen</v>
      </c>
      <c r="D7" s="1">
        <f>VALUE(MID(TRIM(latihan_cleaning__2[[#This Row],[Kode Mentah]]),4,2))</f>
        <v>87</v>
      </c>
      <c r="E7" s="1" t="str">
        <f>RIGHT(TRIM(latihan_cleaning__2[[#This Row],[Kode Mentah]]),3)</f>
        <v>MOD</v>
      </c>
      <c r="F7" s="1" t="str">
        <f>IF(latihan_cleaning__2[[#This Row],[Ekstrak Kode Grup]]="MOD", "Modern", "Fantasy")</f>
        <v>Modern</v>
      </c>
    </row>
    <row r="8" spans="1:9" x14ac:dyDescent="0.3">
      <c r="A8" s="1" t="s">
        <v>126</v>
      </c>
      <c r="B8" s="1" t="s">
        <v>28</v>
      </c>
      <c r="C8" s="1" t="str">
        <f t="shared" si="0"/>
        <v>Shiina Ishioka</v>
      </c>
      <c r="D8" s="1">
        <f>VALUE(MID(TRIM(latihan_cleaning__2[[#This Row],[Kode Mentah]]),4,2))</f>
        <v>95</v>
      </c>
      <c r="E8" s="1" t="str">
        <f>RIGHT(TRIM(latihan_cleaning__2[[#This Row],[Kode Mentah]]),3)</f>
        <v>MOD</v>
      </c>
      <c r="F8" s="1" t="str">
        <f>IF(latihan_cleaning__2[[#This Row],[Ekstrak Kode Grup]]="MOD", "Modern", "Fantasy")</f>
        <v>Modern</v>
      </c>
    </row>
    <row r="9" spans="1:9" x14ac:dyDescent="0.3">
      <c r="A9" s="1" t="s">
        <v>127</v>
      </c>
      <c r="B9" s="1" t="s">
        <v>128</v>
      </c>
      <c r="C9" s="1" t="str">
        <f t="shared" si="0"/>
        <v>Theresa Felix</v>
      </c>
      <c r="D9" s="1">
        <f>VALUE(MID(TRIM(latihan_cleaning__2[[#This Row],[Kode Mentah]]),4,2))</f>
        <v>70</v>
      </c>
      <c r="E9" s="1" t="str">
        <f>RIGHT(TRIM(latihan_cleaning__2[[#This Row],[Kode Mentah]]),3)</f>
        <v>MOD</v>
      </c>
      <c r="F9" s="1" t="str">
        <f>IF(latihan_cleaning__2[[#This Row],[Ekstrak Kode Grup]]="MOD", "Modern", "Fantasy")</f>
        <v>Modern</v>
      </c>
      <c r="H9" s="1" t="s">
        <v>180</v>
      </c>
      <c r="I9" s="1" t="s">
        <v>61</v>
      </c>
    </row>
    <row r="10" spans="1:9" x14ac:dyDescent="0.3">
      <c r="A10" s="1" t="s">
        <v>129</v>
      </c>
      <c r="B10" s="1" t="s">
        <v>130</v>
      </c>
      <c r="C10" s="1" t="str">
        <f t="shared" si="0"/>
        <v>Chiyo Funai</v>
      </c>
      <c r="D10" s="1">
        <f>VALUE(MID(TRIM(latihan_cleaning__2[[#This Row],[Kode Mentah]]),4,2))</f>
        <v>65</v>
      </c>
      <c r="E10" s="1" t="str">
        <f>RIGHT(TRIM(latihan_cleaning__2[[#This Row],[Kode Mentah]]),3)</f>
        <v>MOD</v>
      </c>
      <c r="F10" s="1" t="str">
        <f>IF(latihan_cleaning__2[[#This Row],[Ekstrak Kode Grup]]="MOD", "Modern", "Fantasy")</f>
        <v>Modern</v>
      </c>
      <c r="H10" s="1" t="s">
        <v>181</v>
      </c>
      <c r="I10" s="1" t="s">
        <v>184</v>
      </c>
    </row>
    <row r="11" spans="1:9" x14ac:dyDescent="0.3">
      <c r="A11" s="1" t="s">
        <v>131</v>
      </c>
      <c r="B11" s="1" t="s">
        <v>132</v>
      </c>
      <c r="C11" s="1" t="str">
        <f t="shared" si="0"/>
        <v>Shizuka Aikawa</v>
      </c>
      <c r="D11" s="1">
        <f>VALUE(MID(TRIM(latihan_cleaning__2[[#This Row],[Kode Mentah]]),4,2))</f>
        <v>80</v>
      </c>
      <c r="E11" s="1" t="str">
        <f>RIGHT(TRIM(latihan_cleaning__2[[#This Row],[Kode Mentah]]),3)</f>
        <v>MOD</v>
      </c>
      <c r="F11" s="1" t="str">
        <f>IF(latihan_cleaning__2[[#This Row],[Ekstrak Kode Grup]]="MOD", "Modern", "Fantasy")</f>
        <v>Modern</v>
      </c>
    </row>
    <row r="12" spans="1:9" x14ac:dyDescent="0.3">
      <c r="A12" s="1" t="s">
        <v>133</v>
      </c>
      <c r="B12" s="1" t="s">
        <v>134</v>
      </c>
      <c r="C12" s="1" t="str">
        <f t="shared" si="0"/>
        <v>Mayumi Sasaki</v>
      </c>
      <c r="D12" s="1">
        <f>VALUE(MID(TRIM(latihan_cleaning__2[[#This Row],[Kode Mentah]]),4,2))</f>
        <v>55</v>
      </c>
      <c r="E12" s="1" t="str">
        <f>RIGHT(TRIM(latihan_cleaning__2[[#This Row],[Kode Mentah]]),3)</f>
        <v>MOD</v>
      </c>
      <c r="F12" s="1" t="str">
        <f>IF(latihan_cleaning__2[[#This Row],[Ekstrak Kode Grup]]="MOD", "Modern", "Fantasy")</f>
        <v>Modern</v>
      </c>
      <c r="H12" s="1" t="s">
        <v>182</v>
      </c>
      <c r="I12" s="1">
        <f>COUNTIFS(latihan_cleaning__2[Konversi Grup],I9,characters[Kategori Tinggi],I10)</f>
        <v>7</v>
      </c>
    </row>
    <row r="13" spans="1:9" x14ac:dyDescent="0.3">
      <c r="A13" s="1" t="s">
        <v>135</v>
      </c>
      <c r="B13" s="1" t="s">
        <v>136</v>
      </c>
      <c r="C13" s="1" t="str">
        <f t="shared" si="0"/>
        <v>Lily Raven</v>
      </c>
      <c r="D13" s="1">
        <f>VALUE(MID(TRIM(latihan_cleaning__2[[#This Row],[Kode Mentah]]),4,2))</f>
        <v>78</v>
      </c>
      <c r="E13" s="1" t="str">
        <f>RIGHT(TRIM(latihan_cleaning__2[[#This Row],[Kode Mentah]]),3)</f>
        <v>MOD</v>
      </c>
      <c r="F13" s="1" t="str">
        <f>IF(latihan_cleaning__2[[#This Row],[Ekstrak Kode Grup]]="MOD", "Modern", "Fantasy")</f>
        <v>Modern</v>
      </c>
      <c r="H13" s="1" t="s">
        <v>183</v>
      </c>
      <c r="I13" s="1">
        <f>SUMIFS(latihan_cleaning__2[Ekstrak Angka ATK],latihan_cleaning__2[Konversi Grup],I9,characters[Kategori Tinggi],I10)</f>
        <v>500</v>
      </c>
    </row>
    <row r="14" spans="1:9" x14ac:dyDescent="0.3">
      <c r="A14" s="1" t="s">
        <v>137</v>
      </c>
      <c r="B14" s="1" t="s">
        <v>47</v>
      </c>
      <c r="C14" s="1" t="str">
        <f t="shared" si="0"/>
        <v>Sonia Spade</v>
      </c>
      <c r="D14" s="1">
        <f>VALUE(MID(TRIM(latihan_cleaning__2[[#This Row],[Kode Mentah]]),4,2))</f>
        <v>60</v>
      </c>
      <c r="E14" s="1" t="str">
        <f>RIGHT(TRIM(latihan_cleaning__2[[#This Row],[Kode Mentah]]),3)</f>
        <v>MOD</v>
      </c>
      <c r="F14" s="1" t="str">
        <f>IF(latihan_cleaning__2[[#This Row],[Ekstrak Kode Grup]]="MOD", "Modern", "Fantasy")</f>
        <v>Modern</v>
      </c>
    </row>
    <row r="15" spans="1:9" x14ac:dyDescent="0.3">
      <c r="A15" s="1" t="s">
        <v>138</v>
      </c>
      <c r="B15" s="1" t="s">
        <v>139</v>
      </c>
      <c r="C15" s="1" t="str">
        <f t="shared" si="0"/>
        <v>Himiko Nakayama</v>
      </c>
      <c r="D15" s="1">
        <f>VALUE(MID(TRIM(latihan_cleaning__2[[#This Row],[Kode Mentah]]),4,2))</f>
        <v>72</v>
      </c>
      <c r="E15" s="1" t="str">
        <f>RIGHT(TRIM(latihan_cleaning__2[[#This Row],[Kode Mentah]]),3)</f>
        <v>MOD</v>
      </c>
      <c r="F15" s="1" t="str">
        <f>IF(latihan_cleaning__2[[#This Row],[Ekstrak Kode Grup]]="MOD", "Modern", "Fantasy")</f>
        <v>Modern</v>
      </c>
    </row>
    <row r="16" spans="1:9" x14ac:dyDescent="0.3">
      <c r="A16" s="1" t="s">
        <v>140</v>
      </c>
      <c r="B16" s="1" t="s">
        <v>141</v>
      </c>
      <c r="C16" s="1" t="str">
        <f t="shared" si="0"/>
        <v>Katie Olson</v>
      </c>
      <c r="D16" s="1">
        <f>VALUE(MID(TRIM(latihan_cleaning__2[[#This Row],[Kode Mentah]]),4,2))</f>
        <v>88</v>
      </c>
      <c r="E16" s="1" t="str">
        <f>RIGHT(TRIM(latihan_cleaning__2[[#This Row],[Kode Mentah]]),3)</f>
        <v>MOD</v>
      </c>
      <c r="F16" s="1" t="str">
        <f>IF(latihan_cleaning__2[[#This Row],[Ekstrak Kode Grup]]="MOD", "Modern", "Fantasy")</f>
        <v>Modern</v>
      </c>
    </row>
    <row r="17" spans="1:6" x14ac:dyDescent="0.3">
      <c r="A17" s="1" t="s">
        <v>117</v>
      </c>
      <c r="B17" s="1" t="s">
        <v>142</v>
      </c>
      <c r="C17" s="1" t="str">
        <f t="shared" si="0"/>
        <v>Emily Caddel</v>
      </c>
      <c r="D17" s="1">
        <f>VALUE(MID(TRIM(latihan_cleaning__2[[#This Row],[Kode Mentah]]),4,2))</f>
        <v>75</v>
      </c>
      <c r="E17" s="1" t="str">
        <f>RIGHT(TRIM(latihan_cleaning__2[[#This Row],[Kode Mentah]]),3)</f>
        <v>MOD</v>
      </c>
      <c r="F17" s="1" t="str">
        <f>IF(latihan_cleaning__2[[#This Row],[Ekstrak Kode Grup]]="MOD", "Modern", "Fantasy")</f>
        <v>Modern</v>
      </c>
    </row>
    <row r="18" spans="1:6" x14ac:dyDescent="0.3">
      <c r="A18" s="1" t="s">
        <v>143</v>
      </c>
      <c r="B18" s="1" t="s">
        <v>144</v>
      </c>
      <c r="C18" s="1" t="str">
        <f t="shared" si="0"/>
        <v>Cael Dunmore</v>
      </c>
      <c r="D18" s="1">
        <f>VALUE(MID(TRIM(latihan_cleaning__2[[#This Row],[Kode Mentah]]),4,2))</f>
        <v>84</v>
      </c>
      <c r="E18" s="1" t="str">
        <f>RIGHT(TRIM(latihan_cleaning__2[[#This Row],[Kode Mentah]]),3)</f>
        <v>FAN</v>
      </c>
      <c r="F18" s="1" t="str">
        <f>IF(latihan_cleaning__2[[#This Row],[Ekstrak Kode Grup]]="MOD", "Modern", "Fantasy")</f>
        <v>Fantasy</v>
      </c>
    </row>
    <row r="19" spans="1:6" x14ac:dyDescent="0.3">
      <c r="A19" s="1" t="s">
        <v>145</v>
      </c>
      <c r="B19" s="1" t="s">
        <v>146</v>
      </c>
      <c r="C19" s="1" t="str">
        <f t="shared" si="0"/>
        <v>Aldric Crane</v>
      </c>
      <c r="D19" s="1">
        <f>VALUE(MID(TRIM(latihan_cleaning__2[[#This Row],[Kode Mentah]]),4,2))</f>
        <v>78</v>
      </c>
      <c r="E19" s="1" t="str">
        <f>RIGHT(TRIM(latihan_cleaning__2[[#This Row],[Kode Mentah]]),3)</f>
        <v>FAN</v>
      </c>
      <c r="F19" s="1" t="str">
        <f>IF(latihan_cleaning__2[[#This Row],[Ekstrak Kode Grup]]="MOD", "Modern", "Fantasy")</f>
        <v>Fantasy</v>
      </c>
    </row>
    <row r="20" spans="1:6" x14ac:dyDescent="0.3">
      <c r="A20" s="1" t="s">
        <v>147</v>
      </c>
      <c r="B20" s="1" t="s">
        <v>65</v>
      </c>
      <c r="C20" s="1" t="str">
        <f t="shared" si="0"/>
        <v>Mara Solene</v>
      </c>
      <c r="D20" s="1">
        <f>VALUE(MID(TRIM(latihan_cleaning__2[[#This Row],[Kode Mentah]]),4,2))</f>
        <v>70</v>
      </c>
      <c r="E20" s="1" t="str">
        <f>RIGHT(TRIM(latihan_cleaning__2[[#This Row],[Kode Mentah]]),3)</f>
        <v>FAN</v>
      </c>
      <c r="F20" s="1" t="str">
        <f>IF(latihan_cleaning__2[[#This Row],[Ekstrak Kode Grup]]="MOD", "Modern", "Fantasy")</f>
        <v>Fantasy</v>
      </c>
    </row>
    <row r="21" spans="1:6" x14ac:dyDescent="0.3">
      <c r="A21" s="1" t="s">
        <v>148</v>
      </c>
      <c r="B21" s="1" t="s">
        <v>149</v>
      </c>
      <c r="C21" s="1" t="str">
        <f t="shared" si="0"/>
        <v>Luno Bright</v>
      </c>
      <c r="D21" s="1">
        <f>VALUE(MID(TRIM(latihan_cleaning__2[[#This Row],[Kode Mentah]]),4,2))</f>
        <v>75</v>
      </c>
      <c r="E21" s="1" t="str">
        <f>RIGHT(TRIM(latihan_cleaning__2[[#This Row],[Kode Mentah]]),3)</f>
        <v>FAN</v>
      </c>
      <c r="F21" s="1" t="str">
        <f>IF(latihan_cleaning__2[[#This Row],[Ekstrak Kode Grup]]="MOD", "Modern", "Fantasy")</f>
        <v>Fantasy</v>
      </c>
    </row>
    <row r="22" spans="1:6" x14ac:dyDescent="0.3">
      <c r="A22" s="1" t="s">
        <v>150</v>
      </c>
      <c r="B22" s="1" t="s">
        <v>151</v>
      </c>
      <c r="C22" s="1" t="str">
        <f t="shared" si="0"/>
        <v>Zivan Holt</v>
      </c>
      <c r="D22" s="1">
        <f>VALUE(MID(TRIM(latihan_cleaning__2[[#This Row],[Kode Mentah]]),4,2))</f>
        <v>85</v>
      </c>
      <c r="E22" s="1" t="str">
        <f>RIGHT(TRIM(latihan_cleaning__2[[#This Row],[Kode Mentah]]),3)</f>
        <v>FAN</v>
      </c>
      <c r="F22" s="1" t="str">
        <f>IF(latihan_cleaning__2[[#This Row],[Ekstrak Kode Grup]]="MOD", "Modern", "Fantasy")</f>
        <v>Fantasy</v>
      </c>
    </row>
    <row r="23" spans="1:6" x14ac:dyDescent="0.3">
      <c r="A23" s="1" t="s">
        <v>152</v>
      </c>
      <c r="B23" s="1" t="s">
        <v>153</v>
      </c>
      <c r="C23" s="1" t="str">
        <f t="shared" si="0"/>
        <v>Sylvaine Morrel</v>
      </c>
      <c r="D23" s="1">
        <f>VALUE(MID(TRIM(latihan_cleaning__2[[#This Row],[Kode Mentah]]),4,2))</f>
        <v>92</v>
      </c>
      <c r="E23" s="1" t="str">
        <f>RIGHT(TRIM(latihan_cleaning__2[[#This Row],[Kode Mentah]]),3)</f>
        <v>FAN</v>
      </c>
      <c r="F23" s="1" t="str">
        <f>IF(latihan_cleaning__2[[#This Row],[Ekstrak Kode Grup]]="MOD", "Modern", "Fantasy")</f>
        <v>Fantasy</v>
      </c>
    </row>
    <row r="24" spans="1:6" x14ac:dyDescent="0.3">
      <c r="A24" s="1" t="s">
        <v>154</v>
      </c>
      <c r="B24" s="1" t="s">
        <v>155</v>
      </c>
      <c r="C24" s="1" t="str">
        <f t="shared" si="0"/>
        <v>Seren Ashvale</v>
      </c>
      <c r="D24" s="1">
        <f>VALUE(MID(TRIM(latihan_cleaning__2[[#This Row],[Kode Mentah]]),4,2))</f>
        <v>88</v>
      </c>
      <c r="E24" s="1" t="str">
        <f>RIGHT(TRIM(latihan_cleaning__2[[#This Row],[Kode Mentah]]),3)</f>
        <v>FAN</v>
      </c>
      <c r="F24" s="1" t="str">
        <f>IF(latihan_cleaning__2[[#This Row],[Ekstrak Kode Grup]]="MOD", "Modern", "Fantasy")</f>
        <v>Fantasy</v>
      </c>
    </row>
    <row r="25" spans="1:6" x14ac:dyDescent="0.3">
      <c r="A25" s="1" t="s">
        <v>156</v>
      </c>
      <c r="B25" s="1" t="s">
        <v>157</v>
      </c>
      <c r="C25" s="1" t="str">
        <f t="shared" si="0"/>
        <v>Caius Nox</v>
      </c>
      <c r="D25" s="1">
        <f>VALUE(MID(TRIM(latihan_cleaning__2[[#This Row],[Kode Mentah]]),4,2))</f>
        <v>80</v>
      </c>
      <c r="E25" s="1" t="str">
        <f>RIGHT(TRIM(latihan_cleaning__2[[#This Row],[Kode Mentah]]),3)</f>
        <v>FAN</v>
      </c>
      <c r="F25" s="1" t="str">
        <f>IF(latihan_cleaning__2[[#This Row],[Ekstrak Kode Grup]]="MOD", "Modern", "Fantasy")</f>
        <v>Fantasy</v>
      </c>
    </row>
    <row r="26" spans="1:6" x14ac:dyDescent="0.3">
      <c r="A26" s="1" t="s">
        <v>158</v>
      </c>
      <c r="B26" s="1" t="s">
        <v>159</v>
      </c>
      <c r="C26" s="1" t="str">
        <f t="shared" si="0"/>
        <v>Mira Vane</v>
      </c>
      <c r="D26" s="1">
        <f>VALUE(MID(TRIM(latihan_cleaning__2[[#This Row],[Kode Mentah]]),4,2))</f>
        <v>83</v>
      </c>
      <c r="E26" s="1" t="str">
        <f>RIGHT(TRIM(latihan_cleaning__2[[#This Row],[Kode Mentah]]),3)</f>
        <v>FAN</v>
      </c>
      <c r="F26" s="1" t="str">
        <f>IF(latihan_cleaning__2[[#This Row],[Ekstrak Kode Grup]]="MOD", "Modern", "Fantasy")</f>
        <v>Fantasy</v>
      </c>
    </row>
    <row r="27" spans="1:6" x14ac:dyDescent="0.3">
      <c r="A27" s="1" t="s">
        <v>160</v>
      </c>
      <c r="B27" s="1" t="s">
        <v>79</v>
      </c>
      <c r="C27" s="1" t="str">
        <f t="shared" si="0"/>
        <v>Elara Moss</v>
      </c>
      <c r="D27" s="1">
        <f>VALUE(MID(TRIM(latihan_cleaning__2[[#This Row],[Kode Mentah]]),4,2))</f>
        <v>76</v>
      </c>
      <c r="E27" s="1" t="str">
        <f>RIGHT(TRIM(latihan_cleaning__2[[#This Row],[Kode Mentah]]),3)</f>
        <v>FAN</v>
      </c>
      <c r="F27" s="1" t="str">
        <f>IF(latihan_cleaning__2[[#This Row],[Ekstrak Kode Grup]]="MOD", "Modern", "Fantasy")</f>
        <v>Fantasy</v>
      </c>
    </row>
    <row r="28" spans="1:6" x14ac:dyDescent="0.3">
      <c r="A28" s="1" t="s">
        <v>161</v>
      </c>
      <c r="B28" s="1" t="s">
        <v>162</v>
      </c>
      <c r="C28" s="1" t="str">
        <f t="shared" si="0"/>
        <v>Rhen Caen</v>
      </c>
      <c r="D28" s="1">
        <f>VALUE(MID(TRIM(latihan_cleaning__2[[#This Row],[Kode Mentah]]),4,2))</f>
        <v>65</v>
      </c>
      <c r="E28" s="1" t="str">
        <f>RIGHT(TRIM(latihan_cleaning__2[[#This Row],[Kode Mentah]]),3)</f>
        <v>FAN</v>
      </c>
      <c r="F28" s="1" t="str">
        <f>IF(latihan_cleaning__2[[#This Row],[Ekstrak Kode Grup]]="MOD", "Modern", "Fantasy")</f>
        <v>Fantasy</v>
      </c>
    </row>
    <row r="29" spans="1:6" x14ac:dyDescent="0.3">
      <c r="A29" s="1" t="s">
        <v>163</v>
      </c>
      <c r="B29" s="1" t="s">
        <v>164</v>
      </c>
      <c r="C29" s="1" t="str">
        <f t="shared" si="0"/>
        <v>Orin Eld</v>
      </c>
      <c r="D29" s="1">
        <f>VALUE(MID(TRIM(latihan_cleaning__2[[#This Row],[Kode Mentah]]),4,2))</f>
        <v>70</v>
      </c>
      <c r="E29" s="1" t="str">
        <f>RIGHT(TRIM(latihan_cleaning__2[[#This Row],[Kode Mentah]]),3)</f>
        <v>FAN</v>
      </c>
      <c r="F29" s="1" t="str">
        <f>IF(latihan_cleaning__2[[#This Row],[Ekstrak Kode Grup]]="MOD", "Modern", "Fantasy")</f>
        <v>Fantasy</v>
      </c>
    </row>
    <row r="30" spans="1:6" x14ac:dyDescent="0.3">
      <c r="A30" s="1" t="s">
        <v>165</v>
      </c>
      <c r="B30" s="1" t="s">
        <v>85</v>
      </c>
      <c r="C30" s="1" t="str">
        <f t="shared" si="0"/>
        <v>Kiran Sol</v>
      </c>
      <c r="D30" s="1">
        <f>VALUE(MID(TRIM(latihan_cleaning__2[[#This Row],[Kode Mentah]]),4,2))</f>
        <v>82</v>
      </c>
      <c r="E30" s="1" t="str">
        <f>RIGHT(TRIM(latihan_cleaning__2[[#This Row],[Kode Mentah]]),3)</f>
        <v>FAN</v>
      </c>
      <c r="F30" s="1" t="str">
        <f>IF(latihan_cleaning__2[[#This Row],[Ekstrak Kode Grup]]="MOD", "Modern", "Fantasy")</f>
        <v>Fantasy</v>
      </c>
    </row>
    <row r="31" spans="1:6" x14ac:dyDescent="0.3">
      <c r="A31" s="1" t="s">
        <v>166</v>
      </c>
      <c r="B31" s="1" t="s">
        <v>167</v>
      </c>
      <c r="C31" s="1" t="str">
        <f t="shared" si="0"/>
        <v>Dorian Penn</v>
      </c>
      <c r="D31" s="1">
        <f>VALUE(MID(TRIM(latihan_cleaning__2[[#This Row],[Kode Mentah]]),4,2))</f>
        <v>80</v>
      </c>
      <c r="E31" s="1" t="str">
        <f>RIGHT(TRIM(latihan_cleaning__2[[#This Row],[Kode Mentah]]),3)</f>
        <v>FAN</v>
      </c>
      <c r="F31" s="1" t="str">
        <f>IF(latihan_cleaning__2[[#This Row],[Ekstrak Kode Grup]]="MOD", "Modern", "Fantasy")</f>
        <v>Fantasy</v>
      </c>
    </row>
    <row r="32" spans="1:6" x14ac:dyDescent="0.3">
      <c r="A32" s="1" t="s">
        <v>168</v>
      </c>
      <c r="B32" s="1" t="s">
        <v>169</v>
      </c>
      <c r="C32" s="1" t="str">
        <f t="shared" si="0"/>
        <v>Tobias Rey</v>
      </c>
      <c r="D32" s="1">
        <f>VALUE(MID(TRIM(latihan_cleaning__2[[#This Row],[Kode Mentah]]),4,2))</f>
        <v>60</v>
      </c>
      <c r="E32" s="1" t="str">
        <f>RIGHT(TRIM(latihan_cleaning__2[[#This Row],[Kode Mentah]]),3)</f>
        <v>FAN</v>
      </c>
      <c r="F32" s="1" t="str">
        <f>IF(latihan_cleaning__2[[#This Row],[Ekstrak Kode Grup]]="MOD", "Modern", "Fantasy")</f>
        <v>Fantasy</v>
      </c>
    </row>
    <row r="33" spans="1:6" x14ac:dyDescent="0.3">
      <c r="A33" s="1" t="s">
        <v>170</v>
      </c>
      <c r="B33" s="1" t="s">
        <v>171</v>
      </c>
      <c r="C33" s="1" t="str">
        <f t="shared" si="0"/>
        <v>Nora Voss</v>
      </c>
      <c r="D33" s="1">
        <f>VALUE(MID(TRIM(latihan_cleaning__2[[#This Row],[Kode Mentah]]),4,2))</f>
        <v>55</v>
      </c>
      <c r="E33" s="1" t="str">
        <f>RIGHT(TRIM(latihan_cleaning__2[[#This Row],[Kode Mentah]]),3)</f>
        <v>FAN</v>
      </c>
      <c r="F33" s="1" t="str">
        <f>IF(latihan_cleaning__2[[#This Row],[Ekstrak Kode Grup]]="MOD", "Modern", "Fantasy")</f>
        <v>Fantasy</v>
      </c>
    </row>
  </sheetData>
  <dataValidations count="3">
    <dataValidation type="list" allowBlank="1" showInputMessage="1" showErrorMessage="1" sqref="I2 I9" xr:uid="{421FF999-7053-4370-A13B-04D1AA5498F5}">
      <formula1>"Modern, Fantasy"</formula1>
    </dataValidation>
    <dataValidation type="list" allowBlank="1" showInputMessage="1" showErrorMessage="1" sqref="I3" xr:uid="{603D67E0-1584-42FA-8925-81677EF5BB52}">
      <formula1>"Attacker, Balanced, Support"</formula1>
    </dataValidation>
    <dataValidation type="list" allowBlank="1" showInputMessage="1" showErrorMessage="1" sqref="I10" xr:uid="{D608379E-4FFB-4932-B634-D6BABB19DBCB}">
      <formula1>"Tinggi, Normal, Pendek"</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5A47-FF9F-4759-906A-AA519BAC9BF3}">
  <dimension ref="A1:I47"/>
  <sheetViews>
    <sheetView topLeftCell="A12" zoomScale="94" workbookViewId="0">
      <selection activeCell="J16" sqref="J16"/>
    </sheetView>
  </sheetViews>
  <sheetFormatPr defaultRowHeight="14.4" x14ac:dyDescent="0.3"/>
  <cols>
    <col min="1" max="1" width="15.21875" style="1" bestFit="1" customWidth="1"/>
    <col min="2" max="2" width="21.5546875" style="1" bestFit="1" customWidth="1"/>
    <col min="3" max="3" width="16.33203125" style="1" bestFit="1" customWidth="1"/>
    <col min="4" max="4" width="16" style="1" customWidth="1"/>
    <col min="5" max="5" width="15.88671875" style="1" customWidth="1"/>
    <col min="6" max="6" width="13" style="1" customWidth="1"/>
    <col min="7" max="7" width="11.33203125" style="1" customWidth="1"/>
    <col min="8" max="8" width="21.33203125" style="1" customWidth="1"/>
    <col min="9" max="16384" width="8.88671875" style="1"/>
  </cols>
  <sheetData>
    <row r="1" spans="1:9" x14ac:dyDescent="0.3">
      <c r="A1" s="1" t="s">
        <v>188</v>
      </c>
      <c r="B1" s="1" t="s">
        <v>114</v>
      </c>
      <c r="C1" s="1" t="s">
        <v>189</v>
      </c>
      <c r="D1" s="1" t="s">
        <v>172</v>
      </c>
      <c r="E1" s="1" t="s">
        <v>210</v>
      </c>
      <c r="F1" s="1" t="s">
        <v>211</v>
      </c>
    </row>
    <row r="2" spans="1:9" x14ac:dyDescent="0.3">
      <c r="A2" s="1" t="s">
        <v>190</v>
      </c>
      <c r="B2" s="1" t="s">
        <v>191</v>
      </c>
      <c r="C2" s="8">
        <v>44941</v>
      </c>
      <c r="D2" s="1" t="str">
        <f>PROPER(TRIM(studi_kasus[[#This Row],[Nama Berantakan]]))</f>
        <v>Valkyrie One</v>
      </c>
      <c r="E2" s="1" t="str">
        <f>MID(TRIM(studi_kasus[[#This Row],[Kode Registrasi]]),5,1)</f>
        <v>S</v>
      </c>
      <c r="F2" s="7">
        <f ca="1">DATEDIF(studi_kasus[[#This Row],[Tanggal Bergabung]], TODAY(), "D")</f>
        <v>1257</v>
      </c>
      <c r="H2" s="1" t="s">
        <v>212</v>
      </c>
      <c r="I2" s="1" t="s">
        <v>260</v>
      </c>
    </row>
    <row r="3" spans="1:9" x14ac:dyDescent="0.3">
      <c r="A3" s="1" t="s">
        <v>192</v>
      </c>
      <c r="B3" s="1" t="s">
        <v>193</v>
      </c>
      <c r="C3" s="8">
        <v>45097</v>
      </c>
      <c r="D3" s="1" t="str">
        <f>PROPER(TRIM(studi_kasus[[#This Row],[Nama Berantakan]]))</f>
        <v>Phantom Strike</v>
      </c>
      <c r="E3" s="1" t="str">
        <f>MID(TRIM(studi_kasus[[#This Row],[Kode Registrasi]]),5,1)</f>
        <v>A</v>
      </c>
      <c r="F3" s="7">
        <f ca="1">DATEDIF(studi_kasus[[#This Row],[Tanggal Bergabung]], TODAY(), "D")</f>
        <v>1101</v>
      </c>
    </row>
    <row r="4" spans="1:9" x14ac:dyDescent="0.3">
      <c r="A4" s="1" t="s">
        <v>194</v>
      </c>
      <c r="B4" s="1" t="s">
        <v>195</v>
      </c>
      <c r="C4" s="8">
        <v>45332</v>
      </c>
      <c r="D4" s="1" t="str">
        <f>PROPER(TRIM(studi_kasus[[#This Row],[Nama Berantakan]]))</f>
        <v>Ghost Rider</v>
      </c>
      <c r="E4" s="1" t="str">
        <f>MID(TRIM(studi_kasus[[#This Row],[Kode Registrasi]]),5,1)</f>
        <v>D</v>
      </c>
      <c r="F4" s="7">
        <f ca="1">DATEDIF(studi_kasus[[#This Row],[Tanggal Bergabung]], TODAY(), "D")</f>
        <v>866</v>
      </c>
      <c r="H4" s="1" t="s">
        <v>213</v>
      </c>
      <c r="I4" s="1">
        <f ca="1">AVERAGEIFS(studi_kasus[Masa Bakti],studi_kasus[Tipe Divisi],I2)</f>
        <v>759</v>
      </c>
    </row>
    <row r="5" spans="1:9" x14ac:dyDescent="0.3">
      <c r="A5" s="1" t="s">
        <v>196</v>
      </c>
      <c r="B5" s="1" t="s">
        <v>197</v>
      </c>
      <c r="C5" s="8">
        <v>45601</v>
      </c>
      <c r="D5" s="1" t="str">
        <f>PROPER(TRIM(studi_kasus[[#This Row],[Nama Berantakan]]))</f>
        <v>Neon Blade</v>
      </c>
      <c r="E5" s="1" t="str">
        <f>MID(TRIM(studi_kasus[[#This Row],[Kode Registrasi]]),5,1)</f>
        <v>S</v>
      </c>
      <c r="F5" s="7">
        <f ca="1">DATEDIF(studi_kasus[[#This Row],[Tanggal Bergabung]], TODAY(), "D")</f>
        <v>597</v>
      </c>
      <c r="H5" s="1" t="s">
        <v>214</v>
      </c>
      <c r="I5" s="1">
        <f ca="1">_xlfn.MAXIFS(studi_kasus[Masa Bakti],studi_kasus[Tipe Divisi],I2)</f>
        <v>1101</v>
      </c>
    </row>
    <row r="6" spans="1:9" x14ac:dyDescent="0.3">
      <c r="A6" s="1" t="s">
        <v>198</v>
      </c>
      <c r="B6" s="1" t="s">
        <v>199</v>
      </c>
      <c r="C6" s="8">
        <v>45728</v>
      </c>
      <c r="D6" s="1" t="str">
        <f>PROPER(TRIM(studi_kasus[[#This Row],[Nama Berantakan]]))</f>
        <v>Cyber Nova</v>
      </c>
      <c r="E6" s="1" t="str">
        <f>MID(TRIM(studi_kasus[[#This Row],[Kode Registrasi]]),5,1)</f>
        <v>A</v>
      </c>
      <c r="F6" s="7">
        <f ca="1">DATEDIF(studi_kasus[[#This Row],[Tanggal Bergabung]], TODAY(), "D")</f>
        <v>470</v>
      </c>
    </row>
    <row r="7" spans="1:9" x14ac:dyDescent="0.3">
      <c r="A7" s="1" t="s">
        <v>200</v>
      </c>
      <c r="B7" s="1" t="s">
        <v>201</v>
      </c>
      <c r="C7" s="8">
        <v>44797</v>
      </c>
      <c r="D7" s="1" t="str">
        <f>PROPER(TRIM(studi_kasus[[#This Row],[Nama Berantakan]]))</f>
        <v>Iron Clad</v>
      </c>
      <c r="E7" s="1" t="str">
        <f>MID(TRIM(studi_kasus[[#This Row],[Kode Registrasi]]),5,1)</f>
        <v>D</v>
      </c>
      <c r="F7" s="7">
        <f ca="1">DATEDIF(studi_kasus[[#This Row],[Tanggal Bergabung]], TODAY(), "D")</f>
        <v>1401</v>
      </c>
    </row>
    <row r="8" spans="1:9" x14ac:dyDescent="0.3">
      <c r="A8" s="1" t="s">
        <v>202</v>
      </c>
      <c r="B8" s="1" t="s">
        <v>203</v>
      </c>
      <c r="C8" s="8">
        <v>45261</v>
      </c>
      <c r="D8" s="1" t="str">
        <f>PROPER(TRIM(studi_kasus[[#This Row],[Nama Berantakan]]))</f>
        <v>Apollo Nine</v>
      </c>
      <c r="E8" s="1" t="str">
        <f>MID(TRIM(studi_kasus[[#This Row],[Kode Registrasi]]),5,1)</f>
        <v>S</v>
      </c>
      <c r="F8" s="7">
        <f ca="1">DATEDIF(studi_kasus[[#This Row],[Tanggal Bergabung]], TODAY(), "D")</f>
        <v>937</v>
      </c>
    </row>
    <row r="9" spans="1:9" x14ac:dyDescent="0.3">
      <c r="A9" s="1" t="s">
        <v>204</v>
      </c>
      <c r="B9" s="1" t="s">
        <v>205</v>
      </c>
      <c r="C9" s="8">
        <v>45492</v>
      </c>
      <c r="D9" s="1" t="str">
        <f>PROPER(TRIM(studi_kasus[[#This Row],[Nama Berantakan]]))</f>
        <v>Shadow Walker</v>
      </c>
      <c r="E9" s="1" t="str">
        <f>MID(TRIM(studi_kasus[[#This Row],[Kode Registrasi]]),5,1)</f>
        <v>A</v>
      </c>
      <c r="F9" s="7">
        <f ca="1">DATEDIF(studi_kasus[[#This Row],[Tanggal Bergabung]], TODAY(), "D")</f>
        <v>706</v>
      </c>
    </row>
    <row r="10" spans="1:9" x14ac:dyDescent="0.3">
      <c r="A10" s="1" t="s">
        <v>206</v>
      </c>
      <c r="B10" s="1" t="s">
        <v>207</v>
      </c>
      <c r="C10" s="8">
        <v>45687</v>
      </c>
      <c r="D10" s="1" t="str">
        <f>PROPER(TRIM(studi_kasus[[#This Row],[Nama Berantakan]]))</f>
        <v>Zews Prime</v>
      </c>
      <c r="E10" s="1" t="str">
        <f>MID(TRIM(studi_kasus[[#This Row],[Kode Registrasi]]),5,1)</f>
        <v>D</v>
      </c>
      <c r="F10" s="7">
        <f ca="1">DATEDIF(studi_kasus[[#This Row],[Tanggal Bergabung]], TODAY(), "D")</f>
        <v>511</v>
      </c>
    </row>
    <row r="11" spans="1:9" x14ac:dyDescent="0.3">
      <c r="A11" s="1" t="s">
        <v>208</v>
      </c>
      <c r="B11" s="1" t="s">
        <v>209</v>
      </c>
      <c r="C11" s="8">
        <v>45791</v>
      </c>
      <c r="D11" s="1" t="str">
        <f>PROPER(TRIM(studi_kasus[[#This Row],[Nama Berantakan]]))</f>
        <v>Alfa Bravo</v>
      </c>
      <c r="E11" s="1" t="str">
        <f>MID(TRIM(studi_kasus[[#This Row],[Kode Registrasi]]),5,1)</f>
        <v>S</v>
      </c>
      <c r="F11" s="7">
        <f ca="1">DATEDIF(studi_kasus[[#This Row],[Tanggal Bergabung]], TODAY(), "D")</f>
        <v>407</v>
      </c>
    </row>
    <row r="15" spans="1:9" x14ac:dyDescent="0.3">
      <c r="A15" s="18" t="s">
        <v>232</v>
      </c>
      <c r="B15" s="19" t="s">
        <v>233</v>
      </c>
      <c r="C15" s="19" t="s">
        <v>234</v>
      </c>
      <c r="D15" s="20" t="s">
        <v>235</v>
      </c>
      <c r="E15" s="19" t="s">
        <v>172</v>
      </c>
      <c r="F15" s="19" t="s">
        <v>256</v>
      </c>
      <c r="G15" s="19" t="s">
        <v>211</v>
      </c>
      <c r="H15" s="19" t="s">
        <v>257</v>
      </c>
    </row>
    <row r="16" spans="1:9" x14ac:dyDescent="0.3">
      <c r="A16" s="17" t="s">
        <v>236</v>
      </c>
      <c r="B16" s="9" t="s">
        <v>237</v>
      </c>
      <c r="C16" s="16">
        <v>44910</v>
      </c>
      <c r="D16" s="14">
        <v>95</v>
      </c>
      <c r="E16" s="1" t="str">
        <f>PROPER(TRIM(Table3[[#This Row],[Nama Personel]]))</f>
        <v>Kael Dunmore</v>
      </c>
      <c r="F16" s="1" t="str">
        <f>MID(TRIM(Table3[[#This Row],[ID Radar]]),7,1)</f>
        <v>A</v>
      </c>
      <c r="G16" s="7">
        <f ca="1">DATEDIF(Table3[[#This Row],[Tanggal Rekrut]], TODAY(), "D")</f>
        <v>1288</v>
      </c>
      <c r="H16" s="1" t="str" cm="1">
        <f t="array" aca="1" ref="H16" ca="1">_xlfn.IFS(AND(Table3[[#This Row],[Kekuatan Fisik]]&gt;=92, Table3[[#This Row],[Masa Bakti]]&gt;=700), "Commander", Table3[[#This Row],[Kekuatan Fisik]]&gt;=85, "Frontliner", TRUE, "Cadangan")</f>
        <v>Commander</v>
      </c>
    </row>
    <row r="17" spans="1:8" x14ac:dyDescent="0.3">
      <c r="A17" s="17" t="s">
        <v>238</v>
      </c>
      <c r="B17" s="9" t="s">
        <v>239</v>
      </c>
      <c r="C17" s="16">
        <v>45038</v>
      </c>
      <c r="D17" s="14">
        <v>88</v>
      </c>
      <c r="E17" s="1" t="str">
        <f>PROPER(TRIM(Table3[[#This Row],[Nama Personel]]))</f>
        <v>Paula Lopez</v>
      </c>
      <c r="F17" s="1" t="str">
        <f>MID(TRIM(Table3[[#This Row],[ID Radar]]),7,1)</f>
        <v>B</v>
      </c>
      <c r="G17" s="7">
        <f ca="1">DATEDIF(Table3[[#This Row],[Tanggal Rekrut]], TODAY(), "D")</f>
        <v>1160</v>
      </c>
      <c r="H17" s="1" t="str" cm="1">
        <f t="array" aca="1" ref="H17" ca="1">_xlfn.IFS(AND(Table3[[#This Row],[Kekuatan Fisik]]&gt;=92, Table3[[#This Row],[Masa Bakti]]&gt;=700), "Commander", Table3[[#This Row],[Kekuatan Fisik]]&gt;=85, "Frontliner", TRUE, "Cadangan")</f>
        <v>Frontliner</v>
      </c>
    </row>
    <row r="18" spans="1:8" x14ac:dyDescent="0.3">
      <c r="A18" s="17" t="s">
        <v>240</v>
      </c>
      <c r="B18" s="9" t="s">
        <v>241</v>
      </c>
      <c r="C18" s="16">
        <v>45523</v>
      </c>
      <c r="D18" s="14">
        <v>92</v>
      </c>
      <c r="E18" s="1" t="str">
        <f>PROPER(TRIM(Table3[[#This Row],[Nama Personel]]))</f>
        <v>Hiromi Masaki</v>
      </c>
      <c r="F18" s="1" t="str">
        <f>MID(TRIM(Table3[[#This Row],[ID Radar]]),7,1)</f>
        <v>A</v>
      </c>
      <c r="G18" s="7">
        <f ca="1">DATEDIF(Table3[[#This Row],[Tanggal Rekrut]], TODAY(), "D")</f>
        <v>675</v>
      </c>
      <c r="H18" s="1" t="str" cm="1">
        <f t="array" aca="1" ref="H18" ca="1">_xlfn.IFS(AND(Table3[[#This Row],[Kekuatan Fisik]]&gt;=92, Table3[[#This Row],[Masa Bakti]]&gt;=700), "Commander", Table3[[#This Row],[Kekuatan Fisik]]&gt;=85, "Frontliner", TRUE, "Cadangan")</f>
        <v>Frontliner</v>
      </c>
    </row>
    <row r="19" spans="1:8" x14ac:dyDescent="0.3">
      <c r="A19" s="17" t="s">
        <v>242</v>
      </c>
      <c r="B19" s="9" t="s">
        <v>243</v>
      </c>
      <c r="C19" s="16">
        <v>45057</v>
      </c>
      <c r="D19" s="14">
        <v>84</v>
      </c>
      <c r="E19" s="1" t="str">
        <f>PROPER(TRIM(Table3[[#This Row],[Nama Personel]]))</f>
        <v>Gillian Wiley</v>
      </c>
      <c r="F19" s="1" t="str">
        <f>MID(TRIM(Table3[[#This Row],[ID Radar]]),7,1)</f>
        <v>C</v>
      </c>
      <c r="G19" s="7">
        <f ca="1">DATEDIF(Table3[[#This Row],[Tanggal Rekrut]], TODAY(), "D")</f>
        <v>1141</v>
      </c>
      <c r="H19" s="1" t="str" cm="1">
        <f t="array" aca="1" ref="H19" ca="1">_xlfn.IFS(AND(Table3[[#This Row],[Kekuatan Fisik]]&gt;=92, Table3[[#This Row],[Masa Bakti]]&gt;=700), "Commander", Table3[[#This Row],[Kekuatan Fisik]]&gt;=85, "Frontliner", TRUE, "Cadangan")</f>
        <v>Cadangan</v>
      </c>
    </row>
    <row r="20" spans="1:8" x14ac:dyDescent="0.3">
      <c r="A20" s="17" t="s">
        <v>244</v>
      </c>
      <c r="B20" s="9" t="s">
        <v>245</v>
      </c>
      <c r="C20" s="16">
        <v>45702</v>
      </c>
      <c r="D20" s="14">
        <v>97</v>
      </c>
      <c r="E20" s="1" t="str">
        <f>PROPER(TRIM(Table3[[#This Row],[Nama Personel]]))</f>
        <v>Hayami Amamiya</v>
      </c>
      <c r="F20" s="1" t="str">
        <f>MID(TRIM(Table3[[#This Row],[ID Radar]]),7,1)</f>
        <v>B</v>
      </c>
      <c r="G20" s="7">
        <f ca="1">DATEDIF(Table3[[#This Row],[Tanggal Rekrut]], TODAY(), "D")</f>
        <v>496</v>
      </c>
      <c r="H20" s="1" t="str" cm="1">
        <f t="array" aca="1" ref="H20" ca="1">_xlfn.IFS(AND(Table3[[#This Row],[Kekuatan Fisik]]&gt;=92, Table3[[#This Row],[Masa Bakti]]&gt;=700), "Commander", Table3[[#This Row],[Kekuatan Fisik]]&gt;=85, "Frontliner", TRUE, "Cadangan")</f>
        <v>Frontliner</v>
      </c>
    </row>
    <row r="21" spans="1:8" x14ac:dyDescent="0.3">
      <c r="A21" s="17" t="s">
        <v>246</v>
      </c>
      <c r="B21" s="9" t="s">
        <v>247</v>
      </c>
      <c r="C21" s="16">
        <v>45137</v>
      </c>
      <c r="D21" s="14">
        <v>89</v>
      </c>
      <c r="E21" s="1" t="str">
        <f>PROPER(TRIM(Table3[[#This Row],[Nama Personel]]))</f>
        <v>Aldric Crane</v>
      </c>
      <c r="F21" s="1" t="str">
        <f>MID(TRIM(Table3[[#This Row],[ID Radar]]),7,1)</f>
        <v>A</v>
      </c>
      <c r="G21" s="7">
        <f ca="1">DATEDIF(Table3[[#This Row],[Tanggal Rekrut]], TODAY(), "D")</f>
        <v>1061</v>
      </c>
      <c r="H21" s="1" t="str" cm="1">
        <f t="array" aca="1" ref="H21" ca="1">_xlfn.IFS(AND(Table3[[#This Row],[Kekuatan Fisik]]&gt;=92, Table3[[#This Row],[Masa Bakti]]&gt;=700), "Commander", Table3[[#This Row],[Kekuatan Fisik]]&gt;=85, "Frontliner", TRUE, "Cadangan")</f>
        <v>Frontliner</v>
      </c>
    </row>
    <row r="22" spans="1:8" x14ac:dyDescent="0.3">
      <c r="A22" s="17" t="s">
        <v>248</v>
      </c>
      <c r="B22" s="9" t="s">
        <v>249</v>
      </c>
      <c r="C22" s="16">
        <v>45631</v>
      </c>
      <c r="D22" s="14">
        <v>78</v>
      </c>
      <c r="E22" s="1" t="str">
        <f>PROPER(TRIM(Table3[[#This Row],[Nama Personel]]))</f>
        <v>Shiina Ishioka</v>
      </c>
      <c r="F22" s="1" t="str">
        <f>MID(TRIM(Table3[[#This Row],[ID Radar]]),7,1)</f>
        <v>C</v>
      </c>
      <c r="G22" s="7">
        <f ca="1">DATEDIF(Table3[[#This Row],[Tanggal Rekrut]], TODAY(), "D")</f>
        <v>567</v>
      </c>
      <c r="H22" s="1" t="str" cm="1">
        <f t="array" aca="1" ref="H22" ca="1">_xlfn.IFS(AND(Table3[[#This Row],[Kekuatan Fisik]]&gt;=92, Table3[[#This Row],[Masa Bakti]]&gt;=700), "Commander", Table3[[#This Row],[Kekuatan Fisik]]&gt;=85, "Frontliner", TRUE, "Cadangan")</f>
        <v>Cadangan</v>
      </c>
    </row>
    <row r="23" spans="1:8" x14ac:dyDescent="0.3">
      <c r="A23" s="17" t="s">
        <v>250</v>
      </c>
      <c r="B23" s="9" t="s">
        <v>251</v>
      </c>
      <c r="C23" s="16">
        <v>44571</v>
      </c>
      <c r="D23" s="14">
        <v>82</v>
      </c>
      <c r="E23" s="1" t="str">
        <f>PROPER(TRIM(Table3[[#This Row],[Nama Personel]]))</f>
        <v>Mara Solene</v>
      </c>
      <c r="F23" s="1" t="str">
        <f>MID(TRIM(Table3[[#This Row],[ID Radar]]),7,1)</f>
        <v>B</v>
      </c>
      <c r="G23" s="7">
        <f ca="1">DATEDIF(Table3[[#This Row],[Tanggal Rekrut]], TODAY(), "D")</f>
        <v>1627</v>
      </c>
      <c r="H23" s="1" t="str" cm="1">
        <f t="array" aca="1" ref="H23" ca="1">_xlfn.IFS(AND(Table3[[#This Row],[Kekuatan Fisik]]&gt;=92, Table3[[#This Row],[Masa Bakti]]&gt;=700), "Commander", Table3[[#This Row],[Kekuatan Fisik]]&gt;=85, "Frontliner", TRUE, "Cadangan")</f>
        <v>Cadangan</v>
      </c>
    </row>
    <row r="24" spans="1:8" x14ac:dyDescent="0.3">
      <c r="A24" s="17" t="s">
        <v>252</v>
      </c>
      <c r="B24" s="9" t="s">
        <v>253</v>
      </c>
      <c r="C24" s="16">
        <v>45685</v>
      </c>
      <c r="D24" s="14">
        <v>85</v>
      </c>
      <c r="E24" s="1" t="str">
        <f>PROPER(TRIM(Table3[[#This Row],[Nama Personel]]))</f>
        <v>Luno Bright</v>
      </c>
      <c r="F24" s="1" t="str">
        <f>MID(TRIM(Table3[[#This Row],[ID Radar]]),7,1)</f>
        <v>A</v>
      </c>
      <c r="G24" s="7">
        <f ca="1">DATEDIF(Table3[[#This Row],[Tanggal Rekrut]], TODAY(), "D")</f>
        <v>513</v>
      </c>
      <c r="H24" s="1" t="str" cm="1">
        <f t="array" aca="1" ref="H24" ca="1">_xlfn.IFS(AND(Table3[[#This Row],[Kekuatan Fisik]]&gt;=92, Table3[[#This Row],[Masa Bakti]]&gt;=700), "Commander", Table3[[#This Row],[Kekuatan Fisik]]&gt;=85, "Frontliner", TRUE, "Cadangan")</f>
        <v>Frontliner</v>
      </c>
    </row>
    <row r="25" spans="1:8" x14ac:dyDescent="0.3">
      <c r="A25" s="21" t="s">
        <v>254</v>
      </c>
      <c r="B25" s="22" t="s">
        <v>255</v>
      </c>
      <c r="C25" s="23">
        <v>45826</v>
      </c>
      <c r="D25" s="24">
        <v>91</v>
      </c>
      <c r="E25" s="1" t="str">
        <f>PROPER(TRIM(Table3[[#This Row],[Nama Personel]]))</f>
        <v>Zivan Holt</v>
      </c>
      <c r="F25" s="1" t="str">
        <f>MID(TRIM(Table3[[#This Row],[ID Radar]]),7,1)</f>
        <v>C</v>
      </c>
      <c r="G25" s="7">
        <f ca="1">DATEDIF(Table3[[#This Row],[Tanggal Rekrut]], TODAY(), "D")</f>
        <v>372</v>
      </c>
      <c r="H25" s="1" t="str" cm="1">
        <f t="array" aca="1" ref="H25" ca="1">_xlfn.IFS(AND(Table3[[#This Row],[Kekuatan Fisik]]&gt;=92, Table3[[#This Row],[Masa Bakti]]&gt;=700), "Commander", Table3[[#This Row],[Kekuatan Fisik]]&gt;=85, "Frontliner", TRUE, "Cadangan")</f>
        <v>Frontliner</v>
      </c>
    </row>
    <row r="30" spans="1:8" x14ac:dyDescent="0.3">
      <c r="A30" s="2" t="s">
        <v>100</v>
      </c>
      <c r="B30" t="s">
        <v>259</v>
      </c>
      <c r="C30"/>
    </row>
    <row r="31" spans="1:8" x14ac:dyDescent="0.3">
      <c r="A31" s="3" t="s">
        <v>63</v>
      </c>
      <c r="B31">
        <v>89</v>
      </c>
      <c r="C31"/>
    </row>
    <row r="32" spans="1:8" x14ac:dyDescent="0.3">
      <c r="A32" s="3" t="s">
        <v>18</v>
      </c>
      <c r="B32">
        <v>84</v>
      </c>
      <c r="C32"/>
    </row>
    <row r="33" spans="1:3" x14ac:dyDescent="0.3">
      <c r="A33" s="3" t="s">
        <v>21</v>
      </c>
      <c r="B33">
        <v>97</v>
      </c>
      <c r="C33"/>
    </row>
    <row r="34" spans="1:3" x14ac:dyDescent="0.3">
      <c r="A34" s="3" t="s">
        <v>15</v>
      </c>
      <c r="B34">
        <v>92</v>
      </c>
      <c r="C34"/>
    </row>
    <row r="35" spans="1:3" x14ac:dyDescent="0.3">
      <c r="A35" s="3" t="s">
        <v>258</v>
      </c>
      <c r="B35">
        <v>95</v>
      </c>
      <c r="C35"/>
    </row>
    <row r="36" spans="1:3" x14ac:dyDescent="0.3">
      <c r="A36" s="3" t="s">
        <v>67</v>
      </c>
      <c r="B36">
        <v>85</v>
      </c>
      <c r="C36"/>
    </row>
    <row r="37" spans="1:3" x14ac:dyDescent="0.3">
      <c r="A37" s="3" t="s">
        <v>65</v>
      </c>
      <c r="B37">
        <v>82</v>
      </c>
      <c r="C37"/>
    </row>
    <row r="38" spans="1:3" x14ac:dyDescent="0.3">
      <c r="A38" s="3" t="s">
        <v>7</v>
      </c>
      <c r="B38">
        <v>88</v>
      </c>
      <c r="C38"/>
    </row>
    <row r="39" spans="1:3" x14ac:dyDescent="0.3">
      <c r="A39" s="3" t="s">
        <v>28</v>
      </c>
      <c r="B39">
        <v>78</v>
      </c>
      <c r="C39"/>
    </row>
    <row r="40" spans="1:3" x14ac:dyDescent="0.3">
      <c r="A40" s="3" t="s">
        <v>69</v>
      </c>
      <c r="B40">
        <v>91</v>
      </c>
      <c r="C40"/>
    </row>
    <row r="41" spans="1:3" x14ac:dyDescent="0.3">
      <c r="A41" s="3" t="s">
        <v>101</v>
      </c>
      <c r="B41">
        <v>88.1</v>
      </c>
      <c r="C41"/>
    </row>
    <row r="42" spans="1:3" x14ac:dyDescent="0.3">
      <c r="A42"/>
      <c r="B42"/>
      <c r="C42"/>
    </row>
    <row r="43" spans="1:3" x14ac:dyDescent="0.3">
      <c r="A43"/>
      <c r="B43"/>
      <c r="C43"/>
    </row>
    <row r="44" spans="1:3" x14ac:dyDescent="0.3">
      <c r="A44"/>
      <c r="B44"/>
      <c r="C44"/>
    </row>
    <row r="45" spans="1:3" x14ac:dyDescent="0.3">
      <c r="A45"/>
      <c r="B45"/>
      <c r="C45"/>
    </row>
    <row r="46" spans="1:3" x14ac:dyDescent="0.3">
      <c r="A46"/>
      <c r="B46"/>
      <c r="C46"/>
    </row>
    <row r="47" spans="1:3" x14ac:dyDescent="0.3">
      <c r="A47"/>
      <c r="B47"/>
      <c r="C47"/>
    </row>
  </sheetData>
  <dataValidations count="1">
    <dataValidation type="list" allowBlank="1" showInputMessage="1" showErrorMessage="1" sqref="I2" xr:uid="{8E852B9A-D6CC-47DE-9832-5258463E958F}">
      <formula1>"S, A, D"</formula1>
    </dataValidation>
  </dataValidations>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CEEF16-A828-4F53-A5CD-4B93BBF0A4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Pivot2</vt:lpstr>
      <vt:lpstr>Pivot</vt:lpstr>
      <vt:lpstr>characters</vt:lpstr>
      <vt:lpstr>Stats_Data</vt:lpstr>
      <vt:lpstr>latihan_cleaning (2)</vt:lpstr>
      <vt:lpstr>studi kasus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Astrid Shaina</dc:creator>
  <cp:lastModifiedBy>Astrid Shaina</cp:lastModifiedBy>
  <dcterms:created xsi:type="dcterms:W3CDTF">2026-05-30T05:01:00Z</dcterms:created>
  <dcterms:modified xsi:type="dcterms:W3CDTF">2026-06-25T05:46:28Z</dcterms:modified>
</cp:coreProperties>
</file>