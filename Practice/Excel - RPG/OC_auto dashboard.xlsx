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e3a493edff0b5f7e/Documents/Practice/Excel - RPG/"/>
    </mc:Choice>
  </mc:AlternateContent>
  <xr:revisionPtr revIDLastSave="687" documentId="8_{B3EB71FC-84AA-425A-A6CD-F9B02E8DCBC5}" xr6:coauthVersionLast="47" xr6:coauthVersionMax="47" xr10:uidLastSave="{BAEEEFA3-ECCA-4C49-A3DC-B2725B6D22A0}"/>
  <bookViews>
    <workbookView xWindow="-108" yWindow="-108" windowWidth="23256" windowHeight="12456" firstSheet="5" activeTab="6" xr2:uid="{97052BED-8097-4230-BE2A-14DE77A920ED}"/>
  </bookViews>
  <sheets>
    <sheet name="Sheet2" sheetId="3" r:id="rId1"/>
    <sheet name="Sheet4" sheetId="5" r:id="rId2"/>
    <sheet name="Pivot" sheetId="1" r:id="rId3"/>
    <sheet name="Sheet5" sheetId="6" r:id="rId4"/>
    <sheet name="Sheet6" sheetId="7" r:id="rId5"/>
    <sheet name="OC" sheetId="2" r:id="rId6"/>
    <sheet name="Dashboard" sheetId="4" r:id="rId7"/>
    <sheet name="Scatter_helper" sheetId="8" r:id="rId8"/>
  </sheets>
  <definedNames>
    <definedName name="ExternalData_1" localSheetId="5" hidden="1">OC!$A$1:$U$833</definedName>
    <definedName name="Slicer_Faction">#N/A</definedName>
    <definedName name="Slicer_Grup">#N/A</definedName>
    <definedName name="Slicer_Role">#N/A</definedName>
    <definedName name="Slicer_Status_Squad">#N/A</definedName>
    <definedName name="Slicer_Sub_Kelompok">#N/A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8" i="4" l="1"/>
  <c r="I8" i="4"/>
  <c r="K3" i="8" a="1"/>
  <c r="K3" i="8" s="1"/>
  <c r="J3" i="8" a="1"/>
  <c r="J3" i="8" s="1"/>
  <c r="H3" i="8" a="1"/>
  <c r="H3" i="8" s="1"/>
  <c r="G3" i="8" a="1"/>
  <c r="G3" i="8" s="1"/>
  <c r="E3" i="8" a="1"/>
  <c r="E3" i="8" s="1"/>
  <c r="D3" i="8" a="1"/>
  <c r="D3" i="8" s="1"/>
  <c r="B3" i="8" a="1"/>
  <c r="B3" i="8" s="1"/>
  <c r="A3" i="8" a="1"/>
  <c r="A3" i="8" s="1"/>
  <c r="C8"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5E12A1A-06F2-42D1-AE6F-32C118AD1EE1}" keepAlive="1" name="Query - OC" description="Connection to the 'OC' query in the workbook." type="5" refreshedVersion="8" refreshOnLoad="1" saveData="1">
    <dbPr connection="Provider=Microsoft.Mashup.OleDb.1;Data Source=$Workbook$;Location=OC;Extended Properties=&quot;&quot;" command="SELECT * FROM [OC]"/>
  </connection>
  <connection id="2" xr16:uid="{DECF7D83-FB88-44F1-B767-3B9B0D3D291A}"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3" xr16:uid="{875F253B-BBC9-4DAA-93C8-321745F77ABE}"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4" xr16:uid="{B5E50AA6-7F04-4AEA-BD0A-CD58DE2C7E9C}"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5" xr16:uid="{A79EE4C2-22DB-4600-B7A1-931C1E4757D0}"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<sst xmlns="http://schemas.openxmlformats.org/spreadsheetml/2006/main" count="7559" uniqueCount="936">
  <si>
    <t>Nama Karakter</t>
  </si>
  <si>
    <t>MBTI</t>
  </si>
  <si>
    <t>Sub-Kelompok</t>
  </si>
  <si>
    <t>Umur</t>
  </si>
  <si>
    <t>Tinggi (cm)</t>
  </si>
  <si>
    <t>Kategori Tinggi</t>
  </si>
  <si>
    <t>Grup</t>
  </si>
  <si>
    <t>Role / Kekuatan Utama</t>
  </si>
  <si>
    <t>HP</t>
  </si>
  <si>
    <t>ATK</t>
  </si>
  <si>
    <t>DEF</t>
  </si>
  <si>
    <t>SPD</t>
  </si>
  <si>
    <t>Crit Rate</t>
  </si>
  <si>
    <t>MP</t>
  </si>
  <si>
    <t>Win Rate</t>
  </si>
  <si>
    <t>Potensi Damage</t>
  </si>
  <si>
    <t>Faction</t>
  </si>
  <si>
    <t>Total Stat</t>
  </si>
  <si>
    <t>Role</t>
  </si>
  <si>
    <t>Tanggal Lahir</t>
  </si>
  <si>
    <t>Status Squad</t>
  </si>
  <si>
    <t>Paula Lopez</t>
  </si>
  <si>
    <t>INTP</t>
  </si>
  <si>
    <t>The Analysts</t>
  </si>
  <si>
    <t>Normal</t>
  </si>
  <si>
    <t>Modern</t>
  </si>
  <si>
    <t>Fracture Surge</t>
  </si>
  <si>
    <t>Northern Tundra</t>
  </si>
  <si>
    <t>Balanced</t>
  </si>
  <si>
    <t>Tactician</t>
  </si>
  <si>
    <t>Hiromi Masaki</t>
  </si>
  <si>
    <t>INTJ</t>
  </si>
  <si>
    <t>Tinggi</t>
  </si>
  <si>
    <t>Gravity Rend</t>
  </si>
  <si>
    <t>Eastern Sunrise</t>
  </si>
  <si>
    <t>Attacker</t>
  </si>
  <si>
    <t>Squad Inti</t>
  </si>
  <si>
    <t>Gillian Wiley</t>
  </si>
  <si>
    <t>ENTJ</t>
  </si>
  <si>
    <t>Ruin Pulse Engine</t>
  </si>
  <si>
    <t>Southern Isles</t>
  </si>
  <si>
    <t>Chiyo Funai</t>
  </si>
  <si>
    <t>ISTJ</t>
  </si>
  <si>
    <t>The Sentinels</t>
  </si>
  <si>
    <t>Guillotine Line</t>
  </si>
  <si>
    <t>Western Citadel</t>
  </si>
  <si>
    <t>Support</t>
  </si>
  <si>
    <t>Tanker</t>
  </si>
  <si>
    <t>Shizuka Aikawa</t>
  </si>
  <si>
    <t>ESTJ</t>
  </si>
  <si>
    <t>Warbrand Arsenal</t>
  </si>
  <si>
    <t>Cael Dunmore</t>
  </si>
  <si>
    <t>ESTP</t>
  </si>
  <si>
    <t>The Explorers</t>
  </si>
  <si>
    <t>Fantasy</t>
  </si>
  <si>
    <t>Probability Flux / Treasure Hunter</t>
  </si>
  <si>
    <t>Elite Spy</t>
  </si>
  <si>
    <t>Seren Ashvale</t>
  </si>
  <si>
    <t>Absolute Command / General</t>
  </si>
  <si>
    <t>Caius Nox</t>
  </si>
  <si>
    <t>Fate Weave / Royal Advisor</t>
  </si>
  <si>
    <t>Orin Eld</t>
  </si>
  <si>
    <t>INFJ</t>
  </si>
  <si>
    <t>The Diplomats</t>
  </si>
  <si>
    <t>Moment moment of Truth / Oracle</t>
  </si>
  <si>
    <t>Reguler</t>
  </si>
  <si>
    <t>Kiran Sol</t>
  </si>
  <si>
    <t>Zone of Order / City Watch Captain</t>
  </si>
  <si>
    <t>Tobias Rey</t>
  </si>
  <si>
    <t>ESFJ</t>
  </si>
  <si>
    <t>Triage Field / Field Medic</t>
  </si>
  <si>
    <t>Hayami Amamiya</t>
  </si>
  <si>
    <t>ISTP</t>
  </si>
  <si>
    <t>Elemental Mastery</t>
  </si>
  <si>
    <t>Shiina Ishioka</t>
  </si>
  <si>
    <t>ISFP</t>
  </si>
  <si>
    <t>Pendek</t>
  </si>
  <si>
    <t>Essence Severance</t>
  </si>
  <si>
    <t>Mayumi Sasaki</t>
  </si>
  <si>
    <t>ISFJ</t>
  </si>
  <si>
    <t>Damage Reflection Lattice</t>
  </si>
  <si>
    <t>Lily Raven</t>
  </si>
  <si>
    <t>Heartstrike Overload</t>
  </si>
  <si>
    <t>Himiko Nakayama</t>
  </si>
  <si>
    <t>ENFJ</t>
  </si>
  <si>
    <t>Dominion Mark</t>
  </si>
  <si>
    <t>Katie Olson</t>
  </si>
  <si>
    <t>INFP</t>
  </si>
  <si>
    <t>Soulfire Manifestation</t>
  </si>
  <si>
    <t>Aldric Crane</t>
  </si>
  <si>
    <t>Primal Sovereign / Engineer</t>
  </si>
  <si>
    <t>Sylvaine Morrel</t>
  </si>
  <si>
    <t>Runic Deconstruction / Scholar</t>
  </si>
  <si>
    <t>Rhen Caen</t>
  </si>
  <si>
    <t>Covenant Bond / Healer &amp; Diplomat</t>
  </si>
  <si>
    <t>Dorian Penn</t>
  </si>
  <si>
    <t>Archive of Blades / Guild Archivist</t>
  </si>
  <si>
    <t>Mica Dwyer</t>
  </si>
  <si>
    <t>ENTP</t>
  </si>
  <si>
    <t>Adaptive Mutation</t>
  </si>
  <si>
    <t>Shaye Kaylen</t>
  </si>
  <si>
    <t>Combat Escalation Law</t>
  </si>
  <si>
    <t>Brawler</t>
  </si>
  <si>
    <t>Theresa Felix</t>
  </si>
  <si>
    <t>ESFP</t>
  </si>
  <si>
    <t>Sensory Collapse Domain</t>
  </si>
  <si>
    <t>Sonia Spade</t>
  </si>
  <si>
    <t>Emotional Vectoring</t>
  </si>
  <si>
    <t>Emily Caddel</t>
  </si>
  <si>
    <t>ENFP</t>
  </si>
  <si>
    <t>Dimensional Phase Shifting</t>
  </si>
  <si>
    <t>Mara Solene</t>
  </si>
  <si>
    <t>Resonant Aria / Performer</t>
  </si>
  <si>
    <t>Ranger</t>
  </si>
  <si>
    <t>Luno Bright</t>
  </si>
  <si>
    <t>Living Canvas / Cartographer</t>
  </si>
  <si>
    <t>Zivan Holt</t>
  </si>
  <si>
    <t>Transmutation Aura / Alchemist</t>
  </si>
  <si>
    <t>Mira Vane</t>
  </si>
  <si>
    <t>Momentum Surge / Knight-Errant</t>
  </si>
  <si>
    <t>Elara Moss</t>
  </si>
  <si>
    <t>Verdant Wrath / Forest Herbalist</t>
  </si>
  <si>
    <t>Nora Voss</t>
  </si>
  <si>
    <t>Memory Palace / Librarian Assistant</t>
  </si>
  <si>
    <t>Count of Nama Karakter</t>
  </si>
  <si>
    <t>Row Labels</t>
  </si>
  <si>
    <t>Grand Total</t>
  </si>
  <si>
    <t>Average of Win Rate</t>
  </si>
  <si>
    <t>Average of HP</t>
  </si>
  <si>
    <t>Average of ATK</t>
  </si>
  <si>
    <t>Average of DEF</t>
  </si>
  <si>
    <t>Average of SPD</t>
  </si>
  <si>
    <t>Dashboard</t>
  </si>
  <si>
    <t>Hana Swiftwind</t>
  </si>
  <si>
    <t>Orion Declan</t>
  </si>
  <si>
    <t>Naoki Rossi</t>
  </si>
  <si>
    <t>Iris Kline</t>
  </si>
  <si>
    <t>Vale Pemberton</t>
  </si>
  <si>
    <t>Nova Coldwater</t>
  </si>
  <si>
    <t>Vale Langley</t>
  </si>
  <si>
    <t>Airi Mirren</t>
  </si>
  <si>
    <t>Ansel Lopez</t>
  </si>
  <si>
    <t>Taro Muller</t>
  </si>
  <si>
    <t>Hiroshi Declan</t>
  </si>
  <si>
    <t>Sakura Holloway</t>
  </si>
  <si>
    <t>Rin Weston</t>
  </si>
  <si>
    <t>Cael Blackwood</t>
  </si>
  <si>
    <t>Zara Kobayashi</t>
  </si>
  <si>
    <t>Sage Blackwood</t>
  </si>
  <si>
    <t>Lux Aurelius</t>
  </si>
  <si>
    <t>Marcus Farell</t>
  </si>
  <si>
    <t>Asher Coldwater</t>
  </si>
  <si>
    <t>Aldric Masaki</t>
  </si>
  <si>
    <t>Lux Tanaka</t>
  </si>
  <si>
    <t>Ren Sato</t>
  </si>
  <si>
    <t>Owen Swiftwind</t>
  </si>
  <si>
    <t>Nolan Hargrove</t>
  </si>
  <si>
    <t>Lux Calloway</t>
  </si>
  <si>
    <t>Isadora Aurelius</t>
  </si>
  <si>
    <t>Shaela Calloway</t>
  </si>
  <si>
    <t>Mirel Weston</t>
  </si>
  <si>
    <t>Lux Hargrove</t>
  </si>
  <si>
    <t>Hiroshi Sol</t>
  </si>
  <si>
    <t>Shiho Nox</t>
  </si>
  <si>
    <t>Torin Yoshida</t>
  </si>
  <si>
    <t>Elara Langley</t>
  </si>
  <si>
    <t>Caius Wiley</t>
  </si>
  <si>
    <t>Lux Kim</t>
  </si>
  <si>
    <t>Rowan Sinclair</t>
  </si>
  <si>
    <t>Taro Flint</t>
  </si>
  <si>
    <t>Tomoe Mirren</t>
  </si>
  <si>
    <t>Seraphina Holloway</t>
  </si>
  <si>
    <t>Aster Velmont</t>
  </si>
  <si>
    <t>Isla Ashford</t>
  </si>
  <si>
    <t>Seren Kobayashi</t>
  </si>
  <si>
    <t>Rowan Emberveil</t>
  </si>
  <si>
    <t>Elara Stormbright</t>
  </si>
  <si>
    <t>Yuna Vargas</t>
  </si>
  <si>
    <t>Yuna Watanabe</t>
  </si>
  <si>
    <t>Aster Aurelius</t>
  </si>
  <si>
    <t>Rowan Dunmore</t>
  </si>
  <si>
    <t>Marcus Calloway</t>
  </si>
  <si>
    <t>Kaito Ashvale</t>
  </si>
  <si>
    <t>Marcus Vance</t>
  </si>
  <si>
    <t>Shiho Crestwood</t>
  </si>
  <si>
    <t>Aiko Emberveil</t>
  </si>
  <si>
    <t>Kaito Dunmore</t>
  </si>
  <si>
    <t>Seren Ashford</t>
  </si>
  <si>
    <t>Ansel Aikawa</t>
  </si>
  <si>
    <t>Rin Moonshade</t>
  </si>
  <si>
    <t>Piper Strider</t>
  </si>
  <si>
    <t>Naoki Aurelius</t>
  </si>
  <si>
    <t>Theron Bramble</t>
  </si>
  <si>
    <t>Yuki Kline</t>
  </si>
  <si>
    <t>Airi Fitzgerald</t>
  </si>
  <si>
    <t>Riku Coldwater</t>
  </si>
  <si>
    <t>Isadora Yoshida</t>
  </si>
  <si>
    <t>Lux Crowe</t>
  </si>
  <si>
    <t>Ansel Whitmore</t>
  </si>
  <si>
    <t>Sylvie Ito</t>
  </si>
  <si>
    <t>Dara Masaki</t>
  </si>
  <si>
    <t>Isadora Dunmore</t>
  </si>
  <si>
    <t>Theron Nakamura</t>
  </si>
  <si>
    <t>Kaito Fitzgerald</t>
  </si>
  <si>
    <t>Nora Muller</t>
  </si>
  <si>
    <t>Zara Crestwood</t>
  </si>
  <si>
    <t>Hana Yamamoto</t>
  </si>
  <si>
    <t>Clara Sato</t>
  </si>
  <si>
    <t>Shaela Kim</t>
  </si>
  <si>
    <t>Haruto Moonshade</t>
  </si>
  <si>
    <t>Fumiko Wiley</t>
  </si>
  <si>
    <t>Fumiko Tanaka</t>
  </si>
  <si>
    <t>Takeshi Tanaka</t>
  </si>
  <si>
    <t>Zephyr Hargrove</t>
  </si>
  <si>
    <t>Nami Hayashi</t>
  </si>
  <si>
    <t>Reika Tanaka</t>
  </si>
  <si>
    <t>Sage Ashvale</t>
  </si>
  <si>
    <t>Nolan Vance</t>
  </si>
  <si>
    <t>Shaela Kline</t>
  </si>
  <si>
    <t>Emery Fitzgerald</t>
  </si>
  <si>
    <t>Reika Saito</t>
  </si>
  <si>
    <t>Theron Silva</t>
  </si>
  <si>
    <t>Reika Montgomery</t>
  </si>
  <si>
    <t>Kotaro Velmont</t>
  </si>
  <si>
    <t>Takeshi Aurelius</t>
  </si>
  <si>
    <t>Akira Lopez</t>
  </si>
  <si>
    <t>Kenji Drayton</t>
  </si>
  <si>
    <t>Cassian Suzuki</t>
  </si>
  <si>
    <t>Ansel Velmont</t>
  </si>
  <si>
    <t>Mirel Bramble</t>
  </si>
  <si>
    <t>Aria Farell</t>
  </si>
  <si>
    <t>Yuki Muller</t>
  </si>
  <si>
    <t>Ethan Swiftwind</t>
  </si>
  <si>
    <t>Lyra Silva</t>
  </si>
  <si>
    <t>Quinn Suzuki</t>
  </si>
  <si>
    <t>Hina Thornton</t>
  </si>
  <si>
    <t>Lyra Okafor</t>
  </si>
  <si>
    <t>Isadora Hayashi</t>
  </si>
  <si>
    <t>Wren Ito</t>
  </si>
  <si>
    <t>Tomoe Ito</t>
  </si>
  <si>
    <t>Mei Nakamura</t>
  </si>
  <si>
    <t>Mirel Vance</t>
  </si>
  <si>
    <t>Orin Mirren</t>
  </si>
  <si>
    <t>Dara Chen</t>
  </si>
  <si>
    <t>Lena Hargrove</t>
  </si>
  <si>
    <t>Aster Funai</t>
  </si>
  <si>
    <t>Dante Wiley</t>
  </si>
  <si>
    <t>Emery Crestwood</t>
  </si>
  <si>
    <t>Mei Swiftwind</t>
  </si>
  <si>
    <t>Ryo Montgomery</t>
  </si>
  <si>
    <t>Finn Tanaka</t>
  </si>
  <si>
    <t>Kaito Velmont</t>
  </si>
  <si>
    <t>Yuki Thornton</t>
  </si>
  <si>
    <t>Ren Kobayashi</t>
  </si>
  <si>
    <t>Akira Pemberton</t>
  </si>
  <si>
    <t>Yuna Kline</t>
  </si>
  <si>
    <t>Orion Silva</t>
  </si>
  <si>
    <t>Nami Kim</t>
  </si>
  <si>
    <t>Shaela Crowe</t>
  </si>
  <si>
    <t>Caius Aikawa</t>
  </si>
  <si>
    <t>Wren Montgomery</t>
  </si>
  <si>
    <t>Nolan Okafor</t>
  </si>
  <si>
    <t>Mei Dunmore</t>
  </si>
  <si>
    <t>Emery Yoshida</t>
  </si>
  <si>
    <t>Vessa Hargrove</t>
  </si>
  <si>
    <t>Shiho Silva</t>
  </si>
  <si>
    <t>Nami Kobayashi</t>
  </si>
  <si>
    <t>Ryo Blackwood</t>
  </si>
  <si>
    <t>Ethan Aldridge</t>
  </si>
  <si>
    <t>Haruto Holloway</t>
  </si>
  <si>
    <t>Lux Ashvale</t>
  </si>
  <si>
    <t>Aiko Aldridge</t>
  </si>
  <si>
    <t>Isla Dawnforge</t>
  </si>
  <si>
    <t>Hugo Velmont</t>
  </si>
  <si>
    <t>Ren Dunmore</t>
  </si>
  <si>
    <t>Sylvie Drayton</t>
  </si>
  <si>
    <t>Lena Funai</t>
  </si>
  <si>
    <t>Elara Dawnforge</t>
  </si>
  <si>
    <t>Orin Funai</t>
  </si>
  <si>
    <t>Vale Sinclair</t>
  </si>
  <si>
    <t>Fable Watanabe</t>
  </si>
  <si>
    <t>Lyanna Hargrove</t>
  </si>
  <si>
    <t>Caspian Yamamoto</t>
  </si>
  <si>
    <t>Akira Sinclair</t>
  </si>
  <si>
    <t>Emery Whitmore</t>
  </si>
  <si>
    <t>Tomoe Flint</t>
  </si>
  <si>
    <t>Nolan Velmont</t>
  </si>
  <si>
    <t>Owen Langley</t>
  </si>
  <si>
    <t>Sakura Eld</t>
  </si>
  <si>
    <t>Blaine Suzuki</t>
  </si>
  <si>
    <t>Iris Suzuki</t>
  </si>
  <si>
    <t>Kaito Holloway</t>
  </si>
  <si>
    <t>Petra Kim</t>
  </si>
  <si>
    <t>Reika Coldwater</t>
  </si>
  <si>
    <t>Asher Nox</t>
  </si>
  <si>
    <t>Rin Swiftwind</t>
  </si>
  <si>
    <t>Iris Hayashi</t>
  </si>
  <si>
    <t>Celeste Langley</t>
  </si>
  <si>
    <t>Sora Rossi</t>
  </si>
  <si>
    <t>Haruto Vargas</t>
  </si>
  <si>
    <t>Brant Farell</t>
  </si>
  <si>
    <t>Hugo Silva</t>
  </si>
  <si>
    <t>Finn Rossi</t>
  </si>
  <si>
    <t>Brant Kobayashi</t>
  </si>
  <si>
    <t>Elise Crowe</t>
  </si>
  <si>
    <t>Elara Okafor</t>
  </si>
  <si>
    <t>Takeshi Nox</t>
  </si>
  <si>
    <t>Brant Coldwater</t>
  </si>
  <si>
    <t>Rin Bramble</t>
  </si>
  <si>
    <t>Felix Drayton</t>
  </si>
  <si>
    <t>Chiyo Eld</t>
  </si>
  <si>
    <t>Ansel Stormbright</t>
  </si>
  <si>
    <t>Shiho Holloway</t>
  </si>
  <si>
    <t>Nami Nox</t>
  </si>
  <si>
    <t>Zara Tanaka</t>
  </si>
  <si>
    <t>Celeste Pemberton</t>
  </si>
  <si>
    <t>Riku Nox</t>
  </si>
  <si>
    <t>Dara Hayashi</t>
  </si>
  <si>
    <t>Seraphina Swiftwind</t>
  </si>
  <si>
    <t>Cassian Stormbright</t>
  </si>
  <si>
    <t>Rin Velmont</t>
  </si>
  <si>
    <t>Isla Suzuki</t>
  </si>
  <si>
    <t>Torin Aikawa</t>
  </si>
  <si>
    <t>Caspian Nakamura</t>
  </si>
  <si>
    <t>Leon Whitmore</t>
  </si>
  <si>
    <t>Iris Tanaka</t>
  </si>
  <si>
    <t>Asher Stormbright</t>
  </si>
  <si>
    <t>Seren Crestwood</t>
  </si>
  <si>
    <t>Petra Hayashi</t>
  </si>
  <si>
    <t>Takeshi Chen</t>
  </si>
  <si>
    <t>Elara Velmont</t>
  </si>
  <si>
    <t>Tomoe Coldwater</t>
  </si>
  <si>
    <t>Corwin Velmont</t>
  </si>
  <si>
    <t>Leon Inoue</t>
  </si>
  <si>
    <t>Petra Pemberton</t>
  </si>
  <si>
    <t>Kotaro Montgomery</t>
  </si>
  <si>
    <t>Mika Velmont</t>
  </si>
  <si>
    <t>Lena Dawnforge</t>
  </si>
  <si>
    <t>Finn Funai</t>
  </si>
  <si>
    <t>Nora Holloway</t>
  </si>
  <si>
    <t>Orion Yoshida</t>
  </si>
  <si>
    <t>Cassian Swiftwind</t>
  </si>
  <si>
    <t>Shun Tanaka</t>
  </si>
  <si>
    <t>Emery Hargrove</t>
  </si>
  <si>
    <t>Vale Velmont</t>
  </si>
  <si>
    <t>Orion Whitmore</t>
  </si>
  <si>
    <t>Vessa Aurelius</t>
  </si>
  <si>
    <t>Zephyr Suzuki</t>
  </si>
  <si>
    <t>Akira Crestwood</t>
  </si>
  <si>
    <t>Hina Muller</t>
  </si>
  <si>
    <t>Dante Inoue</t>
  </si>
  <si>
    <t>Corwin Ashvale</t>
  </si>
  <si>
    <t>Emery Dawnforge</t>
  </si>
  <si>
    <t>Airi Sato</t>
  </si>
  <si>
    <t>Haruto Saito</t>
  </si>
  <si>
    <t>Riku Silva</t>
  </si>
  <si>
    <t>Aster Crestwood</t>
  </si>
  <si>
    <t>Isla Funai</t>
  </si>
  <si>
    <t>Brant Chen</t>
  </si>
  <si>
    <t>Mirel Inoue</t>
  </si>
  <si>
    <t>Mirel Declan</t>
  </si>
  <si>
    <t>Wren Ashford</t>
  </si>
  <si>
    <t>Clara Whitmore</t>
  </si>
  <si>
    <t>Celeste Ashford</t>
  </si>
  <si>
    <t>Petra Mirren</t>
  </si>
  <si>
    <t>Airi Declan</t>
  </si>
  <si>
    <t>Vale Montgomery</t>
  </si>
  <si>
    <t>Brant Tanaka</t>
  </si>
  <si>
    <t>Isla Declan</t>
  </si>
  <si>
    <t>Haruto Watanabe</t>
  </si>
  <si>
    <t>Hugo Dunmore</t>
  </si>
  <si>
    <t>Torin Whitmore</t>
  </si>
  <si>
    <t>Celeste Velmont</t>
  </si>
  <si>
    <t>Hana Hartley</t>
  </si>
  <si>
    <t>Lux Kato</t>
  </si>
  <si>
    <t>Yuki Hayashi</t>
  </si>
  <si>
    <t>Corwin Lopez</t>
  </si>
  <si>
    <t>Caius Sato</t>
  </si>
  <si>
    <t>Lyra Dunmore</t>
  </si>
  <si>
    <t>Dante Kim</t>
  </si>
  <si>
    <t>Dante Hargrove</t>
  </si>
  <si>
    <t>Sakura Kline</t>
  </si>
  <si>
    <t>Zephyr Sol</t>
  </si>
  <si>
    <t>Felix Thornton</t>
  </si>
  <si>
    <t>Marcus Suzuki</t>
  </si>
  <si>
    <t>Kenji Dunmore</t>
  </si>
  <si>
    <t>Orion Weston</t>
  </si>
  <si>
    <t>Theron Rossi</t>
  </si>
  <si>
    <t>Finn Dunmore</t>
  </si>
  <si>
    <t>Theron Velmont</t>
  </si>
  <si>
    <t>Piper Sinclair</t>
  </si>
  <si>
    <t>Cael Crestwood</t>
  </si>
  <si>
    <t>Akira Silva</t>
  </si>
  <si>
    <t>Aster Hargrove</t>
  </si>
  <si>
    <t>Leon Hartley</t>
  </si>
  <si>
    <t>Clara Ashvale</t>
  </si>
  <si>
    <t>Fable Nox</t>
  </si>
  <si>
    <t>Felix Blackwood</t>
  </si>
  <si>
    <t>Aldric Montgomery</t>
  </si>
  <si>
    <t>Corwin Ironfield</t>
  </si>
  <si>
    <t>Iris Yoshida</t>
  </si>
  <si>
    <t>Caius Hargrove</t>
  </si>
  <si>
    <t>Blaine Whitmore</t>
  </si>
  <si>
    <t>Torin Yamamoto</t>
  </si>
  <si>
    <t>Quinn Ashford</t>
  </si>
  <si>
    <t>Akira Ito</t>
  </si>
  <si>
    <t>Vivian Nakamura</t>
  </si>
  <si>
    <t>Ryo Chen</t>
  </si>
  <si>
    <t>Lyra Montgomery</t>
  </si>
  <si>
    <t>Shiho Weston</t>
  </si>
  <si>
    <t>Kaito Inoue</t>
  </si>
  <si>
    <t>Ryo Vargas</t>
  </si>
  <si>
    <t>Lena Velmont</t>
  </si>
  <si>
    <t>Cael Farell</t>
  </si>
  <si>
    <t>Fumiko Moonshade</t>
  </si>
  <si>
    <t>Zephyr Blackwood</t>
  </si>
  <si>
    <t>Zara Ashvale</t>
  </si>
  <si>
    <t>Nora Strider</t>
  </si>
  <si>
    <t>Lyra Stormbright</t>
  </si>
  <si>
    <t>Petra Rossi</t>
  </si>
  <si>
    <t>Mei Masaki</t>
  </si>
  <si>
    <t>Quinn Tanaka</t>
  </si>
  <si>
    <t>Kenji Holloway</t>
  </si>
  <si>
    <t>Reika Moonshade</t>
  </si>
  <si>
    <t>Dante Bramble</t>
  </si>
  <si>
    <t>Dante Chen</t>
  </si>
  <si>
    <t>Felix Crowe</t>
  </si>
  <si>
    <t>Sylvie Suzuki</t>
  </si>
  <si>
    <t>Isla Hargrove</t>
  </si>
  <si>
    <t>Ryo Lopez</t>
  </si>
  <si>
    <t>Seren Aikawa</t>
  </si>
  <si>
    <t>Lyanna Suzuki</t>
  </si>
  <si>
    <t>Wren Masaki</t>
  </si>
  <si>
    <t>Orion Mirren</t>
  </si>
  <si>
    <t>Torin Thornton</t>
  </si>
  <si>
    <t>Fable Funai</t>
  </si>
  <si>
    <t>Kiran Ashvale</t>
  </si>
  <si>
    <t>Aster Wiley</t>
  </si>
  <si>
    <t>Orin Wiley</t>
  </si>
  <si>
    <t>Kenji Stormbright</t>
  </si>
  <si>
    <t>Elise Funai</t>
  </si>
  <si>
    <t>Akira Vance</t>
  </si>
  <si>
    <t>Wren Sato</t>
  </si>
  <si>
    <t>Orin Muller</t>
  </si>
  <si>
    <t>Seraphina Drayton</t>
  </si>
  <si>
    <t>Hiroshi Holloway</t>
  </si>
  <si>
    <t>Naoki Dunmore</t>
  </si>
  <si>
    <t>Airi Ashvale</t>
  </si>
  <si>
    <t>Reika Funai</t>
  </si>
  <si>
    <t>Vessa Drayton</t>
  </si>
  <si>
    <t>Shiho Vance</t>
  </si>
  <si>
    <t>Naoki Aldridge</t>
  </si>
  <si>
    <t>Owen Hayashi</t>
  </si>
  <si>
    <t>Lena Hartley</t>
  </si>
  <si>
    <t>Lyanna Emberveil</t>
  </si>
  <si>
    <t>Aiko Rossi</t>
  </si>
  <si>
    <t>Taro Vance</t>
  </si>
  <si>
    <t>Yuki Silva</t>
  </si>
  <si>
    <t>Isla Eld</t>
  </si>
  <si>
    <t>Yuki Dawnforge</t>
  </si>
  <si>
    <t>Lyanna Flint</t>
  </si>
  <si>
    <t>Naoki Drayton</t>
  </si>
  <si>
    <t>Iris Ito</t>
  </si>
  <si>
    <t>Petra Hargrove</t>
  </si>
  <si>
    <t>Cael Langley</t>
  </si>
  <si>
    <t>Quinn Strider</t>
  </si>
  <si>
    <t>Hana Eld</t>
  </si>
  <si>
    <t>Shun Strider</t>
  </si>
  <si>
    <t>Ansel Blackwood</t>
  </si>
  <si>
    <t>Lena Bramble</t>
  </si>
  <si>
    <t>Vivian Ito</t>
  </si>
  <si>
    <t>Rin Hartley</t>
  </si>
  <si>
    <t>Emery Suzuki</t>
  </si>
  <si>
    <t>Emery Mirren</t>
  </si>
  <si>
    <t>Seraphina Langley</t>
  </si>
  <si>
    <t>Aster Vargas</t>
  </si>
  <si>
    <t>Corwin Masaki</t>
  </si>
  <si>
    <t>Miriam Inoue</t>
  </si>
  <si>
    <t>Theron Suzuki</t>
  </si>
  <si>
    <t>Mirel Aldridge</t>
  </si>
  <si>
    <t>Caius Aurelius</t>
  </si>
  <si>
    <t>Seren Whitmore</t>
  </si>
  <si>
    <t>Ethan Masaki</t>
  </si>
  <si>
    <t>Fable Rossi</t>
  </si>
  <si>
    <t>Iris Ashford</t>
  </si>
  <si>
    <t>Torin Watanabe</t>
  </si>
  <si>
    <t>Reika Wiley</t>
  </si>
  <si>
    <t>Taro Yoshida</t>
  </si>
  <si>
    <t>Elara Ashford</t>
  </si>
  <si>
    <t>Dante Silva</t>
  </si>
  <si>
    <t>Clara Dunmore</t>
  </si>
  <si>
    <t>Blaine Dunmore</t>
  </si>
  <si>
    <t>Taro Watanabe</t>
  </si>
  <si>
    <t>Sakura Nakamura</t>
  </si>
  <si>
    <t>Aiko Lopez</t>
  </si>
  <si>
    <t>Fable Yamamoto</t>
  </si>
  <si>
    <t>Sakura Ashvale</t>
  </si>
  <si>
    <t>Corwin Suzuki</t>
  </si>
  <si>
    <t>Seren Blackwood</t>
  </si>
  <si>
    <t>Naoki Kobayashi</t>
  </si>
  <si>
    <t>Iris Inoue</t>
  </si>
  <si>
    <t>Miriam Yoshida</t>
  </si>
  <si>
    <t>Elara Masaki</t>
  </si>
  <si>
    <t>Chiyo Yamamoto</t>
  </si>
  <si>
    <t>Rin Kline</t>
  </si>
  <si>
    <t>Wren Crestwood</t>
  </si>
  <si>
    <t>Reika Hartley</t>
  </si>
  <si>
    <t>Brant Wiley</t>
  </si>
  <si>
    <t>Wren Pemberton</t>
  </si>
  <si>
    <t>Naoki Inoue</t>
  </si>
  <si>
    <t>Yuna Hartley</t>
  </si>
  <si>
    <t>Zara Lopez</t>
  </si>
  <si>
    <t>Lyanna Dunmore</t>
  </si>
  <si>
    <t>Elara Declan</t>
  </si>
  <si>
    <t>Riku Emberveil</t>
  </si>
  <si>
    <t>Caspian Hayashi</t>
  </si>
  <si>
    <t>Sylvie Silva</t>
  </si>
  <si>
    <t>Shun Velmont</t>
  </si>
  <si>
    <t>Yuna Velmont</t>
  </si>
  <si>
    <t>Mika Moonshade</t>
  </si>
  <si>
    <t>Nova Masaki</t>
  </si>
  <si>
    <t>Kiran Muller</t>
  </si>
  <si>
    <t>Orion Muller</t>
  </si>
  <si>
    <t>Yuki Nox</t>
  </si>
  <si>
    <t>Cael Nakamura</t>
  </si>
  <si>
    <t>Kotaro Inoue</t>
  </si>
  <si>
    <t>Shaela Saito</t>
  </si>
  <si>
    <t>Naoki Vance</t>
  </si>
  <si>
    <t>Sage Tanaka</t>
  </si>
  <si>
    <t>Lyra Saito</t>
  </si>
  <si>
    <t>Orin Rossi</t>
  </si>
  <si>
    <t>Zara Aurelius</t>
  </si>
  <si>
    <t>Elise Declan</t>
  </si>
  <si>
    <t>Kiran Holloway</t>
  </si>
  <si>
    <t>Dara Kline</t>
  </si>
  <si>
    <t>Kiran Fitzgerald</t>
  </si>
  <si>
    <t>Lena Chen</t>
  </si>
  <si>
    <t>Corwin Kato</t>
  </si>
  <si>
    <t>Nolan Sol</t>
  </si>
  <si>
    <t>Rowan Bramble</t>
  </si>
  <si>
    <t>Taro Ito</t>
  </si>
  <si>
    <t>Akira Aikawa</t>
  </si>
  <si>
    <t>Ethan Aurelius</t>
  </si>
  <si>
    <t>Ethan Calloway</t>
  </si>
  <si>
    <t>Ansel Langley</t>
  </si>
  <si>
    <t>Haruto Drayton</t>
  </si>
  <si>
    <t>Hiroshi Hargrove</t>
  </si>
  <si>
    <t>Davan Eld</t>
  </si>
  <si>
    <t>Rowan Vargas</t>
  </si>
  <si>
    <t>Shiho Hartley</t>
  </si>
  <si>
    <t>Mika Weston</t>
  </si>
  <si>
    <t>Orion Ito</t>
  </si>
  <si>
    <t>Hana Moonshade</t>
  </si>
  <si>
    <t>Fable Ironfield</t>
  </si>
  <si>
    <t>Shun Thornton</t>
  </si>
  <si>
    <t>Ethan Dunmore</t>
  </si>
  <si>
    <t>Zara Farell</t>
  </si>
  <si>
    <t>Naoki Bramble</t>
  </si>
  <si>
    <t>Shiho Sol</t>
  </si>
  <si>
    <t>Naoki Dawnforge</t>
  </si>
  <si>
    <t>Lena Nox</t>
  </si>
  <si>
    <t>Lyra Aurelius</t>
  </si>
  <si>
    <t>Nora Yamamoto</t>
  </si>
  <si>
    <t>Elara Crestwood</t>
  </si>
  <si>
    <t>Emery Ironfield</t>
  </si>
  <si>
    <t>Lux Declan</t>
  </si>
  <si>
    <t>Naoki Weston</t>
  </si>
  <si>
    <t>Asher Crestwood</t>
  </si>
  <si>
    <t>Torin Velmont</t>
  </si>
  <si>
    <t>Yuki Holloway</t>
  </si>
  <si>
    <t>Reika Mirren</t>
  </si>
  <si>
    <t>Shiho Kline</t>
  </si>
  <si>
    <t>Asher Ashvale</t>
  </si>
  <si>
    <t>Torin Coldwater</t>
  </si>
  <si>
    <t>Aldric Dunmore</t>
  </si>
  <si>
    <t>Owen Silva</t>
  </si>
  <si>
    <t>Zara Crowe</t>
  </si>
  <si>
    <t>Elara Fitzgerald</t>
  </si>
  <si>
    <t>Ethan Montgomery</t>
  </si>
  <si>
    <t>Yuki Calloway</t>
  </si>
  <si>
    <t>Akira Flint</t>
  </si>
  <si>
    <t>Nolan Aurelius</t>
  </si>
  <si>
    <t>Akira Muller</t>
  </si>
  <si>
    <t>Shiho Sato</t>
  </si>
  <si>
    <t>Theron Aldridge</t>
  </si>
  <si>
    <t>Hina Emberveil</t>
  </si>
  <si>
    <t>Finn Flint</t>
  </si>
  <si>
    <t>Sakura Hayashi</t>
  </si>
  <si>
    <t>Emery Yamamoto</t>
  </si>
  <si>
    <t>Seraphina Crowe</t>
  </si>
  <si>
    <t>Rin Pemberton</t>
  </si>
  <si>
    <t>Mirel Flint</t>
  </si>
  <si>
    <t>Shun Aldridge</t>
  </si>
  <si>
    <t>Wren Inoue</t>
  </si>
  <si>
    <t>Shun Hayashi</t>
  </si>
  <si>
    <t>Clara Ito</t>
  </si>
  <si>
    <t>Wren Sol</t>
  </si>
  <si>
    <t>Dante Farell</t>
  </si>
  <si>
    <t>Mirel Ito</t>
  </si>
  <si>
    <t>Yuna Saito</t>
  </si>
  <si>
    <t>Sakura Rossi</t>
  </si>
  <si>
    <t>Elara Funai</t>
  </si>
  <si>
    <t>Haruto Stormbright</t>
  </si>
  <si>
    <t>Elara Nox</t>
  </si>
  <si>
    <t>Hugo Weston</t>
  </si>
  <si>
    <t>Caspian Kobayashi</t>
  </si>
  <si>
    <t>Kenji Nox</t>
  </si>
  <si>
    <t>Rin Blackwood</t>
  </si>
  <si>
    <t>Miriam Calloway</t>
  </si>
  <si>
    <t>Takeshi Crestwood</t>
  </si>
  <si>
    <t>Kenji Funai</t>
  </si>
  <si>
    <t>Hugo Kim</t>
  </si>
  <si>
    <t>Dante Kobayashi</t>
  </si>
  <si>
    <t>Zephyr Swiftwind</t>
  </si>
  <si>
    <t>Leon Pemberton</t>
  </si>
  <si>
    <t>Hina Langley</t>
  </si>
  <si>
    <t>Fumiko Aldridge</t>
  </si>
  <si>
    <t>Lyra Sol</t>
  </si>
  <si>
    <t>Riku Aurelius</t>
  </si>
  <si>
    <t>Caius Saito</t>
  </si>
  <si>
    <t>Hina Masaki</t>
  </si>
  <si>
    <t>Sylvie Thornton</t>
  </si>
  <si>
    <t>Vivian Eld</t>
  </si>
  <si>
    <t>Corwin Crowe</t>
  </si>
  <si>
    <t>Sakura Watanabe</t>
  </si>
  <si>
    <t>Cassian Ashford</t>
  </si>
  <si>
    <t>Takeshi Sato</t>
  </si>
  <si>
    <t>Haruto Ito</t>
  </si>
  <si>
    <t>Lena Strider</t>
  </si>
  <si>
    <t>Airi Rossi</t>
  </si>
  <si>
    <t>Elise Vance</t>
  </si>
  <si>
    <t>Vale Eld</t>
  </si>
  <si>
    <t>Celeste Tanaka</t>
  </si>
  <si>
    <t>Total Karakter</t>
  </si>
  <si>
    <t>Max Total Stat</t>
  </si>
  <si>
    <t>Avg Win Rate</t>
  </si>
  <si>
    <t>Hugo Watanabe</t>
  </si>
  <si>
    <t>Nora Drayton</t>
  </si>
  <si>
    <t>Felix Ashby</t>
  </si>
  <si>
    <t>Aria Velmont</t>
  </si>
  <si>
    <t>Vesper Muller</t>
  </si>
  <si>
    <t>Kaito Nakamura</t>
  </si>
  <si>
    <t>Chiyo Fitzgerald</t>
  </si>
  <si>
    <t>Orin Hargrove</t>
  </si>
  <si>
    <t>Kaito Sato</t>
  </si>
  <si>
    <t>Lux Inoue</t>
  </si>
  <si>
    <t>Shaela Farell</t>
  </si>
  <si>
    <t>Nami Upton</t>
  </si>
  <si>
    <t>Dara Muller</t>
  </si>
  <si>
    <t>Nami Ashby</t>
  </si>
  <si>
    <t>Finn Ashvale</t>
  </si>
  <si>
    <t>Nami Ravenswood</t>
  </si>
  <si>
    <t>Aria Whitmore</t>
  </si>
  <si>
    <t>Mirel Dunstan</t>
  </si>
  <si>
    <t>Miriam Thornton</t>
  </si>
  <si>
    <t>Owen Pemberton</t>
  </si>
  <si>
    <t>Mika Kato</t>
  </si>
  <si>
    <t>Cassian Aikawa</t>
  </si>
  <si>
    <t>Asher Chen</t>
  </si>
  <si>
    <t>Ryo Morven</t>
  </si>
  <si>
    <t>Seraphina Dawnforge</t>
  </si>
  <si>
    <t>Piper Nakamura</t>
  </si>
  <si>
    <t>Blaine Ironfield</t>
  </si>
  <si>
    <t>Ren Morven</t>
  </si>
  <si>
    <t>Nami Drayton</t>
  </si>
  <si>
    <t>Taro Swiftwind</t>
  </si>
  <si>
    <t>Celeste Ito</t>
  </si>
  <si>
    <t>Corin Crowe</t>
  </si>
  <si>
    <t>Airi Crestwood</t>
  </si>
  <si>
    <t>Piper Ravenswood</t>
  </si>
  <si>
    <t>Briar Blackwood</t>
  </si>
  <si>
    <t>Owen Flint</t>
  </si>
  <si>
    <t>Theron Montgomery</t>
  </si>
  <si>
    <t>Felix Suzuki</t>
  </si>
  <si>
    <t>Ryo Langley</t>
  </si>
  <si>
    <t>Ethan Blackwood</t>
  </si>
  <si>
    <t>Nova Stormbright</t>
  </si>
  <si>
    <t>Briar Flint</t>
  </si>
  <si>
    <t>Reika Watanabe</t>
  </si>
  <si>
    <t>Theron Wiley</t>
  </si>
  <si>
    <t>Owen Thorne</t>
  </si>
  <si>
    <t>Talion Funai</t>
  </si>
  <si>
    <t>Aria Lopez</t>
  </si>
  <si>
    <t>Aster Thornton</t>
  </si>
  <si>
    <t>Clara Vargas</t>
  </si>
  <si>
    <t>Blaine Nakamura</t>
  </si>
  <si>
    <t>Sage Ashford</t>
  </si>
  <si>
    <t>Finn Yoshida</t>
  </si>
  <si>
    <t>Caius Whitmore</t>
  </si>
  <si>
    <t>Draven Velmont</t>
  </si>
  <si>
    <t>Isla Kline</t>
  </si>
  <si>
    <t>Nami Vargas</t>
  </si>
  <si>
    <t>Hugo Dawnforge</t>
  </si>
  <si>
    <t>Wren Whitmore</t>
  </si>
  <si>
    <t>Felix Silva</t>
  </si>
  <si>
    <t>Seren Quill</t>
  </si>
  <si>
    <t>Bastian Dawnforge</t>
  </si>
  <si>
    <t>Fable Dunmore</t>
  </si>
  <si>
    <t>Lyra Yamamoto</t>
  </si>
  <si>
    <t>Dara Ravenswood</t>
  </si>
  <si>
    <t>Vessa Muller</t>
  </si>
  <si>
    <t>Zephyr Crestwood</t>
  </si>
  <si>
    <t>Naoki Suzuki</t>
  </si>
  <si>
    <t>Corwin Hartley</t>
  </si>
  <si>
    <t>Miriam Hartley</t>
  </si>
  <si>
    <t>Hugo Strider</t>
  </si>
  <si>
    <t>Torin Nakamura</t>
  </si>
  <si>
    <t>Nova Aldridge</t>
  </si>
  <si>
    <t>Caspian Aldridge</t>
  </si>
  <si>
    <t>Kaito Ravenswood</t>
  </si>
  <si>
    <t>Brant Hargrove</t>
  </si>
  <si>
    <t>Sylvie Upton</t>
  </si>
  <si>
    <t>Rin Morven</t>
  </si>
  <si>
    <t>Seren Dunstan</t>
  </si>
  <si>
    <t>Piper Eld</t>
  </si>
  <si>
    <t>Emery Ashvale</t>
  </si>
  <si>
    <t>Shaela Coldwater</t>
  </si>
  <si>
    <t>Theron Dunmore</t>
  </si>
  <si>
    <t>Lyra Lopez</t>
  </si>
  <si>
    <t>Leon Ito</t>
  </si>
  <si>
    <t>Aiko Vargas</t>
  </si>
  <si>
    <t>Haruto Weston</t>
  </si>
  <si>
    <t>Emery Coldwater</t>
  </si>
  <si>
    <t>Tomoe Ashford</t>
  </si>
  <si>
    <t>Lyra Chen</t>
  </si>
  <si>
    <t>Felix Fitzgerald</t>
  </si>
  <si>
    <t>Cassian Chen</t>
  </si>
  <si>
    <t>Lena Declan</t>
  </si>
  <si>
    <t>Riku Vance</t>
  </si>
  <si>
    <t>Dara Nox</t>
  </si>
  <si>
    <t>Caspian Rossi</t>
  </si>
  <si>
    <t>Ryo Dawnforge</t>
  </si>
  <si>
    <t>Rin Nox</t>
  </si>
  <si>
    <t>Draven Swiftwind</t>
  </si>
  <si>
    <t>Corwin Sinclair</t>
  </si>
  <si>
    <t>Fable Thornton</t>
  </si>
  <si>
    <t>Riku Hargrove</t>
  </si>
  <si>
    <t>Felix Flint</t>
  </si>
  <si>
    <t>Petra Blackwood</t>
  </si>
  <si>
    <t>Kiran Hayashi</t>
  </si>
  <si>
    <t>Nami Eld</t>
  </si>
  <si>
    <t>Lyanna Aldridge</t>
  </si>
  <si>
    <t>Lyric Thorne</t>
  </si>
  <si>
    <t>Owen Masaki</t>
  </si>
  <si>
    <t>Caius Yamamoto</t>
  </si>
  <si>
    <t>Yuna Nakamura</t>
  </si>
  <si>
    <t>Mika Crestwood</t>
  </si>
  <si>
    <t>Yuna Declan</t>
  </si>
  <si>
    <t>Clara Drayton</t>
  </si>
  <si>
    <t>Airi Dunstan</t>
  </si>
  <si>
    <t>Fumiko Kobayashi</t>
  </si>
  <si>
    <t>Caspian Montgomery</t>
  </si>
  <si>
    <t>Caspian Kato</t>
  </si>
  <si>
    <t>Shaela Ironfield</t>
  </si>
  <si>
    <t>Reika Kim</t>
  </si>
  <si>
    <t>Taro Quill</t>
  </si>
  <si>
    <t>Isadora Rossi</t>
  </si>
  <si>
    <t>Caspian Hartley</t>
  </si>
  <si>
    <t>Vessa Emberveil</t>
  </si>
  <si>
    <t>Airi Saito</t>
  </si>
  <si>
    <t>Aster Pelham</t>
  </si>
  <si>
    <t>Aldric Dawnforge</t>
  </si>
  <si>
    <t>Torin Moonshade</t>
  </si>
  <si>
    <t>Orin Declan</t>
  </si>
  <si>
    <t>Elise Quill</t>
  </si>
  <si>
    <t>Ansel Sol</t>
  </si>
  <si>
    <t>Iris Hartley</t>
  </si>
  <si>
    <t>Vale Yamamoto</t>
  </si>
  <si>
    <t>Dante Whitmore</t>
  </si>
  <si>
    <t>Lyric Ito</t>
  </si>
  <si>
    <t>Aldric Wiley</t>
  </si>
  <si>
    <t>Briar Lopez</t>
  </si>
  <si>
    <t>Vale Dunmore</t>
  </si>
  <si>
    <t>Takeshi Strider</t>
  </si>
  <si>
    <t>Iris Dunstan</t>
  </si>
  <si>
    <t>Hugo Eld</t>
  </si>
  <si>
    <t>Mei Mirren</t>
  </si>
  <si>
    <t>Davan Calloway</t>
  </si>
  <si>
    <t>Kotaro Eld</t>
  </si>
  <si>
    <t>Aiko Nox</t>
  </si>
  <si>
    <t>Takeshi Vargas</t>
  </si>
  <si>
    <t>Aria Crestwood</t>
  </si>
  <si>
    <t>Kiran Dunmore</t>
  </si>
  <si>
    <t>Celeste Fitzgerald</t>
  </si>
  <si>
    <t>Hugo Calloway</t>
  </si>
  <si>
    <t>Miriam Declan</t>
  </si>
  <si>
    <t>Dara Flint</t>
  </si>
  <si>
    <t>Theron Watanabe</t>
  </si>
  <si>
    <t>Clara Hayashi</t>
  </si>
  <si>
    <t>Briar Pelham</t>
  </si>
  <si>
    <t>Takeshi Moonshade</t>
  </si>
  <si>
    <t>Asher Suzuki</t>
  </si>
  <si>
    <t>Finn Dunstan</t>
  </si>
  <si>
    <t>Orin Swiftwind</t>
  </si>
  <si>
    <t>Elara Vance</t>
  </si>
  <si>
    <t>Fable Whitmore</t>
  </si>
  <si>
    <t>Rin Crowe</t>
  </si>
  <si>
    <t>Kaito Farell</t>
  </si>
  <si>
    <t>Vale Ashvale</t>
  </si>
  <si>
    <t>Maren Coldwater</t>
  </si>
  <si>
    <t>Asher Aurelius</t>
  </si>
  <si>
    <t>Naoki Fitzgerald</t>
  </si>
  <si>
    <t>Rin Kato</t>
  </si>
  <si>
    <t>Caspian Flint</t>
  </si>
  <si>
    <t>Nami Velmont</t>
  </si>
  <si>
    <t>Kenji Velmont</t>
  </si>
  <si>
    <t>Theron Yamamoto</t>
  </si>
  <si>
    <t>Nora Nox</t>
  </si>
  <si>
    <t>Ren Dunstan</t>
  </si>
  <si>
    <t>Finn Hargrove</t>
  </si>
  <si>
    <t>Dante Hayashi</t>
  </si>
  <si>
    <t>Haruto Coldwater</t>
  </si>
  <si>
    <t>Kotaro Moonshade</t>
  </si>
  <si>
    <t>Caius Masaki</t>
  </si>
  <si>
    <t>Vessa Masaki</t>
  </si>
  <si>
    <t>Aster Kim</t>
  </si>
  <si>
    <t>Elio Langley</t>
  </si>
  <si>
    <t>Zara Masaki</t>
  </si>
  <si>
    <t>Kenji Ito</t>
  </si>
  <si>
    <t>Draven Sinclair</t>
  </si>
  <si>
    <t>Orion Hartley</t>
  </si>
  <si>
    <t>Orion Ashby</t>
  </si>
  <si>
    <t>Lyanna Okafor</t>
  </si>
  <si>
    <t>Talion Masaki</t>
  </si>
  <si>
    <t>Aria Holloway</t>
  </si>
  <si>
    <t>Orion Kobayashi</t>
  </si>
  <si>
    <t>Petra Steele</t>
  </si>
  <si>
    <t>Ansel Yoshida</t>
  </si>
  <si>
    <t>Hina Ironfield</t>
  </si>
  <si>
    <t>Marcus Declan</t>
  </si>
  <si>
    <t>Felix Coldwater</t>
  </si>
  <si>
    <t>Leon Okafor</t>
  </si>
  <si>
    <t>Dara Okafor</t>
  </si>
  <si>
    <t>Quinn Declan</t>
  </si>
  <si>
    <t>Haruto Aurelius</t>
  </si>
  <si>
    <t>Sakura Sato</t>
  </si>
  <si>
    <t>Airi Yamamoto</t>
  </si>
  <si>
    <t>Haruto Dunstan</t>
  </si>
  <si>
    <t>Riku Crestwood</t>
  </si>
  <si>
    <t>Shun Hargrove</t>
  </si>
  <si>
    <t>Dante Nox</t>
  </si>
  <si>
    <t>Tomoe Drayton</t>
  </si>
  <si>
    <t>Cael Greaves</t>
  </si>
  <si>
    <t>Nora Funai</t>
  </si>
  <si>
    <t>Theron Aurelius</t>
  </si>
  <si>
    <t>Mei Morven</t>
  </si>
  <si>
    <t>Cassian Calloway</t>
  </si>
  <si>
    <t>Seren Swiftwind</t>
  </si>
  <si>
    <t>Clara Stormbright</t>
  </si>
  <si>
    <t>Rowan Muller</t>
  </si>
  <si>
    <t>Bastian Masaki</t>
  </si>
  <si>
    <t>Quinn Nakamura</t>
  </si>
  <si>
    <t>Dara Langley</t>
  </si>
  <si>
    <t>Dara Coldwater</t>
  </si>
  <si>
    <t>Kotaro Ravenswood</t>
  </si>
  <si>
    <t>Quinn Masaki</t>
  </si>
  <si>
    <t>Lux Steele</t>
  </si>
  <si>
    <t>Sylvie Kobayashi</t>
  </si>
  <si>
    <t>Rin Upton</t>
  </si>
  <si>
    <t>Elise Ashby</t>
  </si>
  <si>
    <t>Shaela Inoue</t>
  </si>
  <si>
    <t>Yuna Morven</t>
  </si>
  <si>
    <t>Kaito Montgomery</t>
  </si>
  <si>
    <t>Hina Declan</t>
  </si>
  <si>
    <t>Hugo Drayton</t>
  </si>
  <si>
    <t>Felix Ironfield</t>
  </si>
  <si>
    <t>Dara Declan</t>
  </si>
  <si>
    <t>Hiroshi Ashford</t>
  </si>
  <si>
    <t>Sylvie Morven</t>
  </si>
  <si>
    <t>Dante Langley</t>
  </si>
  <si>
    <t>Yuna Tanaka</t>
  </si>
  <si>
    <t>Lyric Ashby</t>
  </si>
  <si>
    <t>Ansel Emberveil</t>
  </si>
  <si>
    <t>Mika Quill</t>
  </si>
  <si>
    <t>Vessa Kline</t>
  </si>
  <si>
    <t>Felix Dunstan</t>
  </si>
  <si>
    <t>Nolan Blackwood</t>
  </si>
  <si>
    <t>Aria Yamamoto</t>
  </si>
  <si>
    <t>Akira Hayashi</t>
  </si>
  <si>
    <t>Ansel Flint</t>
  </si>
  <si>
    <t>Isla Stormbright</t>
  </si>
  <si>
    <t>Ansel Calloway</t>
  </si>
  <si>
    <t>Caius Hartley</t>
  </si>
  <si>
    <t>Hina Crowe</t>
  </si>
  <si>
    <t>Fumiko Whitmore</t>
  </si>
  <si>
    <t>Lyric Bramble</t>
  </si>
  <si>
    <t>Isla Greaves</t>
  </si>
  <si>
    <t>Leon Quill</t>
  </si>
  <si>
    <t>Nora Wiley</t>
  </si>
  <si>
    <t>Hugo Swiftwind</t>
  </si>
  <si>
    <t>Miriam Sol</t>
  </si>
  <si>
    <t>Dara Mirren</t>
  </si>
  <si>
    <t>Lux Mirren</t>
  </si>
  <si>
    <t>Theron Masaki</t>
  </si>
  <si>
    <t>Cassian Kato</t>
  </si>
  <si>
    <t>Aster Yamamoto</t>
  </si>
  <si>
    <t>Shaela Nakamura</t>
  </si>
  <si>
    <t>Rin Nakamura</t>
  </si>
  <si>
    <t>Kotaro Blackwood</t>
  </si>
  <si>
    <t>Celeste Stormbright</t>
  </si>
  <si>
    <t>Fumiko Funai</t>
  </si>
  <si>
    <t>Seren Masaki</t>
  </si>
  <si>
    <t>Cassian Drayton</t>
  </si>
  <si>
    <t>Fable Farell</t>
  </si>
  <si>
    <t>Lux Aikawa</t>
  </si>
  <si>
    <t>Seila Morven</t>
  </si>
  <si>
    <t>Kotaro Dunstan</t>
  </si>
  <si>
    <t>Cael Swiftwind</t>
  </si>
  <si>
    <t>Lyric Kim</t>
  </si>
  <si>
    <t>Kotaro Steele</t>
  </si>
  <si>
    <t>Mirel Silva</t>
  </si>
  <si>
    <t>Isadora Drayton</t>
  </si>
  <si>
    <t>Lena Blackwood</t>
  </si>
  <si>
    <t>Lyra Ashvale</t>
  </si>
  <si>
    <t>Yuna Crowe</t>
  </si>
  <si>
    <t>Clara Coldwater</t>
  </si>
  <si>
    <t>Aiko Calloway</t>
  </si>
  <si>
    <t>Sage Steele</t>
  </si>
  <si>
    <t>Mei Sato</t>
  </si>
  <si>
    <t>Piper Sato</t>
  </si>
  <si>
    <t>Sage Whitmore</t>
  </si>
  <si>
    <t>Finn Wiley</t>
  </si>
  <si>
    <t>Vivian Dunmore</t>
  </si>
  <si>
    <t>Orin Dunstan</t>
  </si>
  <si>
    <t>Vale Hayashi</t>
  </si>
  <si>
    <t>Mirel Yoshida</t>
  </si>
  <si>
    <t>Shiho Ashford</t>
  </si>
  <si>
    <t>Isadora Eld</t>
  </si>
  <si>
    <t>Vale Swiftwind</t>
  </si>
  <si>
    <t>Seila Greaves</t>
  </si>
  <si>
    <t>Hana Yoshida</t>
  </si>
  <si>
    <t>Shaela Declan</t>
  </si>
  <si>
    <t>Orion Kim</t>
  </si>
  <si>
    <t>Mika Ironfield</t>
  </si>
  <si>
    <t>Mei Quill</t>
  </si>
  <si>
    <t>Celeste Nox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</si>
</sst>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quot; %&quot;"/>
  </numFmts>
  <fonts count="4" x14ac:knownFonts="1">
    <font>
      <sz val="11"/>
      <color theme="1"/>
      <name val="Calibri"/>
      <family val="2"/>
      <scheme val="minor"/>
    </font>
    <font>
      <sz val="11"/>
      <color theme="1"/>
      <name val="Calibri"/>
      <family val="2"/>
      <scheme val="minor"/>
    </font>
    <font>
      <sz val="30"/>
      <color theme="0"/>
      <name val="Calibri"/>
      <family val="2"/>
      <scheme val="minor"/>
    </font>
    <font>
      <sz val="24"/>
      <color theme="0"/>
      <name val="Calibri"/>
      <family val="2"/>
      <scheme val="minor"/>
    </font>
  </fonts>
  <fills count="4">
    <fill>
      <patternFill patternType="none"/>
    </fill>
    <fill>
      <patternFill patternType="gray125"/>
    </fill>
    <fill>
      <patternFill patternType="solid">
        <fgColor theme="4"/>
        <bgColor indexed="64"/>
      </patternFill>
    </fill>
    <fill>
      <patternFill patternType="solid">
        <fgColor theme="4" tint="0.79998168889431442"/>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9" fontId="1" fillId="0" borderId="0" applyFont="0" applyFill="0" applyBorder="0" applyAlignment="0" applyProtection="0"/>
  </cellStyleXfs>
  <cellXfs count="35">
    <xf numFmtId="0" fontId="0" fillId="0" borderId="0" xfId="0"/>
    <xf numFmtId="0" fontId="0" fillId="0" borderId="0" xfId="0" applyAlignment="1">
      <alignment horizontal="center"/>
    </xf>
    <xf numFmtId="14" fontId="0" fillId="0" borderId="0" xfId="0" applyNumberFormat="1" applyAlignment="1">
      <alignment horizontal="center"/>
    </xf>
    <xf numFmtId="0" fontId="0" fillId="0" borderId="0" xfId="0" pivotButton="1"/>
    <xf numFmtId="0" fontId="0" fillId="0" borderId="0" xfId="0" applyAlignment="1">
      <alignment horizontal="left"/>
    </xf>
    <xf numFmtId="0" fontId="0" fillId="2" borderId="0" xfId="0" applyFill="1"/>
    <xf numFmtId="0" fontId="0" fillId="3" borderId="0" xfId="0" applyFill="1"/>
    <xf numFmtId="0" fontId="2" fillId="2" borderId="0" xfId="0" applyFont="1" applyFill="1"/>
    <xf numFmtId="0" fontId="3" fillId="3" borderId="0" xfId="0" applyFont="1" applyFill="1" applyAlignment="1">
      <alignment vertical="center"/>
    </xf>
    <xf numFmtId="0" fontId="0" fillId="0" borderId="1"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8" xfId="0" applyBorder="1"/>
    <xf numFmtId="9" fontId="0" fillId="0" borderId="0" xfId="1" applyFont="1" applyAlignment="1">
      <alignment horizontal="center"/>
    </xf>
    <xf numFmtId="9" fontId="0" fillId="0" borderId="0" xfId="1" applyFont="1"/>
    <xf numFmtId="164" fontId="0" fillId="0" borderId="0" xfId="1" applyNumberFormat="1" applyFont="1" applyAlignment="1">
      <alignment horizontal="center"/>
    </xf>
    <xf numFmtId="164" fontId="0" fillId="0" borderId="0" xfId="1" applyNumberFormat="1" applyFont="1"/>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0" xfId="0" applyFont="1" applyFill="1" applyAlignment="1">
      <alignment horizontal="center" vertical="center"/>
    </xf>
    <xf numFmtId="0" fontId="3" fillId="2" borderId="5" xfId="0" applyFont="1" applyFill="1" applyBorder="1" applyAlignment="1">
      <alignment horizontal="center" vertical="center"/>
    </xf>
    <xf numFmtId="9" fontId="3" fillId="2" borderId="4" xfId="1" applyFont="1" applyFill="1" applyBorder="1" applyAlignment="1">
      <alignment horizontal="center" vertical="center"/>
    </xf>
    <xf numFmtId="9" fontId="3" fillId="2" borderId="0" xfId="1" applyFont="1" applyFill="1" applyBorder="1" applyAlignment="1">
      <alignment horizontal="center" vertical="center"/>
    </xf>
    <xf numFmtId="9" fontId="3" fillId="2" borderId="5" xfId="1" applyFont="1" applyFill="1" applyBorder="1" applyAlignment="1">
      <alignment horizontal="center" vertical="center"/>
    </xf>
    <xf numFmtId="9" fontId="3" fillId="2" borderId="6" xfId="1" applyFont="1" applyFill="1" applyBorder="1" applyAlignment="1">
      <alignment horizontal="center" vertical="center"/>
    </xf>
    <xf numFmtId="9" fontId="3" fillId="2" borderId="7" xfId="1" applyFont="1" applyFill="1" applyBorder="1" applyAlignment="1">
      <alignment horizontal="center" vertical="center"/>
    </xf>
    <xf numFmtId="9" fontId="3" fillId="2" borderId="8" xfId="1"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8" xfId="0" applyFont="1" applyFill="1" applyBorder="1" applyAlignment="1">
      <alignment horizontal="center" vertical="center"/>
    </xf>
    <xf numFmtId="0" fontId="0" fillId="0" borderId="0" xfId="0" applyNumberFormat="1"/>
  </cellXfs>
  <cellStyles count="2">
    <cellStyle name="Normal" xfId="0" builtinId="0"/>
    <cellStyle name="Percent" xfId="1" builtinId="5"/>
  </cellStyles>
  <dxfs count="23">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0.00&quot; %&quo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1" defaultTableStyle="TableStyleMedium2" defaultPivotStyle="PivotStyleLight16">
    <tableStyle name="Slicer Style 1" pivot="0" table="0" count="0" xr9:uid="{F8C3ADED-5F95-4B92-8A5A-E6F6E0C8C41C}"/>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[OC_auto dashboard.xlsx]Pivot!PivotTable2</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Pivot!$B$13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D74-465A-931F-FE8CBCE9665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D74-465A-931F-FE8CBCE9665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D74-465A-931F-FE8CBCE9665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D74-465A-931F-FE8CBCE9665F}"/>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Pivot!$A$14:$A$18</c:f>
              <c:strCache>
                <c:ptCount val="4"/>
                <c:pt idx="0">
                  <c:v>Eastern Sunrise</c:v>
                </c:pt>
                <c:pt idx="1">
                  <c:v>Northern Tundra</c:v>
                </c:pt>
                <c:pt idx="2">
                  <c:v>Southern Isles</c:v>
                </c:pt>
                <c:pt idx="3">
                  <c:v>Western Citadel</c:v>
                </c:pt>
              </c:strCache>
            </c:strRef>
          </c:cat>
          <c:val>
            <c:numRef>
              <c:f>Pivot!$B$14:$B$18</c:f>
              <c:numCache>
                <c:formatCode>General</c:formatCode>
                <c:ptCount val="4"/>
                <c:pt idx="0">
                  <c:v>92</c:v>
                </c:pt>
                <c:pt idx="1">
                  <c:v>97</c:v>
                </c:pt>
                <c:pt idx="2">
                  <c:v>97</c:v>
                </c:pt>
                <c:pt idx="3">
                  <c:v>108</c:v>
                </c:pt>
              </c:numCache>
            </c:numRef>
          </c:val>
          <c:extLst>
            <c:ext xmlns:c16="http://schemas.microsoft.com/office/drawing/2014/chart" uri="{C3380CC4-5D6E-409C-BE32-E72D297353CC}">
              <c16:uniqueId val="{00000008-0D74-465A-931F-FE8CBCE9665F}"/>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[OC_auto dashboard.xlsx]Sheet4!PivotTable9</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Average of HP</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Sheet4!$A$4:$A$8</c:f>
              <c:strCache>
                <c:ptCount val="4"/>
                <c:pt idx="0">
                  <c:v>Eastern Sunrise</c:v>
                </c:pt>
                <c:pt idx="1">
                  <c:v>Northern Tundra</c:v>
                </c:pt>
                <c:pt idx="2">
                  <c:v>Southern Isles</c:v>
                </c:pt>
                <c:pt idx="3">
                  <c:v>Western Citadel</c:v>
                </c:pt>
              </c:strCache>
            </c:strRef>
          </c:cat>
          <c:val>
            <c:numRef>
              <c:f>Sheet4!$B$4:$B$8</c:f>
              <c:numCache>
                <c:formatCode>General</c:formatCode>
                <c:ptCount val="4"/>
                <c:pt idx="0">
                  <c:v>81.445652173913047</c:v>
                </c:pt>
                <c:pt idx="1">
                  <c:v>78.134020618556704</c:v>
                </c:pt>
                <c:pt idx="2">
                  <c:v>83.010309278350519</c:v>
                </c:pt>
                <c:pt idx="3">
                  <c:v>79.009259259259252</c:v>
                </c:pt>
              </c:numCache>
            </c:numRef>
          </c:val>
          <c:extLst>
            <c:ext xmlns:c16="http://schemas.microsoft.com/office/drawing/2014/chart" uri="{C3380CC4-5D6E-409C-BE32-E72D297353CC}">
              <c16:uniqueId val="{00000000-6170-434B-B272-74B4B0FD85C4}"/>
            </c:ext>
          </c:extLst>
        </c:ser>
        <c:ser>
          <c:idx val="1"/>
          <c:order val="1"/>
          <c:tx>
            <c:strRef>
              <c:f>Sheet4!$C$3</c:f>
              <c:strCache>
                <c:ptCount val="1"/>
                <c:pt idx="0">
                  <c:v>Average of ATK</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Sheet4!$A$4:$A$8</c:f>
              <c:strCache>
                <c:ptCount val="4"/>
                <c:pt idx="0">
                  <c:v>Eastern Sunrise</c:v>
                </c:pt>
                <c:pt idx="1">
                  <c:v>Northern Tundra</c:v>
                </c:pt>
                <c:pt idx="2">
                  <c:v>Southern Isles</c:v>
                </c:pt>
                <c:pt idx="3">
                  <c:v>Western Citadel</c:v>
                </c:pt>
              </c:strCache>
            </c:strRef>
          </c:cat>
          <c:val>
            <c:numRef>
              <c:f>Sheet4!$C$4:$C$8</c:f>
              <c:numCache>
                <c:formatCode>General</c:formatCode>
                <c:ptCount val="4"/>
                <c:pt idx="0">
                  <c:v>51.663043478260867</c:v>
                </c:pt>
                <c:pt idx="1">
                  <c:v>54.47422680412371</c:v>
                </c:pt>
                <c:pt idx="2">
                  <c:v>50.917525773195877</c:v>
                </c:pt>
                <c:pt idx="3">
                  <c:v>56.268518518518519</c:v>
                </c:pt>
              </c:numCache>
            </c:numRef>
          </c:val>
          <c:extLst>
            <c:ext xmlns:c16="http://schemas.microsoft.com/office/drawing/2014/chart" uri="{C3380CC4-5D6E-409C-BE32-E72D297353CC}">
              <c16:uniqueId val="{00000001-6170-434B-B272-74B4B0FD85C4}"/>
            </c:ext>
          </c:extLst>
        </c:ser>
        <c:ser>
          <c:idx val="2"/>
          <c:order val="2"/>
          <c:tx>
            <c:strRef>
              <c:f>Sheet4!$D$3</c:f>
              <c:strCache>
                <c:ptCount val="1"/>
                <c:pt idx="0">
                  <c:v>Average of DEF</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Sheet4!$A$4:$A$8</c:f>
              <c:strCache>
                <c:ptCount val="4"/>
                <c:pt idx="0">
                  <c:v>Eastern Sunrise</c:v>
                </c:pt>
                <c:pt idx="1">
                  <c:v>Northern Tundra</c:v>
                </c:pt>
                <c:pt idx="2">
                  <c:v>Southern Isles</c:v>
                </c:pt>
                <c:pt idx="3">
                  <c:v>Western Citadel</c:v>
                </c:pt>
              </c:strCache>
            </c:strRef>
          </c:cat>
          <c:val>
            <c:numRef>
              <c:f>Sheet4!$D$4:$D$8</c:f>
              <c:numCache>
                <c:formatCode>General</c:formatCode>
                <c:ptCount val="4"/>
                <c:pt idx="0">
                  <c:v>46.326086956521742</c:v>
                </c:pt>
                <c:pt idx="1">
                  <c:v>57.360824742268044</c:v>
                </c:pt>
                <c:pt idx="2">
                  <c:v>51.226804123711339</c:v>
                </c:pt>
                <c:pt idx="3">
                  <c:v>57.444444444444443</c:v>
                </c:pt>
              </c:numCache>
            </c:numRef>
          </c:val>
          <c:extLst>
            <c:ext xmlns:c16="http://schemas.microsoft.com/office/drawing/2014/chart" uri="{C3380CC4-5D6E-409C-BE32-E72D297353CC}">
              <c16:uniqueId val="{00000002-6170-434B-B272-74B4B0FD85C4}"/>
            </c:ext>
          </c:extLst>
        </c:ser>
        <c:ser>
          <c:idx val="3"/>
          <c:order val="3"/>
          <c:tx>
            <c:strRef>
              <c:f>Sheet4!$E$3</c:f>
              <c:strCache>
                <c:ptCount val="1"/>
                <c:pt idx="0">
                  <c:v>Average of SPD</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Sheet4!$A$4:$A$8</c:f>
              <c:strCache>
                <c:ptCount val="4"/>
                <c:pt idx="0">
                  <c:v>Eastern Sunrise</c:v>
                </c:pt>
                <c:pt idx="1">
                  <c:v>Northern Tundra</c:v>
                </c:pt>
                <c:pt idx="2">
                  <c:v>Southern Isles</c:v>
                </c:pt>
                <c:pt idx="3">
                  <c:v>Western Citadel</c:v>
                </c:pt>
              </c:strCache>
            </c:strRef>
          </c:cat>
          <c:val>
            <c:numRef>
              <c:f>Sheet4!$E$4:$E$8</c:f>
              <c:numCache>
                <c:formatCode>General</c:formatCode>
                <c:ptCount val="4"/>
                <c:pt idx="0">
                  <c:v>47.967391304347828</c:v>
                </c:pt>
                <c:pt idx="1">
                  <c:v>48.494845360824741</c:v>
                </c:pt>
                <c:pt idx="2">
                  <c:v>49.03092783505155</c:v>
                </c:pt>
                <c:pt idx="3">
                  <c:v>52.694444444444443</c:v>
                </c:pt>
              </c:numCache>
            </c:numRef>
          </c:val>
          <c:extLst>
            <c:ext xmlns:c16="http://schemas.microsoft.com/office/drawing/2014/chart" uri="{C3380CC4-5D6E-409C-BE32-E72D297353CC}">
              <c16:uniqueId val="{00000003-6170-434B-B272-74B4B0FD85C4}"/>
            </c:ext>
          </c:extLst>
        </c:ser>
        <c:dLbls>
          <c:showLegendKey val="0"/>
          <c:showVal val="0"/>
          <c:showCatName val="0"/>
          <c:showSerName val="0"/>
          <c:showPercent val="0"/>
          <c:showBubbleSize val="0"/>
        </c:dLbls>
        <c:gapWidth val="100"/>
        <c:overlap val="-24"/>
        <c:axId val="1852959007"/>
        <c:axId val="1852971487"/>
      </c:barChart>
      <c:catAx>
        <c:axId val="185295900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2971487"/>
        <c:crosses val="autoZero"/>
        <c:auto val="1"/>
        <c:lblAlgn val="ctr"/>
        <c:lblOffset val="100"/>
        <c:noMultiLvlLbl val="0"/>
      </c:catAx>
      <c:valAx>
        <c:axId val="185297148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295900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[OC_auto dashboard.xlsx]Sheet5!PivotTable10</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Win Average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Sheet5!$A$4:$A$8</c:f>
              <c:strCache>
                <c:ptCount val="4"/>
                <c:pt idx="0">
                  <c:v>Eastern Sunrise</c:v>
                </c:pt>
                <c:pt idx="1">
                  <c:v>Northern Tundra</c:v>
                </c:pt>
                <c:pt idx="2">
                  <c:v>Southern Isles</c:v>
                </c:pt>
                <c:pt idx="3">
                  <c:v>Western Citadel</c:v>
                </c:pt>
              </c:strCache>
            </c:strRef>
          </c:cat>
          <c:val>
            <c:numRef>
              <c:f>Sheet5!$B$4:$B$8</c:f>
              <c:numCache>
                <c:formatCode>General</c:formatCode>
                <c:ptCount val="4"/>
                <c:pt idx="0">
                  <c:v>0.628616304347826</c:v>
                </c:pt>
                <c:pt idx="1">
                  <c:v>0.61811649484536069</c:v>
                </c:pt>
                <c:pt idx="2">
                  <c:v>0.61907525773195904</c:v>
                </c:pt>
                <c:pt idx="3">
                  <c:v>0.63737870370370386</c:v>
                </c:pt>
              </c:numCache>
            </c:numRef>
          </c:val>
          <c:extLst>
            <c:ext xmlns:c16="http://schemas.microsoft.com/office/drawing/2014/chart" uri="{C3380CC4-5D6E-409C-BE32-E72D297353CC}">
              <c16:uniqueId val="{00000000-EB2A-4C8F-AB98-CAC12368793B}"/>
            </c:ext>
          </c:extLst>
        </c:ser>
        <c:dLbls>
          <c:showLegendKey val="0"/>
          <c:showVal val="0"/>
          <c:showCatName val="0"/>
          <c:showSerName val="0"/>
          <c:showPercent val="0"/>
          <c:showBubbleSize val="0"/>
        </c:dLbls>
        <c:gapWidth val="115"/>
        <c:overlap val="-20"/>
        <c:axId val="1852983007"/>
        <c:axId val="1852983487"/>
      </c:barChart>
      <c:catAx>
        <c:axId val="185298300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2983487"/>
        <c:crosses val="autoZero"/>
        <c:auto val="1"/>
        <c:lblAlgn val="ctr"/>
        <c:lblOffset val="100"/>
        <c:noMultiLvlLbl val="0"/>
      </c:catAx>
      <c:valAx>
        <c:axId val="185298348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2983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[OC_auto dashboard.xlsx]Sheet6!PivotTable11</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Sheet6!$B$3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0EE-41DF-AB1C-01B444DDCFA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0EE-41DF-AB1C-01B444DDCFA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0EE-41DF-AB1C-01B444DDCFA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0EE-41DF-AB1C-01B444DDCFA1}"/>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20EE-41DF-AB1C-01B444DDCFA1}"/>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20EE-41DF-AB1C-01B444DDCFA1}"/>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20EE-41DF-AB1C-01B444DDCFA1}"/>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Sheet6!$A$4:$A$11</c:f>
              <c:strCache>
                <c:ptCount val="7"/>
                <c:pt idx="0">
                  <c:v>Brawler</c:v>
                </c:pt>
                <c:pt idx="1">
                  <c:v>Elite Spy</c:v>
                </c:pt>
                <c:pt idx="2">
                  <c:v>Ranger</c:v>
                </c:pt>
                <c:pt idx="3">
                  <c:v>Reguler</c:v>
                </c:pt>
                <c:pt idx="4">
                  <c:v>Squad Inti</c:v>
                </c:pt>
                <c:pt idx="5">
                  <c:v>Tactician</c:v>
                </c:pt>
                <c:pt idx="6">
                  <c:v>Tanker</c:v>
                </c:pt>
              </c:strCache>
            </c:strRef>
          </c:cat>
          <c:val>
            <c:numRef>
              <c:f>Sheet6!$B$4:$B$11</c:f>
              <c:numCache>
                <c:formatCode>General</c:formatCode>
                <c:ptCount val="7"/>
                <c:pt idx="0">
                  <c:v>51</c:v>
                </c:pt>
                <c:pt idx="1">
                  <c:v>53</c:v>
                </c:pt>
                <c:pt idx="2">
                  <c:v>43</c:v>
                </c:pt>
                <c:pt idx="3">
                  <c:v>60</c:v>
                </c:pt>
                <c:pt idx="4">
                  <c:v>58</c:v>
                </c:pt>
                <c:pt idx="5">
                  <c:v>67</c:v>
                </c:pt>
                <c:pt idx="6">
                  <c:v>62</c:v>
                </c:pt>
              </c:numCache>
            </c:numRef>
          </c:val>
          <c:extLst>
            <c:ext xmlns:c16="http://schemas.microsoft.com/office/drawing/2014/chart" uri="{C3380CC4-5D6E-409C-BE32-E72D297353CC}">
              <c16:uniqueId val="{0000000E-20EE-41DF-AB1C-01B444DDCFA1}"/>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ATK vs DEF</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v>Eastern Sunrise</c:v>
          </c:tx>
          <c:spPr>
            <a:ln w="25400" cap="rnd">
              <a:noFill/>
              <a:round/>
            </a:ln>
            <a:effectLst>
              <a:outerShdw blurRad="57150" dist="19050" dir="5400000" algn="ctr" rotWithShape="0">
                <a:srgbClr val="000000">
                  <a:alpha val="63000"/>
                </a:srgbClr>
              </a:outerShdw>
            </a:effectLst>
          </c:spPr>
          <c:marker>
            <c:symbol val="circle"/>
            <c:size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xVal>
            <c:numRef>
              <c:f>Scatter_helper!$A$3:$A$129</c:f>
              <c:numCache>
                <c:formatCode>General</c:formatCode>
                <c:ptCount val="127"/>
                <c:pt idx="0">
                  <c:v>90</c:v>
                </c:pt>
                <c:pt idx="1">
                  <c:v>84</c:v>
                </c:pt>
                <c:pt idx="2">
                  <c:v>92</c:v>
                </c:pt>
                <c:pt idx="3">
                  <c:v>80</c:v>
                </c:pt>
                <c:pt idx="4">
                  <c:v>75</c:v>
                </c:pt>
                <c:pt idx="5">
                  <c:v>87</c:v>
                </c:pt>
                <c:pt idx="6">
                  <c:v>70</c:v>
                </c:pt>
                <c:pt idx="7">
                  <c:v>85</c:v>
                </c:pt>
                <c:pt idx="8">
                  <c:v>21</c:v>
                </c:pt>
                <c:pt idx="9">
                  <c:v>43</c:v>
                </c:pt>
                <c:pt idx="10">
                  <c:v>14</c:v>
                </c:pt>
                <c:pt idx="11">
                  <c:v>38</c:v>
                </c:pt>
                <c:pt idx="12">
                  <c:v>76</c:v>
                </c:pt>
                <c:pt idx="13">
                  <c:v>92</c:v>
                </c:pt>
                <c:pt idx="14">
                  <c:v>28</c:v>
                </c:pt>
                <c:pt idx="15">
                  <c:v>98</c:v>
                </c:pt>
                <c:pt idx="16">
                  <c:v>18</c:v>
                </c:pt>
                <c:pt idx="17">
                  <c:v>39</c:v>
                </c:pt>
                <c:pt idx="18">
                  <c:v>78</c:v>
                </c:pt>
                <c:pt idx="19">
                  <c:v>50</c:v>
                </c:pt>
                <c:pt idx="20">
                  <c:v>74</c:v>
                </c:pt>
                <c:pt idx="21">
                  <c:v>34</c:v>
                </c:pt>
                <c:pt idx="22">
                  <c:v>71</c:v>
                </c:pt>
                <c:pt idx="23">
                  <c:v>93</c:v>
                </c:pt>
                <c:pt idx="24">
                  <c:v>18</c:v>
                </c:pt>
                <c:pt idx="25">
                  <c:v>35</c:v>
                </c:pt>
                <c:pt idx="26">
                  <c:v>53</c:v>
                </c:pt>
                <c:pt idx="27">
                  <c:v>8</c:v>
                </c:pt>
                <c:pt idx="28">
                  <c:v>85</c:v>
                </c:pt>
                <c:pt idx="29">
                  <c:v>15</c:v>
                </c:pt>
                <c:pt idx="30">
                  <c:v>26</c:v>
                </c:pt>
                <c:pt idx="31">
                  <c:v>46</c:v>
                </c:pt>
                <c:pt idx="32">
                  <c:v>50</c:v>
                </c:pt>
                <c:pt idx="33">
                  <c:v>89</c:v>
                </c:pt>
                <c:pt idx="34">
                  <c:v>56</c:v>
                </c:pt>
                <c:pt idx="35">
                  <c:v>88</c:v>
                </c:pt>
                <c:pt idx="36">
                  <c:v>91</c:v>
                </c:pt>
                <c:pt idx="37">
                  <c:v>91</c:v>
                </c:pt>
                <c:pt idx="38">
                  <c:v>33</c:v>
                </c:pt>
                <c:pt idx="39">
                  <c:v>48</c:v>
                </c:pt>
                <c:pt idx="40">
                  <c:v>62</c:v>
                </c:pt>
                <c:pt idx="41">
                  <c:v>10</c:v>
                </c:pt>
                <c:pt idx="42">
                  <c:v>87</c:v>
                </c:pt>
                <c:pt idx="43">
                  <c:v>38</c:v>
                </c:pt>
                <c:pt idx="44">
                  <c:v>19</c:v>
                </c:pt>
                <c:pt idx="45">
                  <c:v>82</c:v>
                </c:pt>
                <c:pt idx="46">
                  <c:v>86</c:v>
                </c:pt>
                <c:pt idx="47">
                  <c:v>36</c:v>
                </c:pt>
                <c:pt idx="48">
                  <c:v>34</c:v>
                </c:pt>
                <c:pt idx="49">
                  <c:v>62</c:v>
                </c:pt>
                <c:pt idx="50">
                  <c:v>20</c:v>
                </c:pt>
                <c:pt idx="51">
                  <c:v>16</c:v>
                </c:pt>
                <c:pt idx="52">
                  <c:v>72</c:v>
                </c:pt>
                <c:pt idx="53">
                  <c:v>71</c:v>
                </c:pt>
                <c:pt idx="54">
                  <c:v>89</c:v>
                </c:pt>
                <c:pt idx="55">
                  <c:v>23</c:v>
                </c:pt>
                <c:pt idx="56">
                  <c:v>93</c:v>
                </c:pt>
                <c:pt idx="57">
                  <c:v>43</c:v>
                </c:pt>
                <c:pt idx="58">
                  <c:v>64</c:v>
                </c:pt>
                <c:pt idx="59">
                  <c:v>55</c:v>
                </c:pt>
                <c:pt idx="60">
                  <c:v>48</c:v>
                </c:pt>
                <c:pt idx="61">
                  <c:v>86</c:v>
                </c:pt>
                <c:pt idx="62">
                  <c:v>61</c:v>
                </c:pt>
                <c:pt idx="63">
                  <c:v>42</c:v>
                </c:pt>
                <c:pt idx="64">
                  <c:v>24</c:v>
                </c:pt>
                <c:pt idx="65">
                  <c:v>33</c:v>
                </c:pt>
                <c:pt idx="66">
                  <c:v>9</c:v>
                </c:pt>
                <c:pt idx="67">
                  <c:v>31</c:v>
                </c:pt>
                <c:pt idx="68">
                  <c:v>11</c:v>
                </c:pt>
                <c:pt idx="69">
                  <c:v>95</c:v>
                </c:pt>
                <c:pt idx="70">
                  <c:v>30</c:v>
                </c:pt>
                <c:pt idx="71">
                  <c:v>19</c:v>
                </c:pt>
                <c:pt idx="72">
                  <c:v>94</c:v>
                </c:pt>
                <c:pt idx="73">
                  <c:v>39</c:v>
                </c:pt>
                <c:pt idx="74">
                  <c:v>80</c:v>
                </c:pt>
                <c:pt idx="75">
                  <c:v>17</c:v>
                </c:pt>
                <c:pt idx="76">
                  <c:v>25</c:v>
                </c:pt>
                <c:pt idx="77">
                  <c:v>42</c:v>
                </c:pt>
                <c:pt idx="78">
                  <c:v>30</c:v>
                </c:pt>
                <c:pt idx="79">
                  <c:v>42</c:v>
                </c:pt>
                <c:pt idx="80">
                  <c:v>34</c:v>
                </c:pt>
                <c:pt idx="81">
                  <c:v>53</c:v>
                </c:pt>
                <c:pt idx="82">
                  <c:v>41</c:v>
                </c:pt>
                <c:pt idx="83">
                  <c:v>67</c:v>
                </c:pt>
                <c:pt idx="84">
                  <c:v>8</c:v>
                </c:pt>
                <c:pt idx="85">
                  <c:v>85</c:v>
                </c:pt>
                <c:pt idx="86">
                  <c:v>66</c:v>
                </c:pt>
                <c:pt idx="87">
                  <c:v>63</c:v>
                </c:pt>
                <c:pt idx="88">
                  <c:v>76</c:v>
                </c:pt>
                <c:pt idx="89">
                  <c:v>42</c:v>
                </c:pt>
                <c:pt idx="90">
                  <c:v>20</c:v>
                </c:pt>
                <c:pt idx="91">
                  <c:v>79</c:v>
                </c:pt>
                <c:pt idx="92">
                  <c:v>16</c:v>
                </c:pt>
                <c:pt idx="93">
                  <c:v>78</c:v>
                </c:pt>
                <c:pt idx="94">
                  <c:v>49</c:v>
                </c:pt>
                <c:pt idx="95">
                  <c:v>42</c:v>
                </c:pt>
                <c:pt idx="96">
                  <c:v>13</c:v>
                </c:pt>
                <c:pt idx="97">
                  <c:v>62</c:v>
                </c:pt>
                <c:pt idx="98">
                  <c:v>60</c:v>
                </c:pt>
                <c:pt idx="99">
                  <c:v>87</c:v>
                </c:pt>
                <c:pt idx="100">
                  <c:v>60</c:v>
                </c:pt>
                <c:pt idx="101">
                  <c:v>32</c:v>
                </c:pt>
                <c:pt idx="102">
                  <c:v>83</c:v>
                </c:pt>
                <c:pt idx="103">
                  <c:v>11</c:v>
                </c:pt>
                <c:pt idx="104">
                  <c:v>63</c:v>
                </c:pt>
                <c:pt idx="105">
                  <c:v>44</c:v>
                </c:pt>
                <c:pt idx="106">
                  <c:v>57</c:v>
                </c:pt>
                <c:pt idx="107">
                  <c:v>79</c:v>
                </c:pt>
                <c:pt idx="108">
                  <c:v>8</c:v>
                </c:pt>
                <c:pt idx="109">
                  <c:v>42</c:v>
                </c:pt>
                <c:pt idx="110">
                  <c:v>59</c:v>
                </c:pt>
                <c:pt idx="111">
                  <c:v>21</c:v>
                </c:pt>
                <c:pt idx="112">
                  <c:v>54</c:v>
                </c:pt>
                <c:pt idx="113">
                  <c:v>65</c:v>
                </c:pt>
                <c:pt idx="114">
                  <c:v>94</c:v>
                </c:pt>
                <c:pt idx="115">
                  <c:v>82</c:v>
                </c:pt>
                <c:pt idx="116">
                  <c:v>12</c:v>
                </c:pt>
                <c:pt idx="117">
                  <c:v>2</c:v>
                </c:pt>
                <c:pt idx="118">
                  <c:v>15</c:v>
                </c:pt>
                <c:pt idx="119">
                  <c:v>40</c:v>
                </c:pt>
                <c:pt idx="120">
                  <c:v>44</c:v>
                </c:pt>
                <c:pt idx="121">
                  <c:v>5</c:v>
                </c:pt>
                <c:pt idx="122">
                  <c:v>76</c:v>
                </c:pt>
                <c:pt idx="123">
                  <c:v>24</c:v>
                </c:pt>
                <c:pt idx="124">
                  <c:v>54</c:v>
                </c:pt>
                <c:pt idx="125">
                  <c:v>6</c:v>
                </c:pt>
                <c:pt idx="126">
                  <c:v>78</c:v>
                </c:pt>
              </c:numCache>
            </c:numRef>
          </c:xVal>
          <c:yVal>
            <c:numRef>
              <c:f>Scatter_helper!$B$3:$B$129</c:f>
              <c:numCache>
                <c:formatCode>General</c:formatCode>
                <c:ptCount val="127"/>
                <c:pt idx="0">
                  <c:v>75</c:v>
                </c:pt>
                <c:pt idx="1">
                  <c:v>65</c:v>
                </c:pt>
                <c:pt idx="2">
                  <c:v>58</c:v>
                </c:pt>
                <c:pt idx="3">
                  <c:v>78</c:v>
                </c:pt>
                <c:pt idx="4">
                  <c:v>70</c:v>
                </c:pt>
                <c:pt idx="5">
                  <c:v>65</c:v>
                </c:pt>
                <c:pt idx="6">
                  <c:v>60</c:v>
                </c:pt>
                <c:pt idx="7">
                  <c:v>70</c:v>
                </c:pt>
                <c:pt idx="8">
                  <c:v>47</c:v>
                </c:pt>
                <c:pt idx="9">
                  <c:v>10</c:v>
                </c:pt>
                <c:pt idx="10">
                  <c:v>87</c:v>
                </c:pt>
                <c:pt idx="11">
                  <c:v>56</c:v>
                </c:pt>
                <c:pt idx="12">
                  <c:v>62</c:v>
                </c:pt>
                <c:pt idx="13">
                  <c:v>80</c:v>
                </c:pt>
                <c:pt idx="14">
                  <c:v>23</c:v>
                </c:pt>
                <c:pt idx="15">
                  <c:v>8</c:v>
                </c:pt>
                <c:pt idx="16">
                  <c:v>48</c:v>
                </c:pt>
                <c:pt idx="17">
                  <c:v>37</c:v>
                </c:pt>
                <c:pt idx="18">
                  <c:v>11</c:v>
                </c:pt>
                <c:pt idx="19">
                  <c:v>72</c:v>
                </c:pt>
                <c:pt idx="20">
                  <c:v>49</c:v>
                </c:pt>
                <c:pt idx="21">
                  <c:v>22</c:v>
                </c:pt>
                <c:pt idx="22">
                  <c:v>79</c:v>
                </c:pt>
                <c:pt idx="23">
                  <c:v>7</c:v>
                </c:pt>
                <c:pt idx="24">
                  <c:v>39</c:v>
                </c:pt>
                <c:pt idx="25">
                  <c:v>68</c:v>
                </c:pt>
                <c:pt idx="26">
                  <c:v>29</c:v>
                </c:pt>
                <c:pt idx="27">
                  <c:v>25</c:v>
                </c:pt>
                <c:pt idx="28">
                  <c:v>74</c:v>
                </c:pt>
                <c:pt idx="29">
                  <c:v>12</c:v>
                </c:pt>
                <c:pt idx="30">
                  <c:v>25</c:v>
                </c:pt>
                <c:pt idx="31">
                  <c:v>81</c:v>
                </c:pt>
                <c:pt idx="32">
                  <c:v>55</c:v>
                </c:pt>
                <c:pt idx="33">
                  <c:v>56</c:v>
                </c:pt>
                <c:pt idx="34">
                  <c:v>11</c:v>
                </c:pt>
                <c:pt idx="35">
                  <c:v>90</c:v>
                </c:pt>
                <c:pt idx="36">
                  <c:v>42</c:v>
                </c:pt>
                <c:pt idx="37">
                  <c:v>84</c:v>
                </c:pt>
                <c:pt idx="38">
                  <c:v>97</c:v>
                </c:pt>
                <c:pt idx="39">
                  <c:v>58</c:v>
                </c:pt>
                <c:pt idx="40">
                  <c:v>41</c:v>
                </c:pt>
                <c:pt idx="41">
                  <c:v>6</c:v>
                </c:pt>
                <c:pt idx="42">
                  <c:v>49</c:v>
                </c:pt>
                <c:pt idx="43">
                  <c:v>34</c:v>
                </c:pt>
                <c:pt idx="44">
                  <c:v>19</c:v>
                </c:pt>
                <c:pt idx="45">
                  <c:v>96</c:v>
                </c:pt>
                <c:pt idx="46">
                  <c:v>7</c:v>
                </c:pt>
                <c:pt idx="47">
                  <c:v>37</c:v>
                </c:pt>
                <c:pt idx="48">
                  <c:v>23</c:v>
                </c:pt>
                <c:pt idx="49">
                  <c:v>35</c:v>
                </c:pt>
                <c:pt idx="50">
                  <c:v>77</c:v>
                </c:pt>
                <c:pt idx="51">
                  <c:v>3</c:v>
                </c:pt>
                <c:pt idx="52">
                  <c:v>72</c:v>
                </c:pt>
                <c:pt idx="53">
                  <c:v>91</c:v>
                </c:pt>
                <c:pt idx="54">
                  <c:v>65</c:v>
                </c:pt>
                <c:pt idx="55">
                  <c:v>57</c:v>
                </c:pt>
                <c:pt idx="56">
                  <c:v>57</c:v>
                </c:pt>
                <c:pt idx="57">
                  <c:v>96</c:v>
                </c:pt>
                <c:pt idx="58">
                  <c:v>69</c:v>
                </c:pt>
                <c:pt idx="59">
                  <c:v>52</c:v>
                </c:pt>
                <c:pt idx="60">
                  <c:v>77</c:v>
                </c:pt>
                <c:pt idx="61">
                  <c:v>89</c:v>
                </c:pt>
                <c:pt idx="62">
                  <c:v>47</c:v>
                </c:pt>
                <c:pt idx="63">
                  <c:v>71</c:v>
                </c:pt>
                <c:pt idx="64">
                  <c:v>15</c:v>
                </c:pt>
                <c:pt idx="65">
                  <c:v>93</c:v>
                </c:pt>
                <c:pt idx="66">
                  <c:v>22</c:v>
                </c:pt>
                <c:pt idx="67">
                  <c:v>54</c:v>
                </c:pt>
                <c:pt idx="68">
                  <c:v>96</c:v>
                </c:pt>
                <c:pt idx="69">
                  <c:v>34</c:v>
                </c:pt>
                <c:pt idx="70">
                  <c:v>30</c:v>
                </c:pt>
                <c:pt idx="71">
                  <c:v>68</c:v>
                </c:pt>
                <c:pt idx="72">
                  <c:v>8</c:v>
                </c:pt>
                <c:pt idx="73">
                  <c:v>11</c:v>
                </c:pt>
                <c:pt idx="74">
                  <c:v>30</c:v>
                </c:pt>
                <c:pt idx="75">
                  <c:v>13</c:v>
                </c:pt>
                <c:pt idx="76">
                  <c:v>75</c:v>
                </c:pt>
                <c:pt idx="77">
                  <c:v>20</c:v>
                </c:pt>
                <c:pt idx="78">
                  <c:v>45</c:v>
                </c:pt>
                <c:pt idx="79">
                  <c:v>10</c:v>
                </c:pt>
                <c:pt idx="80">
                  <c:v>15</c:v>
                </c:pt>
                <c:pt idx="81">
                  <c:v>10</c:v>
                </c:pt>
                <c:pt idx="82">
                  <c:v>12</c:v>
                </c:pt>
                <c:pt idx="83">
                  <c:v>59</c:v>
                </c:pt>
                <c:pt idx="84">
                  <c:v>78</c:v>
                </c:pt>
                <c:pt idx="85">
                  <c:v>28</c:v>
                </c:pt>
                <c:pt idx="86">
                  <c:v>34</c:v>
                </c:pt>
                <c:pt idx="87">
                  <c:v>32</c:v>
                </c:pt>
                <c:pt idx="88">
                  <c:v>51</c:v>
                </c:pt>
                <c:pt idx="89">
                  <c:v>59</c:v>
                </c:pt>
                <c:pt idx="90">
                  <c:v>5</c:v>
                </c:pt>
                <c:pt idx="91">
                  <c:v>61</c:v>
                </c:pt>
                <c:pt idx="92">
                  <c:v>6</c:v>
                </c:pt>
                <c:pt idx="93">
                  <c:v>66</c:v>
                </c:pt>
                <c:pt idx="94">
                  <c:v>34</c:v>
                </c:pt>
                <c:pt idx="95">
                  <c:v>68</c:v>
                </c:pt>
                <c:pt idx="96">
                  <c:v>5</c:v>
                </c:pt>
                <c:pt idx="97">
                  <c:v>94</c:v>
                </c:pt>
                <c:pt idx="98">
                  <c:v>30</c:v>
                </c:pt>
                <c:pt idx="99">
                  <c:v>57</c:v>
                </c:pt>
                <c:pt idx="100">
                  <c:v>53</c:v>
                </c:pt>
                <c:pt idx="101">
                  <c:v>35</c:v>
                </c:pt>
                <c:pt idx="102">
                  <c:v>77</c:v>
                </c:pt>
                <c:pt idx="103">
                  <c:v>85</c:v>
                </c:pt>
                <c:pt idx="104">
                  <c:v>7</c:v>
                </c:pt>
                <c:pt idx="105">
                  <c:v>64</c:v>
                </c:pt>
                <c:pt idx="106">
                  <c:v>61</c:v>
                </c:pt>
                <c:pt idx="107">
                  <c:v>24</c:v>
                </c:pt>
                <c:pt idx="108">
                  <c:v>97</c:v>
                </c:pt>
                <c:pt idx="109">
                  <c:v>96</c:v>
                </c:pt>
                <c:pt idx="110">
                  <c:v>18</c:v>
                </c:pt>
                <c:pt idx="111">
                  <c:v>51</c:v>
                </c:pt>
                <c:pt idx="112">
                  <c:v>64</c:v>
                </c:pt>
                <c:pt idx="113">
                  <c:v>72</c:v>
                </c:pt>
                <c:pt idx="114">
                  <c:v>58</c:v>
                </c:pt>
                <c:pt idx="115">
                  <c:v>68</c:v>
                </c:pt>
                <c:pt idx="116">
                  <c:v>2</c:v>
                </c:pt>
                <c:pt idx="117">
                  <c:v>42</c:v>
                </c:pt>
                <c:pt idx="118">
                  <c:v>18</c:v>
                </c:pt>
                <c:pt idx="119">
                  <c:v>84</c:v>
                </c:pt>
                <c:pt idx="120">
                  <c:v>2</c:v>
                </c:pt>
                <c:pt idx="121">
                  <c:v>71</c:v>
                </c:pt>
                <c:pt idx="122">
                  <c:v>76</c:v>
                </c:pt>
                <c:pt idx="123">
                  <c:v>81</c:v>
                </c:pt>
                <c:pt idx="124">
                  <c:v>96</c:v>
                </c:pt>
                <c:pt idx="125">
                  <c:v>31</c:v>
                </c:pt>
                <c:pt idx="126">
                  <c:v>35</c:v>
                </c:pt>
              </c:numCache>
            </c:numRef>
          </c:yVal>
          <c:smooth val="0"/>
          <c:extLst>
            <c:ext xmlns:c16="http://schemas.microsoft.com/office/drawing/2014/chart" uri="{C3380CC4-5D6E-409C-BE32-E72D297353CC}">
              <c16:uniqueId val="{00000000-48E4-4BA2-81C9-56A99ED9870C}"/>
            </c:ext>
          </c:extLst>
        </c:ser>
        <c:ser>
          <c:idx val="1"/>
          <c:order val="1"/>
          <c:tx>
            <c:v>Northern  Tundra</c:v>
          </c:tx>
          <c:spPr>
            <a:ln w="25400" cap="rnd">
              <a:noFill/>
              <a:round/>
            </a:ln>
            <a:effectLst>
              <a:outerShdw blurRad="57150" dist="19050" dir="5400000" algn="ctr" rotWithShape="0">
                <a:srgbClr val="000000">
                  <a:alpha val="63000"/>
                </a:srgbClr>
              </a:outerShdw>
            </a:effectLst>
          </c:spPr>
          <c:marker>
            <c:symbol val="circle"/>
            <c:size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cap="rnd">
                <a:solidFill>
                  <a:schemeClr val="accent2"/>
                </a:solidFill>
                <a:round/>
              </a:ln>
              <a:effectLst>
                <a:outerShdw blurRad="57150" dist="19050" dir="5400000" algn="ctr" rotWithShape="0">
                  <a:srgbClr val="000000">
                    <a:alpha val="63000"/>
                  </a:srgbClr>
                </a:outerShdw>
              </a:effectLst>
            </c:spPr>
          </c:marker>
          <c:xVal>
            <c:numRef>
              <c:f>Scatter_helper!$D$3:$D$151</c:f>
              <c:numCache>
                <c:formatCode>General</c:formatCode>
                <c:ptCount val="149"/>
                <c:pt idx="0">
                  <c:v>85</c:v>
                </c:pt>
                <c:pt idx="1">
                  <c:v>88</c:v>
                </c:pt>
                <c:pt idx="2">
                  <c:v>80</c:v>
                </c:pt>
                <c:pt idx="3">
                  <c:v>70</c:v>
                </c:pt>
                <c:pt idx="4">
                  <c:v>82</c:v>
                </c:pt>
                <c:pt idx="5">
                  <c:v>98</c:v>
                </c:pt>
                <c:pt idx="6">
                  <c:v>95</c:v>
                </c:pt>
                <c:pt idx="7">
                  <c:v>60</c:v>
                </c:pt>
                <c:pt idx="8">
                  <c:v>80</c:v>
                </c:pt>
                <c:pt idx="9">
                  <c:v>75</c:v>
                </c:pt>
                <c:pt idx="10">
                  <c:v>74</c:v>
                </c:pt>
                <c:pt idx="11">
                  <c:v>52</c:v>
                </c:pt>
                <c:pt idx="12">
                  <c:v>66</c:v>
                </c:pt>
                <c:pt idx="13">
                  <c:v>57</c:v>
                </c:pt>
                <c:pt idx="14">
                  <c:v>23</c:v>
                </c:pt>
                <c:pt idx="15">
                  <c:v>60</c:v>
                </c:pt>
                <c:pt idx="16">
                  <c:v>44</c:v>
                </c:pt>
                <c:pt idx="17">
                  <c:v>34</c:v>
                </c:pt>
                <c:pt idx="18">
                  <c:v>73</c:v>
                </c:pt>
                <c:pt idx="19">
                  <c:v>65</c:v>
                </c:pt>
                <c:pt idx="20">
                  <c:v>98</c:v>
                </c:pt>
                <c:pt idx="21">
                  <c:v>27</c:v>
                </c:pt>
                <c:pt idx="22">
                  <c:v>79</c:v>
                </c:pt>
                <c:pt idx="23">
                  <c:v>2</c:v>
                </c:pt>
                <c:pt idx="24">
                  <c:v>71</c:v>
                </c:pt>
                <c:pt idx="25">
                  <c:v>96</c:v>
                </c:pt>
                <c:pt idx="26">
                  <c:v>39</c:v>
                </c:pt>
                <c:pt idx="27">
                  <c:v>43</c:v>
                </c:pt>
                <c:pt idx="28">
                  <c:v>99</c:v>
                </c:pt>
                <c:pt idx="29">
                  <c:v>5</c:v>
                </c:pt>
                <c:pt idx="30">
                  <c:v>93</c:v>
                </c:pt>
                <c:pt idx="31">
                  <c:v>80</c:v>
                </c:pt>
                <c:pt idx="32">
                  <c:v>59</c:v>
                </c:pt>
                <c:pt idx="33">
                  <c:v>32</c:v>
                </c:pt>
                <c:pt idx="34">
                  <c:v>60</c:v>
                </c:pt>
                <c:pt idx="35">
                  <c:v>83</c:v>
                </c:pt>
                <c:pt idx="36">
                  <c:v>58</c:v>
                </c:pt>
                <c:pt idx="37">
                  <c:v>63</c:v>
                </c:pt>
                <c:pt idx="38">
                  <c:v>51</c:v>
                </c:pt>
                <c:pt idx="39">
                  <c:v>30</c:v>
                </c:pt>
                <c:pt idx="40">
                  <c:v>91</c:v>
                </c:pt>
                <c:pt idx="41">
                  <c:v>66</c:v>
                </c:pt>
                <c:pt idx="42">
                  <c:v>30</c:v>
                </c:pt>
                <c:pt idx="43">
                  <c:v>57</c:v>
                </c:pt>
                <c:pt idx="44">
                  <c:v>36</c:v>
                </c:pt>
                <c:pt idx="45">
                  <c:v>47</c:v>
                </c:pt>
                <c:pt idx="46">
                  <c:v>53</c:v>
                </c:pt>
                <c:pt idx="47">
                  <c:v>2</c:v>
                </c:pt>
                <c:pt idx="48">
                  <c:v>12</c:v>
                </c:pt>
                <c:pt idx="49">
                  <c:v>17</c:v>
                </c:pt>
                <c:pt idx="50">
                  <c:v>40</c:v>
                </c:pt>
                <c:pt idx="51">
                  <c:v>23</c:v>
                </c:pt>
                <c:pt idx="52">
                  <c:v>47</c:v>
                </c:pt>
                <c:pt idx="53">
                  <c:v>30</c:v>
                </c:pt>
                <c:pt idx="54">
                  <c:v>34</c:v>
                </c:pt>
                <c:pt idx="55">
                  <c:v>87</c:v>
                </c:pt>
                <c:pt idx="56">
                  <c:v>94</c:v>
                </c:pt>
                <c:pt idx="57">
                  <c:v>6</c:v>
                </c:pt>
                <c:pt idx="58">
                  <c:v>89</c:v>
                </c:pt>
                <c:pt idx="59">
                  <c:v>27</c:v>
                </c:pt>
                <c:pt idx="60">
                  <c:v>79</c:v>
                </c:pt>
                <c:pt idx="61">
                  <c:v>35</c:v>
                </c:pt>
                <c:pt idx="62">
                  <c:v>83</c:v>
                </c:pt>
                <c:pt idx="63">
                  <c:v>59</c:v>
                </c:pt>
                <c:pt idx="64">
                  <c:v>93</c:v>
                </c:pt>
                <c:pt idx="65">
                  <c:v>32</c:v>
                </c:pt>
                <c:pt idx="66">
                  <c:v>34</c:v>
                </c:pt>
                <c:pt idx="67">
                  <c:v>52</c:v>
                </c:pt>
                <c:pt idx="68">
                  <c:v>19</c:v>
                </c:pt>
                <c:pt idx="69">
                  <c:v>89</c:v>
                </c:pt>
                <c:pt idx="70">
                  <c:v>74</c:v>
                </c:pt>
                <c:pt idx="71">
                  <c:v>89</c:v>
                </c:pt>
                <c:pt idx="72">
                  <c:v>71</c:v>
                </c:pt>
                <c:pt idx="73">
                  <c:v>41</c:v>
                </c:pt>
                <c:pt idx="74">
                  <c:v>37</c:v>
                </c:pt>
                <c:pt idx="75">
                  <c:v>59</c:v>
                </c:pt>
                <c:pt idx="76">
                  <c:v>81</c:v>
                </c:pt>
                <c:pt idx="77">
                  <c:v>54</c:v>
                </c:pt>
                <c:pt idx="78">
                  <c:v>7</c:v>
                </c:pt>
                <c:pt idx="79">
                  <c:v>100</c:v>
                </c:pt>
                <c:pt idx="80">
                  <c:v>59</c:v>
                </c:pt>
                <c:pt idx="81">
                  <c:v>23</c:v>
                </c:pt>
                <c:pt idx="82">
                  <c:v>23</c:v>
                </c:pt>
                <c:pt idx="83">
                  <c:v>67</c:v>
                </c:pt>
                <c:pt idx="84">
                  <c:v>18</c:v>
                </c:pt>
                <c:pt idx="85">
                  <c:v>10</c:v>
                </c:pt>
                <c:pt idx="86">
                  <c:v>6</c:v>
                </c:pt>
                <c:pt idx="87">
                  <c:v>45</c:v>
                </c:pt>
                <c:pt idx="88">
                  <c:v>60</c:v>
                </c:pt>
                <c:pt idx="89">
                  <c:v>55</c:v>
                </c:pt>
                <c:pt idx="90">
                  <c:v>76</c:v>
                </c:pt>
                <c:pt idx="91">
                  <c:v>62</c:v>
                </c:pt>
                <c:pt idx="92">
                  <c:v>68</c:v>
                </c:pt>
                <c:pt idx="93">
                  <c:v>95</c:v>
                </c:pt>
                <c:pt idx="94">
                  <c:v>6</c:v>
                </c:pt>
                <c:pt idx="95">
                  <c:v>32</c:v>
                </c:pt>
                <c:pt idx="96">
                  <c:v>29</c:v>
                </c:pt>
                <c:pt idx="97">
                  <c:v>18</c:v>
                </c:pt>
                <c:pt idx="98">
                  <c:v>31</c:v>
                </c:pt>
                <c:pt idx="99">
                  <c:v>38</c:v>
                </c:pt>
                <c:pt idx="100">
                  <c:v>35</c:v>
                </c:pt>
                <c:pt idx="101">
                  <c:v>67</c:v>
                </c:pt>
                <c:pt idx="102">
                  <c:v>35</c:v>
                </c:pt>
                <c:pt idx="103">
                  <c:v>7</c:v>
                </c:pt>
                <c:pt idx="104">
                  <c:v>72</c:v>
                </c:pt>
                <c:pt idx="105">
                  <c:v>51</c:v>
                </c:pt>
                <c:pt idx="106">
                  <c:v>7</c:v>
                </c:pt>
                <c:pt idx="107">
                  <c:v>55</c:v>
                </c:pt>
                <c:pt idx="108">
                  <c:v>40</c:v>
                </c:pt>
                <c:pt idx="109">
                  <c:v>42</c:v>
                </c:pt>
                <c:pt idx="110">
                  <c:v>36</c:v>
                </c:pt>
                <c:pt idx="111">
                  <c:v>46</c:v>
                </c:pt>
                <c:pt idx="112">
                  <c:v>44</c:v>
                </c:pt>
                <c:pt idx="113">
                  <c:v>32</c:v>
                </c:pt>
                <c:pt idx="114">
                  <c:v>69</c:v>
                </c:pt>
                <c:pt idx="115">
                  <c:v>92</c:v>
                </c:pt>
                <c:pt idx="116">
                  <c:v>66</c:v>
                </c:pt>
                <c:pt idx="117">
                  <c:v>71</c:v>
                </c:pt>
                <c:pt idx="118">
                  <c:v>34</c:v>
                </c:pt>
                <c:pt idx="119">
                  <c:v>73</c:v>
                </c:pt>
                <c:pt idx="120">
                  <c:v>15</c:v>
                </c:pt>
                <c:pt idx="121">
                  <c:v>80</c:v>
                </c:pt>
                <c:pt idx="122">
                  <c:v>21</c:v>
                </c:pt>
                <c:pt idx="123">
                  <c:v>61</c:v>
                </c:pt>
                <c:pt idx="124">
                  <c:v>13</c:v>
                </c:pt>
                <c:pt idx="125">
                  <c:v>11</c:v>
                </c:pt>
                <c:pt idx="126">
                  <c:v>26</c:v>
                </c:pt>
                <c:pt idx="127">
                  <c:v>24</c:v>
                </c:pt>
                <c:pt idx="128">
                  <c:v>32</c:v>
                </c:pt>
                <c:pt idx="129">
                  <c:v>38</c:v>
                </c:pt>
                <c:pt idx="130">
                  <c:v>30</c:v>
                </c:pt>
                <c:pt idx="131">
                  <c:v>67</c:v>
                </c:pt>
                <c:pt idx="132">
                  <c:v>99</c:v>
                </c:pt>
                <c:pt idx="133">
                  <c:v>63</c:v>
                </c:pt>
                <c:pt idx="134">
                  <c:v>46</c:v>
                </c:pt>
                <c:pt idx="135">
                  <c:v>87</c:v>
                </c:pt>
                <c:pt idx="136">
                  <c:v>59</c:v>
                </c:pt>
                <c:pt idx="137">
                  <c:v>98</c:v>
                </c:pt>
                <c:pt idx="138">
                  <c:v>12</c:v>
                </c:pt>
                <c:pt idx="139">
                  <c:v>1</c:v>
                </c:pt>
                <c:pt idx="140">
                  <c:v>82</c:v>
                </c:pt>
                <c:pt idx="141">
                  <c:v>34</c:v>
                </c:pt>
                <c:pt idx="142">
                  <c:v>55</c:v>
                </c:pt>
                <c:pt idx="143">
                  <c:v>85</c:v>
                </c:pt>
                <c:pt idx="144">
                  <c:v>91</c:v>
                </c:pt>
                <c:pt idx="145">
                  <c:v>90</c:v>
                </c:pt>
                <c:pt idx="146">
                  <c:v>58</c:v>
                </c:pt>
                <c:pt idx="147">
                  <c:v>27</c:v>
                </c:pt>
                <c:pt idx="148">
                  <c:v>49</c:v>
                </c:pt>
              </c:numCache>
            </c:numRef>
          </c:xVal>
          <c:yVal>
            <c:numRef>
              <c:f>Scatter_helper!$E$3:$E$151</c:f>
              <c:numCache>
                <c:formatCode>General</c:formatCode>
                <c:ptCount val="149"/>
                <c:pt idx="0">
                  <c:v>65</c:v>
                </c:pt>
                <c:pt idx="1">
                  <c:v>80</c:v>
                </c:pt>
                <c:pt idx="2">
                  <c:v>75</c:v>
                </c:pt>
                <c:pt idx="3">
                  <c:v>70</c:v>
                </c:pt>
                <c:pt idx="4">
                  <c:v>82</c:v>
                </c:pt>
                <c:pt idx="5">
                  <c:v>82</c:v>
                </c:pt>
                <c:pt idx="6">
                  <c:v>85</c:v>
                </c:pt>
                <c:pt idx="7">
                  <c:v>65</c:v>
                </c:pt>
                <c:pt idx="8">
                  <c:v>85</c:v>
                </c:pt>
                <c:pt idx="9">
                  <c:v>87</c:v>
                </c:pt>
                <c:pt idx="10">
                  <c:v>47</c:v>
                </c:pt>
                <c:pt idx="11">
                  <c:v>56</c:v>
                </c:pt>
                <c:pt idx="12">
                  <c:v>82</c:v>
                </c:pt>
                <c:pt idx="13">
                  <c:v>44</c:v>
                </c:pt>
                <c:pt idx="14">
                  <c:v>33</c:v>
                </c:pt>
                <c:pt idx="15">
                  <c:v>70</c:v>
                </c:pt>
                <c:pt idx="16">
                  <c:v>94</c:v>
                </c:pt>
                <c:pt idx="17">
                  <c:v>79</c:v>
                </c:pt>
                <c:pt idx="18">
                  <c:v>71</c:v>
                </c:pt>
                <c:pt idx="19">
                  <c:v>92</c:v>
                </c:pt>
                <c:pt idx="20">
                  <c:v>99</c:v>
                </c:pt>
                <c:pt idx="21">
                  <c:v>44</c:v>
                </c:pt>
                <c:pt idx="22">
                  <c:v>92</c:v>
                </c:pt>
                <c:pt idx="23">
                  <c:v>44</c:v>
                </c:pt>
                <c:pt idx="24">
                  <c:v>7</c:v>
                </c:pt>
                <c:pt idx="25">
                  <c:v>92</c:v>
                </c:pt>
                <c:pt idx="26">
                  <c:v>33</c:v>
                </c:pt>
                <c:pt idx="27">
                  <c:v>51</c:v>
                </c:pt>
                <c:pt idx="28">
                  <c:v>28</c:v>
                </c:pt>
                <c:pt idx="29">
                  <c:v>56</c:v>
                </c:pt>
                <c:pt idx="30">
                  <c:v>75</c:v>
                </c:pt>
                <c:pt idx="31">
                  <c:v>11</c:v>
                </c:pt>
                <c:pt idx="32">
                  <c:v>9</c:v>
                </c:pt>
                <c:pt idx="33">
                  <c:v>33</c:v>
                </c:pt>
                <c:pt idx="34">
                  <c:v>10</c:v>
                </c:pt>
                <c:pt idx="35">
                  <c:v>59</c:v>
                </c:pt>
                <c:pt idx="36">
                  <c:v>6</c:v>
                </c:pt>
                <c:pt idx="37">
                  <c:v>64</c:v>
                </c:pt>
                <c:pt idx="38">
                  <c:v>6</c:v>
                </c:pt>
                <c:pt idx="39">
                  <c:v>61</c:v>
                </c:pt>
                <c:pt idx="40">
                  <c:v>5</c:v>
                </c:pt>
                <c:pt idx="41">
                  <c:v>66</c:v>
                </c:pt>
                <c:pt idx="42">
                  <c:v>98</c:v>
                </c:pt>
                <c:pt idx="43">
                  <c:v>34</c:v>
                </c:pt>
                <c:pt idx="44">
                  <c:v>53</c:v>
                </c:pt>
                <c:pt idx="45">
                  <c:v>48</c:v>
                </c:pt>
                <c:pt idx="46">
                  <c:v>14</c:v>
                </c:pt>
                <c:pt idx="47">
                  <c:v>38</c:v>
                </c:pt>
                <c:pt idx="48">
                  <c:v>99</c:v>
                </c:pt>
                <c:pt idx="49">
                  <c:v>93</c:v>
                </c:pt>
                <c:pt idx="50">
                  <c:v>80</c:v>
                </c:pt>
                <c:pt idx="51">
                  <c:v>4</c:v>
                </c:pt>
                <c:pt idx="52">
                  <c:v>5</c:v>
                </c:pt>
                <c:pt idx="53">
                  <c:v>90</c:v>
                </c:pt>
                <c:pt idx="54">
                  <c:v>92</c:v>
                </c:pt>
                <c:pt idx="55">
                  <c:v>94</c:v>
                </c:pt>
                <c:pt idx="56">
                  <c:v>58</c:v>
                </c:pt>
                <c:pt idx="57">
                  <c:v>16</c:v>
                </c:pt>
                <c:pt idx="58">
                  <c:v>71</c:v>
                </c:pt>
                <c:pt idx="59">
                  <c:v>50</c:v>
                </c:pt>
                <c:pt idx="60">
                  <c:v>34</c:v>
                </c:pt>
                <c:pt idx="61">
                  <c:v>49</c:v>
                </c:pt>
                <c:pt idx="62">
                  <c:v>9</c:v>
                </c:pt>
                <c:pt idx="63">
                  <c:v>46</c:v>
                </c:pt>
                <c:pt idx="64">
                  <c:v>24</c:v>
                </c:pt>
                <c:pt idx="65">
                  <c:v>22</c:v>
                </c:pt>
                <c:pt idx="66">
                  <c:v>77</c:v>
                </c:pt>
                <c:pt idx="67">
                  <c:v>34</c:v>
                </c:pt>
                <c:pt idx="68">
                  <c:v>85</c:v>
                </c:pt>
                <c:pt idx="69">
                  <c:v>82</c:v>
                </c:pt>
                <c:pt idx="70">
                  <c:v>30</c:v>
                </c:pt>
                <c:pt idx="71">
                  <c:v>10</c:v>
                </c:pt>
                <c:pt idx="72">
                  <c:v>6</c:v>
                </c:pt>
                <c:pt idx="73">
                  <c:v>23</c:v>
                </c:pt>
                <c:pt idx="74">
                  <c:v>99</c:v>
                </c:pt>
                <c:pt idx="75">
                  <c:v>24</c:v>
                </c:pt>
                <c:pt idx="76">
                  <c:v>20</c:v>
                </c:pt>
                <c:pt idx="77">
                  <c:v>15</c:v>
                </c:pt>
                <c:pt idx="78">
                  <c:v>59</c:v>
                </c:pt>
                <c:pt idx="79">
                  <c:v>100</c:v>
                </c:pt>
                <c:pt idx="80">
                  <c:v>16</c:v>
                </c:pt>
                <c:pt idx="81">
                  <c:v>82</c:v>
                </c:pt>
                <c:pt idx="82">
                  <c:v>81</c:v>
                </c:pt>
                <c:pt idx="83">
                  <c:v>80</c:v>
                </c:pt>
                <c:pt idx="84">
                  <c:v>61</c:v>
                </c:pt>
                <c:pt idx="85">
                  <c:v>88</c:v>
                </c:pt>
                <c:pt idx="86">
                  <c:v>94</c:v>
                </c:pt>
                <c:pt idx="87">
                  <c:v>86</c:v>
                </c:pt>
                <c:pt idx="88">
                  <c:v>89</c:v>
                </c:pt>
                <c:pt idx="89">
                  <c:v>46</c:v>
                </c:pt>
                <c:pt idx="90">
                  <c:v>21</c:v>
                </c:pt>
                <c:pt idx="91">
                  <c:v>68</c:v>
                </c:pt>
                <c:pt idx="92">
                  <c:v>59</c:v>
                </c:pt>
                <c:pt idx="93">
                  <c:v>83</c:v>
                </c:pt>
                <c:pt idx="94">
                  <c:v>74</c:v>
                </c:pt>
                <c:pt idx="95">
                  <c:v>26</c:v>
                </c:pt>
                <c:pt idx="96">
                  <c:v>23</c:v>
                </c:pt>
                <c:pt idx="97">
                  <c:v>39</c:v>
                </c:pt>
                <c:pt idx="98">
                  <c:v>28</c:v>
                </c:pt>
                <c:pt idx="99">
                  <c:v>79</c:v>
                </c:pt>
                <c:pt idx="100">
                  <c:v>77</c:v>
                </c:pt>
                <c:pt idx="101">
                  <c:v>53</c:v>
                </c:pt>
                <c:pt idx="102">
                  <c:v>74</c:v>
                </c:pt>
                <c:pt idx="103">
                  <c:v>78</c:v>
                </c:pt>
                <c:pt idx="104">
                  <c:v>61</c:v>
                </c:pt>
                <c:pt idx="105">
                  <c:v>49</c:v>
                </c:pt>
                <c:pt idx="106">
                  <c:v>77</c:v>
                </c:pt>
                <c:pt idx="107">
                  <c:v>48</c:v>
                </c:pt>
                <c:pt idx="108">
                  <c:v>82</c:v>
                </c:pt>
                <c:pt idx="109">
                  <c:v>77</c:v>
                </c:pt>
                <c:pt idx="110">
                  <c:v>15</c:v>
                </c:pt>
                <c:pt idx="111">
                  <c:v>25</c:v>
                </c:pt>
                <c:pt idx="112">
                  <c:v>79</c:v>
                </c:pt>
                <c:pt idx="113">
                  <c:v>96</c:v>
                </c:pt>
                <c:pt idx="114">
                  <c:v>9</c:v>
                </c:pt>
                <c:pt idx="115">
                  <c:v>87</c:v>
                </c:pt>
                <c:pt idx="116">
                  <c:v>40</c:v>
                </c:pt>
                <c:pt idx="117">
                  <c:v>30</c:v>
                </c:pt>
                <c:pt idx="118">
                  <c:v>58</c:v>
                </c:pt>
                <c:pt idx="119">
                  <c:v>76</c:v>
                </c:pt>
                <c:pt idx="120">
                  <c:v>28</c:v>
                </c:pt>
                <c:pt idx="121">
                  <c:v>25</c:v>
                </c:pt>
                <c:pt idx="122">
                  <c:v>81</c:v>
                </c:pt>
                <c:pt idx="123">
                  <c:v>32</c:v>
                </c:pt>
                <c:pt idx="124">
                  <c:v>90</c:v>
                </c:pt>
                <c:pt idx="125">
                  <c:v>58</c:v>
                </c:pt>
                <c:pt idx="126">
                  <c:v>92</c:v>
                </c:pt>
                <c:pt idx="127">
                  <c:v>85</c:v>
                </c:pt>
                <c:pt idx="128">
                  <c:v>80</c:v>
                </c:pt>
                <c:pt idx="129">
                  <c:v>63</c:v>
                </c:pt>
                <c:pt idx="130">
                  <c:v>19</c:v>
                </c:pt>
                <c:pt idx="131">
                  <c:v>9</c:v>
                </c:pt>
                <c:pt idx="132">
                  <c:v>44</c:v>
                </c:pt>
                <c:pt idx="133">
                  <c:v>53</c:v>
                </c:pt>
                <c:pt idx="134">
                  <c:v>92</c:v>
                </c:pt>
                <c:pt idx="135">
                  <c:v>97</c:v>
                </c:pt>
                <c:pt idx="136">
                  <c:v>47</c:v>
                </c:pt>
                <c:pt idx="137">
                  <c:v>22</c:v>
                </c:pt>
                <c:pt idx="138">
                  <c:v>45</c:v>
                </c:pt>
                <c:pt idx="139">
                  <c:v>67</c:v>
                </c:pt>
                <c:pt idx="140">
                  <c:v>88</c:v>
                </c:pt>
                <c:pt idx="141">
                  <c:v>77</c:v>
                </c:pt>
                <c:pt idx="142">
                  <c:v>61</c:v>
                </c:pt>
                <c:pt idx="143">
                  <c:v>2</c:v>
                </c:pt>
                <c:pt idx="144">
                  <c:v>62</c:v>
                </c:pt>
                <c:pt idx="145">
                  <c:v>20</c:v>
                </c:pt>
                <c:pt idx="146">
                  <c:v>24</c:v>
                </c:pt>
                <c:pt idx="147">
                  <c:v>55</c:v>
                </c:pt>
                <c:pt idx="148">
                  <c:v>48</c:v>
                </c:pt>
              </c:numCache>
            </c:numRef>
          </c:yVal>
          <c:smooth val="0"/>
          <c:extLst>
            <c:ext xmlns:c16="http://schemas.microsoft.com/office/drawing/2014/chart" uri="{C3380CC4-5D6E-409C-BE32-E72D297353CC}">
              <c16:uniqueId val="{00000001-48E4-4BA2-81C9-56A99ED9870C}"/>
            </c:ext>
          </c:extLst>
        </c:ser>
        <c:ser>
          <c:idx val="2"/>
          <c:order val="2"/>
          <c:tx>
            <c:v>Southern Isles</c:v>
          </c:tx>
          <c:spPr>
            <a:ln w="25400" cap="rnd">
              <a:noFill/>
              <a:round/>
            </a:ln>
            <a:effectLst>
              <a:outerShdw blurRad="57150" dist="19050" dir="5400000" algn="ctr" rotWithShape="0">
                <a:srgbClr val="000000">
                  <a:alpha val="63000"/>
                </a:srgbClr>
              </a:outerShdw>
            </a:effectLst>
          </c:spPr>
          <c:marker>
            <c:symbol val="circle"/>
            <c:size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cap="rnd">
                <a:solidFill>
                  <a:schemeClr val="accent3"/>
                </a:solidFill>
                <a:round/>
              </a:ln>
              <a:effectLst>
                <a:outerShdw blurRad="57150" dist="19050" dir="5400000" algn="ctr" rotWithShape="0">
                  <a:srgbClr val="000000">
                    <a:alpha val="63000"/>
                  </a:srgbClr>
                </a:outerShdw>
              </a:effectLst>
            </c:spPr>
          </c:marker>
          <c:xVal>
            <c:numRef>
              <c:f>Scatter_helper!$G$3:$G$124</c:f>
              <c:numCache>
                <c:formatCode>General</c:formatCode>
                <c:ptCount val="122"/>
                <c:pt idx="0">
                  <c:v>88</c:v>
                </c:pt>
                <c:pt idx="1">
                  <c:v>60</c:v>
                </c:pt>
                <c:pt idx="2">
                  <c:v>80</c:v>
                </c:pt>
                <c:pt idx="3">
                  <c:v>88</c:v>
                </c:pt>
                <c:pt idx="4">
                  <c:v>75</c:v>
                </c:pt>
                <c:pt idx="5">
                  <c:v>75</c:v>
                </c:pt>
                <c:pt idx="6">
                  <c:v>83</c:v>
                </c:pt>
                <c:pt idx="7">
                  <c:v>55</c:v>
                </c:pt>
                <c:pt idx="8">
                  <c:v>82</c:v>
                </c:pt>
                <c:pt idx="9">
                  <c:v>61</c:v>
                </c:pt>
                <c:pt idx="10">
                  <c:v>12</c:v>
                </c:pt>
                <c:pt idx="11">
                  <c:v>14</c:v>
                </c:pt>
                <c:pt idx="12">
                  <c:v>33</c:v>
                </c:pt>
                <c:pt idx="13">
                  <c:v>44</c:v>
                </c:pt>
                <c:pt idx="14">
                  <c:v>77</c:v>
                </c:pt>
                <c:pt idx="15">
                  <c:v>95</c:v>
                </c:pt>
                <c:pt idx="16">
                  <c:v>45</c:v>
                </c:pt>
                <c:pt idx="17">
                  <c:v>85</c:v>
                </c:pt>
                <c:pt idx="18">
                  <c:v>63</c:v>
                </c:pt>
                <c:pt idx="19">
                  <c:v>34</c:v>
                </c:pt>
                <c:pt idx="20">
                  <c:v>49</c:v>
                </c:pt>
                <c:pt idx="21">
                  <c:v>30</c:v>
                </c:pt>
                <c:pt idx="22">
                  <c:v>62</c:v>
                </c:pt>
                <c:pt idx="23">
                  <c:v>45</c:v>
                </c:pt>
                <c:pt idx="24">
                  <c:v>1</c:v>
                </c:pt>
                <c:pt idx="25">
                  <c:v>54</c:v>
                </c:pt>
                <c:pt idx="26">
                  <c:v>27</c:v>
                </c:pt>
                <c:pt idx="27">
                  <c:v>14</c:v>
                </c:pt>
                <c:pt idx="28">
                  <c:v>20</c:v>
                </c:pt>
                <c:pt idx="29">
                  <c:v>75</c:v>
                </c:pt>
                <c:pt idx="30">
                  <c:v>92</c:v>
                </c:pt>
                <c:pt idx="31">
                  <c:v>69</c:v>
                </c:pt>
                <c:pt idx="32">
                  <c:v>40</c:v>
                </c:pt>
                <c:pt idx="33">
                  <c:v>26</c:v>
                </c:pt>
                <c:pt idx="34">
                  <c:v>87</c:v>
                </c:pt>
                <c:pt idx="35">
                  <c:v>5</c:v>
                </c:pt>
                <c:pt idx="36">
                  <c:v>98</c:v>
                </c:pt>
                <c:pt idx="37">
                  <c:v>2</c:v>
                </c:pt>
                <c:pt idx="38">
                  <c:v>85</c:v>
                </c:pt>
                <c:pt idx="39">
                  <c:v>24</c:v>
                </c:pt>
                <c:pt idx="40">
                  <c:v>39</c:v>
                </c:pt>
                <c:pt idx="41">
                  <c:v>35</c:v>
                </c:pt>
                <c:pt idx="42">
                  <c:v>8</c:v>
                </c:pt>
                <c:pt idx="43">
                  <c:v>38</c:v>
                </c:pt>
                <c:pt idx="44">
                  <c:v>5</c:v>
                </c:pt>
                <c:pt idx="45">
                  <c:v>9</c:v>
                </c:pt>
                <c:pt idx="46">
                  <c:v>59</c:v>
                </c:pt>
                <c:pt idx="47">
                  <c:v>67</c:v>
                </c:pt>
                <c:pt idx="48">
                  <c:v>88</c:v>
                </c:pt>
                <c:pt idx="49">
                  <c:v>26</c:v>
                </c:pt>
                <c:pt idx="50">
                  <c:v>76</c:v>
                </c:pt>
                <c:pt idx="51">
                  <c:v>78</c:v>
                </c:pt>
                <c:pt idx="52">
                  <c:v>49</c:v>
                </c:pt>
                <c:pt idx="53">
                  <c:v>16</c:v>
                </c:pt>
                <c:pt idx="54">
                  <c:v>59</c:v>
                </c:pt>
                <c:pt idx="55">
                  <c:v>29</c:v>
                </c:pt>
                <c:pt idx="56">
                  <c:v>99</c:v>
                </c:pt>
                <c:pt idx="57">
                  <c:v>77</c:v>
                </c:pt>
                <c:pt idx="58">
                  <c:v>34</c:v>
                </c:pt>
                <c:pt idx="59">
                  <c:v>42</c:v>
                </c:pt>
                <c:pt idx="60">
                  <c:v>41</c:v>
                </c:pt>
                <c:pt idx="61">
                  <c:v>92</c:v>
                </c:pt>
                <c:pt idx="62">
                  <c:v>30</c:v>
                </c:pt>
                <c:pt idx="63">
                  <c:v>99</c:v>
                </c:pt>
                <c:pt idx="64">
                  <c:v>99</c:v>
                </c:pt>
                <c:pt idx="65">
                  <c:v>86</c:v>
                </c:pt>
                <c:pt idx="66">
                  <c:v>46</c:v>
                </c:pt>
                <c:pt idx="67">
                  <c:v>32</c:v>
                </c:pt>
                <c:pt idx="68">
                  <c:v>33</c:v>
                </c:pt>
                <c:pt idx="69">
                  <c:v>57</c:v>
                </c:pt>
                <c:pt idx="70">
                  <c:v>14</c:v>
                </c:pt>
                <c:pt idx="71">
                  <c:v>71</c:v>
                </c:pt>
                <c:pt idx="72">
                  <c:v>4</c:v>
                </c:pt>
                <c:pt idx="73">
                  <c:v>100</c:v>
                </c:pt>
                <c:pt idx="74">
                  <c:v>87</c:v>
                </c:pt>
                <c:pt idx="75">
                  <c:v>67</c:v>
                </c:pt>
                <c:pt idx="76">
                  <c:v>4</c:v>
                </c:pt>
                <c:pt idx="77">
                  <c:v>44</c:v>
                </c:pt>
                <c:pt idx="78">
                  <c:v>31</c:v>
                </c:pt>
                <c:pt idx="79">
                  <c:v>56</c:v>
                </c:pt>
                <c:pt idx="80">
                  <c:v>78</c:v>
                </c:pt>
                <c:pt idx="81">
                  <c:v>90</c:v>
                </c:pt>
                <c:pt idx="82">
                  <c:v>29</c:v>
                </c:pt>
                <c:pt idx="83">
                  <c:v>65</c:v>
                </c:pt>
                <c:pt idx="84">
                  <c:v>24</c:v>
                </c:pt>
                <c:pt idx="85">
                  <c:v>35</c:v>
                </c:pt>
                <c:pt idx="86">
                  <c:v>47</c:v>
                </c:pt>
                <c:pt idx="87">
                  <c:v>11</c:v>
                </c:pt>
                <c:pt idx="88">
                  <c:v>85</c:v>
                </c:pt>
                <c:pt idx="89">
                  <c:v>77</c:v>
                </c:pt>
                <c:pt idx="90">
                  <c:v>11</c:v>
                </c:pt>
                <c:pt idx="91">
                  <c:v>83</c:v>
                </c:pt>
                <c:pt idx="92">
                  <c:v>19</c:v>
                </c:pt>
                <c:pt idx="93">
                  <c:v>84</c:v>
                </c:pt>
                <c:pt idx="94">
                  <c:v>79</c:v>
                </c:pt>
                <c:pt idx="95">
                  <c:v>75</c:v>
                </c:pt>
                <c:pt idx="96">
                  <c:v>90</c:v>
                </c:pt>
                <c:pt idx="97">
                  <c:v>58</c:v>
                </c:pt>
                <c:pt idx="98">
                  <c:v>42</c:v>
                </c:pt>
                <c:pt idx="99">
                  <c:v>97</c:v>
                </c:pt>
                <c:pt idx="100">
                  <c:v>16</c:v>
                </c:pt>
                <c:pt idx="101">
                  <c:v>87</c:v>
                </c:pt>
                <c:pt idx="102">
                  <c:v>68</c:v>
                </c:pt>
                <c:pt idx="103">
                  <c:v>24</c:v>
                </c:pt>
                <c:pt idx="104">
                  <c:v>9</c:v>
                </c:pt>
                <c:pt idx="105">
                  <c:v>39</c:v>
                </c:pt>
                <c:pt idx="106">
                  <c:v>81</c:v>
                </c:pt>
                <c:pt idx="107">
                  <c:v>23</c:v>
                </c:pt>
                <c:pt idx="108">
                  <c:v>41</c:v>
                </c:pt>
                <c:pt idx="109">
                  <c:v>54</c:v>
                </c:pt>
                <c:pt idx="110">
                  <c:v>71</c:v>
                </c:pt>
                <c:pt idx="111">
                  <c:v>72</c:v>
                </c:pt>
                <c:pt idx="112">
                  <c:v>48</c:v>
                </c:pt>
                <c:pt idx="113">
                  <c:v>17</c:v>
                </c:pt>
                <c:pt idx="114">
                  <c:v>78</c:v>
                </c:pt>
                <c:pt idx="115">
                  <c:v>60</c:v>
                </c:pt>
                <c:pt idx="116">
                  <c:v>56</c:v>
                </c:pt>
                <c:pt idx="117">
                  <c:v>64</c:v>
                </c:pt>
                <c:pt idx="118">
                  <c:v>30</c:v>
                </c:pt>
                <c:pt idx="119">
                  <c:v>49</c:v>
                </c:pt>
                <c:pt idx="120">
                  <c:v>43</c:v>
                </c:pt>
                <c:pt idx="121">
                  <c:v>43</c:v>
                </c:pt>
              </c:numCache>
            </c:numRef>
          </c:xVal>
          <c:yVal>
            <c:numRef>
              <c:f>Scatter_helper!$H$3:$H$124</c:f>
              <c:numCache>
                <c:formatCode>General</c:formatCode>
                <c:ptCount val="122"/>
                <c:pt idx="0">
                  <c:v>80</c:v>
                </c:pt>
                <c:pt idx="1">
                  <c:v>80</c:v>
                </c:pt>
                <c:pt idx="2">
                  <c:v>50</c:v>
                </c:pt>
                <c:pt idx="3">
                  <c:v>55</c:v>
                </c:pt>
                <c:pt idx="4">
                  <c:v>60</c:v>
                </c:pt>
                <c:pt idx="5">
                  <c:v>65</c:v>
                </c:pt>
                <c:pt idx="6">
                  <c:v>67</c:v>
                </c:pt>
                <c:pt idx="7">
                  <c:v>85</c:v>
                </c:pt>
                <c:pt idx="8">
                  <c:v>54</c:v>
                </c:pt>
                <c:pt idx="9">
                  <c:v>99</c:v>
                </c:pt>
                <c:pt idx="10">
                  <c:v>80</c:v>
                </c:pt>
                <c:pt idx="11">
                  <c:v>2</c:v>
                </c:pt>
                <c:pt idx="12">
                  <c:v>57</c:v>
                </c:pt>
                <c:pt idx="13">
                  <c:v>66</c:v>
                </c:pt>
                <c:pt idx="14">
                  <c:v>90</c:v>
                </c:pt>
                <c:pt idx="15">
                  <c:v>31</c:v>
                </c:pt>
                <c:pt idx="16">
                  <c:v>51</c:v>
                </c:pt>
                <c:pt idx="17">
                  <c:v>54</c:v>
                </c:pt>
                <c:pt idx="18">
                  <c:v>69</c:v>
                </c:pt>
                <c:pt idx="19">
                  <c:v>30</c:v>
                </c:pt>
                <c:pt idx="20">
                  <c:v>50</c:v>
                </c:pt>
                <c:pt idx="21">
                  <c:v>3</c:v>
                </c:pt>
                <c:pt idx="22">
                  <c:v>44</c:v>
                </c:pt>
                <c:pt idx="23">
                  <c:v>22</c:v>
                </c:pt>
                <c:pt idx="24">
                  <c:v>4</c:v>
                </c:pt>
                <c:pt idx="25">
                  <c:v>64</c:v>
                </c:pt>
                <c:pt idx="26">
                  <c:v>100</c:v>
                </c:pt>
                <c:pt idx="27">
                  <c:v>44</c:v>
                </c:pt>
                <c:pt idx="28">
                  <c:v>22</c:v>
                </c:pt>
                <c:pt idx="29">
                  <c:v>45</c:v>
                </c:pt>
                <c:pt idx="30">
                  <c:v>75</c:v>
                </c:pt>
                <c:pt idx="31">
                  <c:v>29</c:v>
                </c:pt>
                <c:pt idx="32">
                  <c:v>82</c:v>
                </c:pt>
                <c:pt idx="33">
                  <c:v>35</c:v>
                </c:pt>
                <c:pt idx="34">
                  <c:v>32</c:v>
                </c:pt>
                <c:pt idx="35">
                  <c:v>22</c:v>
                </c:pt>
                <c:pt idx="36">
                  <c:v>80</c:v>
                </c:pt>
                <c:pt idx="37">
                  <c:v>3</c:v>
                </c:pt>
                <c:pt idx="38">
                  <c:v>6</c:v>
                </c:pt>
                <c:pt idx="39">
                  <c:v>1</c:v>
                </c:pt>
                <c:pt idx="40">
                  <c:v>82</c:v>
                </c:pt>
                <c:pt idx="41">
                  <c:v>54</c:v>
                </c:pt>
                <c:pt idx="42">
                  <c:v>72</c:v>
                </c:pt>
                <c:pt idx="43">
                  <c:v>57</c:v>
                </c:pt>
                <c:pt idx="44">
                  <c:v>18</c:v>
                </c:pt>
                <c:pt idx="45">
                  <c:v>58</c:v>
                </c:pt>
                <c:pt idx="46">
                  <c:v>62</c:v>
                </c:pt>
                <c:pt idx="47">
                  <c:v>85</c:v>
                </c:pt>
                <c:pt idx="48">
                  <c:v>68</c:v>
                </c:pt>
                <c:pt idx="49">
                  <c:v>40</c:v>
                </c:pt>
                <c:pt idx="50">
                  <c:v>9</c:v>
                </c:pt>
                <c:pt idx="51">
                  <c:v>84</c:v>
                </c:pt>
                <c:pt idx="52">
                  <c:v>91</c:v>
                </c:pt>
                <c:pt idx="53">
                  <c:v>75</c:v>
                </c:pt>
                <c:pt idx="54">
                  <c:v>79</c:v>
                </c:pt>
                <c:pt idx="55">
                  <c:v>86</c:v>
                </c:pt>
                <c:pt idx="56">
                  <c:v>70</c:v>
                </c:pt>
                <c:pt idx="57">
                  <c:v>2</c:v>
                </c:pt>
                <c:pt idx="58">
                  <c:v>17</c:v>
                </c:pt>
                <c:pt idx="59">
                  <c:v>19</c:v>
                </c:pt>
                <c:pt idx="60">
                  <c:v>18</c:v>
                </c:pt>
                <c:pt idx="61">
                  <c:v>94</c:v>
                </c:pt>
                <c:pt idx="62">
                  <c:v>40</c:v>
                </c:pt>
                <c:pt idx="63">
                  <c:v>23</c:v>
                </c:pt>
                <c:pt idx="64">
                  <c:v>46</c:v>
                </c:pt>
                <c:pt idx="65">
                  <c:v>43</c:v>
                </c:pt>
                <c:pt idx="66">
                  <c:v>91</c:v>
                </c:pt>
                <c:pt idx="67">
                  <c:v>64</c:v>
                </c:pt>
                <c:pt idx="68">
                  <c:v>32</c:v>
                </c:pt>
                <c:pt idx="69">
                  <c:v>93</c:v>
                </c:pt>
                <c:pt idx="70">
                  <c:v>16</c:v>
                </c:pt>
                <c:pt idx="71">
                  <c:v>8</c:v>
                </c:pt>
                <c:pt idx="72">
                  <c:v>18</c:v>
                </c:pt>
                <c:pt idx="73">
                  <c:v>16</c:v>
                </c:pt>
                <c:pt idx="74">
                  <c:v>67</c:v>
                </c:pt>
                <c:pt idx="75">
                  <c:v>60</c:v>
                </c:pt>
                <c:pt idx="76">
                  <c:v>91</c:v>
                </c:pt>
                <c:pt idx="77">
                  <c:v>30</c:v>
                </c:pt>
                <c:pt idx="78">
                  <c:v>16</c:v>
                </c:pt>
                <c:pt idx="79">
                  <c:v>43</c:v>
                </c:pt>
                <c:pt idx="80">
                  <c:v>8</c:v>
                </c:pt>
                <c:pt idx="81">
                  <c:v>25</c:v>
                </c:pt>
                <c:pt idx="82">
                  <c:v>20</c:v>
                </c:pt>
                <c:pt idx="83">
                  <c:v>8</c:v>
                </c:pt>
                <c:pt idx="84">
                  <c:v>22</c:v>
                </c:pt>
                <c:pt idx="85">
                  <c:v>16</c:v>
                </c:pt>
                <c:pt idx="86">
                  <c:v>26</c:v>
                </c:pt>
                <c:pt idx="87">
                  <c:v>88</c:v>
                </c:pt>
                <c:pt idx="88">
                  <c:v>34</c:v>
                </c:pt>
                <c:pt idx="89">
                  <c:v>85</c:v>
                </c:pt>
                <c:pt idx="90">
                  <c:v>96</c:v>
                </c:pt>
                <c:pt idx="91">
                  <c:v>8</c:v>
                </c:pt>
                <c:pt idx="92">
                  <c:v>59</c:v>
                </c:pt>
                <c:pt idx="93">
                  <c:v>12</c:v>
                </c:pt>
                <c:pt idx="94">
                  <c:v>66</c:v>
                </c:pt>
                <c:pt idx="95">
                  <c:v>44</c:v>
                </c:pt>
                <c:pt idx="96">
                  <c:v>47</c:v>
                </c:pt>
                <c:pt idx="97">
                  <c:v>58</c:v>
                </c:pt>
                <c:pt idx="98">
                  <c:v>21</c:v>
                </c:pt>
                <c:pt idx="99">
                  <c:v>86</c:v>
                </c:pt>
                <c:pt idx="100">
                  <c:v>90</c:v>
                </c:pt>
                <c:pt idx="101">
                  <c:v>94</c:v>
                </c:pt>
                <c:pt idx="102">
                  <c:v>29</c:v>
                </c:pt>
                <c:pt idx="103">
                  <c:v>99</c:v>
                </c:pt>
                <c:pt idx="104">
                  <c:v>61</c:v>
                </c:pt>
                <c:pt idx="105">
                  <c:v>57</c:v>
                </c:pt>
                <c:pt idx="106">
                  <c:v>97</c:v>
                </c:pt>
                <c:pt idx="107">
                  <c:v>95</c:v>
                </c:pt>
                <c:pt idx="108">
                  <c:v>57</c:v>
                </c:pt>
                <c:pt idx="109">
                  <c:v>55</c:v>
                </c:pt>
                <c:pt idx="110">
                  <c:v>69</c:v>
                </c:pt>
                <c:pt idx="111">
                  <c:v>35</c:v>
                </c:pt>
                <c:pt idx="112">
                  <c:v>94</c:v>
                </c:pt>
                <c:pt idx="113">
                  <c:v>69</c:v>
                </c:pt>
                <c:pt idx="114">
                  <c:v>15</c:v>
                </c:pt>
                <c:pt idx="115">
                  <c:v>74</c:v>
                </c:pt>
                <c:pt idx="116">
                  <c:v>38</c:v>
                </c:pt>
                <c:pt idx="117">
                  <c:v>97</c:v>
                </c:pt>
                <c:pt idx="118">
                  <c:v>70</c:v>
                </c:pt>
                <c:pt idx="119">
                  <c:v>59</c:v>
                </c:pt>
                <c:pt idx="120">
                  <c:v>100</c:v>
                </c:pt>
                <c:pt idx="121">
                  <c:v>14</c:v>
                </c:pt>
              </c:numCache>
            </c:numRef>
          </c:yVal>
          <c:smooth val="0"/>
          <c:extLst>
            <c:ext xmlns:c16="http://schemas.microsoft.com/office/drawing/2014/chart" uri="{C3380CC4-5D6E-409C-BE32-E72D297353CC}">
              <c16:uniqueId val="{00000002-48E4-4BA2-81C9-56A99ED9870C}"/>
            </c:ext>
          </c:extLst>
        </c:ser>
        <c:ser>
          <c:idx val="3"/>
          <c:order val="3"/>
          <c:tx>
            <c:v>Western Citadel</c:v>
          </c:tx>
          <c:spPr>
            <a:ln w="25400" cap="rnd">
              <a:noFill/>
              <a:round/>
            </a:ln>
            <a:effectLst>
              <a:outerShdw blurRad="57150" dist="19050" dir="5400000" algn="ctr" rotWithShape="0">
                <a:srgbClr val="000000">
                  <a:alpha val="63000"/>
                </a:srgbClr>
              </a:outerShdw>
            </a:effectLst>
          </c:spPr>
          <c:marker>
            <c:symbol val="circle"/>
            <c:size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cap="rnd">
                <a:solidFill>
                  <a:schemeClr val="accent4"/>
                </a:solidFill>
                <a:round/>
              </a:ln>
              <a:effectLst>
                <a:outerShdw blurRad="57150" dist="19050" dir="5400000" algn="ctr" rotWithShape="0">
                  <a:srgbClr val="000000">
                    <a:alpha val="63000"/>
                  </a:srgbClr>
                </a:outerShdw>
              </a:effectLst>
            </c:spPr>
          </c:marker>
          <c:xVal>
            <c:numRef>
              <c:f>Scatter_helper!$J$3:$J$136</c:f>
              <c:numCache>
                <c:formatCode>General</c:formatCode>
                <c:ptCount val="134"/>
                <c:pt idx="0">
                  <c:v>65</c:v>
                </c:pt>
                <c:pt idx="1">
                  <c:v>80</c:v>
                </c:pt>
                <c:pt idx="2">
                  <c:v>55</c:v>
                </c:pt>
                <c:pt idx="3">
                  <c:v>78</c:v>
                </c:pt>
                <c:pt idx="4">
                  <c:v>72</c:v>
                </c:pt>
                <c:pt idx="5">
                  <c:v>65</c:v>
                </c:pt>
                <c:pt idx="6">
                  <c:v>70</c:v>
                </c:pt>
                <c:pt idx="7">
                  <c:v>76</c:v>
                </c:pt>
                <c:pt idx="8">
                  <c:v>14</c:v>
                </c:pt>
                <c:pt idx="9">
                  <c:v>66</c:v>
                </c:pt>
                <c:pt idx="10">
                  <c:v>44</c:v>
                </c:pt>
                <c:pt idx="11">
                  <c:v>95</c:v>
                </c:pt>
                <c:pt idx="12">
                  <c:v>54</c:v>
                </c:pt>
                <c:pt idx="13">
                  <c:v>26</c:v>
                </c:pt>
                <c:pt idx="14">
                  <c:v>96</c:v>
                </c:pt>
                <c:pt idx="15">
                  <c:v>91</c:v>
                </c:pt>
                <c:pt idx="16">
                  <c:v>10</c:v>
                </c:pt>
                <c:pt idx="17">
                  <c:v>14</c:v>
                </c:pt>
                <c:pt idx="18">
                  <c:v>43</c:v>
                </c:pt>
                <c:pt idx="19">
                  <c:v>69</c:v>
                </c:pt>
                <c:pt idx="20">
                  <c:v>38</c:v>
                </c:pt>
                <c:pt idx="21">
                  <c:v>8</c:v>
                </c:pt>
                <c:pt idx="22">
                  <c:v>23</c:v>
                </c:pt>
                <c:pt idx="23">
                  <c:v>23</c:v>
                </c:pt>
                <c:pt idx="24">
                  <c:v>67</c:v>
                </c:pt>
                <c:pt idx="25">
                  <c:v>86</c:v>
                </c:pt>
                <c:pt idx="26">
                  <c:v>49</c:v>
                </c:pt>
                <c:pt idx="27">
                  <c:v>7</c:v>
                </c:pt>
                <c:pt idx="28">
                  <c:v>49</c:v>
                </c:pt>
                <c:pt idx="29">
                  <c:v>9</c:v>
                </c:pt>
                <c:pt idx="30">
                  <c:v>98</c:v>
                </c:pt>
                <c:pt idx="31">
                  <c:v>45</c:v>
                </c:pt>
                <c:pt idx="32">
                  <c:v>74</c:v>
                </c:pt>
                <c:pt idx="33">
                  <c:v>96</c:v>
                </c:pt>
                <c:pt idx="34">
                  <c:v>45</c:v>
                </c:pt>
                <c:pt idx="35">
                  <c:v>63</c:v>
                </c:pt>
                <c:pt idx="36">
                  <c:v>16</c:v>
                </c:pt>
                <c:pt idx="37">
                  <c:v>7</c:v>
                </c:pt>
                <c:pt idx="38">
                  <c:v>31</c:v>
                </c:pt>
                <c:pt idx="39">
                  <c:v>69</c:v>
                </c:pt>
                <c:pt idx="40">
                  <c:v>64</c:v>
                </c:pt>
                <c:pt idx="41">
                  <c:v>8</c:v>
                </c:pt>
                <c:pt idx="42">
                  <c:v>13</c:v>
                </c:pt>
                <c:pt idx="43">
                  <c:v>67</c:v>
                </c:pt>
                <c:pt idx="44">
                  <c:v>96</c:v>
                </c:pt>
                <c:pt idx="45">
                  <c:v>71</c:v>
                </c:pt>
                <c:pt idx="46">
                  <c:v>78</c:v>
                </c:pt>
                <c:pt idx="47">
                  <c:v>17</c:v>
                </c:pt>
                <c:pt idx="48">
                  <c:v>96</c:v>
                </c:pt>
                <c:pt idx="49">
                  <c:v>18</c:v>
                </c:pt>
                <c:pt idx="50">
                  <c:v>6</c:v>
                </c:pt>
                <c:pt idx="51">
                  <c:v>79</c:v>
                </c:pt>
                <c:pt idx="52">
                  <c:v>34</c:v>
                </c:pt>
                <c:pt idx="53">
                  <c:v>90</c:v>
                </c:pt>
                <c:pt idx="54">
                  <c:v>99</c:v>
                </c:pt>
                <c:pt idx="55">
                  <c:v>54</c:v>
                </c:pt>
                <c:pt idx="56">
                  <c:v>62</c:v>
                </c:pt>
                <c:pt idx="57">
                  <c:v>94</c:v>
                </c:pt>
                <c:pt idx="58">
                  <c:v>87</c:v>
                </c:pt>
                <c:pt idx="59">
                  <c:v>27</c:v>
                </c:pt>
                <c:pt idx="60">
                  <c:v>89</c:v>
                </c:pt>
                <c:pt idx="61">
                  <c:v>16</c:v>
                </c:pt>
                <c:pt idx="62">
                  <c:v>37</c:v>
                </c:pt>
                <c:pt idx="63">
                  <c:v>56</c:v>
                </c:pt>
                <c:pt idx="64">
                  <c:v>62</c:v>
                </c:pt>
                <c:pt idx="65">
                  <c:v>93</c:v>
                </c:pt>
                <c:pt idx="66">
                  <c:v>52</c:v>
                </c:pt>
                <c:pt idx="67">
                  <c:v>48</c:v>
                </c:pt>
                <c:pt idx="68">
                  <c:v>93</c:v>
                </c:pt>
                <c:pt idx="69">
                  <c:v>71</c:v>
                </c:pt>
                <c:pt idx="70">
                  <c:v>71</c:v>
                </c:pt>
                <c:pt idx="71">
                  <c:v>81</c:v>
                </c:pt>
                <c:pt idx="72">
                  <c:v>64</c:v>
                </c:pt>
                <c:pt idx="73">
                  <c:v>48</c:v>
                </c:pt>
                <c:pt idx="74">
                  <c:v>76</c:v>
                </c:pt>
                <c:pt idx="75">
                  <c:v>23</c:v>
                </c:pt>
                <c:pt idx="76">
                  <c:v>40</c:v>
                </c:pt>
                <c:pt idx="77">
                  <c:v>36</c:v>
                </c:pt>
                <c:pt idx="78">
                  <c:v>38</c:v>
                </c:pt>
                <c:pt idx="79">
                  <c:v>28</c:v>
                </c:pt>
                <c:pt idx="80">
                  <c:v>98</c:v>
                </c:pt>
                <c:pt idx="81">
                  <c:v>4</c:v>
                </c:pt>
                <c:pt idx="82">
                  <c:v>14</c:v>
                </c:pt>
                <c:pt idx="83">
                  <c:v>68</c:v>
                </c:pt>
                <c:pt idx="84">
                  <c:v>87</c:v>
                </c:pt>
                <c:pt idx="85">
                  <c:v>38</c:v>
                </c:pt>
                <c:pt idx="86">
                  <c:v>18</c:v>
                </c:pt>
                <c:pt idx="87">
                  <c:v>65</c:v>
                </c:pt>
                <c:pt idx="88">
                  <c:v>70</c:v>
                </c:pt>
                <c:pt idx="89">
                  <c:v>41</c:v>
                </c:pt>
                <c:pt idx="90">
                  <c:v>61</c:v>
                </c:pt>
                <c:pt idx="91">
                  <c:v>41</c:v>
                </c:pt>
                <c:pt idx="92">
                  <c:v>43</c:v>
                </c:pt>
                <c:pt idx="93">
                  <c:v>98</c:v>
                </c:pt>
                <c:pt idx="94">
                  <c:v>67</c:v>
                </c:pt>
                <c:pt idx="95">
                  <c:v>75</c:v>
                </c:pt>
                <c:pt idx="96">
                  <c:v>89</c:v>
                </c:pt>
                <c:pt idx="97">
                  <c:v>77</c:v>
                </c:pt>
                <c:pt idx="98">
                  <c:v>33</c:v>
                </c:pt>
                <c:pt idx="99">
                  <c:v>60</c:v>
                </c:pt>
                <c:pt idx="100">
                  <c:v>23</c:v>
                </c:pt>
                <c:pt idx="101">
                  <c:v>20</c:v>
                </c:pt>
                <c:pt idx="102">
                  <c:v>71</c:v>
                </c:pt>
                <c:pt idx="103">
                  <c:v>41</c:v>
                </c:pt>
                <c:pt idx="104">
                  <c:v>92</c:v>
                </c:pt>
                <c:pt idx="105">
                  <c:v>78</c:v>
                </c:pt>
                <c:pt idx="106">
                  <c:v>4</c:v>
                </c:pt>
                <c:pt idx="107">
                  <c:v>16</c:v>
                </c:pt>
                <c:pt idx="108">
                  <c:v>71</c:v>
                </c:pt>
                <c:pt idx="109">
                  <c:v>76</c:v>
                </c:pt>
                <c:pt idx="110">
                  <c:v>95</c:v>
                </c:pt>
                <c:pt idx="111">
                  <c:v>71</c:v>
                </c:pt>
                <c:pt idx="112">
                  <c:v>20</c:v>
                </c:pt>
                <c:pt idx="113">
                  <c:v>91</c:v>
                </c:pt>
                <c:pt idx="114">
                  <c:v>78</c:v>
                </c:pt>
                <c:pt idx="115">
                  <c:v>55</c:v>
                </c:pt>
                <c:pt idx="116">
                  <c:v>86</c:v>
                </c:pt>
                <c:pt idx="117">
                  <c:v>97</c:v>
                </c:pt>
                <c:pt idx="118">
                  <c:v>21</c:v>
                </c:pt>
                <c:pt idx="119">
                  <c:v>2</c:v>
                </c:pt>
                <c:pt idx="120">
                  <c:v>86</c:v>
                </c:pt>
                <c:pt idx="121">
                  <c:v>98</c:v>
                </c:pt>
                <c:pt idx="122">
                  <c:v>23</c:v>
                </c:pt>
                <c:pt idx="123">
                  <c:v>19</c:v>
                </c:pt>
                <c:pt idx="124">
                  <c:v>9</c:v>
                </c:pt>
                <c:pt idx="125">
                  <c:v>34</c:v>
                </c:pt>
                <c:pt idx="126">
                  <c:v>65</c:v>
                </c:pt>
                <c:pt idx="127">
                  <c:v>24</c:v>
                </c:pt>
                <c:pt idx="128">
                  <c:v>42</c:v>
                </c:pt>
                <c:pt idx="129">
                  <c:v>46</c:v>
                </c:pt>
                <c:pt idx="130">
                  <c:v>25</c:v>
                </c:pt>
                <c:pt idx="131">
                  <c:v>32</c:v>
                </c:pt>
                <c:pt idx="132">
                  <c:v>4</c:v>
                </c:pt>
                <c:pt idx="133">
                  <c:v>33</c:v>
                </c:pt>
              </c:numCache>
            </c:numRef>
          </c:xVal>
          <c:yVal>
            <c:numRef>
              <c:f>Scatter_helper!$K$3:$K$136</c:f>
              <c:numCache>
                <c:formatCode>General</c:formatCode>
                <c:ptCount val="134"/>
                <c:pt idx="0">
                  <c:v>90</c:v>
                </c:pt>
                <c:pt idx="1">
                  <c:v>85</c:v>
                </c:pt>
                <c:pt idx="2">
                  <c:v>95</c:v>
                </c:pt>
                <c:pt idx="3">
                  <c:v>70</c:v>
                </c:pt>
                <c:pt idx="4">
                  <c:v>75</c:v>
                </c:pt>
                <c:pt idx="5">
                  <c:v>85</c:v>
                </c:pt>
                <c:pt idx="6">
                  <c:v>55</c:v>
                </c:pt>
                <c:pt idx="7">
                  <c:v>62</c:v>
                </c:pt>
                <c:pt idx="8">
                  <c:v>10</c:v>
                </c:pt>
                <c:pt idx="9">
                  <c:v>85</c:v>
                </c:pt>
                <c:pt idx="10">
                  <c:v>96</c:v>
                </c:pt>
                <c:pt idx="11">
                  <c:v>19</c:v>
                </c:pt>
                <c:pt idx="12">
                  <c:v>20</c:v>
                </c:pt>
                <c:pt idx="13">
                  <c:v>55</c:v>
                </c:pt>
                <c:pt idx="14">
                  <c:v>27</c:v>
                </c:pt>
                <c:pt idx="15">
                  <c:v>88</c:v>
                </c:pt>
                <c:pt idx="16">
                  <c:v>48</c:v>
                </c:pt>
                <c:pt idx="17">
                  <c:v>49</c:v>
                </c:pt>
                <c:pt idx="18">
                  <c:v>9</c:v>
                </c:pt>
                <c:pt idx="19">
                  <c:v>3</c:v>
                </c:pt>
                <c:pt idx="20">
                  <c:v>39</c:v>
                </c:pt>
                <c:pt idx="21">
                  <c:v>54</c:v>
                </c:pt>
                <c:pt idx="22">
                  <c:v>90</c:v>
                </c:pt>
                <c:pt idx="23">
                  <c:v>81</c:v>
                </c:pt>
                <c:pt idx="24">
                  <c:v>19</c:v>
                </c:pt>
                <c:pt idx="25">
                  <c:v>36</c:v>
                </c:pt>
                <c:pt idx="26">
                  <c:v>13</c:v>
                </c:pt>
                <c:pt idx="27">
                  <c:v>97</c:v>
                </c:pt>
                <c:pt idx="28">
                  <c:v>73</c:v>
                </c:pt>
                <c:pt idx="29">
                  <c:v>85</c:v>
                </c:pt>
                <c:pt idx="30">
                  <c:v>39</c:v>
                </c:pt>
                <c:pt idx="31">
                  <c:v>61</c:v>
                </c:pt>
                <c:pt idx="32">
                  <c:v>6</c:v>
                </c:pt>
                <c:pt idx="33">
                  <c:v>93</c:v>
                </c:pt>
                <c:pt idx="34">
                  <c:v>98</c:v>
                </c:pt>
                <c:pt idx="35">
                  <c:v>9</c:v>
                </c:pt>
                <c:pt idx="36">
                  <c:v>46</c:v>
                </c:pt>
                <c:pt idx="37">
                  <c:v>97</c:v>
                </c:pt>
                <c:pt idx="38">
                  <c:v>84</c:v>
                </c:pt>
                <c:pt idx="39">
                  <c:v>52</c:v>
                </c:pt>
                <c:pt idx="40">
                  <c:v>32</c:v>
                </c:pt>
                <c:pt idx="41">
                  <c:v>74</c:v>
                </c:pt>
                <c:pt idx="42">
                  <c:v>13</c:v>
                </c:pt>
                <c:pt idx="43">
                  <c:v>97</c:v>
                </c:pt>
                <c:pt idx="44">
                  <c:v>54</c:v>
                </c:pt>
                <c:pt idx="45">
                  <c:v>42</c:v>
                </c:pt>
                <c:pt idx="46">
                  <c:v>79</c:v>
                </c:pt>
                <c:pt idx="47">
                  <c:v>75</c:v>
                </c:pt>
                <c:pt idx="48">
                  <c:v>97</c:v>
                </c:pt>
                <c:pt idx="49">
                  <c:v>46</c:v>
                </c:pt>
                <c:pt idx="50">
                  <c:v>39</c:v>
                </c:pt>
                <c:pt idx="51">
                  <c:v>46</c:v>
                </c:pt>
                <c:pt idx="52">
                  <c:v>79</c:v>
                </c:pt>
                <c:pt idx="53">
                  <c:v>22</c:v>
                </c:pt>
                <c:pt idx="54">
                  <c:v>46</c:v>
                </c:pt>
                <c:pt idx="55">
                  <c:v>84</c:v>
                </c:pt>
                <c:pt idx="56">
                  <c:v>31</c:v>
                </c:pt>
                <c:pt idx="57">
                  <c:v>28</c:v>
                </c:pt>
                <c:pt idx="58">
                  <c:v>9</c:v>
                </c:pt>
                <c:pt idx="59">
                  <c:v>44</c:v>
                </c:pt>
                <c:pt idx="60">
                  <c:v>95</c:v>
                </c:pt>
                <c:pt idx="61">
                  <c:v>26</c:v>
                </c:pt>
                <c:pt idx="62">
                  <c:v>53</c:v>
                </c:pt>
                <c:pt idx="63">
                  <c:v>45</c:v>
                </c:pt>
                <c:pt idx="64">
                  <c:v>95</c:v>
                </c:pt>
                <c:pt idx="65">
                  <c:v>99</c:v>
                </c:pt>
                <c:pt idx="66">
                  <c:v>12</c:v>
                </c:pt>
                <c:pt idx="67">
                  <c:v>34</c:v>
                </c:pt>
                <c:pt idx="68">
                  <c:v>76</c:v>
                </c:pt>
                <c:pt idx="69">
                  <c:v>79</c:v>
                </c:pt>
                <c:pt idx="70">
                  <c:v>61</c:v>
                </c:pt>
                <c:pt idx="71">
                  <c:v>48</c:v>
                </c:pt>
                <c:pt idx="72">
                  <c:v>37</c:v>
                </c:pt>
                <c:pt idx="73">
                  <c:v>71</c:v>
                </c:pt>
                <c:pt idx="74">
                  <c:v>81</c:v>
                </c:pt>
                <c:pt idx="75">
                  <c:v>27</c:v>
                </c:pt>
                <c:pt idx="76">
                  <c:v>54</c:v>
                </c:pt>
                <c:pt idx="77">
                  <c:v>20</c:v>
                </c:pt>
                <c:pt idx="78">
                  <c:v>60</c:v>
                </c:pt>
                <c:pt idx="79">
                  <c:v>32</c:v>
                </c:pt>
                <c:pt idx="80">
                  <c:v>80</c:v>
                </c:pt>
                <c:pt idx="81">
                  <c:v>76</c:v>
                </c:pt>
                <c:pt idx="82">
                  <c:v>56</c:v>
                </c:pt>
                <c:pt idx="83">
                  <c:v>6</c:v>
                </c:pt>
                <c:pt idx="84">
                  <c:v>62</c:v>
                </c:pt>
                <c:pt idx="85">
                  <c:v>68</c:v>
                </c:pt>
                <c:pt idx="86">
                  <c:v>69</c:v>
                </c:pt>
                <c:pt idx="87">
                  <c:v>45</c:v>
                </c:pt>
                <c:pt idx="88">
                  <c:v>69</c:v>
                </c:pt>
                <c:pt idx="89">
                  <c:v>8</c:v>
                </c:pt>
                <c:pt idx="90">
                  <c:v>96</c:v>
                </c:pt>
                <c:pt idx="91">
                  <c:v>7</c:v>
                </c:pt>
                <c:pt idx="92">
                  <c:v>28</c:v>
                </c:pt>
                <c:pt idx="93">
                  <c:v>81</c:v>
                </c:pt>
                <c:pt idx="94">
                  <c:v>33</c:v>
                </c:pt>
                <c:pt idx="95">
                  <c:v>48</c:v>
                </c:pt>
                <c:pt idx="96">
                  <c:v>9</c:v>
                </c:pt>
                <c:pt idx="97">
                  <c:v>39</c:v>
                </c:pt>
                <c:pt idx="98">
                  <c:v>46</c:v>
                </c:pt>
                <c:pt idx="99">
                  <c:v>88</c:v>
                </c:pt>
                <c:pt idx="100">
                  <c:v>69</c:v>
                </c:pt>
                <c:pt idx="101">
                  <c:v>13</c:v>
                </c:pt>
                <c:pt idx="102">
                  <c:v>14</c:v>
                </c:pt>
                <c:pt idx="103">
                  <c:v>69</c:v>
                </c:pt>
                <c:pt idx="104">
                  <c:v>51</c:v>
                </c:pt>
                <c:pt idx="105">
                  <c:v>27</c:v>
                </c:pt>
                <c:pt idx="106">
                  <c:v>100</c:v>
                </c:pt>
                <c:pt idx="107">
                  <c:v>76</c:v>
                </c:pt>
                <c:pt idx="108">
                  <c:v>42</c:v>
                </c:pt>
                <c:pt idx="109">
                  <c:v>66</c:v>
                </c:pt>
                <c:pt idx="110">
                  <c:v>74</c:v>
                </c:pt>
                <c:pt idx="111">
                  <c:v>99</c:v>
                </c:pt>
                <c:pt idx="112">
                  <c:v>68</c:v>
                </c:pt>
                <c:pt idx="113">
                  <c:v>3</c:v>
                </c:pt>
                <c:pt idx="114">
                  <c:v>87</c:v>
                </c:pt>
                <c:pt idx="115">
                  <c:v>65</c:v>
                </c:pt>
                <c:pt idx="116">
                  <c:v>98</c:v>
                </c:pt>
                <c:pt idx="117">
                  <c:v>22</c:v>
                </c:pt>
                <c:pt idx="118">
                  <c:v>51</c:v>
                </c:pt>
                <c:pt idx="119">
                  <c:v>57</c:v>
                </c:pt>
                <c:pt idx="120">
                  <c:v>45</c:v>
                </c:pt>
                <c:pt idx="121">
                  <c:v>65</c:v>
                </c:pt>
                <c:pt idx="122">
                  <c:v>1</c:v>
                </c:pt>
                <c:pt idx="123">
                  <c:v>54</c:v>
                </c:pt>
                <c:pt idx="124">
                  <c:v>46</c:v>
                </c:pt>
                <c:pt idx="125">
                  <c:v>96</c:v>
                </c:pt>
                <c:pt idx="126">
                  <c:v>32</c:v>
                </c:pt>
                <c:pt idx="127">
                  <c:v>71</c:v>
                </c:pt>
                <c:pt idx="128">
                  <c:v>96</c:v>
                </c:pt>
                <c:pt idx="129">
                  <c:v>27</c:v>
                </c:pt>
                <c:pt idx="130">
                  <c:v>13</c:v>
                </c:pt>
                <c:pt idx="131">
                  <c:v>46</c:v>
                </c:pt>
                <c:pt idx="132">
                  <c:v>76</c:v>
                </c:pt>
                <c:pt idx="133">
                  <c:v>26</c:v>
                </c:pt>
              </c:numCache>
            </c:numRef>
          </c:yVal>
          <c:smooth val="0"/>
          <c:extLst>
            <c:ext xmlns:c16="http://schemas.microsoft.com/office/drawing/2014/chart" uri="{C3380CC4-5D6E-409C-BE32-E72D297353CC}">
              <c16:uniqueId val="{00000003-48E4-4BA2-81C9-56A99ED9870C}"/>
            </c:ext>
          </c:extLst>
        </c:ser>
        <c:dLbls>
          <c:showLegendKey val="0"/>
          <c:showVal val="0"/>
          <c:showCatName val="0"/>
          <c:showSerName val="0"/>
          <c:showPercent val="0"/>
          <c:showBubbleSize val="0"/>
        </c:dLbls>
        <c:axId val="548299104"/>
        <c:axId val="548049504"/>
      </c:scatterChart>
      <c:valAx>
        <c:axId val="548299104"/>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1400" b="1" i="0" u="none" strike="noStrike" kern="1200" cap="all" baseline="0">
                    <a:solidFill>
                      <a:schemeClr val="lt1">
                        <a:lumMod val="75000"/>
                      </a:schemeClr>
                    </a:solidFill>
                    <a:latin typeface="+mn-lt"/>
                    <a:ea typeface="+mn-ea"/>
                    <a:cs typeface="+mn-cs"/>
                  </a:defRPr>
                </a:pPr>
                <a:r>
                  <a:rPr lang="en-US" sz="1400"/>
                  <a:t>ATK</a:t>
                </a:r>
              </a:p>
            </c:rich>
          </c:tx>
          <c:overlay val="0"/>
          <c:spPr>
            <a:noFill/>
            <a:ln>
              <a:noFill/>
            </a:ln>
            <a:effectLst/>
          </c:spPr>
          <c:txPr>
            <a:bodyPr rot="0" spcFirstLastPara="1" vertOverflow="ellipsis" vert="horz" wrap="square" anchor="ctr" anchorCtr="1"/>
            <a:lstStyle/>
            <a:p>
              <a:pPr>
                <a:defRPr sz="1400" b="1" i="0" u="none" strike="noStrike" kern="1200" cap="all"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1100" b="0" i="0" u="none" strike="noStrike" kern="1200" baseline="0">
                <a:solidFill>
                  <a:schemeClr val="lt1">
                    <a:lumMod val="75000"/>
                  </a:schemeClr>
                </a:solidFill>
                <a:latin typeface="+mn-lt"/>
                <a:ea typeface="+mn-ea"/>
                <a:cs typeface="+mn-cs"/>
              </a:defRPr>
            </a:pPr>
            <a:endParaRPr lang="en-US"/>
          </a:p>
        </c:txPr>
        <c:crossAx val="548049504"/>
        <c:crosses val="autoZero"/>
        <c:crossBetween val="midCat"/>
      </c:valAx>
      <c:valAx>
        <c:axId val="54804950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1400" b="1" i="0" u="none" strike="noStrike" kern="1200" cap="all" baseline="0">
                    <a:solidFill>
                      <a:schemeClr val="lt1">
                        <a:lumMod val="75000"/>
                      </a:schemeClr>
                    </a:solidFill>
                    <a:latin typeface="+mn-lt"/>
                    <a:ea typeface="+mn-ea"/>
                    <a:cs typeface="+mn-cs"/>
                  </a:defRPr>
                </a:pPr>
                <a:r>
                  <a:rPr lang="en-US" sz="1400"/>
                  <a:t>DEF</a:t>
                </a:r>
              </a:p>
            </c:rich>
          </c:tx>
          <c:overlay val="0"/>
          <c:spPr>
            <a:noFill/>
            <a:ln>
              <a:noFill/>
            </a:ln>
            <a:effectLst/>
          </c:spPr>
          <c:txPr>
            <a:bodyPr rot="-5400000" spcFirstLastPara="1" vertOverflow="ellipsis" vert="horz" wrap="square" anchor="ctr" anchorCtr="1"/>
            <a:lstStyle/>
            <a:p>
              <a:pPr>
                <a:defRPr sz="1400" b="1" i="0" u="none" strike="noStrike" kern="1200" cap="all"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1100" b="0" i="0" u="none" strike="noStrike" kern="1200" baseline="0">
                <a:solidFill>
                  <a:schemeClr val="lt1">
                    <a:lumMod val="75000"/>
                  </a:schemeClr>
                </a:solidFill>
                <a:latin typeface="+mn-lt"/>
                <a:ea typeface="+mn-ea"/>
                <a:cs typeface="+mn-cs"/>
              </a:defRPr>
            </a:pPr>
            <a:endParaRPr lang="en-US"/>
          </a:p>
        </c:txPr>
        <c:crossAx val="54829910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220980</xdr:colOff>
      <xdr:row>17</xdr:row>
      <xdr:rowOff>75815</xdr:rowOff>
    </xdr:from>
    <xdr:to>
      <xdr:col>5</xdr:col>
      <xdr:colOff>0</xdr:colOff>
      <xdr:row>29</xdr:row>
      <xdr:rowOff>141988</xdr:rowOff>
    </xdr:to>
    <xdr:graphicFrame macro="">
      <xdr:nvGraphicFramePr>
        <xdr:cNvPr id="6" name="Chart 5">
          <a:extLst>
            <a:ext uri="{FF2B5EF4-FFF2-40B4-BE49-F238E27FC236}">
              <a16:creationId xmlns:a16="http://schemas.microsoft.com/office/drawing/2014/main" id="{492751A4-23B3-4CFD-A9D3-50C377DCF4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125801</xdr:colOff>
      <xdr:row>17</xdr:row>
      <xdr:rowOff>75815</xdr:rowOff>
    </xdr:from>
    <xdr:to>
      <xdr:col>13</xdr:col>
      <xdr:colOff>341586</xdr:colOff>
      <xdr:row>42</xdr:row>
      <xdr:rowOff>172776</xdr:rowOff>
    </xdr:to>
    <xdr:graphicFrame macro="">
      <xdr:nvGraphicFramePr>
        <xdr:cNvPr id="7" name="Chart 6">
          <a:extLst>
            <a:ext uri="{FF2B5EF4-FFF2-40B4-BE49-F238E27FC236}">
              <a16:creationId xmlns:a16="http://schemas.microsoft.com/office/drawing/2014/main" id="{8D97518D-8F3E-4274-8F25-19F2FB099C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560552</xdr:colOff>
      <xdr:row>17</xdr:row>
      <xdr:rowOff>75815</xdr:rowOff>
    </xdr:from>
    <xdr:to>
      <xdr:col>22</xdr:col>
      <xdr:colOff>484584</xdr:colOff>
      <xdr:row>42</xdr:row>
      <xdr:rowOff>172776</xdr:rowOff>
    </xdr:to>
    <xdr:graphicFrame macro="">
      <xdr:nvGraphicFramePr>
        <xdr:cNvPr id="8" name="Chart 7">
          <a:extLst>
            <a:ext uri="{FF2B5EF4-FFF2-40B4-BE49-F238E27FC236}">
              <a16:creationId xmlns:a16="http://schemas.microsoft.com/office/drawing/2014/main" id="{D6E5017B-A836-45DE-BEC6-3F2903BD96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220980</xdr:colOff>
      <xdr:row>30</xdr:row>
      <xdr:rowOff>114300</xdr:rowOff>
    </xdr:from>
    <xdr:to>
      <xdr:col>5</xdr:col>
      <xdr:colOff>0</xdr:colOff>
      <xdr:row>43</xdr:row>
      <xdr:rowOff>0</xdr:rowOff>
    </xdr:to>
    <xdr:graphicFrame macro="">
      <xdr:nvGraphicFramePr>
        <xdr:cNvPr id="9" name="Chart 8">
          <a:extLst>
            <a:ext uri="{FF2B5EF4-FFF2-40B4-BE49-F238E27FC236}">
              <a16:creationId xmlns:a16="http://schemas.microsoft.com/office/drawing/2014/main" id="{C3409292-0C1E-4FB2-859A-829D9C1FCB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388620</xdr:colOff>
      <xdr:row>11</xdr:row>
      <xdr:rowOff>75815</xdr:rowOff>
    </xdr:from>
    <xdr:to>
      <xdr:col>7</xdr:col>
      <xdr:colOff>342900</xdr:colOff>
      <xdr:row>16</xdr:row>
      <xdr:rowOff>75814</xdr:rowOff>
    </xdr:to>
    <mc:AlternateContent xmlns:mc="http://schemas.openxmlformats.org/markup-compatibility/2006" xmlns:a14="http://schemas.microsoft.com/office/drawing/2010/main">
      <mc:Choice Requires="a14">
        <xdr:graphicFrame macro="">
          <xdr:nvGraphicFramePr>
            <xdr:cNvPr id="10" name="Sub-Kelompok">
              <a:extLst>
                <a:ext uri="{FF2B5EF4-FFF2-40B4-BE49-F238E27FC236}">
                  <a16:creationId xmlns:a16="http://schemas.microsoft.com/office/drawing/2014/main" id="{B76AC74C-452F-4E77-8A0D-A97ACFF021AC}"/>
                </a:ext>
              </a:extLst>
            </xdr:cNvPr>
            <xdr:cNvGraphicFramePr/>
          </xdr:nvGraphicFramePr>
          <xdr:xfrm>
            <a:off x="0" y="0"/>
            <a:ext cx="0" cy="0"/>
          </xdr:xfrm>
          <a:graphic>
            <a:graphicData uri="http://schemas.microsoft.com/office/drawing/2010/slicer">
              <sle:slicer xmlns:sle="http://schemas.microsoft.com/office/drawing/2010/slicer" name="Sub-Kelompok"/>
            </a:graphicData>
          </a:graphic>
        </xdr:graphicFrame>
      </mc:Choice>
      <mc:Fallback xmlns="">
        <xdr:sp macro="" textlink="">
          <xdr:nvSpPr>
            <xdr:cNvPr id="0" name=""/>
            <xdr:cNvSpPr>
              <a:spLocks noTextEdit="1"/>
            </xdr:cNvSpPr>
          </xdr:nvSpPr>
          <xdr:spPr>
            <a:xfrm>
              <a:off x="2217420" y="2380865"/>
              <a:ext cx="2392680" cy="9048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220980</xdr:colOff>
      <xdr:row>11</xdr:row>
      <xdr:rowOff>75815</xdr:rowOff>
    </xdr:from>
    <xdr:to>
      <xdr:col>3</xdr:col>
      <xdr:colOff>220980</xdr:colOff>
      <xdr:row>16</xdr:row>
      <xdr:rowOff>75815</xdr:rowOff>
    </xdr:to>
    <mc:AlternateContent xmlns:mc="http://schemas.openxmlformats.org/markup-compatibility/2006" xmlns:a14="http://schemas.microsoft.com/office/drawing/2010/main">
      <mc:Choice Requires="a14">
        <xdr:graphicFrame macro="">
          <xdr:nvGraphicFramePr>
            <xdr:cNvPr id="11" name="Grup">
              <a:extLst>
                <a:ext uri="{FF2B5EF4-FFF2-40B4-BE49-F238E27FC236}">
                  <a16:creationId xmlns:a16="http://schemas.microsoft.com/office/drawing/2014/main" id="{23ACD30B-BF6C-45E4-8833-41AEA21C414B}"/>
                </a:ext>
              </a:extLst>
            </xdr:cNvPr>
            <xdr:cNvGraphicFramePr/>
          </xdr:nvGraphicFramePr>
          <xdr:xfrm>
            <a:off x="0" y="0"/>
            <a:ext cx="0" cy="0"/>
          </xdr:xfrm>
          <a:graphic>
            <a:graphicData uri="http://schemas.microsoft.com/office/drawing/2010/slicer">
              <sle:slicer xmlns:sle="http://schemas.microsoft.com/office/drawing/2010/slicer" name="Grup"/>
            </a:graphicData>
          </a:graphic>
        </xdr:graphicFrame>
      </mc:Choice>
      <mc:Fallback xmlns="">
        <xdr:sp macro="" textlink="">
          <xdr:nvSpPr>
            <xdr:cNvPr id="0" name=""/>
            <xdr:cNvSpPr>
              <a:spLocks noTextEdit="1"/>
            </xdr:cNvSpPr>
          </xdr:nvSpPr>
          <xdr:spPr>
            <a:xfrm>
              <a:off x="220980" y="2380865"/>
              <a:ext cx="1828800" cy="904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511341</xdr:colOff>
      <xdr:row>11</xdr:row>
      <xdr:rowOff>75815</xdr:rowOff>
    </xdr:from>
    <xdr:to>
      <xdr:col>12</xdr:col>
      <xdr:colOff>0</xdr:colOff>
      <xdr:row>16</xdr:row>
      <xdr:rowOff>75815</xdr:rowOff>
    </xdr:to>
    <mc:AlternateContent xmlns:mc="http://schemas.openxmlformats.org/markup-compatibility/2006" xmlns:a14="http://schemas.microsoft.com/office/drawing/2010/main">
      <mc:Choice Requires="a14">
        <xdr:graphicFrame macro="">
          <xdr:nvGraphicFramePr>
            <xdr:cNvPr id="12" name="Faction">
              <a:extLst>
                <a:ext uri="{FF2B5EF4-FFF2-40B4-BE49-F238E27FC236}">
                  <a16:creationId xmlns:a16="http://schemas.microsoft.com/office/drawing/2014/main" id="{06F79AAA-7C8B-4A07-A002-B0122C19E0DD}"/>
                </a:ext>
              </a:extLst>
            </xdr:cNvPr>
            <xdr:cNvGraphicFramePr/>
          </xdr:nvGraphicFramePr>
          <xdr:xfrm>
            <a:off x="0" y="0"/>
            <a:ext cx="0" cy="0"/>
          </xdr:xfrm>
          <a:graphic>
            <a:graphicData uri="http://schemas.microsoft.com/office/drawing/2010/slicer">
              <sle:slicer xmlns:sle="http://schemas.microsoft.com/office/drawing/2010/slicer" name="Faction"/>
            </a:graphicData>
          </a:graphic>
        </xdr:graphicFrame>
      </mc:Choice>
      <mc:Fallback xmlns="">
        <xdr:sp macro="" textlink="">
          <xdr:nvSpPr>
            <xdr:cNvPr id="0" name=""/>
            <xdr:cNvSpPr>
              <a:spLocks noTextEdit="1"/>
            </xdr:cNvSpPr>
          </xdr:nvSpPr>
          <xdr:spPr>
            <a:xfrm>
              <a:off x="4778541" y="2380865"/>
              <a:ext cx="2536659" cy="904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109328</xdr:colOff>
      <xdr:row>11</xdr:row>
      <xdr:rowOff>75815</xdr:rowOff>
    </xdr:from>
    <xdr:to>
      <xdr:col>15</xdr:col>
      <xdr:colOff>481723</xdr:colOff>
      <xdr:row>16</xdr:row>
      <xdr:rowOff>73410</xdr:rowOff>
    </xdr:to>
    <mc:AlternateContent xmlns:mc="http://schemas.openxmlformats.org/markup-compatibility/2006" xmlns:a14="http://schemas.microsoft.com/office/drawing/2010/main">
      <mc:Choice Requires="a14">
        <xdr:graphicFrame macro="">
          <xdr:nvGraphicFramePr>
            <xdr:cNvPr id="13" name="Role">
              <a:extLst>
                <a:ext uri="{FF2B5EF4-FFF2-40B4-BE49-F238E27FC236}">
                  <a16:creationId xmlns:a16="http://schemas.microsoft.com/office/drawing/2014/main" id="{37B712B9-FDE9-4662-8F1D-E9B0152CB936}"/>
                </a:ext>
              </a:extLst>
            </xdr:cNvPr>
            <xdr:cNvGraphicFramePr/>
          </xdr:nvGraphicFramePr>
          <xdr:xfrm>
            <a:off x="0" y="0"/>
            <a:ext cx="0" cy="0"/>
          </xdr:xfrm>
          <a:graphic>
            <a:graphicData uri="http://schemas.microsoft.com/office/drawing/2010/slicer">
              <sle:slicer xmlns:sle="http://schemas.microsoft.com/office/drawing/2010/slicer" name="Role"/>
            </a:graphicData>
          </a:graphic>
        </xdr:graphicFrame>
      </mc:Choice>
      <mc:Fallback xmlns="">
        <xdr:sp macro="" textlink="">
          <xdr:nvSpPr>
            <xdr:cNvPr id="0" name=""/>
            <xdr:cNvSpPr>
              <a:spLocks noTextEdit="1"/>
            </xdr:cNvSpPr>
          </xdr:nvSpPr>
          <xdr:spPr>
            <a:xfrm>
              <a:off x="7424528" y="2380865"/>
              <a:ext cx="2201195" cy="9024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11</xdr:row>
      <xdr:rowOff>75815</xdr:rowOff>
    </xdr:from>
    <xdr:to>
      <xdr:col>22</xdr:col>
      <xdr:colOff>484583</xdr:colOff>
      <xdr:row>16</xdr:row>
      <xdr:rowOff>75816</xdr:rowOff>
    </xdr:to>
    <mc:AlternateContent xmlns:mc="http://schemas.openxmlformats.org/markup-compatibility/2006" xmlns:a14="http://schemas.microsoft.com/office/drawing/2010/main">
      <mc:Choice Requires="a14">
        <xdr:graphicFrame macro="">
          <xdr:nvGraphicFramePr>
            <xdr:cNvPr id="14" name="Status Squad">
              <a:extLst>
                <a:ext uri="{FF2B5EF4-FFF2-40B4-BE49-F238E27FC236}">
                  <a16:creationId xmlns:a16="http://schemas.microsoft.com/office/drawing/2014/main" id="{93DF36DA-0EA3-4376-8BFF-5931A0F42C56}"/>
                </a:ext>
              </a:extLst>
            </xdr:cNvPr>
            <xdr:cNvGraphicFramePr/>
          </xdr:nvGraphicFramePr>
          <xdr:xfrm>
            <a:off x="0" y="0"/>
            <a:ext cx="0" cy="0"/>
          </xdr:xfrm>
          <a:graphic>
            <a:graphicData uri="http://schemas.microsoft.com/office/drawing/2010/slicer">
              <sle:slicer xmlns:sle="http://schemas.microsoft.com/office/drawing/2010/slicer" name="Status Squad"/>
            </a:graphicData>
          </a:graphic>
        </xdr:graphicFrame>
      </mc:Choice>
      <mc:Fallback xmlns="">
        <xdr:sp macro="" textlink="">
          <xdr:nvSpPr>
            <xdr:cNvPr id="0" name=""/>
            <xdr:cNvSpPr>
              <a:spLocks noTextEdit="1"/>
            </xdr:cNvSpPr>
          </xdr:nvSpPr>
          <xdr:spPr>
            <a:xfrm>
              <a:off x="9753600" y="2380865"/>
              <a:ext cx="4142183" cy="9048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12</xdr:col>
      <xdr:colOff>0</xdr:colOff>
      <xdr:row>2</xdr:row>
      <xdr:rowOff>0</xdr:rowOff>
    </xdr:from>
    <xdr:to>
      <xdr:col>25</xdr:col>
      <xdr:colOff>141059</xdr:colOff>
      <xdr:row>33</xdr:row>
      <xdr:rowOff>15295</xdr:rowOff>
    </xdr:to>
    <xdr:graphicFrame macro="">
      <xdr:nvGraphicFramePr>
        <xdr:cNvPr id="3" name="Chart 2">
          <a:extLst>
            <a:ext uri="{FF2B5EF4-FFF2-40B4-BE49-F238E27FC236}">
              <a16:creationId xmlns:a16="http://schemas.microsoft.com/office/drawing/2014/main" id="{09E8B54B-491C-46DF-A736-73181C995A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Legion" refreshedDate="46178.733596990744" createdVersion="8" refreshedVersion="8" minRefreshableVersion="3" recordCount="832" xr:uid="{0813398E-BADB-4E38-B088-8B5118848613}">
  <cacheSource type="worksheet">
    <worksheetSource name="OC"/>
  </cacheSource>
  <cacheFields count="21">
    <cacheField name="Nama Karakter" numFmtId="0">
      <sharedItems/>
    </cacheField>
    <cacheField name="Tanggal Lahir" numFmtId="14">
      <sharedItems containsSemiMixedTypes="0" containsNonDate="0" containsDate="1" containsString="0" minDate="2001-01-01T00:00:00" maxDate="2004-11-10T00:00:00"/>
    </cacheField>
    <cacheField name="Umur" numFmtId="0">
      <sharedItems containsSemiMixedTypes="0" containsString="0" containsNumber="1" containsInteger="1" minValue="21" maxValue="24"/>
    </cacheField>
    <cacheField name="Tinggi (cm)" numFmtId="0">
      <sharedItems containsSemiMixedTypes="0" containsString="0" containsNumber="1" containsInteger="1" minValue="160" maxValue="185"/>
    </cacheField>
    <cacheField name="Kategori Tinggi" numFmtId="0">
      <sharedItems/>
    </cacheField>
    <cacheField name="MBTI" numFmtId="0">
      <sharedItems/>
    </cacheField>
    <cacheField name="Sub-Kelompok" numFmtId="0">
      <sharedItems count="4">
        <s v="The Analysts"/>
        <s v="The Sentinels"/>
        <s v="The Explorers"/>
        <s v="The Diplomats"/>
      </sharedItems>
    </cacheField>
    <cacheField name="Grup" numFmtId="0">
      <sharedItems count="2">
        <s v="Modern"/>
        <s v="Fantasy"/>
      </sharedItems>
    </cacheField>
    <cacheField name="Role / Kekuatan Utama" numFmtId="0">
      <sharedItems/>
    </cacheField>
    <cacheField name="HP" numFmtId="0">
      <sharedItems containsSemiMixedTypes="0" containsString="0" containsNumber="1" containsInteger="1" minValue="1" maxValue="150"/>
    </cacheField>
    <cacheField name="ATK" numFmtId="0">
      <sharedItems containsSemiMixedTypes="0" containsString="0" containsNumber="1" containsInteger="1" minValue="1" maxValue="100"/>
    </cacheField>
    <cacheField name="DEF" numFmtId="0">
      <sharedItems containsSemiMixedTypes="0" containsString="0" containsNumber="1" containsInteger="1" minValue="1" maxValue="100"/>
    </cacheField>
    <cacheField name="SPD" numFmtId="0">
      <sharedItems containsSemiMixedTypes="0" containsString="0" containsNumber="1" containsInteger="1" minValue="1" maxValue="100"/>
    </cacheField>
    <cacheField name="Crit Rate" numFmtId="2">
      <sharedItems/>
    </cacheField>
    <cacheField name="MP" numFmtId="0">
      <sharedItems containsSemiMixedTypes="0" containsString="0" containsNumber="1" containsInteger="1" minValue="1" maxValue="400"/>
    </cacheField>
    <cacheField name="Win Rate" numFmtId="0">
      <sharedItems containsSemiMixedTypes="0" containsString="0" containsNumber="1" minValue="0.40050000000000002" maxValue="0.91"/>
    </cacheField>
    <cacheField name="Potensi Damage" numFmtId="0">
      <sharedItems containsSemiMixedTypes="0" containsString="0" containsNumber="1" minValue="1.7198" maxValue="190.50790000000001"/>
    </cacheField>
    <cacheField name="Faction" numFmtId="0">
      <sharedItems count="4">
        <s v="Northern Tundra"/>
        <s v="Eastern Sunrise"/>
        <s v="Southern Isles"/>
        <s v="Western Citadel"/>
      </sharedItems>
    </cacheField>
    <cacheField name="Total Stat" numFmtId="0">
      <sharedItems containsSemiMixedTypes="0" containsString="0" containsNumber="1" minValue="69.648399999999995" maxValue="792.67970000000003"/>
    </cacheField>
    <cacheField name="Role" numFmtId="0">
      <sharedItems count="3">
        <s v="Balanced"/>
        <s v="Attacker"/>
        <s v="Support"/>
      </sharedItems>
    </cacheField>
    <cacheField name="Status Squad" numFmtId="0">
      <sharedItems count="7">
        <s v="Tactician"/>
        <s v="Squad Inti"/>
        <s v="Tanker"/>
        <s v="Elite Spy"/>
        <s v="Reguler"/>
        <s v="Brawler"/>
        <s v="Ranger"/>
      </sharedItems>
    </cacheField>
  </cacheFields>
  <extLst>
    <ext xmlns:x14="http://schemas.microsoft.com/office/spreadsheetml/2009/9/main" uri="{725AE2AE-9491-48be-B2B4-4EB974FC3084}">
      <x14:pivotCacheDefinition pivotCacheId="2595056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2">
  <r>
    <s v="Paula Lopez"/>
    <d v="2002-09-14T00:00:00"/>
    <n v="23"/>
    <n v="171"/>
    <s v="Normal"/>
    <s v="INTP"/>
    <x v="0"/>
    <x v="0"/>
    <s v="Fracture Surge"/>
    <n v="120"/>
    <n v="85"/>
    <n v="65"/>
    <n v="70"/>
    <s v="0.88 %"/>
    <n v="310"/>
    <n v="0.69"/>
    <n v="159.80000000000001"/>
    <x v="0"/>
    <n v="651.57000000000005"/>
    <x v="0"/>
    <x v="0"/>
  </r>
  <r>
    <s v="Hiromi Masaki"/>
    <d v="2002-01-19T00:00:00"/>
    <n v="23"/>
    <n v="175"/>
    <s v="Tinggi"/>
    <s v="INTJ"/>
    <x v="0"/>
    <x v="0"/>
    <s v="Gravity Rend"/>
    <n v="130"/>
    <n v="90"/>
    <n v="75"/>
    <n v="60"/>
    <s v="0.15 %"/>
    <n v="330"/>
    <n v="0.54"/>
    <n v="103.5"/>
    <x v="1"/>
    <n v="685.69"/>
    <x v="1"/>
    <x v="1"/>
  </r>
  <r>
    <s v="Gillian Wiley"/>
    <d v="2002-07-08T00:00:00"/>
    <n v="23"/>
    <n v="172"/>
    <s v="Normal"/>
    <s v="ENTJ"/>
    <x v="0"/>
    <x v="0"/>
    <s v="Ruin Pulse Engine"/>
    <n v="140"/>
    <n v="88"/>
    <n v="80"/>
    <n v="65"/>
    <s v="0.35 %"/>
    <n v="200"/>
    <n v="0.51"/>
    <n v="118.8"/>
    <x v="2"/>
    <n v="573.86"/>
    <x v="1"/>
    <x v="1"/>
  </r>
  <r>
    <s v="Chiyo Funai"/>
    <d v="2002-01-08T00:00:00"/>
    <n v="23"/>
    <n v="173"/>
    <s v="Normal"/>
    <s v="ISTJ"/>
    <x v="1"/>
    <x v="0"/>
    <s v="Guillotine Line"/>
    <n v="135"/>
    <n v="65"/>
    <n v="90"/>
    <n v="55"/>
    <s v="0.5 %"/>
    <n v="300"/>
    <n v="0.74"/>
    <n v="97.5"/>
    <x v="3"/>
    <n v="646.24"/>
    <x v="2"/>
    <x v="2"/>
  </r>
  <r>
    <s v="Shizuka Aikawa"/>
    <d v="2002-12-28T00:00:00"/>
    <n v="23"/>
    <n v="169"/>
    <s v="Normal"/>
    <s v="ESTJ"/>
    <x v="1"/>
    <x v="0"/>
    <s v="Warbrand Arsenal"/>
    <n v="145"/>
    <n v="80"/>
    <n v="85"/>
    <n v="50"/>
    <s v="0.25 %"/>
    <n v="300"/>
    <n v="0.7"/>
    <n v="100"/>
    <x v="3"/>
    <n v="660.95"/>
    <x v="0"/>
    <x v="2"/>
  </r>
  <r>
    <s v="Cael Dunmore"/>
    <d v="2002-02-02T00:00:00"/>
    <n v="23"/>
    <n v="180"/>
    <s v="Tinggi"/>
    <s v="ESTP"/>
    <x v="2"/>
    <x v="1"/>
    <s v="Probability Flux / Treasure Hunter"/>
    <n v="120"/>
    <n v="84"/>
    <n v="65"/>
    <n v="88"/>
    <s v="0.45 %"/>
    <n v="180"/>
    <n v="0.55000000000000004"/>
    <n v="121.8"/>
    <x v="1"/>
    <n v="538"/>
    <x v="0"/>
    <x v="3"/>
  </r>
  <r>
    <s v="Seren Ashvale"/>
    <d v="2002-03-24T00:00:00"/>
    <n v="23"/>
    <n v="175"/>
    <s v="Tinggi"/>
    <s v="ENTJ"/>
    <x v="0"/>
    <x v="1"/>
    <s v="Absolute Command / General"/>
    <n v="135"/>
    <n v="88"/>
    <n v="80"/>
    <n v="62"/>
    <s v="0.62 %"/>
    <n v="270"/>
    <n v="0.67"/>
    <n v="142.56"/>
    <x v="0"/>
    <n v="636.29"/>
    <x v="1"/>
    <x v="1"/>
  </r>
  <r>
    <s v="Caius Nox"/>
    <d v="2002-04-28T00:00:00"/>
    <n v="23"/>
    <n v="178"/>
    <s v="Tinggi"/>
    <s v="INTJ"/>
    <x v="0"/>
    <x v="1"/>
    <s v="Fate Weave / Royal Advisor"/>
    <n v="122"/>
    <n v="80"/>
    <n v="75"/>
    <n v="70"/>
    <s v="0.85 %"/>
    <n v="120"/>
    <n v="0.68"/>
    <n v="148"/>
    <x v="0"/>
    <n v="468.53"/>
    <x v="0"/>
    <x v="0"/>
  </r>
  <r>
    <s v="Orin Eld"/>
    <d v="2002-01-17T00:00:00"/>
    <n v="23"/>
    <n v="176"/>
    <s v="Tinggi"/>
    <s v="INFJ"/>
    <x v="3"/>
    <x v="1"/>
    <s v="Moment moment of Truth / Oracle"/>
    <n v="110"/>
    <n v="70"/>
    <n v="70"/>
    <n v="65"/>
    <s v="0.72 %"/>
    <n v="290"/>
    <n v="0.61"/>
    <n v="120.4"/>
    <x v="0"/>
    <n v="606.33000000000004"/>
    <x v="2"/>
    <x v="4"/>
  </r>
  <r>
    <s v="Kiran Sol"/>
    <d v="2002-05-01T00:00:00"/>
    <n v="23"/>
    <n v="175"/>
    <s v="Tinggi"/>
    <s v="ESTJ"/>
    <x v="1"/>
    <x v="1"/>
    <s v="Zone of Order / City Watch Captain"/>
    <n v="138"/>
    <n v="82"/>
    <n v="82"/>
    <n v="58"/>
    <s v="0.3 %"/>
    <n v="350"/>
    <n v="0.6"/>
    <n v="106.6"/>
    <x v="0"/>
    <n v="710.9"/>
    <x v="0"/>
    <x v="2"/>
  </r>
  <r>
    <s v="Tobias Rey"/>
    <d v="2002-06-07T00:00:00"/>
    <n v="23"/>
    <n v="178"/>
    <s v="Tinggi"/>
    <s v="ESFJ"/>
    <x v="1"/>
    <x v="1"/>
    <s v="Triage Field / Field Medic"/>
    <n v="132"/>
    <n v="60"/>
    <n v="80"/>
    <n v="60"/>
    <s v="0.3 %"/>
    <n v="280"/>
    <n v="0.57999999999999996"/>
    <n v="78"/>
    <x v="2"/>
    <n v="612.88"/>
    <x v="2"/>
    <x v="2"/>
  </r>
  <r>
    <s v="Hayami Amamiya"/>
    <d v="2003-02-16T00:00:00"/>
    <n v="22"/>
    <n v="173"/>
    <s v="Normal"/>
    <s v="ISTP"/>
    <x v="2"/>
    <x v="0"/>
    <s v="Elemental Mastery"/>
    <n v="110"/>
    <n v="98"/>
    <n v="82"/>
    <n v="95"/>
    <s v="0.43 %"/>
    <n v="340"/>
    <n v="0.91"/>
    <n v="140.13999999999999"/>
    <x v="0"/>
    <n v="726.34"/>
    <x v="1"/>
    <x v="1"/>
  </r>
  <r>
    <s v="Shiina Ishioka"/>
    <d v="2003-03-30T00:00:00"/>
    <n v="22"/>
    <n v="165"/>
    <s v="Pendek"/>
    <s v="ISFP"/>
    <x v="2"/>
    <x v="0"/>
    <s v="Essence Severance"/>
    <n v="105"/>
    <n v="80"/>
    <n v="50"/>
    <n v="90"/>
    <s v="0.42 %"/>
    <n v="330"/>
    <n v="0.5"/>
    <n v="113.6"/>
    <x v="2"/>
    <n v="655.92"/>
    <x v="0"/>
    <x v="3"/>
  </r>
  <r>
    <s v="Mayumi Sasaki"/>
    <d v="2003-03-06T00:00:00"/>
    <n v="22"/>
    <n v="168"/>
    <s v="Normal"/>
    <s v="ISFJ"/>
    <x v="1"/>
    <x v="0"/>
    <s v="Damage Reflection Lattice"/>
    <n v="150"/>
    <n v="55"/>
    <n v="95"/>
    <n v="45"/>
    <s v="0.68 %"/>
    <n v="140"/>
    <n v="0.64"/>
    <n v="92.4"/>
    <x v="3"/>
    <n v="486.32"/>
    <x v="2"/>
    <x v="2"/>
  </r>
  <r>
    <s v="Lily Raven"/>
    <d v="2003-09-02T00:00:00"/>
    <n v="22"/>
    <n v="167"/>
    <s v="Pendek"/>
    <s v="ESFJ"/>
    <x v="1"/>
    <x v="0"/>
    <s v="Heartstrike Overload"/>
    <n v="120"/>
    <n v="78"/>
    <n v="70"/>
    <n v="75"/>
    <s v="0.25 %"/>
    <n v="280"/>
    <n v="0.52"/>
    <n v="97.5"/>
    <x v="3"/>
    <n v="623.77"/>
    <x v="0"/>
    <x v="4"/>
  </r>
  <r>
    <s v="Himiko Nakayama"/>
    <d v="2003-04-21T00:00:00"/>
    <n v="22"/>
    <n v="169"/>
    <s v="Normal"/>
    <s v="ENFJ"/>
    <x v="3"/>
    <x v="0"/>
    <s v="Dominion Mark"/>
    <n v="125"/>
    <n v="72"/>
    <n v="75"/>
    <n v="70"/>
    <s v="0.4 %"/>
    <n v="150"/>
    <n v="0.66"/>
    <n v="100.8"/>
    <x v="3"/>
    <n v="493.06"/>
    <x v="2"/>
    <x v="4"/>
  </r>
  <r>
    <s v="Katie Olson"/>
    <d v="2003-03-12T00:00:00"/>
    <n v="22"/>
    <n v="165"/>
    <s v="Pendek"/>
    <s v="INFP"/>
    <x v="3"/>
    <x v="0"/>
    <s v="Soulfire Manifestation"/>
    <n v="105"/>
    <n v="88"/>
    <n v="55"/>
    <n v="75"/>
    <s v="0.55 %"/>
    <n v="160"/>
    <n v="0.57999999999999996"/>
    <n v="136.4"/>
    <x v="2"/>
    <n v="484.13"/>
    <x v="1"/>
    <x v="1"/>
  </r>
  <r>
    <s v="Aldric Crane"/>
    <d v="2003-08-21T00:00:00"/>
    <n v="22"/>
    <n v="184"/>
    <s v="Tinggi"/>
    <s v="ISTP"/>
    <x v="2"/>
    <x v="1"/>
    <s v="Primal Sovereign / Engineer"/>
    <n v="130"/>
    <n v="95"/>
    <n v="85"/>
    <n v="87"/>
    <s v="0.75 %"/>
    <n v="350"/>
    <n v="0.62"/>
    <n v="166.25"/>
    <x v="0"/>
    <n v="748.37"/>
    <x v="1"/>
    <x v="1"/>
  </r>
  <r>
    <s v="Sylvaine Morrel"/>
    <d v="2003-01-29T00:00:00"/>
    <n v="22"/>
    <n v="173"/>
    <s v="Normal"/>
    <s v="INTP"/>
    <x v="0"/>
    <x v="1"/>
    <s v="Runic Deconstruction / Scholar"/>
    <n v="112"/>
    <n v="92"/>
    <n v="58"/>
    <n v="68"/>
    <s v="0.5 %"/>
    <n v="210"/>
    <n v="0.63"/>
    <n v="138"/>
    <x v="1"/>
    <n v="541.13"/>
    <x v="1"/>
    <x v="1"/>
  </r>
  <r>
    <s v="Rhen Caen"/>
    <d v="2003-05-16T00:00:00"/>
    <n v="22"/>
    <n v="181"/>
    <s v="Tinggi"/>
    <s v="ENFJ"/>
    <x v="3"/>
    <x v="1"/>
    <s v="Covenant Bond / Healer &amp; Diplomat"/>
    <n v="140"/>
    <n v="65"/>
    <n v="85"/>
    <n v="55"/>
    <s v="0.55 %"/>
    <n v="240"/>
    <n v="0.72"/>
    <n v="100.75"/>
    <x v="3"/>
    <n v="586.27"/>
    <x v="2"/>
    <x v="2"/>
  </r>
  <r>
    <s v="Dorian Penn"/>
    <d v="2003-03-04T00:00:00"/>
    <n v="22"/>
    <n v="179"/>
    <s v="Tinggi"/>
    <s v="ISTJ"/>
    <x v="1"/>
    <x v="1"/>
    <s v="Archive of Blades / Guild Archivist"/>
    <n v="128"/>
    <n v="80"/>
    <n v="78"/>
    <n v="64"/>
    <s v="0.9 %"/>
    <n v="90"/>
    <n v="0.81"/>
    <n v="152"/>
    <x v="1"/>
    <n v="441.71"/>
    <x v="0"/>
    <x v="4"/>
  </r>
  <r>
    <s v="Mica Dwyer"/>
    <d v="2004-06-11T00:00:00"/>
    <n v="21"/>
    <n v="168"/>
    <s v="Normal"/>
    <s v="ENTP"/>
    <x v="0"/>
    <x v="0"/>
    <s v="Adaptive Mutation"/>
    <n v="115"/>
    <n v="75"/>
    <n v="70"/>
    <n v="85"/>
    <s v="0.4 %"/>
    <n v="260"/>
    <n v="0.75"/>
    <n v="105"/>
    <x v="1"/>
    <n v="606.15"/>
    <x v="0"/>
    <x v="0"/>
  </r>
  <r>
    <s v="Shaye Kaylen"/>
    <d v="2004-07-30T00:00:00"/>
    <n v="21"/>
    <n v="171"/>
    <s v="Normal"/>
    <s v="ESTP"/>
    <x v="2"/>
    <x v="0"/>
    <s v="Combat Escalation Law"/>
    <n v="125"/>
    <n v="87"/>
    <n v="65"/>
    <n v="80"/>
    <s v="0.58 %"/>
    <n v="190"/>
    <n v="0.56000000000000005"/>
    <n v="137.46"/>
    <x v="1"/>
    <n v="548.14"/>
    <x v="0"/>
    <x v="5"/>
  </r>
  <r>
    <s v="Theresa Felix"/>
    <d v="2004-07-14T00:00:00"/>
    <n v="21"/>
    <n v="167"/>
    <s v="Pendek"/>
    <s v="ESFP"/>
    <x v="2"/>
    <x v="0"/>
    <s v="Sensory Collapse Domain"/>
    <n v="115"/>
    <n v="70"/>
    <n v="55"/>
    <n v="85"/>
    <s v="0.48 %"/>
    <n v="220"/>
    <n v="0.61"/>
    <n v="103.6"/>
    <x v="3"/>
    <n v="546.09"/>
    <x v="2"/>
    <x v="3"/>
  </r>
  <r>
    <s v="Sonia Spade"/>
    <d v="2004-02-27T00:00:00"/>
    <n v="21"/>
    <n v="166"/>
    <s v="Pendek"/>
    <s v="INFJ"/>
    <x v="3"/>
    <x v="0"/>
    <s v="Emotional Vectoring"/>
    <n v="110"/>
    <n v="60"/>
    <n v="65"/>
    <n v="80"/>
    <s v="0.38 %"/>
    <n v="380"/>
    <n v="0.55000000000000004"/>
    <n v="82.8"/>
    <x v="0"/>
    <n v="695.93"/>
    <x v="2"/>
    <x v="4"/>
  </r>
  <r>
    <s v="Emily Caddel"/>
    <d v="2004-05-18T00:00:00"/>
    <n v="21"/>
    <n v="167"/>
    <s v="Pendek"/>
    <s v="ENFP"/>
    <x v="3"/>
    <x v="0"/>
    <s v="Dimensional Phase Shifting"/>
    <n v="110"/>
    <n v="75"/>
    <n v="60"/>
    <n v="90"/>
    <s v="0.8 %"/>
    <n v="110"/>
    <n v="0.63"/>
    <n v="135"/>
    <x v="2"/>
    <n v="446.43"/>
    <x v="0"/>
    <x v="3"/>
  </r>
  <r>
    <s v="Mara Solene"/>
    <d v="2004-03-25T00:00:00"/>
    <n v="21"/>
    <n v="168"/>
    <s v="Normal"/>
    <s v="ESFP"/>
    <x v="2"/>
    <x v="1"/>
    <s v="Resonant Aria / Performer"/>
    <n v="115"/>
    <n v="70"/>
    <n v="60"/>
    <n v="82"/>
    <s v="0.6 %"/>
    <n v="220"/>
    <n v="0.71"/>
    <n v="112"/>
    <x v="1"/>
    <n v="548.30999999999995"/>
    <x v="2"/>
    <x v="6"/>
  </r>
  <r>
    <s v="Luno Bright"/>
    <d v="2004-07-12T00:00:00"/>
    <n v="21"/>
    <n v="170"/>
    <s v="Normal"/>
    <s v="ISFP"/>
    <x v="2"/>
    <x v="1"/>
    <s v="Living Canvas / Cartographer"/>
    <n v="110"/>
    <n v="75"/>
    <n v="65"/>
    <n v="75"/>
    <s v="0.7 %"/>
    <n v="210"/>
    <n v="0.48"/>
    <n v="127.5"/>
    <x v="2"/>
    <n v="536.17999999999995"/>
    <x v="0"/>
    <x v="6"/>
  </r>
  <r>
    <s v="Zivan Holt"/>
    <d v="2004-11-09T00:00:00"/>
    <n v="21"/>
    <n v="180"/>
    <s v="Tinggi"/>
    <s v="ENTP"/>
    <x v="0"/>
    <x v="1"/>
    <s v="Transmutation Aura / Alchemist"/>
    <n v="118"/>
    <n v="85"/>
    <n v="70"/>
    <n v="75"/>
    <s v="0.2 %"/>
    <n v="340"/>
    <n v="0.52"/>
    <n v="102"/>
    <x v="1"/>
    <n v="688.72"/>
    <x v="0"/>
    <x v="0"/>
  </r>
  <r>
    <s v="Mira Vane"/>
    <d v="2004-05-04T00:00:00"/>
    <n v="21"/>
    <n v="167"/>
    <s v="Pendek"/>
    <s v="ENFP"/>
    <x v="3"/>
    <x v="1"/>
    <s v="Momentum Surge / Knight-Errant"/>
    <n v="125"/>
    <n v="83"/>
    <n v="67"/>
    <n v="80"/>
    <s v="0.35 %"/>
    <n v="320"/>
    <n v="0.57999999999999996"/>
    <n v="112.05"/>
    <x v="2"/>
    <n v="675.93"/>
    <x v="0"/>
    <x v="5"/>
  </r>
  <r>
    <s v="Elara Moss"/>
    <d v="2004-09-18T00:00:00"/>
    <n v="21"/>
    <n v="168"/>
    <s v="Normal"/>
    <s v="INFP"/>
    <x v="3"/>
    <x v="1"/>
    <s v="Verdant Wrath / Forest Herbalist"/>
    <n v="115"/>
    <n v="76"/>
    <n v="62"/>
    <n v="72"/>
    <s v="0.65 %"/>
    <n v="150"/>
    <n v="0.59"/>
    <n v="125.4"/>
    <x v="3"/>
    <n v="476.24"/>
    <x v="0"/>
    <x v="4"/>
  </r>
  <r>
    <s v="Nora Voss"/>
    <d v="2004-02-11T00:00:00"/>
    <n v="21"/>
    <n v="168"/>
    <s v="Normal"/>
    <s v="ISFJ"/>
    <x v="1"/>
    <x v="1"/>
    <s v="Memory Palace / Librarian Assistant"/>
    <n v="120"/>
    <n v="55"/>
    <n v="85"/>
    <n v="55"/>
    <s v="0.52 %"/>
    <n v="175"/>
    <n v="0.53"/>
    <n v="83.6"/>
    <x v="2"/>
    <n v="491.05"/>
    <x v="2"/>
    <x v="4"/>
  </r>
  <r>
    <s v="Hugo Watanabe"/>
    <d v="2002-01-02T00:00:00"/>
    <n v="22"/>
    <n v="179"/>
    <s v="Tinggi"/>
    <s v="INFP"/>
    <x v="3"/>
    <x v="1"/>
    <s v="Essence Severance"/>
    <n v="35"/>
    <n v="14"/>
    <n v="10"/>
    <n v="73"/>
    <s v="0.7304 %"/>
    <n v="213"/>
    <n v="0.44040000000000001"/>
    <n v="24.554400000000001"/>
    <x v="3"/>
    <n v="346.20080000000002"/>
    <x v="2"/>
    <x v="4"/>
  </r>
  <r>
    <s v="Nora Drayton"/>
    <d v="2002-03-12T00:00:00"/>
    <n v="22"/>
    <n v="181"/>
    <s v="Tinggi"/>
    <s v="INFJ"/>
    <x v="3"/>
    <x v="1"/>
    <s v="Archive of Blades / Guild Archivist"/>
    <n v="24"/>
    <n v="66"/>
    <n v="85"/>
    <n v="35"/>
    <s v="0.5758 %"/>
    <n v="379"/>
    <n v="0.74850000000000005"/>
    <n v="104.6331"/>
    <x v="3"/>
    <n v="589.90430000000003"/>
    <x v="0"/>
    <x v="2"/>
  </r>
  <r>
    <s v="Felix Ashby"/>
    <d v="2003-08-05T00:00:00"/>
    <n v="21"/>
    <n v="162"/>
    <s v="Pendek"/>
    <s v="INTP"/>
    <x v="0"/>
    <x v="1"/>
    <s v="Elemental Mastery"/>
    <n v="78"/>
    <n v="21"/>
    <n v="47"/>
    <n v="6"/>
    <s v="0.9572 %"/>
    <n v="53"/>
    <n v="0.7218"/>
    <n v="40.337899999999998"/>
    <x v="1"/>
    <n v="205.989"/>
    <x v="0"/>
    <x v="0"/>
  </r>
  <r>
    <s v="Aria Velmont"/>
    <d v="2003-05-09T00:00:00"/>
    <n v="21"/>
    <n v="181"/>
    <s v="Tinggi"/>
    <s v="INTP"/>
    <x v="0"/>
    <x v="0"/>
    <s v="Guillotine Line"/>
    <n v="13"/>
    <n v="43"/>
    <n v="10"/>
    <n v="32"/>
    <s v="0.3967 %"/>
    <n v="3"/>
    <n v="0.63549999999999995"/>
    <n v="60.225700000000003"/>
    <x v="1"/>
    <n v="101.6922"/>
    <x v="1"/>
    <x v="2"/>
  </r>
  <r>
    <s v="Vesper Muller"/>
    <d v="2003-09-03T00:00:00"/>
    <n v="21"/>
    <n v="171"/>
    <s v="Normal"/>
    <s v="INFP"/>
    <x v="3"/>
    <x v="0"/>
    <s v="Fate Weave / Royal Advisor"/>
    <n v="138"/>
    <n v="14"/>
    <n v="87"/>
    <n v="60"/>
    <s v="0.6472 %"/>
    <n v="299"/>
    <n v="0.5837"/>
    <n v="22.994900000000001"/>
    <x v="1"/>
    <n v="599.64089999999999"/>
    <x v="1"/>
    <x v="1"/>
  </r>
  <r>
    <s v="Kaito Nakamura"/>
    <d v="2002-10-16T00:00:00"/>
    <n v="22"/>
    <n v="166"/>
    <s v="Pendek"/>
    <s v="ESTP"/>
    <x v="2"/>
    <x v="1"/>
    <s v="Fracture Surge"/>
    <n v="116"/>
    <n v="80"/>
    <n v="85"/>
    <n v="13"/>
    <s v="0.2674 %"/>
    <n v="329"/>
    <n v="0.43259999999999998"/>
    <n v="101.392"/>
    <x v="0"/>
    <n v="623"/>
    <x v="1"/>
    <x v="1"/>
  </r>
  <r>
    <s v="Chiyo Fitzgerald"/>
    <d v="2003-03-29T00:00:00"/>
    <n v="21"/>
    <n v="185"/>
    <s v="Tinggi"/>
    <s v="INFP"/>
    <x v="3"/>
    <x v="1"/>
    <s v="Heartstrike Overload"/>
    <n v="59"/>
    <n v="82"/>
    <n v="54"/>
    <n v="19"/>
    <s v="0.4357 %"/>
    <n v="16"/>
    <n v="0.78569999999999995"/>
    <n v="117.09569999999999"/>
    <x v="2"/>
    <n v="230.13140000000001"/>
    <x v="2"/>
    <x v="1"/>
  </r>
  <r>
    <s v="Orin Hargrove"/>
    <d v="2002-05-27T00:00:00"/>
    <n v="22"/>
    <n v="166"/>
    <s v="Pendek"/>
    <s v="ISFP"/>
    <x v="2"/>
    <x v="1"/>
    <s v="Archive of Blades / Guild Archivist"/>
    <n v="58"/>
    <n v="44"/>
    <n v="96"/>
    <n v="88"/>
    <s v="0.9169 %"/>
    <n v="169"/>
    <n v="0.43140000000000001"/>
    <n v="85.052899999999994"/>
    <x v="3"/>
    <n v="457.20830000000001"/>
    <x v="2"/>
    <x v="1"/>
  </r>
  <r>
    <s v="Kaito Sato"/>
    <d v="2003-02-16T00:00:00"/>
    <n v="21"/>
    <n v="169"/>
    <s v="Normal"/>
    <s v="ISTP"/>
    <x v="2"/>
    <x v="1"/>
    <s v="Fracture Surge"/>
    <n v="102"/>
    <n v="61"/>
    <n v="99"/>
    <n v="67"/>
    <s v="0.4418 %"/>
    <n v="177"/>
    <n v="0.7994"/>
    <n v="87.690299999999993"/>
    <x v="2"/>
    <n v="506.45119999999997"/>
    <x v="2"/>
    <x v="2"/>
  </r>
  <r>
    <s v="Lux Inoue"/>
    <d v="2002-06-19T00:00:00"/>
    <n v="22"/>
    <n v="185"/>
    <s v="Tinggi"/>
    <s v="INFJ"/>
    <x v="3"/>
    <x v="0"/>
    <s v="Essence Severance"/>
    <n v="99"/>
    <n v="75"/>
    <n v="87"/>
    <n v="24"/>
    <s v="0.411 %"/>
    <n v="344"/>
    <n v="0.57999999999999996"/>
    <n v="105.2042"/>
    <x v="0"/>
    <n v="629.46100000000001"/>
    <x v="2"/>
    <x v="2"/>
  </r>
  <r>
    <s v="Shaela Farell"/>
    <d v="2002-06-25T00:00:00"/>
    <n v="22"/>
    <n v="166"/>
    <s v="Pendek"/>
    <s v="ESTP"/>
    <x v="2"/>
    <x v="1"/>
    <s v="Essence Severance"/>
    <n v="113"/>
    <n v="74"/>
    <n v="47"/>
    <n v="54"/>
    <s v="0.6685 %"/>
    <n v="248"/>
    <n v="0.74429999999999996"/>
    <n v="123.7193"/>
    <x v="0"/>
    <n v="537.30280000000005"/>
    <x v="0"/>
    <x v="6"/>
  </r>
  <r>
    <s v="Nami Upton"/>
    <d v="2001-04-30T00:00:00"/>
    <n v="23"/>
    <n v="161"/>
    <s v="Pendek"/>
    <s v="ISFP"/>
    <x v="2"/>
    <x v="1"/>
    <s v="Dimensional Phase Shifting"/>
    <n v="63"/>
    <n v="38"/>
    <n v="56"/>
    <n v="95"/>
    <s v="0.3657 %"/>
    <n v="236"/>
    <n v="0.74050000000000005"/>
    <n v="51.281999999999996"/>
    <x v="1"/>
    <n v="488.42619999999999"/>
    <x v="1"/>
    <x v="3"/>
  </r>
  <r>
    <s v="Dara Muller"/>
    <d v="2003-03-08T00:00:00"/>
    <n v="21"/>
    <n v="174"/>
    <s v="Normal"/>
    <s v="ISFJ"/>
    <x v="1"/>
    <x v="1"/>
    <s v="Elemental Mastery"/>
    <n v="63"/>
    <n v="95"/>
    <n v="19"/>
    <n v="26"/>
    <s v="0.6154 %"/>
    <n v="110"/>
    <n v="0.8004"/>
    <n v="154.23840000000001"/>
    <x v="3"/>
    <n v="314.83580000000001"/>
    <x v="2"/>
    <x v="5"/>
  </r>
  <r>
    <s v="Nami Ashby"/>
    <d v="2003-07-31T00:00:00"/>
    <n v="21"/>
    <n v="167"/>
    <s v="Pendek"/>
    <s v="ENFP"/>
    <x v="3"/>
    <x v="1"/>
    <s v="Fracture Surge"/>
    <n v="79"/>
    <n v="12"/>
    <n v="80"/>
    <n v="8"/>
    <s v="0.1035 %"/>
    <n v="262"/>
    <n v="0.70630000000000004"/>
    <n v="13.6503"/>
    <x v="2"/>
    <n v="442.51979999999998"/>
    <x v="1"/>
    <x v="2"/>
  </r>
  <r>
    <s v="Finn Ashvale"/>
    <d v="2001-03-16T00:00:00"/>
    <n v="23"/>
    <n v="172"/>
    <s v="Normal"/>
    <s v="ESTP"/>
    <x v="2"/>
    <x v="0"/>
    <s v="Essence Severance"/>
    <n v="8"/>
    <n v="52"/>
    <n v="56"/>
    <n v="30"/>
    <s v="0.1518 %"/>
    <n v="335"/>
    <n v="0.74880000000000002"/>
    <n v="59.4559"/>
    <x v="0"/>
    <n v="481.8306"/>
    <x v="1"/>
    <x v="1"/>
  </r>
  <r>
    <s v="Nami Ravenswood"/>
    <d v="2001-12-22T00:00:00"/>
    <n v="23"/>
    <n v="166"/>
    <s v="Pendek"/>
    <s v="ISTP"/>
    <x v="2"/>
    <x v="0"/>
    <s v="Probability Flux / Treasure Hunter"/>
    <n v="106"/>
    <n v="66"/>
    <n v="82"/>
    <n v="9"/>
    <s v="0.7523 %"/>
    <n v="271"/>
    <n v="0.77129999999999999"/>
    <n v="114.9684"/>
    <x v="0"/>
    <n v="534.94359999999995"/>
    <x v="2"/>
    <x v="5"/>
  </r>
  <r>
    <s v="Aria Whitmore"/>
    <d v="2002-04-20T00:00:00"/>
    <n v="22"/>
    <n v="185"/>
    <s v="Tinggi"/>
    <s v="INFP"/>
    <x v="3"/>
    <x v="0"/>
    <s v="Covenant Bond / Healer &amp; Diplomat"/>
    <n v="93"/>
    <n v="76"/>
    <n v="62"/>
    <n v="35"/>
    <s v="0.4082 %"/>
    <n v="22"/>
    <n v="0.68130000000000002"/>
    <n v="107.4316"/>
    <x v="1"/>
    <n v="288.24950000000001"/>
    <x v="2"/>
    <x v="0"/>
  </r>
  <r>
    <s v="Mirel Dunstan"/>
    <d v="2001-01-26T00:00:00"/>
    <n v="23"/>
    <n v="183"/>
    <s v="Tinggi"/>
    <s v="ESTJ"/>
    <x v="1"/>
    <x v="0"/>
    <s v="Triage Field / Field Medic"/>
    <n v="35"/>
    <n v="92"/>
    <n v="80"/>
    <n v="78"/>
    <s v="0.6101 %"/>
    <n v="396"/>
    <n v="0.72989999999999999"/>
    <n v="147.74279999999999"/>
    <x v="1"/>
    <n v="682.51"/>
    <x v="1"/>
    <x v="2"/>
  </r>
  <r>
    <s v="Miriam Thornton"/>
    <d v="2002-09-08T00:00:00"/>
    <n v="22"/>
    <n v="160"/>
    <s v="Pendek"/>
    <s v="ISTP"/>
    <x v="2"/>
    <x v="0"/>
    <s v="Ruin Pulse Engine"/>
    <n v="142"/>
    <n v="14"/>
    <n v="2"/>
    <n v="29"/>
    <s v="0.3611 %"/>
    <n v="223"/>
    <n v="0.62160000000000004"/>
    <n v="19.245999999999999"/>
    <x v="2"/>
    <n v="411.71269999999998"/>
    <x v="0"/>
    <x v="4"/>
  </r>
  <r>
    <s v="Owen Pemberton"/>
    <d v="2001-03-12T00:00:00"/>
    <n v="23"/>
    <n v="185"/>
    <s v="Tinggi"/>
    <s v="ISFJ"/>
    <x v="1"/>
    <x v="1"/>
    <s v="Resonant Aria / Performer"/>
    <n v="57"/>
    <n v="28"/>
    <n v="23"/>
    <n v="16"/>
    <s v="0.7873 %"/>
    <n v="270"/>
    <n v="0.82250000000000001"/>
    <n v="49.686900000000001"/>
    <x v="1"/>
    <n v="395.96980000000002"/>
    <x v="0"/>
    <x v="4"/>
  </r>
  <r>
    <s v="Mika Kato"/>
    <d v="2002-06-17T00:00:00"/>
    <n v="22"/>
    <n v="167"/>
    <s v="Pendek"/>
    <s v="ENTP"/>
    <x v="0"/>
    <x v="0"/>
    <s v="Covenant Bond / Healer &amp; Diplomat"/>
    <n v="25"/>
    <n v="57"/>
    <n v="44"/>
    <n v="57"/>
    <s v="0.2818 %"/>
    <n v="12"/>
    <n v="0.80530000000000002"/>
    <n v="73.254900000000006"/>
    <x v="0"/>
    <n v="197.1371"/>
    <x v="1"/>
    <x v="1"/>
  </r>
  <r>
    <s v="Cassian Aikawa"/>
    <d v="2003-03-22T00:00:00"/>
    <n v="21"/>
    <n v="176"/>
    <s v="Tinggi"/>
    <s v="ENTP"/>
    <x v="0"/>
    <x v="0"/>
    <s v="Sensory Collapse Domain"/>
    <n v="141"/>
    <n v="98"/>
    <n v="8"/>
    <n v="59"/>
    <s v="0.2189 %"/>
    <n v="137"/>
    <n v="0.81259999999999999"/>
    <n v="119.07429999999999"/>
    <x v="1"/>
    <n v="444.07150000000001"/>
    <x v="0"/>
    <x v="5"/>
  </r>
  <r>
    <s v="Asher Chen"/>
    <d v="2002-02-18T00:00:00"/>
    <n v="22"/>
    <n v="173"/>
    <s v="Normal"/>
    <s v="ENFP"/>
    <x v="3"/>
    <x v="0"/>
    <s v="Dominion Mark"/>
    <n v="136"/>
    <n v="18"/>
    <n v="48"/>
    <n v="90"/>
    <s v="0.7179 %"/>
    <n v="70"/>
    <n v="0.47549999999999998"/>
    <n v="31.231400000000001"/>
    <x v="1"/>
    <n v="363.09339999999997"/>
    <x v="2"/>
    <x v="1"/>
  </r>
  <r>
    <s v="Ryo Morven"/>
    <d v="2001-05-29T00:00:00"/>
    <n v="23"/>
    <n v="177"/>
    <s v="Tinggi"/>
    <s v="ENTP"/>
    <x v="0"/>
    <x v="1"/>
    <s v="Guillotine Line"/>
    <n v="37"/>
    <n v="33"/>
    <n v="57"/>
    <n v="50"/>
    <s v="0.6651 %"/>
    <n v="40"/>
    <n v="0.82450000000000001"/>
    <n v="55.081499999999998"/>
    <x v="2"/>
    <n v="218.24959999999999"/>
    <x v="0"/>
    <x v="0"/>
  </r>
  <r>
    <s v="Seraphina Dawnforge"/>
    <d v="2002-06-07T00:00:00"/>
    <n v="22"/>
    <n v="181"/>
    <s v="Tinggi"/>
    <s v="ISFP"/>
    <x v="2"/>
    <x v="1"/>
    <s v="Essence Severance"/>
    <n v="3"/>
    <n v="54"/>
    <n v="20"/>
    <n v="37"/>
    <s v="0.4503 %"/>
    <n v="65"/>
    <n v="0.71350000000000002"/>
    <n v="77.590999999999994"/>
    <x v="3"/>
    <n v="179.25380000000001"/>
    <x v="0"/>
    <x v="0"/>
  </r>
  <r>
    <s v="Piper Nakamura"/>
    <d v="2001-06-10T00:00:00"/>
    <n v="23"/>
    <n v="179"/>
    <s v="Tinggi"/>
    <s v="ENFJ"/>
    <x v="3"/>
    <x v="0"/>
    <s v="Gravity Rend"/>
    <n v="125"/>
    <n v="39"/>
    <n v="37"/>
    <n v="32"/>
    <s v="0.5845 %"/>
    <n v="151"/>
    <n v="0.75090000000000001"/>
    <n v="61.13"/>
    <x v="1"/>
    <n v="385.03539999999998"/>
    <x v="0"/>
    <x v="1"/>
  </r>
  <r>
    <s v="Blaine Ironfield"/>
    <d v="2001-05-25T00:00:00"/>
    <n v="23"/>
    <n v="184"/>
    <s v="Tinggi"/>
    <s v="ISFJ"/>
    <x v="1"/>
    <x v="1"/>
    <s v="Soulfire Manifestation"/>
    <n v="97"/>
    <n v="44"/>
    <n v="66"/>
    <n v="9"/>
    <s v="0.7543 %"/>
    <n v="338"/>
    <n v="0.62370000000000003"/>
    <n v="77.136600000000001"/>
    <x v="2"/>
    <n v="555.32799999999997"/>
    <x v="2"/>
    <x v="2"/>
  </r>
  <r>
    <s v="Ren Morven"/>
    <d v="2001-05-12T00:00:00"/>
    <n v="23"/>
    <n v="167"/>
    <s v="Pendek"/>
    <s v="ISTJ"/>
    <x v="1"/>
    <x v="1"/>
    <s v="Transmutation Aura / Alchemist"/>
    <n v="140"/>
    <n v="23"/>
    <n v="33"/>
    <n v="11"/>
    <s v="0.6592 %"/>
    <n v="351"/>
    <n v="0.50939999999999996"/>
    <n v="37.7468"/>
    <x v="0"/>
    <n v="558.59860000000003"/>
    <x v="2"/>
    <x v="5"/>
  </r>
  <r>
    <s v="Nami Drayton"/>
    <d v="2001-02-06T00:00:00"/>
    <n v="23"/>
    <n v="163"/>
    <s v="Pendek"/>
    <s v="ISTP"/>
    <x v="2"/>
    <x v="0"/>
    <s v="Absolute Command / General"/>
    <n v="43"/>
    <n v="77"/>
    <n v="90"/>
    <n v="71"/>
    <s v="0.9365 %"/>
    <n v="171"/>
    <n v="0.5444"/>
    <n v="148.5102"/>
    <x v="2"/>
    <n v="453.1309"/>
    <x v="1"/>
    <x v="6"/>
  </r>
  <r>
    <s v="Taro Swiftwind"/>
    <d v="2003-10-01T00:00:00"/>
    <n v="21"/>
    <n v="174"/>
    <s v="Normal"/>
    <s v="INFJ"/>
    <x v="3"/>
    <x v="1"/>
    <s v="Gravity Rend"/>
    <n v="51"/>
    <n v="60"/>
    <n v="70"/>
    <n v="6"/>
    <s v="0.2167 %"/>
    <n v="34"/>
    <n v="0.58450000000000002"/>
    <n v="72.929000000000002"/>
    <x v="0"/>
    <n v="222.2012"/>
    <x v="0"/>
    <x v="6"/>
  </r>
  <r>
    <s v="Celeste Ito"/>
    <d v="2001-08-07T00:00:00"/>
    <n v="23"/>
    <n v="181"/>
    <s v="Tinggi"/>
    <s v="ISFJ"/>
    <x v="1"/>
    <x v="0"/>
    <s v="Resonant Aria / Performer"/>
    <n v="3"/>
    <n v="44"/>
    <n v="94"/>
    <n v="29"/>
    <s v="0.8371 %"/>
    <n v="335"/>
    <n v="0.71079999999999999"/>
    <n v="79.987300000000005"/>
    <x v="0"/>
    <n v="506.62790000000001"/>
    <x v="1"/>
    <x v="6"/>
  </r>
  <r>
    <s v="Corin Crowe"/>
    <d v="2001-07-17T00:00:00"/>
    <n v="23"/>
    <n v="172"/>
    <s v="Normal"/>
    <s v="ESTP"/>
    <x v="2"/>
    <x v="0"/>
    <s v="Warbrand Arsenal"/>
    <n v="13"/>
    <n v="95"/>
    <n v="31"/>
    <n v="85"/>
    <s v="0.7776 %"/>
    <n v="291"/>
    <n v="0.72740000000000005"/>
    <n v="168.71199999999999"/>
    <x v="2"/>
    <n v="516.28499999999997"/>
    <x v="1"/>
    <x v="3"/>
  </r>
  <r>
    <s v="Airi Crestwood"/>
    <d v="2003-10-25T00:00:00"/>
    <n v="21"/>
    <n v="166"/>
    <s v="Pendek"/>
    <s v="ESTJ"/>
    <x v="1"/>
    <x v="0"/>
    <s v="Heartstrike Overload"/>
    <n v="47"/>
    <n v="45"/>
    <n v="51"/>
    <n v="64"/>
    <s v="0.2341 %"/>
    <n v="184"/>
    <n v="0.54810000000000003"/>
    <n v="55.954099999999997"/>
    <x v="2"/>
    <n v="391.4622"/>
    <x v="2"/>
    <x v="4"/>
  </r>
  <r>
    <s v="Piper Ravenswood"/>
    <d v="2001-10-24T00:00:00"/>
    <n v="23"/>
    <n v="173"/>
    <s v="Normal"/>
    <s v="ENTJ"/>
    <x v="0"/>
    <x v="1"/>
    <s v="Absolute Command / General"/>
    <n v="86"/>
    <n v="34"/>
    <n v="79"/>
    <n v="41"/>
    <s v="0.1095 %"/>
    <n v="318"/>
    <n v="0.43980000000000002"/>
    <n v="38.211199999999998"/>
    <x v="0"/>
    <n v="558.24929999999995"/>
    <x v="0"/>
    <x v="1"/>
  </r>
  <r>
    <s v="Briar Blackwood"/>
    <d v="2002-01-28T00:00:00"/>
    <n v="22"/>
    <n v="169"/>
    <s v="Normal"/>
    <s v="ENTJ"/>
    <x v="0"/>
    <x v="0"/>
    <s v="Archive of Blades / Guild Archivist"/>
    <n v="18"/>
    <n v="73"/>
    <n v="71"/>
    <n v="18"/>
    <s v="0.677 %"/>
    <n v="222"/>
    <n v="0.44"/>
    <n v="123.1086"/>
    <x v="0"/>
    <n v="404.27699999999999"/>
    <x v="0"/>
    <x v="2"/>
  </r>
  <r>
    <s v="Owen Flint"/>
    <d v="2003-06-27T00:00:00"/>
    <n v="21"/>
    <n v="161"/>
    <s v="Pendek"/>
    <s v="INFP"/>
    <x v="3"/>
    <x v="0"/>
    <s v="Damage Reflection Lattice"/>
    <n v="98"/>
    <n v="26"/>
    <n v="55"/>
    <n v="36"/>
    <s v="0.1387 %"/>
    <n v="140"/>
    <n v="0.54630000000000001"/>
    <n v="29.332899999999999"/>
    <x v="3"/>
    <n v="354.26499999999999"/>
    <x v="2"/>
    <x v="3"/>
  </r>
  <r>
    <s v="Theron Montgomery"/>
    <d v="2001-12-28T00:00:00"/>
    <n v="23"/>
    <n v="177"/>
    <s v="Tinggi"/>
    <s v="ESTP"/>
    <x v="2"/>
    <x v="0"/>
    <s v="Warbrand Arsenal"/>
    <n v="110"/>
    <n v="85"/>
    <n v="54"/>
    <n v="3"/>
    <s v="0.4096 %"/>
    <n v="243"/>
    <n v="0.4577"/>
    <n v="119.32259999999999"/>
    <x v="2"/>
    <n v="494.69729999999998"/>
    <x v="2"/>
    <x v="4"/>
  </r>
  <r>
    <s v="Felix Suzuki"/>
    <d v="2002-11-05T00:00:00"/>
    <n v="22"/>
    <n v="177"/>
    <s v="Tinggi"/>
    <s v="ISFP"/>
    <x v="2"/>
    <x v="0"/>
    <s v="Ruin Pulse Engine"/>
    <n v="104"/>
    <n v="78"/>
    <n v="11"/>
    <n v="55"/>
    <s v="0.9173 %"/>
    <n v="14"/>
    <n v="0.59060000000000001"/>
    <n v="148.66739999999999"/>
    <x v="1"/>
    <n v="263.7679"/>
    <x v="2"/>
    <x v="0"/>
  </r>
  <r>
    <s v="Ryo Langley"/>
    <d v="2003-02-17T00:00:00"/>
    <n v="21"/>
    <n v="177"/>
    <s v="Tinggi"/>
    <s v="ENFP"/>
    <x v="3"/>
    <x v="0"/>
    <s v="Soulfire Manifestation"/>
    <n v="57"/>
    <n v="65"/>
    <n v="92"/>
    <n v="27"/>
    <s v="0.9836 %"/>
    <n v="367"/>
    <n v="0.55830000000000002"/>
    <n v="127.962"/>
    <x v="0"/>
    <n v="608.99189999999999"/>
    <x v="0"/>
    <x v="2"/>
  </r>
  <r>
    <s v="Ethan Blackwood"/>
    <d v="2001-09-12T00:00:00"/>
    <n v="23"/>
    <n v="178"/>
    <s v="Tinggi"/>
    <s v="INFP"/>
    <x v="3"/>
    <x v="0"/>
    <s v="Runic Deconstruction / Scholar"/>
    <n v="91"/>
    <n v="98"/>
    <n v="99"/>
    <n v="28"/>
    <s v="0.2214 %"/>
    <n v="358"/>
    <n v="0.79910000000000003"/>
    <n v="119.3186"/>
    <x v="0"/>
    <n v="675.67049999999995"/>
    <x v="2"/>
    <x v="4"/>
  </r>
  <r>
    <s v="Nova Stormbright"/>
    <d v="2003-12-09T00:00:00"/>
    <n v="21"/>
    <n v="173"/>
    <s v="Normal"/>
    <s v="ISTP"/>
    <x v="2"/>
    <x v="0"/>
    <s v="Verdant Wrath / Forest Herbalist"/>
    <n v="83"/>
    <n v="27"/>
    <n v="44"/>
    <n v="39"/>
    <s v="0.4111 %"/>
    <n v="335"/>
    <n v="0.80330000000000001"/>
    <n v="38.452500000000001"/>
    <x v="0"/>
    <n v="529.98440000000005"/>
    <x v="1"/>
    <x v="2"/>
  </r>
  <r>
    <s v="Briar Flint"/>
    <d v="2001-09-17T00:00:00"/>
    <n v="23"/>
    <n v="161"/>
    <s v="Pendek"/>
    <s v="ESFJ"/>
    <x v="1"/>
    <x v="0"/>
    <s v="Warbrand Arsenal"/>
    <n v="69"/>
    <n v="79"/>
    <n v="92"/>
    <n v="57"/>
    <s v="0.6787 %"/>
    <n v="52"/>
    <n v="0.84640000000000004"/>
    <n v="133.3056"/>
    <x v="0"/>
    <n v="351.00510000000003"/>
    <x v="0"/>
    <x v="5"/>
  </r>
  <r>
    <s v="Reika Watanabe"/>
    <d v="2003-12-11T00:00:00"/>
    <n v="21"/>
    <n v="180"/>
    <s v="Tinggi"/>
    <s v="INTP"/>
    <x v="0"/>
    <x v="1"/>
    <s v="Elemental Mastery"/>
    <n v="115"/>
    <n v="50"/>
    <n v="72"/>
    <n v="22"/>
    <s v="0.2982 %"/>
    <n v="19"/>
    <n v="0.84340000000000004"/>
    <n v="65.130700000000004"/>
    <x v="1"/>
    <n v="279.23160000000001"/>
    <x v="2"/>
    <x v="3"/>
  </r>
  <r>
    <s v="Theron Wiley"/>
    <d v="2001-03-08T00:00:00"/>
    <n v="23"/>
    <n v="184"/>
    <s v="Tinggi"/>
    <s v="ISFP"/>
    <x v="2"/>
    <x v="0"/>
    <s v="Runic Deconstruction / Scholar"/>
    <n v="46"/>
    <n v="63"/>
    <n v="69"/>
    <n v="57"/>
    <s v="0.9444 %"/>
    <n v="340"/>
    <n v="0.62419999999999998"/>
    <n v="122.2833"/>
    <x v="2"/>
    <n v="576.28859999999997"/>
    <x v="2"/>
    <x v="1"/>
  </r>
  <r>
    <s v="Owen Thorne"/>
    <d v="2002-02-16T00:00:00"/>
    <n v="22"/>
    <n v="171"/>
    <s v="Normal"/>
    <s v="INTJ"/>
    <x v="0"/>
    <x v="1"/>
    <s v="Covenant Bond / Healer &amp; Diplomat"/>
    <n v="100"/>
    <n v="96"/>
    <n v="27"/>
    <n v="52"/>
    <s v="0.1714 %"/>
    <n v="192"/>
    <n v="0.71819999999999995"/>
    <n v="112.0561"/>
    <x v="3"/>
    <n v="467.65960000000001"/>
    <x v="0"/>
    <x v="4"/>
  </r>
  <r>
    <s v="Talion Funai"/>
    <d v="2002-05-28T00:00:00"/>
    <n v="22"/>
    <n v="182"/>
    <s v="Tinggi"/>
    <s v="ESTP"/>
    <x v="2"/>
    <x v="1"/>
    <s v="Archive of Blades / Guild Archivist"/>
    <n v="36"/>
    <n v="91"/>
    <n v="88"/>
    <n v="72"/>
    <s v="0.5757 %"/>
    <n v="8"/>
    <n v="0.50009999999999999"/>
    <n v="142.63239999999999"/>
    <x v="3"/>
    <n v="294.56580000000002"/>
    <x v="1"/>
    <x v="3"/>
  </r>
  <r>
    <s v="Aria Lopez"/>
    <d v="2003-08-08T00:00:00"/>
    <n v="21"/>
    <n v="164"/>
    <s v="Pendek"/>
    <s v="ESTP"/>
    <x v="2"/>
    <x v="0"/>
    <s v="Dimensional Phase Shifting"/>
    <n v="70"/>
    <n v="74"/>
    <n v="49"/>
    <n v="33"/>
    <s v="0.395 %"/>
    <n v="253"/>
    <n v="0.46350000000000002"/>
    <n v="103.02070000000001"/>
    <x v="1"/>
    <n v="479.12849999999997"/>
    <x v="1"/>
    <x v="1"/>
  </r>
  <r>
    <s v="Aster Thornton"/>
    <d v="2003-05-18T00:00:00"/>
    <n v="21"/>
    <n v="170"/>
    <s v="Normal"/>
    <s v="ISTJ"/>
    <x v="1"/>
    <x v="1"/>
    <s v="Triage Field / Field Medic"/>
    <n v="80"/>
    <n v="34"/>
    <n v="22"/>
    <n v="7"/>
    <s v="0.6658 %"/>
    <n v="90"/>
    <n v="0.51129999999999998"/>
    <n v="55.837600000000002"/>
    <x v="1"/>
    <n v="234.97710000000001"/>
    <x v="2"/>
    <x v="3"/>
  </r>
  <r>
    <s v="Clara Vargas"/>
    <d v="2001-05-02T00:00:00"/>
    <n v="23"/>
    <n v="165"/>
    <s v="Pendek"/>
    <s v="ESFJ"/>
    <x v="1"/>
    <x v="0"/>
    <s v="Living Canvas / Cartographer"/>
    <n v="109"/>
    <n v="10"/>
    <n v="48"/>
    <n v="22"/>
    <s v="0.4939 %"/>
    <n v="390"/>
    <n v="0.62749999999999995"/>
    <n v="14.2369"/>
    <x v="3"/>
    <n v="579.94140000000004"/>
    <x v="1"/>
    <x v="2"/>
  </r>
  <r>
    <s v="Blaine Nakamura"/>
    <d v="2003-02-06T00:00:00"/>
    <n v="21"/>
    <n v="175"/>
    <s v="Tinggi"/>
    <s v="ESTP"/>
    <x v="2"/>
    <x v="1"/>
    <s v="Transmutation Aura / Alchemist"/>
    <n v="104"/>
    <n v="14"/>
    <n v="49"/>
    <n v="45"/>
    <s v="0.718 %"/>
    <n v="74"/>
    <n v="0.61919999999999997"/>
    <n v="24.825099999999999"/>
    <x v="3"/>
    <n v="287.69720000000001"/>
    <x v="0"/>
    <x v="3"/>
  </r>
  <r>
    <s v="Sage Ashford"/>
    <d v="2001-09-06T00:00:00"/>
    <n v="23"/>
    <n v="166"/>
    <s v="Pendek"/>
    <s v="INTJ"/>
    <x v="0"/>
    <x v="0"/>
    <s v="Living Canvas / Cartographer"/>
    <n v="52"/>
    <n v="2"/>
    <n v="44"/>
    <n v="95"/>
    <s v="0.7562 %"/>
    <n v="332"/>
    <n v="0.45689999999999997"/>
    <n v="3.7757999999999998"/>
    <x v="0"/>
    <n v="526.21310000000005"/>
    <x v="0"/>
    <x v="1"/>
  </r>
  <r>
    <s v="Finn Yoshida"/>
    <d v="2002-06-04T00:00:00"/>
    <n v="22"/>
    <n v="184"/>
    <s v="Tinggi"/>
    <s v="INFJ"/>
    <x v="3"/>
    <x v="0"/>
    <s v="Damage Reflection Lattice"/>
    <n v="4"/>
    <n v="71"/>
    <n v="7"/>
    <n v="5"/>
    <s v="0.2733 %"/>
    <n v="81"/>
    <n v="0.82279999999999998"/>
    <n v="90.1751"/>
    <x v="0"/>
    <n v="169.26609999999999"/>
    <x v="0"/>
    <x v="3"/>
  </r>
  <r>
    <s v="Caius Whitmore"/>
    <d v="2002-12-12T00:00:00"/>
    <n v="22"/>
    <n v="171"/>
    <s v="Normal"/>
    <s v="ISTP"/>
    <x v="2"/>
    <x v="0"/>
    <s v="Dimensional Phase Shifting"/>
    <n v="137"/>
    <n v="34"/>
    <n v="30"/>
    <n v="65"/>
    <s v="0.6235 %"/>
    <n v="43"/>
    <n v="0.41849999999999998"/>
    <n v="55.897100000000002"/>
    <x v="2"/>
    <n v="310.34199999999998"/>
    <x v="1"/>
    <x v="2"/>
  </r>
  <r>
    <s v="Draven Velmont"/>
    <d v="2002-09-10T00:00:00"/>
    <n v="22"/>
    <n v="170"/>
    <s v="Normal"/>
    <s v="ESTP"/>
    <x v="2"/>
    <x v="0"/>
    <s v="Living Canvas / Cartographer"/>
    <n v="118"/>
    <n v="49"/>
    <n v="50"/>
    <n v="47"/>
    <s v="0.6444 %"/>
    <n v="103"/>
    <n v="0.5494"/>
    <n v="79.802700000000002"/>
    <x v="2"/>
    <n v="368.17380000000003"/>
    <x v="2"/>
    <x v="5"/>
  </r>
  <r>
    <s v="Isla Kline"/>
    <d v="2002-11-26T00:00:00"/>
    <n v="22"/>
    <n v="178"/>
    <s v="Tinggi"/>
    <s v="INTP"/>
    <x v="0"/>
    <x v="0"/>
    <s v="Covenant Bond / Healer &amp; Diplomat"/>
    <n v="101"/>
    <n v="96"/>
    <n v="92"/>
    <n v="90"/>
    <s v="0.3388 %"/>
    <n v="374"/>
    <n v="0.4753"/>
    <n v="128.5248"/>
    <x v="0"/>
    <n v="753.72410000000002"/>
    <x v="0"/>
    <x v="5"/>
  </r>
  <r>
    <s v="Nami Vargas"/>
    <d v="2002-02-19T00:00:00"/>
    <n v="22"/>
    <n v="181"/>
    <s v="Tinggi"/>
    <s v="ENFP"/>
    <x v="3"/>
    <x v="1"/>
    <s v="Triage Field / Field Medic"/>
    <n v="18"/>
    <n v="39"/>
    <n v="33"/>
    <n v="23"/>
    <s v="0.854 %"/>
    <n v="99"/>
    <n v="0.64900000000000002"/>
    <n v="73.214500000000001"/>
    <x v="0"/>
    <n v="213.233"/>
    <x v="1"/>
    <x v="2"/>
  </r>
  <r>
    <s v="Hugo Dawnforge"/>
    <d v="2002-01-02T00:00:00"/>
    <n v="22"/>
    <n v="175"/>
    <s v="Tinggi"/>
    <s v="INFJ"/>
    <x v="3"/>
    <x v="1"/>
    <s v="Verdant Wrath / Forest Herbalist"/>
    <n v="26"/>
    <n v="71"/>
    <n v="79"/>
    <n v="67"/>
    <s v="0.2397 %"/>
    <n v="263"/>
    <n v="0.5373"/>
    <n v="88.403000000000006"/>
    <x v="1"/>
    <n v="507.197"/>
    <x v="0"/>
    <x v="1"/>
  </r>
  <r>
    <s v="Wren Whitmore"/>
    <d v="2002-06-15T00:00:00"/>
    <n v="22"/>
    <n v="178"/>
    <s v="Tinggi"/>
    <s v="ISFP"/>
    <x v="2"/>
    <x v="0"/>
    <s v="Fracture Surge"/>
    <n v="38"/>
    <n v="93"/>
    <n v="7"/>
    <n v="26"/>
    <s v="0.8424 %"/>
    <n v="373"/>
    <n v="0.43780000000000002"/>
    <n v="170.69839999999999"/>
    <x v="1"/>
    <n v="538.28020000000004"/>
    <x v="1"/>
    <x v="3"/>
  </r>
  <r>
    <s v="Felix Silva"/>
    <d v="2002-04-22T00:00:00"/>
    <n v="22"/>
    <n v="179"/>
    <s v="Tinggi"/>
    <s v="INFP"/>
    <x v="3"/>
    <x v="0"/>
    <s v="Runic Deconstruction / Scholar"/>
    <n v="33"/>
    <n v="43"/>
    <n v="51"/>
    <n v="29"/>
    <s v="0.8903 %"/>
    <n v="385"/>
    <n v="0.6008"/>
    <n v="82.001199999999997"/>
    <x v="0"/>
    <n v="543.4511"/>
    <x v="2"/>
    <x v="1"/>
  </r>
  <r>
    <s v="Seren Quill"/>
    <d v="2001-03-20T00:00:00"/>
    <n v="23"/>
    <n v="182"/>
    <s v="Tinggi"/>
    <s v="ISFJ"/>
    <x v="1"/>
    <x v="0"/>
    <s v="Fate Weave / Royal Advisor"/>
    <n v="27"/>
    <n v="99"/>
    <n v="28"/>
    <n v="85"/>
    <s v="0.1784 %"/>
    <n v="7"/>
    <n v="0.40710000000000002"/>
    <n v="116.5791"/>
    <x v="0"/>
    <n v="246.3655"/>
    <x v="0"/>
    <x v="0"/>
  </r>
  <r>
    <s v="Bastian Dawnforge"/>
    <d v="2003-01-31T00:00:00"/>
    <n v="21"/>
    <n v="185"/>
    <s v="Tinggi"/>
    <s v="INTP"/>
    <x v="0"/>
    <x v="0"/>
    <s v="Combat Escalation Law"/>
    <n v="117"/>
    <n v="18"/>
    <n v="39"/>
    <n v="6"/>
    <s v="0.2763 %"/>
    <n v="73"/>
    <n v="0.60840000000000005"/>
    <n v="23.279699999999998"/>
    <x v="1"/>
    <n v="253.7347"/>
    <x v="2"/>
    <x v="2"/>
  </r>
  <r>
    <s v="Fable Dunmore"/>
    <d v="2002-03-20T00:00:00"/>
    <n v="22"/>
    <n v="180"/>
    <s v="Tinggi"/>
    <s v="ISFP"/>
    <x v="2"/>
    <x v="1"/>
    <s v="Damage Reflection Lattice"/>
    <n v="101"/>
    <n v="5"/>
    <n v="56"/>
    <n v="75"/>
    <s v="0.5205 %"/>
    <n v="95"/>
    <n v="0.52149999999999996"/>
    <n v="8.2258999999999993"/>
    <x v="0"/>
    <n v="333.18200000000002"/>
    <x v="0"/>
    <x v="1"/>
  </r>
  <r>
    <s v="Lyra Yamamoto"/>
    <d v="2001-09-24T00:00:00"/>
    <n v="23"/>
    <n v="166"/>
    <s v="Pendek"/>
    <s v="ENFP"/>
    <x v="3"/>
    <x v="0"/>
    <s v="Transmutation Aura / Alchemist"/>
    <n v="27"/>
    <n v="43"/>
    <n v="9"/>
    <n v="91"/>
    <s v="0.1723 %"/>
    <n v="342"/>
    <n v="0.50900000000000001"/>
    <n v="50.631599999999999"/>
    <x v="3"/>
    <n v="512.57129999999995"/>
    <x v="2"/>
    <x v="2"/>
  </r>
  <r>
    <s v="Dara Ravenswood"/>
    <d v="2003-08-10T00:00:00"/>
    <n v="21"/>
    <n v="184"/>
    <s v="Tinggi"/>
    <s v="ISTP"/>
    <x v="2"/>
    <x v="0"/>
    <s v="Warbrand Arsenal"/>
    <n v="81"/>
    <n v="93"/>
    <n v="75"/>
    <n v="75"/>
    <s v="0.6471 %"/>
    <n v="317"/>
    <n v="0.44890000000000002"/>
    <n v="153.92150000000001"/>
    <x v="0"/>
    <n v="643.73599999999999"/>
    <x v="0"/>
    <x v="4"/>
  </r>
  <r>
    <s v="Vessa Muller"/>
    <d v="2003-05-09T00:00:00"/>
    <n v="21"/>
    <n v="176"/>
    <s v="Tinggi"/>
    <s v="ESFJ"/>
    <x v="1"/>
    <x v="0"/>
    <s v="Essence Severance"/>
    <n v="114"/>
    <n v="30"/>
    <n v="3"/>
    <n v="39"/>
    <s v="0.8904 %"/>
    <n v="269"/>
    <n v="0.66930000000000001"/>
    <n v="56.371699999999997"/>
    <x v="2"/>
    <n v="456.19970000000001"/>
    <x v="1"/>
    <x v="1"/>
  </r>
  <r>
    <s v="Zephyr Crestwood"/>
    <d v="2003-08-07T00:00:00"/>
    <n v="21"/>
    <n v="171"/>
    <s v="Normal"/>
    <s v="ESTJ"/>
    <x v="1"/>
    <x v="0"/>
    <s v="Verdant Wrath / Forest Herbalist"/>
    <n v="144"/>
    <n v="35"/>
    <n v="68"/>
    <n v="22"/>
    <s v="0.2998 %"/>
    <n v="112"/>
    <n v="0.62819999999999998"/>
    <n v="45.48"/>
    <x v="1"/>
    <n v="380.89800000000002"/>
    <x v="1"/>
    <x v="2"/>
  </r>
  <r>
    <s v="Naoki Suzuki"/>
    <d v="2002-09-16T00:00:00"/>
    <n v="22"/>
    <n v="166"/>
    <s v="Pendek"/>
    <s v="ISTP"/>
    <x v="2"/>
    <x v="1"/>
    <s v="Probability Flux / Treasure Hunter"/>
    <n v="113"/>
    <n v="53"/>
    <n v="29"/>
    <n v="85"/>
    <s v="0.943 %"/>
    <n v="7"/>
    <n v="0.73899999999999999"/>
    <n v="102.3184"/>
    <x v="1"/>
    <n v="287.93200000000002"/>
    <x v="1"/>
    <x v="6"/>
  </r>
  <r>
    <s v="Corwin Hartley"/>
    <d v="2001-11-16T00:00:00"/>
    <n v="23"/>
    <n v="166"/>
    <s v="Pendek"/>
    <s v="ESTP"/>
    <x v="2"/>
    <x v="1"/>
    <s v="Memory Palace / Librarian Assistant"/>
    <n v="124"/>
    <n v="80"/>
    <n v="11"/>
    <n v="11"/>
    <s v="0.3745 %"/>
    <n v="352"/>
    <n v="0.62760000000000005"/>
    <n v="109.4239"/>
    <x v="0"/>
    <n v="579.50210000000004"/>
    <x v="2"/>
    <x v="0"/>
  </r>
  <r>
    <s v="Miriam Hartley"/>
    <d v="2002-12-08T00:00:00"/>
    <n v="22"/>
    <n v="167"/>
    <s v="Pendek"/>
    <s v="ESFP"/>
    <x v="2"/>
    <x v="0"/>
    <s v="Heartstrike Overload"/>
    <n v="49"/>
    <n v="69"/>
    <n v="3"/>
    <n v="95"/>
    <s v="0.7719 %"/>
    <n v="316"/>
    <n v="0.71779999999999999"/>
    <n v="122.77500000000001"/>
    <x v="3"/>
    <n v="534.97969999999998"/>
    <x v="0"/>
    <x v="2"/>
  </r>
  <r>
    <s v="Hugo Strider"/>
    <d v="2001-04-27T00:00:00"/>
    <n v="23"/>
    <n v="168"/>
    <s v="Normal"/>
    <s v="INFJ"/>
    <x v="3"/>
    <x v="1"/>
    <s v="Covenant Bond / Healer &amp; Diplomat"/>
    <n v="27"/>
    <n v="59"/>
    <n v="9"/>
    <n v="19"/>
    <s v="0.6612 %"/>
    <n v="175"/>
    <n v="0.49419999999999997"/>
    <n v="98.658699999999996"/>
    <x v="0"/>
    <n v="291.68540000000002"/>
    <x v="0"/>
    <x v="0"/>
  </r>
  <r>
    <s v="Torin Nakamura"/>
    <d v="2003-10-31T00:00:00"/>
    <n v="21"/>
    <n v="167"/>
    <s v="Pendek"/>
    <s v="ISFJ"/>
    <x v="1"/>
    <x v="1"/>
    <s v="Archive of Blades / Guild Archivist"/>
    <n v="139"/>
    <n v="8"/>
    <n v="25"/>
    <n v="30"/>
    <s v="0.6041 %"/>
    <n v="80"/>
    <n v="0.72919999999999996"/>
    <n v="12.5761"/>
    <x v="1"/>
    <n v="284.42329999999998"/>
    <x v="1"/>
    <x v="1"/>
  </r>
  <r>
    <s v="Nova Aldridge"/>
    <d v="2003-09-14T00:00:00"/>
    <n v="21"/>
    <n v="174"/>
    <s v="Normal"/>
    <s v="ESFJ"/>
    <x v="1"/>
    <x v="0"/>
    <s v="Transmutation Aura / Alchemist"/>
    <n v="39"/>
    <n v="38"/>
    <n v="39"/>
    <n v="8"/>
    <s v="0.2924 %"/>
    <n v="206"/>
    <n v="0.63390000000000002"/>
    <n v="49.111199999999997"/>
    <x v="3"/>
    <n v="331.02629999999999"/>
    <x v="2"/>
    <x v="0"/>
  </r>
  <r>
    <s v="Caspian Aldridge"/>
    <d v="2001-02-07T00:00:00"/>
    <n v="23"/>
    <n v="175"/>
    <s v="Tinggi"/>
    <s v="INFJ"/>
    <x v="3"/>
    <x v="1"/>
    <s v="Warbrand Arsenal"/>
    <n v="29"/>
    <n v="8"/>
    <n v="54"/>
    <n v="39"/>
    <s v="0.3019 %"/>
    <n v="57"/>
    <n v="0.57230000000000003"/>
    <n v="11.053100000000001"/>
    <x v="3"/>
    <n v="188.55420000000001"/>
    <x v="0"/>
    <x v="6"/>
  </r>
  <r>
    <s v="Kaito Ravenswood"/>
    <d v="2001-10-02T00:00:00"/>
    <n v="23"/>
    <n v="172"/>
    <s v="Normal"/>
    <s v="INFJ"/>
    <x v="3"/>
    <x v="1"/>
    <s v="Triage Field / Field Medic"/>
    <n v="3"/>
    <n v="32"/>
    <n v="33"/>
    <n v="28"/>
    <s v="0.5253 %"/>
    <n v="50"/>
    <n v="0.6069"/>
    <n v="49.129899999999999"/>
    <x v="0"/>
    <n v="146.04220000000001"/>
    <x v="0"/>
    <x v="6"/>
  </r>
  <r>
    <s v="Brant Hargrove"/>
    <d v="2002-08-17T00:00:00"/>
    <n v="22"/>
    <n v="176"/>
    <s v="Tinggi"/>
    <s v="INTJ"/>
    <x v="0"/>
    <x v="1"/>
    <s v="Ruin Pulse Engine"/>
    <n v="70"/>
    <n v="85"/>
    <n v="74"/>
    <n v="48"/>
    <s v="0.3591 %"/>
    <n v="64"/>
    <n v="0.68520000000000003"/>
    <n v="116.1215"/>
    <x v="1"/>
    <n v="341.8843"/>
    <x v="2"/>
    <x v="2"/>
  </r>
  <r>
    <s v="Sylvie Upton"/>
    <d v="2003-03-23T00:00:00"/>
    <n v="21"/>
    <n v="178"/>
    <s v="Tinggi"/>
    <s v="ENFP"/>
    <x v="3"/>
    <x v="0"/>
    <s v="Verdant Wrath / Forest Herbalist"/>
    <n v="6"/>
    <n v="60"/>
    <n v="10"/>
    <n v="53"/>
    <s v="0.744 %"/>
    <n v="87"/>
    <n v="0.61380000000000001"/>
    <n v="104.9714"/>
    <x v="0"/>
    <n v="218.14779999999999"/>
    <x v="1"/>
    <x v="5"/>
  </r>
  <r>
    <s v="Rin Morven"/>
    <d v="2003-03-15T00:00:00"/>
    <n v="21"/>
    <n v="164"/>
    <s v="Pendek"/>
    <s v="ESTJ"/>
    <x v="1"/>
    <x v="1"/>
    <s v="Essence Severance"/>
    <n v="35"/>
    <n v="23"/>
    <n v="90"/>
    <n v="72"/>
    <s v="0.1191 %"/>
    <n v="256"/>
    <n v="0.52559999999999996"/>
    <n v="26.142199999999999"/>
    <x v="3"/>
    <n v="477.7647"/>
    <x v="1"/>
    <x v="4"/>
  </r>
  <r>
    <s v="Seren Dunstan"/>
    <d v="2001-04-18T00:00:00"/>
    <n v="23"/>
    <n v="175"/>
    <s v="Tinggi"/>
    <s v="ISFP"/>
    <x v="2"/>
    <x v="0"/>
    <s v="Adaptive Mutation"/>
    <n v="101"/>
    <n v="23"/>
    <n v="81"/>
    <n v="33"/>
    <s v="0.7203 %"/>
    <n v="1"/>
    <n v="0.59430000000000005"/>
    <n v="40.341000000000001"/>
    <x v="3"/>
    <n v="241.0746"/>
    <x v="1"/>
    <x v="5"/>
  </r>
  <r>
    <s v="Piper Eld"/>
    <d v="2001-12-03T00:00:00"/>
    <n v="23"/>
    <n v="171"/>
    <s v="Normal"/>
    <s v="ENFJ"/>
    <x v="3"/>
    <x v="1"/>
    <s v="Soulfire Manifestation"/>
    <n v="93"/>
    <n v="15"/>
    <n v="12"/>
    <n v="5"/>
    <s v="0.133 %"/>
    <n v="142"/>
    <n v="0.70950000000000002"/>
    <n v="16.972300000000001"/>
    <x v="1"/>
    <n v="266.76249999999999"/>
    <x v="2"/>
    <x v="0"/>
  </r>
  <r>
    <s v="Emery Ashvale"/>
    <d v="2001-07-18T00:00:00"/>
    <n v="23"/>
    <n v="169"/>
    <s v="Normal"/>
    <s v="ESFJ"/>
    <x v="1"/>
    <x v="0"/>
    <s v="Moment moment of Truth / Oracle"/>
    <n v="80"/>
    <n v="62"/>
    <n v="44"/>
    <n v="11"/>
    <s v="0.9131 %"/>
    <n v="202"/>
    <n v="0.60809999999999997"/>
    <n v="118.3061"/>
    <x v="2"/>
    <n v="401.7312"/>
    <x v="2"/>
    <x v="0"/>
  </r>
  <r>
    <s v="Shaela Coldwater"/>
    <d v="2001-05-27T00:00:00"/>
    <n v="23"/>
    <n v="173"/>
    <s v="Normal"/>
    <s v="ISFJ"/>
    <x v="1"/>
    <x v="1"/>
    <s v="Memory Palace / Librarian Assistant"/>
    <n v="33"/>
    <n v="83"/>
    <n v="59"/>
    <n v="50"/>
    <s v="0.6781 %"/>
    <n v="76"/>
    <n v="0.64400000000000002"/>
    <n v="140.05420000000001"/>
    <x v="0"/>
    <n v="302.0421"/>
    <x v="2"/>
    <x v="0"/>
  </r>
  <r>
    <s v="Theron Dunmore"/>
    <d v="2002-04-14T00:00:00"/>
    <n v="22"/>
    <n v="162"/>
    <s v="Pendek"/>
    <s v="ESTP"/>
    <x v="2"/>
    <x v="0"/>
    <s v="Memory Palace / Librarian Assistant"/>
    <n v="52"/>
    <n v="45"/>
    <n v="22"/>
    <n v="59"/>
    <s v="0.4453 %"/>
    <n v="298"/>
    <n v="0.60050000000000003"/>
    <n v="65.486500000000007"/>
    <x v="2"/>
    <n v="478.92579999999998"/>
    <x v="1"/>
    <x v="6"/>
  </r>
  <r>
    <s v="Lyra Lopez"/>
    <d v="2001-04-08T00:00:00"/>
    <n v="23"/>
    <n v="178"/>
    <s v="Tinggi"/>
    <s v="ESFP"/>
    <x v="2"/>
    <x v="1"/>
    <s v="Adaptive Mutation"/>
    <n v="52"/>
    <n v="26"/>
    <n v="25"/>
    <n v="31"/>
    <s v="0.2161 %"/>
    <n v="37"/>
    <n v="0.42320000000000002"/>
    <n v="31.740200000000002"/>
    <x v="1"/>
    <n v="171.3493"/>
    <x v="0"/>
    <x v="1"/>
  </r>
  <r>
    <s v="Leon Ito"/>
    <d v="2001-04-05T00:00:00"/>
    <n v="23"/>
    <n v="161"/>
    <s v="Pendek"/>
    <s v="ENTP"/>
    <x v="0"/>
    <x v="1"/>
    <s v="Dominion Mark"/>
    <n v="109"/>
    <n v="1"/>
    <n v="4"/>
    <n v="44"/>
    <s v="0.434 %"/>
    <n v="104"/>
    <n v="0.64139999999999997"/>
    <n v="1.8785000000000001"/>
    <x v="2"/>
    <n v="263.4554"/>
    <x v="2"/>
    <x v="1"/>
  </r>
  <r>
    <s v="Aiko Vargas"/>
    <d v="2001-04-09T00:00:00"/>
    <n v="23"/>
    <n v="162"/>
    <s v="Pendek"/>
    <s v="ISTJ"/>
    <x v="1"/>
    <x v="0"/>
    <s v="Combat Escalation Law"/>
    <n v="138"/>
    <n v="67"/>
    <n v="19"/>
    <n v="55"/>
    <s v="0.8395 %"/>
    <n v="387"/>
    <n v="0.72160000000000002"/>
    <n v="122.5475"/>
    <x v="3"/>
    <n v="666.34109999999998"/>
    <x v="2"/>
    <x v="3"/>
  </r>
  <r>
    <s v="Haruto Weston"/>
    <d v="2003-07-07T00:00:00"/>
    <n v="21"/>
    <n v="166"/>
    <s v="Pendek"/>
    <s v="ESTJ"/>
    <x v="1"/>
    <x v="0"/>
    <s v="Memory Palace / Librarian Assistant"/>
    <n v="47"/>
    <n v="46"/>
    <n v="81"/>
    <n v="36"/>
    <s v="0.8093 %"/>
    <n v="341"/>
    <n v="0.67400000000000004"/>
    <n v="83.643900000000002"/>
    <x v="1"/>
    <n v="552.45330000000001"/>
    <x v="1"/>
    <x v="1"/>
  </r>
  <r>
    <s v="Emery Coldwater"/>
    <d v="2003-12-05T00:00:00"/>
    <n v="21"/>
    <n v="174"/>
    <s v="Normal"/>
    <s v="ENTP"/>
    <x v="0"/>
    <x v="1"/>
    <s v="Essence Severance"/>
    <n v="45"/>
    <n v="86"/>
    <n v="36"/>
    <n v="27"/>
    <s v="0.3678 %"/>
    <n v="116"/>
    <n v="0.53310000000000002"/>
    <n v="116.9743"/>
    <x v="3"/>
    <n v="310.32089999999999"/>
    <x v="0"/>
    <x v="3"/>
  </r>
  <r>
    <s v="Tomoe Ashford"/>
    <d v="2001-04-20T00:00:00"/>
    <n v="23"/>
    <n v="167"/>
    <s v="Pendek"/>
    <s v="ESTP"/>
    <x v="2"/>
    <x v="0"/>
    <s v="Covenant Bond / Healer &amp; Diplomat"/>
    <n v="5"/>
    <n v="50"/>
    <n v="55"/>
    <n v="84"/>
    <s v="0.1964 %"/>
    <n v="88"/>
    <n v="0.54220000000000002"/>
    <n v="59.664499999999997"/>
    <x v="1"/>
    <n v="282.26859999999999"/>
    <x v="2"/>
    <x v="2"/>
  </r>
  <r>
    <s v="Lyra Chen"/>
    <d v="2003-08-02T00:00:00"/>
    <n v="21"/>
    <n v="163"/>
    <s v="Pendek"/>
    <s v="ISFJ"/>
    <x v="1"/>
    <x v="0"/>
    <s v="Combat Escalation Law"/>
    <n v="27"/>
    <n v="89"/>
    <n v="56"/>
    <n v="66"/>
    <s v="0.5989 %"/>
    <n v="3"/>
    <n v="0.78749999999999998"/>
    <n v="142.41399999999999"/>
    <x v="1"/>
    <n v="242.38640000000001"/>
    <x v="1"/>
    <x v="1"/>
  </r>
  <r>
    <s v="Felix Fitzgerald"/>
    <d v="2001-08-24T00:00:00"/>
    <n v="23"/>
    <n v="168"/>
    <s v="Normal"/>
    <s v="INTP"/>
    <x v="0"/>
    <x v="1"/>
    <s v="Emotional Vectoring"/>
    <n v="11"/>
    <n v="54"/>
    <n v="64"/>
    <n v="41"/>
    <s v="0.8878 %"/>
    <n v="352"/>
    <n v="0.48520000000000002"/>
    <n v="101.11060000000001"/>
    <x v="2"/>
    <n v="522.20299999999997"/>
    <x v="2"/>
    <x v="0"/>
  </r>
  <r>
    <s v="Cassian Chen"/>
    <d v="2001-01-04T00:00:00"/>
    <n v="23"/>
    <n v="170"/>
    <s v="Normal"/>
    <s v="INFP"/>
    <x v="3"/>
    <x v="0"/>
    <s v="Dimensional Phase Shifting"/>
    <n v="75"/>
    <n v="56"/>
    <n v="11"/>
    <n v="36"/>
    <s v="0.9439 %"/>
    <n v="75"/>
    <n v="0.60970000000000002"/>
    <n v="109.38330000000001"/>
    <x v="1"/>
    <n v="255.36359999999999"/>
    <x v="1"/>
    <x v="3"/>
  </r>
  <r>
    <s v="Lena Declan"/>
    <d v="2003-06-14T00:00:00"/>
    <n v="21"/>
    <n v="179"/>
    <s v="Tinggi"/>
    <s v="INFP"/>
    <x v="3"/>
    <x v="1"/>
    <s v="Triage Field / Field Medic"/>
    <n v="29"/>
    <n v="49"/>
    <n v="13"/>
    <n v="13"/>
    <s v="0.2392 %"/>
    <n v="264"/>
    <n v="0.78469999999999995"/>
    <n v="60.460599999999999"/>
    <x v="3"/>
    <n v="368.96390000000002"/>
    <x v="2"/>
    <x v="3"/>
  </r>
  <r>
    <s v="Riku Vance"/>
    <d v="2001-01-01T00:00:00"/>
    <n v="24"/>
    <n v="161"/>
    <s v="Pendek"/>
    <s v="ISTJ"/>
    <x v="1"/>
    <x v="0"/>
    <s v="Transmutation Aura / Alchemist"/>
    <n v="147"/>
    <n v="58"/>
    <n v="6"/>
    <n v="38"/>
    <s v="0.3944 %"/>
    <n v="124"/>
    <n v="0.57279999999999998"/>
    <n v="81.418999999999997"/>
    <x v="0"/>
    <n v="375.72719999999998"/>
    <x v="1"/>
    <x v="3"/>
  </r>
  <r>
    <s v="Dara Nox"/>
    <d v="2003-09-19T00:00:00"/>
    <n v="21"/>
    <n v="185"/>
    <s v="Tinggi"/>
    <s v="INFJ"/>
    <x v="3"/>
    <x v="0"/>
    <s v="Heartstrike Overload"/>
    <n v="1"/>
    <n v="27"/>
    <n v="100"/>
    <n v="6"/>
    <s v="0.4589 %"/>
    <n v="71"/>
    <n v="0.42959999999999998"/>
    <n v="39.0548"/>
    <x v="2"/>
    <n v="205.23849999999999"/>
    <x v="2"/>
    <x v="4"/>
  </r>
  <r>
    <s v="Caspian Rossi"/>
    <d v="2002-06-08T00:00:00"/>
    <n v="22"/>
    <n v="176"/>
    <s v="Tinggi"/>
    <s v="ISTP"/>
    <x v="2"/>
    <x v="1"/>
    <s v="Elemental Mastery"/>
    <n v="107"/>
    <n v="7"/>
    <n v="97"/>
    <n v="15"/>
    <s v="0.7211 %"/>
    <n v="255"/>
    <n v="0.40329999999999999"/>
    <n v="12.0649"/>
    <x v="3"/>
    <n v="481.45440000000002"/>
    <x v="0"/>
    <x v="0"/>
  </r>
  <r>
    <s v="Ryo Dawnforge"/>
    <d v="2001-12-11T00:00:00"/>
    <n v="23"/>
    <n v="185"/>
    <s v="Tinggi"/>
    <s v="INTJ"/>
    <x v="0"/>
    <x v="1"/>
    <s v="Gravity Rend"/>
    <n v="112"/>
    <n v="88"/>
    <n v="90"/>
    <n v="85"/>
    <s v="0.9861 %"/>
    <n v="157"/>
    <n v="0.55730000000000002"/>
    <n v="174.49870000000001"/>
    <x v="1"/>
    <n v="533.76340000000005"/>
    <x v="1"/>
    <x v="1"/>
  </r>
  <r>
    <s v="Rin Nox"/>
    <d v="2001-08-24T00:00:00"/>
    <n v="23"/>
    <n v="185"/>
    <s v="Tinggi"/>
    <s v="INFP"/>
    <x v="3"/>
    <x v="0"/>
    <s v="Sensory Collapse Domain"/>
    <n v="127"/>
    <n v="63"/>
    <n v="64"/>
    <n v="60"/>
    <s v="0.238 %"/>
    <n v="371"/>
    <n v="0.53580000000000005"/>
    <n v="77.461699999999993"/>
    <x v="0"/>
    <n v="684.29380000000003"/>
    <x v="0"/>
    <x v="1"/>
  </r>
  <r>
    <s v="Draven Swiftwind"/>
    <d v="2002-02-10T00:00:00"/>
    <n v="22"/>
    <n v="166"/>
    <s v="Pendek"/>
    <s v="INFP"/>
    <x v="3"/>
    <x v="1"/>
    <s v="Gravity Rend"/>
    <n v="138"/>
    <n v="49"/>
    <n v="73"/>
    <n v="94"/>
    <s v="0.239 %"/>
    <n v="52"/>
    <n v="0.5363"/>
    <n v="60.686199999999999"/>
    <x v="3"/>
    <n v="407.17529999999999"/>
    <x v="2"/>
    <x v="5"/>
  </r>
  <r>
    <s v="Corwin Sinclair"/>
    <d v="2003-03-08T00:00:00"/>
    <n v="21"/>
    <n v="172"/>
    <s v="Normal"/>
    <s v="ESTP"/>
    <x v="2"/>
    <x v="0"/>
    <s v="Absolute Command / General"/>
    <n v="29"/>
    <n v="14"/>
    <n v="44"/>
    <n v="42"/>
    <s v="0.1861 %"/>
    <n v="229"/>
    <n v="0.55759999999999998"/>
    <n v="16.8782"/>
    <x v="2"/>
    <n v="359.27370000000002"/>
    <x v="0"/>
    <x v="5"/>
  </r>
  <r>
    <s v="Fable Thornton"/>
    <d v="2003-09-09T00:00:00"/>
    <n v="21"/>
    <n v="179"/>
    <s v="Tinggi"/>
    <s v="ESFJ"/>
    <x v="1"/>
    <x v="0"/>
    <s v="Fate Weave / Royal Advisor"/>
    <n v="139"/>
    <n v="91"/>
    <n v="42"/>
    <n v="51"/>
    <s v="0.3765 %"/>
    <n v="210"/>
    <n v="0.71609999999999996"/>
    <n v="124.88979999999999"/>
    <x v="1"/>
    <n v="534.26260000000002"/>
    <x v="0"/>
    <x v="4"/>
  </r>
  <r>
    <s v="Riku Hargrove"/>
    <d v="2002-02-27T00:00:00"/>
    <n v="22"/>
    <n v="184"/>
    <s v="Tinggi"/>
    <s v="ISFJ"/>
    <x v="1"/>
    <x v="0"/>
    <s v="Memory Palace / Librarian Assistant"/>
    <n v="38"/>
    <n v="20"/>
    <n v="22"/>
    <n v="78"/>
    <s v="0.4861 %"/>
    <n v="297"/>
    <n v="0.82630000000000003"/>
    <n v="29.4099"/>
    <x v="2"/>
    <n v="456.26240000000001"/>
    <x v="0"/>
    <x v="5"/>
  </r>
  <r>
    <s v="Felix Flint"/>
    <d v="2002-05-03T00:00:00"/>
    <n v="22"/>
    <n v="173"/>
    <s v="Normal"/>
    <s v="ENTP"/>
    <x v="0"/>
    <x v="1"/>
    <s v="Absolute Command / General"/>
    <n v="104"/>
    <n v="91"/>
    <n v="84"/>
    <n v="14"/>
    <s v="0.3558 %"/>
    <n v="10"/>
    <n v="0.70350000000000001"/>
    <n v="123.4049"/>
    <x v="1"/>
    <n v="303.94929999999999"/>
    <x v="2"/>
    <x v="2"/>
  </r>
  <r>
    <s v="Petra Blackwood"/>
    <d v="2002-05-20T00:00:00"/>
    <n v="22"/>
    <n v="172"/>
    <s v="Normal"/>
    <s v="INTP"/>
    <x v="0"/>
    <x v="1"/>
    <s v="Warbrand Arsenal"/>
    <n v="111"/>
    <n v="9"/>
    <n v="85"/>
    <n v="54"/>
    <s v="0.306 %"/>
    <n v="59"/>
    <n v="0.73670000000000002"/>
    <n v="11.962999999999999"/>
    <x v="3"/>
    <n v="318.7527"/>
    <x v="0"/>
    <x v="4"/>
  </r>
  <r>
    <s v="Kiran Hayashi"/>
    <d v="2002-11-05T00:00:00"/>
    <n v="22"/>
    <n v="165"/>
    <s v="Pendek"/>
    <s v="ENFJ"/>
    <x v="3"/>
    <x v="1"/>
    <s v="Fate Weave / Royal Advisor"/>
    <n v="49"/>
    <n v="75"/>
    <n v="45"/>
    <n v="24"/>
    <s v="0.8718 %"/>
    <n v="274"/>
    <n v="0.59799999999999998"/>
    <n v="139.97319999999999"/>
    <x v="2"/>
    <n v="469.14980000000003"/>
    <x v="2"/>
    <x v="0"/>
  </r>
  <r>
    <s v="Nami Eld"/>
    <d v="2001-10-16T00:00:00"/>
    <n v="23"/>
    <n v="183"/>
    <s v="Tinggi"/>
    <s v="ESTJ"/>
    <x v="1"/>
    <x v="0"/>
    <s v="Dominion Mark"/>
    <n v="49"/>
    <n v="33"/>
    <n v="97"/>
    <n v="65"/>
    <s v="0.9152 %"/>
    <n v="345"/>
    <n v="0.55459999999999998"/>
    <n v="62.320599999999999"/>
    <x v="1"/>
    <n v="589.96979999999996"/>
    <x v="0"/>
    <x v="0"/>
  </r>
  <r>
    <s v="Lyanna Aldridge"/>
    <d v="2003-05-17T00:00:00"/>
    <n v="21"/>
    <n v="165"/>
    <s v="Pendek"/>
    <s v="ISTP"/>
    <x v="2"/>
    <x v="0"/>
    <s v="Absolute Command / General"/>
    <n v="98"/>
    <n v="48"/>
    <n v="58"/>
    <n v="31"/>
    <s v="0.6808 %"/>
    <n v="258"/>
    <n v="0.74419999999999997"/>
    <n v="79.9893"/>
    <x v="1"/>
    <n v="494.15499999999997"/>
    <x v="1"/>
    <x v="6"/>
  </r>
  <r>
    <s v="Lyric Thorne"/>
    <d v="2002-10-10T00:00:00"/>
    <n v="22"/>
    <n v="183"/>
    <s v="Tinggi"/>
    <s v="ESFP"/>
    <x v="2"/>
    <x v="0"/>
    <s v="Living Canvas / Cartographer"/>
    <n v="3"/>
    <n v="98"/>
    <n v="39"/>
    <n v="39"/>
    <s v="0.8667 %"/>
    <n v="122"/>
    <n v="0.56830000000000003"/>
    <n v="183.75790000000001"/>
    <x v="3"/>
    <n v="303.63499999999999"/>
    <x v="0"/>
    <x v="2"/>
  </r>
  <r>
    <s v="Owen Masaki"/>
    <d v="2002-09-28T00:00:00"/>
    <n v="22"/>
    <n v="165"/>
    <s v="Pendek"/>
    <s v="ENTP"/>
    <x v="0"/>
    <x v="1"/>
    <s v="Transmutation Aura / Alchemist"/>
    <n v="135"/>
    <n v="62"/>
    <n v="41"/>
    <n v="14"/>
    <s v="0.669 %"/>
    <n v="80"/>
    <n v="0.42870000000000003"/>
    <n v="104.0622"/>
    <x v="1"/>
    <n v="333.99770000000001"/>
    <x v="2"/>
    <x v="2"/>
  </r>
  <r>
    <s v="Caius Yamamoto"/>
    <d v="2001-03-15T00:00:00"/>
    <n v="23"/>
    <n v="183"/>
    <s v="Tinggi"/>
    <s v="ENFJ"/>
    <x v="3"/>
    <x v="1"/>
    <s v="Warbrand Arsenal"/>
    <n v="23"/>
    <n v="92"/>
    <n v="75"/>
    <n v="33"/>
    <s v="0.3153 %"/>
    <n v="344"/>
    <n v="0.44969999999999999"/>
    <n v="121.1391"/>
    <x v="2"/>
    <n v="567.71500000000003"/>
    <x v="1"/>
    <x v="0"/>
  </r>
  <r>
    <s v="Yuna Nakamura"/>
    <d v="2002-06-18T00:00:00"/>
    <n v="22"/>
    <n v="168"/>
    <s v="Normal"/>
    <s v="INTJ"/>
    <x v="0"/>
    <x v="0"/>
    <s v="Combat Escalation Law"/>
    <n v="69"/>
    <n v="45"/>
    <n v="61"/>
    <n v="77"/>
    <s v="0.5883 %"/>
    <n v="86"/>
    <n v="0.79290000000000005"/>
    <n v="72.045299999999997"/>
    <x v="3"/>
    <n v="340.08120000000002"/>
    <x v="0"/>
    <x v="0"/>
  </r>
  <r>
    <s v="Mika Crestwood"/>
    <d v="2003-11-25T00:00:00"/>
    <n v="21"/>
    <n v="160"/>
    <s v="Pendek"/>
    <s v="ESFJ"/>
    <x v="1"/>
    <x v="0"/>
    <s v="Damage Reflection Lattice"/>
    <n v="28"/>
    <n v="69"/>
    <n v="29"/>
    <n v="77"/>
    <s v="0.187 %"/>
    <n v="38"/>
    <n v="0.54149999999999998"/>
    <n v="81.914900000000003"/>
    <x v="2"/>
    <n v="241.9085"/>
    <x v="2"/>
    <x v="1"/>
  </r>
  <r>
    <s v="Yuna Declan"/>
    <d v="2001-03-05T00:00:00"/>
    <n v="23"/>
    <n v="178"/>
    <s v="Tinggi"/>
    <s v="ISTJ"/>
    <x v="1"/>
    <x v="0"/>
    <s v="Dominion Mark"/>
    <n v="30"/>
    <n v="51"/>
    <n v="6"/>
    <n v="86"/>
    <s v="0.1747 %"/>
    <n v="388"/>
    <n v="0.77259999999999995"/>
    <n v="59.545499999999997"/>
    <x v="0"/>
    <n v="561.67729999999995"/>
    <x v="1"/>
    <x v="0"/>
  </r>
  <r>
    <s v="Clara Drayton"/>
    <d v="2003-09-10T00:00:00"/>
    <n v="21"/>
    <n v="160"/>
    <s v="Pendek"/>
    <s v="ISTJ"/>
    <x v="1"/>
    <x v="0"/>
    <s v="Combat Escalation Law"/>
    <n v="14"/>
    <n v="10"/>
    <n v="6"/>
    <n v="11"/>
    <s v="0.9841 %"/>
    <n v="322"/>
    <n v="0.76649999999999996"/>
    <n v="20.713999999999999"/>
    <x v="1"/>
    <n v="364.5806"/>
    <x v="0"/>
    <x v="4"/>
  </r>
  <r>
    <s v="Airi Dunstan"/>
    <d v="2001-12-28T00:00:00"/>
    <n v="23"/>
    <n v="167"/>
    <s v="Pendek"/>
    <s v="INTP"/>
    <x v="0"/>
    <x v="0"/>
    <s v="Combat Escalation Law"/>
    <n v="144"/>
    <n v="87"/>
    <n v="49"/>
    <n v="99"/>
    <s v="0.5555 %"/>
    <n v="249"/>
    <n v="0.81399999999999995"/>
    <n v="135.31290000000001"/>
    <x v="1"/>
    <n v="628.55949999999996"/>
    <x v="0"/>
    <x v="2"/>
  </r>
  <r>
    <s v="Fumiko Kobayashi"/>
    <d v="2001-01-08T00:00:00"/>
    <n v="23"/>
    <n v="163"/>
    <s v="Pendek"/>
    <s v="ENTP"/>
    <x v="0"/>
    <x v="1"/>
    <s v="Fracture Surge"/>
    <n v="78"/>
    <n v="38"/>
    <n v="34"/>
    <n v="86"/>
    <s v="0.4371 %"/>
    <n v="292"/>
    <n v="0.64159999999999995"/>
    <n v="54.149900000000002"/>
    <x v="1"/>
    <n v="529.09870000000001"/>
    <x v="0"/>
    <x v="0"/>
  </r>
  <r>
    <s v="Caspian Montgomery"/>
    <d v="2001-07-26T00:00:00"/>
    <n v="23"/>
    <n v="167"/>
    <s v="Pendek"/>
    <s v="INFJ"/>
    <x v="3"/>
    <x v="1"/>
    <s v="Transmutation Aura / Alchemist"/>
    <n v="97"/>
    <n v="40"/>
    <n v="82"/>
    <n v="30"/>
    <s v="0.3568 %"/>
    <n v="323"/>
    <n v="0.78120000000000001"/>
    <n v="54.665500000000002"/>
    <x v="2"/>
    <n v="573.00800000000004"/>
    <x v="2"/>
    <x v="6"/>
  </r>
  <r>
    <s v="Caspian Kato"/>
    <d v="2002-06-04T00:00:00"/>
    <n v="22"/>
    <n v="167"/>
    <s v="Pendek"/>
    <s v="ISTP"/>
    <x v="2"/>
    <x v="1"/>
    <s v="Heartstrike Overload"/>
    <n v="121"/>
    <n v="74"/>
    <n v="6"/>
    <n v="28"/>
    <s v="0.4968 %"/>
    <n v="338"/>
    <n v="0.74299999999999999"/>
    <n v="110.9278"/>
    <x v="3"/>
    <n v="567.72979999999995"/>
    <x v="2"/>
    <x v="1"/>
  </r>
  <r>
    <s v="Shaela Ironfield"/>
    <d v="2003-04-10T00:00:00"/>
    <n v="21"/>
    <n v="171"/>
    <s v="Normal"/>
    <s v="ENFP"/>
    <x v="3"/>
    <x v="0"/>
    <s v="Emotional Vectoring"/>
    <n v="132"/>
    <n v="96"/>
    <n v="93"/>
    <n v="87"/>
    <s v="0.954 %"/>
    <n v="285"/>
    <n v="0.4874"/>
    <n v="186.90010000000001"/>
    <x v="3"/>
    <n v="694.14139999999998"/>
    <x v="2"/>
    <x v="4"/>
  </r>
  <r>
    <s v="Reika Kim"/>
    <d v="2001-12-21T00:00:00"/>
    <n v="23"/>
    <n v="185"/>
    <s v="Tinggi"/>
    <s v="ESTJ"/>
    <x v="1"/>
    <x v="1"/>
    <s v="Memory Palace / Librarian Assistant"/>
    <n v="84"/>
    <n v="30"/>
    <n v="61"/>
    <n v="42"/>
    <s v="0.9266 %"/>
    <n v="384"/>
    <n v="0.69169999999999998"/>
    <n v="58.549399999999999"/>
    <x v="0"/>
    <n v="602.82830000000001"/>
    <x v="2"/>
    <x v="1"/>
  </r>
  <r>
    <s v="Taro Quill"/>
    <d v="2001-10-23T00:00:00"/>
    <n v="23"/>
    <n v="184"/>
    <s v="Tinggi"/>
    <s v="ISTP"/>
    <x v="2"/>
    <x v="0"/>
    <s v="Combat Escalation Law"/>
    <n v="50"/>
    <n v="26"/>
    <n v="35"/>
    <n v="3"/>
    <s v="0.2901 %"/>
    <n v="261"/>
    <n v="0.46529999999999999"/>
    <n v="33.710299999999997"/>
    <x v="2"/>
    <n v="376.25540000000001"/>
    <x v="1"/>
    <x v="4"/>
  </r>
  <r>
    <s v="Isadora Rossi"/>
    <d v="2003-04-22T00:00:00"/>
    <n v="21"/>
    <n v="162"/>
    <s v="Pendek"/>
    <s v="ESTP"/>
    <x v="2"/>
    <x v="0"/>
    <s v="Gravity Rend"/>
    <n v="118"/>
    <n v="87"/>
    <n v="32"/>
    <n v="14"/>
    <s v="0.3026 %"/>
    <n v="171"/>
    <n v="0.52200000000000002"/>
    <n v="113.717"/>
    <x v="2"/>
    <n v="423.0446"/>
    <x v="0"/>
    <x v="4"/>
  </r>
  <r>
    <s v="Caspian Hartley"/>
    <d v="2001-08-31T00:00:00"/>
    <n v="23"/>
    <n v="165"/>
    <s v="Pendek"/>
    <s v="ENFP"/>
    <x v="3"/>
    <x v="1"/>
    <s v="Warbrand Arsenal"/>
    <n v="75"/>
    <n v="19"/>
    <n v="19"/>
    <n v="39"/>
    <s v="0.2639 %"/>
    <n v="327"/>
    <n v="0.82020000000000004"/>
    <n v="24.140499999999999"/>
    <x v="1"/>
    <n v="480.48410000000001"/>
    <x v="1"/>
    <x v="4"/>
  </r>
  <r>
    <s v="Vessa Emberveil"/>
    <d v="2003-11-27T00:00:00"/>
    <n v="21"/>
    <n v="182"/>
    <s v="Tinggi"/>
    <s v="ISTP"/>
    <x v="2"/>
    <x v="0"/>
    <s v="Heartstrike Overload"/>
    <n v="80"/>
    <n v="82"/>
    <n v="96"/>
    <n v="44"/>
    <s v="0.2801 %"/>
    <n v="376"/>
    <n v="0.4657"/>
    <n v="105.50579999999999"/>
    <x v="1"/>
    <n v="680.1558"/>
    <x v="1"/>
    <x v="2"/>
  </r>
  <r>
    <s v="Airi Saito"/>
    <d v="2003-12-17T00:00:00"/>
    <n v="21"/>
    <n v="184"/>
    <s v="Tinggi"/>
    <s v="ENFP"/>
    <x v="3"/>
    <x v="0"/>
    <s v="Emotional Vectoring"/>
    <n v="73"/>
    <n v="91"/>
    <n v="5"/>
    <n v="28"/>
    <s v="0.7795 %"/>
    <n v="46"/>
    <n v="0.81159999999999999"/>
    <n v="162.09469999999999"/>
    <x v="0"/>
    <n v="243.7611"/>
    <x v="0"/>
    <x v="3"/>
  </r>
  <r>
    <s v="Aster Pelham"/>
    <d v="2002-06-14T00:00:00"/>
    <n v="22"/>
    <n v="185"/>
    <s v="Tinggi"/>
    <s v="ENTP"/>
    <x v="0"/>
    <x v="0"/>
    <s v="Soulfire Manifestation"/>
    <n v="138"/>
    <n v="5"/>
    <n v="22"/>
    <n v="10"/>
    <s v="0.2047 %"/>
    <n v="57"/>
    <n v="0.66749999999999998"/>
    <n v="5.4692999999999996"/>
    <x v="2"/>
    <n v="232.0522"/>
    <x v="2"/>
    <x v="4"/>
  </r>
  <r>
    <s v="Aldric Dawnforge"/>
    <d v="2003-07-21T00:00:00"/>
    <n v="21"/>
    <n v="170"/>
    <s v="Normal"/>
    <s v="ISFJ"/>
    <x v="1"/>
    <x v="0"/>
    <s v="Memory Palace / Librarian Assistant"/>
    <n v="145"/>
    <n v="66"/>
    <n v="66"/>
    <n v="16"/>
    <s v="0.8121 %"/>
    <n v="73"/>
    <n v="0.6552"/>
    <n v="118.89190000000001"/>
    <x v="0"/>
    <n v="366.02730000000003"/>
    <x v="2"/>
    <x v="1"/>
  </r>
  <r>
    <s v="Torin Moonshade"/>
    <d v="2003-12-10T00:00:00"/>
    <n v="21"/>
    <n v="183"/>
    <s v="Tinggi"/>
    <s v="ESFJ"/>
    <x v="1"/>
    <x v="0"/>
    <s v="Dominion Mark"/>
    <n v="82"/>
    <n v="30"/>
    <n v="98"/>
    <n v="62"/>
    <s v="0.5447 %"/>
    <n v="166"/>
    <n v="0.48909999999999998"/>
    <n v="46.418199999999999"/>
    <x v="0"/>
    <n v="439.24380000000002"/>
    <x v="0"/>
    <x v="6"/>
  </r>
  <r>
    <s v="Orin Declan"/>
    <d v="2003-04-23T00:00:00"/>
    <n v="21"/>
    <n v="166"/>
    <s v="Pendek"/>
    <s v="INTP"/>
    <x v="0"/>
    <x v="1"/>
    <s v="Primal Sovereign / Engineer"/>
    <n v="131"/>
    <n v="45"/>
    <n v="98"/>
    <n v="7"/>
    <s v="0.5005 %"/>
    <n v="43"/>
    <n v="0.77649999999999997"/>
    <n v="67.822599999999994"/>
    <x v="3"/>
    <n v="325.59699999999998"/>
    <x v="1"/>
    <x v="6"/>
  </r>
  <r>
    <s v="Elise Quill"/>
    <d v="2003-05-05T00:00:00"/>
    <n v="21"/>
    <n v="168"/>
    <s v="Normal"/>
    <s v="ISFJ"/>
    <x v="1"/>
    <x v="0"/>
    <s v="Momentum Surge / Knight-Errant"/>
    <n v="67"/>
    <n v="86"/>
    <n v="7"/>
    <n v="90"/>
    <s v="0.4659 %"/>
    <n v="114"/>
    <n v="0.77790000000000004"/>
    <n v="126.1114"/>
    <x v="1"/>
    <n v="365.81380000000001"/>
    <x v="0"/>
    <x v="5"/>
  </r>
  <r>
    <s v="Ansel Sol"/>
    <d v="2003-05-07T00:00:00"/>
    <n v="21"/>
    <n v="167"/>
    <s v="Pendek"/>
    <s v="INTP"/>
    <x v="0"/>
    <x v="0"/>
    <s v="Zone of Order / City Watch Captain"/>
    <n v="80"/>
    <n v="57"/>
    <n v="34"/>
    <n v="36"/>
    <s v="0.7768 %"/>
    <n v="191"/>
    <n v="0.4612"/>
    <n v="100.9755"/>
    <x v="0"/>
    <n v="399.428"/>
    <x v="1"/>
    <x v="0"/>
  </r>
  <r>
    <s v="Iris Hartley"/>
    <d v="2003-12-27T00:00:00"/>
    <n v="21"/>
    <n v="182"/>
    <s v="Tinggi"/>
    <s v="INFP"/>
    <x v="3"/>
    <x v="1"/>
    <s v="Elemental Mastery"/>
    <n v="129"/>
    <n v="36"/>
    <n v="53"/>
    <n v="61"/>
    <s v="0.8017 %"/>
    <n v="181"/>
    <n v="0.80789999999999995"/>
    <n v="65.563900000000004"/>
    <x v="0"/>
    <n v="461.64960000000002"/>
    <x v="2"/>
    <x v="5"/>
  </r>
  <r>
    <s v="Vale Yamamoto"/>
    <d v="2001-02-11T00:00:00"/>
    <n v="23"/>
    <n v="184"/>
    <s v="Tinggi"/>
    <s v="ESTJ"/>
    <x v="1"/>
    <x v="0"/>
    <s v="Warbrand Arsenal"/>
    <n v="62"/>
    <n v="63"/>
    <n v="9"/>
    <n v="40"/>
    <s v="0.193 %"/>
    <n v="281"/>
    <n v="0.50470000000000004"/>
    <n v="75.469200000000001"/>
    <x v="3"/>
    <n v="456.26769999999999"/>
    <x v="2"/>
    <x v="6"/>
  </r>
  <r>
    <s v="Dante Whitmore"/>
    <d v="2001-08-30T00:00:00"/>
    <n v="23"/>
    <n v="166"/>
    <s v="Pendek"/>
    <s v="ENFJ"/>
    <x v="3"/>
    <x v="1"/>
    <s v="Triage Field / Field Medic"/>
    <n v="77"/>
    <n v="36"/>
    <n v="37"/>
    <n v="72"/>
    <s v="0.3676 %"/>
    <n v="350"/>
    <n v="0.47789999999999999"/>
    <n v="49.069499999999998"/>
    <x v="1"/>
    <n v="573.10550000000001"/>
    <x v="2"/>
    <x v="3"/>
  </r>
  <r>
    <s v="Lyric Ito"/>
    <d v="2001-07-19T00:00:00"/>
    <n v="23"/>
    <n v="173"/>
    <s v="Normal"/>
    <s v="INTJ"/>
    <x v="0"/>
    <x v="0"/>
    <s v="Living Canvas / Cartographer"/>
    <n v="7"/>
    <n v="34"/>
    <n v="23"/>
    <n v="26"/>
    <s v="0.2029 %"/>
    <n v="21"/>
    <n v="0.60680000000000001"/>
    <n v="40.802399999999999"/>
    <x v="1"/>
    <n v="111.9597"/>
    <x v="0"/>
    <x v="0"/>
  </r>
  <r>
    <s v="Aldric Wiley"/>
    <d v="2001-01-12T00:00:00"/>
    <n v="23"/>
    <n v="174"/>
    <s v="Normal"/>
    <s v="ESTP"/>
    <x v="2"/>
    <x v="1"/>
    <s v="Elemental Mastery"/>
    <n v="12"/>
    <n v="98"/>
    <n v="80"/>
    <n v="58"/>
    <s v="0.6912 %"/>
    <n v="394"/>
    <n v="0.67559999999999998"/>
    <n v="164.92580000000001"/>
    <x v="2"/>
    <n v="641.99680000000001"/>
    <x v="0"/>
    <x v="0"/>
  </r>
  <r>
    <s v="Briar Lopez"/>
    <d v="2001-10-05T00:00:00"/>
    <n v="23"/>
    <n v="171"/>
    <s v="Normal"/>
    <s v="ISTJ"/>
    <x v="1"/>
    <x v="1"/>
    <s v="Elemental Mastery"/>
    <n v="11"/>
    <n v="47"/>
    <n v="48"/>
    <n v="97"/>
    <s v="0.8294 %"/>
    <n v="95"/>
    <n v="0.77329999999999999"/>
    <n v="85.1952"/>
    <x v="0"/>
    <n v="298.68270000000001"/>
    <x v="1"/>
    <x v="5"/>
  </r>
  <r>
    <s v="Vale Dunmore"/>
    <d v="2002-09-02T00:00:00"/>
    <n v="22"/>
    <n v="184"/>
    <s v="Tinggi"/>
    <s v="INTJ"/>
    <x v="0"/>
    <x v="0"/>
    <s v="Sensory Collapse Domain"/>
    <n v="124"/>
    <n v="62"/>
    <n v="35"/>
    <n v="23"/>
    <s v="0.5724 %"/>
    <n v="28"/>
    <n v="0.67500000000000004"/>
    <n v="98.133499999999998"/>
    <x v="1"/>
    <n v="273.93740000000003"/>
    <x v="1"/>
    <x v="0"/>
  </r>
  <r>
    <s v="Takeshi Strider"/>
    <d v="2003-06-20T00:00:00"/>
    <n v="21"/>
    <n v="182"/>
    <s v="Tinggi"/>
    <s v="INTJ"/>
    <x v="0"/>
    <x v="0"/>
    <s v="Runic Deconstruction / Scholar"/>
    <n v="118"/>
    <n v="2"/>
    <n v="3"/>
    <n v="94"/>
    <s v="0.2438 %"/>
    <n v="307"/>
    <n v="0.69910000000000005"/>
    <n v="2.1393"/>
    <x v="2"/>
    <n v="524.92290000000003"/>
    <x v="0"/>
    <x v="0"/>
  </r>
  <r>
    <s v="Iris Dunstan"/>
    <d v="2003-06-27T00:00:00"/>
    <n v="21"/>
    <n v="178"/>
    <s v="Tinggi"/>
    <s v="ESTP"/>
    <x v="2"/>
    <x v="0"/>
    <s v="Soulfire Manifestation"/>
    <n v="116"/>
    <n v="16"/>
    <n v="46"/>
    <n v="45"/>
    <s v="0.6254 %"/>
    <n v="122"/>
    <n v="0.4819"/>
    <n v="25.616299999999999"/>
    <x v="3"/>
    <n v="344.84730000000002"/>
    <x v="2"/>
    <x v="2"/>
  </r>
  <r>
    <s v="Hugo Eld"/>
    <d v="2001-09-29T00:00:00"/>
    <n v="23"/>
    <n v="174"/>
    <s v="Normal"/>
    <s v="ESTP"/>
    <x v="2"/>
    <x v="1"/>
    <s v="Moment moment of Truth / Oracle"/>
    <n v="73"/>
    <n v="20"/>
    <n v="77"/>
    <n v="45"/>
    <s v="0.2927 %"/>
    <n v="157"/>
    <n v="0.69699999999999995"/>
    <n v="25.375699999999998"/>
    <x v="1"/>
    <n v="372.22969999999998"/>
    <x v="0"/>
    <x v="5"/>
  </r>
  <r>
    <s v="Mei Mirren"/>
    <d v="2002-02-03T00:00:00"/>
    <n v="22"/>
    <n v="175"/>
    <s v="Tinggi"/>
    <s v="ENFJ"/>
    <x v="3"/>
    <x v="0"/>
    <s v="Emotional Vectoring"/>
    <n v="1"/>
    <n v="7"/>
    <n v="97"/>
    <n v="28"/>
    <s v="0.9849 %"/>
    <n v="220"/>
    <n v="0.68589999999999995"/>
    <n v="13.279"/>
    <x v="3"/>
    <n v="353.88080000000002"/>
    <x v="0"/>
    <x v="5"/>
  </r>
  <r>
    <s v="Davan Calloway"/>
    <d v="2003-12-24T00:00:00"/>
    <n v="21"/>
    <n v="163"/>
    <s v="Pendek"/>
    <s v="ISTJ"/>
    <x v="1"/>
    <x v="0"/>
    <s v="Combat Escalation Law"/>
    <n v="13"/>
    <n v="31"/>
    <n v="84"/>
    <n v="10"/>
    <s v="0.3824 %"/>
    <n v="355"/>
    <n v="0.70599999999999996"/>
    <n v="42.177"/>
    <x v="3"/>
    <n v="494.09840000000003"/>
    <x v="1"/>
    <x v="6"/>
  </r>
  <r>
    <s v="Kotaro Eld"/>
    <d v="2001-02-08T00:00:00"/>
    <n v="23"/>
    <n v="172"/>
    <s v="Normal"/>
    <s v="ISFP"/>
    <x v="2"/>
    <x v="0"/>
    <s v="Ruin Pulse Engine"/>
    <n v="103"/>
    <n v="53"/>
    <n v="14"/>
    <n v="88"/>
    <s v="0.9367 %"/>
    <n v="322"/>
    <n v="0.65629999999999999"/>
    <n v="102.8969"/>
    <x v="0"/>
    <n v="581.03300000000002"/>
    <x v="2"/>
    <x v="5"/>
  </r>
  <r>
    <s v="Aiko Nox"/>
    <d v="2003-06-12T00:00:00"/>
    <n v="21"/>
    <n v="177"/>
    <s v="Tinggi"/>
    <s v="INFP"/>
    <x v="3"/>
    <x v="1"/>
    <s v="Fracture Surge"/>
    <n v="25"/>
    <n v="2"/>
    <n v="38"/>
    <n v="73"/>
    <s v="0.5473 %"/>
    <n v="379"/>
    <n v="0.82099999999999995"/>
    <n v="2.9243999999999999"/>
    <x v="0"/>
    <n v="518.40830000000005"/>
    <x v="1"/>
    <x v="2"/>
  </r>
  <r>
    <s v="Takeshi Vargas"/>
    <d v="2002-10-26T00:00:00"/>
    <n v="22"/>
    <n v="185"/>
    <s v="Tinggi"/>
    <s v="INFJ"/>
    <x v="3"/>
    <x v="1"/>
    <s v="Essence Severance"/>
    <n v="148"/>
    <n v="16"/>
    <n v="3"/>
    <n v="84"/>
    <s v="0.8096 %"/>
    <n v="201"/>
    <n v="0.78639999999999999"/>
    <n v="28.989799999999999"/>
    <x v="1"/>
    <n v="453.14600000000002"/>
    <x v="1"/>
    <x v="4"/>
  </r>
  <r>
    <s v="Aria Crestwood"/>
    <d v="2002-01-06T00:00:00"/>
    <n v="22"/>
    <n v="176"/>
    <s v="Tinggi"/>
    <s v="ENTP"/>
    <x v="0"/>
    <x v="1"/>
    <s v="Fracture Surge"/>
    <n v="143"/>
    <n v="69"/>
    <n v="52"/>
    <n v="33"/>
    <s v="0.4957 %"/>
    <n v="226"/>
    <n v="0.8054"/>
    <n v="102.76949999999999"/>
    <x v="3"/>
    <n v="523.16110000000003"/>
    <x v="0"/>
    <x v="3"/>
  </r>
  <r>
    <s v="Kiran Dunmore"/>
    <d v="2003-12-29T00:00:00"/>
    <n v="21"/>
    <n v="182"/>
    <s v="Tinggi"/>
    <s v="INFP"/>
    <x v="3"/>
    <x v="0"/>
    <s v="Soulfire Manifestation"/>
    <n v="10"/>
    <n v="72"/>
    <n v="72"/>
    <n v="24"/>
    <s v="0.3706 %"/>
    <n v="297"/>
    <n v="0.63260000000000005"/>
    <n v="98.121300000000005"/>
    <x v="1"/>
    <n v="475.70319999999998"/>
    <x v="0"/>
    <x v="1"/>
  </r>
  <r>
    <s v="Celeste Fitzgerald"/>
    <d v="2003-02-13T00:00:00"/>
    <n v="21"/>
    <n v="172"/>
    <s v="Normal"/>
    <s v="ENFJ"/>
    <x v="3"/>
    <x v="1"/>
    <s v="Gravity Rend"/>
    <n v="81"/>
    <n v="64"/>
    <n v="32"/>
    <n v="25"/>
    <s v="0.8063 %"/>
    <n v="321"/>
    <n v="0.54249999999999998"/>
    <n v="114.7362"/>
    <x v="3"/>
    <n v="523.23879999999997"/>
    <x v="1"/>
    <x v="6"/>
  </r>
  <r>
    <s v="Hugo Calloway"/>
    <d v="2001-12-18T00:00:00"/>
    <n v="23"/>
    <n v="180"/>
    <s v="Tinggi"/>
    <s v="INFP"/>
    <x v="3"/>
    <x v="1"/>
    <s v="Archive of Blades / Guild Archivist"/>
    <n v="130"/>
    <n v="8"/>
    <n v="74"/>
    <n v="29"/>
    <s v="0.7696 %"/>
    <n v="141"/>
    <n v="0.66839999999999999"/>
    <n v="13.2897"/>
    <x v="3"/>
    <n v="382.24799999999999"/>
    <x v="1"/>
    <x v="5"/>
  </r>
  <r>
    <s v="Miriam Declan"/>
    <d v="2002-04-16T00:00:00"/>
    <n v="22"/>
    <n v="168"/>
    <s v="Normal"/>
    <s v="ISFP"/>
    <x v="2"/>
    <x v="1"/>
    <s v="Living Canvas / Cartographer"/>
    <n v="99"/>
    <n v="13"/>
    <n v="13"/>
    <n v="26"/>
    <s v="0.6279 %"/>
    <n v="312"/>
    <n v="0.58389999999999997"/>
    <n v="21.1464"/>
    <x v="3"/>
    <n v="463.42180000000002"/>
    <x v="1"/>
    <x v="2"/>
  </r>
  <r>
    <s v="Dara Flint"/>
    <d v="2003-09-06T00:00:00"/>
    <n v="21"/>
    <n v="175"/>
    <s v="Tinggi"/>
    <s v="ENFJ"/>
    <x v="3"/>
    <x v="1"/>
    <s v="Moment moment of Truth / Oracle"/>
    <n v="36"/>
    <n v="71"/>
    <n v="91"/>
    <n v="1"/>
    <s v="0.8511 %"/>
    <n v="396"/>
    <n v="0.83750000000000002"/>
    <n v="130.7062"/>
    <x v="1"/>
    <n v="596.5086"/>
    <x v="2"/>
    <x v="4"/>
  </r>
  <r>
    <s v="Theron Watanabe"/>
    <d v="2003-12-28T00:00:00"/>
    <n v="21"/>
    <n v="180"/>
    <s v="Tinggi"/>
    <s v="ISTJ"/>
    <x v="1"/>
    <x v="0"/>
    <s v="Transmutation Aura / Alchemist"/>
    <n v="86"/>
    <n v="67"/>
    <n v="97"/>
    <n v="58"/>
    <s v="0.9173 %"/>
    <n v="347"/>
    <n v="0.70140000000000002"/>
    <n v="128.09479999999999"/>
    <x v="3"/>
    <n v="656.31870000000004"/>
    <x v="0"/>
    <x v="4"/>
  </r>
  <r>
    <s v="Clara Hayashi"/>
    <d v="2001-06-01T00:00:00"/>
    <n v="23"/>
    <n v="176"/>
    <s v="Tinggi"/>
    <s v="ESFJ"/>
    <x v="1"/>
    <x v="1"/>
    <s v="Primal Sovereign / Engineer"/>
    <n v="124"/>
    <n v="12"/>
    <n v="99"/>
    <n v="87"/>
    <s v="0.2404 %"/>
    <n v="396"/>
    <n v="0.73780000000000001"/>
    <n v="14.686299999999999"/>
    <x v="0"/>
    <n v="718.01819999999998"/>
    <x v="2"/>
    <x v="0"/>
  </r>
  <r>
    <s v="Briar Pelham"/>
    <d v="2002-01-18T00:00:00"/>
    <n v="22"/>
    <n v="162"/>
    <s v="Pendek"/>
    <s v="ISFJ"/>
    <x v="1"/>
    <x v="0"/>
    <s v="Resonant Aria / Performer"/>
    <n v="104"/>
    <n v="17"/>
    <n v="93"/>
    <n v="69"/>
    <s v="0.8354 %"/>
    <n v="161"/>
    <n v="0.62339999999999995"/>
    <n v="31.293600000000001"/>
    <x v="0"/>
    <n v="445.58879999999999"/>
    <x v="0"/>
    <x v="4"/>
  </r>
  <r>
    <s v="Takeshi Moonshade"/>
    <d v="2001-02-08T00:00:00"/>
    <n v="23"/>
    <n v="178"/>
    <s v="Tinggi"/>
    <s v="ENFP"/>
    <x v="3"/>
    <x v="1"/>
    <s v="Dominion Mark"/>
    <n v="70"/>
    <n v="85"/>
    <n v="6"/>
    <n v="22"/>
    <s v="0.141 %"/>
    <n v="299"/>
    <n v="0.65200000000000002"/>
    <n v="97.361500000000007"/>
    <x v="2"/>
    <n v="482.24299999999999"/>
    <x v="2"/>
    <x v="3"/>
  </r>
  <r>
    <s v="Asher Suzuki"/>
    <d v="2001-11-18T00:00:00"/>
    <n v="23"/>
    <n v="163"/>
    <s v="Pendek"/>
    <s v="ISFP"/>
    <x v="2"/>
    <x v="0"/>
    <s v="Moment moment of Truth / Oracle"/>
    <n v="17"/>
    <n v="24"/>
    <n v="1"/>
    <n v="61"/>
    <s v="0.3827 %"/>
    <n v="231"/>
    <n v="0.73040000000000005"/>
    <n v="33.585799999999999"/>
    <x v="2"/>
    <n v="335.24310000000003"/>
    <x v="1"/>
    <x v="5"/>
  </r>
  <r>
    <s v="Finn Dunstan"/>
    <d v="2002-07-13T00:00:00"/>
    <n v="22"/>
    <n v="169"/>
    <s v="Normal"/>
    <s v="ESTJ"/>
    <x v="1"/>
    <x v="1"/>
    <s v="Gravity Rend"/>
    <n v="74"/>
    <n v="39"/>
    <n v="82"/>
    <n v="2"/>
    <s v="0.8473 %"/>
    <n v="204"/>
    <n v="0.47039999999999998"/>
    <n v="71.86"/>
    <x v="2"/>
    <n v="402.24770000000001"/>
    <x v="0"/>
    <x v="4"/>
  </r>
  <r>
    <s v="Orin Swiftwind"/>
    <d v="2002-08-31T00:00:00"/>
    <n v="22"/>
    <n v="182"/>
    <s v="Tinggi"/>
    <s v="ESFP"/>
    <x v="2"/>
    <x v="0"/>
    <s v="Essence Severance"/>
    <n v="23"/>
    <n v="35"/>
    <n v="54"/>
    <n v="3"/>
    <s v="0.7953 %"/>
    <n v="329"/>
    <n v="0.74770000000000003"/>
    <n v="62.6021"/>
    <x v="2"/>
    <n v="445.22300000000001"/>
    <x v="2"/>
    <x v="2"/>
  </r>
  <r>
    <s v="Elara Vance"/>
    <d v="2001-09-13T00:00:00"/>
    <n v="23"/>
    <n v="170"/>
    <s v="Normal"/>
    <s v="INFJ"/>
    <x v="3"/>
    <x v="1"/>
    <s v="Living Canvas / Cartographer"/>
    <n v="42"/>
    <n v="8"/>
    <n v="72"/>
    <n v="95"/>
    <s v="0.8338 %"/>
    <n v="201"/>
    <n v="0.78369999999999995"/>
    <n v="15.293900000000001"/>
    <x v="2"/>
    <n v="419.79750000000001"/>
    <x v="0"/>
    <x v="4"/>
  </r>
  <r>
    <s v="Fable Whitmore"/>
    <d v="2001-12-15T00:00:00"/>
    <n v="23"/>
    <n v="178"/>
    <s v="Tinggi"/>
    <s v="INFJ"/>
    <x v="3"/>
    <x v="0"/>
    <s v="Sensory Collapse Domain"/>
    <n v="88"/>
    <n v="38"/>
    <n v="57"/>
    <n v="72"/>
    <s v="0.8447 %"/>
    <n v="157"/>
    <n v="0.72430000000000005"/>
    <n v="70.578199999999995"/>
    <x v="2"/>
    <n v="413.63900000000001"/>
    <x v="2"/>
    <x v="0"/>
  </r>
  <r>
    <s v="Rin Crowe"/>
    <d v="2003-11-15T00:00:00"/>
    <n v="21"/>
    <n v="183"/>
    <s v="Tinggi"/>
    <s v="INTJ"/>
    <x v="0"/>
    <x v="1"/>
    <s v="Fracture Surge"/>
    <n v="24"/>
    <n v="5"/>
    <n v="18"/>
    <n v="28"/>
    <s v="0.4693 %"/>
    <n v="279"/>
    <n v="0.63329999999999997"/>
    <n v="7.5815999999999999"/>
    <x v="2"/>
    <n v="355.90260000000001"/>
    <x v="2"/>
    <x v="6"/>
  </r>
  <r>
    <s v="Kaito Farell"/>
    <d v="2003-01-24T00:00:00"/>
    <n v="21"/>
    <n v="176"/>
    <s v="Tinggi"/>
    <s v="ISFJ"/>
    <x v="1"/>
    <x v="1"/>
    <s v="Transmutation Aura / Alchemist"/>
    <n v="48"/>
    <n v="89"/>
    <n v="65"/>
    <n v="45"/>
    <s v="0.1457 %"/>
    <n v="38"/>
    <n v="0.76"/>
    <n v="101.6465"/>
    <x v="1"/>
    <n v="285.87569999999999"/>
    <x v="1"/>
    <x v="5"/>
  </r>
  <r>
    <s v="Vale Ashvale"/>
    <d v="2002-04-15T00:00:00"/>
    <n v="22"/>
    <n v="162"/>
    <s v="Pendek"/>
    <s v="ENFJ"/>
    <x v="3"/>
    <x v="1"/>
    <s v="Transmutation Aura / Alchemist"/>
    <n v="106"/>
    <n v="23"/>
    <n v="57"/>
    <n v="51"/>
    <s v="0.9246 %"/>
    <n v="334"/>
    <n v="0.56410000000000005"/>
    <n v="44.920200000000001"/>
    <x v="1"/>
    <n v="572.37869999999998"/>
    <x v="1"/>
    <x v="6"/>
  </r>
  <r>
    <s v="Maren Coldwater"/>
    <d v="2003-08-22T00:00:00"/>
    <n v="21"/>
    <n v="171"/>
    <s v="Normal"/>
    <s v="ENTP"/>
    <x v="0"/>
    <x v="0"/>
    <s v="Momentum Surge / Knight-Errant"/>
    <n v="125"/>
    <n v="96"/>
    <n v="54"/>
    <n v="63"/>
    <s v="0.5457 %"/>
    <n v="92"/>
    <n v="0.78080000000000005"/>
    <n v="147.7998"/>
    <x v="3"/>
    <n v="430.51650000000001"/>
    <x v="1"/>
    <x v="0"/>
  </r>
  <r>
    <s v="Asher Aurelius"/>
    <d v="2003-09-11T00:00:00"/>
    <n v="21"/>
    <n v="183"/>
    <s v="Tinggi"/>
    <s v="ISTP"/>
    <x v="2"/>
    <x v="0"/>
    <s v="Living Canvas / Cartographer"/>
    <n v="35"/>
    <n v="71"/>
    <n v="42"/>
    <n v="4"/>
    <s v="0.1338 %"/>
    <n v="165"/>
    <n v="0.49009999999999998"/>
    <n v="80.239000000000004"/>
    <x v="3"/>
    <n v="317.01389999999998"/>
    <x v="2"/>
    <x v="6"/>
  </r>
  <r>
    <s v="Naoki Fitzgerald"/>
    <d v="2002-06-11T00:00:00"/>
    <n v="22"/>
    <n v="183"/>
    <s v="Tinggi"/>
    <s v="ENTP"/>
    <x v="0"/>
    <x v="0"/>
    <s v="Adaptive Mutation"/>
    <n v="74"/>
    <n v="40"/>
    <n v="80"/>
    <n v="6"/>
    <s v="0.8779 %"/>
    <n v="298"/>
    <n v="0.41339999999999999"/>
    <n v="75.5291"/>
    <x v="0"/>
    <n v="498.53129999999999"/>
    <x v="1"/>
    <x v="4"/>
  </r>
  <r>
    <s v="Rin Kato"/>
    <d v="2003-03-20T00:00:00"/>
    <n v="21"/>
    <n v="172"/>
    <s v="Normal"/>
    <s v="ESFJ"/>
    <x v="1"/>
    <x v="0"/>
    <s v="Fate Weave / Royal Advisor"/>
    <n v="33"/>
    <n v="93"/>
    <n v="57"/>
    <n v="85"/>
    <s v="0.3689 %"/>
    <n v="24"/>
    <n v="0.51"/>
    <n v="126.92440000000001"/>
    <x v="1"/>
    <n v="292.84890000000001"/>
    <x v="1"/>
    <x v="2"/>
  </r>
  <r>
    <s v="Caspian Flint"/>
    <d v="2002-07-04T00:00:00"/>
    <n v="22"/>
    <n v="163"/>
    <s v="Pendek"/>
    <s v="ISTP"/>
    <x v="2"/>
    <x v="1"/>
    <s v="Dimensional Phase Shifting"/>
    <n v="98"/>
    <n v="43"/>
    <n v="96"/>
    <n v="63"/>
    <s v="0.1575 %"/>
    <n v="48"/>
    <n v="0.51080000000000003"/>
    <n v="49.610500000000002"/>
    <x v="1"/>
    <n v="348.82830000000001"/>
    <x v="0"/>
    <x v="0"/>
  </r>
  <r>
    <s v="Nami Velmont"/>
    <d v="2003-07-23T00:00:00"/>
    <n v="21"/>
    <n v="176"/>
    <s v="Tinggi"/>
    <s v="ISFP"/>
    <x v="2"/>
    <x v="0"/>
    <s v="Archive of Blades / Guild Archivist"/>
    <n v="96"/>
    <n v="9"/>
    <n v="58"/>
    <n v="28"/>
    <s v="0.3355 %"/>
    <n v="334"/>
    <n v="0.6643"/>
    <n v="11.578799999999999"/>
    <x v="2"/>
    <n v="525.6798"/>
    <x v="1"/>
    <x v="0"/>
  </r>
  <r>
    <s v="Kenji Velmont"/>
    <d v="2003-04-11T00:00:00"/>
    <n v="21"/>
    <n v="175"/>
    <s v="Tinggi"/>
    <s v="ENFJ"/>
    <x v="3"/>
    <x v="1"/>
    <s v="Combat Escalation Law"/>
    <n v="53"/>
    <n v="78"/>
    <n v="79"/>
    <n v="12"/>
    <s v="0.6122 %"/>
    <n v="250"/>
    <n v="0.63970000000000005"/>
    <n v="125.67100000000001"/>
    <x v="3"/>
    <n v="472.55189999999999"/>
    <x v="0"/>
    <x v="0"/>
  </r>
  <r>
    <s v="Theron Yamamoto"/>
    <d v="2001-11-22T00:00:00"/>
    <n v="23"/>
    <n v="182"/>
    <s v="Tinggi"/>
    <s v="ESFP"/>
    <x v="2"/>
    <x v="0"/>
    <s v="Soulfire Manifestation"/>
    <n v="68"/>
    <n v="17"/>
    <n v="75"/>
    <n v="72"/>
    <s v="0.2119 %"/>
    <n v="330"/>
    <n v="0.63100000000000001"/>
    <n v="21.184000000000001"/>
    <x v="3"/>
    <n v="563.35289999999998"/>
    <x v="2"/>
    <x v="3"/>
  </r>
  <r>
    <s v="Nora Nox"/>
    <d v="2003-10-03T00:00:00"/>
    <n v="21"/>
    <n v="176"/>
    <s v="Tinggi"/>
    <s v="ENFP"/>
    <x v="3"/>
    <x v="0"/>
    <s v="Zone of Order / City Watch Captain"/>
    <n v="108"/>
    <n v="96"/>
    <n v="97"/>
    <n v="42"/>
    <s v="0.9195 %"/>
    <n v="198"/>
    <n v="0.4904"/>
    <n v="183.4658"/>
    <x v="3"/>
    <n v="541.80989999999997"/>
    <x v="0"/>
    <x v="4"/>
  </r>
  <r>
    <s v="Ren Dunstan"/>
    <d v="2002-03-18T00:00:00"/>
    <n v="22"/>
    <n v="162"/>
    <s v="Pendek"/>
    <s v="ISTP"/>
    <x v="2"/>
    <x v="1"/>
    <s v="Zone of Order / City Watch Captain"/>
    <n v="60"/>
    <n v="64"/>
    <n v="69"/>
    <n v="57"/>
    <s v="0.6051 %"/>
    <n v="47"/>
    <n v="0.50519999999999998"/>
    <n v="102.26090000000001"/>
    <x v="1"/>
    <n v="297.94029999999998"/>
    <x v="0"/>
    <x v="0"/>
  </r>
  <r>
    <s v="Finn Hargrove"/>
    <d v="2002-07-10T00:00:00"/>
    <n v="22"/>
    <n v="183"/>
    <s v="Tinggi"/>
    <s v="ENFJ"/>
    <x v="3"/>
    <x v="0"/>
    <s v="Dimensional Phase Shifting"/>
    <n v="43"/>
    <n v="18"/>
    <n v="46"/>
    <n v="52"/>
    <s v="0.8707 %"/>
    <n v="347"/>
    <n v="0.72470000000000001"/>
    <n v="34.514400000000002"/>
    <x v="3"/>
    <n v="508.74540000000002"/>
    <x v="1"/>
    <x v="0"/>
  </r>
  <r>
    <s v="Dante Hayashi"/>
    <d v="2003-03-05T00:00:00"/>
    <n v="21"/>
    <n v="183"/>
    <s v="Tinggi"/>
    <s v="INTP"/>
    <x v="0"/>
    <x v="1"/>
    <s v="Absolute Command / General"/>
    <n v="9"/>
    <n v="55"/>
    <n v="52"/>
    <n v="73"/>
    <s v="0.3277 %"/>
    <n v="357"/>
    <n v="0.81830000000000003"/>
    <n v="73.289000000000001"/>
    <x v="1"/>
    <n v="547.846"/>
    <x v="0"/>
    <x v="6"/>
  </r>
  <r>
    <s v="Haruto Coldwater"/>
    <d v="2003-01-26T00:00:00"/>
    <n v="21"/>
    <n v="179"/>
    <s v="Tinggi"/>
    <s v="ESTP"/>
    <x v="2"/>
    <x v="1"/>
    <s v="Memory Palace / Librarian Assistant"/>
    <n v="134"/>
    <n v="48"/>
    <n v="77"/>
    <n v="78"/>
    <s v="0.7343 %"/>
    <n v="208"/>
    <n v="0.54239999999999999"/>
    <n v="82.674099999999996"/>
    <x v="1"/>
    <n v="545.71669999999995"/>
    <x v="2"/>
    <x v="2"/>
  </r>
  <r>
    <s v="Kotaro Moonshade"/>
    <d v="2001-06-18T00:00:00"/>
    <n v="23"/>
    <n v="168"/>
    <s v="Normal"/>
    <s v="ENTP"/>
    <x v="0"/>
    <x v="0"/>
    <s v="Verdant Wrath / Forest Herbalist"/>
    <n v="40"/>
    <n v="23"/>
    <n v="4"/>
    <n v="88"/>
    <s v="0.2961 %"/>
    <n v="226"/>
    <n v="0.51280000000000003"/>
    <n v="29.706600000000002"/>
    <x v="0"/>
    <n v="381.45890000000003"/>
    <x v="2"/>
    <x v="1"/>
  </r>
  <r>
    <s v="Caius Masaki"/>
    <d v="2003-06-02T00:00:00"/>
    <n v="21"/>
    <n v="176"/>
    <s v="Tinggi"/>
    <s v="INFJ"/>
    <x v="3"/>
    <x v="0"/>
    <s v="Moment moment of Truth / Oracle"/>
    <n v="52"/>
    <n v="6"/>
    <n v="39"/>
    <n v="62"/>
    <s v="0.9765 %"/>
    <n v="148"/>
    <n v="0.80689999999999995"/>
    <n v="11.957800000000001"/>
    <x v="3"/>
    <n v="309.65339999999998"/>
    <x v="0"/>
    <x v="5"/>
  </r>
  <r>
    <s v="Vessa Masaki"/>
    <d v="2001-08-22T00:00:00"/>
    <n v="23"/>
    <n v="175"/>
    <s v="Tinggi"/>
    <s v="INTP"/>
    <x v="0"/>
    <x v="0"/>
    <s v="Transmutation Aura / Alchemist"/>
    <n v="18"/>
    <n v="79"/>
    <n v="46"/>
    <n v="68"/>
    <s v="0.5024 %"/>
    <n v="207"/>
    <n v="0.52710000000000001"/>
    <n v="119.3356"/>
    <x v="3"/>
    <n v="418.70949999999999"/>
    <x v="0"/>
    <x v="3"/>
  </r>
  <r>
    <s v="Aster Kim"/>
    <d v="2002-06-19T00:00:00"/>
    <n v="22"/>
    <n v="172"/>
    <s v="Normal"/>
    <s v="INTP"/>
    <x v="0"/>
    <x v="0"/>
    <s v="Fracture Surge"/>
    <n v="112"/>
    <n v="59"/>
    <n v="62"/>
    <n v="20"/>
    <s v="0.9374 %"/>
    <n v="7"/>
    <n v="0.51790000000000003"/>
    <n v="115.2559"/>
    <x v="2"/>
    <n v="261.13529999999997"/>
    <x v="1"/>
    <x v="1"/>
  </r>
  <r>
    <s v="Elio Langley"/>
    <d v="2001-01-08T00:00:00"/>
    <n v="23"/>
    <n v="167"/>
    <s v="Pendek"/>
    <s v="ESTP"/>
    <x v="2"/>
    <x v="1"/>
    <s v="Soulfire Manifestation"/>
    <n v="72"/>
    <n v="86"/>
    <n v="89"/>
    <n v="13"/>
    <s v="0.2766 %"/>
    <n v="212"/>
    <n v="0.75739999999999996"/>
    <n v="110.3493"/>
    <x v="1"/>
    <n v="473.54399999999998"/>
    <x v="1"/>
    <x v="1"/>
  </r>
  <r>
    <s v="Zara Masaki"/>
    <d v="2003-11-24T00:00:00"/>
    <n v="21"/>
    <n v="165"/>
    <s v="Pendek"/>
    <s v="ISFJ"/>
    <x v="1"/>
    <x v="0"/>
    <s v="Zone of Order / City Watch Captain"/>
    <n v="82"/>
    <n v="34"/>
    <n v="79"/>
    <n v="73"/>
    <s v="0.3403 %"/>
    <n v="122"/>
    <n v="0.63400000000000001"/>
    <n v="45.369199999999999"/>
    <x v="3"/>
    <n v="391.57429999999999"/>
    <x v="1"/>
    <x v="4"/>
  </r>
  <r>
    <s v="Kenji Ito"/>
    <d v="2002-04-05T00:00:00"/>
    <n v="22"/>
    <n v="183"/>
    <s v="Tinggi"/>
    <s v="ENTJ"/>
    <x v="0"/>
    <x v="1"/>
    <s v="Sensory Collapse Domain"/>
    <n v="81"/>
    <n v="67"/>
    <n v="85"/>
    <n v="15"/>
    <s v="0.9143 %"/>
    <n v="193"/>
    <n v="0.40050000000000002"/>
    <n v="127.81780000000001"/>
    <x v="2"/>
    <n v="442.39479999999998"/>
    <x v="1"/>
    <x v="1"/>
  </r>
  <r>
    <s v="Draven Sinclair"/>
    <d v="2002-10-17T00:00:00"/>
    <n v="22"/>
    <n v="167"/>
    <s v="Pendek"/>
    <s v="ENTP"/>
    <x v="0"/>
    <x v="1"/>
    <s v="Dominion Mark"/>
    <n v="143"/>
    <n v="90"/>
    <n v="22"/>
    <n v="67"/>
    <s v="0.3976 %"/>
    <n v="295"/>
    <n v="0.62629999999999997"/>
    <n v="125.6722"/>
    <x v="3"/>
    <n v="617.71389999999997"/>
    <x v="2"/>
    <x v="3"/>
  </r>
  <r>
    <s v="Orion Hartley"/>
    <d v="2001-12-01T00:00:00"/>
    <n v="23"/>
    <n v="163"/>
    <s v="Pendek"/>
    <s v="ENFJ"/>
    <x v="3"/>
    <x v="0"/>
    <s v="Archive of Blades / Guild Archivist"/>
    <n v="114"/>
    <n v="99"/>
    <n v="46"/>
    <n v="49"/>
    <s v="0.2349 %"/>
    <n v="388"/>
    <n v="0.60050000000000003"/>
    <n v="122.2551"/>
    <x v="3"/>
    <n v="696.2654"/>
    <x v="0"/>
    <x v="0"/>
  </r>
  <r>
    <s v="Orion Ashby"/>
    <d v="2002-06-28T00:00:00"/>
    <n v="22"/>
    <n v="172"/>
    <s v="Normal"/>
    <s v="INTP"/>
    <x v="0"/>
    <x v="1"/>
    <s v="Gravity Rend"/>
    <n v="44"/>
    <n v="61"/>
    <n v="47"/>
    <n v="49"/>
    <s v="0.6994 %"/>
    <n v="323"/>
    <n v="0.72350000000000003"/>
    <n v="102.8817"/>
    <x v="1"/>
    <n v="524.05290000000002"/>
    <x v="2"/>
    <x v="6"/>
  </r>
  <r>
    <s v="Lyanna Okafor"/>
    <d v="2001-12-17T00:00:00"/>
    <n v="23"/>
    <n v="164"/>
    <s v="Pendek"/>
    <s v="INFP"/>
    <x v="3"/>
    <x v="1"/>
    <s v="Combat Escalation Law"/>
    <n v="51"/>
    <n v="88"/>
    <n v="68"/>
    <n v="88"/>
    <s v="0.2353 %"/>
    <n v="245"/>
    <n v="0.63229999999999997"/>
    <n v="108.3729"/>
    <x v="2"/>
    <n v="540.32759999999996"/>
    <x v="2"/>
    <x v="1"/>
  </r>
  <r>
    <s v="Talion Masaki"/>
    <d v="2001-07-15T00:00:00"/>
    <n v="23"/>
    <n v="160"/>
    <s v="Pendek"/>
    <s v="INFP"/>
    <x v="3"/>
    <x v="1"/>
    <s v="Elemental Mastery"/>
    <n v="132"/>
    <n v="42"/>
    <n v="71"/>
    <n v="4"/>
    <s v="0.7517 %"/>
    <n v="129"/>
    <n v="0.82679999999999998"/>
    <n v="73.098399999999998"/>
    <x v="1"/>
    <n v="378.25850000000003"/>
    <x v="2"/>
    <x v="4"/>
  </r>
  <r>
    <s v="Aria Holloway"/>
    <d v="2002-08-11T00:00:00"/>
    <n v="22"/>
    <n v="163"/>
    <s v="Pendek"/>
    <s v="ENFP"/>
    <x v="3"/>
    <x v="0"/>
    <s v="Absolute Command / General"/>
    <n v="62"/>
    <n v="26"/>
    <n v="40"/>
    <n v="73"/>
    <s v="0.4229 %"/>
    <n v="78"/>
    <n v="0.64490000000000003"/>
    <n v="37.593000000000004"/>
    <x v="2"/>
    <n v="279.38780000000003"/>
    <x v="1"/>
    <x v="0"/>
  </r>
  <r>
    <s v="Orion Kobayashi"/>
    <d v="2001-06-15T00:00:00"/>
    <n v="23"/>
    <n v="161"/>
    <s v="Pendek"/>
    <s v="ESFJ"/>
    <x v="1"/>
    <x v="1"/>
    <s v="Warbrand Arsenal"/>
    <n v="72"/>
    <n v="76"/>
    <n v="9"/>
    <n v="51"/>
    <s v="0.4793 %"/>
    <n v="31"/>
    <n v="0.72370000000000001"/>
    <n v="112.9889"/>
    <x v="2"/>
    <n v="239.26300000000001"/>
    <x v="0"/>
    <x v="2"/>
  </r>
  <r>
    <s v="Petra Steele"/>
    <d v="2002-12-02T00:00:00"/>
    <n v="22"/>
    <n v="167"/>
    <s v="Pendek"/>
    <s v="ISFP"/>
    <x v="2"/>
    <x v="0"/>
    <s v="Sensory Collapse Domain"/>
    <n v="149"/>
    <n v="78"/>
    <n v="84"/>
    <n v="2"/>
    <s v="0.2818 %"/>
    <n v="344"/>
    <n v="0.48420000000000002"/>
    <n v="99.66"/>
    <x v="2"/>
    <n v="657.69600000000003"/>
    <x v="2"/>
    <x v="4"/>
  </r>
  <r>
    <s v="Ansel Yoshida"/>
    <d v="2003-08-25T00:00:00"/>
    <n v="21"/>
    <n v="182"/>
    <s v="Tinggi"/>
    <s v="INFP"/>
    <x v="3"/>
    <x v="1"/>
    <s v="Verdant Wrath / Forest Herbalist"/>
    <n v="43"/>
    <n v="47"/>
    <n v="5"/>
    <n v="40"/>
    <s v="0.3738 %"/>
    <n v="333"/>
    <n v="0.78339999999999999"/>
    <n v="65.214299999999994"/>
    <x v="0"/>
    <n v="469.97719999999998"/>
    <x v="2"/>
    <x v="3"/>
  </r>
  <r>
    <s v="Hina Ironfield"/>
    <d v="2001-08-06T00:00:00"/>
    <n v="23"/>
    <n v="172"/>
    <s v="Normal"/>
    <s v="ESTP"/>
    <x v="2"/>
    <x v="0"/>
    <s v="Memory Palace / Librarian Assistant"/>
    <n v="113"/>
    <n v="54"/>
    <n v="84"/>
    <n v="100"/>
    <s v="0.4293 %"/>
    <n v="235"/>
    <n v="0.40839999999999999"/>
    <n v="77.782499999999999"/>
    <x v="3"/>
    <n v="587.84770000000003"/>
    <x v="1"/>
    <x v="3"/>
  </r>
  <r>
    <s v="Marcus Declan"/>
    <d v="2001-09-25T00:00:00"/>
    <n v="23"/>
    <n v="182"/>
    <s v="Tinggi"/>
    <s v="INFJ"/>
    <x v="3"/>
    <x v="0"/>
    <s v="Dimensional Phase Shifting"/>
    <n v="101"/>
    <n v="62"/>
    <n v="31"/>
    <n v="13"/>
    <s v="0.7846 %"/>
    <n v="254"/>
    <n v="0.66059999999999997"/>
    <n v="110.2704"/>
    <x v="3"/>
    <n v="461.67520000000002"/>
    <x v="0"/>
    <x v="0"/>
  </r>
  <r>
    <s v="Felix Coldwater"/>
    <d v="2001-02-15T00:00:00"/>
    <n v="23"/>
    <n v="180"/>
    <s v="Tinggi"/>
    <s v="INTP"/>
    <x v="0"/>
    <x v="1"/>
    <s v="Momentum Surge / Knight-Errant"/>
    <n v="112"/>
    <n v="24"/>
    <n v="15"/>
    <n v="39"/>
    <s v="0.9276 %"/>
    <n v="335"/>
    <n v="0.56530000000000002"/>
    <n v="46.898499999999999"/>
    <x v="1"/>
    <n v="526.26289999999995"/>
    <x v="2"/>
    <x v="3"/>
  </r>
  <r>
    <s v="Leon Okafor"/>
    <d v="2001-02-06T00:00:00"/>
    <n v="23"/>
    <n v="178"/>
    <s v="Tinggi"/>
    <s v="ISTJ"/>
    <x v="1"/>
    <x v="1"/>
    <s v="Transmutation Aura / Alchemist"/>
    <n v="147"/>
    <n v="33"/>
    <n v="93"/>
    <n v="40"/>
    <s v="0.8978 %"/>
    <n v="391"/>
    <n v="0.57769999999999999"/>
    <n v="62.95"/>
    <x v="1"/>
    <n v="705.66549999999995"/>
    <x v="0"/>
    <x v="0"/>
  </r>
  <r>
    <s v="Dara Okafor"/>
    <d v="2002-04-06T00:00:00"/>
    <n v="22"/>
    <n v="174"/>
    <s v="Normal"/>
    <s v="INTJ"/>
    <x v="0"/>
    <x v="0"/>
    <s v="Momentum Surge / Knight-Errant"/>
    <n v="131"/>
    <n v="9"/>
    <n v="22"/>
    <n v="72"/>
    <s v="0.2265 %"/>
    <n v="65"/>
    <n v="0.55840000000000001"/>
    <n v="11.3697"/>
    <x v="1"/>
    <n v="300.9649"/>
    <x v="1"/>
    <x v="6"/>
  </r>
  <r>
    <s v="Quinn Declan"/>
    <d v="2003-10-25T00:00:00"/>
    <n v="21"/>
    <n v="163"/>
    <s v="Pendek"/>
    <s v="ESFJ"/>
    <x v="1"/>
    <x v="1"/>
    <s v="Elemental Mastery"/>
    <n v="78"/>
    <n v="30"/>
    <n v="90"/>
    <n v="89"/>
    <s v="0.2962 %"/>
    <n v="219"/>
    <n v="0.50770000000000004"/>
    <n v="38.613799999999998"/>
    <x v="0"/>
    <n v="506.46390000000002"/>
    <x v="0"/>
    <x v="4"/>
  </r>
  <r>
    <s v="Haruto Aurelius"/>
    <d v="2003-10-16T00:00:00"/>
    <n v="21"/>
    <n v="172"/>
    <s v="Normal"/>
    <s v="ISFP"/>
    <x v="2"/>
    <x v="1"/>
    <s v="Heartstrike Overload"/>
    <n v="25"/>
    <n v="34"/>
    <n v="92"/>
    <n v="65"/>
    <s v="0.9403 %"/>
    <n v="357"/>
    <n v="0.48230000000000001"/>
    <n v="66.203000000000003"/>
    <x v="0"/>
    <n v="573.50260000000003"/>
    <x v="1"/>
    <x v="1"/>
  </r>
  <r>
    <s v="Sakura Sato"/>
    <d v="2001-03-26T00:00:00"/>
    <n v="23"/>
    <n v="173"/>
    <s v="Normal"/>
    <s v="INFJ"/>
    <x v="3"/>
    <x v="1"/>
    <s v="Verdant Wrath / Forest Herbalist"/>
    <n v="98"/>
    <n v="94"/>
    <n v="28"/>
    <n v="29"/>
    <s v="0.6645 %"/>
    <n v="197"/>
    <n v="0.67569999999999997"/>
    <n v="156.82919999999999"/>
    <x v="3"/>
    <n v="448.48020000000002"/>
    <x v="0"/>
    <x v="0"/>
  </r>
  <r>
    <s v="Airi Yamamoto"/>
    <d v="2003-06-10T00:00:00"/>
    <n v="21"/>
    <n v="176"/>
    <s v="Tinggi"/>
    <s v="INFJ"/>
    <x v="3"/>
    <x v="1"/>
    <s v="Archive of Blades / Guild Archivist"/>
    <n v="34"/>
    <n v="49"/>
    <n v="91"/>
    <n v="64"/>
    <s v="0.6873 %"/>
    <n v="199"/>
    <n v="0.81130000000000002"/>
    <n v="81.867800000000003"/>
    <x v="2"/>
    <n v="438.6386"/>
    <x v="1"/>
    <x v="4"/>
  </r>
  <r>
    <s v="Haruto Dunstan"/>
    <d v="2001-12-27T00:00:00"/>
    <n v="23"/>
    <n v="173"/>
    <s v="Normal"/>
    <s v="ESTJ"/>
    <x v="1"/>
    <x v="1"/>
    <s v="Damage Reflection Lattice"/>
    <n v="45"/>
    <n v="87"/>
    <n v="94"/>
    <n v="10"/>
    <s v="0.5103 %"/>
    <n v="384"/>
    <n v="0.81859999999999999"/>
    <n v="131.1696"/>
    <x v="0"/>
    <n v="621.78890000000001"/>
    <x v="0"/>
    <x v="5"/>
  </r>
  <r>
    <s v="Riku Crestwood"/>
    <d v="2003-01-09T00:00:00"/>
    <n v="21"/>
    <n v="179"/>
    <s v="Tinggi"/>
    <s v="INFJ"/>
    <x v="3"/>
    <x v="1"/>
    <s v="Warbrand Arsenal"/>
    <n v="144"/>
    <n v="16"/>
    <n v="75"/>
    <n v="25"/>
    <s v="0.4191 %"/>
    <n v="24"/>
    <n v="0.49640000000000001"/>
    <n v="23.415199999999999"/>
    <x v="2"/>
    <n v="285.64550000000003"/>
    <x v="0"/>
    <x v="6"/>
  </r>
  <r>
    <s v="Shun Hargrove"/>
    <d v="2003-06-24T00:00:00"/>
    <n v="21"/>
    <n v="170"/>
    <s v="Normal"/>
    <s v="ESTP"/>
    <x v="2"/>
    <x v="1"/>
    <s v="Archive of Blades / Guild Archivist"/>
    <n v="56"/>
    <n v="87"/>
    <n v="9"/>
    <n v="43"/>
    <s v="0.5681 %"/>
    <n v="266"/>
    <n v="0.72509999999999997"/>
    <n v="137.17740000000001"/>
    <x v="3"/>
    <n v="461.47320000000002"/>
    <x v="1"/>
    <x v="1"/>
  </r>
  <r>
    <s v="Dante Nox"/>
    <d v="2003-10-14T00:00:00"/>
    <n v="21"/>
    <n v="174"/>
    <s v="Normal"/>
    <s v="ESFP"/>
    <x v="2"/>
    <x v="1"/>
    <s v="Dominion Mark"/>
    <n v="77"/>
    <n v="31"/>
    <n v="54"/>
    <n v="27"/>
    <s v="0.427 %"/>
    <n v="136"/>
    <n v="0.6966"/>
    <n v="44.194200000000002"/>
    <x v="1"/>
    <n v="327.68360000000001"/>
    <x v="1"/>
    <x v="1"/>
  </r>
  <r>
    <s v="Tomoe Drayton"/>
    <d v="2001-09-16T00:00:00"/>
    <n v="23"/>
    <n v="169"/>
    <s v="Normal"/>
    <s v="INFJ"/>
    <x v="3"/>
    <x v="0"/>
    <s v="Primal Sovereign / Engineer"/>
    <n v="37"/>
    <n v="94"/>
    <n v="58"/>
    <n v="29"/>
    <s v="0.1051 %"/>
    <n v="112"/>
    <n v="0.56799999999999995"/>
    <n v="104.233"/>
    <x v="0"/>
    <n v="331.63310000000001"/>
    <x v="0"/>
    <x v="6"/>
  </r>
  <r>
    <s v="Cael Greaves"/>
    <d v="2002-04-15T00:00:00"/>
    <n v="22"/>
    <n v="164"/>
    <s v="Pendek"/>
    <s v="ESFP"/>
    <x v="2"/>
    <x v="1"/>
    <s v="Combat Escalation Law"/>
    <n v="1"/>
    <n v="6"/>
    <n v="16"/>
    <n v="40"/>
    <s v="0.9647 %"/>
    <n v="50"/>
    <n v="0.42909999999999998"/>
    <n v="12.4366"/>
    <x v="0"/>
    <n v="115.24379999999999"/>
    <x v="0"/>
    <x v="1"/>
  </r>
  <r>
    <s v="Nora Funai"/>
    <d v="2001-04-06T00:00:00"/>
    <n v="23"/>
    <n v="165"/>
    <s v="Pendek"/>
    <s v="INFP"/>
    <x v="3"/>
    <x v="0"/>
    <s v="Memory Palace / Librarian Assistant"/>
    <n v="45"/>
    <n v="27"/>
    <n v="44"/>
    <n v="97"/>
    <s v="0.545 %"/>
    <n v="231"/>
    <n v="0.59650000000000003"/>
    <n v="41.112400000000001"/>
    <x v="3"/>
    <n v="444.33150000000001"/>
    <x v="0"/>
    <x v="6"/>
  </r>
  <r>
    <s v="Theron Aurelius"/>
    <d v="2002-11-08T00:00:00"/>
    <n v="22"/>
    <n v="168"/>
    <s v="Normal"/>
    <s v="ENFJ"/>
    <x v="3"/>
    <x v="0"/>
    <s v="Runic Deconstruction / Scholar"/>
    <n v="36"/>
    <n v="59"/>
    <n v="79"/>
    <n v="78"/>
    <s v="0.2513 %"/>
    <n v="157"/>
    <n v="0.83389999999999997"/>
    <n v="74.089500000000001"/>
    <x v="2"/>
    <n v="410.15519999999998"/>
    <x v="0"/>
    <x v="2"/>
  </r>
  <r>
    <s v="Mei Morven"/>
    <d v="2002-02-06T00:00:00"/>
    <n v="22"/>
    <n v="180"/>
    <s v="Tinggi"/>
    <s v="ENFP"/>
    <x v="3"/>
    <x v="0"/>
    <s v="Runic Deconstruction / Scholar"/>
    <n v="31"/>
    <n v="89"/>
    <n v="71"/>
    <n v="95"/>
    <s v="0.988 %"/>
    <n v="32"/>
    <n v="0.79979999999999996"/>
    <n v="177.7073"/>
    <x v="0"/>
    <n v="320.58780000000002"/>
    <x v="0"/>
    <x v="1"/>
  </r>
  <r>
    <s v="Cassian Calloway"/>
    <d v="2001-09-20T00:00:00"/>
    <n v="23"/>
    <n v="166"/>
    <s v="Pendek"/>
    <s v="ESFJ"/>
    <x v="1"/>
    <x v="0"/>
    <s v="Adaptive Mutation"/>
    <n v="43"/>
    <n v="29"/>
    <n v="86"/>
    <n v="55"/>
    <s v="0.6933 %"/>
    <n v="147"/>
    <n v="0.82389999999999997"/>
    <n v="48.817799999999998"/>
    <x v="2"/>
    <n v="360.92720000000003"/>
    <x v="1"/>
    <x v="3"/>
  </r>
  <r>
    <s v="Seren Swiftwind"/>
    <d v="2003-02-22T00:00:00"/>
    <n v="21"/>
    <n v="162"/>
    <s v="Pendek"/>
    <s v="ENTP"/>
    <x v="0"/>
    <x v="0"/>
    <s v="Absolute Command / General"/>
    <n v="57"/>
    <n v="89"/>
    <n v="95"/>
    <n v="87"/>
    <s v="0.7213 %"/>
    <n v="326"/>
    <n v="0.69010000000000005"/>
    <n v="153.4023"/>
    <x v="3"/>
    <n v="656.91139999999996"/>
    <x v="2"/>
    <x v="5"/>
  </r>
  <r>
    <s v="Clara Stormbright"/>
    <d v="2003-01-22T00:00:00"/>
    <n v="21"/>
    <n v="162"/>
    <s v="Pendek"/>
    <s v="ISTJ"/>
    <x v="1"/>
    <x v="1"/>
    <s v="Zone of Order / City Watch Captain"/>
    <n v="119"/>
    <n v="27"/>
    <n v="50"/>
    <n v="19"/>
    <s v="0.5544 %"/>
    <n v="168"/>
    <n v="0.65349999999999997"/>
    <n v="41.3626"/>
    <x v="0"/>
    <n v="383.58789999999999"/>
    <x v="1"/>
    <x v="1"/>
  </r>
  <r>
    <s v="Rowan Muller"/>
    <d v="2001-01-07T00:00:00"/>
    <n v="23"/>
    <n v="166"/>
    <s v="Pendek"/>
    <s v="ISFP"/>
    <x v="2"/>
    <x v="1"/>
    <s v="Ruin Pulse Engine"/>
    <n v="32"/>
    <n v="16"/>
    <n v="26"/>
    <n v="81"/>
    <s v="0.6053 %"/>
    <n v="258"/>
    <n v="0.52349999999999997"/>
    <n v="26.0059"/>
    <x v="3"/>
    <n v="414.47879999999998"/>
    <x v="1"/>
    <x v="5"/>
  </r>
  <r>
    <s v="Bastian Masaki"/>
    <d v="2002-06-22T00:00:00"/>
    <n v="22"/>
    <n v="182"/>
    <s v="Tinggi"/>
    <s v="INFP"/>
    <x v="3"/>
    <x v="1"/>
    <s v="Essence Severance"/>
    <n v="130"/>
    <n v="11"/>
    <n v="96"/>
    <n v="14"/>
    <s v="0.8434 %"/>
    <n v="41"/>
    <n v="0.62380000000000002"/>
    <n v="19.5032"/>
    <x v="1"/>
    <n v="293.18720000000002"/>
    <x v="2"/>
    <x v="2"/>
  </r>
  <r>
    <s v="Quinn Nakamura"/>
    <d v="2001-05-31T00:00:00"/>
    <n v="23"/>
    <n v="165"/>
    <s v="Pendek"/>
    <s v="ESTP"/>
    <x v="2"/>
    <x v="0"/>
    <s v="Covenant Bond / Healer &amp; Diplomat"/>
    <n v="107"/>
    <n v="99"/>
    <n v="70"/>
    <n v="90"/>
    <s v="0.5839 %"/>
    <n v="128"/>
    <n v="0.54669999999999996"/>
    <n v="156.2201"/>
    <x v="2"/>
    <n v="495.00060000000002"/>
    <x v="0"/>
    <x v="0"/>
  </r>
  <r>
    <s v="Dara Langley"/>
    <d v="2002-06-29T00:00:00"/>
    <n v="22"/>
    <n v="166"/>
    <s v="Pendek"/>
    <s v="ISTJ"/>
    <x v="1"/>
    <x v="1"/>
    <s v="Soulfire Manifestation"/>
    <n v="16"/>
    <n v="79"/>
    <n v="34"/>
    <n v="37"/>
    <s v="0.27 %"/>
    <n v="146"/>
    <n v="0.72519999999999996"/>
    <n v="99.745800000000003"/>
    <x v="0"/>
    <n v="312.58519999999999"/>
    <x v="0"/>
    <x v="1"/>
  </r>
  <r>
    <s v="Dara Coldwater"/>
    <d v="2001-02-01T00:00:00"/>
    <n v="23"/>
    <n v="175"/>
    <s v="Tinggi"/>
    <s v="INFJ"/>
    <x v="3"/>
    <x v="1"/>
    <s v="Warbrand Arsenal"/>
    <n v="36"/>
    <n v="95"/>
    <n v="34"/>
    <n v="24"/>
    <s v="0.8495 %"/>
    <n v="224"/>
    <n v="0.63519999999999999"/>
    <n v="175.2216"/>
    <x v="1"/>
    <n v="414.75470000000001"/>
    <x v="2"/>
    <x v="6"/>
  </r>
  <r>
    <s v="Kotaro Ravenswood"/>
    <d v="2002-03-21T00:00:00"/>
    <n v="22"/>
    <n v="178"/>
    <s v="Tinggi"/>
    <s v="ENFP"/>
    <x v="3"/>
    <x v="1"/>
    <s v="Dimensional Phase Shifting"/>
    <n v="68"/>
    <n v="37"/>
    <n v="53"/>
    <n v="72"/>
    <s v="0.8221 %"/>
    <n v="162"/>
    <n v="0.40100000000000002"/>
    <n v="67.946100000000001"/>
    <x v="3"/>
    <n v="393.99310000000003"/>
    <x v="2"/>
    <x v="5"/>
  </r>
  <r>
    <s v="Quinn Masaki"/>
    <d v="2001-11-20T00:00:00"/>
    <n v="23"/>
    <n v="169"/>
    <s v="Normal"/>
    <s v="INTJ"/>
    <x v="0"/>
    <x v="0"/>
    <s v="Adaptive Mutation"/>
    <n v="109"/>
    <n v="30"/>
    <n v="30"/>
    <n v="98"/>
    <s v="0.2769 %"/>
    <n v="134"/>
    <n v="0.56210000000000004"/>
    <n v="37.821800000000003"/>
    <x v="1"/>
    <n v="401.01900000000001"/>
    <x v="0"/>
    <x v="0"/>
  </r>
  <r>
    <s v="Lux Steele"/>
    <d v="2002-01-01T00:00:00"/>
    <n v="23"/>
    <n v="160"/>
    <s v="Pendek"/>
    <s v="ISTP"/>
    <x v="2"/>
    <x v="0"/>
    <s v="Triage Field / Field Medic"/>
    <n v="109"/>
    <n v="19"/>
    <n v="68"/>
    <n v="41"/>
    <s v="0.6612 %"/>
    <n v="264"/>
    <n v="0.60609999999999997"/>
    <n v="31.014600000000002"/>
    <x v="1"/>
    <n v="501.93729999999999"/>
    <x v="2"/>
    <x v="2"/>
  </r>
  <r>
    <s v="Sylvie Kobayashi"/>
    <d v="2002-02-24T00:00:00"/>
    <n v="22"/>
    <n v="161"/>
    <s v="Pendek"/>
    <s v="ISFP"/>
    <x v="2"/>
    <x v="1"/>
    <s v="Fate Weave / Royal Advisor"/>
    <n v="41"/>
    <n v="56"/>
    <n v="45"/>
    <n v="82"/>
    <s v="0.7789 %"/>
    <n v="122"/>
    <n v="0.76370000000000005"/>
    <n v="100.41889999999999"/>
    <x v="3"/>
    <n v="349.38260000000002"/>
    <x v="2"/>
    <x v="5"/>
  </r>
  <r>
    <s v="Rin Upton"/>
    <d v="2002-10-18T00:00:00"/>
    <n v="22"/>
    <n v="178"/>
    <s v="Tinggi"/>
    <s v="ESFP"/>
    <x v="2"/>
    <x v="0"/>
    <s v="Damage Reflection Lattice"/>
    <n v="119"/>
    <n v="62"/>
    <n v="95"/>
    <n v="75"/>
    <s v="0.9809 %"/>
    <n v="384"/>
    <n v="0.60940000000000005"/>
    <n v="121.8254"/>
    <x v="3"/>
    <n v="735.70029999999997"/>
    <x v="2"/>
    <x v="0"/>
  </r>
  <r>
    <s v="Elise Ashby"/>
    <d v="2003-05-08T00:00:00"/>
    <n v="21"/>
    <n v="185"/>
    <s v="Tinggi"/>
    <s v="ISFJ"/>
    <x v="1"/>
    <x v="0"/>
    <s v="Probability Flux / Treasure Hunter"/>
    <n v="145"/>
    <n v="94"/>
    <n v="8"/>
    <n v="80"/>
    <s v="0.1967 %"/>
    <n v="114"/>
    <n v="0.67710000000000004"/>
    <n v="112.1906"/>
    <x v="1"/>
    <n v="441.68380000000002"/>
    <x v="1"/>
    <x v="0"/>
  </r>
  <r>
    <s v="Shaela Inoue"/>
    <d v="2001-08-22T00:00:00"/>
    <n v="23"/>
    <n v="160"/>
    <s v="Pendek"/>
    <s v="ENTP"/>
    <x v="0"/>
    <x v="0"/>
    <s v="Zone of Order / City Watch Captain"/>
    <n v="113"/>
    <n v="93"/>
    <n v="99"/>
    <n v="75"/>
    <s v="0.6911 %"/>
    <n v="69"/>
    <n v="0.56759999999999999"/>
    <n v="157.93180000000001"/>
    <x v="3"/>
    <n v="451.58870000000002"/>
    <x v="2"/>
    <x v="2"/>
  </r>
  <r>
    <s v="Yuna Morven"/>
    <d v="2002-06-08T00:00:00"/>
    <n v="22"/>
    <n v="173"/>
    <s v="Normal"/>
    <s v="INFP"/>
    <x v="3"/>
    <x v="1"/>
    <s v="Essence Severance"/>
    <n v="121"/>
    <n v="77"/>
    <n v="2"/>
    <n v="36"/>
    <s v="0.7283 %"/>
    <n v="323"/>
    <n v="0.64539999999999997"/>
    <n v="132.2841"/>
    <x v="2"/>
    <n v="559.18370000000004"/>
    <x v="1"/>
    <x v="6"/>
  </r>
  <r>
    <s v="Kaito Montgomery"/>
    <d v="2002-10-29T00:00:00"/>
    <n v="22"/>
    <n v="160"/>
    <s v="Pendek"/>
    <s v="ISTJ"/>
    <x v="1"/>
    <x v="1"/>
    <s v="Combat Escalation Law"/>
    <n v="56"/>
    <n v="39"/>
    <n v="11"/>
    <n v="92"/>
    <s v="0.1274 %"/>
    <n v="295"/>
    <n v="0.81989999999999996"/>
    <n v="44.149000000000001"/>
    <x v="1"/>
    <n v="494.52730000000003"/>
    <x v="2"/>
    <x v="0"/>
  </r>
  <r>
    <s v="Hina Declan"/>
    <d v="2002-11-14T00:00:00"/>
    <n v="22"/>
    <n v="184"/>
    <s v="Tinggi"/>
    <s v="ESFP"/>
    <x v="2"/>
    <x v="1"/>
    <s v="Soulfire Manifestation"/>
    <n v="66"/>
    <n v="80"/>
    <n v="30"/>
    <n v="54"/>
    <s v="0.1155 %"/>
    <n v="293"/>
    <n v="0.52270000000000005"/>
    <n v="89.641599999999997"/>
    <x v="1"/>
    <n v="523.6182"/>
    <x v="0"/>
    <x v="1"/>
  </r>
  <r>
    <s v="Hugo Drayton"/>
    <d v="2003-06-14T00:00:00"/>
    <n v="21"/>
    <n v="166"/>
    <s v="Pendek"/>
    <s v="ISFP"/>
    <x v="2"/>
    <x v="1"/>
    <s v="Heartstrike Overload"/>
    <n v="18"/>
    <n v="35"/>
    <n v="49"/>
    <n v="61"/>
    <s v="0.2903 %"/>
    <n v="51"/>
    <n v="0.5595"/>
    <n v="45.328200000000002"/>
    <x v="0"/>
    <n v="215.90979999999999"/>
    <x v="1"/>
    <x v="6"/>
  </r>
  <r>
    <s v="Felix Ironfield"/>
    <d v="2002-03-31T00:00:00"/>
    <n v="22"/>
    <n v="161"/>
    <s v="Pendek"/>
    <s v="ESTP"/>
    <x v="2"/>
    <x v="1"/>
    <s v="Sensory Collapse Domain"/>
    <n v="101"/>
    <n v="34"/>
    <n v="17"/>
    <n v="6"/>
    <s v="0.8169 %"/>
    <n v="47"/>
    <n v="0.82589999999999997"/>
    <n v="61.193199999999997"/>
    <x v="2"/>
    <n v="205.24279999999999"/>
    <x v="0"/>
    <x v="6"/>
  </r>
  <r>
    <s v="Dara Declan"/>
    <d v="2003-12-12T00:00:00"/>
    <n v="21"/>
    <n v="161"/>
    <s v="Pendek"/>
    <s v="ENFP"/>
    <x v="3"/>
    <x v="0"/>
    <s v="Probability Flux / Treasure Hunter"/>
    <n v="51"/>
    <n v="17"/>
    <n v="13"/>
    <n v="27"/>
    <s v="0.8968 %"/>
    <n v="141"/>
    <n v="0.66049999999999998"/>
    <n v="31.335100000000001"/>
    <x v="1"/>
    <n v="249.96729999999999"/>
    <x v="0"/>
    <x v="2"/>
  </r>
  <r>
    <s v="Hiroshi Ashford"/>
    <d v="2002-10-19T00:00:00"/>
    <n v="22"/>
    <n v="168"/>
    <s v="Normal"/>
    <s v="ESTP"/>
    <x v="2"/>
    <x v="1"/>
    <s v="Primal Sovereign / Engineer"/>
    <n v="28"/>
    <n v="83"/>
    <n v="9"/>
    <n v="58"/>
    <s v="0.7422 %"/>
    <n v="329"/>
    <n v="0.55259999999999998"/>
    <n v="144.13220000000001"/>
    <x v="0"/>
    <n v="507.12479999999999"/>
    <x v="2"/>
    <x v="2"/>
  </r>
  <r>
    <s v="Sylvie Morven"/>
    <d v="2002-03-15T00:00:00"/>
    <n v="22"/>
    <n v="161"/>
    <s v="Pendek"/>
    <s v="INFJ"/>
    <x v="3"/>
    <x v="1"/>
    <s v="Heartstrike Overload"/>
    <n v="141"/>
    <n v="42"/>
    <n v="19"/>
    <n v="11"/>
    <s v="0.7627 %"/>
    <n v="379"/>
    <n v="0.4677"/>
    <n v="73.998099999999994"/>
    <x v="2"/>
    <n v="593.5204"/>
    <x v="2"/>
    <x v="5"/>
  </r>
  <r>
    <s v="Dante Langley"/>
    <d v="2002-07-17T00:00:00"/>
    <n v="22"/>
    <n v="179"/>
    <s v="Tinggi"/>
    <s v="ESTP"/>
    <x v="2"/>
    <x v="0"/>
    <s v="Absolute Command / General"/>
    <n v="14"/>
    <n v="59"/>
    <n v="46"/>
    <n v="15"/>
    <s v="0.287 %"/>
    <n v="116"/>
    <n v="0.73399999999999999"/>
    <n v="76.525000000000006"/>
    <x v="0"/>
    <n v="251.851"/>
    <x v="1"/>
    <x v="6"/>
  </r>
  <r>
    <s v="Yuna Tanaka"/>
    <d v="2003-06-06T00:00:00"/>
    <n v="21"/>
    <n v="162"/>
    <s v="Pendek"/>
    <s v="ESFP"/>
    <x v="2"/>
    <x v="0"/>
    <s v="Zone of Order / City Watch Captain"/>
    <n v="80"/>
    <n v="41"/>
    <n v="18"/>
    <n v="11"/>
    <s v="0.4084 %"/>
    <n v="247"/>
    <n v="0.46529999999999999"/>
    <n v="57.6599"/>
    <x v="2"/>
    <n v="397.63369999999998"/>
    <x v="0"/>
    <x v="4"/>
  </r>
  <r>
    <s v="Lyric Ashby"/>
    <d v="2001-02-02T00:00:00"/>
    <n v="23"/>
    <n v="163"/>
    <s v="Pendek"/>
    <s v="ENFJ"/>
    <x v="3"/>
    <x v="1"/>
    <s v="Fate Weave / Royal Advisor"/>
    <n v="78"/>
    <n v="93"/>
    <n v="24"/>
    <n v="22"/>
    <s v="0.2465 %"/>
    <n v="45"/>
    <n v="0.59289999999999998"/>
    <n v="116.1613"/>
    <x v="0"/>
    <n v="262.49939999999998"/>
    <x v="1"/>
    <x v="4"/>
  </r>
  <r>
    <s v="Ansel Emberveil"/>
    <d v="2003-04-24T00:00:00"/>
    <n v="21"/>
    <n v="185"/>
    <s v="Tinggi"/>
    <s v="ESFJ"/>
    <x v="1"/>
    <x v="0"/>
    <s v="Soulfire Manifestation"/>
    <n v="31"/>
    <n v="32"/>
    <n v="22"/>
    <n v="40"/>
    <s v="0.1184 %"/>
    <n v="88"/>
    <n v="0.48430000000000001"/>
    <n v="35.744100000000003"/>
    <x v="0"/>
    <n v="212.70269999999999"/>
    <x v="2"/>
    <x v="0"/>
  </r>
  <r>
    <s v="Mika Quill"/>
    <d v="2001-09-26T00:00:00"/>
    <n v="23"/>
    <n v="169"/>
    <s v="Normal"/>
    <s v="ISFP"/>
    <x v="2"/>
    <x v="1"/>
    <s v="Triage Field / Field Medic"/>
    <n v="76"/>
    <n v="52"/>
    <n v="12"/>
    <n v="63"/>
    <s v="0.609 %"/>
    <n v="300"/>
    <n v="0.5554"/>
    <n v="83.812799999999996"/>
    <x v="3"/>
    <n v="503.62439999999998"/>
    <x v="2"/>
    <x v="4"/>
  </r>
  <r>
    <s v="Vessa Kline"/>
    <d v="2003-09-12T00:00:00"/>
    <n v="21"/>
    <n v="179"/>
    <s v="Tinggi"/>
    <s v="INTP"/>
    <x v="0"/>
    <x v="0"/>
    <s v="Memory Palace / Librarian Assistant"/>
    <n v="41"/>
    <n v="92"/>
    <n v="94"/>
    <n v="34"/>
    <s v="0.8318 %"/>
    <n v="55"/>
    <n v="0.56330000000000002"/>
    <n v="168.96520000000001"/>
    <x v="2"/>
    <n v="317.55509999999998"/>
    <x v="1"/>
    <x v="1"/>
  </r>
  <r>
    <s v="Felix Dunstan"/>
    <d v="2002-02-25T00:00:00"/>
    <n v="22"/>
    <n v="184"/>
    <s v="Tinggi"/>
    <s v="INFJ"/>
    <x v="3"/>
    <x v="1"/>
    <s v="Absolute Command / General"/>
    <n v="22"/>
    <n v="25"/>
    <n v="75"/>
    <n v="81"/>
    <s v="0.718 %"/>
    <n v="293"/>
    <n v="0.40250000000000002"/>
    <n v="42.623600000000003"/>
    <x v="1"/>
    <n v="497.07049999999998"/>
    <x v="2"/>
    <x v="1"/>
  </r>
  <r>
    <s v="Nolan Blackwood"/>
    <d v="2002-06-28T00:00:00"/>
    <n v="22"/>
    <n v="165"/>
    <s v="Pendek"/>
    <s v="ESFP"/>
    <x v="2"/>
    <x v="1"/>
    <s v="Elemental Mastery"/>
    <n v="129"/>
    <n v="42"/>
    <n v="20"/>
    <n v="29"/>
    <s v="0.9647 %"/>
    <n v="145"/>
    <n v="0.48230000000000001"/>
    <n v="81.927999999999997"/>
    <x v="1"/>
    <n v="365.90699999999998"/>
    <x v="1"/>
    <x v="6"/>
  </r>
  <r>
    <s v="Aria Yamamoto"/>
    <d v="2002-02-28T00:00:00"/>
    <n v="22"/>
    <n v="163"/>
    <s v="Pendek"/>
    <s v="ENFP"/>
    <x v="3"/>
    <x v="1"/>
    <s v="Absolute Command / General"/>
    <n v="58"/>
    <n v="34"/>
    <n v="77"/>
    <n v="98"/>
    <s v="0.4149 %"/>
    <n v="268"/>
    <n v="0.47660000000000002"/>
    <n v="48.7575"/>
    <x v="0"/>
    <n v="537.04150000000004"/>
    <x v="0"/>
    <x v="1"/>
  </r>
  <r>
    <s v="Akira Hayashi"/>
    <d v="2001-03-16T00:00:00"/>
    <n v="23"/>
    <n v="169"/>
    <s v="Normal"/>
    <s v="ESFJ"/>
    <x v="1"/>
    <x v="0"/>
    <s v="Fate Weave / Royal Advisor"/>
    <n v="47"/>
    <n v="30"/>
    <n v="40"/>
    <n v="65"/>
    <s v="0.2054 %"/>
    <n v="92"/>
    <n v="0.5595"/>
    <n v="35.6678"/>
    <x v="2"/>
    <n v="273.30489999999998"/>
    <x v="0"/>
    <x v="5"/>
  </r>
  <r>
    <s v="Ansel Flint"/>
    <d v="2001-12-06T00:00:00"/>
    <n v="23"/>
    <n v="173"/>
    <s v="Normal"/>
    <s v="ENFJ"/>
    <x v="3"/>
    <x v="0"/>
    <s v="Memory Palace / Librarian Assistant"/>
    <n v="42"/>
    <n v="99"/>
    <n v="23"/>
    <n v="36"/>
    <s v="0.6672 %"/>
    <n v="229"/>
    <n v="0.67159999999999997"/>
    <n v="164.66929999999999"/>
    <x v="2"/>
    <n v="430.36880000000002"/>
    <x v="1"/>
    <x v="3"/>
  </r>
  <r>
    <s v="Isla Stormbright"/>
    <d v="2003-03-26T00:00:00"/>
    <n v="21"/>
    <n v="182"/>
    <s v="Tinggi"/>
    <s v="ESFP"/>
    <x v="2"/>
    <x v="1"/>
    <s v="Dominion Mark"/>
    <n v="1"/>
    <n v="99"/>
    <n v="46"/>
    <n v="65"/>
    <s v="0.2164 %"/>
    <n v="178"/>
    <n v="0.80530000000000002"/>
    <n v="120.7642"/>
    <x v="2"/>
    <n v="390.35169999999999"/>
    <x v="1"/>
    <x v="0"/>
  </r>
  <r>
    <s v="Ansel Calloway"/>
    <d v="2002-02-06T00:00:00"/>
    <n v="22"/>
    <n v="183"/>
    <s v="Tinggi"/>
    <s v="ISFJ"/>
    <x v="1"/>
    <x v="1"/>
    <s v="Combat Escalation Law"/>
    <n v="44"/>
    <n v="86"/>
    <n v="43"/>
    <n v="88"/>
    <s v="0.4128 %"/>
    <n v="126"/>
    <n v="0.46360000000000001"/>
    <n v="121.7551"/>
    <x v="2"/>
    <n v="388.32639999999998"/>
    <x v="0"/>
    <x v="5"/>
  </r>
  <r>
    <s v="Caius Hartley"/>
    <d v="2003-12-12T00:00:00"/>
    <n v="21"/>
    <n v="181"/>
    <s v="Tinggi"/>
    <s v="ESTP"/>
    <x v="2"/>
    <x v="0"/>
    <s v="Archive of Blades / Guild Archivist"/>
    <n v="130"/>
    <n v="46"/>
    <n v="91"/>
    <n v="3"/>
    <s v="0.9281 %"/>
    <n v="46"/>
    <n v="0.74080000000000001"/>
    <n v="89.193899999999999"/>
    <x v="2"/>
    <n v="319.03890000000001"/>
    <x v="2"/>
    <x v="4"/>
  </r>
  <r>
    <s v="Hina Crowe"/>
    <d v="2001-07-27T00:00:00"/>
    <n v="23"/>
    <n v="176"/>
    <s v="Tinggi"/>
    <s v="INFJ"/>
    <x v="3"/>
    <x v="0"/>
    <s v="Runic Deconstruction / Scholar"/>
    <n v="96"/>
    <n v="32"/>
    <n v="64"/>
    <n v="93"/>
    <s v="0.1859 %"/>
    <n v="185"/>
    <n v="0.81730000000000003"/>
    <n v="37.379600000000003"/>
    <x v="2"/>
    <n v="470.60320000000002"/>
    <x v="1"/>
    <x v="4"/>
  </r>
  <r>
    <s v="Fumiko Whitmore"/>
    <d v="2003-02-06T00:00:00"/>
    <n v="21"/>
    <n v="163"/>
    <s v="Pendek"/>
    <s v="ENTJ"/>
    <x v="0"/>
    <x v="0"/>
    <s v="Primal Sovereign / Engineer"/>
    <n v="42"/>
    <n v="33"/>
    <n v="32"/>
    <n v="52"/>
    <s v="0.1428 %"/>
    <n v="101"/>
    <n v="0.65139999999999998"/>
    <n v="37.918100000000003"/>
    <x v="2"/>
    <n v="260.99419999999998"/>
    <x v="0"/>
    <x v="0"/>
  </r>
  <r>
    <s v="Lyric Bramble"/>
    <d v="2001-10-23T00:00:00"/>
    <n v="23"/>
    <n v="164"/>
    <s v="Pendek"/>
    <s v="ENFP"/>
    <x v="3"/>
    <x v="0"/>
    <s v="Zone of Order / City Watch Captain"/>
    <n v="90"/>
    <n v="57"/>
    <n v="93"/>
    <n v="28"/>
    <s v="0.7956 %"/>
    <n v="207"/>
    <n v="0.74790000000000001"/>
    <n v="101.82850000000001"/>
    <x v="2"/>
    <n v="476.09350000000001"/>
    <x v="1"/>
    <x v="0"/>
  </r>
  <r>
    <s v="Isla Greaves"/>
    <d v="2001-09-07T00:00:00"/>
    <n v="23"/>
    <n v="171"/>
    <s v="Normal"/>
    <s v="ENFJ"/>
    <x v="3"/>
    <x v="0"/>
    <s v="Warbrand Arsenal"/>
    <n v="47"/>
    <n v="14"/>
    <n v="16"/>
    <n v="6"/>
    <s v="0.3916 %"/>
    <n v="371"/>
    <n v="0.68669999999999998"/>
    <n v="19.218"/>
    <x v="2"/>
    <n v="453.37830000000002"/>
    <x v="0"/>
    <x v="5"/>
  </r>
  <r>
    <s v="Leon Quill"/>
    <d v="2003-01-09T00:00:00"/>
    <n v="21"/>
    <n v="180"/>
    <s v="Tinggi"/>
    <s v="ISTP"/>
    <x v="2"/>
    <x v="1"/>
    <s v="Probability Flux / Treasure Hunter"/>
    <n v="71"/>
    <n v="48"/>
    <n v="34"/>
    <n v="20"/>
    <s v="0.3407 %"/>
    <n v="372"/>
    <n v="0.84209999999999996"/>
    <n v="63.9514"/>
    <x v="3"/>
    <n v="545.82280000000003"/>
    <x v="2"/>
    <x v="6"/>
  </r>
  <r>
    <s v="Nora Wiley"/>
    <d v="2001-07-15T00:00:00"/>
    <n v="23"/>
    <n v="161"/>
    <s v="Pendek"/>
    <s v="ISTP"/>
    <x v="2"/>
    <x v="0"/>
    <s v="Memory Palace / Librarian Assistant"/>
    <n v="89"/>
    <n v="93"/>
    <n v="76"/>
    <n v="17"/>
    <s v="0.1637 %"/>
    <n v="393"/>
    <n v="0.51080000000000003"/>
    <n v="108.41030000000001"/>
    <x v="3"/>
    <n v="668.46450000000004"/>
    <x v="1"/>
    <x v="2"/>
  </r>
  <r>
    <s v="Hugo Swiftwind"/>
    <d v="2002-06-01T00:00:00"/>
    <n v="22"/>
    <n v="181"/>
    <s v="Tinggi"/>
    <s v="ISFP"/>
    <x v="2"/>
    <x v="0"/>
    <s v="Heartstrike Overload"/>
    <n v="61"/>
    <n v="71"/>
    <n v="8"/>
    <n v="46"/>
    <s v="0.4388 %"/>
    <n v="255"/>
    <n v="0.63460000000000005"/>
    <n v="101.7088"/>
    <x v="2"/>
    <n v="441.24340000000001"/>
    <x v="1"/>
    <x v="5"/>
  </r>
  <r>
    <s v="Miriam Sol"/>
    <d v="2002-08-23T00:00:00"/>
    <n v="22"/>
    <n v="185"/>
    <s v="Tinggi"/>
    <s v="ISTP"/>
    <x v="2"/>
    <x v="1"/>
    <s v="Heartstrike Overload"/>
    <n v="108"/>
    <n v="4"/>
    <n v="18"/>
    <n v="51"/>
    <s v="0.7016 %"/>
    <n v="199"/>
    <n v="0.5151"/>
    <n v="6.5340999999999996"/>
    <x v="2"/>
    <n v="380.92669999999998"/>
    <x v="0"/>
    <x v="5"/>
  </r>
  <r>
    <s v="Dara Mirren"/>
    <d v="2003-05-26T00:00:00"/>
    <n v="21"/>
    <n v="178"/>
    <s v="Tinggi"/>
    <s v="INTP"/>
    <x v="0"/>
    <x v="1"/>
    <s v="Heartstrike Overload"/>
    <n v="63"/>
    <n v="100"/>
    <n v="16"/>
    <n v="88"/>
    <s v="0.8581 %"/>
    <n v="60"/>
    <n v="0.66900000000000004"/>
    <n v="184.8809"/>
    <x v="2"/>
    <n v="327.4271"/>
    <x v="0"/>
    <x v="4"/>
  </r>
  <r>
    <s v="Lux Mirren"/>
    <d v="2001-03-19T00:00:00"/>
    <n v="23"/>
    <n v="168"/>
    <s v="Normal"/>
    <s v="INTJ"/>
    <x v="0"/>
    <x v="0"/>
    <s v="Archive of Blades / Guild Archivist"/>
    <n v="125"/>
    <n v="71"/>
    <n v="79"/>
    <n v="80"/>
    <s v="0.5465 %"/>
    <n v="12"/>
    <n v="0.79400000000000004"/>
    <n v="110.018"/>
    <x v="3"/>
    <n v="368.85050000000001"/>
    <x v="2"/>
    <x v="2"/>
  </r>
  <r>
    <s v="Theron Masaki"/>
    <d v="2001-11-14T00:00:00"/>
    <n v="23"/>
    <n v="180"/>
    <s v="Tinggi"/>
    <s v="ESFP"/>
    <x v="2"/>
    <x v="0"/>
    <s v="Sensory Collapse Domain"/>
    <n v="101"/>
    <n v="30"/>
    <n v="45"/>
    <n v="99"/>
    <s v="0.5703 %"/>
    <n v="147"/>
    <n v="0.82469999999999999"/>
    <n v="47.784199999999998"/>
    <x v="1"/>
    <n v="424.11500000000001"/>
    <x v="0"/>
    <x v="1"/>
  </r>
  <r>
    <s v="Cassian Kato"/>
    <d v="2001-10-14T00:00:00"/>
    <n v="23"/>
    <n v="185"/>
    <s v="Tinggi"/>
    <s v="ESTJ"/>
    <x v="1"/>
    <x v="0"/>
    <s v="Zone of Order / City Watch Captain"/>
    <n v="65"/>
    <n v="71"/>
    <n v="61"/>
    <n v="74"/>
    <s v="0.4285 %"/>
    <n v="267"/>
    <n v="0.71970000000000001"/>
    <n v="101.1378"/>
    <x v="3"/>
    <n v="537.69820000000004"/>
    <x v="2"/>
    <x v="3"/>
  </r>
  <r>
    <s v="Aster Yamamoto"/>
    <d v="2002-03-07T00:00:00"/>
    <n v="22"/>
    <n v="168"/>
    <s v="Normal"/>
    <s v="ESTJ"/>
    <x v="1"/>
    <x v="0"/>
    <s v="Soulfire Manifestation"/>
    <n v="32"/>
    <n v="81"/>
    <n v="48"/>
    <n v="40"/>
    <s v="0.758 %"/>
    <n v="315"/>
    <n v="0.41610000000000003"/>
    <n v="141.8706"/>
    <x v="3"/>
    <n v="516.44410000000005"/>
    <x v="0"/>
    <x v="0"/>
  </r>
  <r>
    <s v="Shaela Nakamura"/>
    <d v="2002-02-08T00:00:00"/>
    <n v="22"/>
    <n v="171"/>
    <s v="Normal"/>
    <s v="ISFJ"/>
    <x v="1"/>
    <x v="0"/>
    <s v="Resonant Aria / Performer"/>
    <n v="5"/>
    <n v="42"/>
    <n v="10"/>
    <n v="35"/>
    <s v="0.7854 %"/>
    <n v="50"/>
    <n v="0.4844"/>
    <n v="75.825900000000004"/>
    <x v="1"/>
    <n v="143.63980000000001"/>
    <x v="2"/>
    <x v="0"/>
  </r>
  <r>
    <s v="Rin Nakamura"/>
    <d v="2002-07-24T00:00:00"/>
    <n v="22"/>
    <n v="179"/>
    <s v="Tinggi"/>
    <s v="ESTP"/>
    <x v="2"/>
    <x v="1"/>
    <s v="Dominion Mark"/>
    <n v="80"/>
    <n v="64"/>
    <n v="37"/>
    <n v="60"/>
    <s v="0.9837 %"/>
    <n v="104"/>
    <n v="0.61019999999999996"/>
    <n v="126.57989999999999"/>
    <x v="3"/>
    <n v="346.35390000000001"/>
    <x v="2"/>
    <x v="4"/>
  </r>
  <r>
    <s v="Kotaro Blackwood"/>
    <d v="2003-10-02T00:00:00"/>
    <n v="21"/>
    <n v="168"/>
    <s v="Normal"/>
    <s v="ISFP"/>
    <x v="2"/>
    <x v="0"/>
    <s v="Zone of Order / City Watch Captain"/>
    <n v="17"/>
    <n v="52"/>
    <n v="34"/>
    <n v="65"/>
    <s v="0.3891 %"/>
    <n v="339"/>
    <n v="0.41260000000000002"/>
    <n v="71.997100000000003"/>
    <x v="0"/>
    <n v="506.64170000000001"/>
    <x v="2"/>
    <x v="2"/>
  </r>
  <r>
    <s v="Celeste Stormbright"/>
    <d v="2003-09-06T00:00:00"/>
    <n v="21"/>
    <n v="178"/>
    <s v="Tinggi"/>
    <s v="ESTJ"/>
    <x v="1"/>
    <x v="1"/>
    <s v="Archive of Blades / Guild Archivist"/>
    <n v="53"/>
    <n v="19"/>
    <n v="85"/>
    <n v="40"/>
    <s v="0.3403 %"/>
    <n v="11"/>
    <n v="0.79149999999999998"/>
    <n v="25.345099999999999"/>
    <x v="0"/>
    <n v="208.89179999999999"/>
    <x v="1"/>
    <x v="2"/>
  </r>
  <r>
    <s v="Fumiko Funai"/>
    <d v="2001-07-04T00:00:00"/>
    <n v="23"/>
    <n v="178"/>
    <s v="Tinggi"/>
    <s v="ENTJ"/>
    <x v="0"/>
    <x v="0"/>
    <s v="Verdant Wrath / Forest Herbalist"/>
    <n v="77"/>
    <n v="34"/>
    <n v="15"/>
    <n v="43"/>
    <s v="0.968 %"/>
    <n v="98"/>
    <n v="0.50370000000000004"/>
    <n v="65.986999999999995"/>
    <x v="1"/>
    <n v="269.67169999999999"/>
    <x v="2"/>
    <x v="4"/>
  </r>
  <r>
    <s v="Seren Masaki"/>
    <d v="2001-02-05T00:00:00"/>
    <n v="23"/>
    <n v="161"/>
    <s v="Pendek"/>
    <s v="ENTJ"/>
    <x v="0"/>
    <x v="1"/>
    <s v="Essence Severance"/>
    <n v="72"/>
    <n v="53"/>
    <n v="10"/>
    <n v="43"/>
    <s v="0.8166 %"/>
    <n v="122"/>
    <n v="0.69230000000000003"/>
    <n v="95.698499999999996"/>
    <x v="1"/>
    <n v="301.1189"/>
    <x v="0"/>
    <x v="6"/>
  </r>
  <r>
    <s v="Cassian Drayton"/>
    <d v="2001-11-21T00:00:00"/>
    <n v="23"/>
    <n v="168"/>
    <s v="Normal"/>
    <s v="ENTJ"/>
    <x v="0"/>
    <x v="0"/>
    <s v="Triage Field / Field Medic"/>
    <n v="148"/>
    <n v="48"/>
    <n v="71"/>
    <n v="58"/>
    <s v="0.3966 %"/>
    <n v="31"/>
    <n v="0.57499999999999996"/>
    <n v="67.385999999999996"/>
    <x v="3"/>
    <n v="356.76159999999999"/>
    <x v="0"/>
    <x v="2"/>
  </r>
  <r>
    <s v="Fable Farell"/>
    <d v="2002-01-12T00:00:00"/>
    <n v="22"/>
    <n v="175"/>
    <s v="Tinggi"/>
    <s v="ISFJ"/>
    <x v="1"/>
    <x v="0"/>
    <s v="Heartstrike Overload"/>
    <n v="102"/>
    <n v="76"/>
    <n v="81"/>
    <n v="33"/>
    <s v="0.2075 %"/>
    <n v="213"/>
    <n v="0.75370000000000004"/>
    <n v="91.649299999999997"/>
    <x v="3"/>
    <n v="505.64120000000003"/>
    <x v="0"/>
    <x v="3"/>
  </r>
  <r>
    <s v="Lux Aikawa"/>
    <d v="2002-06-29T00:00:00"/>
    <n v="22"/>
    <n v="177"/>
    <s v="Tinggi"/>
    <s v="ESTJ"/>
    <x v="1"/>
    <x v="0"/>
    <s v="Soulfire Manifestation"/>
    <n v="99"/>
    <n v="41"/>
    <n v="12"/>
    <n v="87"/>
    <s v="0.615 %"/>
    <n v="275"/>
    <n v="0.7893"/>
    <n v="66.263499999999993"/>
    <x v="1"/>
    <n v="516.04430000000002"/>
    <x v="0"/>
    <x v="6"/>
  </r>
  <r>
    <s v="Seila Morven"/>
    <d v="2002-02-25T00:00:00"/>
    <n v="22"/>
    <n v="179"/>
    <s v="Tinggi"/>
    <s v="ENFP"/>
    <x v="3"/>
    <x v="1"/>
    <s v="Moment moment of Truth / Oracle"/>
    <n v="62"/>
    <n v="23"/>
    <n v="27"/>
    <n v="73"/>
    <s v="0.3602 %"/>
    <n v="5"/>
    <n v="0.41120000000000001"/>
    <n v="31.692699999999999"/>
    <x v="3"/>
    <n v="190.5514"/>
    <x v="2"/>
    <x v="1"/>
  </r>
  <r>
    <s v="Kotaro Dunstan"/>
    <d v="2001-08-09T00:00:00"/>
    <n v="23"/>
    <n v="182"/>
    <s v="Tinggi"/>
    <s v="INTP"/>
    <x v="0"/>
    <x v="1"/>
    <s v="Dominion Mark"/>
    <n v="42"/>
    <n v="40"/>
    <n v="54"/>
    <n v="10"/>
    <s v="0.156 %"/>
    <n v="264"/>
    <n v="0.40429999999999999"/>
    <n v="46.147500000000001"/>
    <x v="3"/>
    <n v="410.94029999999998"/>
    <x v="2"/>
    <x v="4"/>
  </r>
  <r>
    <s v="Cael Swiftwind"/>
    <d v="2001-09-26T00:00:00"/>
    <n v="23"/>
    <n v="166"/>
    <s v="Pendek"/>
    <s v="INFP"/>
    <x v="3"/>
    <x v="0"/>
    <s v="Verdant Wrath / Forest Herbalist"/>
    <n v="99"/>
    <n v="87"/>
    <n v="67"/>
    <n v="33"/>
    <s v="0.2558 %"/>
    <n v="244"/>
    <n v="0.70589999999999997"/>
    <n v="108.8653"/>
    <x v="2"/>
    <n v="531.19169999999997"/>
    <x v="2"/>
    <x v="4"/>
  </r>
  <r>
    <s v="Lyric Kim"/>
    <d v="2001-05-05T00:00:00"/>
    <n v="23"/>
    <n v="184"/>
    <s v="Tinggi"/>
    <s v="INTP"/>
    <x v="0"/>
    <x v="1"/>
    <s v="Ruin Pulse Engine"/>
    <n v="50"/>
    <n v="89"/>
    <n v="82"/>
    <n v="90"/>
    <s v="0.6937 %"/>
    <n v="298"/>
    <n v="0.4859"/>
    <n v="151.28129999999999"/>
    <x v="0"/>
    <n v="610.36959999999999"/>
    <x v="0"/>
    <x v="0"/>
  </r>
  <r>
    <s v="Kotaro Steele"/>
    <d v="2002-08-19T00:00:00"/>
    <n v="22"/>
    <n v="184"/>
    <s v="Tinggi"/>
    <s v="INFJ"/>
    <x v="3"/>
    <x v="1"/>
    <s v="Soulfire Manifestation"/>
    <n v="111"/>
    <n v="67"/>
    <n v="59"/>
    <n v="6"/>
    <s v="0.1724 %"/>
    <n v="84"/>
    <n v="0.79569999999999996"/>
    <n v="78.668000000000006"/>
    <x v="1"/>
    <n v="327.36810000000003"/>
    <x v="1"/>
    <x v="6"/>
  </r>
  <r>
    <s v="Mirel Silva"/>
    <d v="2003-06-29T00:00:00"/>
    <n v="21"/>
    <n v="178"/>
    <s v="Tinggi"/>
    <s v="ISTP"/>
    <x v="2"/>
    <x v="0"/>
    <s v="Resonant Aria / Performer"/>
    <n v="100"/>
    <n v="67"/>
    <n v="60"/>
    <n v="15"/>
    <s v="0.1139 %"/>
    <n v="341"/>
    <n v="0.44140000000000001"/>
    <n v="74.831800000000001"/>
    <x v="2"/>
    <n v="583.48530000000005"/>
    <x v="1"/>
    <x v="0"/>
  </r>
  <r>
    <s v="Isadora Drayton"/>
    <d v="2001-12-08T00:00:00"/>
    <n v="23"/>
    <n v="165"/>
    <s v="Pendek"/>
    <s v="INTP"/>
    <x v="0"/>
    <x v="0"/>
    <s v="Heartstrike Overload"/>
    <n v="21"/>
    <n v="8"/>
    <n v="78"/>
    <n v="4"/>
    <s v="0.9118 %"/>
    <n v="323"/>
    <n v="0.52869999999999995"/>
    <n v="14.5106"/>
    <x v="1"/>
    <n v="435.51049999999998"/>
    <x v="1"/>
    <x v="5"/>
  </r>
  <r>
    <s v="Lena Blackwood"/>
    <d v="2001-06-14T00:00:00"/>
    <n v="23"/>
    <n v="181"/>
    <s v="Tinggi"/>
    <s v="INFJ"/>
    <x v="3"/>
    <x v="1"/>
    <s v="Combat Escalation Law"/>
    <n v="141"/>
    <n v="36"/>
    <n v="20"/>
    <n v="7"/>
    <s v="0.133 %"/>
    <n v="394"/>
    <n v="0.74380000000000002"/>
    <n v="40.3461"/>
    <x v="3"/>
    <n v="598.49680000000001"/>
    <x v="0"/>
    <x v="1"/>
  </r>
  <r>
    <s v="Lyra Ashvale"/>
    <d v="2003-10-13T00:00:00"/>
    <n v="21"/>
    <n v="175"/>
    <s v="Tinggi"/>
    <s v="ESFP"/>
    <x v="2"/>
    <x v="1"/>
    <s v="Damage Reflection Lattice"/>
    <n v="110"/>
    <n v="85"/>
    <n v="28"/>
    <n v="97"/>
    <s v="0.7535 %"/>
    <n v="286"/>
    <n v="0.50560000000000005"/>
    <n v="149.74889999999999"/>
    <x v="1"/>
    <n v="607.78909999999996"/>
    <x v="0"/>
    <x v="5"/>
  </r>
  <r>
    <s v="Yuna Crowe"/>
    <d v="2001-07-17T00:00:00"/>
    <n v="23"/>
    <n v="174"/>
    <s v="Normal"/>
    <s v="ISTJ"/>
    <x v="1"/>
    <x v="1"/>
    <s v="Dominion Mark"/>
    <n v="35"/>
    <n v="38"/>
    <n v="60"/>
    <n v="32"/>
    <s v="0.3568 %"/>
    <n v="100"/>
    <n v="0.56430000000000002"/>
    <n v="51.273499999999999"/>
    <x v="3"/>
    <n v="264.74110000000002"/>
    <x v="2"/>
    <x v="0"/>
  </r>
  <r>
    <s v="Clara Coldwater"/>
    <d v="2002-12-21T00:00:00"/>
    <n v="22"/>
    <n v="182"/>
    <s v="Tinggi"/>
    <s v="ESTP"/>
    <x v="2"/>
    <x v="1"/>
    <s v="Resonant Aria / Performer"/>
    <n v="35"/>
    <n v="4"/>
    <n v="91"/>
    <n v="68"/>
    <s v="0.5731 %"/>
    <n v="80"/>
    <n v="0.67930000000000001"/>
    <n v="7.0317999999999996"/>
    <x v="2"/>
    <n v="279.20240000000001"/>
    <x v="1"/>
    <x v="5"/>
  </r>
  <r>
    <s v="Aiko Calloway"/>
    <d v="2003-01-17T00:00:00"/>
    <n v="21"/>
    <n v="174"/>
    <s v="Normal"/>
    <s v="ENTP"/>
    <x v="0"/>
    <x v="0"/>
    <s v="Heartstrike Overload"/>
    <n v="130"/>
    <n v="66"/>
    <n v="34"/>
    <n v="17"/>
    <s v="0.6365 %"/>
    <n v="206"/>
    <n v="0.64529999999999998"/>
    <n v="107.33799999999999"/>
    <x v="1"/>
    <n v="453.70179999999999"/>
    <x v="1"/>
    <x v="6"/>
  </r>
  <r>
    <s v="Sage Steele"/>
    <d v="2002-03-06T00:00:00"/>
    <n v="22"/>
    <n v="177"/>
    <s v="Tinggi"/>
    <s v="INTP"/>
    <x v="0"/>
    <x v="0"/>
    <s v="Runic Deconstruction / Scholar"/>
    <n v="107"/>
    <n v="28"/>
    <n v="32"/>
    <n v="25"/>
    <s v="0.2186 %"/>
    <n v="138"/>
    <n v="0.59619999999999995"/>
    <n v="34.193899999999999"/>
    <x v="3"/>
    <n v="331.3048"/>
    <x v="2"/>
    <x v="4"/>
  </r>
  <r>
    <s v="Mei Sato"/>
    <d v="2001-02-12T00:00:00"/>
    <n v="23"/>
    <n v="173"/>
    <s v="Normal"/>
    <s v="ESFP"/>
    <x v="2"/>
    <x v="0"/>
    <s v="Fracture Surge"/>
    <n v="88"/>
    <n v="98"/>
    <n v="80"/>
    <n v="73"/>
    <s v="0.5142 %"/>
    <n v="172"/>
    <n v="0.64090000000000003"/>
    <n v="148.1645"/>
    <x v="3"/>
    <n v="512.27509999999995"/>
    <x v="2"/>
    <x v="0"/>
  </r>
  <r>
    <s v="Piper Sato"/>
    <d v="2003-10-20T00:00:00"/>
    <n v="21"/>
    <n v="168"/>
    <s v="Normal"/>
    <s v="INFP"/>
    <x v="3"/>
    <x v="1"/>
    <s v="Heartstrike Overload"/>
    <n v="73"/>
    <n v="4"/>
    <n v="76"/>
    <n v="33"/>
    <s v="0.8242 %"/>
    <n v="2"/>
    <n v="0.55430000000000001"/>
    <n v="7.9535"/>
    <x v="3"/>
    <n v="189.42850000000001"/>
    <x v="1"/>
    <x v="4"/>
  </r>
  <r>
    <s v="Sage Whitmore"/>
    <d v="2003-08-12T00:00:00"/>
    <n v="21"/>
    <n v="180"/>
    <s v="Tinggi"/>
    <s v="ENTJ"/>
    <x v="0"/>
    <x v="1"/>
    <s v="Living Canvas / Cartographer"/>
    <n v="34"/>
    <n v="44"/>
    <n v="30"/>
    <n v="15"/>
    <s v="0.8788 %"/>
    <n v="155"/>
    <n v="0.72319999999999995"/>
    <n v="83.399900000000002"/>
    <x v="2"/>
    <n v="280.09199999999998"/>
    <x v="0"/>
    <x v="0"/>
  </r>
  <r>
    <s v="Finn Wiley"/>
    <d v="2001-11-15T00:00:00"/>
    <n v="23"/>
    <n v="160"/>
    <s v="Pendek"/>
    <s v="INTJ"/>
    <x v="0"/>
    <x v="1"/>
    <s v="Momentum Surge / Knight-Errant"/>
    <n v="72"/>
    <n v="14"/>
    <n v="56"/>
    <n v="40"/>
    <s v="0.1977 %"/>
    <n v="143"/>
    <n v="0.73380000000000001"/>
    <n v="16.288699999999999"/>
    <x v="3"/>
    <n v="325.81150000000002"/>
    <x v="2"/>
    <x v="2"/>
  </r>
  <r>
    <s v="Vivian Dunmore"/>
    <d v="2003-10-26T00:00:00"/>
    <n v="21"/>
    <n v="172"/>
    <s v="Normal"/>
    <s v="ENTP"/>
    <x v="0"/>
    <x v="0"/>
    <s v="Absolute Command / General"/>
    <n v="100"/>
    <n v="63"/>
    <n v="32"/>
    <n v="22"/>
    <s v="0.2992 %"/>
    <n v="271"/>
    <n v="0.54400000000000004"/>
    <n v="82.109399999999994"/>
    <x v="1"/>
    <n v="488.6232"/>
    <x v="1"/>
    <x v="0"/>
  </r>
  <r>
    <s v="Orin Dunstan"/>
    <d v="2002-07-05T00:00:00"/>
    <n v="22"/>
    <n v="179"/>
    <s v="Tinggi"/>
    <s v="ESTP"/>
    <x v="2"/>
    <x v="1"/>
    <s v="Memory Palace / Librarian Assistant"/>
    <n v="90"/>
    <n v="31"/>
    <n v="16"/>
    <n v="16"/>
    <s v="0.4116 %"/>
    <n v="332"/>
    <n v="0.77769999999999995"/>
    <n v="43.138500000000001"/>
    <x v="2"/>
    <n v="486.27929999999998"/>
    <x v="2"/>
    <x v="5"/>
  </r>
  <r>
    <s v="Vale Hayashi"/>
    <d v="2002-09-01T00:00:00"/>
    <n v="22"/>
    <n v="185"/>
    <s v="Tinggi"/>
    <s v="ESFP"/>
    <x v="2"/>
    <x v="1"/>
    <s v="Adaptive Mutation"/>
    <n v="12"/>
    <n v="56"/>
    <n v="43"/>
    <n v="53"/>
    <s v="0.1197 %"/>
    <n v="191"/>
    <n v="0.51280000000000003"/>
    <n v="62.221699999999998"/>
    <x v="2"/>
    <n v="354.59249999999997"/>
    <x v="1"/>
    <x v="3"/>
  </r>
  <r>
    <s v="Mirel Yoshida"/>
    <d v="2001-03-30T00:00:00"/>
    <n v="23"/>
    <n v="179"/>
    <s v="Tinggi"/>
    <s v="INFP"/>
    <x v="3"/>
    <x v="0"/>
    <s v="Heartstrike Overload"/>
    <n v="73"/>
    <n v="78"/>
    <n v="8"/>
    <n v="28"/>
    <s v="0.7836 %"/>
    <n v="213"/>
    <n v="0.49559999999999998"/>
    <n v="138.6036"/>
    <x v="2"/>
    <n v="400.39920000000001"/>
    <x v="2"/>
    <x v="4"/>
  </r>
  <r>
    <s v="Shiho Ashford"/>
    <d v="2003-07-22T00:00:00"/>
    <n v="21"/>
    <n v="179"/>
    <s v="Tinggi"/>
    <s v="INFJ"/>
    <x v="3"/>
    <x v="1"/>
    <s v="Primal Sovereign / Engineer"/>
    <n v="55"/>
    <n v="90"/>
    <n v="25"/>
    <n v="76"/>
    <s v="0.2723 %"/>
    <n v="75"/>
    <n v="0.83489999999999998"/>
    <n v="114.03619999999999"/>
    <x v="2"/>
    <n v="321.72719999999998"/>
    <x v="0"/>
    <x v="4"/>
  </r>
  <r>
    <s v="Isadora Eld"/>
    <d v="2002-04-15T00:00:00"/>
    <n v="22"/>
    <n v="172"/>
    <s v="Normal"/>
    <s v="ISTP"/>
    <x v="2"/>
    <x v="1"/>
    <s v="Zone of Order / City Watch Captain"/>
    <n v="27"/>
    <n v="68"/>
    <n v="6"/>
    <n v="95"/>
    <s v="0.9792 %"/>
    <n v="204"/>
    <n v="0.50090000000000001"/>
    <n v="133.79390000000001"/>
    <x v="3"/>
    <n v="400.67009999999999"/>
    <x v="2"/>
    <x v="0"/>
  </r>
  <r>
    <s v="Vale Swiftwind"/>
    <d v="2001-07-02T00:00:00"/>
    <n v="23"/>
    <n v="182"/>
    <s v="Tinggi"/>
    <s v="ESFP"/>
    <x v="2"/>
    <x v="0"/>
    <s v="Damage Reflection Lattice"/>
    <n v="56"/>
    <n v="87"/>
    <n v="62"/>
    <n v="40"/>
    <s v="0.3312 %"/>
    <n v="141"/>
    <n v="0.52590000000000003"/>
    <n v="115.242"/>
    <x v="3"/>
    <n v="386.1071"/>
    <x v="1"/>
    <x v="2"/>
  </r>
  <r>
    <s v="Seila Greaves"/>
    <d v="2002-07-25T00:00:00"/>
    <n v="22"/>
    <n v="171"/>
    <s v="Normal"/>
    <s v="ENFP"/>
    <x v="3"/>
    <x v="1"/>
    <s v="Damage Reflection Lattice"/>
    <n v="126"/>
    <n v="38"/>
    <n v="68"/>
    <n v="2"/>
    <s v="0.4955 %"/>
    <n v="292"/>
    <n v="0.59399999999999997"/>
    <n v="56.799100000000003"/>
    <x v="3"/>
    <n v="527.28949999999998"/>
    <x v="0"/>
    <x v="2"/>
  </r>
  <r>
    <s v="Hana Yoshida"/>
    <d v="2002-01-06T00:00:00"/>
    <n v="22"/>
    <n v="168"/>
    <s v="Normal"/>
    <s v="INFJ"/>
    <x v="3"/>
    <x v="0"/>
    <s v="Absolute Command / General"/>
    <n v="32"/>
    <n v="18"/>
    <n v="69"/>
    <n v="84"/>
    <s v="0.8222 %"/>
    <n v="94"/>
    <n v="0.77910000000000001"/>
    <n v="32.617400000000004"/>
    <x v="3"/>
    <n v="298.80130000000003"/>
    <x v="0"/>
    <x v="5"/>
  </r>
  <r>
    <s v="Shaela Declan"/>
    <d v="2001-06-22T00:00:00"/>
    <n v="23"/>
    <n v="167"/>
    <s v="Pendek"/>
    <s v="ISTJ"/>
    <x v="1"/>
    <x v="0"/>
    <s v="Dimensional Phase Shifting"/>
    <n v="18"/>
    <n v="29"/>
    <n v="20"/>
    <n v="66"/>
    <s v="0.2907 %"/>
    <n v="7"/>
    <n v="0.69079999999999997"/>
    <n v="37.623899999999999"/>
    <x v="2"/>
    <n v="141.85149999999999"/>
    <x v="2"/>
    <x v="1"/>
  </r>
  <r>
    <s v="Orion Kim"/>
    <d v="2003-12-07T00:00:00"/>
    <n v="21"/>
    <n v="185"/>
    <s v="Tinggi"/>
    <s v="INTP"/>
    <x v="0"/>
    <x v="1"/>
    <s v="Archive of Blades / Guild Archivist"/>
    <n v="89"/>
    <n v="74"/>
    <n v="30"/>
    <n v="60"/>
    <s v="0.2151 %"/>
    <n v="32"/>
    <n v="0.62570000000000003"/>
    <n v="90.403400000000005"/>
    <x v="0"/>
    <n v="286.44080000000002"/>
    <x v="0"/>
    <x v="1"/>
  </r>
  <r>
    <s v="Mika Ironfield"/>
    <d v="2001-11-03T00:00:00"/>
    <n v="23"/>
    <n v="174"/>
    <s v="Normal"/>
    <s v="ISTJ"/>
    <x v="1"/>
    <x v="1"/>
    <s v="Elemental Mastery"/>
    <n v="131"/>
    <n v="65"/>
    <n v="8"/>
    <n v="61"/>
    <s v="0.9194 %"/>
    <n v="127"/>
    <n v="0.76549999999999996"/>
    <n v="124.857"/>
    <x v="2"/>
    <n v="393.73489999999998"/>
    <x v="2"/>
    <x v="0"/>
  </r>
  <r>
    <s v="Mei Quill"/>
    <d v="2001-05-11T00:00:00"/>
    <n v="23"/>
    <n v="161"/>
    <s v="Pendek"/>
    <s v="ISFJ"/>
    <x v="1"/>
    <x v="0"/>
    <s v="Runic Deconstruction / Scholar"/>
    <n v="100"/>
    <n v="24"/>
    <n v="22"/>
    <n v="9"/>
    <s v="0.8378 %"/>
    <n v="59"/>
    <n v="0.60809999999999997"/>
    <n v="43.2986"/>
    <x v="2"/>
    <n v="214.45590000000001"/>
    <x v="2"/>
    <x v="4"/>
  </r>
  <r>
    <s v="Celeste Nox"/>
    <d v="2001-04-29T00:00:00"/>
    <n v="23"/>
    <n v="178"/>
    <s v="Tinggi"/>
    <s v="ISTJ"/>
    <x v="1"/>
    <x v="1"/>
    <s v="Memory Palace / Librarian Assistant"/>
    <n v="89"/>
    <n v="65"/>
    <n v="45"/>
    <n v="54"/>
    <s v="0.9937 %"/>
    <n v="242"/>
    <n v="0.71419999999999995"/>
    <n v="130.46770000000001"/>
    <x v="3"/>
    <n v="497.8879"/>
    <x v="1"/>
    <x v="3"/>
  </r>
  <r>
    <s v="Hana Swiftwind"/>
    <d v="2002-04-03T00:00:00"/>
    <n v="22"/>
    <n v="167"/>
    <s v="Pendek"/>
    <s v="ISTJ"/>
    <x v="1"/>
    <x v="0"/>
    <s v="Absolute Command / General"/>
    <n v="102"/>
    <n v="89"/>
    <n v="10"/>
    <n v="43"/>
    <s v="0.2968 %"/>
    <n v="13"/>
    <n v="0.62739999999999996"/>
    <n v="115.84310000000001"/>
    <x v="0"/>
    <n v="257.35419999999999"/>
    <x v="2"/>
    <x v="1"/>
  </r>
  <r>
    <s v="Orion Declan"/>
    <d v="2002-07-24T00:00:00"/>
    <n v="22"/>
    <n v="178"/>
    <s v="Tinggi"/>
    <s v="ENTP"/>
    <x v="0"/>
    <x v="0"/>
    <s v="Triage Field / Field Medic"/>
    <n v="105"/>
    <n v="35"/>
    <n v="16"/>
    <n v="96"/>
    <s v="0.1835 %"/>
    <n v="135"/>
    <n v="0.44350000000000001"/>
    <n v="41.043799999999997"/>
    <x v="2"/>
    <n v="387.77699999999999"/>
    <x v="2"/>
    <x v="2"/>
  </r>
  <r>
    <s v="Naoki Rossi"/>
    <d v="2001-06-11T00:00:00"/>
    <n v="23"/>
    <n v="172"/>
    <s v="Normal"/>
    <s v="INTJ"/>
    <x v="0"/>
    <x v="1"/>
    <s v="Sensory Collapse Domain"/>
    <n v="87"/>
    <n v="71"/>
    <n v="6"/>
    <n v="24"/>
    <s v="0.1718 %"/>
    <n v="116"/>
    <n v="0.50480000000000003"/>
    <n v="82.904799999999994"/>
    <x v="0"/>
    <n v="304.02659999999997"/>
    <x v="1"/>
    <x v="2"/>
  </r>
  <r>
    <s v="Iris Kline"/>
    <d v="2003-01-29T00:00:00"/>
    <n v="21"/>
    <n v="165"/>
    <s v="Pendek"/>
    <s v="ESFP"/>
    <x v="2"/>
    <x v="1"/>
    <s v="Damage Reflection Lattice"/>
    <n v="101"/>
    <n v="70"/>
    <n v="69"/>
    <n v="8"/>
    <s v="0.5807 %"/>
    <n v="254"/>
    <n v="0.51019999999999999"/>
    <n v="111.40770000000001"/>
    <x v="3"/>
    <n v="503.53089999999997"/>
    <x v="1"/>
    <x v="2"/>
  </r>
  <r>
    <s v="Vale Pemberton"/>
    <d v="2001-04-25T00:00:00"/>
    <n v="23"/>
    <n v="184"/>
    <s v="Tinggi"/>
    <s v="ESFJ"/>
    <x v="1"/>
    <x v="0"/>
    <s v="Ruin Pulse Engine"/>
    <n v="121"/>
    <n v="41"/>
    <n v="8"/>
    <n v="91"/>
    <s v="0.7461 %"/>
    <n v="227"/>
    <n v="0.49569999999999997"/>
    <n v="71.101200000000006"/>
    <x v="3"/>
    <n v="489.16180000000003"/>
    <x v="1"/>
    <x v="5"/>
  </r>
  <r>
    <s v="Nova Coldwater"/>
    <d v="2002-05-21T00:00:00"/>
    <n v="22"/>
    <n v="164"/>
    <s v="Pendek"/>
    <s v="ESFP"/>
    <x v="2"/>
    <x v="1"/>
    <s v="Living Canvas / Cartographer"/>
    <n v="135"/>
    <n v="41"/>
    <n v="23"/>
    <n v="100"/>
    <s v="0.1818 %"/>
    <n v="204"/>
    <n v="0.42120000000000002"/>
    <n v="47.910200000000003"/>
    <x v="0"/>
    <n v="502.69299999999998"/>
    <x v="0"/>
    <x v="5"/>
  </r>
  <r>
    <s v="Vale Langley"/>
    <d v="2001-05-11T00:00:00"/>
    <n v="23"/>
    <n v="179"/>
    <s v="Tinggi"/>
    <s v="ESTP"/>
    <x v="2"/>
    <x v="1"/>
    <s v="Emotional Vectoring"/>
    <n v="90"/>
    <n v="47"/>
    <n v="26"/>
    <n v="56"/>
    <s v="0.7123 %"/>
    <n v="377"/>
    <n v="0.45150000000000001"/>
    <n v="81.060299999999998"/>
    <x v="2"/>
    <n v="596.98379999999997"/>
    <x v="2"/>
    <x v="2"/>
  </r>
  <r>
    <s v="Airi Mirren"/>
    <d v="2003-07-19T00:00:00"/>
    <n v="21"/>
    <n v="165"/>
    <s v="Pendek"/>
    <s v="ISTJ"/>
    <x v="1"/>
    <x v="0"/>
    <s v="Soulfire Manifestation"/>
    <n v="146"/>
    <n v="76"/>
    <n v="51"/>
    <n v="12"/>
    <s v="0.8575 %"/>
    <n v="250"/>
    <n v="0.62839999999999996"/>
    <n v="141.96870000000001"/>
    <x v="1"/>
    <n v="537.0059"/>
    <x v="0"/>
    <x v="2"/>
  </r>
  <r>
    <s v="Ansel Lopez"/>
    <d v="2002-10-26T00:00:00"/>
    <n v="22"/>
    <n v="179"/>
    <s v="Tinggi"/>
    <s v="ESTP"/>
    <x v="2"/>
    <x v="1"/>
    <s v="Gravity Rend"/>
    <n v="18"/>
    <n v="37"/>
    <n v="99"/>
    <n v="81"/>
    <s v="0.3168 %"/>
    <n v="97"/>
    <n v="0.65529999999999999"/>
    <n v="48.642600000000002"/>
    <x v="0"/>
    <n v="331.5421"/>
    <x v="0"/>
    <x v="5"/>
  </r>
  <r>
    <s v="Taro Muller"/>
    <d v="2003-09-01T00:00:00"/>
    <n v="21"/>
    <n v="164"/>
    <s v="Pendek"/>
    <s v="ENFP"/>
    <x v="3"/>
    <x v="0"/>
    <s v="Soulfire Manifestation"/>
    <n v="80"/>
    <n v="61"/>
    <n v="96"/>
    <n v="93"/>
    <s v="0.7209 %"/>
    <n v="302"/>
    <n v="0.7208"/>
    <n v="105.0609"/>
    <x v="3"/>
    <n v="633.89170000000001"/>
    <x v="2"/>
    <x v="5"/>
  </r>
  <r>
    <s v="Hiroshi Declan"/>
    <d v="2002-05-23T00:00:00"/>
    <n v="22"/>
    <n v="163"/>
    <s v="Pendek"/>
    <s v="ENFJ"/>
    <x v="3"/>
    <x v="0"/>
    <s v="Warbrand Arsenal"/>
    <n v="51"/>
    <n v="59"/>
    <n v="24"/>
    <n v="23"/>
    <s v="0.668 %"/>
    <n v="29"/>
    <n v="0.503"/>
    <n v="98.812299999999993"/>
    <x v="0"/>
    <n v="187.691"/>
    <x v="1"/>
    <x v="0"/>
  </r>
  <r>
    <s v="Sakura Holloway"/>
    <d v="2001-09-28T00:00:00"/>
    <n v="23"/>
    <n v="166"/>
    <s v="Pendek"/>
    <s v="ESFJ"/>
    <x v="1"/>
    <x v="1"/>
    <s v="Dominion Mark"/>
    <n v="118"/>
    <n v="81"/>
    <n v="20"/>
    <n v="11"/>
    <s v="0.4812 %"/>
    <n v="173"/>
    <n v="0.61019999999999996"/>
    <n v="119.8883"/>
    <x v="0"/>
    <n v="403.38139999999999"/>
    <x v="2"/>
    <x v="5"/>
  </r>
  <r>
    <s v="Rin Weston"/>
    <d v="2002-11-26T00:00:00"/>
    <n v="22"/>
    <n v="183"/>
    <s v="Tinggi"/>
    <s v="ISTJ"/>
    <x v="1"/>
    <x v="0"/>
    <s v="Dominion Mark"/>
    <n v="30"/>
    <n v="54"/>
    <n v="15"/>
    <n v="19"/>
    <s v="0.887 %"/>
    <n v="186"/>
    <n v="0.43390000000000001"/>
    <n v="102.06780000000001"/>
    <x v="0"/>
    <n v="304.60090000000002"/>
    <x v="0"/>
    <x v="5"/>
  </r>
  <r>
    <s v="Cael Blackwood"/>
    <d v="2003-04-13T00:00:00"/>
    <n v="21"/>
    <n v="165"/>
    <s v="Pendek"/>
    <s v="INTP"/>
    <x v="0"/>
    <x v="1"/>
    <s v="Verdant Wrath / Forest Herbalist"/>
    <n v="33"/>
    <n v="41"/>
    <n v="7"/>
    <n v="39"/>
    <s v="0.3387 %"/>
    <n v="394"/>
    <n v="0.75280000000000002"/>
    <n v="54.485100000000003"/>
    <x v="3"/>
    <n v="514.10149999999999"/>
    <x v="1"/>
    <x v="3"/>
  </r>
  <r>
    <s v="Zara Kobayashi"/>
    <d v="2002-03-22T00:00:00"/>
    <n v="22"/>
    <n v="169"/>
    <s v="Normal"/>
    <s v="ENFP"/>
    <x v="3"/>
    <x v="0"/>
    <s v="Guillotine Line"/>
    <n v="112"/>
    <n v="7"/>
    <n v="59"/>
    <n v="51"/>
    <s v="0.2417 %"/>
    <n v="341"/>
    <n v="0.83240000000000003"/>
    <n v="8.2697000000000003"/>
    <x v="0"/>
    <n v="571.03409999999997"/>
    <x v="0"/>
    <x v="0"/>
  </r>
  <r>
    <s v="Sage Blackwood"/>
    <d v="2001-09-03T00:00:00"/>
    <n v="23"/>
    <n v="172"/>
    <s v="Normal"/>
    <s v="ENTJ"/>
    <x v="0"/>
    <x v="0"/>
    <s v="Ruin Pulse Engine"/>
    <n v="93"/>
    <n v="42"/>
    <n v="59"/>
    <n v="53"/>
    <s v="0.2838 %"/>
    <n v="374"/>
    <n v="0.72230000000000005"/>
    <n v="54.561500000000002"/>
    <x v="1"/>
    <n v="622.28610000000003"/>
    <x v="1"/>
    <x v="3"/>
  </r>
  <r>
    <s v="Lux Aurelius"/>
    <d v="2002-10-10T00:00:00"/>
    <n v="22"/>
    <n v="174"/>
    <s v="Normal"/>
    <s v="ESTJ"/>
    <x v="1"/>
    <x v="0"/>
    <s v="Fracture Surge"/>
    <n v="69"/>
    <n v="100"/>
    <n v="100"/>
    <n v="8"/>
    <s v="0.3387 %"/>
    <n v="86"/>
    <n v="0.82"/>
    <n v="133.66919999999999"/>
    <x v="0"/>
    <n v="364.19869999999997"/>
    <x v="0"/>
    <x v="2"/>
  </r>
  <r>
    <s v="Marcus Farell"/>
    <d v="2002-09-12T00:00:00"/>
    <n v="22"/>
    <n v="177"/>
    <s v="Tinggi"/>
    <s v="ISFP"/>
    <x v="2"/>
    <x v="0"/>
    <s v="Covenant Bond / Healer &amp; Diplomat"/>
    <n v="140"/>
    <n v="11"/>
    <n v="88"/>
    <n v="27"/>
    <s v="0.7682 %"/>
    <n v="356"/>
    <n v="0.47"/>
    <n v="19.9099"/>
    <x v="2"/>
    <n v="623.43820000000005"/>
    <x v="2"/>
    <x v="1"/>
  </r>
  <r>
    <s v="Asher Coldwater"/>
    <d v="2003-09-28T00:00:00"/>
    <n v="21"/>
    <n v="176"/>
    <s v="Tinggi"/>
    <s v="ISFJ"/>
    <x v="1"/>
    <x v="1"/>
    <s v="Guillotine Line"/>
    <n v="15"/>
    <n v="43"/>
    <n v="28"/>
    <n v="1"/>
    <s v="0.6734 %"/>
    <n v="309"/>
    <n v="0.51790000000000003"/>
    <n v="71.839100000000002"/>
    <x v="3"/>
    <n v="397.29129999999998"/>
    <x v="2"/>
    <x v="5"/>
  </r>
  <r>
    <s v="Aldric Masaki"/>
    <d v="2001-06-04T00:00:00"/>
    <n v="23"/>
    <n v="163"/>
    <s v="Pendek"/>
    <s v="ENTP"/>
    <x v="0"/>
    <x v="0"/>
    <s v="Ruin Pulse Engine"/>
    <n v="125"/>
    <n v="59"/>
    <n v="16"/>
    <n v="14"/>
    <s v="0.9091 %"/>
    <n v="124"/>
    <n v="0.75829999999999997"/>
    <n v="112.0069"/>
    <x v="0"/>
    <n v="338.9674"/>
    <x v="1"/>
    <x v="1"/>
  </r>
  <r>
    <s v="Lux Tanaka"/>
    <d v="2003-04-13T00:00:00"/>
    <n v="21"/>
    <n v="171"/>
    <s v="Normal"/>
    <s v="ESFJ"/>
    <x v="1"/>
    <x v="0"/>
    <s v="Dominion Mark"/>
    <n v="130"/>
    <n v="98"/>
    <n v="81"/>
    <n v="88"/>
    <s v="0.7629 %"/>
    <n v="11"/>
    <n v="0.54949999999999999"/>
    <n v="172.12960000000001"/>
    <x v="3"/>
    <n v="409.20240000000001"/>
    <x v="2"/>
    <x v="6"/>
  </r>
  <r>
    <s v="Ren Sato"/>
    <d v="2001-08-10T00:00:00"/>
    <n v="23"/>
    <n v="185"/>
    <s v="Tinggi"/>
    <s v="ESFJ"/>
    <x v="1"/>
    <x v="1"/>
    <s v="Ruin Pulse Engine"/>
    <n v="129"/>
    <n v="23"/>
    <n v="82"/>
    <n v="47"/>
    <s v="0.8158 %"/>
    <n v="123"/>
    <n v="0.50239999999999996"/>
    <n v="41.799700000000001"/>
    <x v="0"/>
    <n v="404.44819999999999"/>
    <x v="2"/>
    <x v="1"/>
  </r>
  <r>
    <s v="Owen Swiftwind"/>
    <d v="2002-07-26T00:00:00"/>
    <n v="22"/>
    <n v="162"/>
    <s v="Pendek"/>
    <s v="INFP"/>
    <x v="3"/>
    <x v="1"/>
    <s v="Dimensional Phase Shifting"/>
    <n v="102"/>
    <n v="85"/>
    <n v="34"/>
    <n v="4"/>
    <s v="0.3351 %"/>
    <n v="351"/>
    <n v="0.6613"/>
    <n v="112.84269999999999"/>
    <x v="2"/>
    <n v="576.21640000000002"/>
    <x v="0"/>
    <x v="0"/>
  </r>
  <r>
    <s v="Nolan Hargrove"/>
    <d v="2003-11-14T00:00:00"/>
    <n v="21"/>
    <n v="173"/>
    <s v="Normal"/>
    <s v="ENTP"/>
    <x v="0"/>
    <x v="0"/>
    <s v="Emotional Vectoring"/>
    <n v="135"/>
    <n v="20"/>
    <n v="5"/>
    <n v="44"/>
    <s v="0.8259 %"/>
    <n v="208"/>
    <n v="0.70909999999999995"/>
    <n v="36.189300000000003"/>
    <x v="1"/>
    <n v="414.39499999999998"/>
    <x v="1"/>
    <x v="3"/>
  </r>
  <r>
    <s v="Lux Calloway"/>
    <d v="2002-10-05T00:00:00"/>
    <n v="22"/>
    <n v="179"/>
    <s v="Tinggi"/>
    <s v="ENTJ"/>
    <x v="0"/>
    <x v="0"/>
    <s v="Covenant Bond / Healer &amp; Diplomat"/>
    <n v="77"/>
    <n v="67"/>
    <n v="33"/>
    <n v="70"/>
    <s v="0.2727 %"/>
    <n v="222"/>
    <n v="0.69920000000000004"/>
    <n v="85.296400000000006"/>
    <x v="3"/>
    <n v="470.07190000000003"/>
    <x v="2"/>
    <x v="5"/>
  </r>
  <r>
    <s v="Isadora Aurelius"/>
    <d v="2001-01-01T00:00:00"/>
    <n v="24"/>
    <n v="172"/>
    <s v="Normal"/>
    <s v="ESTP"/>
    <x v="2"/>
    <x v="1"/>
    <s v="Runic Deconstruction / Scholar"/>
    <n v="32"/>
    <n v="79"/>
    <n v="61"/>
    <n v="33"/>
    <s v="0.7081 %"/>
    <n v="177"/>
    <n v="0.63"/>
    <n v="134.5812"/>
    <x v="1"/>
    <n v="383.67809999999997"/>
    <x v="2"/>
    <x v="0"/>
  </r>
  <r>
    <s v="Shaela Calloway"/>
    <d v="2002-04-27T00:00:00"/>
    <n v="22"/>
    <n v="162"/>
    <s v="Pendek"/>
    <s v="ISFP"/>
    <x v="2"/>
    <x v="1"/>
    <s v="Heartstrike Overload"/>
    <n v="121"/>
    <n v="16"/>
    <n v="6"/>
    <n v="98"/>
    <s v="0.7916 %"/>
    <n v="245"/>
    <n v="0.60489999999999999"/>
    <n v="27.931000000000001"/>
    <x v="1"/>
    <n v="487.05650000000003"/>
    <x v="2"/>
    <x v="5"/>
  </r>
  <r>
    <s v="Mirel Weston"/>
    <d v="2001-10-30T00:00:00"/>
    <n v="23"/>
    <n v="167"/>
    <s v="Pendek"/>
    <s v="INFP"/>
    <x v="3"/>
    <x v="0"/>
    <s v="Absolute Command / General"/>
    <n v="117"/>
    <n v="23"/>
    <n v="81"/>
    <n v="70"/>
    <s v="0.6017 %"/>
    <n v="186"/>
    <n v="0.81289999999999996"/>
    <n v="36.310499999999998"/>
    <x v="0"/>
    <n v="477.93459999999999"/>
    <x v="1"/>
    <x v="1"/>
  </r>
  <r>
    <s v="Lux Hargrove"/>
    <d v="2003-06-26T00:00:00"/>
    <n v="21"/>
    <n v="184"/>
    <s v="Tinggi"/>
    <s v="ESFP"/>
    <x v="2"/>
    <x v="1"/>
    <s v="Transmutation Aura / Alchemist"/>
    <n v="135"/>
    <n v="75"/>
    <n v="48"/>
    <n v="27"/>
    <s v="0.6739 %"/>
    <n v="100"/>
    <n v="0.74460000000000004"/>
    <n v="124.9064"/>
    <x v="3"/>
    <n v="385.01850000000002"/>
    <x v="2"/>
    <x v="1"/>
  </r>
  <r>
    <s v="Hiroshi Sol"/>
    <d v="2002-08-09T00:00:00"/>
    <n v="22"/>
    <n v="182"/>
    <s v="Tinggi"/>
    <s v="ISTP"/>
    <x v="2"/>
    <x v="0"/>
    <s v="Primal Sovereign / Engineer"/>
    <n v="51"/>
    <n v="89"/>
    <n v="9"/>
    <n v="16"/>
    <s v="0.2375 %"/>
    <n v="154"/>
    <n v="0.49630000000000002"/>
    <n v="110.64490000000001"/>
    <x v="3"/>
    <n v="319.92380000000003"/>
    <x v="1"/>
    <x v="2"/>
  </r>
  <r>
    <s v="Shiho Nox"/>
    <d v="2003-05-11T00:00:00"/>
    <n v="21"/>
    <n v="166"/>
    <s v="Pendek"/>
    <s v="ESFP"/>
    <x v="2"/>
    <x v="1"/>
    <s v="Gravity Rend"/>
    <n v="129"/>
    <n v="77"/>
    <n v="39"/>
    <n v="2"/>
    <s v="0.7781 %"/>
    <n v="141"/>
    <n v="0.78410000000000002"/>
    <n v="136.5403"/>
    <x v="3"/>
    <n v="388.59219999999999"/>
    <x v="2"/>
    <x v="5"/>
  </r>
  <r>
    <s v="Torin Yoshida"/>
    <d v="2003-06-12T00:00:00"/>
    <n v="21"/>
    <n v="168"/>
    <s v="Normal"/>
    <s v="ESFJ"/>
    <x v="1"/>
    <x v="1"/>
    <s v="Gravity Rend"/>
    <n v="59"/>
    <n v="67"/>
    <n v="80"/>
    <n v="73"/>
    <s v="0.9276 %"/>
    <n v="336"/>
    <n v="0.84130000000000005"/>
    <n v="129.57329999999999"/>
    <x v="0"/>
    <n v="616.99890000000005"/>
    <x v="1"/>
    <x v="4"/>
  </r>
  <r>
    <s v="Elara Langley"/>
    <d v="2003-08-04T00:00:00"/>
    <n v="21"/>
    <n v="164"/>
    <s v="Pendek"/>
    <s v="INTP"/>
    <x v="0"/>
    <x v="0"/>
    <s v="Guillotine Line"/>
    <n v="40"/>
    <n v="33"/>
    <n v="46"/>
    <n v="34"/>
    <s v="0.3504 %"/>
    <n v="352"/>
    <n v="0.82799999999999996"/>
    <n v="45.116900000000001"/>
    <x v="3"/>
    <n v="506.75839999999999"/>
    <x v="1"/>
    <x v="6"/>
  </r>
  <r>
    <s v="Caius Wiley"/>
    <d v="2001-04-17T00:00:00"/>
    <n v="23"/>
    <n v="183"/>
    <s v="Tinggi"/>
    <s v="ENTJ"/>
    <x v="0"/>
    <x v="1"/>
    <s v="Heartstrike Overload"/>
    <n v="98"/>
    <n v="78"/>
    <n v="66"/>
    <n v="76"/>
    <s v="0.2794 %"/>
    <n v="380"/>
    <n v="0.40920000000000001"/>
    <n v="100.2282"/>
    <x v="1"/>
    <n v="697.98860000000002"/>
    <x v="0"/>
    <x v="1"/>
  </r>
  <r>
    <s v="Lux Kim"/>
    <d v="2002-03-23T00:00:00"/>
    <n v="22"/>
    <n v="178"/>
    <s v="Tinggi"/>
    <s v="ENFP"/>
    <x v="3"/>
    <x v="1"/>
    <s v="Soulfire Manifestation"/>
    <n v="115"/>
    <n v="18"/>
    <n v="61"/>
    <n v="75"/>
    <s v="0.8374 %"/>
    <n v="47"/>
    <n v="0.83409999999999995"/>
    <n v="32.3566"/>
    <x v="0"/>
    <n v="317.41149999999999"/>
    <x v="2"/>
    <x v="0"/>
  </r>
  <r>
    <s v="Rowan Sinclair"/>
    <d v="2002-02-11T00:00:00"/>
    <n v="22"/>
    <n v="172"/>
    <s v="Normal"/>
    <s v="ISFP"/>
    <x v="2"/>
    <x v="0"/>
    <s v="Dominion Mark"/>
    <n v="16"/>
    <n v="77"/>
    <n v="85"/>
    <n v="60"/>
    <s v="0.9855 %"/>
    <n v="49"/>
    <n v="0.75219999999999998"/>
    <n v="153.8365"/>
    <x v="2"/>
    <n v="290.3177"/>
    <x v="2"/>
    <x v="3"/>
  </r>
  <r>
    <s v="Taro Flint"/>
    <d v="2002-11-30T00:00:00"/>
    <n v="22"/>
    <n v="180"/>
    <s v="Tinggi"/>
    <s v="ENFJ"/>
    <x v="3"/>
    <x v="0"/>
    <s v="Resonant Aria / Performer"/>
    <n v="124"/>
    <n v="11"/>
    <n v="96"/>
    <n v="64"/>
    <s v="0.7366 %"/>
    <n v="332"/>
    <n v="0.59599999999999997"/>
    <n v="19.8841"/>
    <x v="2"/>
    <n v="628.00260000000003"/>
    <x v="2"/>
    <x v="6"/>
  </r>
  <r>
    <s v="Tomoe Mirren"/>
    <d v="2002-07-04T00:00:00"/>
    <n v="22"/>
    <n v="183"/>
    <s v="Tinggi"/>
    <s v="ENFP"/>
    <x v="3"/>
    <x v="1"/>
    <s v="Dominion Mark"/>
    <n v="125"/>
    <n v="10"/>
    <n v="88"/>
    <n v="25"/>
    <s v="0.6493 %"/>
    <n v="186"/>
    <n v="0.57050000000000001"/>
    <n v="15.8003"/>
    <x v="0"/>
    <n v="435.41980000000001"/>
    <x v="1"/>
    <x v="6"/>
  </r>
  <r>
    <s v="Seraphina Holloway"/>
    <d v="2002-12-28T00:00:00"/>
    <n v="22"/>
    <n v="166"/>
    <s v="Pendek"/>
    <s v="ISFJ"/>
    <x v="1"/>
    <x v="1"/>
    <s v="Adaptive Mutation"/>
    <n v="43"/>
    <n v="60"/>
    <n v="88"/>
    <n v="56"/>
    <s v="0.272 %"/>
    <n v="207"/>
    <n v="0.50860000000000005"/>
    <n v="76.345399999999998"/>
    <x v="3"/>
    <n v="454.75060000000002"/>
    <x v="1"/>
    <x v="4"/>
  </r>
  <r>
    <s v="Aster Velmont"/>
    <d v="2003-10-03T00:00:00"/>
    <n v="21"/>
    <n v="180"/>
    <s v="Tinggi"/>
    <s v="ESFJ"/>
    <x v="1"/>
    <x v="1"/>
    <s v="Gravity Rend"/>
    <n v="15"/>
    <n v="23"/>
    <n v="69"/>
    <n v="31"/>
    <s v="0.5259 %"/>
    <n v="233"/>
    <n v="0.63890000000000002"/>
    <n v="35.004100000000001"/>
    <x v="3"/>
    <n v="372.8048"/>
    <x v="2"/>
    <x v="4"/>
  </r>
  <r>
    <s v="Isla Ashford"/>
    <d v="2002-09-20T00:00:00"/>
    <n v="22"/>
    <n v="168"/>
    <s v="Normal"/>
    <s v="ISFJ"/>
    <x v="1"/>
    <x v="1"/>
    <s v="Heartstrike Overload"/>
    <n v="19"/>
    <n v="20"/>
    <n v="13"/>
    <n v="54"/>
    <s v="0.2666 %"/>
    <n v="305"/>
    <n v="0.49740000000000001"/>
    <n v="25.4207"/>
    <x v="3"/>
    <n v="411.81400000000002"/>
    <x v="1"/>
    <x v="5"/>
  </r>
  <r>
    <s v="Seren Kobayashi"/>
    <d v="2002-04-11T00:00:00"/>
    <n v="22"/>
    <n v="169"/>
    <s v="Normal"/>
    <s v="ISFP"/>
    <x v="2"/>
    <x v="1"/>
    <s v="Elemental Mastery"/>
    <n v="46"/>
    <n v="71"/>
    <n v="14"/>
    <n v="6"/>
    <s v="0.3629 %"/>
    <n v="23"/>
    <n v="0.82479999999999998"/>
    <n v="96.888599999999997"/>
    <x v="3"/>
    <n v="160.11770000000001"/>
    <x v="0"/>
    <x v="6"/>
  </r>
  <r>
    <s v="Rowan Emberveil"/>
    <d v="2003-09-08T00:00:00"/>
    <n v="21"/>
    <n v="175"/>
    <s v="Tinggi"/>
    <s v="INTP"/>
    <x v="0"/>
    <x v="1"/>
    <s v="Adaptive Mutation"/>
    <n v="28"/>
    <n v="6"/>
    <n v="94"/>
    <n v="48"/>
    <s v="0.4606 %"/>
    <n v="329"/>
    <n v="0.43330000000000002"/>
    <n v="8.8950999999999993"/>
    <x v="0"/>
    <n v="506.94389999999999"/>
    <x v="0"/>
    <x v="1"/>
  </r>
  <r>
    <s v="Elara Stormbright"/>
    <d v="2003-05-03T00:00:00"/>
    <n v="21"/>
    <n v="163"/>
    <s v="Pendek"/>
    <s v="ISFP"/>
    <x v="2"/>
    <x v="0"/>
    <s v="Emotional Vectoring"/>
    <n v="68"/>
    <n v="45"/>
    <n v="86"/>
    <n v="99"/>
    <s v="0.6589 %"/>
    <n v="123"/>
    <n v="0.67430000000000001"/>
    <n v="74.368499999999997"/>
    <x v="0"/>
    <n v="422.31319999999999"/>
    <x v="0"/>
    <x v="5"/>
  </r>
  <r>
    <s v="Yuna Vargas"/>
    <d v="2002-05-07T00:00:00"/>
    <n v="22"/>
    <n v="165"/>
    <s v="Pendek"/>
    <s v="INFJ"/>
    <x v="3"/>
    <x v="0"/>
    <s v="Warbrand Arsenal"/>
    <n v="24"/>
    <n v="41"/>
    <n v="69"/>
    <n v="48"/>
    <s v="0.3593 %"/>
    <n v="14"/>
    <n v="0.5272"/>
    <n v="56.3294"/>
    <x v="3"/>
    <n v="197.4365"/>
    <x v="0"/>
    <x v="5"/>
  </r>
  <r>
    <s v="Yuna Watanabe"/>
    <d v="2001-08-24T00:00:00"/>
    <n v="23"/>
    <n v="173"/>
    <s v="Normal"/>
    <s v="ESFJ"/>
    <x v="1"/>
    <x v="0"/>
    <s v="Zone of Order / City Watch Captain"/>
    <n v="136"/>
    <n v="83"/>
    <n v="8"/>
    <n v="17"/>
    <s v="0.7741 %"/>
    <n v="124"/>
    <n v="0.65610000000000002"/>
    <n v="146.96639999999999"/>
    <x v="2"/>
    <n v="369.86020000000002"/>
    <x v="1"/>
    <x v="0"/>
  </r>
  <r>
    <s v="Aster Aurelius"/>
    <d v="2003-04-05T00:00:00"/>
    <n v="21"/>
    <n v="182"/>
    <s v="Tinggi"/>
    <s v="ESFP"/>
    <x v="2"/>
    <x v="1"/>
    <s v="Memory Palace / Librarian Assistant"/>
    <n v="66"/>
    <n v="60"/>
    <n v="89"/>
    <n v="74"/>
    <s v="0.1233 %"/>
    <n v="242"/>
    <n v="0.503"/>
    <n v="67.633899999999997"/>
    <x v="0"/>
    <n v="531.71630000000005"/>
    <x v="2"/>
    <x v="6"/>
  </r>
  <r>
    <s v="Rowan Dunmore"/>
    <d v="2001-12-25T00:00:00"/>
    <n v="23"/>
    <n v="184"/>
    <s v="Tinggi"/>
    <s v="ISTP"/>
    <x v="2"/>
    <x v="1"/>
    <s v="Transmutation Aura / Alchemist"/>
    <n v="137"/>
    <n v="19"/>
    <n v="59"/>
    <n v="64"/>
    <s v="0.1821 %"/>
    <n v="197"/>
    <n v="0.55659999999999998"/>
    <n v="22.424399999999999"/>
    <x v="2"/>
    <n v="477.18869999999998"/>
    <x v="1"/>
    <x v="5"/>
  </r>
  <r>
    <s v="Marcus Calloway"/>
    <d v="2003-10-12T00:00:00"/>
    <n v="21"/>
    <n v="173"/>
    <s v="Normal"/>
    <s v="ISTJ"/>
    <x v="1"/>
    <x v="1"/>
    <s v="Dimensional Phase Shifting"/>
    <n v="122"/>
    <n v="55"/>
    <n v="46"/>
    <n v="32"/>
    <s v="0.9732 %"/>
    <n v="130"/>
    <n v="0.58189999999999997"/>
    <n v="109.4337"/>
    <x v="0"/>
    <n v="387.39510000000001"/>
    <x v="2"/>
    <x v="6"/>
  </r>
  <r>
    <s v="Kaito Ashvale"/>
    <d v="2003-11-28T00:00:00"/>
    <n v="21"/>
    <n v="166"/>
    <s v="Pendek"/>
    <s v="ESFP"/>
    <x v="2"/>
    <x v="1"/>
    <s v="Memory Palace / Librarian Assistant"/>
    <n v="94"/>
    <n v="76"/>
    <n v="21"/>
    <n v="55"/>
    <s v="0.4943 %"/>
    <n v="371"/>
    <n v="0.71419999999999995"/>
    <n v="113.9254"/>
    <x v="0"/>
    <n v="619.29849999999999"/>
    <x v="0"/>
    <x v="5"/>
  </r>
  <r>
    <s v="Marcus Vance"/>
    <d v="2001-01-29T00:00:00"/>
    <n v="23"/>
    <n v="177"/>
    <s v="Tinggi"/>
    <s v="ESFJ"/>
    <x v="1"/>
    <x v="1"/>
    <s v="Probability Flux / Treasure Hunter"/>
    <n v="34"/>
    <n v="84"/>
    <n v="12"/>
    <n v="95"/>
    <s v="0.2386 %"/>
    <n v="259"/>
    <n v="0.81969999999999998"/>
    <n v="104.414"/>
    <x v="2"/>
    <n v="486.26830000000001"/>
    <x v="2"/>
    <x v="5"/>
  </r>
  <r>
    <s v="Shiho Crestwood"/>
    <d v="2002-05-15T00:00:00"/>
    <n v="22"/>
    <n v="175"/>
    <s v="Tinggi"/>
    <s v="ISTP"/>
    <x v="2"/>
    <x v="1"/>
    <s v="Zone of Order / City Watch Captain"/>
    <n v="58"/>
    <n v="92"/>
    <n v="51"/>
    <n v="88"/>
    <s v="0.3486 %"/>
    <n v="346"/>
    <n v="0.75549999999999995"/>
    <n v="124.4218"/>
    <x v="3"/>
    <n v="636.63409999999999"/>
    <x v="1"/>
    <x v="6"/>
  </r>
  <r>
    <s v="Aiko Emberveil"/>
    <d v="2002-09-04T00:00:00"/>
    <n v="22"/>
    <n v="183"/>
    <s v="Tinggi"/>
    <s v="ISTP"/>
    <x v="2"/>
    <x v="1"/>
    <s v="Zone of Order / City Watch Captain"/>
    <n v="68"/>
    <n v="49"/>
    <n v="34"/>
    <n v="77"/>
    <s v="0.9396 %"/>
    <n v="152"/>
    <n v="0.7913"/>
    <n v="94.943399999999997"/>
    <x v="1"/>
    <n v="380.16090000000003"/>
    <x v="2"/>
    <x v="3"/>
  </r>
  <r>
    <s v="Kaito Dunmore"/>
    <d v="2003-08-27T00:00:00"/>
    <n v="21"/>
    <n v="170"/>
    <s v="Normal"/>
    <s v="ESFJ"/>
    <x v="1"/>
    <x v="1"/>
    <s v="Emotional Vectoring"/>
    <n v="148"/>
    <n v="79"/>
    <n v="66"/>
    <n v="16"/>
    <s v="0.2136 %"/>
    <n v="386"/>
    <n v="0.83440000000000003"/>
    <n v="96.420500000000004"/>
    <x v="2"/>
    <n v="696.33799999999997"/>
    <x v="0"/>
    <x v="6"/>
  </r>
  <r>
    <s v="Seren Ashford"/>
    <d v="2001-10-23T00:00:00"/>
    <n v="23"/>
    <n v="160"/>
    <s v="Pendek"/>
    <s v="ESFP"/>
    <x v="2"/>
    <x v="1"/>
    <s v="Zone of Order / City Watch Captain"/>
    <n v="12"/>
    <n v="78"/>
    <n v="27"/>
    <n v="63"/>
    <s v="0.1723 %"/>
    <n v="160"/>
    <n v="0.54790000000000005"/>
    <n v="91.873199999999997"/>
    <x v="3"/>
    <n v="340.78019999999998"/>
    <x v="1"/>
    <x v="5"/>
  </r>
  <r>
    <s v="Ansel Aikawa"/>
    <d v="2001-05-21T00:00:00"/>
    <n v="23"/>
    <n v="179"/>
    <s v="Tinggi"/>
    <s v="ENFP"/>
    <x v="3"/>
    <x v="0"/>
    <s v="Runic Deconstruction / Scholar"/>
    <n v="150"/>
    <n v="75"/>
    <n v="44"/>
    <n v="11"/>
    <s v="0.8853 %"/>
    <n v="254"/>
    <n v="0.59970000000000001"/>
    <n v="141.2655"/>
    <x v="2"/>
    <n v="534.61500000000001"/>
    <x v="0"/>
    <x v="0"/>
  </r>
  <r>
    <s v="Rin Moonshade"/>
    <d v="2003-02-07T00:00:00"/>
    <n v="21"/>
    <n v="171"/>
    <s v="Normal"/>
    <s v="ISFJ"/>
    <x v="1"/>
    <x v="1"/>
    <s v="Zone of Order / City Watch Captain"/>
    <n v="37"/>
    <n v="42"/>
    <n v="68"/>
    <n v="19"/>
    <s v="0.6485 %"/>
    <n v="71"/>
    <n v="0.57210000000000005"/>
    <n v="68.890799999999999"/>
    <x v="1"/>
    <n v="238.5806"/>
    <x v="1"/>
    <x v="4"/>
  </r>
  <r>
    <s v="Piper Strider"/>
    <d v="2002-06-05T00:00:00"/>
    <n v="22"/>
    <n v="180"/>
    <s v="Tinggi"/>
    <s v="ESTJ"/>
    <x v="1"/>
    <x v="1"/>
    <s v="Soulfire Manifestation"/>
    <n v="100"/>
    <n v="90"/>
    <n v="47"/>
    <n v="29"/>
    <s v="0.1665 %"/>
    <n v="219"/>
    <n v="0.82540000000000002"/>
    <n v="104.97329999999999"/>
    <x v="2"/>
    <n v="486.97190000000001"/>
    <x v="2"/>
    <x v="3"/>
  </r>
  <r>
    <s v="Naoki Aurelius"/>
    <d v="2003-02-27T00:00:00"/>
    <n v="21"/>
    <n v="166"/>
    <s v="Pendek"/>
    <s v="ISTP"/>
    <x v="2"/>
    <x v="1"/>
    <s v="Absolute Command / General"/>
    <n v="36"/>
    <n v="58"/>
    <n v="58"/>
    <n v="99"/>
    <s v="0.9802 %"/>
    <n v="119"/>
    <n v="0.69620000000000004"/>
    <n v="114.09910000000001"/>
    <x v="2"/>
    <n v="371.62639999999999"/>
    <x v="0"/>
    <x v="4"/>
  </r>
  <r>
    <s v="Theron Bramble"/>
    <d v="2002-04-17T00:00:00"/>
    <n v="22"/>
    <n v="169"/>
    <s v="Normal"/>
    <s v="INTJ"/>
    <x v="0"/>
    <x v="1"/>
    <s v="Heartstrike Overload"/>
    <n v="96"/>
    <n v="62"/>
    <n v="68"/>
    <n v="72"/>
    <s v="0.8545 %"/>
    <n v="264"/>
    <n v="0.68269999999999997"/>
    <n v="115.8506"/>
    <x v="0"/>
    <n v="564.34720000000004"/>
    <x v="1"/>
    <x v="6"/>
  </r>
  <r>
    <s v="Yuki Kline"/>
    <d v="2001-09-27T00:00:00"/>
    <n v="23"/>
    <n v="183"/>
    <s v="Tinggi"/>
    <s v="ESFP"/>
    <x v="2"/>
    <x v="0"/>
    <s v="Runic Deconstruction / Scholar"/>
    <n v="50"/>
    <n v="42"/>
    <n v="21"/>
    <n v="79"/>
    <s v="0.4293 %"/>
    <n v="351"/>
    <n v="0.62580000000000002"/>
    <n v="60.2164"/>
    <x v="2"/>
    <n v="543.31510000000003"/>
    <x v="0"/>
    <x v="2"/>
  </r>
  <r>
    <s v="Airi Fitzgerald"/>
    <d v="2001-08-24T00:00:00"/>
    <n v="23"/>
    <n v="185"/>
    <s v="Tinggi"/>
    <s v="ENFP"/>
    <x v="3"/>
    <x v="1"/>
    <s v="Warbrand Arsenal"/>
    <n v="22"/>
    <n v="97"/>
    <n v="86"/>
    <n v="73"/>
    <s v="0.9705 %"/>
    <n v="392"/>
    <n v="0.7621"/>
    <n v="190.50790000000001"/>
    <x v="2"/>
    <n v="671.23260000000005"/>
    <x v="0"/>
    <x v="6"/>
  </r>
  <r>
    <s v="Riku Coldwater"/>
    <d v="2001-09-11T00:00:00"/>
    <n v="23"/>
    <n v="177"/>
    <s v="Tinggi"/>
    <s v="INFP"/>
    <x v="3"/>
    <x v="1"/>
    <s v="Sensory Collapse Domain"/>
    <n v="101"/>
    <n v="68"/>
    <n v="59"/>
    <n v="82"/>
    <s v="0.1975 %"/>
    <n v="376"/>
    <n v="0.50519999999999998"/>
    <n v="80.903099999999995"/>
    <x v="0"/>
    <n v="686.98270000000002"/>
    <x v="2"/>
    <x v="4"/>
  </r>
  <r>
    <s v="Isadora Yoshida"/>
    <d v="2001-05-10T00:00:00"/>
    <n v="23"/>
    <n v="180"/>
    <s v="Tinggi"/>
    <s v="ISFJ"/>
    <x v="1"/>
    <x v="1"/>
    <s v="Covenant Bond / Healer &amp; Diplomat"/>
    <n v="98"/>
    <n v="13"/>
    <n v="5"/>
    <n v="5"/>
    <s v="0.2045 %"/>
    <n v="398"/>
    <n v="0.50570000000000004"/>
    <n v="15.1165"/>
    <x v="1"/>
    <n v="519.55020000000002"/>
    <x v="1"/>
    <x v="3"/>
  </r>
  <r>
    <s v="Lux Crowe"/>
    <d v="2001-11-13T00:00:00"/>
    <n v="23"/>
    <n v="178"/>
    <s v="Tinggi"/>
    <s v="ENFJ"/>
    <x v="3"/>
    <x v="1"/>
    <s v="Absolute Command / General"/>
    <n v="125"/>
    <n v="62"/>
    <n v="94"/>
    <n v="29"/>
    <s v="0.2955 %"/>
    <n v="276"/>
    <n v="0.60009999999999997"/>
    <n v="80.256200000000007"/>
    <x v="1"/>
    <n v="587.14559999999994"/>
    <x v="1"/>
    <x v="0"/>
  </r>
  <r>
    <s v="Ansel Whitmore"/>
    <d v="2003-03-27T00:00:00"/>
    <n v="21"/>
    <n v="161"/>
    <s v="Pendek"/>
    <s v="ENFJ"/>
    <x v="3"/>
    <x v="1"/>
    <s v="Essence Severance"/>
    <n v="145"/>
    <n v="95"/>
    <n v="83"/>
    <n v="10"/>
    <s v="0.6755 %"/>
    <n v="86"/>
    <n v="0.83699999999999997"/>
    <n v="159.08869999999999"/>
    <x v="0"/>
    <n v="420.02249999999998"/>
    <x v="1"/>
    <x v="1"/>
  </r>
  <r>
    <s v="Sylvie Ito"/>
    <d v="2002-03-01T00:00:00"/>
    <n v="22"/>
    <n v="162"/>
    <s v="Pendek"/>
    <s v="ESTJ"/>
    <x v="1"/>
    <x v="0"/>
    <s v="Heartstrike Overload"/>
    <n v="50"/>
    <n v="16"/>
    <n v="90"/>
    <n v="1"/>
    <s v="0.2302 %"/>
    <n v="344"/>
    <n v="0.45850000000000002"/>
    <n v="19.203399999999998"/>
    <x v="2"/>
    <n v="501.18869999999998"/>
    <x v="0"/>
    <x v="0"/>
  </r>
  <r>
    <s v="Dara Masaki"/>
    <d v="2002-05-03T00:00:00"/>
    <n v="22"/>
    <n v="171"/>
    <s v="Normal"/>
    <s v="INTP"/>
    <x v="0"/>
    <x v="1"/>
    <s v="Gravity Rend"/>
    <n v="27"/>
    <n v="6"/>
    <n v="74"/>
    <n v="53"/>
    <s v="0.5286 %"/>
    <n v="299"/>
    <n v="0.75009999999999999"/>
    <n v="9.4619999999999997"/>
    <x v="0"/>
    <n v="460.45870000000002"/>
    <x v="1"/>
    <x v="4"/>
  </r>
  <r>
    <s v="Isadora Dunmore"/>
    <d v="2003-12-04T00:00:00"/>
    <n v="21"/>
    <n v="183"/>
    <s v="Tinggi"/>
    <s v="ESFJ"/>
    <x v="1"/>
    <x v="1"/>
    <s v="Momentum Surge / Knight-Errant"/>
    <n v="97"/>
    <n v="4"/>
    <n v="100"/>
    <n v="85"/>
    <s v="0.1972 %"/>
    <n v="171"/>
    <n v="0.72060000000000002"/>
    <n v="4.8845999999999998"/>
    <x v="3"/>
    <n v="457.67779999999999"/>
    <x v="0"/>
    <x v="0"/>
  </r>
  <r>
    <s v="Theron Nakamura"/>
    <d v="2001-09-16T00:00:00"/>
    <n v="23"/>
    <n v="162"/>
    <s v="Pendek"/>
    <s v="ISFJ"/>
    <x v="1"/>
    <x v="1"/>
    <s v="Archive of Blades / Guild Archivist"/>
    <n v="58"/>
    <n v="60"/>
    <n v="30"/>
    <n v="51"/>
    <s v="0.8138 %"/>
    <n v="173"/>
    <n v="0.45150000000000001"/>
    <n v="109.0819"/>
    <x v="1"/>
    <n v="373.0453"/>
    <x v="1"/>
    <x v="3"/>
  </r>
  <r>
    <s v="Kaito Fitzgerald"/>
    <d v="2003-03-28T00:00:00"/>
    <n v="21"/>
    <n v="174"/>
    <s v="Normal"/>
    <s v="ESFJ"/>
    <x v="1"/>
    <x v="1"/>
    <s v="Absolute Command / General"/>
    <n v="48"/>
    <n v="32"/>
    <n v="26"/>
    <n v="95"/>
    <s v="0.5268 %"/>
    <n v="275"/>
    <n v="0.44109999999999999"/>
    <n v="48.765999999999998"/>
    <x v="0"/>
    <n v="477.15789999999998"/>
    <x v="0"/>
    <x v="3"/>
  </r>
  <r>
    <s v="Nora Muller"/>
    <d v="2001-05-03T00:00:00"/>
    <n v="23"/>
    <n v="177"/>
    <s v="Tinggi"/>
    <s v="ISTJ"/>
    <x v="1"/>
    <x v="1"/>
    <s v="Fate Weave / Royal Advisor"/>
    <n v="62"/>
    <n v="87"/>
    <n v="94"/>
    <n v="43"/>
    <s v="0.1463 %"/>
    <n v="366"/>
    <n v="0.52939999999999998"/>
    <n v="100.2898"/>
    <x v="2"/>
    <n v="653.83569999999997"/>
    <x v="1"/>
    <x v="0"/>
  </r>
  <r>
    <s v="Zara Crestwood"/>
    <d v="2001-08-10T00:00:00"/>
    <n v="23"/>
    <n v="167"/>
    <s v="Pendek"/>
    <s v="INFJ"/>
    <x v="3"/>
    <x v="1"/>
    <s v="Sensory Collapse Domain"/>
    <n v="18"/>
    <n v="29"/>
    <n v="23"/>
    <n v="43"/>
    <s v="0.7907 %"/>
    <n v="225"/>
    <n v="0.67979999999999996"/>
    <n v="51.178199999999997"/>
    <x v="0"/>
    <n v="339.87049999999999"/>
    <x v="2"/>
    <x v="5"/>
  </r>
  <r>
    <s v="Hana Yamamoto"/>
    <d v="2002-09-25T00:00:00"/>
    <n v="22"/>
    <n v="168"/>
    <s v="Normal"/>
    <s v="ISTP"/>
    <x v="2"/>
    <x v="1"/>
    <s v="Combat Escalation Law"/>
    <n v="2"/>
    <n v="87"/>
    <n v="57"/>
    <n v="41"/>
    <s v="0.6699 %"/>
    <n v="58"/>
    <n v="0.4138"/>
    <n v="145.48169999999999"/>
    <x v="1"/>
    <n v="245.47370000000001"/>
    <x v="1"/>
    <x v="3"/>
  </r>
  <r>
    <s v="Clara Sato"/>
    <d v="2002-10-01T00:00:00"/>
    <n v="22"/>
    <n v="171"/>
    <s v="Normal"/>
    <s v="ESFP"/>
    <x v="2"/>
    <x v="1"/>
    <s v="Probability Flux / Treasure Hunter"/>
    <n v="133"/>
    <n v="16"/>
    <n v="76"/>
    <n v="6"/>
    <s v="0.4988 %"/>
    <n v="34"/>
    <n v="0.59079999999999999"/>
    <n v="24.580300000000001"/>
    <x v="3"/>
    <n v="265.27960000000002"/>
    <x v="1"/>
    <x v="2"/>
  </r>
  <r>
    <s v="Shaela Kim"/>
    <d v="2003-05-31T00:00:00"/>
    <n v="21"/>
    <n v="171"/>
    <s v="Normal"/>
    <s v="INFJ"/>
    <x v="3"/>
    <x v="0"/>
    <s v="Runic Deconstruction / Scholar"/>
    <n v="102"/>
    <n v="60"/>
    <n v="53"/>
    <n v="32"/>
    <s v="0.986 %"/>
    <n v="89"/>
    <n v="0.42470000000000002"/>
    <n v="118.6039"/>
    <x v="1"/>
    <n v="336.8707"/>
    <x v="1"/>
    <x v="1"/>
  </r>
  <r>
    <s v="Haruto Moonshade"/>
    <d v="2001-09-03T00:00:00"/>
    <n v="23"/>
    <n v="170"/>
    <s v="Normal"/>
    <s v="ESTJ"/>
    <x v="1"/>
    <x v="0"/>
    <s v="Memory Palace / Librarian Assistant"/>
    <n v="112"/>
    <n v="18"/>
    <n v="39"/>
    <n v="71"/>
    <s v="0.85 %"/>
    <n v="201"/>
    <n v="0.76280000000000003"/>
    <n v="34.021500000000003"/>
    <x v="0"/>
    <n v="442.21280000000002"/>
    <x v="1"/>
    <x v="6"/>
  </r>
  <r>
    <s v="Fumiko Wiley"/>
    <d v="2001-06-09T00:00:00"/>
    <n v="23"/>
    <n v="174"/>
    <s v="Normal"/>
    <s v="INTJ"/>
    <x v="0"/>
    <x v="1"/>
    <s v="Living Canvas / Cartographer"/>
    <n v="86"/>
    <n v="71"/>
    <n v="42"/>
    <n v="12"/>
    <s v="0.3923 %"/>
    <n v="9"/>
    <n v="0.76060000000000005"/>
    <n v="99.1875"/>
    <x v="3"/>
    <n v="222.90289999999999"/>
    <x v="2"/>
    <x v="2"/>
  </r>
  <r>
    <s v="Fumiko Tanaka"/>
    <d v="2003-06-12T00:00:00"/>
    <n v="21"/>
    <n v="167"/>
    <s v="Pendek"/>
    <s v="ENTJ"/>
    <x v="0"/>
    <x v="1"/>
    <s v="Probability Flux / Treasure Hunter"/>
    <n v="60"/>
    <n v="32"/>
    <n v="35"/>
    <n v="34"/>
    <s v="0.5594 %"/>
    <n v="68"/>
    <n v="0.45129999999999998"/>
    <n v="49.464199999999998"/>
    <x v="1"/>
    <n v="229.36070000000001"/>
    <x v="1"/>
    <x v="2"/>
  </r>
  <r>
    <s v="Takeshi Tanaka"/>
    <d v="2002-06-09T00:00:00"/>
    <n v="22"/>
    <n v="164"/>
    <s v="Pendek"/>
    <s v="ESTJ"/>
    <x v="1"/>
    <x v="0"/>
    <s v="Elemental Mastery"/>
    <n v="91"/>
    <n v="76"/>
    <n v="66"/>
    <n v="19"/>
    <s v="0.5447 %"/>
    <n v="309"/>
    <n v="0.73950000000000005"/>
    <n v="117.7988"/>
    <x v="3"/>
    <n v="562.11419999999998"/>
    <x v="2"/>
    <x v="4"/>
  </r>
  <r>
    <s v="Zephyr Hargrove"/>
    <d v="2003-06-20T00:00:00"/>
    <n v="21"/>
    <n v="164"/>
    <s v="Pendek"/>
    <s v="ISFJ"/>
    <x v="1"/>
    <x v="0"/>
    <s v="Verdant Wrath / Forest Herbalist"/>
    <n v="67"/>
    <n v="31"/>
    <n v="28"/>
    <n v="7"/>
    <s v="0.3794 %"/>
    <n v="203"/>
    <n v="0.60340000000000005"/>
    <n v="42.733800000000002"/>
    <x v="0"/>
    <n v="337.03280000000001"/>
    <x v="1"/>
    <x v="6"/>
  </r>
  <r>
    <s v="Nami Hayashi"/>
    <d v="2003-11-05T00:00:00"/>
    <n v="21"/>
    <n v="179"/>
    <s v="Tinggi"/>
    <s v="ISFP"/>
    <x v="2"/>
    <x v="1"/>
    <s v="Momentum Surge / Knight-Errant"/>
    <n v="87"/>
    <n v="95"/>
    <n v="74"/>
    <n v="5"/>
    <s v="0.6145 %"/>
    <n v="364"/>
    <n v="0.48470000000000002"/>
    <n v="154.13630000000001"/>
    <x v="3"/>
    <n v="626.95920000000001"/>
    <x v="2"/>
    <x v="1"/>
  </r>
  <r>
    <s v="Reika Tanaka"/>
    <d v="2002-12-05T00:00:00"/>
    <n v="22"/>
    <n v="185"/>
    <s v="Tinggi"/>
    <s v="INTJ"/>
    <x v="0"/>
    <x v="0"/>
    <s v="Elemental Mastery"/>
    <n v="7"/>
    <n v="71"/>
    <n v="99"/>
    <n v="53"/>
    <s v="0.4275 %"/>
    <n v="244"/>
    <n v="0.81310000000000004"/>
    <n v="101.4239"/>
    <x v="3"/>
    <n v="475.42059999999998"/>
    <x v="1"/>
    <x v="6"/>
  </r>
  <r>
    <s v="Sage Ashvale"/>
    <d v="2002-11-17T00:00:00"/>
    <n v="22"/>
    <n v="185"/>
    <s v="Tinggi"/>
    <s v="ISFJ"/>
    <x v="1"/>
    <x v="0"/>
    <s v="Adaptive Mutation"/>
    <n v="15"/>
    <n v="68"/>
    <n v="29"/>
    <n v="73"/>
    <s v="0.9157 %"/>
    <n v="263"/>
    <n v="0.79300000000000004"/>
    <n v="130.57409999999999"/>
    <x v="2"/>
    <n v="449.69869999999997"/>
    <x v="0"/>
    <x v="4"/>
  </r>
  <r>
    <s v="Nolan Vance"/>
    <d v="2003-03-14T00:00:00"/>
    <n v="21"/>
    <n v="180"/>
    <s v="Tinggi"/>
    <s v="ESTJ"/>
    <x v="1"/>
    <x v="0"/>
    <s v="Probability Flux / Treasure Hunter"/>
    <n v="47"/>
    <n v="38"/>
    <n v="79"/>
    <n v="82"/>
    <s v="0.8461 %"/>
    <n v="268"/>
    <n v="0.73240000000000005"/>
    <n v="70.687200000000004"/>
    <x v="0"/>
    <n v="516.25850000000003"/>
    <x v="2"/>
    <x v="5"/>
  </r>
  <r>
    <s v="Shaela Kline"/>
    <d v="2003-01-13T00:00:00"/>
    <n v="21"/>
    <n v="160"/>
    <s v="Pendek"/>
    <s v="ENTP"/>
    <x v="0"/>
    <x v="1"/>
    <s v="Elemental Mastery"/>
    <n v="143"/>
    <n v="35"/>
    <n v="77"/>
    <n v="20"/>
    <s v="0.2395 %"/>
    <n v="400"/>
    <n v="0.53310000000000002"/>
    <n v="43.171799999999998"/>
    <x v="0"/>
    <n v="675.17259999999999"/>
    <x v="2"/>
    <x v="6"/>
  </r>
  <r>
    <s v="Emery Fitzgerald"/>
    <d v="2001-09-26T00:00:00"/>
    <n v="23"/>
    <n v="184"/>
    <s v="Tinggi"/>
    <s v="INTJ"/>
    <x v="0"/>
    <x v="1"/>
    <s v="Zone of Order / City Watch Captain"/>
    <n v="25"/>
    <n v="83"/>
    <n v="77"/>
    <n v="81"/>
    <s v="0.4939 %"/>
    <n v="67"/>
    <n v="0.58489999999999998"/>
    <n v="124.4419"/>
    <x v="1"/>
    <n v="335.03879999999998"/>
    <x v="1"/>
    <x v="4"/>
  </r>
  <r>
    <s v="Reika Saito"/>
    <d v="2002-05-05T00:00:00"/>
    <n v="22"/>
    <n v="177"/>
    <s v="Tinggi"/>
    <s v="ISFP"/>
    <x v="2"/>
    <x v="1"/>
    <s v="Verdant Wrath / Forest Herbalist"/>
    <n v="136"/>
    <n v="20"/>
    <n v="68"/>
    <n v="57"/>
    <s v="0.7925 %"/>
    <n v="177"/>
    <n v="0.75019999999999998"/>
    <n v="36.226399999999998"/>
    <x v="3"/>
    <n v="459.86270000000002"/>
    <x v="0"/>
    <x v="6"/>
  </r>
  <r>
    <s v="Theron Silva"/>
    <d v="2001-04-17T00:00:00"/>
    <n v="23"/>
    <n v="168"/>
    <s v="Normal"/>
    <s v="INFJ"/>
    <x v="3"/>
    <x v="1"/>
    <s v="Sensory Collapse Domain"/>
    <n v="84"/>
    <n v="11"/>
    <n v="85"/>
    <n v="85"/>
    <s v="0.7868 %"/>
    <n v="115"/>
    <n v="0.52280000000000004"/>
    <n v="19.9407"/>
    <x v="1"/>
    <n v="380.84960000000001"/>
    <x v="1"/>
    <x v="0"/>
  </r>
  <r>
    <s v="Reika Montgomery"/>
    <d v="2003-04-30T00:00:00"/>
    <n v="21"/>
    <n v="160"/>
    <s v="Pendek"/>
    <s v="ESFJ"/>
    <x v="1"/>
    <x v="0"/>
    <s v="Dimensional Phase Shifting"/>
    <n v="76"/>
    <n v="24"/>
    <n v="99"/>
    <n v="38"/>
    <s v="0.9377 %"/>
    <n v="12"/>
    <n v="0.77759999999999996"/>
    <n v="47.163600000000002"/>
    <x v="2"/>
    <n v="251.68530000000001"/>
    <x v="0"/>
    <x v="1"/>
  </r>
  <r>
    <s v="Kotaro Velmont"/>
    <d v="2001-10-12T00:00:00"/>
    <n v="23"/>
    <n v="182"/>
    <s v="Tinggi"/>
    <s v="INTJ"/>
    <x v="0"/>
    <x v="1"/>
    <s v="Transmutation Aura / Alchemist"/>
    <n v="93"/>
    <n v="91"/>
    <n v="3"/>
    <n v="22"/>
    <s v="0.9462 %"/>
    <n v="61"/>
    <n v="0.67400000000000004"/>
    <n v="176.48140000000001"/>
    <x v="3"/>
    <n v="270.8802"/>
    <x v="0"/>
    <x v="6"/>
  </r>
  <r>
    <s v="Takeshi Aurelius"/>
    <d v="2001-04-08T00:00:00"/>
    <n v="23"/>
    <n v="163"/>
    <s v="Pendek"/>
    <s v="ISFP"/>
    <x v="2"/>
    <x v="0"/>
    <s v="Resonant Aria / Performer"/>
    <n v="96"/>
    <n v="63"/>
    <n v="7"/>
    <n v="84"/>
    <s v="0.5824 %"/>
    <n v="200"/>
    <n v="0.68440000000000001"/>
    <n v="99.153199999999998"/>
    <x v="1"/>
    <n v="451.60680000000002"/>
    <x v="2"/>
    <x v="1"/>
  </r>
  <r>
    <s v="Akira Lopez"/>
    <d v="2002-12-24T00:00:00"/>
    <n v="22"/>
    <n v="179"/>
    <s v="Tinggi"/>
    <s v="ISFP"/>
    <x v="2"/>
    <x v="0"/>
    <s v="Resonant Aria / Performer"/>
    <n v="29"/>
    <n v="67"/>
    <n v="53"/>
    <n v="37"/>
    <s v="0.5897 %"/>
    <n v="381"/>
    <n v="0.75390000000000001"/>
    <n v="106.7484"/>
    <x v="0"/>
    <n v="568.33360000000005"/>
    <x v="1"/>
    <x v="6"/>
  </r>
  <r>
    <s v="Kenji Drayton"/>
    <d v="2002-06-04T00:00:00"/>
    <n v="22"/>
    <n v="171"/>
    <s v="Normal"/>
    <s v="ENFP"/>
    <x v="3"/>
    <x v="0"/>
    <s v="Combat Escalation Law"/>
    <n v="118"/>
    <n v="35"/>
    <n v="74"/>
    <n v="63"/>
    <s v="0.7617 %"/>
    <n v="309"/>
    <n v="0.54959999999999998"/>
    <n v="61.906100000000002"/>
    <x v="0"/>
    <n v="600.53129999999999"/>
    <x v="1"/>
    <x v="4"/>
  </r>
  <r>
    <s v="Cassian Suzuki"/>
    <d v="2003-08-10T00:00:00"/>
    <n v="21"/>
    <n v="184"/>
    <s v="Tinggi"/>
    <s v="ISFJ"/>
    <x v="1"/>
    <x v="1"/>
    <s v="Elemental Mastery"/>
    <n v="122"/>
    <n v="7"/>
    <n v="78"/>
    <n v="46"/>
    <s v="0.1394 %"/>
    <n v="118"/>
    <n v="0.48980000000000001"/>
    <n v="8.2606999999999999"/>
    <x v="0"/>
    <n v="372.01920000000001"/>
    <x v="1"/>
    <x v="2"/>
  </r>
  <r>
    <s v="Ansel Velmont"/>
    <d v="2001-03-16T00:00:00"/>
    <n v="23"/>
    <n v="168"/>
    <s v="Normal"/>
    <s v="INFP"/>
    <x v="3"/>
    <x v="0"/>
    <s v="Runic Deconstruction / Scholar"/>
    <n v="54"/>
    <n v="78"/>
    <n v="87"/>
    <n v="34"/>
    <s v="0.4312 %"/>
    <n v="51"/>
    <n v="0.80030000000000001"/>
    <n v="112.063"/>
    <x v="3"/>
    <n v="304.9615"/>
    <x v="1"/>
    <x v="2"/>
  </r>
  <r>
    <s v="Mirel Bramble"/>
    <d v="2003-11-30T00:00:00"/>
    <n v="21"/>
    <n v="171"/>
    <s v="Normal"/>
    <s v="ESTP"/>
    <x v="2"/>
    <x v="1"/>
    <s v="Probability Flux / Treasure Hunter"/>
    <n v="109"/>
    <n v="9"/>
    <n v="61"/>
    <n v="82"/>
    <s v="0.3891 %"/>
    <n v="219"/>
    <n v="0.436"/>
    <n v="12.238"/>
    <x v="2"/>
    <n v="480.6651"/>
    <x v="1"/>
    <x v="3"/>
  </r>
  <r>
    <s v="Aria Farell"/>
    <d v="2003-07-05T00:00:00"/>
    <n v="21"/>
    <n v="171"/>
    <s v="Normal"/>
    <s v="ENTP"/>
    <x v="0"/>
    <x v="0"/>
    <s v="Combat Escalation Law"/>
    <n v="93"/>
    <n v="44"/>
    <n v="64"/>
    <n v="79"/>
    <s v="0.7041 %"/>
    <n v="24"/>
    <n v="0.58279999999999998"/>
    <n v="75.082599999999999"/>
    <x v="1"/>
    <n v="305.51690000000002"/>
    <x v="0"/>
    <x v="1"/>
  </r>
  <r>
    <s v="Yuki Muller"/>
    <d v="2002-04-29T00:00:00"/>
    <n v="22"/>
    <n v="162"/>
    <s v="Pendek"/>
    <s v="ESFP"/>
    <x v="2"/>
    <x v="1"/>
    <s v="Sensory Collapse Domain"/>
    <n v="58"/>
    <n v="57"/>
    <n v="61"/>
    <n v="68"/>
    <s v="0.4348 %"/>
    <n v="380"/>
    <n v="0.74339999999999995"/>
    <n v="82.013199999999998"/>
    <x v="1"/>
    <n v="625.09820000000002"/>
    <x v="2"/>
    <x v="2"/>
  </r>
  <r>
    <s v="Ethan Swiftwind"/>
    <d v="2001-08-21T00:00:00"/>
    <n v="23"/>
    <n v="167"/>
    <s v="Pendek"/>
    <s v="INFP"/>
    <x v="3"/>
    <x v="0"/>
    <s v="Elemental Mastery"/>
    <n v="75"/>
    <n v="39"/>
    <n v="57"/>
    <n v="27"/>
    <s v="0.5016 %"/>
    <n v="105"/>
    <n v="0.84840000000000004"/>
    <n v="59.027900000000002"/>
    <x v="2"/>
    <n v="304.41000000000003"/>
    <x v="2"/>
    <x v="3"/>
  </r>
  <r>
    <s v="Lyra Silva"/>
    <d v="2003-07-15T00:00:00"/>
    <n v="21"/>
    <n v="162"/>
    <s v="Pendek"/>
    <s v="INFJ"/>
    <x v="3"/>
    <x v="0"/>
    <s v="Transmutation Aura / Alchemist"/>
    <n v="150"/>
    <n v="81"/>
    <n v="97"/>
    <n v="99"/>
    <s v="0.7386 %"/>
    <n v="267"/>
    <n v="0.64749999999999996"/>
    <n v="141.2439"/>
    <x v="2"/>
    <n v="695.14610000000005"/>
    <x v="1"/>
    <x v="6"/>
  </r>
  <r>
    <s v="Quinn Suzuki"/>
    <d v="2003-01-11T00:00:00"/>
    <n v="21"/>
    <n v="185"/>
    <s v="Tinggi"/>
    <s v="ESTP"/>
    <x v="2"/>
    <x v="0"/>
    <s v="Fate Weave / Royal Advisor"/>
    <n v="148"/>
    <n v="79"/>
    <n v="24"/>
    <n v="50"/>
    <s v="0.615 %"/>
    <n v="145"/>
    <n v="0.61029999999999995"/>
    <n v="128.24719999999999"/>
    <x v="1"/>
    <n v="447.76530000000002"/>
    <x v="2"/>
    <x v="0"/>
  </r>
  <r>
    <s v="Hina Thornton"/>
    <d v="2003-09-08T00:00:00"/>
    <n v="21"/>
    <n v="182"/>
    <s v="Tinggi"/>
    <s v="ENTJ"/>
    <x v="0"/>
    <x v="1"/>
    <s v="Resonant Aria / Performer"/>
    <n v="124"/>
    <n v="8"/>
    <n v="97"/>
    <n v="65"/>
    <s v="0.7121 %"/>
    <n v="181"/>
    <n v="0.55500000000000005"/>
    <n v="14.2104"/>
    <x v="1"/>
    <n v="475.64710000000002"/>
    <x v="0"/>
    <x v="3"/>
  </r>
  <r>
    <s v="Lyra Okafor"/>
    <d v="2001-12-04T00:00:00"/>
    <n v="23"/>
    <n v="169"/>
    <s v="Normal"/>
    <s v="INTJ"/>
    <x v="0"/>
    <x v="0"/>
    <s v="Archive of Blades / Guild Archivist"/>
    <n v="140"/>
    <n v="23"/>
    <n v="95"/>
    <n v="52"/>
    <s v="0.171 %"/>
    <n v="114"/>
    <n v="0.48830000000000001"/>
    <n v="27.307700000000001"/>
    <x v="2"/>
    <n v="425.76929999999999"/>
    <x v="0"/>
    <x v="5"/>
  </r>
  <r>
    <s v="Isadora Hayashi"/>
    <d v="2001-12-12T00:00:00"/>
    <n v="23"/>
    <n v="176"/>
    <s v="Tinggi"/>
    <s v="ISFP"/>
    <x v="2"/>
    <x v="0"/>
    <s v="Triage Field / Field Medic"/>
    <n v="99"/>
    <n v="72"/>
    <n v="61"/>
    <n v="84"/>
    <s v="0.8427 %"/>
    <n v="226"/>
    <n v="0.4128"/>
    <n v="133.30090000000001"/>
    <x v="0"/>
    <n v="543.94550000000004"/>
    <x v="2"/>
    <x v="6"/>
  </r>
  <r>
    <s v="Wren Ito"/>
    <d v="2003-05-04T00:00:00"/>
    <n v="21"/>
    <n v="184"/>
    <s v="Tinggi"/>
    <s v="ISTP"/>
    <x v="2"/>
    <x v="0"/>
    <s v="Memory Palace / Librarian Assistant"/>
    <n v="133"/>
    <n v="55"/>
    <n v="65"/>
    <n v="31"/>
    <s v="0.8266 %"/>
    <n v="99"/>
    <n v="0.5827"/>
    <n v="100.4813"/>
    <x v="3"/>
    <n v="384.04930000000002"/>
    <x v="0"/>
    <x v="5"/>
  </r>
  <r>
    <s v="Tomoe Ito"/>
    <d v="2001-10-22T00:00:00"/>
    <n v="23"/>
    <n v="170"/>
    <s v="Normal"/>
    <s v="INTJ"/>
    <x v="0"/>
    <x v="1"/>
    <s v="Archive of Blades / Guild Archivist"/>
    <n v="110"/>
    <n v="86"/>
    <n v="98"/>
    <n v="14"/>
    <s v="0.6055 %"/>
    <n v="149"/>
    <n v="0.54359999999999997"/>
    <n v="138.42619999999999"/>
    <x v="3"/>
    <n v="458.12909999999999"/>
    <x v="0"/>
    <x v="2"/>
  </r>
  <r>
    <s v="Mei Nakamura"/>
    <d v="2001-04-14T00:00:00"/>
    <n v="23"/>
    <n v="163"/>
    <s v="Pendek"/>
    <s v="ESFP"/>
    <x v="2"/>
    <x v="1"/>
    <s v="Emotional Vectoring"/>
    <n v="130"/>
    <n v="42"/>
    <n v="96"/>
    <n v="90"/>
    <s v="0.9404 %"/>
    <n v="326"/>
    <n v="0.72450000000000003"/>
    <n v="82.272999999999996"/>
    <x v="1"/>
    <n v="686.04489999999998"/>
    <x v="0"/>
    <x v="3"/>
  </r>
  <r>
    <s v="Mirel Vance"/>
    <d v="2001-02-17T00:00:00"/>
    <n v="23"/>
    <n v="175"/>
    <s v="Tinggi"/>
    <s v="ESFP"/>
    <x v="2"/>
    <x v="0"/>
    <s v="Dimensional Phase Shifting"/>
    <n v="76"/>
    <n v="97"/>
    <n v="22"/>
    <n v="36"/>
    <s v="0.5454 %"/>
    <n v="21"/>
    <n v="0.79710000000000003"/>
    <n v="149.4402"/>
    <x v="3"/>
    <n v="253.76249999999999"/>
    <x v="1"/>
    <x v="4"/>
  </r>
  <r>
    <s v="Orin Mirren"/>
    <d v="2002-06-26T00:00:00"/>
    <n v="22"/>
    <n v="164"/>
    <s v="Pendek"/>
    <s v="INTP"/>
    <x v="0"/>
    <x v="1"/>
    <s v="Dimensional Phase Shifting"/>
    <n v="56"/>
    <n v="41"/>
    <n v="57"/>
    <n v="20"/>
    <s v="0.1662 %"/>
    <n v="222"/>
    <n v="0.62690000000000001"/>
    <n v="47.417700000000004"/>
    <x v="2"/>
    <n v="396.44310000000002"/>
    <x v="2"/>
    <x v="5"/>
  </r>
  <r>
    <s v="Dara Chen"/>
    <d v="2003-02-04T00:00:00"/>
    <n v="21"/>
    <n v="172"/>
    <s v="Normal"/>
    <s v="ISTJ"/>
    <x v="1"/>
    <x v="1"/>
    <s v="Sensory Collapse Domain"/>
    <n v="113"/>
    <n v="21"/>
    <n v="51"/>
    <n v="51"/>
    <s v="0.2233 %"/>
    <n v="19"/>
    <n v="0.54990000000000006"/>
    <n v="25.334499999999998"/>
    <x v="3"/>
    <n v="255.9632"/>
    <x v="2"/>
    <x v="3"/>
  </r>
  <r>
    <s v="Lena Hargrove"/>
    <d v="2003-03-16T00:00:00"/>
    <n v="21"/>
    <n v="165"/>
    <s v="Pendek"/>
    <s v="ESTJ"/>
    <x v="1"/>
    <x v="1"/>
    <s v="Adaptive Mutation"/>
    <n v="77"/>
    <n v="51"/>
    <n v="49"/>
    <n v="57"/>
    <s v="0.115 %"/>
    <n v="190"/>
    <n v="0.54910000000000003"/>
    <n v="57.377899999999997"/>
    <x v="0"/>
    <n v="425.41410000000002"/>
    <x v="1"/>
    <x v="4"/>
  </r>
  <r>
    <s v="Aster Funai"/>
    <d v="2003-08-30T00:00:00"/>
    <n v="21"/>
    <n v="179"/>
    <s v="Tinggi"/>
    <s v="ISFP"/>
    <x v="2"/>
    <x v="1"/>
    <s v="Heartstrike Overload"/>
    <n v="108"/>
    <n v="59"/>
    <n v="18"/>
    <n v="63"/>
    <s v="0.8571 %"/>
    <n v="248"/>
    <n v="0.46650000000000003"/>
    <n v="109.1418"/>
    <x v="1"/>
    <n v="498.00360000000001"/>
    <x v="0"/>
    <x v="4"/>
  </r>
  <r>
    <s v="Dante Wiley"/>
    <d v="2002-10-05T00:00:00"/>
    <n v="22"/>
    <n v="174"/>
    <s v="Normal"/>
    <s v="ISTJ"/>
    <x v="1"/>
    <x v="1"/>
    <s v="Zone of Order / City Watch Captain"/>
    <n v="63"/>
    <n v="21"/>
    <n v="51"/>
    <n v="62"/>
    <s v="0.8635 %"/>
    <n v="189"/>
    <n v="0.72729999999999995"/>
    <n v="39.4876"/>
    <x v="1"/>
    <n v="386.70080000000002"/>
    <x v="2"/>
    <x v="1"/>
  </r>
  <r>
    <s v="Emery Crestwood"/>
    <d v="2003-02-11T00:00:00"/>
    <n v="21"/>
    <n v="176"/>
    <s v="Tinggi"/>
    <s v="ISFJ"/>
    <x v="1"/>
    <x v="1"/>
    <s v="Elemental Mastery"/>
    <n v="69"/>
    <n v="54"/>
    <n v="55"/>
    <n v="68"/>
    <s v="0.7127 %"/>
    <n v="347"/>
    <n v="0.76160000000000005"/>
    <n v="92.108999999999995"/>
    <x v="2"/>
    <n v="594.92430000000002"/>
    <x v="2"/>
    <x v="3"/>
  </r>
  <r>
    <s v="Mei Swiftwind"/>
    <d v="2002-09-04T00:00:00"/>
    <n v="22"/>
    <n v="177"/>
    <s v="Tinggi"/>
    <s v="INFJ"/>
    <x v="3"/>
    <x v="0"/>
    <s v="Covenant Bond / Healer &amp; Diplomat"/>
    <n v="116"/>
    <n v="71"/>
    <n v="69"/>
    <n v="49"/>
    <s v="0.6044 %"/>
    <n v="192"/>
    <n v="0.82050000000000001"/>
    <n v="113.57550000000001"/>
    <x v="2"/>
    <n v="499.29489999999998"/>
    <x v="1"/>
    <x v="0"/>
  </r>
  <r>
    <s v="Ryo Montgomery"/>
    <d v="2001-10-27T00:00:00"/>
    <n v="23"/>
    <n v="184"/>
    <s v="Tinggi"/>
    <s v="INFP"/>
    <x v="3"/>
    <x v="1"/>
    <s v="Ruin Pulse Engine"/>
    <n v="44"/>
    <n v="72"/>
    <n v="35"/>
    <n v="45"/>
    <s v="0.5312 %"/>
    <n v="103"/>
    <n v="0.4909"/>
    <n v="109.78700000000001"/>
    <x v="2"/>
    <n v="299.99209999999999"/>
    <x v="2"/>
    <x v="5"/>
  </r>
  <r>
    <s v="Finn Tanaka"/>
    <d v="2002-05-06T00:00:00"/>
    <n v="22"/>
    <n v="179"/>
    <s v="Tinggi"/>
    <s v="ISTP"/>
    <x v="2"/>
    <x v="0"/>
    <s v="Guillotine Line"/>
    <n v="101"/>
    <n v="54"/>
    <n v="64"/>
    <n v="6"/>
    <s v="0.7456 %"/>
    <n v="166"/>
    <n v="0.44519999999999998"/>
    <n v="93.511799999999994"/>
    <x v="1"/>
    <n v="391.8408"/>
    <x v="0"/>
    <x v="4"/>
  </r>
  <r>
    <s v="Kaito Velmont"/>
    <d v="2002-02-13T00:00:00"/>
    <n v="22"/>
    <n v="175"/>
    <s v="Tinggi"/>
    <s v="ESTP"/>
    <x v="2"/>
    <x v="1"/>
    <s v="Archive of Blades / Guild Archivist"/>
    <n v="44"/>
    <n v="7"/>
    <n v="77"/>
    <n v="66"/>
    <s v="0.7648 %"/>
    <n v="94"/>
    <n v="0.78259999999999996"/>
    <n v="12.1065"/>
    <x v="0"/>
    <n v="288.2774"/>
    <x v="0"/>
    <x v="3"/>
  </r>
  <r>
    <s v="Yuki Thornton"/>
    <d v="2003-10-12T00:00:00"/>
    <n v="21"/>
    <n v="185"/>
    <s v="Tinggi"/>
    <s v="ESTP"/>
    <x v="2"/>
    <x v="0"/>
    <s v="Runic Deconstruction / Scholar"/>
    <n v="132"/>
    <n v="2"/>
    <n v="57"/>
    <n v="12"/>
    <s v="0.3561 %"/>
    <n v="393"/>
    <n v="0.84509999999999996"/>
    <n v="2.6036999999999999"/>
    <x v="3"/>
    <n v="596.81119999999999"/>
    <x v="0"/>
    <x v="6"/>
  </r>
  <r>
    <s v="Ren Kobayashi"/>
    <d v="2001-08-19T00:00:00"/>
    <n v="23"/>
    <n v="185"/>
    <s v="Tinggi"/>
    <s v="ESFP"/>
    <x v="2"/>
    <x v="1"/>
    <s v="Triage Field / Field Medic"/>
    <n v="110"/>
    <n v="65"/>
    <n v="72"/>
    <n v="2"/>
    <s v="0.3655 %"/>
    <n v="136"/>
    <n v="0.70350000000000001"/>
    <n v="89.003299999999996"/>
    <x v="1"/>
    <n v="386.22899999999998"/>
    <x v="0"/>
    <x v="4"/>
  </r>
  <r>
    <s v="Akira Pemberton"/>
    <d v="2003-04-01T00:00:00"/>
    <n v="21"/>
    <n v="162"/>
    <s v="Pendek"/>
    <s v="INFP"/>
    <x v="3"/>
    <x v="0"/>
    <s v="Elemental Mastery"/>
    <n v="147"/>
    <n v="48"/>
    <n v="94"/>
    <n v="2"/>
    <s v="0.5021 %"/>
    <n v="154"/>
    <n v="0.52010000000000001"/>
    <n v="72.506399999999999"/>
    <x v="2"/>
    <n v="445.94220000000001"/>
    <x v="1"/>
    <x v="4"/>
  </r>
  <r>
    <s v="Yuna Kline"/>
    <d v="2002-04-29T00:00:00"/>
    <n v="22"/>
    <n v="182"/>
    <s v="Tinggi"/>
    <s v="INTP"/>
    <x v="0"/>
    <x v="0"/>
    <s v="Fate Weave / Royal Advisor"/>
    <n v="70"/>
    <n v="17"/>
    <n v="69"/>
    <n v="92"/>
    <s v="0.7929 %"/>
    <n v="355"/>
    <n v="0.71060000000000001"/>
    <n v="30.1386"/>
    <x v="2"/>
    <n v="605.19349999999997"/>
    <x v="1"/>
    <x v="4"/>
  </r>
  <r>
    <s v="Orion Silva"/>
    <d v="2001-11-10T00:00:00"/>
    <n v="23"/>
    <n v="175"/>
    <s v="Tinggi"/>
    <s v="ESFJ"/>
    <x v="1"/>
    <x v="1"/>
    <s v="Sensory Collapse Domain"/>
    <n v="63"/>
    <n v="55"/>
    <n v="48"/>
    <n v="54"/>
    <s v="0.2966 %"/>
    <n v="266"/>
    <n v="0.51139999999999997"/>
    <n v="71.792699999999996"/>
    <x v="0"/>
    <n v="486.928"/>
    <x v="2"/>
    <x v="3"/>
  </r>
  <r>
    <s v="Nami Kim"/>
    <d v="2003-11-02T00:00:00"/>
    <n v="21"/>
    <n v="161"/>
    <s v="Pendek"/>
    <s v="ENFJ"/>
    <x v="3"/>
    <x v="0"/>
    <s v="Zone of Order / City Watch Captain"/>
    <n v="26"/>
    <n v="86"/>
    <n v="45"/>
    <n v="68"/>
    <s v="0.5399 %"/>
    <n v="287"/>
    <n v="0.80449999999999999"/>
    <n v="131.80000000000001"/>
    <x v="3"/>
    <n v="512.59439999999995"/>
    <x v="0"/>
    <x v="3"/>
  </r>
  <r>
    <s v="Shaela Crowe"/>
    <d v="2001-04-29T00:00:00"/>
    <n v="23"/>
    <n v="174"/>
    <s v="Normal"/>
    <s v="ESTJ"/>
    <x v="1"/>
    <x v="1"/>
    <s v="Covenant Bond / Healer &amp; Diplomat"/>
    <n v="109"/>
    <n v="40"/>
    <n v="82"/>
    <n v="75"/>
    <s v="0.1408 %"/>
    <n v="232"/>
    <n v="0.55500000000000005"/>
    <n v="45.860199999999999"/>
    <x v="0"/>
    <n v="538.07579999999996"/>
    <x v="2"/>
    <x v="0"/>
  </r>
  <r>
    <s v="Caius Aikawa"/>
    <d v="2003-04-18T00:00:00"/>
    <n v="21"/>
    <n v="169"/>
    <s v="Normal"/>
    <s v="ENTJ"/>
    <x v="0"/>
    <x v="0"/>
    <s v="Moment moment of Truth / Oracle"/>
    <n v="115"/>
    <n v="98"/>
    <n v="65"/>
    <n v="43"/>
    <s v="0.4442 %"/>
    <n v="397"/>
    <n v="0.7913"/>
    <n v="141.315"/>
    <x v="3"/>
    <n v="718.90549999999996"/>
    <x v="1"/>
    <x v="0"/>
  </r>
  <r>
    <s v="Wren Montgomery"/>
    <d v="2002-01-01T00:00:00"/>
    <n v="23"/>
    <n v="163"/>
    <s v="Pendek"/>
    <s v="ESTJ"/>
    <x v="1"/>
    <x v="1"/>
    <s v="Moment moment of Truth / Oracle"/>
    <n v="109"/>
    <n v="23"/>
    <n v="1"/>
    <n v="3"/>
    <s v="0.7061 %"/>
    <n v="120"/>
    <n v="0.64500000000000002"/>
    <n v="39.325600000000001"/>
    <x v="3"/>
    <n v="258.49110000000002"/>
    <x v="0"/>
    <x v="1"/>
  </r>
  <r>
    <s v="Nolan Okafor"/>
    <d v="2002-01-22T00:00:00"/>
    <n v="22"/>
    <n v="168"/>
    <s v="Normal"/>
    <s v="ESFP"/>
    <x v="2"/>
    <x v="0"/>
    <s v="Ruin Pulse Engine"/>
    <n v="122"/>
    <n v="42"/>
    <n v="77"/>
    <n v="88"/>
    <s v="0.2855 %"/>
    <n v="7"/>
    <n v="0.44540000000000002"/>
    <n v="54.633699999999997"/>
    <x v="0"/>
    <n v="337.41090000000003"/>
    <x v="1"/>
    <x v="4"/>
  </r>
  <r>
    <s v="Mei Dunmore"/>
    <d v="2003-06-18T00:00:00"/>
    <n v="21"/>
    <n v="172"/>
    <s v="Normal"/>
    <s v="INTJ"/>
    <x v="0"/>
    <x v="0"/>
    <s v="Damage Reflection Lattice"/>
    <n v="113"/>
    <n v="78"/>
    <n v="15"/>
    <n v="99"/>
    <s v="0.9248 %"/>
    <n v="94"/>
    <n v="0.65920000000000001"/>
    <n v="149.80719999999999"/>
    <x v="2"/>
    <n v="401.464"/>
    <x v="0"/>
    <x v="2"/>
  </r>
  <r>
    <s v="Emery Yoshida"/>
    <d v="2002-09-08T00:00:00"/>
    <n v="22"/>
    <n v="173"/>
    <s v="Normal"/>
    <s v="ESTJ"/>
    <x v="1"/>
    <x v="1"/>
    <s v="Guillotine Line"/>
    <n v="84"/>
    <n v="60"/>
    <n v="74"/>
    <n v="18"/>
    <s v="0.6003 %"/>
    <n v="272"/>
    <n v="0.42109999999999997"/>
    <n v="95.3459"/>
    <x v="2"/>
    <n v="508.50139999999999"/>
    <x v="2"/>
    <x v="5"/>
  </r>
  <r>
    <s v="Vessa Hargrove"/>
    <d v="2003-05-03T00:00:00"/>
    <n v="21"/>
    <n v="182"/>
    <s v="Tinggi"/>
    <s v="INFP"/>
    <x v="3"/>
    <x v="1"/>
    <s v="Zone of Order / City Watch Captain"/>
    <n v="46"/>
    <n v="19"/>
    <n v="54"/>
    <n v="25"/>
    <s v="0.8718 %"/>
    <n v="91"/>
    <n v="0.46500000000000002"/>
    <n v="35.938600000000001"/>
    <x v="3"/>
    <n v="236.23679999999999"/>
    <x v="0"/>
    <x v="4"/>
  </r>
  <r>
    <s v="Shiho Silva"/>
    <d v="2002-05-13T00:00:00"/>
    <n v="22"/>
    <n v="172"/>
    <s v="Normal"/>
    <s v="ENTP"/>
    <x v="0"/>
    <x v="1"/>
    <s v="Damage Reflection Lattice"/>
    <n v="50"/>
    <n v="9"/>
    <n v="46"/>
    <n v="38"/>
    <s v="0.8465 %"/>
    <n v="215"/>
    <n v="0.42320000000000002"/>
    <n v="16.304600000000001"/>
    <x v="3"/>
    <n v="358.29969999999997"/>
    <x v="2"/>
    <x v="4"/>
  </r>
  <r>
    <s v="Nami Kobayashi"/>
    <d v="2002-03-21T00:00:00"/>
    <n v="22"/>
    <n v="185"/>
    <s v="Tinggi"/>
    <s v="INTJ"/>
    <x v="0"/>
    <x v="1"/>
    <s v="Damage Reflection Lattice"/>
    <n v="131"/>
    <n v="34"/>
    <n v="96"/>
    <n v="3"/>
    <s v="0.9659 %"/>
    <n v="375"/>
    <n v="0.45279999999999998"/>
    <n v="66.762"/>
    <x v="3"/>
    <n v="639.11869999999999"/>
    <x v="0"/>
    <x v="5"/>
  </r>
  <r>
    <s v="Ryo Blackwood"/>
    <d v="2002-10-21T00:00:00"/>
    <n v="22"/>
    <n v="177"/>
    <s v="Tinggi"/>
    <s v="INFJ"/>
    <x v="3"/>
    <x v="1"/>
    <s v="Emotional Vectoring"/>
    <n v="70"/>
    <n v="65"/>
    <n v="32"/>
    <n v="37"/>
    <s v="0.5194 %"/>
    <n v="353"/>
    <n v="0.76129999999999998"/>
    <n v="99.095299999999995"/>
    <x v="3"/>
    <n v="558.34069999999997"/>
    <x v="1"/>
    <x v="1"/>
  </r>
  <r>
    <s v="Ethan Aldridge"/>
    <d v="2002-03-30T00:00:00"/>
    <n v="22"/>
    <n v="161"/>
    <s v="Pendek"/>
    <s v="ENFJ"/>
    <x v="3"/>
    <x v="0"/>
    <s v="Gravity Rend"/>
    <n v="40"/>
    <n v="94"/>
    <n v="58"/>
    <n v="42"/>
    <s v="0.3969 %"/>
    <n v="62"/>
    <n v="0.57089999999999996"/>
    <n v="130.666"/>
    <x v="1"/>
    <n v="296.8578"/>
    <x v="1"/>
    <x v="4"/>
  </r>
  <r>
    <s v="Haruto Holloway"/>
    <d v="2003-10-02T00:00:00"/>
    <n v="21"/>
    <n v="183"/>
    <s v="Tinggi"/>
    <s v="ISFJ"/>
    <x v="1"/>
    <x v="1"/>
    <s v="Triage Field / Field Medic"/>
    <n v="110"/>
    <n v="36"/>
    <n v="15"/>
    <n v="55"/>
    <s v="0.9004 %"/>
    <n v="74"/>
    <n v="0.84560000000000002"/>
    <n v="68.167299999999997"/>
    <x v="0"/>
    <n v="292.20600000000002"/>
    <x v="2"/>
    <x v="0"/>
  </r>
  <r>
    <s v="Lux Ashvale"/>
    <d v="2001-01-14T00:00:00"/>
    <n v="23"/>
    <n v="184"/>
    <s v="Tinggi"/>
    <s v="ENTJ"/>
    <x v="0"/>
    <x v="1"/>
    <s v="Moment moment of Truth / Oracle"/>
    <n v="127"/>
    <n v="24"/>
    <n v="71"/>
    <n v="2"/>
    <s v="0.4359 %"/>
    <n v="203"/>
    <n v="0.67800000000000005"/>
    <n v="34.3324"/>
    <x v="3"/>
    <n v="427.27390000000003"/>
    <x v="2"/>
    <x v="3"/>
  </r>
  <r>
    <s v="Aiko Aldridge"/>
    <d v="2001-02-04T00:00:00"/>
    <n v="23"/>
    <n v="160"/>
    <s v="Pendek"/>
    <s v="INTP"/>
    <x v="0"/>
    <x v="1"/>
    <s v="Runic Deconstruction / Scholar"/>
    <n v="4"/>
    <n v="82"/>
    <n v="68"/>
    <n v="81"/>
    <s v="0.1963 %"/>
    <n v="364"/>
    <n v="0.44330000000000003"/>
    <n v="97.498400000000004"/>
    <x v="1"/>
    <n v="598.2296"/>
    <x v="0"/>
    <x v="1"/>
  </r>
  <r>
    <s v="Isla Dawnforge"/>
    <d v="2003-03-24T00:00:00"/>
    <n v="21"/>
    <n v="185"/>
    <s v="Tinggi"/>
    <s v="ISTP"/>
    <x v="2"/>
    <x v="0"/>
    <s v="Sensory Collapse Domain"/>
    <n v="144"/>
    <n v="46"/>
    <n v="25"/>
    <n v="70"/>
    <s v="0.8453 %"/>
    <n v="121"/>
    <n v="0.43630000000000002"/>
    <n v="85.695700000000002"/>
    <x v="0"/>
    <n v="407.46159999999998"/>
    <x v="0"/>
    <x v="3"/>
  </r>
  <r>
    <s v="Hugo Velmont"/>
    <d v="2001-01-20T00:00:00"/>
    <n v="23"/>
    <n v="161"/>
    <s v="Pendek"/>
    <s v="INFP"/>
    <x v="3"/>
    <x v="0"/>
    <s v="Probability Flux / Treasure Hunter"/>
    <n v="75"/>
    <n v="44"/>
    <n v="79"/>
    <n v="57"/>
    <s v="0.1858 %"/>
    <n v="343"/>
    <n v="0.63770000000000004"/>
    <n v="52.127800000000001"/>
    <x v="0"/>
    <n v="599.26350000000002"/>
    <x v="0"/>
    <x v="1"/>
  </r>
  <r>
    <s v="Ren Dunmore"/>
    <d v="2002-07-29T00:00:00"/>
    <n v="22"/>
    <n v="162"/>
    <s v="Pendek"/>
    <s v="ENFP"/>
    <x v="3"/>
    <x v="0"/>
    <s v="Elemental Mastery"/>
    <n v="139"/>
    <n v="32"/>
    <n v="96"/>
    <n v="59"/>
    <s v="0.7414 %"/>
    <n v="301"/>
    <n v="0.57920000000000005"/>
    <n v="55.9512"/>
    <x v="0"/>
    <n v="629.30060000000003"/>
    <x v="1"/>
    <x v="1"/>
  </r>
  <r>
    <s v="Sylvie Drayton"/>
    <d v="2002-11-11T00:00:00"/>
    <n v="22"/>
    <n v="181"/>
    <s v="Tinggi"/>
    <s v="ESFJ"/>
    <x v="1"/>
    <x v="1"/>
    <s v="Moment moment of Truth / Oracle"/>
    <n v="119"/>
    <n v="69"/>
    <n v="9"/>
    <n v="75"/>
    <s v="0.1879 %"/>
    <n v="139"/>
    <n v="0.50449999999999995"/>
    <n v="82.250200000000007"/>
    <x v="0"/>
    <n v="411.2724"/>
    <x v="1"/>
    <x v="4"/>
  </r>
  <r>
    <s v="Lena Funai"/>
    <d v="2002-07-14T00:00:00"/>
    <n v="22"/>
    <n v="180"/>
    <s v="Tinggi"/>
    <s v="INFP"/>
    <x v="3"/>
    <x v="1"/>
    <s v="Memory Palace / Librarian Assistant"/>
    <n v="35"/>
    <n v="56"/>
    <n v="38"/>
    <n v="19"/>
    <s v="0.4421 %"/>
    <n v="235"/>
    <n v="0.74750000000000005"/>
    <n v="80.397099999999995"/>
    <x v="2"/>
    <n v="384.24959999999999"/>
    <x v="0"/>
    <x v="5"/>
  </r>
  <r>
    <s v="Elara Dawnforge"/>
    <d v="2003-02-18T00:00:00"/>
    <n v="21"/>
    <n v="164"/>
    <s v="Pendek"/>
    <s v="ENTJ"/>
    <x v="0"/>
    <x v="0"/>
    <s v="Emotional Vectoring"/>
    <n v="48"/>
    <n v="12"/>
    <n v="2"/>
    <n v="32"/>
    <s v="0.3428 %"/>
    <n v="145"/>
    <n v="0.45960000000000001"/>
    <n v="15.5093"/>
    <x v="1"/>
    <n v="238.1824"/>
    <x v="1"/>
    <x v="3"/>
  </r>
  <r>
    <s v="Orin Funai"/>
    <d v="2002-12-26T00:00:00"/>
    <n v="22"/>
    <n v="162"/>
    <s v="Pendek"/>
    <s v="ENTP"/>
    <x v="0"/>
    <x v="0"/>
    <s v="Archive of Blades / Guild Archivist"/>
    <n v="130"/>
    <n v="2"/>
    <n v="42"/>
    <n v="78"/>
    <s v="0.6036 %"/>
    <n v="290"/>
    <n v="0.84670000000000001"/>
    <n v="3.56"/>
    <x v="1"/>
    <n v="543.68029999999999"/>
    <x v="2"/>
    <x v="4"/>
  </r>
  <r>
    <s v="Vale Sinclair"/>
    <d v="2001-10-12T00:00:00"/>
    <n v="23"/>
    <n v="165"/>
    <s v="Pendek"/>
    <s v="ESTP"/>
    <x v="2"/>
    <x v="1"/>
    <s v="Covenant Bond / Healer &amp; Diplomat"/>
    <n v="41"/>
    <n v="15"/>
    <n v="18"/>
    <n v="28"/>
    <s v="0.8044 %"/>
    <n v="121"/>
    <n v="0.5625"/>
    <n v="27.878"/>
    <x v="1"/>
    <n v="224.27690000000001"/>
    <x v="2"/>
    <x v="5"/>
  </r>
  <r>
    <s v="Fable Watanabe"/>
    <d v="2001-08-08T00:00:00"/>
    <n v="23"/>
    <n v="174"/>
    <s v="Normal"/>
    <s v="ENFP"/>
    <x v="3"/>
    <x v="0"/>
    <s v="Covenant Bond / Healer &amp; Diplomat"/>
    <n v="2"/>
    <n v="40"/>
    <n v="84"/>
    <n v="39"/>
    <s v="0.4962 %"/>
    <n v="345"/>
    <n v="0.59379999999999999"/>
    <n v="60.102400000000003"/>
    <x v="1"/>
    <n v="511.22"/>
    <x v="1"/>
    <x v="2"/>
  </r>
  <r>
    <s v="Lyanna Hargrove"/>
    <d v="2003-03-27T00:00:00"/>
    <n v="21"/>
    <n v="165"/>
    <s v="Pendek"/>
    <s v="INFJ"/>
    <x v="3"/>
    <x v="1"/>
    <s v="Runic Deconstruction / Scholar"/>
    <n v="110"/>
    <n v="64"/>
    <n v="97"/>
    <n v="78"/>
    <s v="0.3523 %"/>
    <n v="131"/>
    <n v="0.75360000000000005"/>
    <n v="86.087400000000002"/>
    <x v="2"/>
    <n v="481.52589999999998"/>
    <x v="0"/>
    <x v="4"/>
  </r>
  <r>
    <s v="Caspian Yamamoto"/>
    <d v="2001-02-25T00:00:00"/>
    <n v="23"/>
    <n v="181"/>
    <s v="Tinggi"/>
    <s v="INFJ"/>
    <x v="3"/>
    <x v="1"/>
    <s v="Damage Reflection Lattice"/>
    <n v="66"/>
    <n v="30"/>
    <n v="70"/>
    <n v="82"/>
    <s v="0.4682 %"/>
    <n v="318"/>
    <n v="0.62470000000000003"/>
    <n v="43.811100000000003"/>
    <x v="2"/>
    <n v="567.40290000000005"/>
    <x v="0"/>
    <x v="2"/>
  </r>
  <r>
    <s v="Akira Sinclair"/>
    <d v="2003-07-09T00:00:00"/>
    <n v="21"/>
    <n v="162"/>
    <s v="Pendek"/>
    <s v="ESTJ"/>
    <x v="1"/>
    <x v="1"/>
    <s v="Dimensional Phase Shifting"/>
    <n v="81"/>
    <n v="92"/>
    <n v="87"/>
    <n v="42"/>
    <s v="0.9716 %"/>
    <n v="16"/>
    <n v="0.7157"/>
    <n v="182.23500000000001"/>
    <x v="0"/>
    <n v="319.90730000000002"/>
    <x v="0"/>
    <x v="6"/>
  </r>
  <r>
    <s v="Emery Whitmore"/>
    <d v="2001-04-01T00:00:00"/>
    <n v="23"/>
    <n v="165"/>
    <s v="Pendek"/>
    <s v="ESFJ"/>
    <x v="1"/>
    <x v="1"/>
    <s v="Adaptive Mutation"/>
    <n v="145"/>
    <n v="44"/>
    <n v="2"/>
    <n v="27"/>
    <s v="0.5669 %"/>
    <n v="205"/>
    <n v="0.66120000000000001"/>
    <n v="68.348200000000006"/>
    <x v="1"/>
    <n v="423.15809999999999"/>
    <x v="1"/>
    <x v="2"/>
  </r>
  <r>
    <s v="Tomoe Flint"/>
    <d v="2002-12-08T00:00:00"/>
    <n v="22"/>
    <n v="164"/>
    <s v="Pendek"/>
    <s v="INFP"/>
    <x v="3"/>
    <x v="0"/>
    <s v="Verdant Wrath / Forest Herbalist"/>
    <n v="17"/>
    <n v="42"/>
    <n v="96"/>
    <n v="12"/>
    <s v="0.2275 %"/>
    <n v="376"/>
    <n v="0.54039999999999999"/>
    <n v="51.776000000000003"/>
    <x v="3"/>
    <n v="544.55790000000002"/>
    <x v="0"/>
    <x v="4"/>
  </r>
  <r>
    <s v="Nolan Velmont"/>
    <d v="2003-06-17T00:00:00"/>
    <n v="21"/>
    <n v="163"/>
    <s v="Pendek"/>
    <s v="ENFP"/>
    <x v="3"/>
    <x v="1"/>
    <s v="Archive of Blades / Guild Archivist"/>
    <n v="11"/>
    <n v="5"/>
    <n v="71"/>
    <n v="3"/>
    <s v="0.1984 %"/>
    <n v="138"/>
    <n v="0.76"/>
    <n v="6.4953000000000003"/>
    <x v="1"/>
    <n v="229.88839999999999"/>
    <x v="2"/>
    <x v="1"/>
  </r>
  <r>
    <s v="Owen Langley"/>
    <d v="2002-04-20T00:00:00"/>
    <n v="22"/>
    <n v="174"/>
    <s v="Normal"/>
    <s v="ESTP"/>
    <x v="2"/>
    <x v="1"/>
    <s v="Elemental Mastery"/>
    <n v="29"/>
    <n v="66"/>
    <n v="40"/>
    <n v="74"/>
    <s v="0.5046 %"/>
    <n v="353"/>
    <n v="0.59330000000000005"/>
    <n v="99.408900000000003"/>
    <x v="0"/>
    <n v="563.4579"/>
    <x v="2"/>
    <x v="1"/>
  </r>
  <r>
    <s v="Sakura Eld"/>
    <d v="2001-07-28T00:00:00"/>
    <n v="23"/>
    <n v="178"/>
    <s v="Tinggi"/>
    <s v="INFJ"/>
    <x v="3"/>
    <x v="0"/>
    <s v="Sensory Collapse Domain"/>
    <n v="50"/>
    <n v="46"/>
    <n v="27"/>
    <n v="86"/>
    <s v="0.6752 %"/>
    <n v="212"/>
    <n v="0.66859999999999997"/>
    <n v="77.561800000000005"/>
    <x v="3"/>
    <n v="422.1438"/>
    <x v="2"/>
    <x v="0"/>
  </r>
  <r>
    <s v="Blaine Suzuki"/>
    <d v="2002-09-02T00:00:00"/>
    <n v="22"/>
    <n v="181"/>
    <s v="Tinggi"/>
    <s v="ENFJ"/>
    <x v="3"/>
    <x v="0"/>
    <s v="Moment moment of Truth / Oracle"/>
    <n v="48"/>
    <n v="25"/>
    <n v="13"/>
    <n v="38"/>
    <s v="0.4496 %"/>
    <n v="57"/>
    <n v="0.66839999999999999"/>
    <n v="35.6892"/>
    <x v="3"/>
    <n v="181.33799999999999"/>
    <x v="1"/>
    <x v="1"/>
  </r>
  <r>
    <s v="Iris Suzuki"/>
    <d v="2001-12-08T00:00:00"/>
    <n v="23"/>
    <n v="177"/>
    <s v="Tinggi"/>
    <s v="ENFP"/>
    <x v="3"/>
    <x v="1"/>
    <s v="Runic Deconstruction / Scholar"/>
    <n v="22"/>
    <n v="32"/>
    <n v="46"/>
    <n v="6"/>
    <s v="0.1086 %"/>
    <n v="144"/>
    <n v="0.46139999999999998"/>
    <n v="35.630400000000002"/>
    <x v="3"/>
    <n v="250.83"/>
    <x v="2"/>
    <x v="4"/>
  </r>
  <r>
    <s v="Kaito Holloway"/>
    <d v="2003-06-29T00:00:00"/>
    <n v="21"/>
    <n v="173"/>
    <s v="Normal"/>
    <s v="ENFP"/>
    <x v="3"/>
    <x v="1"/>
    <s v="Triage Field / Field Medic"/>
    <n v="13"/>
    <n v="4"/>
    <n v="76"/>
    <n v="30"/>
    <s v="0.5838 %"/>
    <n v="111"/>
    <n v="0.47570000000000001"/>
    <n v="6.4302000000000001"/>
    <x v="3"/>
    <n v="235.36949999999999"/>
    <x v="2"/>
    <x v="5"/>
  </r>
  <r>
    <s v="Petra Kim"/>
    <d v="2001-08-22T00:00:00"/>
    <n v="23"/>
    <n v="178"/>
    <s v="Tinggi"/>
    <s v="ENFP"/>
    <x v="3"/>
    <x v="1"/>
    <s v="Sensory Collapse Domain"/>
    <n v="82"/>
    <n v="76"/>
    <n v="76"/>
    <n v="45"/>
    <s v="0.4826 %"/>
    <n v="88"/>
    <n v="0.73119999999999996"/>
    <n v="112.559"/>
    <x v="1"/>
    <n v="368.03379999999999"/>
    <x v="1"/>
    <x v="6"/>
  </r>
  <r>
    <s v="Reika Coldwater"/>
    <d v="2001-06-28T00:00:00"/>
    <n v="23"/>
    <n v="171"/>
    <s v="Normal"/>
    <s v="INTJ"/>
    <x v="0"/>
    <x v="1"/>
    <s v="Fate Weave / Royal Advisor"/>
    <n v="117"/>
    <n v="24"/>
    <n v="81"/>
    <n v="59"/>
    <s v="0.7397 %"/>
    <n v="141"/>
    <n v="0.68469999999999998"/>
    <n v="42.553100000000001"/>
    <x v="1"/>
    <n v="423.81439999999998"/>
    <x v="2"/>
    <x v="1"/>
  </r>
  <r>
    <s v="Asher Nox"/>
    <d v="2002-12-20T00:00:00"/>
    <n v="22"/>
    <n v="178"/>
    <s v="Tinggi"/>
    <s v="INFJ"/>
    <x v="3"/>
    <x v="1"/>
    <s v="Triage Field / Field Medic"/>
    <n v="49"/>
    <n v="71"/>
    <n v="30"/>
    <n v="27"/>
    <s v="0.9869 %"/>
    <n v="343"/>
    <n v="0.70569999999999999"/>
    <n v="140.47380000000001"/>
    <x v="0"/>
    <n v="522.07259999999997"/>
    <x v="0"/>
    <x v="6"/>
  </r>
  <r>
    <s v="Rin Swiftwind"/>
    <d v="2001-09-17T00:00:00"/>
    <n v="23"/>
    <n v="180"/>
    <s v="Tinggi"/>
    <s v="ENTP"/>
    <x v="0"/>
    <x v="0"/>
    <s v="Dominion Mark"/>
    <n v="23"/>
    <n v="33"/>
    <n v="26"/>
    <n v="85"/>
    <s v="0.228 %"/>
    <n v="158"/>
    <n v="0.68459999999999999"/>
    <n v="40.3889"/>
    <x v="3"/>
    <n v="324.30259999999998"/>
    <x v="1"/>
    <x v="3"/>
  </r>
  <r>
    <s v="Iris Hayashi"/>
    <d v="2003-11-22T00:00:00"/>
    <n v="21"/>
    <n v="172"/>
    <s v="Normal"/>
    <s v="ENTJ"/>
    <x v="0"/>
    <x v="1"/>
    <s v="Sensory Collapse Domain"/>
    <n v="69"/>
    <n v="49"/>
    <n v="59"/>
    <n v="87"/>
    <s v="0.1838 %"/>
    <n v="339"/>
    <n v="0.83750000000000002"/>
    <n v="58.384999999999998"/>
    <x v="2"/>
    <n v="603.74130000000002"/>
    <x v="0"/>
    <x v="6"/>
  </r>
  <r>
    <s v="Celeste Langley"/>
    <d v="2003-10-11T00:00:00"/>
    <n v="21"/>
    <n v="166"/>
    <s v="Pendek"/>
    <s v="INFP"/>
    <x v="3"/>
    <x v="1"/>
    <s v="Archive of Blades / Guild Archivist"/>
    <n v="124"/>
    <n v="34"/>
    <n v="58"/>
    <n v="57"/>
    <s v="0.4094 %"/>
    <n v="195"/>
    <n v="0.70709999999999995"/>
    <n v="48.539700000000003"/>
    <x v="0"/>
    <n v="469.8965"/>
    <x v="0"/>
    <x v="0"/>
  </r>
  <r>
    <s v="Sora Rossi"/>
    <d v="2003-06-23T00:00:00"/>
    <n v="21"/>
    <n v="165"/>
    <s v="Pendek"/>
    <s v="ESFP"/>
    <x v="2"/>
    <x v="1"/>
    <s v="Fracture Surge"/>
    <n v="149"/>
    <n v="43"/>
    <n v="100"/>
    <n v="91"/>
    <s v="0.3717 %"/>
    <n v="353"/>
    <n v="0.79349999999999998"/>
    <n v="59.463200000000001"/>
    <x v="2"/>
    <n v="736.87519999999995"/>
    <x v="0"/>
    <x v="5"/>
  </r>
  <r>
    <s v="Haruto Vargas"/>
    <d v="2001-12-05T00:00:00"/>
    <n v="23"/>
    <n v="171"/>
    <s v="Normal"/>
    <s v="ENFJ"/>
    <x v="3"/>
    <x v="0"/>
    <s v="Dimensional Phase Shifting"/>
    <n v="94"/>
    <n v="73"/>
    <n v="76"/>
    <n v="43"/>
    <s v="0.1857 %"/>
    <n v="37"/>
    <n v="0.496"/>
    <n v="86.402000000000001"/>
    <x v="0"/>
    <n v="324.42169999999999"/>
    <x v="0"/>
    <x v="4"/>
  </r>
  <r>
    <s v="Brant Farell"/>
    <d v="2001-01-17T00:00:00"/>
    <n v="23"/>
    <n v="160"/>
    <s v="Pendek"/>
    <s v="ESFJ"/>
    <x v="1"/>
    <x v="1"/>
    <s v="Fate Weave / Royal Advisor"/>
    <n v="148"/>
    <n v="43"/>
    <n v="14"/>
    <n v="8"/>
    <s v="0.7577 %"/>
    <n v="154"/>
    <n v="0.4461"/>
    <n v="75.247100000000003"/>
    <x v="2"/>
    <n v="368.19380000000001"/>
    <x v="1"/>
    <x v="2"/>
  </r>
  <r>
    <s v="Hugo Silva"/>
    <d v="2001-10-20T00:00:00"/>
    <n v="23"/>
    <n v="180"/>
    <s v="Tinggi"/>
    <s v="ESTJ"/>
    <x v="1"/>
    <x v="0"/>
    <s v="Fracture Surge"/>
    <n v="92"/>
    <n v="17"/>
    <n v="36"/>
    <n v="22"/>
    <s v="0.9279 %"/>
    <n v="300"/>
    <n v="0.67720000000000002"/>
    <n v="33.256300000000003"/>
    <x v="3"/>
    <n v="468.21510000000001"/>
    <x v="0"/>
    <x v="0"/>
  </r>
  <r>
    <s v="Finn Rossi"/>
    <d v="2003-02-26T00:00:00"/>
    <n v="21"/>
    <n v="178"/>
    <s v="Tinggi"/>
    <s v="ISTJ"/>
    <x v="1"/>
    <x v="1"/>
    <s v="Living Canvas / Cartographer"/>
    <n v="48"/>
    <n v="15"/>
    <n v="28"/>
    <n v="9"/>
    <s v="0.64 %"/>
    <n v="222"/>
    <n v="0.6734"/>
    <n v="24.337599999999998"/>
    <x v="0"/>
    <n v="323.58339999999998"/>
    <x v="2"/>
    <x v="2"/>
  </r>
  <r>
    <s v="Brant Kobayashi"/>
    <d v="2003-03-14T00:00:00"/>
    <n v="21"/>
    <n v="183"/>
    <s v="Tinggi"/>
    <s v="INFJ"/>
    <x v="3"/>
    <x v="1"/>
    <s v="Guillotine Line"/>
    <n v="118"/>
    <n v="80"/>
    <n v="25"/>
    <n v="39"/>
    <s v="0.6743 %"/>
    <n v="97"/>
    <n v="0.432"/>
    <n v="133.24080000000001"/>
    <x v="0"/>
    <n v="359.55630000000002"/>
    <x v="1"/>
    <x v="2"/>
  </r>
  <r>
    <s v="Elise Crowe"/>
    <d v="2001-12-20T00:00:00"/>
    <n v="23"/>
    <n v="171"/>
    <s v="Normal"/>
    <s v="ESTJ"/>
    <x v="1"/>
    <x v="1"/>
    <s v="Warbrand Arsenal"/>
    <n v="3"/>
    <n v="8"/>
    <n v="27"/>
    <n v="5"/>
    <s v="0.8104 %"/>
    <n v="25"/>
    <n v="0.628"/>
    <n v="13.922000000000001"/>
    <x v="3"/>
    <n v="69.648399999999995"/>
    <x v="1"/>
    <x v="5"/>
  </r>
  <r>
    <s v="Elara Okafor"/>
    <d v="2001-06-21T00:00:00"/>
    <n v="23"/>
    <n v="168"/>
    <s v="Normal"/>
    <s v="INFP"/>
    <x v="3"/>
    <x v="1"/>
    <s v="Probability Flux / Treasure Hunter"/>
    <n v="77"/>
    <n v="21"/>
    <n v="81"/>
    <n v="54"/>
    <s v="0.6709 %"/>
    <n v="157"/>
    <n v="0.77549999999999997"/>
    <n v="35.289400000000001"/>
    <x v="0"/>
    <n v="391.74639999999999"/>
    <x v="1"/>
    <x v="5"/>
  </r>
  <r>
    <s v="Takeshi Nox"/>
    <d v="2001-06-26T00:00:00"/>
    <n v="23"/>
    <n v="167"/>
    <s v="Pendek"/>
    <s v="ENTP"/>
    <x v="0"/>
    <x v="1"/>
    <s v="Fate Weave / Royal Advisor"/>
    <n v="69"/>
    <n v="61"/>
    <n v="32"/>
    <n v="74"/>
    <s v="0.2075 %"/>
    <n v="297"/>
    <n v="0.71860000000000002"/>
    <n v="73.983500000000006"/>
    <x v="0"/>
    <n v="533.31610000000001"/>
    <x v="0"/>
    <x v="3"/>
  </r>
  <r>
    <s v="Brant Coldwater"/>
    <d v="2003-02-01T00:00:00"/>
    <n v="21"/>
    <n v="165"/>
    <s v="Pendek"/>
    <s v="ENFJ"/>
    <x v="3"/>
    <x v="0"/>
    <s v="Primal Sovereign / Engineer"/>
    <n v="110"/>
    <n v="13"/>
    <n v="90"/>
    <n v="34"/>
    <s v="0.5715 %"/>
    <n v="172"/>
    <n v="0.51829999999999998"/>
    <n v="19.942299999999999"/>
    <x v="0"/>
    <n v="420.5498"/>
    <x v="1"/>
    <x v="3"/>
  </r>
  <r>
    <s v="Rin Bramble"/>
    <d v="2001-12-08T00:00:00"/>
    <n v="23"/>
    <n v="178"/>
    <s v="Tinggi"/>
    <s v="ENFJ"/>
    <x v="3"/>
    <x v="1"/>
    <s v="Triage Field / Field Medic"/>
    <n v="39"/>
    <n v="11"/>
    <n v="58"/>
    <n v="73"/>
    <s v="0.5579 %"/>
    <n v="92"/>
    <n v="0.41980000000000001"/>
    <n v="17.4329"/>
    <x v="0"/>
    <n v="273.68770000000001"/>
    <x v="0"/>
    <x v="0"/>
  </r>
  <r>
    <s v="Felix Drayton"/>
    <d v="2002-01-02T00:00:00"/>
    <n v="22"/>
    <n v="164"/>
    <s v="Pendek"/>
    <s v="ENFP"/>
    <x v="3"/>
    <x v="0"/>
    <s v="Resonant Aria / Performer"/>
    <n v="34"/>
    <n v="26"/>
    <n v="92"/>
    <n v="33"/>
    <s v="0.6144 %"/>
    <n v="331"/>
    <n v="0.45369999999999999"/>
    <n v="41.296399999999998"/>
    <x v="0"/>
    <n v="516.00810000000001"/>
    <x v="0"/>
    <x v="1"/>
  </r>
  <r>
    <s v="Chiyo Eld"/>
    <d v="2002-08-02T00:00:00"/>
    <n v="22"/>
    <n v="174"/>
    <s v="Normal"/>
    <s v="INTJ"/>
    <x v="0"/>
    <x v="1"/>
    <s v="Archive of Blades / Guild Archivist"/>
    <n v="14"/>
    <n v="46"/>
    <n v="38"/>
    <n v="30"/>
    <s v="0.7656 %"/>
    <n v="314"/>
    <n v="0.50919999999999999"/>
    <n v="81.605999999999995"/>
    <x v="2"/>
    <n v="442.77480000000003"/>
    <x v="2"/>
    <x v="3"/>
  </r>
  <r>
    <s v="Ansel Stormbright"/>
    <d v="2001-01-14T00:00:00"/>
    <n v="23"/>
    <n v="164"/>
    <s v="Pendek"/>
    <s v="INFJ"/>
    <x v="3"/>
    <x v="1"/>
    <s v="Gravity Rend"/>
    <n v="36"/>
    <n v="35"/>
    <n v="84"/>
    <n v="88"/>
    <s v="0.1013 %"/>
    <n v="380"/>
    <n v="0.69579999999999997"/>
    <n v="38.875900000000001"/>
    <x v="2"/>
    <n v="624.22709999999995"/>
    <x v="0"/>
    <x v="1"/>
  </r>
  <r>
    <s v="Shiho Holloway"/>
    <d v="2001-10-19T00:00:00"/>
    <n v="23"/>
    <n v="161"/>
    <s v="Pendek"/>
    <s v="ESFJ"/>
    <x v="1"/>
    <x v="1"/>
    <s v="Probability Flux / Treasure Hunter"/>
    <n v="8"/>
    <n v="24"/>
    <n v="85"/>
    <n v="42"/>
    <s v="0.5126 %"/>
    <n v="358"/>
    <n v="0.73660000000000003"/>
    <n v="36.181399999999996"/>
    <x v="0"/>
    <n v="517.63919999999996"/>
    <x v="2"/>
    <x v="1"/>
  </r>
  <r>
    <s v="Nami Nox"/>
    <d v="2001-09-25T00:00:00"/>
    <n v="23"/>
    <n v="173"/>
    <s v="Normal"/>
    <s v="INFP"/>
    <x v="3"/>
    <x v="0"/>
    <s v="Runic Deconstruction / Scholar"/>
    <n v="40"/>
    <n v="32"/>
    <n v="80"/>
    <n v="70"/>
    <s v="0.3863 %"/>
    <n v="294"/>
    <n v="0.52239999999999998"/>
    <n v="44.625"/>
    <x v="0"/>
    <n v="518.04870000000005"/>
    <x v="0"/>
    <x v="1"/>
  </r>
  <r>
    <s v="Zara Tanaka"/>
    <d v="2003-07-10T00:00:00"/>
    <n v="21"/>
    <n v="165"/>
    <s v="Pendek"/>
    <s v="ISTJ"/>
    <x v="1"/>
    <x v="1"/>
    <s v="Archive of Blades / Guild Archivist"/>
    <n v="62"/>
    <n v="54"/>
    <n v="96"/>
    <n v="22"/>
    <s v="0.3385 %"/>
    <n v="124"/>
    <n v="0.45400000000000001"/>
    <n v="72.359300000000005"/>
    <x v="1"/>
    <n v="358.49250000000001"/>
    <x v="2"/>
    <x v="2"/>
  </r>
  <r>
    <s v="Celeste Pemberton"/>
    <d v="2001-07-06T00:00:00"/>
    <n v="23"/>
    <n v="164"/>
    <s v="Pendek"/>
    <s v="INTJ"/>
    <x v="0"/>
    <x v="0"/>
    <s v="Combat Escalation Law"/>
    <n v="60"/>
    <n v="6"/>
    <n v="31"/>
    <n v="82"/>
    <s v="0.9569 %"/>
    <n v="70"/>
    <n v="0.78459999999999996"/>
    <n v="11.447900000000001"/>
    <x v="1"/>
    <n v="250.78149999999999"/>
    <x v="0"/>
    <x v="3"/>
  </r>
  <r>
    <s v="Riku Nox"/>
    <d v="2002-04-01T00:00:00"/>
    <n v="22"/>
    <n v="184"/>
    <s v="Tinggi"/>
    <s v="ISTJ"/>
    <x v="1"/>
    <x v="0"/>
    <s v="Essence Severance"/>
    <n v="124"/>
    <n v="38"/>
    <n v="63"/>
    <n v="65"/>
    <s v="0.3329 %"/>
    <n v="233"/>
    <n v="0.76570000000000005"/>
    <n v="50.450299999999999"/>
    <x v="0"/>
    <n v="524.24860000000001"/>
    <x v="0"/>
    <x v="1"/>
  </r>
  <r>
    <s v="Dara Hayashi"/>
    <d v="2002-11-11T00:00:00"/>
    <n v="22"/>
    <n v="185"/>
    <s v="Tinggi"/>
    <s v="ESFP"/>
    <x v="2"/>
    <x v="0"/>
    <s v="Ruin Pulse Engine"/>
    <n v="141"/>
    <n v="6"/>
    <n v="92"/>
    <n v="44"/>
    <s v="0.5465 %"/>
    <n v="290"/>
    <n v="0.57220000000000004"/>
    <n v="9.2944999999999993"/>
    <x v="3"/>
    <n v="574.94870000000003"/>
    <x v="0"/>
    <x v="2"/>
  </r>
  <r>
    <s v="Seraphina Swiftwind"/>
    <d v="2003-07-03T00:00:00"/>
    <n v="21"/>
    <n v="168"/>
    <s v="Normal"/>
    <s v="INFJ"/>
    <x v="3"/>
    <x v="0"/>
    <s v="Ruin Pulse Engine"/>
    <n v="92"/>
    <n v="62"/>
    <n v="65"/>
    <n v="50"/>
    <s v="0.5311 %"/>
    <n v="353"/>
    <n v="0.4395"/>
    <n v="95.050700000000006"/>
    <x v="3"/>
    <n v="624.25059999999996"/>
    <x v="0"/>
    <x v="3"/>
  </r>
  <r>
    <s v="Cassian Stormbright"/>
    <d v="2001-02-09T00:00:00"/>
    <n v="23"/>
    <n v="180"/>
    <s v="Tinggi"/>
    <s v="INFJ"/>
    <x v="3"/>
    <x v="1"/>
    <s v="Combat Escalation Law"/>
    <n v="72"/>
    <n v="78"/>
    <n v="35"/>
    <n v="57"/>
    <s v="0.3434 %"/>
    <n v="129"/>
    <n v="0.41170000000000001"/>
    <n v="105.2688"/>
    <x v="1"/>
    <n v="372.96510000000001"/>
    <x v="0"/>
    <x v="6"/>
  </r>
  <r>
    <s v="Rin Velmont"/>
    <d v="2003-01-03T00:00:00"/>
    <n v="21"/>
    <n v="176"/>
    <s v="Tinggi"/>
    <s v="ISTP"/>
    <x v="2"/>
    <x v="0"/>
    <s v="Triage Field / Field Medic"/>
    <n v="16"/>
    <n v="66"/>
    <n v="27"/>
    <n v="82"/>
    <s v="0.1503 %"/>
    <n v="367"/>
    <n v="0.84840000000000004"/>
    <n v="75.954300000000003"/>
    <x v="1"/>
    <n v="559.13869999999997"/>
    <x v="2"/>
    <x v="6"/>
  </r>
  <r>
    <s v="Isla Suzuki"/>
    <d v="2002-04-30T00:00:00"/>
    <n v="22"/>
    <n v="165"/>
    <s v="Pendek"/>
    <s v="INFP"/>
    <x v="3"/>
    <x v="1"/>
    <s v="Combat Escalation Law"/>
    <n v="137"/>
    <n v="4"/>
    <n v="70"/>
    <n v="95"/>
    <s v="0.6068 %"/>
    <n v="226"/>
    <n v="0.48470000000000002"/>
    <n v="6.0898000000000003"/>
    <x v="3"/>
    <n v="533.11149999999998"/>
    <x v="2"/>
    <x v="2"/>
  </r>
  <r>
    <s v="Torin Aikawa"/>
    <d v="2001-04-26T00:00:00"/>
    <n v="23"/>
    <n v="162"/>
    <s v="Pendek"/>
    <s v="ESTP"/>
    <x v="2"/>
    <x v="0"/>
    <s v="Heartstrike Overload"/>
    <n v="4"/>
    <n v="48"/>
    <n v="34"/>
    <n v="62"/>
    <s v="0.4067 %"/>
    <n v="323"/>
    <n v="0.47989999999999999"/>
    <n v="67.971699999999998"/>
    <x v="2"/>
    <n v="471.58659999999998"/>
    <x v="0"/>
    <x v="0"/>
  </r>
  <r>
    <s v="Caspian Nakamura"/>
    <d v="2001-08-16T00:00:00"/>
    <n v="23"/>
    <n v="184"/>
    <s v="Tinggi"/>
    <s v="ESTJ"/>
    <x v="1"/>
    <x v="1"/>
    <s v="Warbrand Arsenal"/>
    <n v="57"/>
    <n v="94"/>
    <n v="40"/>
    <n v="11"/>
    <s v="0.2228 %"/>
    <n v="121"/>
    <n v="0.47089999999999999"/>
    <n v="115.24890000000001"/>
    <x v="3"/>
    <n v="324.1737"/>
    <x v="2"/>
    <x v="3"/>
  </r>
  <r>
    <s v="Leon Whitmore"/>
    <d v="2001-12-26T00:00:00"/>
    <n v="23"/>
    <n v="167"/>
    <s v="Pendek"/>
    <s v="ISFJ"/>
    <x v="1"/>
    <x v="1"/>
    <s v="Covenant Bond / Healer &amp; Diplomat"/>
    <n v="110"/>
    <n v="30"/>
    <n v="19"/>
    <n v="1"/>
    <s v="0.6156 %"/>
    <n v="281"/>
    <n v="0.78280000000000005"/>
    <n v="48.726500000000001"/>
    <x v="0"/>
    <n v="442.79840000000002"/>
    <x v="0"/>
    <x v="4"/>
  </r>
  <r>
    <s v="Iris Tanaka"/>
    <d v="2001-10-16T00:00:00"/>
    <n v="23"/>
    <n v="175"/>
    <s v="Tinggi"/>
    <s v="ISFJ"/>
    <x v="1"/>
    <x v="1"/>
    <s v="Warbrand Arsenal"/>
    <n v="36"/>
    <n v="98"/>
    <n v="18"/>
    <n v="89"/>
    <s v="0.7381 %"/>
    <n v="36"/>
    <n v="0.68759999999999999"/>
    <n v="170.78569999999999"/>
    <x v="2"/>
    <n v="278.81569999999999"/>
    <x v="1"/>
    <x v="0"/>
  </r>
  <r>
    <s v="Asher Stormbright"/>
    <d v="2001-05-19T00:00:00"/>
    <n v="23"/>
    <n v="182"/>
    <s v="Tinggi"/>
    <s v="ISTP"/>
    <x v="2"/>
    <x v="1"/>
    <s v="Soulfire Manifestation"/>
    <n v="118"/>
    <n v="72"/>
    <n v="6"/>
    <n v="44"/>
    <s v="0.2497 %"/>
    <n v="168"/>
    <n v="0.58630000000000004"/>
    <n v="90.378299999999996"/>
    <x v="3"/>
    <n v="410.01600000000002"/>
    <x v="1"/>
    <x v="4"/>
  </r>
  <r>
    <s v="Seren Crestwood"/>
    <d v="2002-04-07T00:00:00"/>
    <n v="22"/>
    <n v="185"/>
    <s v="Tinggi"/>
    <s v="INFP"/>
    <x v="3"/>
    <x v="0"/>
    <s v="Transmutation Aura / Alchemist"/>
    <n v="12"/>
    <n v="85"/>
    <n v="30"/>
    <n v="33"/>
    <s v="0.1668 %"/>
    <n v="381"/>
    <n v="0.47649999999999998"/>
    <n v="98.863"/>
    <x v="3"/>
    <n v="540.81330000000003"/>
    <x v="0"/>
    <x v="5"/>
  </r>
  <r>
    <s v="Petra Hayashi"/>
    <d v="2003-09-16T00:00:00"/>
    <n v="21"/>
    <n v="170"/>
    <s v="Normal"/>
    <s v="ENTJ"/>
    <x v="0"/>
    <x v="0"/>
    <s v="Living Canvas / Cartographer"/>
    <n v="141"/>
    <n v="17"/>
    <n v="89"/>
    <n v="17"/>
    <s v="0.285 %"/>
    <n v="41"/>
    <n v="0.48549999999999999"/>
    <n v="22.268999999999998"/>
    <x v="2"/>
    <n v="306.56049999999999"/>
    <x v="2"/>
    <x v="2"/>
  </r>
  <r>
    <s v="Takeshi Chen"/>
    <d v="2003-03-16T00:00:00"/>
    <n v="21"/>
    <n v="161"/>
    <s v="Pendek"/>
    <s v="ISFP"/>
    <x v="2"/>
    <x v="1"/>
    <s v="Zone of Order / City Watch Captain"/>
    <n v="9"/>
    <n v="1"/>
    <n v="10"/>
    <n v="83"/>
    <s v="0.5323 %"/>
    <n v="250"/>
    <n v="0.44359999999999999"/>
    <n v="2.1145999999999998"/>
    <x v="1"/>
    <n v="354.13589999999999"/>
    <x v="0"/>
    <x v="5"/>
  </r>
  <r>
    <s v="Elara Velmont"/>
    <d v="2002-09-24T00:00:00"/>
    <n v="22"/>
    <n v="163"/>
    <s v="Pendek"/>
    <s v="ISFP"/>
    <x v="2"/>
    <x v="1"/>
    <s v="Verdant Wrath / Forest Herbalist"/>
    <n v="74"/>
    <n v="66"/>
    <n v="10"/>
    <n v="55"/>
    <s v="0.8969 %"/>
    <n v="75"/>
    <n v="0.56620000000000004"/>
    <n v="126.03"/>
    <x v="3"/>
    <n v="281.44310000000002"/>
    <x v="0"/>
    <x v="2"/>
  </r>
  <r>
    <s v="Tomoe Coldwater"/>
    <d v="2002-07-05T00:00:00"/>
    <n v="22"/>
    <n v="167"/>
    <s v="Pendek"/>
    <s v="ESFP"/>
    <x v="2"/>
    <x v="0"/>
    <s v="Zone of Order / City Watch Captain"/>
    <n v="113"/>
    <n v="67"/>
    <n v="9"/>
    <n v="35"/>
    <s v="0.9736 %"/>
    <n v="217"/>
    <n v="0.66539999999999999"/>
    <n v="132.38910000000001"/>
    <x v="0"/>
    <n v="443.36900000000003"/>
    <x v="1"/>
    <x v="6"/>
  </r>
  <r>
    <s v="Corwin Velmont"/>
    <d v="2002-04-28T00:00:00"/>
    <n v="22"/>
    <n v="178"/>
    <s v="Tinggi"/>
    <s v="ENTP"/>
    <x v="0"/>
    <x v="1"/>
    <s v="Covenant Bond / Healer &amp; Diplomat"/>
    <n v="13"/>
    <n v="90"/>
    <n v="72"/>
    <n v="51"/>
    <s v="0.8204 %"/>
    <n v="360"/>
    <n v="0.70489999999999997"/>
    <n v="164.5095"/>
    <x v="1"/>
    <n v="587.36530000000005"/>
    <x v="0"/>
    <x v="6"/>
  </r>
  <r>
    <s v="Leon Inoue"/>
    <d v="2002-01-30T00:00:00"/>
    <n v="22"/>
    <n v="166"/>
    <s v="Pendek"/>
    <s v="ESFP"/>
    <x v="2"/>
    <x v="0"/>
    <s v="Ruin Pulse Engine"/>
    <n v="64"/>
    <n v="99"/>
    <n v="44"/>
    <n v="100"/>
    <s v="0.8507 %"/>
    <n v="251"/>
    <n v="0.51600000000000001"/>
    <n v="182.92320000000001"/>
    <x v="0"/>
    <n v="559.37670000000003"/>
    <x v="0"/>
    <x v="3"/>
  </r>
  <r>
    <s v="Petra Pemberton"/>
    <d v="2003-12-01T00:00:00"/>
    <n v="21"/>
    <n v="168"/>
    <s v="Normal"/>
    <s v="INFP"/>
    <x v="3"/>
    <x v="1"/>
    <s v="Fracture Surge"/>
    <n v="118"/>
    <n v="63"/>
    <n v="53"/>
    <n v="43"/>
    <s v="0.2334 %"/>
    <n v="166"/>
    <n v="0.66459999999999997"/>
    <n v="77.3095"/>
    <x v="0"/>
    <n v="443.40800000000002"/>
    <x v="0"/>
    <x v="4"/>
  </r>
  <r>
    <s v="Kotaro Montgomery"/>
    <d v="2002-06-25T00:00:00"/>
    <n v="22"/>
    <n v="173"/>
    <s v="Normal"/>
    <s v="ISTJ"/>
    <x v="1"/>
    <x v="1"/>
    <s v="Memory Palace / Librarian Assistant"/>
    <n v="86"/>
    <n v="48"/>
    <n v="18"/>
    <n v="41"/>
    <s v="0.7127 %"/>
    <n v="248"/>
    <n v="0.58079999999999998"/>
    <n v="81.918400000000005"/>
    <x v="3"/>
    <n v="441.9735"/>
    <x v="1"/>
    <x v="5"/>
  </r>
  <r>
    <s v="Mika Velmont"/>
    <d v="2003-02-02T00:00:00"/>
    <n v="21"/>
    <n v="168"/>
    <s v="Normal"/>
    <s v="ESFJ"/>
    <x v="1"/>
    <x v="0"/>
    <s v="Adaptive Mutation"/>
    <n v="123"/>
    <n v="31"/>
    <n v="29"/>
    <n v="50"/>
    <s v="0.1884 %"/>
    <n v="279"/>
    <n v="0.79100000000000004"/>
    <n v="36.840400000000002"/>
    <x v="1"/>
    <n v="511.96940000000001"/>
    <x v="1"/>
    <x v="5"/>
  </r>
  <r>
    <s v="Lena Dawnforge"/>
    <d v="2003-05-04T00:00:00"/>
    <n v="21"/>
    <n v="183"/>
    <s v="Tinggi"/>
    <s v="ESFP"/>
    <x v="2"/>
    <x v="0"/>
    <s v="Essence Severance"/>
    <n v="67"/>
    <n v="91"/>
    <n v="41"/>
    <n v="49"/>
    <s v="0.4365 %"/>
    <n v="207"/>
    <n v="0.42530000000000001"/>
    <n v="131.33920000000001"/>
    <x v="1"/>
    <n v="456.46179999999998"/>
    <x v="0"/>
    <x v="2"/>
  </r>
  <r>
    <s v="Finn Funai"/>
    <d v="2002-01-30T00:00:00"/>
    <n v="22"/>
    <n v="165"/>
    <s v="Pendek"/>
    <s v="INFP"/>
    <x v="3"/>
    <x v="0"/>
    <s v="Guillotine Line"/>
    <n v="38"/>
    <n v="46"/>
    <n v="92"/>
    <n v="71"/>
    <s v="0.8412 %"/>
    <n v="110"/>
    <n v="0.62729999999999997"/>
    <n v="85.045000000000002"/>
    <x v="0"/>
    <n v="358.79849999999999"/>
    <x v="2"/>
    <x v="0"/>
  </r>
  <r>
    <s v="Nora Holloway"/>
    <d v="2003-07-03T00:00:00"/>
    <n v="21"/>
    <n v="179"/>
    <s v="Tinggi"/>
    <s v="ESFJ"/>
    <x v="1"/>
    <x v="0"/>
    <s v="Verdant Wrath / Forest Herbalist"/>
    <n v="88"/>
    <n v="36"/>
    <n v="17"/>
    <n v="90"/>
    <s v="0.72 %"/>
    <n v="300"/>
    <n v="0.52829999999999999"/>
    <n v="61.2836"/>
    <x v="3"/>
    <n v="531.90830000000005"/>
    <x v="0"/>
    <x v="1"/>
  </r>
  <r>
    <s v="Orion Yoshida"/>
    <d v="2002-02-28T00:00:00"/>
    <n v="22"/>
    <n v="181"/>
    <s v="Tinggi"/>
    <s v="INFJ"/>
    <x v="3"/>
    <x v="1"/>
    <s v="Resonant Aria / Performer"/>
    <n v="77"/>
    <n v="87"/>
    <n v="97"/>
    <n v="69"/>
    <s v="0.2191 %"/>
    <n v="190"/>
    <n v="0.47789999999999999"/>
    <n v="105.5741"/>
    <x v="0"/>
    <n v="520.22699999999998"/>
    <x v="0"/>
    <x v="2"/>
  </r>
  <r>
    <s v="Cassian Swiftwind"/>
    <d v="2003-02-11T00:00:00"/>
    <n v="21"/>
    <n v="173"/>
    <s v="Normal"/>
    <s v="ISFP"/>
    <x v="2"/>
    <x v="1"/>
    <s v="Momentum Surge / Knight-Errant"/>
    <n v="39"/>
    <n v="47"/>
    <n v="68"/>
    <n v="83"/>
    <s v="0.1921 %"/>
    <n v="159"/>
    <n v="0.63019999999999998"/>
    <n v="56.267099999999999"/>
    <x v="2"/>
    <n v="396.6823"/>
    <x v="2"/>
    <x v="5"/>
  </r>
  <r>
    <s v="Shun Tanaka"/>
    <d v="2001-05-11T00:00:00"/>
    <n v="23"/>
    <n v="175"/>
    <s v="Tinggi"/>
    <s v="ISFP"/>
    <x v="2"/>
    <x v="1"/>
    <s v="Primal Sovereign / Engineer"/>
    <n v="96"/>
    <n v="86"/>
    <n v="27"/>
    <n v="71"/>
    <s v="0.3689 %"/>
    <n v="357"/>
    <n v="0.46750000000000003"/>
    <n v="118.1224"/>
    <x v="1"/>
    <n v="638.88639999999998"/>
    <x v="0"/>
    <x v="6"/>
  </r>
  <r>
    <s v="Emery Hargrove"/>
    <d v="2001-10-14T00:00:00"/>
    <n v="23"/>
    <n v="181"/>
    <s v="Tinggi"/>
    <s v="INFP"/>
    <x v="3"/>
    <x v="0"/>
    <s v="Memory Palace / Librarian Assistant"/>
    <n v="150"/>
    <n v="27"/>
    <n v="42"/>
    <n v="39"/>
    <s v="0.7373 %"/>
    <n v="15"/>
    <n v="0.65739999999999998"/>
    <n v="46.351199999999999"/>
    <x v="1"/>
    <n v="274.66469999999998"/>
    <x v="1"/>
    <x v="5"/>
  </r>
  <r>
    <s v="Vale Velmont"/>
    <d v="2003-01-05T00:00:00"/>
    <n v="21"/>
    <n v="181"/>
    <s v="Tinggi"/>
    <s v="ESFJ"/>
    <x v="1"/>
    <x v="1"/>
    <s v="Triage Field / Field Medic"/>
    <n v="126"/>
    <n v="88"/>
    <n v="19"/>
    <n v="11"/>
    <s v="0.3328 %"/>
    <n v="52"/>
    <n v="0.76380000000000003"/>
    <n v="116.9799"/>
    <x v="1"/>
    <n v="296.76659999999998"/>
    <x v="2"/>
    <x v="2"/>
  </r>
  <r>
    <s v="Orion Whitmore"/>
    <d v="2002-09-21T00:00:00"/>
    <n v="22"/>
    <n v="167"/>
    <s v="Pendek"/>
    <s v="ENTJ"/>
    <x v="0"/>
    <x v="1"/>
    <s v="Adaptive Mutation"/>
    <n v="56"/>
    <n v="59"/>
    <n v="47"/>
    <n v="13"/>
    <s v="0.671 %"/>
    <n v="22"/>
    <n v="0.66110000000000002"/>
    <n v="98.538899999999998"/>
    <x v="0"/>
    <n v="198.6721"/>
    <x v="1"/>
    <x v="1"/>
  </r>
  <r>
    <s v="Vessa Aurelius"/>
    <d v="2001-04-21T00:00:00"/>
    <n v="23"/>
    <n v="173"/>
    <s v="Normal"/>
    <s v="ISTJ"/>
    <x v="1"/>
    <x v="0"/>
    <s v="Moment moment of Truth / Oracle"/>
    <n v="149"/>
    <n v="35"/>
    <n v="99"/>
    <n v="89"/>
    <s v="0.2289 %"/>
    <n v="395"/>
    <n v="0.78810000000000002"/>
    <n v="42.913200000000003"/>
    <x v="1"/>
    <n v="767.58699999999999"/>
    <x v="0"/>
    <x v="3"/>
  </r>
  <r>
    <s v="Zephyr Suzuki"/>
    <d v="2001-04-29T00:00:00"/>
    <n v="23"/>
    <n v="170"/>
    <s v="Normal"/>
    <s v="ISFJ"/>
    <x v="1"/>
    <x v="0"/>
    <s v="Transmutation Aura / Alchemist"/>
    <n v="42"/>
    <n v="76"/>
    <n v="18"/>
    <n v="77"/>
    <s v="0.7872 %"/>
    <n v="196"/>
    <n v="0.43959999999999999"/>
    <n v="136.47059999999999"/>
    <x v="3"/>
    <n v="410.05680000000001"/>
    <x v="2"/>
    <x v="3"/>
  </r>
  <r>
    <s v="Akira Crestwood"/>
    <d v="2001-01-10T00:00:00"/>
    <n v="23"/>
    <n v="172"/>
    <s v="Normal"/>
    <s v="INFP"/>
    <x v="3"/>
    <x v="0"/>
    <s v="Essence Severance"/>
    <n v="110"/>
    <n v="95"/>
    <n v="89"/>
    <n v="76"/>
    <s v="0.1161 %"/>
    <n v="213"/>
    <n v="0.40189999999999998"/>
    <n v="106.09650000000001"/>
    <x v="1"/>
    <n v="583.56799999999998"/>
    <x v="0"/>
    <x v="5"/>
  </r>
  <r>
    <s v="Hina Muller"/>
    <d v="2003-02-25T00:00:00"/>
    <n v="21"/>
    <n v="163"/>
    <s v="Pendek"/>
    <s v="ENFJ"/>
    <x v="3"/>
    <x v="1"/>
    <s v="Triage Field / Field Medic"/>
    <n v="11"/>
    <n v="6"/>
    <n v="95"/>
    <n v="46"/>
    <s v="0.5717 %"/>
    <n v="209"/>
    <n v="0.59509999999999996"/>
    <n v="8.6914999999999996"/>
    <x v="1"/>
    <n v="367.0668"/>
    <x v="1"/>
    <x v="3"/>
  </r>
  <r>
    <s v="Dante Inoue"/>
    <d v="2003-04-07T00:00:00"/>
    <n v="21"/>
    <n v="185"/>
    <s v="Tinggi"/>
    <s v="ENFJ"/>
    <x v="3"/>
    <x v="0"/>
    <s v="Heartstrike Overload"/>
    <n v="34"/>
    <n v="98"/>
    <n v="22"/>
    <n v="3"/>
    <s v="0.2108 %"/>
    <n v="202"/>
    <n v="0.72"/>
    <n v="119.2638"/>
    <x v="0"/>
    <n v="361.2808"/>
    <x v="1"/>
    <x v="5"/>
  </r>
  <r>
    <s v="Corwin Ashvale"/>
    <d v="2001-04-09T00:00:00"/>
    <n v="23"/>
    <n v="179"/>
    <s v="Tinggi"/>
    <s v="ISTP"/>
    <x v="2"/>
    <x v="0"/>
    <s v="Gravity Rend"/>
    <n v="8"/>
    <n v="12"/>
    <n v="45"/>
    <n v="13"/>
    <s v="0.7317 %"/>
    <n v="102"/>
    <n v="0.49249999999999999"/>
    <n v="21.577000000000002"/>
    <x v="0"/>
    <n v="181.9442"/>
    <x v="1"/>
    <x v="3"/>
  </r>
  <r>
    <s v="Emery Dawnforge"/>
    <d v="2001-10-08T00:00:00"/>
    <n v="23"/>
    <n v="179"/>
    <s v="Tinggi"/>
    <s v="ISTJ"/>
    <x v="1"/>
    <x v="1"/>
    <s v="Absolute Command / General"/>
    <n v="77"/>
    <n v="62"/>
    <n v="29"/>
    <n v="79"/>
    <s v="0.6481 %"/>
    <n v="200"/>
    <n v="0.75009999999999999"/>
    <n v="102.4294"/>
    <x v="1"/>
    <n v="448.0582"/>
    <x v="1"/>
    <x v="5"/>
  </r>
  <r>
    <s v="Airi Sato"/>
    <d v="2003-10-14T00:00:00"/>
    <n v="21"/>
    <n v="161"/>
    <s v="Pendek"/>
    <s v="ENTP"/>
    <x v="0"/>
    <x v="0"/>
    <s v="Verdant Wrath / Forest Herbalist"/>
    <n v="50"/>
    <n v="1"/>
    <n v="67"/>
    <n v="91"/>
    <s v="0.7021 %"/>
    <n v="334"/>
    <n v="0.46710000000000002"/>
    <n v="2.1617000000000002"/>
    <x v="0"/>
    <n v="545.22919999999999"/>
    <x v="2"/>
    <x v="0"/>
  </r>
  <r>
    <s v="Haruto Saito"/>
    <d v="2002-08-30T00:00:00"/>
    <n v="22"/>
    <n v="174"/>
    <s v="Normal"/>
    <s v="ISTJ"/>
    <x v="1"/>
    <x v="1"/>
    <s v="Momentum Surge / Knight-Errant"/>
    <n v="8"/>
    <n v="82"/>
    <n v="88"/>
    <n v="85"/>
    <s v="0.7091 %"/>
    <n v="145"/>
    <n v="0.5917"/>
    <n v="139.29159999999999"/>
    <x v="0"/>
    <n v="408.9008"/>
    <x v="0"/>
    <x v="6"/>
  </r>
  <r>
    <s v="Riku Silva"/>
    <d v="2001-12-16T00:00:00"/>
    <n v="23"/>
    <n v="181"/>
    <s v="Tinggi"/>
    <s v="INTJ"/>
    <x v="0"/>
    <x v="1"/>
    <s v="Combat Escalation Law"/>
    <n v="134"/>
    <n v="96"/>
    <n v="28"/>
    <n v="74"/>
    <s v="0.4085 %"/>
    <n v="150"/>
    <n v="0.45119999999999999"/>
    <n v="134.5822"/>
    <x v="3"/>
    <n v="481.49970000000002"/>
    <x v="1"/>
    <x v="2"/>
  </r>
  <r>
    <s v="Aster Crestwood"/>
    <d v="2003-05-14T00:00:00"/>
    <n v="21"/>
    <n v="185"/>
    <s v="Tinggi"/>
    <s v="INFP"/>
    <x v="3"/>
    <x v="0"/>
    <s v="Fate Weave / Royal Advisor"/>
    <n v="21"/>
    <n v="73"/>
    <n v="98"/>
    <n v="85"/>
    <s v="0.9201 %"/>
    <n v="42"/>
    <n v="0.61719999999999997"/>
    <n v="139.99449999999999"/>
    <x v="3"/>
    <n v="320.33730000000003"/>
    <x v="0"/>
    <x v="4"/>
  </r>
  <r>
    <s v="Isla Funai"/>
    <d v="2001-09-25T00:00:00"/>
    <n v="23"/>
    <n v="181"/>
    <s v="Tinggi"/>
    <s v="INFP"/>
    <x v="3"/>
    <x v="1"/>
    <s v="Memory Palace / Librarian Assistant"/>
    <n v="18"/>
    <n v="42"/>
    <n v="6"/>
    <n v="27"/>
    <s v="0.7341 %"/>
    <n v="126"/>
    <n v="0.70509999999999995"/>
    <n v="72.346699999999998"/>
    <x v="1"/>
    <n v="219.8192"/>
    <x v="2"/>
    <x v="6"/>
  </r>
  <r>
    <s v="Brant Chen"/>
    <d v="2002-05-25T00:00:00"/>
    <n v="22"/>
    <n v="173"/>
    <s v="Normal"/>
    <s v="ISFJ"/>
    <x v="1"/>
    <x v="1"/>
    <s v="Combat Escalation Law"/>
    <n v="100"/>
    <n v="64"/>
    <n v="16"/>
    <n v="83"/>
    <s v="0.6516 %"/>
    <n v="357"/>
    <n v="0.4052"/>
    <n v="106.5282"/>
    <x v="1"/>
    <n v="620.91679999999997"/>
    <x v="2"/>
    <x v="6"/>
  </r>
  <r>
    <s v="Mirel Inoue"/>
    <d v="2003-10-04T00:00:00"/>
    <n v="21"/>
    <n v="162"/>
    <s v="Pendek"/>
    <s v="ENFP"/>
    <x v="3"/>
    <x v="1"/>
    <s v="Dominion Mark"/>
    <n v="50"/>
    <n v="29"/>
    <n v="51"/>
    <n v="56"/>
    <s v="0.8354 %"/>
    <n v="152"/>
    <n v="0.4355"/>
    <n v="52.382300000000001"/>
    <x v="3"/>
    <n v="338.8809"/>
    <x v="2"/>
    <x v="3"/>
  </r>
  <r>
    <s v="Mirel Declan"/>
    <d v="2001-09-01T00:00:00"/>
    <n v="23"/>
    <n v="170"/>
    <s v="Normal"/>
    <s v="ENTJ"/>
    <x v="0"/>
    <x v="1"/>
    <s v="Gravity Rend"/>
    <n v="16"/>
    <n v="42"/>
    <n v="56"/>
    <n v="1"/>
    <s v="0.6438 %"/>
    <n v="37"/>
    <n v="0.67859999999999998"/>
    <n v="68.743700000000004"/>
    <x v="2"/>
    <n v="153.88239999999999"/>
    <x v="2"/>
    <x v="4"/>
  </r>
  <r>
    <s v="Wren Ashford"/>
    <d v="2003-01-15T00:00:00"/>
    <n v="21"/>
    <n v="170"/>
    <s v="Normal"/>
    <s v="INFJ"/>
    <x v="3"/>
    <x v="0"/>
    <s v="Heartstrike Overload"/>
    <n v="127"/>
    <n v="34"/>
    <n v="77"/>
    <n v="60"/>
    <s v="0.427 %"/>
    <n v="287"/>
    <n v="0.60360000000000003"/>
    <n v="48.332500000000003"/>
    <x v="0"/>
    <n v="586.02059999999994"/>
    <x v="2"/>
    <x v="1"/>
  </r>
  <r>
    <s v="Clara Whitmore"/>
    <d v="2002-08-21T00:00:00"/>
    <n v="22"/>
    <n v="180"/>
    <s v="Tinggi"/>
    <s v="INTP"/>
    <x v="0"/>
    <x v="1"/>
    <s v="Absolute Command / General"/>
    <n v="8"/>
    <n v="17"/>
    <n v="15"/>
    <n v="72"/>
    <s v="0.1963 %"/>
    <n v="289"/>
    <n v="0.67490000000000006"/>
    <n v="20.636199999999999"/>
    <x v="1"/>
    <n v="401.71120000000002"/>
    <x v="0"/>
    <x v="6"/>
  </r>
  <r>
    <s v="Celeste Ashford"/>
    <d v="2002-01-26T00:00:00"/>
    <n v="22"/>
    <n v="185"/>
    <s v="Tinggi"/>
    <s v="INFP"/>
    <x v="3"/>
    <x v="1"/>
    <s v="Absolute Command / General"/>
    <n v="114"/>
    <n v="6"/>
    <n v="64"/>
    <n v="68"/>
    <s v="0.9026 %"/>
    <n v="50"/>
    <n v="0.60580000000000001"/>
    <n v="10.6546"/>
    <x v="1"/>
    <n v="302.3184"/>
    <x v="1"/>
    <x v="0"/>
  </r>
  <r>
    <s v="Petra Mirren"/>
    <d v="2003-09-17T00:00:00"/>
    <n v="21"/>
    <n v="178"/>
    <s v="Tinggi"/>
    <s v="INTJ"/>
    <x v="0"/>
    <x v="0"/>
    <s v="Elemental Mastery"/>
    <n v="110"/>
    <n v="14"/>
    <n v="39"/>
    <n v="60"/>
    <s v="0.5537 %"/>
    <n v="353"/>
    <n v="0.57310000000000005"/>
    <n v="21.301200000000001"/>
    <x v="1"/>
    <n v="577.67679999999996"/>
    <x v="1"/>
    <x v="3"/>
  </r>
  <r>
    <s v="Airi Declan"/>
    <d v="2001-10-01T00:00:00"/>
    <n v="23"/>
    <n v="185"/>
    <s v="Tinggi"/>
    <s v="ISFJ"/>
    <x v="1"/>
    <x v="0"/>
    <s v="Resonant Aria / Performer"/>
    <n v="91"/>
    <n v="89"/>
    <n v="52"/>
    <n v="84"/>
    <s v="0.3825 %"/>
    <n v="220"/>
    <n v="0.73160000000000003"/>
    <n v="122.7107"/>
    <x v="1"/>
    <n v="536.40409999999997"/>
    <x v="0"/>
    <x v="1"/>
  </r>
  <r>
    <s v="Vale Montgomery"/>
    <d v="2001-09-29T00:00:00"/>
    <n v="23"/>
    <n v="181"/>
    <s v="Tinggi"/>
    <s v="ISFP"/>
    <x v="2"/>
    <x v="0"/>
    <s v="Archive of Blades / Guild Archivist"/>
    <n v="107"/>
    <n v="76"/>
    <n v="57"/>
    <n v="59"/>
    <s v="0.7391 %"/>
    <n v="377"/>
    <n v="0.70340000000000003"/>
    <n v="132.72810000000001"/>
    <x v="2"/>
    <n v="677.10249999999996"/>
    <x v="1"/>
    <x v="6"/>
  </r>
  <r>
    <s v="Brant Tanaka"/>
    <d v="2003-02-20T00:00:00"/>
    <n v="21"/>
    <n v="160"/>
    <s v="Pendek"/>
    <s v="INTP"/>
    <x v="0"/>
    <x v="0"/>
    <s v="Guillotine Line"/>
    <n v="101"/>
    <n v="21"/>
    <n v="75"/>
    <n v="17"/>
    <s v="0.3255 %"/>
    <n v="115"/>
    <n v="0.77769999999999995"/>
    <n v="27.557099999999998"/>
    <x v="2"/>
    <n v="330.32319999999999"/>
    <x v="0"/>
    <x v="6"/>
  </r>
  <r>
    <s v="Isla Declan"/>
    <d v="2002-04-05T00:00:00"/>
    <n v="22"/>
    <n v="163"/>
    <s v="Pendek"/>
    <s v="INTJ"/>
    <x v="0"/>
    <x v="1"/>
    <s v="Dominion Mark"/>
    <n v="77"/>
    <n v="80"/>
    <n v="70"/>
    <n v="70"/>
    <s v="0.4434 %"/>
    <n v="20"/>
    <n v="0.58750000000000002"/>
    <n v="115.31319999999999"/>
    <x v="2"/>
    <n v="317.3109"/>
    <x v="2"/>
    <x v="0"/>
  </r>
  <r>
    <s v="Haruto Watanabe"/>
    <d v="2003-06-27T00:00:00"/>
    <n v="21"/>
    <n v="179"/>
    <s v="Tinggi"/>
    <s v="INTP"/>
    <x v="0"/>
    <x v="0"/>
    <s v="Sensory Collapse Domain"/>
    <n v="114"/>
    <n v="55"/>
    <n v="61"/>
    <n v="78"/>
    <s v="0.3648 %"/>
    <n v="386"/>
    <n v="0.4798"/>
    <n v="75.214100000000002"/>
    <x v="0"/>
    <n v="693.79459999999995"/>
    <x v="0"/>
    <x v="1"/>
  </r>
  <r>
    <s v="Hugo Dunmore"/>
    <d v="2002-07-26T00:00:00"/>
    <n v="22"/>
    <n v="173"/>
    <s v="Normal"/>
    <s v="ISTJ"/>
    <x v="1"/>
    <x v="1"/>
    <s v="Moment moment of Truth / Oracle"/>
    <n v="25"/>
    <n v="85"/>
    <n v="2"/>
    <n v="47"/>
    <s v="0.1359 %"/>
    <n v="375"/>
    <n v="0.81789999999999996"/>
    <n v="96.278899999999993"/>
    <x v="0"/>
    <n v="534.48379999999997"/>
    <x v="2"/>
    <x v="4"/>
  </r>
  <r>
    <s v="Torin Whitmore"/>
    <d v="2002-10-13T00:00:00"/>
    <n v="22"/>
    <n v="162"/>
    <s v="Pendek"/>
    <s v="ISFP"/>
    <x v="2"/>
    <x v="0"/>
    <s v="Elemental Mastery"/>
    <n v="79"/>
    <n v="79"/>
    <n v="17"/>
    <n v="55"/>
    <s v="0.4145 %"/>
    <n v="162"/>
    <n v="0.79749999999999999"/>
    <n v="111.5192"/>
    <x v="2"/>
    <n v="392.12200000000001"/>
    <x v="1"/>
    <x v="2"/>
  </r>
  <r>
    <s v="Celeste Velmont"/>
    <d v="2001-01-19T00:00:00"/>
    <n v="23"/>
    <n v="177"/>
    <s v="Tinggi"/>
    <s v="ISFP"/>
    <x v="2"/>
    <x v="0"/>
    <s v="Combat Escalation Law"/>
    <n v="67"/>
    <n v="91"/>
    <n v="62"/>
    <n v="62"/>
    <s v="0.7143 %"/>
    <n v="384"/>
    <n v="0.5444"/>
    <n v="155.22989999999999"/>
    <x v="0"/>
    <n v="667.05870000000004"/>
    <x v="1"/>
    <x v="2"/>
  </r>
  <r>
    <s v="Hana Hartley"/>
    <d v="2003-11-08T00:00:00"/>
    <n v="21"/>
    <n v="176"/>
    <s v="Tinggi"/>
    <s v="ISFP"/>
    <x v="2"/>
    <x v="1"/>
    <s v="Memory Palace / Librarian Assistant"/>
    <n v="8"/>
    <n v="90"/>
    <n v="20"/>
    <n v="52"/>
    <s v="0.2507 %"/>
    <n v="379"/>
    <n v="0.83030000000000004"/>
    <n v="112.4755"/>
    <x v="0"/>
    <n v="549.82100000000003"/>
    <x v="2"/>
    <x v="0"/>
  </r>
  <r>
    <s v="Lux Kato"/>
    <d v="2003-05-19T00:00:00"/>
    <n v="21"/>
    <n v="181"/>
    <s v="Tinggi"/>
    <s v="INFJ"/>
    <x v="3"/>
    <x v="0"/>
    <s v="Damage Reflection Lattice"/>
    <n v="81"/>
    <n v="71"/>
    <n v="98"/>
    <n v="78"/>
    <s v="0.9458 %"/>
    <n v="259"/>
    <n v="0.73609999999999998"/>
    <n v="137.3151"/>
    <x v="1"/>
    <n v="587.76189999999997"/>
    <x v="0"/>
    <x v="3"/>
  </r>
  <r>
    <s v="Yuki Hayashi"/>
    <d v="2001-04-22T00:00:00"/>
    <n v="23"/>
    <n v="162"/>
    <s v="Pendek"/>
    <s v="ISFJ"/>
    <x v="1"/>
    <x v="0"/>
    <s v="Soulfire Manifestation"/>
    <n v="84"/>
    <n v="58"/>
    <n v="24"/>
    <n v="27"/>
    <s v="0.6672 %"/>
    <n v="156"/>
    <n v="0.59489999999999998"/>
    <n v="96.5642"/>
    <x v="0"/>
    <n v="349.31209999999999"/>
    <x v="1"/>
    <x v="5"/>
  </r>
  <r>
    <s v="Corwin Lopez"/>
    <d v="2001-05-10T00:00:00"/>
    <n v="23"/>
    <n v="180"/>
    <s v="Tinggi"/>
    <s v="ISTJ"/>
    <x v="1"/>
    <x v="0"/>
    <s v="Warbrand Arsenal"/>
    <n v="54"/>
    <n v="51"/>
    <n v="30"/>
    <n v="69"/>
    <s v="0.3534 %"/>
    <n v="243"/>
    <n v="0.81699999999999995"/>
    <n v="68.725700000000003"/>
    <x v="3"/>
    <n v="447.86040000000003"/>
    <x v="1"/>
    <x v="6"/>
  </r>
  <r>
    <s v="Caius Sato"/>
    <d v="2002-03-27T00:00:00"/>
    <n v="22"/>
    <n v="177"/>
    <s v="Tinggi"/>
    <s v="INTP"/>
    <x v="0"/>
    <x v="0"/>
    <s v="Dimensional Phase Shifting"/>
    <n v="120"/>
    <n v="85"/>
    <n v="30"/>
    <n v="64"/>
    <s v="0.8983 %"/>
    <n v="120"/>
    <n v="0.83440000000000003"/>
    <n v="161.5453"/>
    <x v="2"/>
    <n v="420.4427"/>
    <x v="0"/>
    <x v="4"/>
  </r>
  <r>
    <s v="Lyra Dunmore"/>
    <d v="2003-03-19T00:00:00"/>
    <n v="21"/>
    <n v="160"/>
    <s v="Pendek"/>
    <s v="ESTJ"/>
    <x v="1"/>
    <x v="0"/>
    <s v="Covenant Bond / Healer &amp; Diplomat"/>
    <n v="32"/>
    <n v="74"/>
    <n v="73"/>
    <n v="22"/>
    <s v="0.8663 %"/>
    <n v="362"/>
    <n v="0.46410000000000001"/>
    <n v="138.8527"/>
    <x v="1"/>
    <n v="565.21040000000005"/>
    <x v="0"/>
    <x v="4"/>
  </r>
  <r>
    <s v="Dante Kim"/>
    <d v="2001-04-22T00:00:00"/>
    <n v="23"/>
    <n v="165"/>
    <s v="Pendek"/>
    <s v="ISTP"/>
    <x v="2"/>
    <x v="1"/>
    <s v="Warbrand Arsenal"/>
    <n v="44"/>
    <n v="8"/>
    <n v="11"/>
    <n v="73"/>
    <s v="0.3978 %"/>
    <n v="195"/>
    <n v="0.4577"/>
    <n v="10.7211"/>
    <x v="1"/>
    <n v="331.77550000000002"/>
    <x v="0"/>
    <x v="2"/>
  </r>
  <r>
    <s v="Dante Hargrove"/>
    <d v="2003-07-12T00:00:00"/>
    <n v="21"/>
    <n v="175"/>
    <s v="Tinggi"/>
    <s v="ENTJ"/>
    <x v="0"/>
    <x v="1"/>
    <s v="Covenant Bond / Healer &amp; Diplomat"/>
    <n v="104"/>
    <n v="16"/>
    <n v="57"/>
    <n v="81"/>
    <s v="0.2518 %"/>
    <n v="384"/>
    <n v="0.54090000000000005"/>
    <n v="20.141500000000001"/>
    <x v="1"/>
    <n v="642.79269999999997"/>
    <x v="2"/>
    <x v="5"/>
  </r>
  <r>
    <s v="Sakura Kline"/>
    <d v="2002-11-11T00:00:00"/>
    <n v="22"/>
    <n v="164"/>
    <s v="Pendek"/>
    <s v="ENTP"/>
    <x v="0"/>
    <x v="1"/>
    <s v="Momentum Surge / Knight-Errant"/>
    <n v="67"/>
    <n v="78"/>
    <n v="49"/>
    <n v="12"/>
    <s v="0.1738 %"/>
    <n v="259"/>
    <n v="0.52629999999999999"/>
    <n v="91.204300000000003"/>
    <x v="1"/>
    <n v="465.32010000000002"/>
    <x v="2"/>
    <x v="1"/>
  </r>
  <r>
    <s v="Zephyr Sol"/>
    <d v="2001-06-04T00:00:00"/>
    <n v="23"/>
    <n v="183"/>
    <s v="Tinggi"/>
    <s v="ISTP"/>
    <x v="2"/>
    <x v="0"/>
    <s v="Gravity Rend"/>
    <n v="122"/>
    <n v="58"/>
    <n v="77"/>
    <n v="22"/>
    <s v="0.3346 %"/>
    <n v="16"/>
    <n v="0.80230000000000001"/>
    <n v="77.820499999999996"/>
    <x v="3"/>
    <n v="296.36689999999999"/>
    <x v="2"/>
    <x v="6"/>
  </r>
  <r>
    <s v="Felix Thornton"/>
    <d v="2002-08-19T00:00:00"/>
    <n v="22"/>
    <n v="167"/>
    <s v="Pendek"/>
    <s v="ESTJ"/>
    <x v="1"/>
    <x v="0"/>
    <s v="Momentum Surge / Knight-Errant"/>
    <n v="76"/>
    <n v="10"/>
    <n v="37"/>
    <n v="2"/>
    <s v="0.9676 %"/>
    <n v="96"/>
    <n v="0.84179999999999999"/>
    <n v="19.597300000000001"/>
    <x v="1"/>
    <n v="222.8194"/>
    <x v="2"/>
    <x v="1"/>
  </r>
  <r>
    <s v="Marcus Suzuki"/>
    <d v="2001-10-27T00:00:00"/>
    <n v="23"/>
    <n v="178"/>
    <s v="Tinggi"/>
    <s v="ESFP"/>
    <x v="2"/>
    <x v="1"/>
    <s v="Combat Escalation Law"/>
    <n v="7"/>
    <n v="76"/>
    <n v="24"/>
    <n v="27"/>
    <s v="0.7017 %"/>
    <n v="94"/>
    <n v="0.63300000000000001"/>
    <n v="129.99289999999999"/>
    <x v="2"/>
    <n v="230.22470000000001"/>
    <x v="1"/>
    <x v="3"/>
  </r>
  <r>
    <s v="Kenji Dunmore"/>
    <d v="2002-10-26T00:00:00"/>
    <n v="22"/>
    <n v="180"/>
    <s v="Tinggi"/>
    <s v="ESFP"/>
    <x v="2"/>
    <x v="0"/>
    <s v="Primal Sovereign / Engineer"/>
    <n v="125"/>
    <n v="27"/>
    <n v="55"/>
    <n v="18"/>
    <s v="0.4288 %"/>
    <n v="262"/>
    <n v="0.69399999999999995"/>
    <n v="38.677599999999998"/>
    <x v="0"/>
    <n v="488.51280000000003"/>
    <x v="2"/>
    <x v="2"/>
  </r>
  <r>
    <s v="Orion Weston"/>
    <d v="2002-12-08T00:00:00"/>
    <n v="22"/>
    <n v="171"/>
    <s v="Normal"/>
    <s v="INFP"/>
    <x v="3"/>
    <x v="1"/>
    <s v="Verdant Wrath / Forest Herbalist"/>
    <n v="133"/>
    <n v="2"/>
    <n v="88"/>
    <n v="45"/>
    <s v="0.5631 %"/>
    <n v="93"/>
    <n v="0.52639999999999998"/>
    <n v="2.5790999999999999"/>
    <x v="1"/>
    <n v="361.56950000000001"/>
    <x v="0"/>
    <x v="1"/>
  </r>
  <r>
    <s v="Theron Rossi"/>
    <d v="2002-04-17T00:00:00"/>
    <n v="22"/>
    <n v="181"/>
    <s v="Tinggi"/>
    <s v="ENFJ"/>
    <x v="3"/>
    <x v="1"/>
    <s v="Adaptive Mutation"/>
    <n v="108"/>
    <n v="49"/>
    <n v="48"/>
    <n v="22"/>
    <s v="0.85 %"/>
    <n v="65"/>
    <n v="0.41010000000000002"/>
    <n v="90.039500000000004"/>
    <x v="0"/>
    <n v="293.8501"/>
    <x v="0"/>
    <x v="4"/>
  </r>
  <r>
    <s v="Finn Dunmore"/>
    <d v="2001-10-28T00:00:00"/>
    <n v="23"/>
    <n v="178"/>
    <s v="Tinggi"/>
    <s v="ESTP"/>
    <x v="2"/>
    <x v="0"/>
    <s v="Triage Field / Field Medic"/>
    <n v="39"/>
    <n v="19"/>
    <n v="96"/>
    <n v="60"/>
    <s v="0.1168 %"/>
    <n v="226"/>
    <n v="0.7238"/>
    <n v="21.0182"/>
    <x v="2"/>
    <n v="441.23059999999998"/>
    <x v="0"/>
    <x v="1"/>
  </r>
  <r>
    <s v="Theron Velmont"/>
    <d v="2001-12-16T00:00:00"/>
    <n v="23"/>
    <n v="175"/>
    <s v="Tinggi"/>
    <s v="ESFP"/>
    <x v="2"/>
    <x v="0"/>
    <s v="Resonant Aria / Performer"/>
    <n v="91"/>
    <n v="80"/>
    <n v="82"/>
    <n v="19"/>
    <s v="0.3381 %"/>
    <n v="264"/>
    <n v="0.72589999999999999"/>
    <n v="106.60639999999999"/>
    <x v="2"/>
    <n v="536.68399999999997"/>
    <x v="1"/>
    <x v="4"/>
  </r>
  <r>
    <s v="Piper Sinclair"/>
    <d v="2001-09-28T00:00:00"/>
    <n v="23"/>
    <n v="172"/>
    <s v="Normal"/>
    <s v="ENTJ"/>
    <x v="0"/>
    <x v="0"/>
    <s v="Gravity Rend"/>
    <n v="31"/>
    <n v="86"/>
    <n v="51"/>
    <n v="43"/>
    <s v="0.1867 %"/>
    <n v="61"/>
    <n v="0.61409999999999998"/>
    <n v="102.17489999999999"/>
    <x v="0"/>
    <n v="272.21080000000001"/>
    <x v="2"/>
    <x v="4"/>
  </r>
  <r>
    <s v="Cael Crestwood"/>
    <d v="2001-09-24T00:00:00"/>
    <n v="23"/>
    <n v="181"/>
    <s v="Tinggi"/>
    <s v="ISTJ"/>
    <x v="1"/>
    <x v="0"/>
    <s v="Living Canvas / Cartographer"/>
    <n v="79"/>
    <n v="38"/>
    <n v="5"/>
    <n v="53"/>
    <s v="0.8221 %"/>
    <n v="93"/>
    <n v="0.75529999999999997"/>
    <n v="68.638499999999993"/>
    <x v="3"/>
    <n v="269.34739999999999"/>
    <x v="1"/>
    <x v="4"/>
  </r>
  <r>
    <s v="Akira Silva"/>
    <d v="2003-09-05T00:00:00"/>
    <n v="21"/>
    <n v="168"/>
    <s v="Normal"/>
    <s v="ISTJ"/>
    <x v="1"/>
    <x v="0"/>
    <s v="Probability Flux / Treasure Hunter"/>
    <n v="43"/>
    <n v="88"/>
    <n v="41"/>
    <n v="20"/>
    <s v="0.8105 %"/>
    <n v="284"/>
    <n v="0.66010000000000002"/>
    <n v="158.96190000000001"/>
    <x v="0"/>
    <n v="477.60059999999999"/>
    <x v="2"/>
    <x v="0"/>
  </r>
  <r>
    <s v="Aster Hargrove"/>
    <d v="2003-01-12T00:00:00"/>
    <n v="21"/>
    <n v="173"/>
    <s v="Normal"/>
    <s v="INFP"/>
    <x v="3"/>
    <x v="0"/>
    <s v="Zone of Order / City Watch Captain"/>
    <n v="64"/>
    <n v="59"/>
    <n v="27"/>
    <n v="54"/>
    <s v="0.6507 %"/>
    <n v="226"/>
    <n v="0.84630000000000005"/>
    <n v="97.308800000000005"/>
    <x v="3"/>
    <n v="432.16699999999997"/>
    <x v="0"/>
    <x v="3"/>
  </r>
  <r>
    <s v="Leon Hartley"/>
    <d v="2003-09-18T00:00:00"/>
    <n v="21"/>
    <n v="177"/>
    <s v="Tinggi"/>
    <s v="ENFP"/>
    <x v="3"/>
    <x v="1"/>
    <s v="Covenant Bond / Healer &amp; Diplomat"/>
    <n v="87"/>
    <n v="78"/>
    <n v="40"/>
    <n v="15"/>
    <s v="0.2072 %"/>
    <n v="346"/>
    <n v="0.50339999999999996"/>
    <n v="93.739099999999993"/>
    <x v="1"/>
    <n v="566.18060000000003"/>
    <x v="0"/>
    <x v="1"/>
  </r>
  <r>
    <s v="Clara Ashvale"/>
    <d v="2003-03-08T00:00:00"/>
    <n v="21"/>
    <n v="165"/>
    <s v="Pendek"/>
    <s v="INFP"/>
    <x v="3"/>
    <x v="0"/>
    <s v="Probability Flux / Treasure Hunter"/>
    <n v="124"/>
    <n v="48"/>
    <n v="60"/>
    <n v="10"/>
    <s v="0.4338 %"/>
    <n v="106"/>
    <n v="0.67410000000000003"/>
    <n v="68.392300000000006"/>
    <x v="3"/>
    <n v="348.59789999999998"/>
    <x v="1"/>
    <x v="4"/>
  </r>
  <r>
    <s v="Fable Nox"/>
    <d v="2001-12-25T00:00:00"/>
    <n v="23"/>
    <n v="184"/>
    <s v="Tinggi"/>
    <s v="ISFP"/>
    <x v="2"/>
    <x v="1"/>
    <s v="Transmutation Aura / Alchemist"/>
    <n v="3"/>
    <n v="85"/>
    <n v="93"/>
    <n v="52"/>
    <s v="0.8056 %"/>
    <n v="79"/>
    <n v="0.62970000000000004"/>
    <n v="153.8552"/>
    <x v="1"/>
    <n v="313.39530000000002"/>
    <x v="2"/>
    <x v="1"/>
  </r>
  <r>
    <s v="Felix Blackwood"/>
    <d v="2001-01-01T00:00:00"/>
    <n v="24"/>
    <n v="180"/>
    <s v="Tinggi"/>
    <s v="INTJ"/>
    <x v="0"/>
    <x v="0"/>
    <s v="Probability Flux / Treasure Hunter"/>
    <n v="150"/>
    <n v="78"/>
    <n v="36"/>
    <n v="40"/>
    <s v="0.566 %"/>
    <n v="235"/>
    <n v="0.73160000000000003"/>
    <n v="122.4455"/>
    <x v="0"/>
    <n v="539.94759999999997"/>
    <x v="0"/>
    <x v="4"/>
  </r>
  <r>
    <s v="Aldric Montgomery"/>
    <d v="2002-07-21T00:00:00"/>
    <n v="22"/>
    <n v="171"/>
    <s v="Normal"/>
    <s v="ISFP"/>
    <x v="2"/>
    <x v="0"/>
    <s v="Essence Severance"/>
    <n v="69"/>
    <n v="41"/>
    <n v="1"/>
    <n v="18"/>
    <s v="0.6028 %"/>
    <n v="203"/>
    <n v="0.62639999999999996"/>
    <n v="65.698800000000006"/>
    <x v="2"/>
    <n v="333.75920000000002"/>
    <x v="0"/>
    <x v="6"/>
  </r>
  <r>
    <s v="Corwin Ironfield"/>
    <d v="2003-06-26T00:00:00"/>
    <n v="21"/>
    <n v="182"/>
    <s v="Tinggi"/>
    <s v="ISTP"/>
    <x v="2"/>
    <x v="1"/>
    <s v="Verdant Wrath / Forest Herbalist"/>
    <n v="116"/>
    <n v="76"/>
    <n v="96"/>
    <n v="46"/>
    <s v="0.6281 %"/>
    <n v="185"/>
    <n v="0.4123"/>
    <n v="123.7193"/>
    <x v="0"/>
    <n v="520.18039999999996"/>
    <x v="1"/>
    <x v="0"/>
  </r>
  <r>
    <s v="Iris Yoshida"/>
    <d v="2002-04-16T00:00:00"/>
    <n v="22"/>
    <n v="181"/>
    <s v="Tinggi"/>
    <s v="INFP"/>
    <x v="3"/>
    <x v="1"/>
    <s v="Resonant Aria / Performer"/>
    <n v="143"/>
    <n v="52"/>
    <n v="2"/>
    <n v="83"/>
    <s v="0.1837 %"/>
    <n v="100"/>
    <n v="0.70320000000000005"/>
    <n v="61.706299999999999"/>
    <x v="2"/>
    <n v="381.77690000000001"/>
    <x v="0"/>
    <x v="4"/>
  </r>
  <r>
    <s v="Caius Hargrove"/>
    <d v="2002-03-24T00:00:00"/>
    <n v="22"/>
    <n v="171"/>
    <s v="Normal"/>
    <s v="ESTP"/>
    <x v="2"/>
    <x v="1"/>
    <s v="Elemental Mastery"/>
    <n v="142"/>
    <n v="69"/>
    <n v="91"/>
    <n v="50"/>
    <s v="0.7619 %"/>
    <n v="81"/>
    <n v="0.79269999999999996"/>
    <n v="120.9192"/>
    <x v="1"/>
    <n v="434.45460000000003"/>
    <x v="0"/>
    <x v="1"/>
  </r>
  <r>
    <s v="Blaine Whitmore"/>
    <d v="2001-08-07T00:00:00"/>
    <n v="23"/>
    <n v="164"/>
    <s v="Pendek"/>
    <s v="ESFJ"/>
    <x v="1"/>
    <x v="0"/>
    <s v="Probability Flux / Treasure Hunter"/>
    <n v="102"/>
    <n v="67"/>
    <n v="62"/>
    <n v="77"/>
    <s v="0.138 %"/>
    <n v="217"/>
    <n v="0.61699999999999999"/>
    <n v="75.881799999999998"/>
    <x v="2"/>
    <n v="524.61500000000001"/>
    <x v="1"/>
    <x v="4"/>
  </r>
  <r>
    <s v="Torin Yamamoto"/>
    <d v="2003-11-13T00:00:00"/>
    <n v="21"/>
    <n v="184"/>
    <s v="Tinggi"/>
    <s v="ISTP"/>
    <x v="2"/>
    <x v="1"/>
    <s v="Dimensional Phase Shifting"/>
    <n v="34"/>
    <n v="58"/>
    <n v="6"/>
    <n v="80"/>
    <s v="0.5867 %"/>
    <n v="192"/>
    <n v="0.62609999999999999"/>
    <n v="92.171400000000006"/>
    <x v="3"/>
    <n v="371.7328"/>
    <x v="2"/>
    <x v="6"/>
  </r>
  <r>
    <s v="Quinn Ashford"/>
    <d v="2001-01-18T00:00:00"/>
    <n v="23"/>
    <n v="170"/>
    <s v="Normal"/>
    <s v="ESTP"/>
    <x v="2"/>
    <x v="0"/>
    <s v="Damage Reflection Lattice"/>
    <n v="58"/>
    <n v="11"/>
    <n v="37"/>
    <n v="86"/>
    <s v="0.3366 %"/>
    <n v="76"/>
    <n v="0.5212"/>
    <n v="14.6625"/>
    <x v="2"/>
    <n v="268.14780000000002"/>
    <x v="1"/>
    <x v="1"/>
  </r>
  <r>
    <s v="Akira Ito"/>
    <d v="2003-02-02T00:00:00"/>
    <n v="21"/>
    <n v="173"/>
    <s v="Normal"/>
    <s v="ENFP"/>
    <x v="3"/>
    <x v="1"/>
    <s v="Dimensional Phase Shifting"/>
    <n v="43"/>
    <n v="19"/>
    <n v="14"/>
    <n v="58"/>
    <s v="0.1899 %"/>
    <n v="92"/>
    <n v="0.52149999999999996"/>
    <n v="22.382000000000001"/>
    <x v="1"/>
    <n v="226.37139999999999"/>
    <x v="2"/>
    <x v="3"/>
  </r>
  <r>
    <s v="Vivian Nakamura"/>
    <d v="2001-11-03T00:00:00"/>
    <n v="23"/>
    <n v="185"/>
    <s v="Tinggi"/>
    <s v="INFP"/>
    <x v="3"/>
    <x v="1"/>
    <s v="Fracture Surge"/>
    <n v="27"/>
    <n v="50"/>
    <n v="100"/>
    <n v="85"/>
    <s v="0.7485 %"/>
    <n v="207"/>
    <n v="0.75339999999999996"/>
    <n v="88.229299999999995"/>
    <x v="2"/>
    <n v="471.21190000000001"/>
    <x v="1"/>
    <x v="4"/>
  </r>
  <r>
    <s v="Ryo Chen"/>
    <d v="2001-12-01T00:00:00"/>
    <n v="23"/>
    <n v="182"/>
    <s v="Tinggi"/>
    <s v="INTJ"/>
    <x v="0"/>
    <x v="0"/>
    <s v="Damage Reflection Lattice"/>
    <n v="122"/>
    <n v="48"/>
    <n v="63"/>
    <n v="46"/>
    <s v="0.4249 %"/>
    <n v="135"/>
    <n v="0.6522"/>
    <n v="68.651700000000005"/>
    <x v="2"/>
    <n v="414.94709999999998"/>
    <x v="1"/>
    <x v="0"/>
  </r>
  <r>
    <s v="Lyra Montgomery"/>
    <d v="2002-02-12T00:00:00"/>
    <n v="22"/>
    <n v="181"/>
    <s v="Tinggi"/>
    <s v="ENTP"/>
    <x v="0"/>
    <x v="0"/>
    <s v="Runic Deconstruction / Scholar"/>
    <n v="54"/>
    <n v="68"/>
    <n v="49"/>
    <n v="74"/>
    <s v="0.443 %"/>
    <n v="356"/>
    <n v="0.52890000000000004"/>
    <n v="97.619"/>
    <x v="1"/>
    <n v="601.67190000000005"/>
    <x v="0"/>
    <x v="5"/>
  </r>
  <r>
    <s v="Shiho Weston"/>
    <d v="2001-06-12T00:00:00"/>
    <n v="23"/>
    <n v="162"/>
    <s v="Pendek"/>
    <s v="ISFJ"/>
    <x v="1"/>
    <x v="0"/>
    <s v="Adaptive Mutation"/>
    <n v="35"/>
    <n v="32"/>
    <n v="30"/>
    <n v="27"/>
    <s v="0.3441 %"/>
    <n v="258"/>
    <n v="0.60019999999999996"/>
    <n v="43.508499999999998"/>
    <x v="2"/>
    <n v="383.84429999999998"/>
    <x v="2"/>
    <x v="4"/>
  </r>
  <r>
    <s v="Kaito Inoue"/>
    <d v="2001-02-17T00:00:00"/>
    <n v="23"/>
    <n v="165"/>
    <s v="Pendek"/>
    <s v="ESFP"/>
    <x v="2"/>
    <x v="0"/>
    <s v="Dominion Mark"/>
    <n v="100"/>
    <n v="94"/>
    <n v="70"/>
    <n v="9"/>
    <s v="0.1927 %"/>
    <n v="68"/>
    <n v="0.42870000000000003"/>
    <n v="112.23309999999999"/>
    <x v="3"/>
    <n v="341.26139999999998"/>
    <x v="2"/>
    <x v="0"/>
  </r>
  <r>
    <s v="Ryo Vargas"/>
    <d v="2002-06-22T00:00:00"/>
    <n v="22"/>
    <n v="163"/>
    <s v="Pendek"/>
    <s v="INTP"/>
    <x v="0"/>
    <x v="0"/>
    <s v="Probability Flux / Treasure Hunter"/>
    <n v="99"/>
    <n v="89"/>
    <n v="32"/>
    <n v="25"/>
    <s v="0.6638 %"/>
    <n v="114"/>
    <n v="0.45910000000000001"/>
    <n v="147.51249999999999"/>
    <x v="1"/>
    <n v="359.86290000000002"/>
    <x v="0"/>
    <x v="0"/>
  </r>
  <r>
    <s v="Lena Velmont"/>
    <d v="2002-07-12T00:00:00"/>
    <n v="22"/>
    <n v="174"/>
    <s v="Normal"/>
    <s v="ENFJ"/>
    <x v="3"/>
    <x v="1"/>
    <s v="Moment moment of Truth / Oracle"/>
    <n v="145"/>
    <n v="70"/>
    <n v="19"/>
    <n v="60"/>
    <s v="0.6723 %"/>
    <n v="253"/>
    <n v="0.65380000000000005"/>
    <n v="117.1613"/>
    <x v="2"/>
    <n v="548.3261"/>
    <x v="1"/>
    <x v="3"/>
  </r>
  <r>
    <s v="Cael Farell"/>
    <d v="2003-01-20T00:00:00"/>
    <n v="21"/>
    <n v="169"/>
    <s v="Normal"/>
    <s v="ESFJ"/>
    <x v="1"/>
    <x v="1"/>
    <s v="Soulfire Manifestation"/>
    <n v="24"/>
    <n v="2"/>
    <n v="53"/>
    <n v="76"/>
    <s v="0.3581 %"/>
    <n v="55"/>
    <n v="0.64080000000000004"/>
    <n v="2.7841"/>
    <x v="3"/>
    <n v="211.50890000000001"/>
    <x v="1"/>
    <x v="2"/>
  </r>
  <r>
    <s v="Fumiko Moonshade"/>
    <d v="2002-04-19T00:00:00"/>
    <n v="22"/>
    <n v="179"/>
    <s v="Tinggi"/>
    <s v="INTP"/>
    <x v="0"/>
    <x v="0"/>
    <s v="Sensory Collapse Domain"/>
    <n v="29"/>
    <n v="88"/>
    <n v="44"/>
    <n v="26"/>
    <s v="0.6814 %"/>
    <n v="286"/>
    <n v="0.77280000000000004"/>
    <n v="148.5181"/>
    <x v="1"/>
    <n v="475.1542"/>
    <x v="1"/>
    <x v="0"/>
  </r>
  <r>
    <s v="Zephyr Blackwood"/>
    <d v="2002-07-11T00:00:00"/>
    <n v="22"/>
    <n v="176"/>
    <s v="Tinggi"/>
    <s v="ENTP"/>
    <x v="0"/>
    <x v="1"/>
    <s v="Primal Sovereign / Engineer"/>
    <n v="63"/>
    <n v="85"/>
    <n v="19"/>
    <n v="30"/>
    <s v="0.656 %"/>
    <n v="255"/>
    <n v="0.52249999999999996"/>
    <n v="141.57140000000001"/>
    <x v="3"/>
    <n v="453.0385"/>
    <x v="0"/>
    <x v="2"/>
  </r>
  <r>
    <s v="Zara Ashvale"/>
    <d v="2001-02-15T00:00:00"/>
    <n v="23"/>
    <n v="177"/>
    <s v="Tinggi"/>
    <s v="INTP"/>
    <x v="0"/>
    <x v="0"/>
    <s v="Absolute Command / General"/>
    <n v="43"/>
    <n v="13"/>
    <n v="44"/>
    <n v="2"/>
    <s v="0.1133 %"/>
    <n v="37"/>
    <n v="0.49769999999999998"/>
    <n v="14.896000000000001"/>
    <x v="3"/>
    <n v="140.23099999999999"/>
    <x v="1"/>
    <x v="6"/>
  </r>
  <r>
    <s v="Nora Strider"/>
    <d v="2001-03-06T00:00:00"/>
    <n v="23"/>
    <n v="182"/>
    <s v="Tinggi"/>
    <s v="ENFP"/>
    <x v="3"/>
    <x v="1"/>
    <s v="Probability Flux / Treasure Hunter"/>
    <n v="127"/>
    <n v="95"/>
    <n v="7"/>
    <n v="78"/>
    <s v="0.5231 %"/>
    <n v="29"/>
    <n v="0.48649999999999999"/>
    <n v="145.01439999999999"/>
    <x v="2"/>
    <n v="336.7296"/>
    <x v="1"/>
    <x v="6"/>
  </r>
  <r>
    <s v="Lyra Stormbright"/>
    <d v="2003-06-27T00:00:00"/>
    <n v="21"/>
    <n v="172"/>
    <s v="Normal"/>
    <s v="INTP"/>
    <x v="0"/>
    <x v="0"/>
    <s v="Ruin Pulse Engine"/>
    <n v="31"/>
    <n v="74"/>
    <n v="10"/>
    <n v="67"/>
    <s v="0.4502 %"/>
    <n v="84"/>
    <n v="0.83250000000000002"/>
    <n v="107.0248"/>
    <x v="2"/>
    <n v="267.16269999999997"/>
    <x v="0"/>
    <x v="5"/>
  </r>
  <r>
    <s v="Petra Rossi"/>
    <d v="2003-09-13T00:00:00"/>
    <n v="21"/>
    <n v="168"/>
    <s v="Normal"/>
    <s v="INTJ"/>
    <x v="0"/>
    <x v="1"/>
    <s v="Essence Severance"/>
    <n v="55"/>
    <n v="6"/>
    <n v="67"/>
    <n v="97"/>
    <s v="0.4907 %"/>
    <n v="95"/>
    <n v="0.40679999999999999"/>
    <n v="9.1827000000000005"/>
    <x v="2"/>
    <n v="321.25749999999999"/>
    <x v="2"/>
    <x v="0"/>
  </r>
  <r>
    <s v="Mei Masaki"/>
    <d v="2003-09-01T00:00:00"/>
    <n v="21"/>
    <n v="161"/>
    <s v="Pendek"/>
    <s v="INFP"/>
    <x v="3"/>
    <x v="0"/>
    <s v="Sensory Collapse Domain"/>
    <n v="116"/>
    <n v="26"/>
    <n v="50"/>
    <n v="69"/>
    <s v="0.9727 %"/>
    <n v="136"/>
    <n v="0.74180000000000001"/>
    <n v="50.540599999999998"/>
    <x v="0"/>
    <n v="398.61450000000002"/>
    <x v="0"/>
    <x v="2"/>
  </r>
  <r>
    <s v="Quinn Tanaka"/>
    <d v="2003-09-27T00:00:00"/>
    <n v="21"/>
    <n v="164"/>
    <s v="Pendek"/>
    <s v="ESTJ"/>
    <x v="1"/>
    <x v="0"/>
    <s v="Archive of Blades / Guild Archivist"/>
    <n v="147"/>
    <n v="79"/>
    <n v="76"/>
    <n v="81"/>
    <s v="0.2737 %"/>
    <n v="176"/>
    <n v="0.71020000000000005"/>
    <n v="100.7115"/>
    <x v="2"/>
    <n v="560.03390000000002"/>
    <x v="2"/>
    <x v="1"/>
  </r>
  <r>
    <s v="Kenji Holloway"/>
    <d v="2003-06-16T00:00:00"/>
    <n v="21"/>
    <n v="182"/>
    <s v="Tinggi"/>
    <s v="ISTP"/>
    <x v="2"/>
    <x v="1"/>
    <s v="Memory Palace / Librarian Assistant"/>
    <n v="29"/>
    <n v="19"/>
    <n v="35"/>
    <n v="74"/>
    <s v="0.8482 %"/>
    <n v="111"/>
    <n v="0.8115"/>
    <n v="36.002899999999997"/>
    <x v="1"/>
    <n v="270.19970000000001"/>
    <x v="0"/>
    <x v="4"/>
  </r>
  <r>
    <s v="Reika Moonshade"/>
    <d v="2003-01-22T00:00:00"/>
    <n v="21"/>
    <n v="168"/>
    <s v="Normal"/>
    <s v="ESTJ"/>
    <x v="1"/>
    <x v="1"/>
    <s v="Fracture Surge"/>
    <n v="117"/>
    <n v="51"/>
    <n v="74"/>
    <n v="88"/>
    <s v="0.4277 %"/>
    <n v="248"/>
    <n v="0.67910000000000004"/>
    <n v="72.941199999999995"/>
    <x v="2"/>
    <n v="579.11680000000001"/>
    <x v="2"/>
    <x v="0"/>
  </r>
  <r>
    <s v="Dante Bramble"/>
    <d v="2001-11-12T00:00:00"/>
    <n v="23"/>
    <n v="184"/>
    <s v="Tinggi"/>
    <s v="INFP"/>
    <x v="3"/>
    <x v="1"/>
    <s v="Archive of Blades / Guild Archivist"/>
    <n v="62"/>
    <n v="33"/>
    <n v="11"/>
    <n v="66"/>
    <s v="0.944 %"/>
    <n v="18"/>
    <n v="0.48039999999999999"/>
    <n v="63.918700000000001"/>
    <x v="0"/>
    <n v="191.59440000000001"/>
    <x v="0"/>
    <x v="0"/>
  </r>
  <r>
    <s v="Dante Chen"/>
    <d v="2003-03-07T00:00:00"/>
    <n v="21"/>
    <n v="161"/>
    <s v="Pendek"/>
    <s v="ENFP"/>
    <x v="3"/>
    <x v="1"/>
    <s v="Soulfire Manifestation"/>
    <n v="8"/>
    <n v="23"/>
    <n v="72"/>
    <n v="2"/>
    <s v="0.6902 %"/>
    <n v="368"/>
    <n v="0.81779999999999997"/>
    <n v="38.621099999999998"/>
    <x v="0"/>
    <n v="475.52800000000002"/>
    <x v="1"/>
    <x v="6"/>
  </r>
  <r>
    <s v="Felix Crowe"/>
    <d v="2001-04-30T00:00:00"/>
    <n v="23"/>
    <n v="171"/>
    <s v="Normal"/>
    <s v="INTJ"/>
    <x v="0"/>
    <x v="1"/>
    <s v="Ruin Pulse Engine"/>
    <n v="110"/>
    <n v="84"/>
    <n v="9"/>
    <n v="22"/>
    <s v="0.1911 %"/>
    <n v="208"/>
    <n v="0.504"/>
    <n v="99.587900000000005"/>
    <x v="3"/>
    <n v="434.07510000000002"/>
    <x v="0"/>
    <x v="1"/>
  </r>
  <r>
    <s v="Sylvie Suzuki"/>
    <d v="2003-05-01T00:00:00"/>
    <n v="21"/>
    <n v="177"/>
    <s v="Tinggi"/>
    <s v="ESFJ"/>
    <x v="1"/>
    <x v="0"/>
    <s v="Combat Escalation Law"/>
    <n v="102"/>
    <n v="71"/>
    <n v="43"/>
    <n v="11"/>
    <s v="0.595 %"/>
    <n v="317"/>
    <n v="0.62709999999999999"/>
    <n v="112.52719999999999"/>
    <x v="1"/>
    <n v="545.0521"/>
    <x v="2"/>
    <x v="4"/>
  </r>
  <r>
    <s v="Isla Hargrove"/>
    <d v="2002-10-27T00:00:00"/>
    <n v="22"/>
    <n v="177"/>
    <s v="Tinggi"/>
    <s v="ESFP"/>
    <x v="2"/>
    <x v="1"/>
    <s v="Resonant Aria / Performer"/>
    <n v="115"/>
    <n v="44"/>
    <n v="73"/>
    <n v="61"/>
    <s v="0.2925 %"/>
    <n v="226"/>
    <n v="0.74460000000000004"/>
    <n v="56.391800000000003"/>
    <x v="2"/>
    <n v="519.30709999999999"/>
    <x v="1"/>
    <x v="3"/>
  </r>
  <r>
    <s v="Ryo Lopez"/>
    <d v="2001-03-12T00:00:00"/>
    <n v="23"/>
    <n v="183"/>
    <s v="Tinggi"/>
    <s v="ESFP"/>
    <x v="2"/>
    <x v="1"/>
    <s v="Gravity Rend"/>
    <n v="78"/>
    <n v="99"/>
    <n v="31"/>
    <n v="31"/>
    <s v="0.8701 %"/>
    <n v="90"/>
    <n v="0.4098"/>
    <n v="185.7944"/>
    <x v="2"/>
    <n v="329.88990000000001"/>
    <x v="2"/>
    <x v="4"/>
  </r>
  <r>
    <s v="Seren Aikawa"/>
    <d v="2002-12-30T00:00:00"/>
    <n v="22"/>
    <n v="174"/>
    <s v="Normal"/>
    <s v="ESTJ"/>
    <x v="1"/>
    <x v="0"/>
    <s v="Moment moment of Truth / Oracle"/>
    <n v="40"/>
    <n v="89"/>
    <n v="26"/>
    <n v="26"/>
    <s v="0.6134 %"/>
    <n v="121"/>
    <n v="0.65610000000000002"/>
    <n v="143.7055"/>
    <x v="1"/>
    <n v="303.74950000000001"/>
    <x v="2"/>
    <x v="0"/>
  </r>
  <r>
    <s v="Lyanna Suzuki"/>
    <d v="2001-07-15T00:00:00"/>
    <n v="23"/>
    <n v="175"/>
    <s v="Tinggi"/>
    <s v="ISFJ"/>
    <x v="1"/>
    <x v="1"/>
    <s v="Ruin Pulse Engine"/>
    <n v="110"/>
    <n v="58"/>
    <n v="9"/>
    <n v="7"/>
    <s v="0.4131 %"/>
    <n v="309"/>
    <n v="0.76770000000000005"/>
    <n v="82.030500000000004"/>
    <x v="3"/>
    <n v="493.02080000000001"/>
    <x v="0"/>
    <x v="6"/>
  </r>
  <r>
    <s v="Wren Masaki"/>
    <d v="2003-02-23T00:00:00"/>
    <n v="21"/>
    <n v="180"/>
    <s v="Tinggi"/>
    <s v="ESFJ"/>
    <x v="1"/>
    <x v="0"/>
    <s v="Covenant Bond / Healer &amp; Diplomat"/>
    <n v="79"/>
    <n v="33"/>
    <n v="57"/>
    <n v="33"/>
    <s v="0.2379 %"/>
    <n v="279"/>
    <n v="0.70309999999999995"/>
    <n v="40.367899999999999"/>
    <x v="3"/>
    <n v="482.38099999999997"/>
    <x v="1"/>
    <x v="6"/>
  </r>
  <r>
    <s v="Orion Mirren"/>
    <d v="2003-03-19T00:00:00"/>
    <n v="21"/>
    <n v="169"/>
    <s v="Normal"/>
    <s v="ENTJ"/>
    <x v="0"/>
    <x v="0"/>
    <s v="Moment moment of Truth / Oracle"/>
    <n v="51"/>
    <n v="48"/>
    <n v="75"/>
    <n v="55"/>
    <s v="0.4587 %"/>
    <n v="106"/>
    <n v="0.59550000000000003"/>
    <n v="70.178100000000001"/>
    <x v="1"/>
    <n v="336.07420000000002"/>
    <x v="0"/>
    <x v="3"/>
  </r>
  <r>
    <s v="Torin Thornton"/>
    <d v="2002-02-06T00:00:00"/>
    <n v="22"/>
    <n v="180"/>
    <s v="Tinggi"/>
    <s v="INFJ"/>
    <x v="3"/>
    <x v="0"/>
    <s v="Dominion Mark"/>
    <n v="12"/>
    <n v="78"/>
    <n v="33"/>
    <n v="92"/>
    <s v="0.7046 %"/>
    <n v="37"/>
    <n v="0.59060000000000001"/>
    <n v="132.78829999999999"/>
    <x v="2"/>
    <n v="253.12520000000001"/>
    <x v="0"/>
    <x v="2"/>
  </r>
  <r>
    <s v="Fable Funai"/>
    <d v="2002-09-17T00:00:00"/>
    <n v="22"/>
    <n v="184"/>
    <s v="Tinggi"/>
    <s v="ENFJ"/>
    <x v="3"/>
    <x v="0"/>
    <s v="Combat Escalation Law"/>
    <n v="93"/>
    <n v="99"/>
    <n v="45"/>
    <n v="15"/>
    <s v="0.8364 %"/>
    <n v="19"/>
    <n v="0.4899"/>
    <n v="181.8587"/>
    <x v="2"/>
    <n v="272.30630000000002"/>
    <x v="0"/>
    <x v="6"/>
  </r>
  <r>
    <s v="Kiran Ashvale"/>
    <d v="2001-10-30T00:00:00"/>
    <n v="23"/>
    <n v="167"/>
    <s v="Pendek"/>
    <s v="ENTJ"/>
    <x v="0"/>
    <x v="1"/>
    <s v="Fracture Surge"/>
    <n v="52"/>
    <n v="81"/>
    <n v="31"/>
    <n v="48"/>
    <s v="0.766 %"/>
    <n v="133"/>
    <n v="0.49530000000000002"/>
    <n v="142.3749"/>
    <x v="2"/>
    <n v="346.31130000000002"/>
    <x v="2"/>
    <x v="3"/>
  </r>
  <r>
    <s v="Aster Wiley"/>
    <d v="2003-12-15T00:00:00"/>
    <n v="21"/>
    <n v="172"/>
    <s v="Normal"/>
    <s v="ESTJ"/>
    <x v="1"/>
    <x v="0"/>
    <s v="Soulfire Manifestation"/>
    <n v="26"/>
    <n v="29"/>
    <n v="79"/>
    <n v="62"/>
    <s v="0.6893 %"/>
    <n v="22"/>
    <n v="0.40379999999999999"/>
    <n v="49.192399999999999"/>
    <x v="3"/>
    <n v="220.0831"/>
    <x v="2"/>
    <x v="2"/>
  </r>
  <r>
    <s v="Orin Wiley"/>
    <d v="2003-03-03T00:00:00"/>
    <n v="21"/>
    <n v="169"/>
    <s v="Normal"/>
    <s v="ENFJ"/>
    <x v="3"/>
    <x v="0"/>
    <s v="Emotional Vectoring"/>
    <n v="77"/>
    <n v="71"/>
    <n v="90"/>
    <n v="49"/>
    <s v="0.1792 %"/>
    <n v="239"/>
    <n v="0.48949999999999999"/>
    <n v="84.029799999999994"/>
    <x v="3"/>
    <n v="527.40869999999995"/>
    <x v="2"/>
    <x v="5"/>
  </r>
  <r>
    <s v="Kenji Stormbright"/>
    <d v="2002-09-17T00:00:00"/>
    <n v="22"/>
    <n v="176"/>
    <s v="Tinggi"/>
    <s v="INTP"/>
    <x v="0"/>
    <x v="1"/>
    <s v="Memory Palace / Librarian Assistant"/>
    <n v="60"/>
    <n v="17"/>
    <n v="35"/>
    <n v="36"/>
    <s v="0.3126 %"/>
    <n v="250"/>
    <n v="0.84019999999999995"/>
    <n v="21.7104"/>
    <x v="2"/>
    <n v="398.95280000000002"/>
    <x v="0"/>
    <x v="5"/>
  </r>
  <r>
    <s v="Elise Funai"/>
    <d v="2002-07-28T00:00:00"/>
    <n v="22"/>
    <n v="177"/>
    <s v="Tinggi"/>
    <s v="ISTP"/>
    <x v="2"/>
    <x v="0"/>
    <s v="Zone of Order / City Watch Captain"/>
    <n v="52"/>
    <n v="40"/>
    <n v="15"/>
    <n v="73"/>
    <s v="0.7102 %"/>
    <n v="209"/>
    <n v="0.79269999999999996"/>
    <n v="68.219899999999996"/>
    <x v="1"/>
    <n v="389.94290000000001"/>
    <x v="1"/>
    <x v="1"/>
  </r>
  <r>
    <s v="Akira Vance"/>
    <d v="2002-11-06T00:00:00"/>
    <n v="22"/>
    <n v="179"/>
    <s v="Tinggi"/>
    <s v="ESTJ"/>
    <x v="1"/>
    <x v="1"/>
    <s v="Moment moment of Truth / Oracle"/>
    <n v="32"/>
    <n v="15"/>
    <n v="55"/>
    <n v="80"/>
    <s v="0.3781 %"/>
    <n v="345"/>
    <n v="0.71730000000000005"/>
    <n v="20.285599999999999"/>
    <x v="1"/>
    <n v="527.59540000000004"/>
    <x v="1"/>
    <x v="6"/>
  </r>
  <r>
    <s v="Wren Sato"/>
    <d v="2001-05-19T00:00:00"/>
    <n v="23"/>
    <n v="170"/>
    <s v="Normal"/>
    <s v="ESTJ"/>
    <x v="1"/>
    <x v="0"/>
    <s v="Elemental Mastery"/>
    <n v="48"/>
    <n v="88"/>
    <n v="73"/>
    <n v="77"/>
    <s v="0.4726 %"/>
    <n v="352"/>
    <n v="0.58509999999999995"/>
    <n v="129.70660000000001"/>
    <x v="3"/>
    <n v="639.3877"/>
    <x v="2"/>
    <x v="6"/>
  </r>
  <r>
    <s v="Orin Muller"/>
    <d v="2001-02-23T00:00:00"/>
    <n v="23"/>
    <n v="165"/>
    <s v="Pendek"/>
    <s v="ISTP"/>
    <x v="2"/>
    <x v="1"/>
    <s v="Heartstrike Overload"/>
    <n v="90"/>
    <n v="24"/>
    <n v="4"/>
    <n v="9"/>
    <s v="0.2207 %"/>
    <n v="312"/>
    <n v="0.78080000000000005"/>
    <n v="29.125900000000001"/>
    <x v="3"/>
    <n v="439.32150000000001"/>
    <x v="2"/>
    <x v="5"/>
  </r>
  <r>
    <s v="Seraphina Drayton"/>
    <d v="2003-08-29T00:00:00"/>
    <n v="21"/>
    <n v="175"/>
    <s v="Tinggi"/>
    <s v="ENFJ"/>
    <x v="3"/>
    <x v="0"/>
    <s v="Triage Field / Field Medic"/>
    <n v="30"/>
    <n v="4"/>
    <n v="77"/>
    <n v="2"/>
    <s v="0.4717 %"/>
    <n v="109"/>
    <n v="0.73409999999999997"/>
    <n v="6.1664000000000003"/>
    <x v="1"/>
    <n v="223.04580000000001"/>
    <x v="0"/>
    <x v="0"/>
  </r>
  <r>
    <s v="Hiroshi Holloway"/>
    <d v="2002-10-28T00:00:00"/>
    <n v="22"/>
    <n v="182"/>
    <s v="Tinggi"/>
    <s v="ESTP"/>
    <x v="2"/>
    <x v="1"/>
    <s v="Dominion Mark"/>
    <n v="65"/>
    <n v="78"/>
    <n v="61"/>
    <n v="83"/>
    <s v="0.4547 %"/>
    <n v="288"/>
    <n v="0.8226"/>
    <n v="113.2484"/>
    <x v="0"/>
    <n v="575.9973"/>
    <x v="2"/>
    <x v="0"/>
  </r>
  <r>
    <s v="Naoki Dunmore"/>
    <d v="2003-11-29T00:00:00"/>
    <n v="21"/>
    <n v="167"/>
    <s v="Pendek"/>
    <s v="ESFP"/>
    <x v="2"/>
    <x v="1"/>
    <s v="Ruin Pulse Engine"/>
    <n v="84"/>
    <n v="52"/>
    <n v="63"/>
    <n v="6"/>
    <s v="0.4582 %"/>
    <n v="117"/>
    <n v="0.53700000000000003"/>
    <n v="75.972200000000001"/>
    <x v="2"/>
    <n v="323.68520000000001"/>
    <x v="1"/>
    <x v="1"/>
  </r>
  <r>
    <s v="Airi Ashvale"/>
    <d v="2003-11-25T00:00:00"/>
    <n v="21"/>
    <n v="182"/>
    <s v="Tinggi"/>
    <s v="ENTP"/>
    <x v="0"/>
    <x v="0"/>
    <s v="Momentum Surge / Knight-Errant"/>
    <n v="125"/>
    <n v="46"/>
    <n v="73"/>
    <n v="12"/>
    <s v="0.9441 %"/>
    <n v="312"/>
    <n v="0.71330000000000005"/>
    <n v="88.884299999999996"/>
    <x v="1"/>
    <n v="568.47739999999999"/>
    <x v="1"/>
    <x v="3"/>
  </r>
  <r>
    <s v="Reika Funai"/>
    <d v="2003-07-19T00:00:00"/>
    <n v="21"/>
    <n v="165"/>
    <s v="Pendek"/>
    <s v="ISFJ"/>
    <x v="1"/>
    <x v="0"/>
    <s v="Momentum Surge / Knight-Errant"/>
    <n v="14"/>
    <n v="33"/>
    <n v="65"/>
    <n v="71"/>
    <s v="0.7599 %"/>
    <n v="66"/>
    <n v="0.441"/>
    <n v="58.217500000000001"/>
    <x v="3"/>
    <n v="251.80090000000001"/>
    <x v="2"/>
    <x v="2"/>
  </r>
  <r>
    <s v="Vessa Drayton"/>
    <d v="2003-11-14T00:00:00"/>
    <n v="21"/>
    <n v="183"/>
    <s v="Tinggi"/>
    <s v="ENTJ"/>
    <x v="0"/>
    <x v="0"/>
    <s v="Emotional Vectoring"/>
    <n v="83"/>
    <n v="5"/>
    <n v="18"/>
    <n v="34"/>
    <s v="0.8764 %"/>
    <n v="349"/>
    <n v="0.47299999999999998"/>
    <n v="10.0387"/>
    <x v="1"/>
    <n v="490.44940000000003"/>
    <x v="0"/>
    <x v="6"/>
  </r>
  <r>
    <s v="Shiho Vance"/>
    <d v="2003-07-03T00:00:00"/>
    <n v="21"/>
    <n v="169"/>
    <s v="Normal"/>
    <s v="INTJ"/>
    <x v="0"/>
    <x v="1"/>
    <s v="Elemental Mastery"/>
    <n v="19"/>
    <n v="14"/>
    <n v="21"/>
    <n v="63"/>
    <s v="0.5128 %"/>
    <n v="102"/>
    <n v="0.78490000000000004"/>
    <n v="21.224599999999999"/>
    <x v="0"/>
    <n v="219.54769999999999"/>
    <x v="2"/>
    <x v="3"/>
  </r>
  <r>
    <s v="Naoki Aldridge"/>
    <d v="2001-06-12T00:00:00"/>
    <n v="23"/>
    <n v="174"/>
    <s v="Normal"/>
    <s v="ESFJ"/>
    <x v="1"/>
    <x v="0"/>
    <s v="Dominion Mark"/>
    <n v="132"/>
    <n v="29"/>
    <n v="63"/>
    <n v="82"/>
    <s v="0.2664 %"/>
    <n v="84"/>
    <n v="0.42480000000000001"/>
    <n v="36.130400000000002"/>
    <x v="2"/>
    <n v="390.93119999999999"/>
    <x v="0"/>
    <x v="1"/>
  </r>
  <r>
    <s v="Owen Hayashi"/>
    <d v="2001-08-12T00:00:00"/>
    <n v="23"/>
    <n v="161"/>
    <s v="Pendek"/>
    <s v="INTJ"/>
    <x v="0"/>
    <x v="1"/>
    <s v="Elemental Mastery"/>
    <n v="25"/>
    <n v="29"/>
    <n v="66"/>
    <n v="70"/>
    <s v="0.606 %"/>
    <n v="229"/>
    <n v="0.83479999999999999"/>
    <n v="46.814900000000002"/>
    <x v="2"/>
    <n v="421.68079999999998"/>
    <x v="0"/>
    <x v="0"/>
  </r>
  <r>
    <s v="Lena Hartley"/>
    <d v="2001-05-19T00:00:00"/>
    <n v="23"/>
    <n v="172"/>
    <s v="Normal"/>
    <s v="ISFP"/>
    <x v="2"/>
    <x v="1"/>
    <s v="Warbrand Arsenal"/>
    <n v="45"/>
    <n v="14"/>
    <n v="70"/>
    <n v="28"/>
    <s v="0.5722 %"/>
    <n v="211"/>
    <n v="0.71309999999999996"/>
    <n v="22.5139"/>
    <x v="0"/>
    <n v="369.46530000000001"/>
    <x v="0"/>
    <x v="4"/>
  </r>
  <r>
    <s v="Lyanna Emberveil"/>
    <d v="2002-10-11T00:00:00"/>
    <n v="22"/>
    <n v="173"/>
    <s v="Normal"/>
    <s v="ENTJ"/>
    <x v="0"/>
    <x v="1"/>
    <s v="Combat Escalation Law"/>
    <n v="139"/>
    <n v="62"/>
    <n v="50"/>
    <n v="73"/>
    <s v="0.8272 %"/>
    <n v="200"/>
    <n v="0.79759999999999998"/>
    <n v="112.9392"/>
    <x v="1"/>
    <n v="525.50480000000005"/>
    <x v="2"/>
    <x v="2"/>
  </r>
  <r>
    <s v="Aiko Rossi"/>
    <d v="2003-08-11T00:00:00"/>
    <n v="21"/>
    <n v="160"/>
    <s v="Pendek"/>
    <s v="INFJ"/>
    <x v="3"/>
    <x v="0"/>
    <s v="Damage Reflection Lattice"/>
    <n v="120"/>
    <n v="100"/>
    <n v="42"/>
    <n v="34"/>
    <s v="0.6738 %"/>
    <n v="225"/>
    <n v="0.40510000000000002"/>
    <n v="167.21260000000001"/>
    <x v="1"/>
    <n v="521.76890000000003"/>
    <x v="2"/>
    <x v="2"/>
  </r>
  <r>
    <s v="Taro Vance"/>
    <d v="2003-11-04T00:00:00"/>
    <n v="21"/>
    <n v="169"/>
    <s v="Normal"/>
    <s v="ISTP"/>
    <x v="2"/>
    <x v="1"/>
    <s v="Fracture Surge"/>
    <n v="18"/>
    <n v="34"/>
    <n v="40"/>
    <n v="57"/>
    <s v="0.8488 %"/>
    <n v="384"/>
    <n v="0.48730000000000001"/>
    <n v="62.859200000000001"/>
    <x v="2"/>
    <n v="534.91610000000003"/>
    <x v="2"/>
    <x v="3"/>
  </r>
  <r>
    <s v="Yuki Silva"/>
    <d v="2001-11-15T00:00:00"/>
    <n v="23"/>
    <n v="175"/>
    <s v="Tinggi"/>
    <s v="ENFP"/>
    <x v="3"/>
    <x v="1"/>
    <s v="Adaptive Mutation"/>
    <n v="70"/>
    <n v="82"/>
    <n v="93"/>
    <n v="7"/>
    <s v="0.6084 %"/>
    <n v="209"/>
    <n v="0.70520000000000005"/>
    <n v="131.24539999999999"/>
    <x v="0"/>
    <n v="461.1336"/>
    <x v="0"/>
    <x v="4"/>
  </r>
  <r>
    <s v="Isla Eld"/>
    <d v="2002-07-29T00:00:00"/>
    <n v="22"/>
    <n v="164"/>
    <s v="Pendek"/>
    <s v="ISFJ"/>
    <x v="1"/>
    <x v="0"/>
    <s v="Adaptive Mutation"/>
    <n v="148"/>
    <n v="63"/>
    <n v="84"/>
    <n v="58"/>
    <s v="0.6357 %"/>
    <n v="156"/>
    <n v="0.78910000000000002"/>
    <n v="103.0818"/>
    <x v="2"/>
    <n v="510.37479999999999"/>
    <x v="2"/>
    <x v="6"/>
  </r>
  <r>
    <s v="Yuki Dawnforge"/>
    <d v="2001-06-27T00:00:00"/>
    <n v="23"/>
    <n v="173"/>
    <s v="Normal"/>
    <s v="ISFJ"/>
    <x v="1"/>
    <x v="1"/>
    <s v="Dominion Mark"/>
    <n v="56"/>
    <n v="83"/>
    <n v="31"/>
    <n v="53"/>
    <s v="0.4368 %"/>
    <n v="71"/>
    <n v="0.4168"/>
    <n v="119.4268"/>
    <x v="1"/>
    <n v="295.11360000000002"/>
    <x v="0"/>
    <x v="3"/>
  </r>
  <r>
    <s v="Lyanna Flint"/>
    <d v="2002-01-25T00:00:00"/>
    <n v="22"/>
    <n v="164"/>
    <s v="Pendek"/>
    <s v="INTP"/>
    <x v="0"/>
    <x v="1"/>
    <s v="Verdant Wrath / Forest Herbalist"/>
    <n v="110"/>
    <n v="53"/>
    <n v="78"/>
    <n v="15"/>
    <s v="0.8399 %"/>
    <n v="349"/>
    <n v="0.82210000000000005"/>
    <n v="97.220299999999995"/>
    <x v="1"/>
    <n v="606.452"/>
    <x v="0"/>
    <x v="5"/>
  </r>
  <r>
    <s v="Naoki Drayton"/>
    <d v="2003-12-06T00:00:00"/>
    <n v="21"/>
    <n v="182"/>
    <s v="Tinggi"/>
    <s v="INTJ"/>
    <x v="0"/>
    <x v="0"/>
    <s v="Fracture Surge"/>
    <n v="47"/>
    <n v="5"/>
    <n v="85"/>
    <n v="87"/>
    <s v="0.9003 %"/>
    <n v="134"/>
    <n v="0.44640000000000002"/>
    <n v="10.185600000000001"/>
    <x v="2"/>
    <n v="360.30669999999998"/>
    <x v="0"/>
    <x v="4"/>
  </r>
  <r>
    <s v="Iris Ito"/>
    <d v="2002-02-15T00:00:00"/>
    <n v="22"/>
    <n v="170"/>
    <s v="Normal"/>
    <s v="ISFP"/>
    <x v="2"/>
    <x v="0"/>
    <s v="Runic Deconstruction / Scholar"/>
    <n v="42"/>
    <n v="33"/>
    <n v="45"/>
    <n v="13"/>
    <s v="0.3463 %"/>
    <n v="61"/>
    <n v="0.40689999999999998"/>
    <n v="43.889400000000002"/>
    <x v="0"/>
    <n v="193.47319999999999"/>
    <x v="0"/>
    <x v="4"/>
  </r>
  <r>
    <s v="Petra Hargrove"/>
    <d v="2001-10-17T00:00:00"/>
    <n v="23"/>
    <n v="168"/>
    <s v="Normal"/>
    <s v="ENFJ"/>
    <x v="3"/>
    <x v="1"/>
    <s v="Dominion Mark"/>
    <n v="27"/>
    <n v="32"/>
    <n v="89"/>
    <n v="55"/>
    <s v="0.1261 %"/>
    <n v="21"/>
    <n v="0.80649999999999999"/>
    <n v="35.843800000000002"/>
    <x v="0"/>
    <n v="224.37260000000001"/>
    <x v="0"/>
    <x v="3"/>
  </r>
  <r>
    <s v="Cael Langley"/>
    <d v="2002-01-02T00:00:00"/>
    <n v="22"/>
    <n v="172"/>
    <s v="Normal"/>
    <s v="INTJ"/>
    <x v="0"/>
    <x v="1"/>
    <s v="Combat Escalation Law"/>
    <n v="48"/>
    <n v="82"/>
    <n v="72"/>
    <n v="67"/>
    <s v="0.9763 %"/>
    <n v="214"/>
    <n v="0.74009999999999998"/>
    <n v="161.91829999999999"/>
    <x v="3"/>
    <n v="484.0564"/>
    <x v="2"/>
    <x v="1"/>
  </r>
  <r>
    <s v="Quinn Strider"/>
    <d v="2003-07-23T00:00:00"/>
    <n v="21"/>
    <n v="163"/>
    <s v="Pendek"/>
    <s v="ENTJ"/>
    <x v="0"/>
    <x v="1"/>
    <s v="Momentum Surge / Knight-Errant"/>
    <n v="71"/>
    <n v="95"/>
    <n v="15"/>
    <n v="90"/>
    <s v="0.4271 %"/>
    <n v="104"/>
    <n v="0.48249999999999998"/>
    <n v="135.28909999999999"/>
    <x v="2"/>
    <n v="375.67959999999999"/>
    <x v="1"/>
    <x v="3"/>
  </r>
  <r>
    <s v="Hana Eld"/>
    <d v="2001-08-20T00:00:00"/>
    <n v="23"/>
    <n v="175"/>
    <s v="Tinggi"/>
    <s v="ENFP"/>
    <x v="3"/>
    <x v="1"/>
    <s v="Verdant Wrath / Forest Herbalist"/>
    <n v="70"/>
    <n v="18"/>
    <n v="77"/>
    <n v="61"/>
    <s v="0.1926 %"/>
    <n v="52"/>
    <n v="0.76790000000000003"/>
    <n v="21.359500000000001"/>
    <x v="0"/>
    <n v="278.3005"/>
    <x v="1"/>
    <x v="4"/>
  </r>
  <r>
    <s v="Shun Strider"/>
    <d v="2003-04-27T00:00:00"/>
    <n v="21"/>
    <n v="172"/>
    <s v="Normal"/>
    <s v="ENTJ"/>
    <x v="0"/>
    <x v="0"/>
    <s v="Dominion Mark"/>
    <n v="83"/>
    <n v="97"/>
    <n v="39"/>
    <n v="35"/>
    <s v="0.6319 %"/>
    <n v="326"/>
    <n v="0.75290000000000001"/>
    <n v="158.97970000000001"/>
    <x v="3"/>
    <n v="580.9248"/>
    <x v="2"/>
    <x v="6"/>
  </r>
  <r>
    <s v="Ansel Blackwood"/>
    <d v="2001-06-09T00:00:00"/>
    <n v="23"/>
    <n v="165"/>
    <s v="Pendek"/>
    <s v="ISFJ"/>
    <x v="1"/>
    <x v="1"/>
    <s v="Fate Weave / Royal Advisor"/>
    <n v="89"/>
    <n v="47"/>
    <n v="56"/>
    <n v="82"/>
    <s v="0.9603 %"/>
    <n v="71"/>
    <n v="0.43130000000000002"/>
    <n v="91.800799999999995"/>
    <x v="0"/>
    <n v="347.07159999999999"/>
    <x v="2"/>
    <x v="6"/>
  </r>
  <r>
    <s v="Lena Bramble"/>
    <d v="2001-05-06T00:00:00"/>
    <n v="23"/>
    <n v="180"/>
    <s v="Tinggi"/>
    <s v="INFP"/>
    <x v="3"/>
    <x v="0"/>
    <s v="Damage Reflection Lattice"/>
    <n v="123"/>
    <n v="89"/>
    <n v="90"/>
    <n v="64"/>
    <s v="0.2321 %"/>
    <n v="1"/>
    <n v="0.46710000000000002"/>
    <n v="109.4598"/>
    <x v="2"/>
    <n v="367.74919999999997"/>
    <x v="1"/>
    <x v="4"/>
  </r>
  <r>
    <s v="Vivian Ito"/>
    <d v="2002-10-11T00:00:00"/>
    <n v="22"/>
    <n v="181"/>
    <s v="Tinggi"/>
    <s v="ESFP"/>
    <x v="2"/>
    <x v="1"/>
    <s v="Covenant Bond / Healer &amp; Diplomat"/>
    <n v="138"/>
    <n v="94"/>
    <n v="72"/>
    <n v="92"/>
    <s v="0.6245 %"/>
    <n v="396"/>
    <n v="0.67520000000000002"/>
    <n v="152.26439999999999"/>
    <x v="3"/>
    <n v="792.67970000000003"/>
    <x v="0"/>
    <x v="6"/>
  </r>
  <r>
    <s v="Rin Hartley"/>
    <d v="2001-04-19T00:00:00"/>
    <n v="23"/>
    <n v="177"/>
    <s v="Tinggi"/>
    <s v="ISFP"/>
    <x v="2"/>
    <x v="0"/>
    <s v="Combat Escalation Law"/>
    <n v="17"/>
    <n v="29"/>
    <n v="4"/>
    <n v="44"/>
    <s v="0.6627 %"/>
    <n v="236"/>
    <n v="0.72030000000000005"/>
    <n v="48.118499999999997"/>
    <x v="3"/>
    <n v="331.983"/>
    <x v="1"/>
    <x v="3"/>
  </r>
  <r>
    <s v="Emery Suzuki"/>
    <d v="2001-10-12T00:00:00"/>
    <n v="23"/>
    <n v="175"/>
    <s v="Tinggi"/>
    <s v="INFJ"/>
    <x v="3"/>
    <x v="0"/>
    <s v="Emotional Vectoring"/>
    <n v="127"/>
    <n v="37"/>
    <n v="42"/>
    <n v="30"/>
    <s v="0.213 %"/>
    <n v="349"/>
    <n v="0.4052"/>
    <n v="44.480699999999999"/>
    <x v="0"/>
    <n v="585.03819999999996"/>
    <x v="0"/>
    <x v="5"/>
  </r>
  <r>
    <s v="Emery Mirren"/>
    <d v="2001-06-23T00:00:00"/>
    <n v="23"/>
    <n v="164"/>
    <s v="Pendek"/>
    <s v="ENFP"/>
    <x v="3"/>
    <x v="0"/>
    <s v="Resonant Aria / Performer"/>
    <n v="129"/>
    <n v="89"/>
    <n v="70"/>
    <n v="93"/>
    <s v="0.509 %"/>
    <n v="250"/>
    <n v="0.59089999999999998"/>
    <n v="134.99510000000001"/>
    <x v="3"/>
    <n v="632.33989999999994"/>
    <x v="1"/>
    <x v="2"/>
  </r>
  <r>
    <s v="Seraphina Langley"/>
    <d v="2001-01-16T00:00:00"/>
    <n v="23"/>
    <n v="179"/>
    <s v="Tinggi"/>
    <s v="ESFJ"/>
    <x v="1"/>
    <x v="1"/>
    <s v="Dominion Mark"/>
    <n v="107"/>
    <n v="28"/>
    <n v="93"/>
    <n v="58"/>
    <s v="0.1341 %"/>
    <n v="14"/>
    <n v="0.61750000000000005"/>
    <n v="31.369199999999999"/>
    <x v="2"/>
    <n v="300.66160000000002"/>
    <x v="0"/>
    <x v="4"/>
  </r>
  <r>
    <s v="Aster Vargas"/>
    <d v="2003-12-15T00:00:00"/>
    <n v="21"/>
    <n v="164"/>
    <s v="Pendek"/>
    <s v="ENFP"/>
    <x v="3"/>
    <x v="1"/>
    <s v="Momentum Surge / Knight-Errant"/>
    <n v="78"/>
    <n v="53"/>
    <n v="61"/>
    <n v="25"/>
    <s v="0.6974 %"/>
    <n v="253"/>
    <n v="0.70089999999999997"/>
    <n v="89.639700000000005"/>
    <x v="2"/>
    <n v="471.54829999999998"/>
    <x v="2"/>
    <x v="0"/>
  </r>
  <r>
    <s v="Corwin Masaki"/>
    <d v="2003-07-19T00:00:00"/>
    <n v="21"/>
    <n v="175"/>
    <s v="Tinggi"/>
    <s v="ISFJ"/>
    <x v="1"/>
    <x v="1"/>
    <s v="Adaptive Mutation"/>
    <n v="64"/>
    <n v="96"/>
    <n v="80"/>
    <n v="30"/>
    <s v="0.9306 %"/>
    <n v="15"/>
    <n v="0.73719999999999997"/>
    <n v="185.5307"/>
    <x v="2"/>
    <n v="286.24779999999998"/>
    <x v="0"/>
    <x v="5"/>
  </r>
  <r>
    <s v="Miriam Inoue"/>
    <d v="2001-04-16T00:00:00"/>
    <n v="23"/>
    <n v="178"/>
    <s v="Tinggi"/>
    <s v="ENFP"/>
    <x v="3"/>
    <x v="1"/>
    <s v="Gravity Rend"/>
    <n v="44"/>
    <n v="9"/>
    <n v="51"/>
    <n v="85"/>
    <s v="0.2193 %"/>
    <n v="112"/>
    <n v="0.52639999999999998"/>
    <n v="11.180999999999999"/>
    <x v="2"/>
    <n v="301.85570000000001"/>
    <x v="0"/>
    <x v="5"/>
  </r>
  <r>
    <s v="Theron Suzuki"/>
    <d v="2001-11-06T00:00:00"/>
    <n v="23"/>
    <n v="178"/>
    <s v="Tinggi"/>
    <s v="ISTJ"/>
    <x v="1"/>
    <x v="1"/>
    <s v="Sensory Collapse Domain"/>
    <n v="121"/>
    <n v="27"/>
    <n v="70"/>
    <n v="49"/>
    <s v="0.8758 %"/>
    <n v="320"/>
    <n v="0.55430000000000001"/>
    <n v="50.384"/>
    <x v="0"/>
    <n v="589.00009999999997"/>
    <x v="0"/>
    <x v="4"/>
  </r>
  <r>
    <s v="Mirel Aldridge"/>
    <d v="2003-02-24T00:00:00"/>
    <n v="21"/>
    <n v="184"/>
    <s v="Tinggi"/>
    <s v="ESTJ"/>
    <x v="1"/>
    <x v="0"/>
    <s v="Transmutation Aura / Alchemist"/>
    <n v="109"/>
    <n v="18"/>
    <n v="58"/>
    <n v="84"/>
    <s v="0.338 %"/>
    <n v="23"/>
    <n v="0.76880000000000004"/>
    <n v="23.4953"/>
    <x v="0"/>
    <n v="293.05680000000001"/>
    <x v="0"/>
    <x v="3"/>
  </r>
  <r>
    <s v="Caius Aurelius"/>
    <d v="2003-12-27T00:00:00"/>
    <n v="21"/>
    <n v="175"/>
    <s v="Tinggi"/>
    <s v="INFP"/>
    <x v="3"/>
    <x v="0"/>
    <s v="Emotional Vectoring"/>
    <n v="103"/>
    <n v="40"/>
    <n v="27"/>
    <n v="54"/>
    <s v="0.3599 %"/>
    <n v="174"/>
    <n v="0.75880000000000003"/>
    <n v="53.879199999999997"/>
    <x v="3"/>
    <n v="398.5487"/>
    <x v="2"/>
    <x v="2"/>
  </r>
  <r>
    <s v="Seren Whitmore"/>
    <d v="2002-07-13T00:00:00"/>
    <n v="22"/>
    <n v="173"/>
    <s v="Normal"/>
    <s v="INTJ"/>
    <x v="0"/>
    <x v="1"/>
    <s v="Primal Sovereign / Engineer"/>
    <n v="41"/>
    <n v="11"/>
    <n v="66"/>
    <n v="40"/>
    <s v="0.7742 %"/>
    <n v="309"/>
    <n v="0.73040000000000005"/>
    <n v="19.037199999999999"/>
    <x v="1"/>
    <n v="468.02460000000002"/>
    <x v="2"/>
    <x v="2"/>
  </r>
  <r>
    <s v="Ethan Masaki"/>
    <d v="2001-01-18T00:00:00"/>
    <n v="23"/>
    <n v="181"/>
    <s v="Tinggi"/>
    <s v="ESTP"/>
    <x v="2"/>
    <x v="0"/>
    <s v="Fracture Surge"/>
    <n v="62"/>
    <n v="53"/>
    <n v="69"/>
    <n v="36"/>
    <s v="0.3267 %"/>
    <n v="290"/>
    <n v="0.4153"/>
    <n v="70.315100000000001"/>
    <x v="0"/>
    <n v="511.06200000000001"/>
    <x v="0"/>
    <x v="4"/>
  </r>
  <r>
    <s v="Fable Rossi"/>
    <d v="2001-09-03T00:00:00"/>
    <n v="23"/>
    <n v="182"/>
    <s v="Tinggi"/>
    <s v="INFJ"/>
    <x v="3"/>
    <x v="0"/>
    <s v="Moment moment of Truth / Oracle"/>
    <n v="57"/>
    <n v="77"/>
    <n v="65"/>
    <n v="81"/>
    <s v="0.1998 %"/>
    <n v="75"/>
    <n v="0.4829"/>
    <n v="91.928700000000006"/>
    <x v="2"/>
    <n v="354.70269999999999"/>
    <x v="1"/>
    <x v="5"/>
  </r>
  <r>
    <s v="Iris Ashford"/>
    <d v="2003-05-25T00:00:00"/>
    <n v="21"/>
    <n v="168"/>
    <s v="Normal"/>
    <s v="ENTJ"/>
    <x v="0"/>
    <x v="1"/>
    <s v="Soulfire Manifestation"/>
    <n v="25"/>
    <n v="8"/>
    <n v="78"/>
    <n v="39"/>
    <s v="0.1541 %"/>
    <n v="134"/>
    <n v="0.83"/>
    <n v="9.6136999999999997"/>
    <x v="2"/>
    <n v="285.00409999999999"/>
    <x v="0"/>
    <x v="3"/>
  </r>
  <r>
    <s v="Torin Watanabe"/>
    <d v="2003-03-16T00:00:00"/>
    <n v="21"/>
    <n v="179"/>
    <s v="Tinggi"/>
    <s v="ENTJ"/>
    <x v="0"/>
    <x v="0"/>
    <s v="Memory Palace / Librarian Assistant"/>
    <n v="17"/>
    <n v="55"/>
    <n v="44"/>
    <n v="62"/>
    <s v="0.4974 %"/>
    <n v="43"/>
    <n v="0.51649999999999996"/>
    <n v="81.638199999999998"/>
    <x v="0"/>
    <n v="221.5539"/>
    <x v="0"/>
    <x v="0"/>
  </r>
  <r>
    <s v="Reika Wiley"/>
    <d v="2001-11-01T00:00:00"/>
    <n v="23"/>
    <n v="175"/>
    <s v="Tinggi"/>
    <s v="ISTP"/>
    <x v="2"/>
    <x v="0"/>
    <s v="Ruin Pulse Engine"/>
    <n v="100"/>
    <n v="27"/>
    <n v="70"/>
    <n v="91"/>
    <s v="0.5638 %"/>
    <n v="230"/>
    <n v="0.82299999999999995"/>
    <n v="42.816800000000001"/>
    <x v="3"/>
    <n v="519.94680000000005"/>
    <x v="1"/>
    <x v="3"/>
  </r>
  <r>
    <s v="Taro Yoshida"/>
    <d v="2003-02-27T00:00:00"/>
    <n v="21"/>
    <n v="160"/>
    <s v="Pendek"/>
    <s v="INFP"/>
    <x v="3"/>
    <x v="1"/>
    <s v="Fate Weave / Royal Advisor"/>
    <n v="86"/>
    <n v="94"/>
    <n v="37"/>
    <n v="68"/>
    <s v="0.669 %"/>
    <n v="161"/>
    <n v="0.83150000000000002"/>
    <n v="156.16829999999999"/>
    <x v="0"/>
    <n v="446.47050000000002"/>
    <x v="1"/>
    <x v="4"/>
  </r>
  <r>
    <s v="Elara Ashford"/>
    <d v="2002-08-17T00:00:00"/>
    <n v="22"/>
    <n v="184"/>
    <s v="Tinggi"/>
    <s v="ISFJ"/>
    <x v="1"/>
    <x v="0"/>
    <s v="Elemental Mastery"/>
    <n v="84"/>
    <n v="97"/>
    <n v="66"/>
    <n v="31"/>
    <s v="0.1961 %"/>
    <n v="157"/>
    <n v="0.71"/>
    <n v="115.7586"/>
    <x v="3"/>
    <n v="434.95609999999999"/>
    <x v="0"/>
    <x v="5"/>
  </r>
  <r>
    <s v="Dante Silva"/>
    <d v="2002-01-31T00:00:00"/>
    <n v="22"/>
    <n v="161"/>
    <s v="Pendek"/>
    <s v="ESFP"/>
    <x v="2"/>
    <x v="0"/>
    <s v="Dominion Mark"/>
    <n v="74"/>
    <n v="7"/>
    <n v="55"/>
    <n v="31"/>
    <s v="0.8508 %"/>
    <n v="214"/>
    <n v="0.60219999999999996"/>
    <n v="13.399800000000001"/>
    <x v="0"/>
    <n v="382.613"/>
    <x v="0"/>
    <x v="2"/>
  </r>
  <r>
    <s v="Clara Dunmore"/>
    <d v="2001-08-31T00:00:00"/>
    <n v="23"/>
    <n v="172"/>
    <s v="Normal"/>
    <s v="INTJ"/>
    <x v="0"/>
    <x v="0"/>
    <s v="Momentum Surge / Knight-Errant"/>
    <n v="141"/>
    <n v="87"/>
    <n v="54"/>
    <n v="74"/>
    <s v="0.1648 %"/>
    <n v="94"/>
    <n v="0.73099999999999998"/>
    <n v="101.5123"/>
    <x v="3"/>
    <n v="451.55579999999998"/>
    <x v="2"/>
    <x v="0"/>
  </r>
  <r>
    <s v="Blaine Dunmore"/>
    <d v="2001-09-25T00:00:00"/>
    <n v="23"/>
    <n v="167"/>
    <s v="Pendek"/>
    <s v="ENFP"/>
    <x v="3"/>
    <x v="0"/>
    <s v="Elemental Mastery"/>
    <n v="95"/>
    <n v="91"/>
    <n v="82"/>
    <n v="11"/>
    <s v="0.8518 %"/>
    <n v="245"/>
    <n v="0.42880000000000001"/>
    <n v="167.69900000000001"/>
    <x v="0"/>
    <n v="524.87059999999997"/>
    <x v="0"/>
    <x v="3"/>
  </r>
  <r>
    <s v="Taro Watanabe"/>
    <d v="2002-11-22T00:00:00"/>
    <n v="22"/>
    <n v="173"/>
    <s v="Normal"/>
    <s v="ESFJ"/>
    <x v="1"/>
    <x v="1"/>
    <s v="Archive of Blades / Guild Archivist"/>
    <n v="19"/>
    <n v="69"/>
    <n v="55"/>
    <n v="33"/>
    <s v="0.2919 %"/>
    <n v="386"/>
    <n v="0.42049999999999998"/>
    <n v="88.779399999999995"/>
    <x v="1"/>
    <n v="562.22239999999999"/>
    <x v="1"/>
    <x v="0"/>
  </r>
  <r>
    <s v="Sakura Nakamura"/>
    <d v="2003-05-01T00:00:00"/>
    <n v="21"/>
    <n v="184"/>
    <s v="Tinggi"/>
    <s v="ISTJ"/>
    <x v="1"/>
    <x v="0"/>
    <s v="Sensory Collapse Domain"/>
    <n v="83"/>
    <n v="44"/>
    <n v="93"/>
    <n v="5"/>
    <s v="0.8626 %"/>
    <n v="41"/>
    <n v="0.67559999999999998"/>
    <n v="82.755300000000005"/>
    <x v="1"/>
    <n v="267.98820000000001"/>
    <x v="0"/>
    <x v="3"/>
  </r>
  <r>
    <s v="Aiko Lopez"/>
    <d v="2001-07-02T00:00:00"/>
    <n v="23"/>
    <n v="165"/>
    <s v="Pendek"/>
    <s v="ENTJ"/>
    <x v="0"/>
    <x v="1"/>
    <s v="Resonant Aria / Performer"/>
    <n v="104"/>
    <n v="79"/>
    <n v="48"/>
    <n v="14"/>
    <s v="0.3439 %"/>
    <n v="58"/>
    <n v="0.60270000000000001"/>
    <n v="106.746"/>
    <x v="1"/>
    <n v="304.48660000000001"/>
    <x v="0"/>
    <x v="4"/>
  </r>
  <r>
    <s v="Fable Yamamoto"/>
    <d v="2003-10-21T00:00:00"/>
    <n v="21"/>
    <n v="182"/>
    <s v="Tinggi"/>
    <s v="INTJ"/>
    <x v="0"/>
    <x v="0"/>
    <s v="Covenant Bond / Healer &amp; Diplomat"/>
    <n v="53"/>
    <n v="1"/>
    <n v="24"/>
    <n v="13"/>
    <s v="0.1861 %"/>
    <n v="213"/>
    <n v="0.56289999999999996"/>
    <n v="1.7198"/>
    <x v="1"/>
    <n v="304.53899999999999"/>
    <x v="1"/>
    <x v="6"/>
  </r>
  <r>
    <s v="Sakura Ashvale"/>
    <d v="2001-08-19T00:00:00"/>
    <n v="23"/>
    <n v="166"/>
    <s v="Pendek"/>
    <s v="INFJ"/>
    <x v="3"/>
    <x v="0"/>
    <s v="Verdant Wrath / Forest Herbalist"/>
    <n v="75"/>
    <n v="17"/>
    <n v="92"/>
    <n v="6"/>
    <s v="0.2886 %"/>
    <n v="146"/>
    <n v="0.5131"/>
    <n v="21.674299999999999"/>
    <x v="3"/>
    <n v="337.75170000000003"/>
    <x v="0"/>
    <x v="0"/>
  </r>
  <r>
    <s v="Corwin Suzuki"/>
    <d v="2001-03-01T00:00:00"/>
    <n v="23"/>
    <n v="165"/>
    <s v="Pendek"/>
    <s v="INTJ"/>
    <x v="0"/>
    <x v="1"/>
    <s v="Fate Weave / Royal Advisor"/>
    <n v="12"/>
    <n v="24"/>
    <n v="45"/>
    <n v="58"/>
    <s v="0.7724 %"/>
    <n v="168"/>
    <n v="0.80430000000000001"/>
    <n v="43.051600000000001"/>
    <x v="1"/>
    <n v="309.07670000000002"/>
    <x v="0"/>
    <x v="2"/>
  </r>
  <r>
    <s v="Seren Blackwood"/>
    <d v="2003-04-25T00:00:00"/>
    <n v="21"/>
    <n v="183"/>
    <s v="Tinggi"/>
    <s v="ESFJ"/>
    <x v="1"/>
    <x v="0"/>
    <s v="Emotional Vectoring"/>
    <n v="134"/>
    <n v="8"/>
    <n v="59"/>
    <n v="6"/>
    <s v="0.2945 %"/>
    <n v="175"/>
    <n v="0.67420000000000002"/>
    <n v="10.718500000000001"/>
    <x v="1"/>
    <n v="383.26870000000002"/>
    <x v="1"/>
    <x v="2"/>
  </r>
  <r>
    <s v="Naoki Kobayashi"/>
    <d v="2003-01-05T00:00:00"/>
    <n v="21"/>
    <n v="180"/>
    <s v="Tinggi"/>
    <s v="ESTJ"/>
    <x v="1"/>
    <x v="1"/>
    <s v="Essence Severance"/>
    <n v="51"/>
    <n v="4"/>
    <n v="57"/>
    <n v="29"/>
    <s v="0.519 %"/>
    <n v="45"/>
    <n v="0.58819999999999995"/>
    <n v="6.3494000000000002"/>
    <x v="2"/>
    <n v="187.74719999999999"/>
    <x v="0"/>
    <x v="2"/>
  </r>
  <r>
    <s v="Iris Inoue"/>
    <d v="2002-04-16T00:00:00"/>
    <n v="22"/>
    <n v="178"/>
    <s v="Tinggi"/>
    <s v="ESTP"/>
    <x v="2"/>
    <x v="0"/>
    <s v="Resonant Aria / Performer"/>
    <n v="129"/>
    <n v="49"/>
    <n v="100"/>
    <n v="60"/>
    <s v="0.3513 %"/>
    <n v="335"/>
    <n v="0.72850000000000004"/>
    <n v="66.794799999999995"/>
    <x v="1"/>
    <n v="673.2998"/>
    <x v="0"/>
    <x v="2"/>
  </r>
  <r>
    <s v="Miriam Yoshida"/>
    <d v="2001-11-02T00:00:00"/>
    <n v="23"/>
    <n v="178"/>
    <s v="Tinggi"/>
    <s v="ENTP"/>
    <x v="0"/>
    <x v="0"/>
    <s v="Resonant Aria / Performer"/>
    <n v="147"/>
    <n v="5"/>
    <n v="48"/>
    <n v="77"/>
    <s v="0.578 %"/>
    <n v="14"/>
    <n v="0.61570000000000003"/>
    <n v="7.8426999999999998"/>
    <x v="0"/>
    <n v="292.30369999999999"/>
    <x v="1"/>
    <x v="3"/>
  </r>
  <r>
    <s v="Elara Masaki"/>
    <d v="2003-04-13T00:00:00"/>
    <n v="21"/>
    <n v="182"/>
    <s v="Tinggi"/>
    <s v="ESFJ"/>
    <x v="1"/>
    <x v="0"/>
    <s v="Moment moment of Truth / Oracle"/>
    <n v="54"/>
    <n v="25"/>
    <n v="100"/>
    <n v="3"/>
    <s v="0.2456 %"/>
    <n v="268"/>
    <n v="0.60670000000000002"/>
    <n v="30.728999999999999"/>
    <x v="0"/>
    <n v="450.35230000000001"/>
    <x v="1"/>
    <x v="3"/>
  </r>
  <r>
    <s v="Chiyo Yamamoto"/>
    <d v="2003-01-29T00:00:00"/>
    <n v="21"/>
    <n v="185"/>
    <s v="Tinggi"/>
    <s v="ESTJ"/>
    <x v="1"/>
    <x v="1"/>
    <s v="Fracture Surge"/>
    <n v="129"/>
    <n v="8"/>
    <n v="89"/>
    <n v="34"/>
    <s v="0.4833 %"/>
    <n v="14"/>
    <n v="0.52139999999999997"/>
    <n v="11.866400000000001"/>
    <x v="1"/>
    <n v="275.66469999999998"/>
    <x v="2"/>
    <x v="0"/>
  </r>
  <r>
    <s v="Rin Kline"/>
    <d v="2001-08-16T00:00:00"/>
    <n v="23"/>
    <n v="161"/>
    <s v="Pendek"/>
    <s v="ISFJ"/>
    <x v="1"/>
    <x v="1"/>
    <s v="Sensory Collapse Domain"/>
    <n v="70"/>
    <n v="5"/>
    <n v="37"/>
    <n v="65"/>
    <s v="0.6047 %"/>
    <n v="282"/>
    <n v="0.74809999999999999"/>
    <n v="8.1036999999999999"/>
    <x v="1"/>
    <n v="461.43279999999999"/>
    <x v="1"/>
    <x v="1"/>
  </r>
  <r>
    <s v="Wren Crestwood"/>
    <d v="2002-03-06T00:00:00"/>
    <n v="22"/>
    <n v="183"/>
    <s v="Tinggi"/>
    <s v="ISTJ"/>
    <x v="1"/>
    <x v="0"/>
    <s v="Archive of Blades / Guild Archivist"/>
    <n v="54"/>
    <n v="27"/>
    <n v="68"/>
    <n v="28"/>
    <s v="0.4107 %"/>
    <n v="26"/>
    <n v="0.61880000000000002"/>
    <n v="38.751899999999999"/>
    <x v="0"/>
    <n v="205.1095"/>
    <x v="1"/>
    <x v="5"/>
  </r>
  <r>
    <s v="Reika Hartley"/>
    <d v="2001-05-15T00:00:00"/>
    <n v="23"/>
    <n v="185"/>
    <s v="Tinggi"/>
    <s v="ISFP"/>
    <x v="2"/>
    <x v="0"/>
    <s v="Momentum Surge / Knight-Errant"/>
    <n v="14"/>
    <n v="40"/>
    <n v="19"/>
    <n v="96"/>
    <s v="0.2483 %"/>
    <n v="32"/>
    <n v="0.45040000000000002"/>
    <n v="49.532499999999999"/>
    <x v="1"/>
    <n v="200.65870000000001"/>
    <x v="1"/>
    <x v="1"/>
  </r>
  <r>
    <s v="Brant Wiley"/>
    <d v="2003-05-04T00:00:00"/>
    <n v="21"/>
    <n v="169"/>
    <s v="Normal"/>
    <s v="INFJ"/>
    <x v="3"/>
    <x v="0"/>
    <s v="Verdant Wrath / Forest Herbalist"/>
    <n v="53"/>
    <n v="45"/>
    <n v="65"/>
    <n v="30"/>
    <s v="0.8846 %"/>
    <n v="26"/>
    <n v="0.50449999999999995"/>
    <n v="84.693899999999999"/>
    <x v="2"/>
    <n v="219.78909999999999"/>
    <x v="1"/>
    <x v="4"/>
  </r>
  <r>
    <s v="Wren Pemberton"/>
    <d v="2003-12-22T00:00:00"/>
    <n v="21"/>
    <n v="175"/>
    <s v="Tinggi"/>
    <s v="ISFJ"/>
    <x v="1"/>
    <x v="1"/>
    <s v="Momentum Surge / Knight-Errant"/>
    <n v="46"/>
    <n v="14"/>
    <n v="79"/>
    <n v="18"/>
    <s v="0.5358 %"/>
    <n v="105"/>
    <n v="0.83679999999999999"/>
    <n v="21.593299999999999"/>
    <x v="0"/>
    <n v="263.63260000000002"/>
    <x v="0"/>
    <x v="2"/>
  </r>
  <r>
    <s v="Naoki Inoue"/>
    <d v="2001-11-26T00:00:00"/>
    <n v="23"/>
    <n v="179"/>
    <s v="Tinggi"/>
    <s v="ISFP"/>
    <x v="2"/>
    <x v="1"/>
    <s v="Elemental Mastery"/>
    <n v="146"/>
    <n v="84"/>
    <n v="70"/>
    <n v="67"/>
    <s v="0.3141 %"/>
    <n v="62"/>
    <n v="0.41849999999999998"/>
    <n v="110.5027"/>
    <x v="2"/>
    <n v="429.63260000000002"/>
    <x v="2"/>
    <x v="1"/>
  </r>
  <r>
    <s v="Yuna Hartley"/>
    <d v="2002-02-25T00:00:00"/>
    <n v="22"/>
    <n v="165"/>
    <s v="Pendek"/>
    <s v="ESFP"/>
    <x v="2"/>
    <x v="0"/>
    <s v="Archive of Blades / Guild Archivist"/>
    <n v="147"/>
    <n v="16"/>
    <n v="45"/>
    <n v="98"/>
    <s v="0.2093 %"/>
    <n v="214"/>
    <n v="0.41120000000000001"/>
    <n v="18.9255"/>
    <x v="3"/>
    <n v="519.88049999999998"/>
    <x v="0"/>
    <x v="3"/>
  </r>
  <r>
    <s v="Zara Lopez"/>
    <d v="2003-11-06T00:00:00"/>
    <n v="21"/>
    <n v="183"/>
    <s v="Tinggi"/>
    <s v="ISFJ"/>
    <x v="1"/>
    <x v="1"/>
    <s v="Runic Deconstruction / Scholar"/>
    <n v="72"/>
    <n v="30"/>
    <n v="94"/>
    <n v="98"/>
    <s v="0.2324 %"/>
    <n v="230"/>
    <n v="0.65439999999999998"/>
    <n v="36.590000000000003"/>
    <x v="3"/>
    <n v="524.65679999999998"/>
    <x v="1"/>
    <x v="5"/>
  </r>
  <r>
    <s v="Lyanna Dunmore"/>
    <d v="2001-08-28T00:00:00"/>
    <n v="23"/>
    <n v="164"/>
    <s v="Pendek"/>
    <s v="ISTJ"/>
    <x v="1"/>
    <x v="1"/>
    <s v="Gravity Rend"/>
    <n v="61"/>
    <n v="84"/>
    <n v="45"/>
    <n v="10"/>
    <s v="0.6772 %"/>
    <n v="23"/>
    <n v="0.66249999999999998"/>
    <n v="141.30410000000001"/>
    <x v="1"/>
    <n v="224.69970000000001"/>
    <x v="1"/>
    <x v="1"/>
  </r>
  <r>
    <s v="Elara Declan"/>
    <d v="2001-06-28T00:00:00"/>
    <n v="23"/>
    <n v="181"/>
    <s v="Tinggi"/>
    <s v="INTP"/>
    <x v="0"/>
    <x v="1"/>
    <s v="Essence Severance"/>
    <n v="74"/>
    <n v="61"/>
    <n v="52"/>
    <n v="7"/>
    <s v="0.4578 %"/>
    <n v="267"/>
    <n v="0.72219999999999995"/>
    <n v="88.503"/>
    <x v="3"/>
    <n v="461.2"/>
    <x v="1"/>
    <x v="3"/>
  </r>
  <r>
    <s v="Riku Emberveil"/>
    <d v="2002-12-21T00:00:00"/>
    <n v="22"/>
    <n v="171"/>
    <s v="Normal"/>
    <s v="ENFJ"/>
    <x v="3"/>
    <x v="1"/>
    <s v="Transmutation Aura / Alchemist"/>
    <n v="131"/>
    <n v="10"/>
    <n v="73"/>
    <n v="45"/>
    <s v="0.8233 %"/>
    <n v="397"/>
    <n v="0.52990000000000004"/>
    <n v="17.6313"/>
    <x v="3"/>
    <n v="657.38319999999999"/>
    <x v="2"/>
    <x v="3"/>
  </r>
  <r>
    <s v="Caspian Hayashi"/>
    <d v="2002-03-02T00:00:00"/>
    <n v="22"/>
    <n v="164"/>
    <s v="Pendek"/>
    <s v="ESTJ"/>
    <x v="1"/>
    <x v="1"/>
    <s v="Verdant Wrath / Forest Herbalist"/>
    <n v="148"/>
    <n v="53"/>
    <n v="34"/>
    <n v="93"/>
    <s v="0.4382 %"/>
    <n v="237"/>
    <n v="0.40300000000000002"/>
    <n v="76.224599999999995"/>
    <x v="2"/>
    <n v="566.38120000000004"/>
    <x v="1"/>
    <x v="1"/>
  </r>
  <r>
    <s v="Sylvie Silva"/>
    <d v="2002-01-16T00:00:00"/>
    <n v="22"/>
    <n v="166"/>
    <s v="Pendek"/>
    <s v="ESFP"/>
    <x v="2"/>
    <x v="1"/>
    <s v="Runic Deconstruction / Scholar"/>
    <n v="84"/>
    <n v="5"/>
    <n v="83"/>
    <n v="84"/>
    <s v="0.6034 %"/>
    <n v="122"/>
    <n v="0.60860000000000003"/>
    <n v="8.3056000000000001"/>
    <x v="0"/>
    <n v="378.60199999999998"/>
    <x v="0"/>
    <x v="1"/>
  </r>
  <r>
    <s v="Shun Velmont"/>
    <d v="2002-08-13T00:00:00"/>
    <n v="22"/>
    <n v="163"/>
    <s v="Pendek"/>
    <s v="ISTP"/>
    <x v="2"/>
    <x v="1"/>
    <s v="Elemental Mastery"/>
    <n v="74"/>
    <n v="69"/>
    <n v="25"/>
    <n v="13"/>
    <s v="0.9949 %"/>
    <n v="112"/>
    <n v="0.43"/>
    <n v="137.8476"/>
    <x v="2"/>
    <n v="294.47489999999999"/>
    <x v="2"/>
    <x v="3"/>
  </r>
  <r>
    <s v="Yuna Velmont"/>
    <d v="2001-09-02T00:00:00"/>
    <n v="23"/>
    <n v="182"/>
    <s v="Tinggi"/>
    <s v="ENTP"/>
    <x v="0"/>
    <x v="1"/>
    <s v="Gravity Rend"/>
    <n v="127"/>
    <n v="17"/>
    <n v="7"/>
    <n v="33"/>
    <s v="0.2219 %"/>
    <n v="351"/>
    <n v="0.47349999999999998"/>
    <n v="20.918900000000001"/>
    <x v="2"/>
    <n v="535.65539999999999"/>
    <x v="1"/>
    <x v="3"/>
  </r>
  <r>
    <s v="Mika Moonshade"/>
    <d v="2003-12-21T00:00:00"/>
    <n v="21"/>
    <n v="169"/>
    <s v="Normal"/>
    <s v="ENFJ"/>
    <x v="3"/>
    <x v="0"/>
    <s v="Essence Severance"/>
    <n v="115"/>
    <n v="19"/>
    <n v="10"/>
    <n v="76"/>
    <s v="0.8852 %"/>
    <n v="218"/>
    <n v="0.77210000000000001"/>
    <n v="36.082700000000003"/>
    <x v="2"/>
    <n v="439.8073"/>
    <x v="1"/>
    <x v="5"/>
  </r>
  <r>
    <s v="Nova Masaki"/>
    <d v="2003-11-28T00:00:00"/>
    <n v="21"/>
    <n v="164"/>
    <s v="Pendek"/>
    <s v="ENFJ"/>
    <x v="3"/>
    <x v="1"/>
    <s v="Sensory Collapse Domain"/>
    <n v="117"/>
    <n v="42"/>
    <n v="92"/>
    <n v="17"/>
    <s v="0.553 %"/>
    <n v="88"/>
    <n v="0.7742"/>
    <n v="64.899900000000002"/>
    <x v="0"/>
    <n v="357.3972"/>
    <x v="1"/>
    <x v="3"/>
  </r>
  <r>
    <s v="Kiran Muller"/>
    <d v="2003-09-10T00:00:00"/>
    <n v="21"/>
    <n v="160"/>
    <s v="Pendek"/>
    <s v="ENTJ"/>
    <x v="0"/>
    <x v="1"/>
    <s v="Covenant Bond / Healer &amp; Diplomat"/>
    <n v="104"/>
    <n v="15"/>
    <n v="45"/>
    <n v="99"/>
    <s v="0.9731 %"/>
    <n v="210"/>
    <n v="0.47749999999999998"/>
    <n v="29.123000000000001"/>
    <x v="2"/>
    <n v="473.43060000000003"/>
    <x v="0"/>
    <x v="5"/>
  </r>
  <r>
    <s v="Orion Muller"/>
    <d v="2001-10-19T00:00:00"/>
    <n v="23"/>
    <n v="182"/>
    <s v="Tinggi"/>
    <s v="ISTJ"/>
    <x v="1"/>
    <x v="0"/>
    <s v="Covenant Bond / Healer &amp; Diplomat"/>
    <n v="20"/>
    <n v="14"/>
    <n v="9"/>
    <n v="69"/>
    <s v="0.17 %"/>
    <n v="314"/>
    <n v="0.74860000000000004"/>
    <n v="16.251300000000001"/>
    <x v="3"/>
    <n v="426.48860000000002"/>
    <x v="0"/>
    <x v="1"/>
  </r>
  <r>
    <s v="Yuki Nox"/>
    <d v="2001-09-01T00:00:00"/>
    <n v="23"/>
    <n v="175"/>
    <s v="Tinggi"/>
    <s v="ISTJ"/>
    <x v="1"/>
    <x v="1"/>
    <s v="Ruin Pulse Engine"/>
    <n v="11"/>
    <n v="67"/>
    <n v="76"/>
    <n v="78"/>
    <s v="0.2849 %"/>
    <n v="368"/>
    <n v="0.80549999999999999"/>
    <n v="86.203900000000004"/>
    <x v="1"/>
    <n v="601.32039999999995"/>
    <x v="2"/>
    <x v="2"/>
  </r>
  <r>
    <s v="Cael Nakamura"/>
    <d v="2002-07-23T00:00:00"/>
    <n v="22"/>
    <n v="183"/>
    <s v="Tinggi"/>
    <s v="INTP"/>
    <x v="0"/>
    <x v="1"/>
    <s v="Combat Escalation Law"/>
    <n v="25"/>
    <n v="51"/>
    <n v="73"/>
    <n v="25"/>
    <s v="0.1892 %"/>
    <n v="229"/>
    <n v="0.66020000000000001"/>
    <n v="60.125999999999998"/>
    <x v="0"/>
    <n v="402.9194"/>
    <x v="2"/>
    <x v="1"/>
  </r>
  <r>
    <s v="Kotaro Inoue"/>
    <d v="2001-01-09T00:00:00"/>
    <n v="23"/>
    <n v="184"/>
    <s v="Tinggi"/>
    <s v="INFJ"/>
    <x v="3"/>
    <x v="0"/>
    <s v="Damage Reflection Lattice"/>
    <n v="138"/>
    <n v="85"/>
    <n v="48"/>
    <n v="70"/>
    <s v="0.7062 %"/>
    <n v="75"/>
    <n v="0.44829999999999998"/>
    <n v="145.50470000000001"/>
    <x v="2"/>
    <n v="417.5745"/>
    <x v="1"/>
    <x v="3"/>
  </r>
  <r>
    <s v="Shaela Saito"/>
    <d v="2001-08-20T00:00:00"/>
    <n v="23"/>
    <n v="173"/>
    <s v="Normal"/>
    <s v="INFJ"/>
    <x v="3"/>
    <x v="1"/>
    <s v="Fate Weave / Royal Advisor"/>
    <n v="70"/>
    <n v="52"/>
    <n v="50"/>
    <n v="37"/>
    <s v="0.7499 %"/>
    <n v="116"/>
    <n v="0.437"/>
    <n v="91.782300000000006"/>
    <x v="3"/>
    <n v="326.92689999999999"/>
    <x v="0"/>
    <x v="3"/>
  </r>
  <r>
    <s v="Naoki Vance"/>
    <d v="2003-06-29T00:00:00"/>
    <n v="21"/>
    <n v="181"/>
    <s v="Tinggi"/>
    <s v="ISFP"/>
    <x v="2"/>
    <x v="0"/>
    <s v="Resonant Aria / Performer"/>
    <n v="44"/>
    <n v="86"/>
    <n v="20"/>
    <n v="8"/>
    <s v="0.5281 %"/>
    <n v="337"/>
    <n v="0.7056"/>
    <n v="130.92760000000001"/>
    <x v="1"/>
    <n v="495.37369999999999"/>
    <x v="0"/>
    <x v="5"/>
  </r>
  <r>
    <s v="Sage Tanaka"/>
    <d v="2003-06-17T00:00:00"/>
    <n v="21"/>
    <n v="172"/>
    <s v="Normal"/>
    <s v="ENFP"/>
    <x v="3"/>
    <x v="0"/>
    <s v="Fate Weave / Royal Advisor"/>
    <n v="22"/>
    <n v="41"/>
    <n v="59"/>
    <n v="11"/>
    <s v="0.9801 %"/>
    <n v="370"/>
    <n v="0.42909999999999998"/>
    <n v="80.510900000000007"/>
    <x v="1"/>
    <n v="505.1592"/>
    <x v="1"/>
    <x v="1"/>
  </r>
  <r>
    <s v="Lyra Saito"/>
    <d v="2003-10-20T00:00:00"/>
    <n v="21"/>
    <n v="173"/>
    <s v="Normal"/>
    <s v="INFP"/>
    <x v="3"/>
    <x v="1"/>
    <s v="Primal Sovereign / Engineer"/>
    <n v="114"/>
    <n v="80"/>
    <n v="94"/>
    <n v="36"/>
    <s v="0.9551 %"/>
    <n v="267"/>
    <n v="0.84440000000000004"/>
    <n v="156.99449999999999"/>
    <x v="2"/>
    <n v="593.41949999999997"/>
    <x v="0"/>
    <x v="6"/>
  </r>
  <r>
    <s v="Orin Rossi"/>
    <d v="2003-09-30T00:00:00"/>
    <n v="21"/>
    <n v="168"/>
    <s v="Normal"/>
    <s v="ESFP"/>
    <x v="2"/>
    <x v="1"/>
    <s v="Heartstrike Overload"/>
    <n v="95"/>
    <n v="14"/>
    <n v="11"/>
    <n v="6"/>
    <s v="0.7103 %"/>
    <n v="28"/>
    <n v="0.83740000000000003"/>
    <n v="24.508600000000001"/>
    <x v="3"/>
    <n v="155.8177"/>
    <x v="2"/>
    <x v="5"/>
  </r>
  <r>
    <s v="Zara Aurelius"/>
    <d v="2001-07-17T00:00:00"/>
    <n v="23"/>
    <n v="179"/>
    <s v="Tinggi"/>
    <s v="ISFJ"/>
    <x v="1"/>
    <x v="0"/>
    <s v="Memory Palace / Librarian Assistant"/>
    <n v="119"/>
    <n v="21"/>
    <n v="67"/>
    <n v="50"/>
    <s v="0.4093 %"/>
    <n v="105"/>
    <n v="0.78690000000000004"/>
    <n v="29.581199999999999"/>
    <x v="0"/>
    <n v="362.78620000000001"/>
    <x v="0"/>
    <x v="3"/>
  </r>
  <r>
    <s v="Elise Declan"/>
    <d v="2003-02-10T00:00:00"/>
    <n v="21"/>
    <n v="170"/>
    <s v="Normal"/>
    <s v="ISTJ"/>
    <x v="1"/>
    <x v="1"/>
    <s v="Momentum Surge / Knight-Errant"/>
    <n v="6"/>
    <n v="19"/>
    <n v="66"/>
    <n v="78"/>
    <s v="0.2477 %"/>
    <n v="354"/>
    <n v="0.59379999999999999"/>
    <n v="23.094899999999999"/>
    <x v="2"/>
    <n v="524.15150000000006"/>
    <x v="2"/>
    <x v="3"/>
  </r>
  <r>
    <s v="Kiran Holloway"/>
    <d v="2003-08-21T00:00:00"/>
    <n v="21"/>
    <n v="181"/>
    <s v="Tinggi"/>
    <s v="ENFP"/>
    <x v="3"/>
    <x v="1"/>
    <s v="Triage Field / Field Medic"/>
    <n v="76"/>
    <n v="40"/>
    <n v="50"/>
    <n v="97"/>
    <s v="0.4175 %"/>
    <n v="247"/>
    <n v="0.84"/>
    <n v="56.345599999999997"/>
    <x v="2"/>
    <n v="511.75749999999999"/>
    <x v="0"/>
    <x v="0"/>
  </r>
  <r>
    <s v="Dara Kline"/>
    <d v="2001-02-25T00:00:00"/>
    <n v="23"/>
    <n v="171"/>
    <s v="Normal"/>
    <s v="INTJ"/>
    <x v="0"/>
    <x v="1"/>
    <s v="Emotional Vectoring"/>
    <n v="16"/>
    <n v="35"/>
    <n v="36"/>
    <n v="36"/>
    <s v="0.3229 %"/>
    <n v="265"/>
    <n v="0.69159999999999999"/>
    <n v="46.526400000000002"/>
    <x v="0"/>
    <n v="388.68450000000001"/>
    <x v="2"/>
    <x v="0"/>
  </r>
  <r>
    <s v="Kiran Fitzgerald"/>
    <d v="2001-02-10T00:00:00"/>
    <n v="23"/>
    <n v="165"/>
    <s v="Pendek"/>
    <s v="ISFP"/>
    <x v="2"/>
    <x v="1"/>
    <s v="Ruin Pulse Engine"/>
    <n v="70"/>
    <n v="86"/>
    <n v="57"/>
    <n v="90"/>
    <s v="0.7264 %"/>
    <n v="107"/>
    <n v="0.66459999999999997"/>
    <n v="149.2818"/>
    <x v="2"/>
    <n v="412.40100000000001"/>
    <x v="1"/>
    <x v="4"/>
  </r>
  <r>
    <s v="Lena Chen"/>
    <d v="2003-09-28T00:00:00"/>
    <n v="21"/>
    <n v="185"/>
    <s v="Tinggi"/>
    <s v="INFP"/>
    <x v="3"/>
    <x v="0"/>
    <s v="Damage Reflection Lattice"/>
    <n v="51"/>
    <n v="51"/>
    <n v="77"/>
    <n v="35"/>
    <s v="0.427 %"/>
    <n v="246"/>
    <n v="0.59619999999999995"/>
    <n v="72.448800000000006"/>
    <x v="3"/>
    <n v="460.51319999999998"/>
    <x v="2"/>
    <x v="6"/>
  </r>
  <r>
    <s v="Corwin Kato"/>
    <d v="2002-06-28T00:00:00"/>
    <n v="22"/>
    <n v="169"/>
    <s v="Normal"/>
    <s v="ENTJ"/>
    <x v="0"/>
    <x v="0"/>
    <s v="Covenant Bond / Healer &amp; Diplomat"/>
    <n v="149"/>
    <n v="41"/>
    <n v="23"/>
    <n v="75"/>
    <s v="0.8598 %"/>
    <n v="38"/>
    <n v="0.44259999999999999"/>
    <n v="75.879800000000003"/>
    <x v="2"/>
    <n v="327.14240000000001"/>
    <x v="1"/>
    <x v="0"/>
  </r>
  <r>
    <s v="Nolan Sol"/>
    <d v="2002-09-11T00:00:00"/>
    <n v="22"/>
    <n v="180"/>
    <s v="Tinggi"/>
    <s v="ENFP"/>
    <x v="3"/>
    <x v="1"/>
    <s v="Living Canvas / Cartographer"/>
    <n v="100"/>
    <n v="32"/>
    <n v="42"/>
    <n v="26"/>
    <s v="0.7044 %"/>
    <n v="207"/>
    <n v="0.64639999999999997"/>
    <n v="54.5749"/>
    <x v="0"/>
    <n v="407.76080000000002"/>
    <x v="2"/>
    <x v="5"/>
  </r>
  <r>
    <s v="Rowan Bramble"/>
    <d v="2003-08-16T00:00:00"/>
    <n v="21"/>
    <n v="166"/>
    <s v="Pendek"/>
    <s v="ESTP"/>
    <x v="2"/>
    <x v="1"/>
    <s v="Living Canvas / Cartographer"/>
    <n v="140"/>
    <n v="73"/>
    <n v="7"/>
    <n v="21"/>
    <s v="0.3163 %"/>
    <n v="186"/>
    <n v="0.7359"/>
    <n v="95.997799999999998"/>
    <x v="2"/>
    <n v="427.56220000000002"/>
    <x v="1"/>
    <x v="3"/>
  </r>
  <r>
    <s v="Taro Ito"/>
    <d v="2002-07-01T00:00:00"/>
    <n v="22"/>
    <n v="173"/>
    <s v="Normal"/>
    <s v="ISFJ"/>
    <x v="1"/>
    <x v="1"/>
    <s v="Triage Field / Field Medic"/>
    <n v="39"/>
    <n v="61"/>
    <n v="41"/>
    <n v="12"/>
    <s v="0.321 %"/>
    <n v="78"/>
    <n v="0.77229999999999999"/>
    <n v="79.946899999999999"/>
    <x v="3"/>
    <n v="231.8133"/>
    <x v="1"/>
    <x v="4"/>
  </r>
  <r>
    <s v="Akira Aikawa"/>
    <d v="2001-11-23T00:00:00"/>
    <n v="23"/>
    <n v="166"/>
    <s v="Pendek"/>
    <s v="ENTP"/>
    <x v="0"/>
    <x v="1"/>
    <s v="Moment moment of Truth / Oracle"/>
    <n v="5"/>
    <n v="79"/>
    <n v="28"/>
    <n v="56"/>
    <s v="0.138 %"/>
    <n v="258"/>
    <n v="0.72509999999999997"/>
    <n v="90.106800000000007"/>
    <x v="0"/>
    <n v="427.47309999999999"/>
    <x v="0"/>
    <x v="6"/>
  </r>
  <r>
    <s v="Ethan Aurelius"/>
    <d v="2003-04-14T00:00:00"/>
    <n v="21"/>
    <n v="162"/>
    <s v="Pendek"/>
    <s v="ENTJ"/>
    <x v="0"/>
    <x v="1"/>
    <s v="Probability Flux / Treasure Hunter"/>
    <n v="60"/>
    <n v="84"/>
    <n v="84"/>
    <n v="24"/>
    <s v="0.5502 %"/>
    <n v="229"/>
    <n v="0.45429999999999998"/>
    <n v="130.43379999999999"/>
    <x v="2"/>
    <n v="482.90449999999998"/>
    <x v="1"/>
    <x v="0"/>
  </r>
  <r>
    <s v="Ethan Calloway"/>
    <d v="2003-03-10T00:00:00"/>
    <n v="21"/>
    <n v="178"/>
    <s v="Tinggi"/>
    <s v="ESFJ"/>
    <x v="1"/>
    <x v="0"/>
    <s v="Living Canvas / Cartographer"/>
    <n v="33"/>
    <n v="12"/>
    <n v="22"/>
    <n v="28"/>
    <s v="0.8766 %"/>
    <n v="164"/>
    <n v="0.42520000000000002"/>
    <n v="21.712299999999999"/>
    <x v="2"/>
    <n v="260.67180000000002"/>
    <x v="2"/>
    <x v="0"/>
  </r>
  <r>
    <s v="Ansel Langley"/>
    <d v="2002-05-20T00:00:00"/>
    <n v="22"/>
    <n v="175"/>
    <s v="Tinggi"/>
    <s v="ISFJ"/>
    <x v="1"/>
    <x v="1"/>
    <s v="Zone of Order / City Watch Captain"/>
    <n v="55"/>
    <n v="72"/>
    <n v="82"/>
    <n v="3"/>
    <s v="0.6452 %"/>
    <n v="387"/>
    <n v="0.77869999999999995"/>
    <n v="118.2076"/>
    <x v="0"/>
    <n v="600.53390000000002"/>
    <x v="2"/>
    <x v="6"/>
  </r>
  <r>
    <s v="Haruto Drayton"/>
    <d v="2003-01-14T00:00:00"/>
    <n v="21"/>
    <n v="169"/>
    <s v="Normal"/>
    <s v="ESFJ"/>
    <x v="1"/>
    <x v="0"/>
    <s v="Dominion Mark"/>
    <n v="129"/>
    <n v="39"/>
    <n v="91"/>
    <n v="40"/>
    <s v="0.33 %"/>
    <n v="391"/>
    <n v="0.44059999999999999"/>
    <n v="52.4818"/>
    <x v="1"/>
    <n v="691.2106"/>
    <x v="1"/>
    <x v="1"/>
  </r>
  <r>
    <s v="Hiroshi Hargrove"/>
    <d v="2003-04-13T00:00:00"/>
    <n v="21"/>
    <n v="185"/>
    <s v="Tinggi"/>
    <s v="ESTP"/>
    <x v="2"/>
    <x v="0"/>
    <s v="Primal Sovereign / Engineer"/>
    <n v="130"/>
    <n v="82"/>
    <n v="94"/>
    <n v="48"/>
    <s v="0.857 %"/>
    <n v="166"/>
    <n v="0.7228"/>
    <n v="153.20249999999999"/>
    <x v="0"/>
    <n v="521.69979999999998"/>
    <x v="0"/>
    <x v="5"/>
  </r>
  <r>
    <s v="Davan Eld"/>
    <d v="2003-05-12T00:00:00"/>
    <n v="21"/>
    <n v="171"/>
    <s v="Normal"/>
    <s v="ISTP"/>
    <x v="2"/>
    <x v="1"/>
    <s v="Momentum Surge / Knight-Errant"/>
    <n v="105"/>
    <n v="76"/>
    <n v="64"/>
    <n v="19"/>
    <s v="0.677 %"/>
    <n v="178"/>
    <n v="0.40139999999999998"/>
    <n v="128.18989999999999"/>
    <x v="1"/>
    <n v="443.71839999999997"/>
    <x v="2"/>
    <x v="2"/>
  </r>
  <r>
    <s v="Rowan Vargas"/>
    <d v="2001-11-20T00:00:00"/>
    <n v="23"/>
    <n v="163"/>
    <s v="Pendek"/>
    <s v="ISFJ"/>
    <x v="1"/>
    <x v="0"/>
    <s v="Moment moment of Truth / Oracle"/>
    <n v="127"/>
    <n v="69"/>
    <n v="79"/>
    <n v="33"/>
    <s v="0.7617 %"/>
    <n v="192"/>
    <n v="0.51729999999999998"/>
    <n v="121.3635"/>
    <x v="2"/>
    <n v="501.32900000000001"/>
    <x v="1"/>
    <x v="1"/>
  </r>
  <r>
    <s v="Shiho Hartley"/>
    <d v="2003-03-17T00:00:00"/>
    <n v="21"/>
    <n v="165"/>
    <s v="Pendek"/>
    <s v="ENTJ"/>
    <x v="0"/>
    <x v="1"/>
    <s v="Heartstrike Overload"/>
    <n v="4"/>
    <n v="3"/>
    <n v="56"/>
    <n v="62"/>
    <s v="0.1801 %"/>
    <n v="92"/>
    <n v="0.60809999999999997"/>
    <n v="3.8589000000000002"/>
    <x v="2"/>
    <n v="218.2782"/>
    <x v="2"/>
    <x v="6"/>
  </r>
  <r>
    <s v="Mika Weston"/>
    <d v="2003-05-29T00:00:00"/>
    <n v="21"/>
    <n v="179"/>
    <s v="Tinggi"/>
    <s v="ESTP"/>
    <x v="2"/>
    <x v="1"/>
    <s v="Zone of Order / City Watch Captain"/>
    <n v="14"/>
    <n v="37"/>
    <n v="95"/>
    <n v="13"/>
    <s v="0.4916 %"/>
    <n v="288"/>
    <n v="0.81399999999999995"/>
    <n v="55.8157"/>
    <x v="3"/>
    <n v="448.10559999999998"/>
    <x v="2"/>
    <x v="3"/>
  </r>
  <r>
    <s v="Orion Ito"/>
    <d v="2002-06-30T00:00:00"/>
    <n v="22"/>
    <n v="166"/>
    <s v="Pendek"/>
    <s v="ISTJ"/>
    <x v="1"/>
    <x v="1"/>
    <s v="Memory Palace / Librarian Assistant"/>
    <n v="58"/>
    <n v="44"/>
    <n v="21"/>
    <n v="22"/>
    <s v="0.754 %"/>
    <n v="330"/>
    <n v="0.48520000000000002"/>
    <n v="76.649799999999999"/>
    <x v="1"/>
    <n v="476.4692"/>
    <x v="1"/>
    <x v="6"/>
  </r>
  <r>
    <s v="Hana Moonshade"/>
    <d v="2002-04-28T00:00:00"/>
    <n v="22"/>
    <n v="168"/>
    <s v="Normal"/>
    <s v="ESTJ"/>
    <x v="1"/>
    <x v="1"/>
    <s v="Dominion Mark"/>
    <n v="56"/>
    <n v="69"/>
    <n v="46"/>
    <n v="2"/>
    <s v="0.3909 %"/>
    <n v="54"/>
    <n v="0.71189999999999998"/>
    <n v="95.610500000000002"/>
    <x v="1"/>
    <n v="228.4528"/>
    <x v="2"/>
    <x v="3"/>
  </r>
  <r>
    <s v="Fable Ironfield"/>
    <d v="2001-07-15T00:00:00"/>
    <n v="23"/>
    <n v="162"/>
    <s v="Pendek"/>
    <s v="ENTP"/>
    <x v="0"/>
    <x v="0"/>
    <s v="Guillotine Line"/>
    <n v="51"/>
    <n v="24"/>
    <n v="91"/>
    <n v="100"/>
    <s v="0.9705 %"/>
    <n v="376"/>
    <n v="0.66920000000000002"/>
    <n v="47.784599999999998"/>
    <x v="0"/>
    <n v="642.86969999999997"/>
    <x v="0"/>
    <x v="2"/>
  </r>
  <r>
    <s v="Shun Thornton"/>
    <d v="2003-01-30T00:00:00"/>
    <n v="21"/>
    <n v="181"/>
    <s v="Tinggi"/>
    <s v="INFP"/>
    <x v="3"/>
    <x v="0"/>
    <s v="Ruin Pulse Engine"/>
    <n v="87"/>
    <n v="27"/>
    <n v="51"/>
    <n v="93"/>
    <s v="0.2187 %"/>
    <n v="351"/>
    <n v="0.54279999999999995"/>
    <n v="32.624600000000001"/>
    <x v="3"/>
    <n v="610.27149999999995"/>
    <x v="0"/>
    <x v="2"/>
  </r>
  <r>
    <s v="Ethan Dunmore"/>
    <d v="2003-10-20T00:00:00"/>
    <n v="21"/>
    <n v="164"/>
    <s v="Pendek"/>
    <s v="ISTJ"/>
    <x v="1"/>
    <x v="1"/>
    <s v="Sensory Collapse Domain"/>
    <n v="139"/>
    <n v="29"/>
    <n v="88"/>
    <n v="62"/>
    <s v="0.3374 %"/>
    <n v="305"/>
    <n v="0.54090000000000005"/>
    <n v="38.798000000000002"/>
    <x v="1"/>
    <n v="623.25829999999996"/>
    <x v="1"/>
    <x v="5"/>
  </r>
  <r>
    <s v="Zara Farell"/>
    <d v="2002-01-22T00:00:00"/>
    <n v="22"/>
    <n v="161"/>
    <s v="Pendek"/>
    <s v="ENFP"/>
    <x v="3"/>
    <x v="0"/>
    <s v="Guillotine Line"/>
    <n v="35"/>
    <n v="5"/>
    <n v="27"/>
    <n v="71"/>
    <s v="0.9957 %"/>
    <n v="175"/>
    <n v="0.81720000000000004"/>
    <n v="9.0803999999999991"/>
    <x v="0"/>
    <n v="314.40289999999999"/>
    <x v="1"/>
    <x v="2"/>
  </r>
  <r>
    <s v="Naoki Bramble"/>
    <d v="2001-10-31T00:00:00"/>
    <n v="23"/>
    <n v="163"/>
    <s v="Pendek"/>
    <s v="ENFP"/>
    <x v="3"/>
    <x v="0"/>
    <s v="Combat Escalation Law"/>
    <n v="15"/>
    <n v="87"/>
    <n v="19"/>
    <n v="18"/>
    <s v="0.3455 %"/>
    <n v="204"/>
    <n v="0.80089999999999995"/>
    <n v="116.99120000000001"/>
    <x v="1"/>
    <n v="343.56639999999999"/>
    <x v="2"/>
    <x v="0"/>
  </r>
  <r>
    <s v="Shiho Sol"/>
    <d v="2003-10-18T00:00:00"/>
    <n v="21"/>
    <n v="167"/>
    <s v="Pendek"/>
    <s v="ESTP"/>
    <x v="2"/>
    <x v="0"/>
    <s v="Adaptive Mutation"/>
    <n v="5"/>
    <n v="68"/>
    <n v="68"/>
    <n v="40"/>
    <s v="0.9561 %"/>
    <n v="237"/>
    <n v="0.77659999999999996"/>
    <n v="133.89500000000001"/>
    <x v="1"/>
    <n v="420.0027"/>
    <x v="0"/>
    <x v="0"/>
  </r>
  <r>
    <s v="Naoki Dawnforge"/>
    <d v="2001-01-12T00:00:00"/>
    <n v="23"/>
    <n v="179"/>
    <s v="Tinggi"/>
    <s v="ESFP"/>
    <x v="2"/>
    <x v="1"/>
    <s v="Ruin Pulse Engine"/>
    <n v="99"/>
    <n v="95"/>
    <n v="33"/>
    <n v="73"/>
    <s v="0.9617 %"/>
    <n v="294"/>
    <n v="0.65610000000000002"/>
    <n v="186.6361"/>
    <x v="1"/>
    <n v="596.1078"/>
    <x v="0"/>
    <x v="6"/>
  </r>
  <r>
    <s v="Lena Nox"/>
    <d v="2001-05-25T00:00:00"/>
    <n v="23"/>
    <n v="183"/>
    <s v="Tinggi"/>
    <s v="ISFP"/>
    <x v="2"/>
    <x v="1"/>
    <s v="Probability Flux / Treasure Hunter"/>
    <n v="60"/>
    <n v="19"/>
    <n v="97"/>
    <n v="87"/>
    <s v="0.8671 %"/>
    <n v="37"/>
    <n v="0.4733"/>
    <n v="34.7654"/>
    <x v="3"/>
    <n v="300.21039999999999"/>
    <x v="1"/>
    <x v="5"/>
  </r>
  <r>
    <s v="Lyra Aurelius"/>
    <d v="2003-06-05T00:00:00"/>
    <n v="21"/>
    <n v="175"/>
    <s v="Tinggi"/>
    <s v="ESTJ"/>
    <x v="1"/>
    <x v="1"/>
    <s v="Moment moment of Truth / Oracle"/>
    <n v="54"/>
    <n v="11"/>
    <n v="37"/>
    <n v="21"/>
    <s v="0.4493 %"/>
    <n v="179"/>
    <n v="0.52080000000000004"/>
    <n v="15.246600000000001"/>
    <x v="3"/>
    <n v="302.89010000000002"/>
    <x v="0"/>
    <x v="6"/>
  </r>
  <r>
    <s v="Nora Yamamoto"/>
    <d v="2003-05-23T00:00:00"/>
    <n v="21"/>
    <n v="173"/>
    <s v="Normal"/>
    <s v="ENTP"/>
    <x v="0"/>
    <x v="0"/>
    <s v="Ruin Pulse Engine"/>
    <n v="77"/>
    <n v="97"/>
    <n v="68"/>
    <n v="65"/>
    <s v="0.9376 %"/>
    <n v="286"/>
    <n v="0.63729999999999998"/>
    <n v="188.62540000000001"/>
    <x v="0"/>
    <n v="595.23490000000004"/>
    <x v="1"/>
    <x v="3"/>
  </r>
  <r>
    <s v="Elara Crestwood"/>
    <d v="2001-11-01T00:00:00"/>
    <n v="23"/>
    <n v="169"/>
    <s v="Normal"/>
    <s v="ENTP"/>
    <x v="0"/>
    <x v="0"/>
    <s v="Covenant Bond / Healer &amp; Diplomat"/>
    <n v="126"/>
    <n v="53"/>
    <n v="30"/>
    <n v="6"/>
    <s v="0.1406 %"/>
    <n v="32"/>
    <n v="0.44840000000000002"/>
    <n v="60.212299999999999"/>
    <x v="3"/>
    <n v="247.28899999999999"/>
    <x v="1"/>
    <x v="0"/>
  </r>
  <r>
    <s v="Emery Ironfield"/>
    <d v="2002-06-06T00:00:00"/>
    <n v="22"/>
    <n v="171"/>
    <s v="Normal"/>
    <s v="ESFP"/>
    <x v="2"/>
    <x v="0"/>
    <s v="Gravity Rend"/>
    <n v="18"/>
    <n v="66"/>
    <n v="19"/>
    <n v="19"/>
    <s v="0.175 %"/>
    <n v="158"/>
    <n v="0.79449999999999998"/>
    <n v="78.137500000000003"/>
    <x v="2"/>
    <n v="281.05950000000001"/>
    <x v="1"/>
    <x v="4"/>
  </r>
  <r>
    <s v="Lux Declan"/>
    <d v="2002-06-27T00:00:00"/>
    <n v="22"/>
    <n v="179"/>
    <s v="Tinggi"/>
    <s v="ESFP"/>
    <x v="2"/>
    <x v="1"/>
    <s v="Elemental Mastery"/>
    <n v="32"/>
    <n v="9"/>
    <n v="98"/>
    <n v="27"/>
    <s v="0.4904 %"/>
    <n v="270"/>
    <n v="0.40810000000000002"/>
    <n v="13.0261"/>
    <x v="3"/>
    <n v="436.68849999999998"/>
    <x v="0"/>
    <x v="0"/>
  </r>
  <r>
    <s v="Naoki Weston"/>
    <d v="2003-09-24T00:00:00"/>
    <n v="21"/>
    <n v="181"/>
    <s v="Tinggi"/>
    <s v="ESTP"/>
    <x v="2"/>
    <x v="1"/>
    <s v="Sensory Collapse Domain"/>
    <n v="104"/>
    <n v="96"/>
    <n v="68"/>
    <n v="81"/>
    <s v="0.2216 %"/>
    <n v="36"/>
    <n v="0.4859"/>
    <n v="117.7012"/>
    <x v="0"/>
    <n v="385.4375"/>
    <x v="2"/>
    <x v="1"/>
  </r>
  <r>
    <s v="Asher Crestwood"/>
    <d v="2001-10-25T00:00:00"/>
    <n v="23"/>
    <n v="180"/>
    <s v="Tinggi"/>
    <s v="INTP"/>
    <x v="0"/>
    <x v="0"/>
    <s v="Living Canvas / Cartographer"/>
    <n v="126"/>
    <n v="86"/>
    <n v="54"/>
    <n v="10"/>
    <s v="0.2333 %"/>
    <n v="308"/>
    <n v="0.58979999999999999"/>
    <n v="106.0145"/>
    <x v="0"/>
    <n v="585.21310000000005"/>
    <x v="0"/>
    <x v="1"/>
  </r>
  <r>
    <s v="Torin Velmont"/>
    <d v="2003-07-10T00:00:00"/>
    <n v="21"/>
    <n v="160"/>
    <s v="Pendek"/>
    <s v="ESFP"/>
    <x v="2"/>
    <x v="0"/>
    <s v="Essence Severance"/>
    <n v="45"/>
    <n v="83"/>
    <n v="40"/>
    <n v="34"/>
    <s v="0.8629 %"/>
    <n v="42"/>
    <n v="0.59430000000000005"/>
    <n v="154.8442"/>
    <x v="3"/>
    <n v="245.2972"/>
    <x v="1"/>
    <x v="5"/>
  </r>
  <r>
    <s v="Yuki Holloway"/>
    <d v="2003-09-23T00:00:00"/>
    <n v="21"/>
    <n v="172"/>
    <s v="Normal"/>
    <s v="ISFP"/>
    <x v="2"/>
    <x v="1"/>
    <s v="Heartstrike Overload"/>
    <n v="107"/>
    <n v="53"/>
    <n v="43"/>
    <n v="32"/>
    <s v="0.9036 %"/>
    <n v="26"/>
    <n v="0.5877"/>
    <n v="101.4619"/>
    <x v="3"/>
    <n v="263.61130000000003"/>
    <x v="0"/>
    <x v="3"/>
  </r>
  <r>
    <s v="Reika Mirren"/>
    <d v="2001-11-27T00:00:00"/>
    <n v="23"/>
    <n v="160"/>
    <s v="Pendek"/>
    <s v="ENFJ"/>
    <x v="3"/>
    <x v="1"/>
    <s v="Essence Severance"/>
    <n v="71"/>
    <n v="44"/>
    <n v="51"/>
    <n v="59"/>
    <s v="0.9296 %"/>
    <n v="274"/>
    <n v="0.78410000000000002"/>
    <n v="85.616399999999999"/>
    <x v="3"/>
    <n v="501.74369999999999"/>
    <x v="0"/>
    <x v="2"/>
  </r>
  <r>
    <s v="Shiho Kline"/>
    <d v="2003-08-26T00:00:00"/>
    <n v="21"/>
    <n v="185"/>
    <s v="Tinggi"/>
    <s v="INFP"/>
    <x v="3"/>
    <x v="0"/>
    <s v="Damage Reflection Lattice"/>
    <n v="43"/>
    <n v="75"/>
    <n v="67"/>
    <n v="14"/>
    <s v="0.6452 %"/>
    <n v="81"/>
    <n v="0.44540000000000002"/>
    <n v="123.6861"/>
    <x v="3"/>
    <n v="280.7706"/>
    <x v="1"/>
    <x v="2"/>
  </r>
  <r>
    <s v="Asher Ashvale"/>
    <d v="2003-01-05T00:00:00"/>
    <n v="21"/>
    <n v="160"/>
    <s v="Pendek"/>
    <s v="ESFJ"/>
    <x v="1"/>
    <x v="1"/>
    <s v="Combat Escalation Law"/>
    <n v="102"/>
    <n v="18"/>
    <n v="86"/>
    <n v="51"/>
    <s v="0.404 %"/>
    <n v="323"/>
    <n v="0.45129999999999998"/>
    <n v="25.693200000000001"/>
    <x v="1"/>
    <n v="580.86530000000005"/>
    <x v="0"/>
    <x v="4"/>
  </r>
  <r>
    <s v="Torin Coldwater"/>
    <d v="2002-12-29T00:00:00"/>
    <n v="22"/>
    <n v="170"/>
    <s v="Normal"/>
    <s v="ESFJ"/>
    <x v="1"/>
    <x v="0"/>
    <s v="Primal Sovereign / Engineer"/>
    <n v="135"/>
    <n v="85"/>
    <n v="88"/>
    <n v="61"/>
    <s v="0.1454 %"/>
    <n v="43"/>
    <n v="0.82579999999999998"/>
    <n v="97.920199999999994"/>
    <x v="3"/>
    <n v="411.88119999999998"/>
    <x v="0"/>
    <x v="0"/>
  </r>
  <r>
    <s v="Aldric Dunmore"/>
    <d v="2001-08-04T00:00:00"/>
    <n v="23"/>
    <n v="176"/>
    <s v="Tinggi"/>
    <s v="ISTJ"/>
    <x v="1"/>
    <x v="0"/>
    <s v="Fate Weave / Royal Advisor"/>
    <n v="131"/>
    <n v="91"/>
    <n v="17"/>
    <n v="30"/>
    <s v="0.5553 %"/>
    <n v="177"/>
    <n v="0.72960000000000003"/>
    <n v="141.8278"/>
    <x v="0"/>
    <n v="446.87490000000003"/>
    <x v="0"/>
    <x v="5"/>
  </r>
  <r>
    <s v="Owen Silva"/>
    <d v="2002-02-18T00:00:00"/>
    <n v="22"/>
    <n v="163"/>
    <s v="Pendek"/>
    <s v="ENFJ"/>
    <x v="3"/>
    <x v="1"/>
    <s v="Resonant Aria / Performer"/>
    <n v="116"/>
    <n v="2"/>
    <n v="84"/>
    <n v="48"/>
    <s v="0.2541 %"/>
    <n v="115"/>
    <n v="0.51970000000000005"/>
    <n v="2.0693000000000001"/>
    <x v="3"/>
    <n v="364.99380000000002"/>
    <x v="1"/>
    <x v="5"/>
  </r>
  <r>
    <s v="Zara Crowe"/>
    <d v="2002-04-13T00:00:00"/>
    <n v="22"/>
    <n v="185"/>
    <s v="Tinggi"/>
    <s v="ESFJ"/>
    <x v="1"/>
    <x v="0"/>
    <s v="Living Canvas / Cartographer"/>
    <n v="63"/>
    <n v="42"/>
    <n v="46"/>
    <n v="85"/>
    <s v="0.4256 %"/>
    <n v="318"/>
    <n v="0.41339999999999999"/>
    <n v="59.190899999999999"/>
    <x v="1"/>
    <n v="554.81899999999996"/>
    <x v="0"/>
    <x v="5"/>
  </r>
  <r>
    <s v="Elara Fitzgerald"/>
    <d v="2003-04-03T00:00:00"/>
    <n v="21"/>
    <n v="170"/>
    <s v="Normal"/>
    <s v="ENTJ"/>
    <x v="0"/>
    <x v="0"/>
    <s v="Living Canvas / Cartographer"/>
    <n v="10"/>
    <n v="76"/>
    <n v="66"/>
    <n v="65"/>
    <s v="0.152 %"/>
    <n v="361"/>
    <n v="0.68420000000000003"/>
    <n v="87.7363"/>
    <x v="2"/>
    <n v="579.12620000000004"/>
    <x v="1"/>
    <x v="3"/>
  </r>
  <r>
    <s v="Ethan Montgomery"/>
    <d v="2002-07-27T00:00:00"/>
    <n v="22"/>
    <n v="160"/>
    <s v="Pendek"/>
    <s v="ISFP"/>
    <x v="2"/>
    <x v="0"/>
    <s v="Dimensional Phase Shifting"/>
    <n v="67"/>
    <n v="21"/>
    <n v="55"/>
    <n v="79"/>
    <s v="0.7277 %"/>
    <n v="261"/>
    <n v="0.79949999999999999"/>
    <n v="36.817300000000003"/>
    <x v="3"/>
    <n v="485.42720000000003"/>
    <x v="0"/>
    <x v="2"/>
  </r>
  <r>
    <s v="Yuki Calloway"/>
    <d v="2001-09-16T00:00:00"/>
    <n v="23"/>
    <n v="172"/>
    <s v="Normal"/>
    <s v="ENTJ"/>
    <x v="0"/>
    <x v="1"/>
    <s v="Damage Reflection Lattice"/>
    <n v="15"/>
    <n v="56"/>
    <n v="53"/>
    <n v="76"/>
    <s v="0.1251 %"/>
    <n v="65"/>
    <n v="0.75849999999999995"/>
    <n v="62.589300000000001"/>
    <x v="2"/>
    <n v="264.75360000000001"/>
    <x v="0"/>
    <x v="6"/>
  </r>
  <r>
    <s v="Akira Flint"/>
    <d v="2001-05-03T00:00:00"/>
    <n v="23"/>
    <n v="163"/>
    <s v="Pendek"/>
    <s v="ISFP"/>
    <x v="2"/>
    <x v="1"/>
    <s v="Soulfire Manifestation"/>
    <n v="94"/>
    <n v="36"/>
    <n v="6"/>
    <n v="65"/>
    <s v="0.3682 %"/>
    <n v="51"/>
    <n v="0.73160000000000003"/>
    <n v="49.378300000000003"/>
    <x v="3"/>
    <n v="253.56979999999999"/>
    <x v="1"/>
    <x v="1"/>
  </r>
  <r>
    <s v="Nolan Aurelius"/>
    <d v="2001-10-14T00:00:00"/>
    <n v="23"/>
    <n v="169"/>
    <s v="Normal"/>
    <s v="ESFJ"/>
    <x v="1"/>
    <x v="1"/>
    <s v="Dominion Mark"/>
    <n v="17"/>
    <n v="52"/>
    <n v="20"/>
    <n v="78"/>
    <s v="0.2319 %"/>
    <n v="182"/>
    <n v="0.59160000000000001"/>
    <n v="64.218900000000005"/>
    <x v="3"/>
    <n v="350.04349999999999"/>
    <x v="0"/>
    <x v="0"/>
  </r>
  <r>
    <s v="Akira Muller"/>
    <d v="2002-03-16T00:00:00"/>
    <n v="22"/>
    <n v="175"/>
    <s v="Tinggi"/>
    <s v="INTJ"/>
    <x v="0"/>
    <x v="1"/>
    <s v="Warbrand Arsenal"/>
    <n v="56"/>
    <n v="53"/>
    <n v="59"/>
    <n v="52"/>
    <s v="0.3373 %"/>
    <n v="159"/>
    <n v="0.62450000000000006"/>
    <n v="71.010599999999997"/>
    <x v="3"/>
    <n v="380.22179999999997"/>
    <x v="1"/>
    <x v="5"/>
  </r>
  <r>
    <s v="Shiho Sato"/>
    <d v="2003-11-02T00:00:00"/>
    <n v="21"/>
    <n v="164"/>
    <s v="Pendek"/>
    <s v="ENFP"/>
    <x v="3"/>
    <x v="0"/>
    <s v="Memory Palace / Librarian Assistant"/>
    <n v="107"/>
    <n v="14"/>
    <n v="71"/>
    <n v="86"/>
    <s v="0.2914 %"/>
    <n v="48"/>
    <n v="0.61299999999999999"/>
    <n v="17.834199999999999"/>
    <x v="1"/>
    <n v="326.99439999999998"/>
    <x v="2"/>
    <x v="2"/>
  </r>
  <r>
    <s v="Theron Aldridge"/>
    <d v="2001-09-05T00:00:00"/>
    <n v="23"/>
    <n v="163"/>
    <s v="Pendek"/>
    <s v="ISTJ"/>
    <x v="1"/>
    <x v="1"/>
    <s v="Runic Deconstruction / Scholar"/>
    <n v="7"/>
    <n v="16"/>
    <n v="38"/>
    <n v="99"/>
    <s v="0.5373 %"/>
    <n v="122"/>
    <n v="0.75600000000000001"/>
    <n v="24.8735"/>
    <x v="1"/>
    <n v="283.36329999999998"/>
    <x v="2"/>
    <x v="3"/>
  </r>
  <r>
    <s v="Hina Emberveil"/>
    <d v="2002-01-10T00:00:00"/>
    <n v="22"/>
    <n v="166"/>
    <s v="Pendek"/>
    <s v="INTJ"/>
    <x v="0"/>
    <x v="1"/>
    <s v="Fracture Surge"/>
    <n v="19"/>
    <n v="36"/>
    <n v="87"/>
    <n v="42"/>
    <s v="0.6092 %"/>
    <n v="230"/>
    <n v="0.80510000000000004"/>
    <n v="57.158799999999999"/>
    <x v="3"/>
    <n v="415.32429999999999"/>
    <x v="1"/>
    <x v="6"/>
  </r>
  <r>
    <s v="Finn Flint"/>
    <d v="2003-08-02T00:00:00"/>
    <n v="21"/>
    <n v="180"/>
    <s v="Tinggi"/>
    <s v="ESTJ"/>
    <x v="1"/>
    <x v="1"/>
    <s v="Transmutation Aura / Alchemist"/>
    <n v="23"/>
    <n v="73"/>
    <n v="10"/>
    <n v="63"/>
    <s v="0.4485 %"/>
    <n v="250"/>
    <n v="0.80510000000000004"/>
    <n v="105.8274"/>
    <x v="2"/>
    <n v="420.0136"/>
    <x v="2"/>
    <x v="0"/>
  </r>
  <r>
    <s v="Sakura Hayashi"/>
    <d v="2001-02-20T00:00:00"/>
    <n v="23"/>
    <n v="165"/>
    <s v="Pendek"/>
    <s v="ESFP"/>
    <x v="2"/>
    <x v="1"/>
    <s v="Fate Weave / Royal Advisor"/>
    <n v="97"/>
    <n v="9"/>
    <n v="96"/>
    <n v="55"/>
    <s v="0.9616 %"/>
    <n v="303"/>
    <n v="0.63480000000000003"/>
    <n v="18.497900000000001"/>
    <x v="3"/>
    <n v="561.45640000000003"/>
    <x v="2"/>
    <x v="0"/>
  </r>
  <r>
    <s v="Emery Yamamoto"/>
    <d v="2002-07-18T00:00:00"/>
    <n v="22"/>
    <n v="160"/>
    <s v="Pendek"/>
    <s v="ISTJ"/>
    <x v="1"/>
    <x v="0"/>
    <s v="Dominion Mark"/>
    <n v="125"/>
    <n v="84"/>
    <n v="58"/>
    <n v="9"/>
    <s v="0.3884 %"/>
    <n v="214"/>
    <n v="0.66500000000000004"/>
    <n v="116.69499999999999"/>
    <x v="3"/>
    <n v="491.36340000000001"/>
    <x v="0"/>
    <x v="2"/>
  </r>
  <r>
    <s v="Seraphina Crowe"/>
    <d v="2003-12-18T00:00:00"/>
    <n v="21"/>
    <n v="160"/>
    <s v="Pendek"/>
    <s v="ENTP"/>
    <x v="0"/>
    <x v="1"/>
    <s v="Emotional Vectoring"/>
    <n v="39"/>
    <n v="12"/>
    <n v="11"/>
    <n v="18"/>
    <s v="0.33 %"/>
    <n v="58"/>
    <n v="0.44030000000000002"/>
    <n v="16.4255"/>
    <x v="2"/>
    <n v="139.3903"/>
    <x v="1"/>
    <x v="5"/>
  </r>
  <r>
    <s v="Rin Pemberton"/>
    <d v="2001-02-25T00:00:00"/>
    <n v="23"/>
    <n v="165"/>
    <s v="Pendek"/>
    <s v="ESTP"/>
    <x v="2"/>
    <x v="0"/>
    <s v="Covenant Bond / Healer &amp; Diplomat"/>
    <n v="59"/>
    <n v="33"/>
    <n v="42"/>
    <n v="33"/>
    <s v="0.845 %"/>
    <n v="151"/>
    <n v="0.45440000000000003"/>
    <n v="60.294600000000003"/>
    <x v="1"/>
    <n v="318.87939999999998"/>
    <x v="0"/>
    <x v="6"/>
  </r>
  <r>
    <s v="Mirel Flint"/>
    <d v="2001-08-24T00:00:00"/>
    <n v="23"/>
    <n v="172"/>
    <s v="Normal"/>
    <s v="ESFJ"/>
    <x v="1"/>
    <x v="1"/>
    <s v="Guillotine Line"/>
    <n v="48"/>
    <n v="56"/>
    <n v="7"/>
    <n v="4"/>
    <s v="0.9224 %"/>
    <n v="254"/>
    <n v="0.40839999999999999"/>
    <n v="107.193"/>
    <x v="0"/>
    <n v="370.64080000000001"/>
    <x v="0"/>
    <x v="6"/>
  </r>
  <r>
    <s v="Shun Aldridge"/>
    <d v="2001-06-21T00:00:00"/>
    <n v="23"/>
    <n v="174"/>
    <s v="Normal"/>
    <s v="ESTJ"/>
    <x v="1"/>
    <x v="0"/>
    <s v="Zone of Order / City Watch Captain"/>
    <n v="57"/>
    <n v="99"/>
    <n v="78"/>
    <n v="54"/>
    <s v="0.9203 %"/>
    <n v="170"/>
    <n v="0.60329999999999995"/>
    <n v="189.2456"/>
    <x v="0"/>
    <n v="459.41359999999997"/>
    <x v="1"/>
    <x v="6"/>
  </r>
  <r>
    <s v="Wren Inoue"/>
    <d v="2001-05-04T00:00:00"/>
    <n v="23"/>
    <n v="160"/>
    <s v="Pendek"/>
    <s v="ISFP"/>
    <x v="2"/>
    <x v="1"/>
    <s v="Primal Sovereign / Engineer"/>
    <n v="90"/>
    <n v="84"/>
    <n v="39"/>
    <n v="36"/>
    <s v="0.6266 %"/>
    <n v="253"/>
    <n v="0.62960000000000005"/>
    <n v="136.8133"/>
    <x v="0"/>
    <n v="503.12619999999998"/>
    <x v="0"/>
    <x v="5"/>
  </r>
  <r>
    <s v="Shun Hayashi"/>
    <d v="2001-09-09T00:00:00"/>
    <n v="23"/>
    <n v="172"/>
    <s v="Normal"/>
    <s v="ENTJ"/>
    <x v="0"/>
    <x v="0"/>
    <s v="Primal Sovereign / Engineer"/>
    <n v="132"/>
    <n v="22"/>
    <n v="51"/>
    <n v="80"/>
    <s v="0.9509 %"/>
    <n v="354"/>
    <n v="0.68579999999999997"/>
    <n v="42.666200000000003"/>
    <x v="3"/>
    <n v="640.43669999999997"/>
    <x v="1"/>
    <x v="1"/>
  </r>
  <r>
    <s v="Clara Ito"/>
    <d v="2002-11-04T00:00:00"/>
    <n v="22"/>
    <n v="174"/>
    <s v="Normal"/>
    <s v="ISFJ"/>
    <x v="1"/>
    <x v="0"/>
    <s v="Moment moment of Truth / Oracle"/>
    <n v="97"/>
    <n v="1"/>
    <n v="48"/>
    <n v="90"/>
    <s v="0.4718 %"/>
    <n v="269"/>
    <n v="0.80289999999999995"/>
    <n v="1.7662"/>
    <x v="3"/>
    <n v="507.62470000000002"/>
    <x v="1"/>
    <x v="4"/>
  </r>
  <r>
    <s v="Wren Sol"/>
    <d v="2001-03-05T00:00:00"/>
    <n v="23"/>
    <n v="177"/>
    <s v="Tinggi"/>
    <s v="ENTJ"/>
    <x v="0"/>
    <x v="1"/>
    <s v="Fate Weave / Royal Advisor"/>
    <n v="54"/>
    <n v="81"/>
    <n v="83"/>
    <n v="36"/>
    <s v="0.7912 %"/>
    <n v="72"/>
    <n v="0.7137"/>
    <n v="145.92910000000001"/>
    <x v="0"/>
    <n v="327.63490000000002"/>
    <x v="0"/>
    <x v="3"/>
  </r>
  <r>
    <s v="Dante Farell"/>
    <d v="2002-03-30T00:00:00"/>
    <n v="22"/>
    <n v="160"/>
    <s v="Pendek"/>
    <s v="ENFJ"/>
    <x v="3"/>
    <x v="0"/>
    <s v="Primal Sovereign / Engineer"/>
    <n v="102"/>
    <n v="71"/>
    <n v="20"/>
    <n v="82"/>
    <s v="0.8276 %"/>
    <n v="250"/>
    <n v="0.4995"/>
    <n v="130.14340000000001"/>
    <x v="3"/>
    <n v="527.1771"/>
    <x v="1"/>
    <x v="0"/>
  </r>
  <r>
    <s v="Mirel Ito"/>
    <d v="2002-02-06T00:00:00"/>
    <n v="22"/>
    <n v="160"/>
    <s v="Pendek"/>
    <s v="ISTP"/>
    <x v="2"/>
    <x v="1"/>
    <s v="Fate Weave / Royal Advisor"/>
    <n v="131"/>
    <n v="57"/>
    <n v="50"/>
    <n v="56"/>
    <s v="0.6091 %"/>
    <n v="264"/>
    <n v="0.70709999999999995"/>
    <n v="92.265799999999999"/>
    <x v="1"/>
    <n v="559.09619999999995"/>
    <x v="0"/>
    <x v="4"/>
  </r>
  <r>
    <s v="Yuna Saito"/>
    <d v="2002-07-16T00:00:00"/>
    <n v="22"/>
    <n v="176"/>
    <s v="Tinggi"/>
    <s v="ESTJ"/>
    <x v="1"/>
    <x v="0"/>
    <s v="Gravity Rend"/>
    <n v="149"/>
    <n v="70"/>
    <n v="54"/>
    <n v="26"/>
    <s v="0.5085 %"/>
    <n v="224"/>
    <n v="0.82210000000000005"/>
    <n v="105.0067"/>
    <x v="0"/>
    <n v="524.03060000000005"/>
    <x v="1"/>
    <x v="3"/>
  </r>
  <r>
    <s v="Sakura Rossi"/>
    <d v="2003-11-28T00:00:00"/>
    <n v="21"/>
    <n v="181"/>
    <s v="Tinggi"/>
    <s v="ENTP"/>
    <x v="0"/>
    <x v="1"/>
    <s v="Memory Palace / Librarian Assistant"/>
    <n v="55"/>
    <n v="76"/>
    <n v="88"/>
    <n v="23"/>
    <s v="0.4781 %"/>
    <n v="112"/>
    <n v="0.60199999999999998"/>
    <n v="112.5425"/>
    <x v="0"/>
    <n v="355.71010000000001"/>
    <x v="1"/>
    <x v="1"/>
  </r>
  <r>
    <s v="Elara Funai"/>
    <d v="2002-04-08T00:00:00"/>
    <n v="22"/>
    <n v="183"/>
    <s v="Tinggi"/>
    <s v="ISFJ"/>
    <x v="1"/>
    <x v="1"/>
    <s v="Warbrand Arsenal"/>
    <n v="138"/>
    <n v="20"/>
    <n v="34"/>
    <n v="7"/>
    <s v="0.1251 %"/>
    <n v="250"/>
    <n v="0.59440000000000004"/>
    <n v="23.0533"/>
    <x v="0"/>
    <n v="450.1395"/>
    <x v="2"/>
    <x v="6"/>
  </r>
  <r>
    <s v="Haruto Stormbright"/>
    <d v="2003-08-28T00:00:00"/>
    <n v="21"/>
    <n v="163"/>
    <s v="Pendek"/>
    <s v="ISFJ"/>
    <x v="1"/>
    <x v="0"/>
    <s v="Adaptive Mutation"/>
    <n v="125"/>
    <n v="82"/>
    <n v="52"/>
    <n v="24"/>
    <s v="0.64 %"/>
    <n v="30"/>
    <n v="0.59730000000000005"/>
    <n v="135.0376"/>
    <x v="0"/>
    <n v="315.60730000000001"/>
    <x v="2"/>
    <x v="3"/>
  </r>
  <r>
    <s v="Elara Nox"/>
    <d v="2003-02-12T00:00:00"/>
    <n v="21"/>
    <n v="161"/>
    <s v="Pendek"/>
    <s v="ISTJ"/>
    <x v="1"/>
    <x v="1"/>
    <s v="Warbrand Arsenal"/>
    <n v="118"/>
    <n v="7"/>
    <n v="80"/>
    <n v="6"/>
    <s v="0.4887 %"/>
    <n v="245"/>
    <n v="0.44579999999999997"/>
    <n v="10.629300000000001"/>
    <x v="0"/>
    <n v="457.22449999999998"/>
    <x v="2"/>
    <x v="0"/>
  </r>
  <r>
    <s v="Hugo Weston"/>
    <d v="2003-04-22T00:00:00"/>
    <n v="21"/>
    <n v="163"/>
    <s v="Pendek"/>
    <s v="ISFP"/>
    <x v="2"/>
    <x v="0"/>
    <s v="Fracture Surge"/>
    <n v="69"/>
    <n v="47"/>
    <n v="43"/>
    <n v="62"/>
    <s v="0.6858 %"/>
    <n v="41"/>
    <n v="0.70409999999999995"/>
    <n v="79.165199999999999"/>
    <x v="0"/>
    <n v="264.09989999999999"/>
    <x v="1"/>
    <x v="4"/>
  </r>
  <r>
    <s v="Caspian Kobayashi"/>
    <d v="2001-07-30T00:00:00"/>
    <n v="23"/>
    <n v="163"/>
    <s v="Pendek"/>
    <s v="ISFJ"/>
    <x v="1"/>
    <x v="0"/>
    <s v="Warbrand Arsenal"/>
    <n v="89"/>
    <n v="84"/>
    <n v="91"/>
    <n v="13"/>
    <s v="0.4199 %"/>
    <n v="204"/>
    <n v="0.61660000000000004"/>
    <n v="119.61239999999999"/>
    <x v="3"/>
    <n v="482.66649999999998"/>
    <x v="0"/>
    <x v="1"/>
  </r>
  <r>
    <s v="Kenji Nox"/>
    <d v="2002-10-01T00:00:00"/>
    <n v="22"/>
    <n v="164"/>
    <s v="Pendek"/>
    <s v="ESTJ"/>
    <x v="1"/>
    <x v="1"/>
    <s v="Combat Escalation Law"/>
    <n v="47"/>
    <n v="89"/>
    <n v="78"/>
    <n v="16"/>
    <s v="0.4086 %"/>
    <n v="124"/>
    <n v="0.56599999999999995"/>
    <n v="124.8583"/>
    <x v="0"/>
    <n v="354.50459999999998"/>
    <x v="2"/>
    <x v="4"/>
  </r>
  <r>
    <s v="Rin Blackwood"/>
    <d v="2001-04-22T00:00:00"/>
    <n v="23"/>
    <n v="176"/>
    <s v="Tinggi"/>
    <s v="ESTJ"/>
    <x v="1"/>
    <x v="1"/>
    <s v="Combat Escalation Law"/>
    <n v="30"/>
    <n v="21"/>
    <n v="91"/>
    <n v="79"/>
    <s v="0.7011 %"/>
    <n v="137"/>
    <n v="0.7127"/>
    <n v="35.450899999999997"/>
    <x v="3"/>
    <n v="359.3338"/>
    <x v="2"/>
    <x v="5"/>
  </r>
  <r>
    <s v="Miriam Calloway"/>
    <d v="2002-09-06T00:00:00"/>
    <n v="22"/>
    <n v="179"/>
    <s v="Tinggi"/>
    <s v="ISFJ"/>
    <x v="1"/>
    <x v="1"/>
    <s v="Adaptive Mutation"/>
    <n v="25"/>
    <n v="46"/>
    <n v="79"/>
    <n v="5"/>
    <s v="0.1033 %"/>
    <n v="89"/>
    <n v="0.50039999999999996"/>
    <n v="50.729700000000001"/>
    <x v="1"/>
    <n v="244.61369999999999"/>
    <x v="1"/>
    <x v="4"/>
  </r>
  <r>
    <s v="Takeshi Crestwood"/>
    <d v="2002-11-10T00:00:00"/>
    <n v="22"/>
    <n v="183"/>
    <s v="Tinggi"/>
    <s v="INFJ"/>
    <x v="3"/>
    <x v="1"/>
    <s v="Damage Reflection Lattice"/>
    <n v="61"/>
    <n v="83"/>
    <n v="2"/>
    <n v="2"/>
    <s v="0.5992 %"/>
    <n v="144"/>
    <n v="0.46410000000000001"/>
    <n v="132.3818"/>
    <x v="3"/>
    <n v="291.94330000000002"/>
    <x v="0"/>
    <x v="5"/>
  </r>
  <r>
    <s v="Kenji Funai"/>
    <d v="2002-02-10T00:00:00"/>
    <n v="22"/>
    <n v="166"/>
    <s v="Pendek"/>
    <s v="ENFJ"/>
    <x v="3"/>
    <x v="1"/>
    <s v="Elemental Mastery"/>
    <n v="34"/>
    <n v="27"/>
    <n v="18"/>
    <n v="85"/>
    <s v="0.2764 %"/>
    <n v="99"/>
    <n v="0.47920000000000001"/>
    <n v="34.386200000000002"/>
    <x v="2"/>
    <n v="263.61559999999997"/>
    <x v="0"/>
    <x v="0"/>
  </r>
  <r>
    <s v="Hugo Kim"/>
    <d v="2002-03-07T00:00:00"/>
    <n v="22"/>
    <n v="170"/>
    <s v="Normal"/>
    <s v="ESTJ"/>
    <x v="1"/>
    <x v="1"/>
    <s v="Momentum Surge / Knight-Errant"/>
    <n v="37"/>
    <n v="81"/>
    <n v="66"/>
    <n v="94"/>
    <s v="0.9979 %"/>
    <n v="391"/>
    <n v="0.79669999999999996"/>
    <n v="162.1096"/>
    <x v="0"/>
    <n v="671.18460000000005"/>
    <x v="0"/>
    <x v="1"/>
  </r>
  <r>
    <s v="Dante Kobayashi"/>
    <d v="2003-02-14T00:00:00"/>
    <n v="21"/>
    <n v="177"/>
    <s v="Tinggi"/>
    <s v="ESTJ"/>
    <x v="1"/>
    <x v="1"/>
    <s v="Archive of Blades / Guild Archivist"/>
    <n v="90"/>
    <n v="98"/>
    <n v="25"/>
    <n v="6"/>
    <s v="0.2702 %"/>
    <n v="247"/>
    <n v="0.64100000000000001"/>
    <n v="124.12390000000001"/>
    <x v="1"/>
    <n v="466.5412"/>
    <x v="1"/>
    <x v="1"/>
  </r>
  <r>
    <s v="Zephyr Swiftwind"/>
    <d v="2003-11-07T00:00:00"/>
    <n v="21"/>
    <n v="164"/>
    <s v="Pendek"/>
    <s v="INTJ"/>
    <x v="0"/>
    <x v="1"/>
    <s v="Damage Reflection Lattice"/>
    <n v="109"/>
    <n v="79"/>
    <n v="79"/>
    <n v="62"/>
    <s v="0.4493 %"/>
    <n v="68"/>
    <n v="0.79710000000000003"/>
    <n v="114.0309"/>
    <x v="2"/>
    <n v="398.28640000000001"/>
    <x v="1"/>
    <x v="4"/>
  </r>
  <r>
    <s v="Leon Pemberton"/>
    <d v="2003-02-05T00:00:00"/>
    <n v="21"/>
    <n v="182"/>
    <s v="Tinggi"/>
    <s v="ESFP"/>
    <x v="2"/>
    <x v="1"/>
    <s v="Memory Palace / Librarian Assistant"/>
    <n v="72"/>
    <n v="59"/>
    <n v="64"/>
    <n v="79"/>
    <s v="0.2865 %"/>
    <n v="260"/>
    <n v="0.80269999999999997"/>
    <n v="75.311700000000002"/>
    <x v="3"/>
    <n v="534.90920000000006"/>
    <x v="0"/>
    <x v="3"/>
  </r>
  <r>
    <s v="Hina Langley"/>
    <d v="2001-11-18T00:00:00"/>
    <n v="23"/>
    <n v="172"/>
    <s v="Normal"/>
    <s v="INFJ"/>
    <x v="3"/>
    <x v="1"/>
    <s v="Soulfire Manifestation"/>
    <n v="83"/>
    <n v="14"/>
    <n v="9"/>
    <n v="45"/>
    <s v="0.6256 %"/>
    <n v="141"/>
    <n v="0.60940000000000005"/>
    <n v="23.246099999999998"/>
    <x v="2"/>
    <n v="294.17500000000001"/>
    <x v="1"/>
    <x v="3"/>
  </r>
  <r>
    <s v="Fumiko Aldridge"/>
    <d v="2003-10-16T00:00:00"/>
    <n v="21"/>
    <n v="171"/>
    <s v="Normal"/>
    <s v="ESFP"/>
    <x v="2"/>
    <x v="1"/>
    <s v="Primal Sovereign / Engineer"/>
    <n v="58"/>
    <n v="19"/>
    <n v="24"/>
    <n v="65"/>
    <s v="0.1742 %"/>
    <n v="144"/>
    <n v="0.7792"/>
    <n v="22.051500000000001"/>
    <x v="0"/>
    <n v="311.02339999999998"/>
    <x v="1"/>
    <x v="1"/>
  </r>
  <r>
    <s v="Lyra Sol"/>
    <d v="2001-03-20T00:00:00"/>
    <n v="23"/>
    <n v="171"/>
    <s v="Normal"/>
    <s v="ISTJ"/>
    <x v="1"/>
    <x v="0"/>
    <s v="Adaptive Mutation"/>
    <n v="30"/>
    <n v="34"/>
    <n v="31"/>
    <n v="82"/>
    <s v="0.347 %"/>
    <n v="274"/>
    <n v="0.71750000000000003"/>
    <n v="45.245699999999999"/>
    <x v="1"/>
    <n v="451.39449999999999"/>
    <x v="2"/>
    <x v="5"/>
  </r>
  <r>
    <s v="Riku Aurelius"/>
    <d v="2002-12-11T00:00:00"/>
    <n v="22"/>
    <n v="169"/>
    <s v="Normal"/>
    <s v="ISTP"/>
    <x v="2"/>
    <x v="1"/>
    <s v="Dimensional Phase Shifting"/>
    <n v="123"/>
    <n v="76"/>
    <n v="2"/>
    <n v="66"/>
    <s v="0.9563 %"/>
    <n v="396"/>
    <n v="0.78949999999999998"/>
    <n v="148.71789999999999"/>
    <x v="1"/>
    <n v="664.88580000000002"/>
    <x v="0"/>
    <x v="5"/>
  </r>
  <r>
    <s v="Caius Saito"/>
    <d v="2003-08-18T00:00:00"/>
    <n v="21"/>
    <n v="176"/>
    <s v="Tinggi"/>
    <s v="INFJ"/>
    <x v="3"/>
    <x v="1"/>
    <s v="Adaptive Mutation"/>
    <n v="119"/>
    <n v="32"/>
    <n v="20"/>
    <n v="77"/>
    <s v="0.2886 %"/>
    <n v="279"/>
    <n v="0.60250000000000004"/>
    <n v="41.222299999999997"/>
    <x v="0"/>
    <n v="528.2011"/>
    <x v="1"/>
    <x v="1"/>
  </r>
  <r>
    <s v="Hina Masaki"/>
    <d v="2002-12-28T00:00:00"/>
    <n v="22"/>
    <n v="175"/>
    <s v="Tinggi"/>
    <s v="ESTJ"/>
    <x v="1"/>
    <x v="1"/>
    <s v="Heartstrike Overload"/>
    <n v="63"/>
    <n v="69"/>
    <n v="41"/>
    <n v="78"/>
    <s v="0.3935 %"/>
    <n v="216"/>
    <n v="0.41049999999999998"/>
    <n v="95.998199999999997"/>
    <x v="0"/>
    <n v="467.66399999999999"/>
    <x v="0"/>
    <x v="1"/>
  </r>
  <r>
    <s v="Sylvie Thornton"/>
    <d v="2002-02-23T00:00:00"/>
    <n v="22"/>
    <n v="172"/>
    <s v="Normal"/>
    <s v="ISFJ"/>
    <x v="1"/>
    <x v="1"/>
    <s v="Warbrand Arsenal"/>
    <n v="81"/>
    <n v="20"/>
    <n v="12"/>
    <n v="57"/>
    <s v="0.9053 %"/>
    <n v="181"/>
    <n v="0.442"/>
    <n v="37.439100000000003"/>
    <x v="0"/>
    <n v="351.93729999999999"/>
    <x v="2"/>
    <x v="4"/>
  </r>
  <r>
    <s v="Vivian Eld"/>
    <d v="2002-08-05T00:00:00"/>
    <n v="22"/>
    <n v="172"/>
    <s v="Normal"/>
    <s v="ESTP"/>
    <x v="2"/>
    <x v="0"/>
    <s v="Heartstrike Overload"/>
    <n v="44"/>
    <n v="53"/>
    <n v="46"/>
    <n v="38"/>
    <s v="0.3941 %"/>
    <n v="5"/>
    <n v="0.80940000000000001"/>
    <n v="73.775800000000004"/>
    <x v="3"/>
    <n v="187.4135"/>
    <x v="0"/>
    <x v="0"/>
  </r>
  <r>
    <s v="Corwin Crowe"/>
    <d v="2001-05-21T00:00:00"/>
    <n v="23"/>
    <n v="175"/>
    <s v="Tinggi"/>
    <s v="ESTJ"/>
    <x v="1"/>
    <x v="1"/>
    <s v="Damage Reflection Lattice"/>
    <n v="20"/>
    <n v="21"/>
    <n v="44"/>
    <n v="71"/>
    <s v="0.6433 %"/>
    <n v="190"/>
    <n v="0.8226"/>
    <n v="35.100900000000003"/>
    <x v="1"/>
    <n v="348.67590000000001"/>
    <x v="2"/>
    <x v="5"/>
  </r>
  <r>
    <s v="Sakura Watanabe"/>
    <d v="2001-10-20T00:00:00"/>
    <n v="23"/>
    <n v="160"/>
    <s v="Pendek"/>
    <s v="ESFP"/>
    <x v="2"/>
    <x v="1"/>
    <s v="Warbrand Arsenal"/>
    <n v="124"/>
    <n v="61"/>
    <n v="25"/>
    <n v="34"/>
    <s v="0.5419 %"/>
    <n v="228"/>
    <n v="0.60819999999999996"/>
    <n v="93.870900000000006"/>
    <x v="0"/>
    <n v="473.01010000000002"/>
    <x v="2"/>
    <x v="0"/>
  </r>
  <r>
    <s v="Cassian Ashford"/>
    <d v="2002-09-02T00:00:00"/>
    <n v="22"/>
    <n v="171"/>
    <s v="Normal"/>
    <s v="ISFP"/>
    <x v="2"/>
    <x v="1"/>
    <s v="Elemental Mastery"/>
    <n v="63"/>
    <n v="19"/>
    <n v="62"/>
    <n v="44"/>
    <s v="0.6932 %"/>
    <n v="154"/>
    <n v="0.71430000000000005"/>
    <n v="31.798300000000001"/>
    <x v="0"/>
    <n v="343.44749999999999"/>
    <x v="1"/>
    <x v="5"/>
  </r>
  <r>
    <s v="Takeshi Sato"/>
    <d v="2002-08-21T00:00:00"/>
    <n v="22"/>
    <n v="168"/>
    <s v="Normal"/>
    <s v="INTJ"/>
    <x v="0"/>
    <x v="0"/>
    <s v="Damage Reflection Lattice"/>
    <n v="136"/>
    <n v="42"/>
    <n v="76"/>
    <n v="13"/>
    <s v="0.7799 %"/>
    <n v="148"/>
    <n v="0.627"/>
    <n v="74.257400000000004"/>
    <x v="2"/>
    <n v="417.06689999999998"/>
    <x v="1"/>
    <x v="3"/>
  </r>
  <r>
    <s v="Haruto Ito"/>
    <d v="2001-04-02T00:00:00"/>
    <n v="23"/>
    <n v="176"/>
    <s v="Tinggi"/>
    <s v="ESTP"/>
    <x v="2"/>
    <x v="1"/>
    <s v="Gravity Rend"/>
    <n v="12"/>
    <n v="70"/>
    <n v="75"/>
    <n v="39"/>
    <s v="0.8702 %"/>
    <n v="299"/>
    <n v="0.57850000000000001"/>
    <n v="130.44640000000001"/>
    <x v="0"/>
    <n v="495.69869999999997"/>
    <x v="1"/>
    <x v="0"/>
  </r>
  <r>
    <s v="Lena Strider"/>
    <d v="2003-08-03T00:00:00"/>
    <n v="21"/>
    <n v="175"/>
    <s v="Tinggi"/>
    <s v="ESTJ"/>
    <x v="1"/>
    <x v="0"/>
    <s v="Probability Flux / Treasure Hunter"/>
    <n v="83"/>
    <n v="25"/>
    <n v="95"/>
    <n v="15"/>
    <s v="0.8574 %"/>
    <n v="328"/>
    <n v="0.4768"/>
    <n v="46.416400000000003"/>
    <x v="0"/>
    <n v="547.33420000000001"/>
    <x v="2"/>
    <x v="0"/>
  </r>
  <r>
    <s v="Airi Rossi"/>
    <d v="2003-03-12T00:00:00"/>
    <n v="21"/>
    <n v="177"/>
    <s v="Tinggi"/>
    <s v="ESTP"/>
    <x v="2"/>
    <x v="0"/>
    <s v="Warbrand Arsenal"/>
    <n v="101"/>
    <n v="2"/>
    <n v="28"/>
    <n v="45"/>
    <s v="0.743 %"/>
    <n v="72"/>
    <n v="0.80169999999999997"/>
    <n v="3.6777000000000002"/>
    <x v="1"/>
    <n v="249.37469999999999"/>
    <x v="1"/>
    <x v="5"/>
  </r>
  <r>
    <s v="Elise Vance"/>
    <d v="2001-04-18T00:00:00"/>
    <n v="23"/>
    <n v="174"/>
    <s v="Normal"/>
    <s v="INTJ"/>
    <x v="0"/>
    <x v="0"/>
    <s v="Guillotine Line"/>
    <n v="116"/>
    <n v="77"/>
    <n v="93"/>
    <n v="38"/>
    <s v="0.1822 %"/>
    <n v="96"/>
    <n v="0.58979999999999999"/>
    <n v="90.958500000000001"/>
    <x v="0"/>
    <n v="421.02199999999999"/>
    <x v="1"/>
    <x v="6"/>
  </r>
  <r>
    <s v="Vale Eld"/>
    <d v="2001-07-17T00:00:00"/>
    <n v="23"/>
    <n v="167"/>
    <s v="Pendek"/>
    <s v="INFJ"/>
    <x v="3"/>
    <x v="0"/>
    <s v="Triage Field / Field Medic"/>
    <n v="8"/>
    <n v="52"/>
    <n v="82"/>
    <n v="33"/>
    <s v="0.6622 %"/>
    <n v="251"/>
    <n v="0.82040000000000002"/>
    <n v="86.002200000000002"/>
    <x v="3"/>
    <n v="426.57260000000002"/>
    <x v="1"/>
    <x v="0"/>
  </r>
  <r>
    <s v="Celeste Tanaka"/>
    <d v="2002-10-25T00:00:00"/>
    <n v="22"/>
    <n v="171"/>
    <s v="Normal"/>
    <s v="ESFJ"/>
    <x v="1"/>
    <x v="0"/>
    <s v="Fracture Surge"/>
    <n v="61"/>
    <n v="32"/>
    <n v="40"/>
    <n v="46"/>
    <s v="0.8336 %"/>
    <n v="27"/>
    <n v="0.6925"/>
    <n v="59.243600000000001"/>
    <x v="2"/>
    <n v="208.046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283976-BDA9-4FB3-B184-61E4E887A26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E8" firstHeaderRow="0" firstDataRow="1" firstDataCol="1"/>
  <pivotFields count="21">
    <pivotField showAll="0"/>
    <pivotField numFmtId="14" showAll="0"/>
    <pivotField showAll="0"/>
    <pivotField showAll="0"/>
    <pivotField showAll="0"/>
    <pivotField showAll="0"/>
    <pivotField showAll="0">
      <items count="5">
        <item x="0"/>
        <item x="3"/>
        <item x="2"/>
        <item x="1"/>
        <item t="default"/>
      </items>
    </pivotField>
    <pivotField showAll="0">
      <items count="3">
        <item h="1" x="1"/>
        <item x="0"/>
        <item t="default"/>
      </items>
    </pivotField>
    <pivotField showAll="0"/>
    <pivotField dataField="1" showAll="0"/>
    <pivotField dataField="1" showAll="0"/>
    <pivotField dataField="1" showAll="0"/>
    <pivotField dataField="1" showAll="0"/>
    <pivotField showAll="0"/>
    <pivotField showAll="0"/>
    <pivotField showAll="0"/>
    <pivotField showAll="0"/>
    <pivotField axis="axisRow" showAll="0">
      <items count="5">
        <item x="1"/>
        <item x="0"/>
        <item x="2"/>
        <item x="3"/>
        <item t="default"/>
      </items>
    </pivotField>
    <pivotField showAll="0"/>
    <pivotField showAll="0">
      <items count="4">
        <item x="1"/>
        <item x="0"/>
        <item x="2"/>
        <item t="default"/>
      </items>
    </pivotField>
    <pivotField showAll="0">
      <items count="8">
        <item x="5"/>
        <item x="3"/>
        <item x="6"/>
        <item x="4"/>
        <item x="1"/>
        <item x="0"/>
        <item x="2"/>
        <item t="default"/>
      </items>
    </pivotField>
  </pivotFields>
  <rowFields count="1">
    <field x="17"/>
  </rowFields>
  <rowItems count="5">
    <i>
      <x/>
    </i>
    <i>
      <x v="1"/>
    </i>
    <i>
      <x v="2"/>
    </i>
    <i>
      <x v="3"/>
    </i>
    <i t="grand">
      <x/>
    </i>
  </rowItems>
  <colFields count="1">
    <field x="-2"/>
  </colFields>
  <colItems count="4">
    <i>
      <x/>
    </i>
    <i i="1">
      <x v="1"/>
    </i>
    <i i="2">
      <x v="2"/>
    </i>
    <i i="3">
      <x v="3"/>
    </i>
  </colItems>
  <dataFields count="4">
    <dataField name="Average of HP" fld="9" subtotal="average" baseField="17" baseItem="0"/>
    <dataField name="Average of ATK" fld="10" subtotal="average" baseField="17" baseItem="0"/>
    <dataField name="Average of DEF" fld="11" subtotal="average" baseField="17" baseItem="0"/>
    <dataField name="Average of SPD" fld="12" subtotal="average" baseField="17" baseItem="0"/>
  </dataFields>
  <chartFormats count="4">
    <chartFormat chart="3" format="8"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1"/>
          </reference>
        </references>
      </pivotArea>
    </chartFormat>
    <chartFormat chart="3" format="10" series="1">
      <pivotArea type="data" outline="0" fieldPosition="0">
        <references count="1">
          <reference field="4294967294" count="1" selected="0">
            <x v="2"/>
          </reference>
        </references>
      </pivotArea>
    </chartFormat>
    <chartFormat chart="3"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637FA9-080E-47D5-BF20-E3295FF6839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3:B18" firstHeaderRow="1" firstDataRow="1" firstDataCol="1"/>
  <pivotFields count="21">
    <pivotField dataField="1" showAll="0"/>
    <pivotField numFmtId="14" showAll="0"/>
    <pivotField showAll="0"/>
    <pivotField showAll="0"/>
    <pivotField showAll="0"/>
    <pivotField showAll="0"/>
    <pivotField showAll="0">
      <items count="5">
        <item x="0"/>
        <item x="3"/>
        <item x="2"/>
        <item x="1"/>
        <item t="default"/>
      </items>
    </pivotField>
    <pivotField showAll="0">
      <items count="3">
        <item h="1" x="1"/>
        <item x="0"/>
        <item t="default"/>
      </items>
    </pivotField>
    <pivotField showAll="0"/>
    <pivotField showAll="0"/>
    <pivotField showAll="0"/>
    <pivotField showAll="0"/>
    <pivotField showAll="0"/>
    <pivotField showAll="0"/>
    <pivotField showAll="0"/>
    <pivotField showAll="0"/>
    <pivotField showAll="0"/>
    <pivotField axis="axisRow" showAll="0">
      <items count="5">
        <item x="1"/>
        <item x="0"/>
        <item x="2"/>
        <item x="3"/>
        <item t="default"/>
      </items>
    </pivotField>
    <pivotField showAll="0"/>
    <pivotField showAll="0">
      <items count="4">
        <item x="1"/>
        <item x="0"/>
        <item x="2"/>
        <item t="default"/>
      </items>
    </pivotField>
    <pivotField showAll="0">
      <items count="8">
        <item x="5"/>
        <item x="3"/>
        <item x="6"/>
        <item x="4"/>
        <item x="1"/>
        <item x="0"/>
        <item x="2"/>
        <item t="default"/>
      </items>
    </pivotField>
  </pivotFields>
  <rowFields count="1">
    <field x="17"/>
  </rowFields>
  <rowItems count="5">
    <i>
      <x/>
    </i>
    <i>
      <x v="1"/>
    </i>
    <i>
      <x v="2"/>
    </i>
    <i>
      <x v="3"/>
    </i>
    <i t="grand">
      <x/>
    </i>
  </rowItems>
  <colItems count="1">
    <i/>
  </colItems>
  <dataFields count="1">
    <dataField name="Count of Nama Karakter" fld="0" subtotal="count" baseField="0" baseItem="0"/>
  </dataFields>
  <chartFormats count="5">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7" count="1" selected="0">
            <x v="0"/>
          </reference>
        </references>
      </pivotArea>
    </chartFormat>
    <chartFormat chart="6" format="8">
      <pivotArea type="data" outline="0" fieldPosition="0">
        <references count="2">
          <reference field="4294967294" count="1" selected="0">
            <x v="0"/>
          </reference>
          <reference field="17" count="1" selected="0">
            <x v="1"/>
          </reference>
        </references>
      </pivotArea>
    </chartFormat>
    <chartFormat chart="6" format="9">
      <pivotArea type="data" outline="0" fieldPosition="0">
        <references count="2">
          <reference field="4294967294" count="1" selected="0">
            <x v="0"/>
          </reference>
          <reference field="17" count="1" selected="0">
            <x v="2"/>
          </reference>
        </references>
      </pivotArea>
    </chartFormat>
    <chartFormat chart="6" format="10">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F49CEE-C0C0-4C95-88A2-6CFCAEF9616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21">
    <pivotField showAll="0"/>
    <pivotField numFmtId="14" showAll="0"/>
    <pivotField showAll="0"/>
    <pivotField showAll="0"/>
    <pivotField showAll="0"/>
    <pivotField showAll="0"/>
    <pivotField showAll="0">
      <items count="5">
        <item x="0"/>
        <item x="3"/>
        <item x="2"/>
        <item x="1"/>
        <item t="default"/>
      </items>
    </pivotField>
    <pivotField showAll="0">
      <items count="3">
        <item h="1" x="1"/>
        <item x="0"/>
        <item t="default"/>
      </items>
    </pivotField>
    <pivotField showAll="0"/>
    <pivotField showAll="0"/>
    <pivotField showAll="0"/>
    <pivotField showAll="0"/>
    <pivotField showAll="0"/>
    <pivotField showAll="0"/>
    <pivotField showAll="0"/>
    <pivotField dataField="1" showAll="0"/>
    <pivotField showAll="0"/>
    <pivotField axis="axisRow" showAll="0">
      <items count="5">
        <item x="1"/>
        <item x="0"/>
        <item x="2"/>
        <item x="3"/>
        <item t="default"/>
      </items>
    </pivotField>
    <pivotField showAll="0"/>
    <pivotField showAll="0">
      <items count="4">
        <item x="1"/>
        <item x="0"/>
        <item x="2"/>
        <item t="default"/>
      </items>
    </pivotField>
    <pivotField showAll="0">
      <items count="8">
        <item x="5"/>
        <item x="3"/>
        <item x="6"/>
        <item x="4"/>
        <item x="1"/>
        <item x="0"/>
        <item x="2"/>
        <item t="default"/>
      </items>
    </pivotField>
  </pivotFields>
  <rowFields count="1">
    <field x="17"/>
  </rowFields>
  <rowItems count="5">
    <i>
      <x/>
    </i>
    <i>
      <x v="1"/>
    </i>
    <i>
      <x v="2"/>
    </i>
    <i>
      <x v="3"/>
    </i>
    <i t="grand">
      <x/>
    </i>
  </rowItems>
  <colItems count="1">
    <i/>
  </colItems>
  <dataFields count="1">
    <dataField name="Average of Win Rate" fld="15" subtotal="average" baseField="17" baseItem="0"/>
  </dataField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66D5E8-7626-48EE-9EF8-C7992E98E6E4}"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1" firstHeaderRow="1" firstDataRow="1" firstDataCol="1"/>
  <pivotFields count="21">
    <pivotField dataField="1" showAll="0"/>
    <pivotField numFmtId="14" showAll="0"/>
    <pivotField showAll="0"/>
    <pivotField showAll="0"/>
    <pivotField showAll="0"/>
    <pivotField showAll="0"/>
    <pivotField showAll="0">
      <items count="5">
        <item x="0"/>
        <item x="3"/>
        <item x="2"/>
        <item x="1"/>
        <item t="default"/>
      </items>
    </pivotField>
    <pivotField showAll="0">
      <items count="3">
        <item h="1" x="1"/>
        <item x="0"/>
        <item t="default"/>
      </items>
    </pivotField>
    <pivotField showAll="0"/>
    <pivotField showAll="0"/>
    <pivotField showAll="0"/>
    <pivotField showAll="0"/>
    <pivotField showAll="0"/>
    <pivotField showAll="0"/>
    <pivotField showAll="0"/>
    <pivotField showAll="0"/>
    <pivotField showAll="0"/>
    <pivotField showAll="0">
      <items count="5">
        <item x="1"/>
        <item x="0"/>
        <item x="2"/>
        <item x="3"/>
        <item t="default"/>
      </items>
    </pivotField>
    <pivotField showAll="0"/>
    <pivotField showAll="0">
      <items count="4">
        <item x="1"/>
        <item x="0"/>
        <item x="2"/>
        <item t="default"/>
      </items>
    </pivotField>
    <pivotField axis="axisRow" showAll="0">
      <items count="8">
        <item x="5"/>
        <item x="3"/>
        <item x="6"/>
        <item x="4"/>
        <item x="1"/>
        <item x="0"/>
        <item x="2"/>
        <item t="default"/>
      </items>
    </pivotField>
  </pivotFields>
  <rowFields count="1">
    <field x="20"/>
  </rowFields>
  <rowItems count="8">
    <i>
      <x/>
    </i>
    <i>
      <x v="1"/>
    </i>
    <i>
      <x v="2"/>
    </i>
    <i>
      <x v="3"/>
    </i>
    <i>
      <x v="4"/>
    </i>
    <i>
      <x v="5"/>
    </i>
    <i>
      <x v="6"/>
    </i>
    <i t="grand">
      <x/>
    </i>
  </rowItems>
  <colItems count="1">
    <i/>
  </colItems>
  <dataFields count="1">
    <dataField name="Count of Nama Karakter" fld="0" subtotal="count" baseField="0" baseItem="0"/>
  </dataFields>
  <chartFormats count="8">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20" count="1" selected="0">
            <x v="0"/>
          </reference>
        </references>
      </pivotArea>
    </chartFormat>
    <chartFormat chart="3" format="11">
      <pivotArea type="data" outline="0" fieldPosition="0">
        <references count="2">
          <reference field="4294967294" count="1" selected="0">
            <x v="0"/>
          </reference>
          <reference field="20" count="1" selected="0">
            <x v="1"/>
          </reference>
        </references>
      </pivotArea>
    </chartFormat>
    <chartFormat chart="3" format="12">
      <pivotArea type="data" outline="0" fieldPosition="0">
        <references count="2">
          <reference field="4294967294" count="1" selected="0">
            <x v="0"/>
          </reference>
          <reference field="20" count="1" selected="0">
            <x v="2"/>
          </reference>
        </references>
      </pivotArea>
    </chartFormat>
    <chartFormat chart="3" format="13">
      <pivotArea type="data" outline="0" fieldPosition="0">
        <references count="2">
          <reference field="4294967294" count="1" selected="0">
            <x v="0"/>
          </reference>
          <reference field="20" count="1" selected="0">
            <x v="3"/>
          </reference>
        </references>
      </pivotArea>
    </chartFormat>
    <chartFormat chart="3" format="14">
      <pivotArea type="data" outline="0" fieldPosition="0">
        <references count="2">
          <reference field="4294967294" count="1" selected="0">
            <x v="0"/>
          </reference>
          <reference field="20" count="1" selected="0">
            <x v="4"/>
          </reference>
        </references>
      </pivotArea>
    </chartFormat>
    <chartFormat chart="3" format="15">
      <pivotArea type="data" outline="0" fieldPosition="0">
        <references count="2">
          <reference field="4294967294" count="1" selected="0">
            <x v="0"/>
          </reference>
          <reference field="20" count="1" selected="0">
            <x v="5"/>
          </reference>
        </references>
      </pivotArea>
    </chartFormat>
    <chartFormat chart="3" format="16">
      <pivotArea type="data" outline="0" fieldPosition="0">
        <references count="2">
          <reference field="4294967294" count="1" selected="0">
            <x v="0"/>
          </reference>
          <reference field="20"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refreshOnLoad="1" connectionId="1" xr16:uid="{8FB74325-E6F1-41BE-BD77-F2E7061B3716}" autoFormatId="16" applyNumberFormats="0" applyBorderFormats="0" applyFontFormats="0" applyPatternFormats="0" applyAlignmentFormats="0" applyWidthHeightFormats="0">
  <queryTableRefresh nextId="27">
    <queryTableFields count="21">
      <queryTableField id="1" name="Nama Karakter" tableColumnId="1"/>
      <queryTableField id="20" name="Tanggal Lahir" tableColumnId="20"/>
      <queryTableField id="4" name="Umur" tableColumnId="4"/>
      <queryTableField id="5" name="Tinggi (cm)" tableColumnId="5"/>
      <queryTableField id="6" name="Kategori Tinggi" tableColumnId="6"/>
      <queryTableField id="2" name="MBTI" tableColumnId="2"/>
      <queryTableField id="3" name="Sub-Kelompok" tableColumnId="3"/>
      <queryTableField id="7" name="Grup" tableColumnId="7"/>
      <queryTableField id="8" name="Role / Kekuatan Utama" tableColumnId="8"/>
      <queryTableField id="9" name="HP" tableColumnId="9"/>
      <queryTableField id="10" name="ATK" tableColumnId="10"/>
      <queryTableField id="11" name="DEF" tableColumnId="11"/>
      <queryTableField id="12" name="SPD" tableColumnId="12"/>
      <queryTableField id="13" name="Crit Rate" tableColumnId="13"/>
      <queryTableField id="14" name="MP" tableColumnId="14"/>
      <queryTableField id="15" name="Win Rate" tableColumnId="15"/>
      <queryTableField id="16" name="Potensi Damage" tableColumnId="16"/>
      <queryTableField id="17" name="Faction" tableColumnId="17"/>
      <queryTableField id="18" name="Total Stat" tableColumnId="18"/>
      <queryTableField id="19" name="Role" tableColumnId="19"/>
      <queryTableField id="22" name="Status Squad"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Kelompok" xr10:uid="{7F666AA1-191A-43FE-A552-88BBCC35CA64}" sourceName="Sub-Kelompok">
  <pivotTables>
    <pivotTable tabId="1" name="PivotTable2"/>
    <pivotTable tabId="5" name="PivotTable9"/>
    <pivotTable tabId="6" name="PivotTable10"/>
    <pivotTable tabId="7" name="PivotTable11"/>
  </pivotTables>
  <data>
    <tabular pivotCacheId="259505634">
      <items count="4">
        <i x="0" s="1"/>
        <i x="3"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up" xr10:uid="{63B3D623-AFB1-432B-8450-7FDA6E714793}" sourceName="Grup">
  <pivotTables>
    <pivotTable tabId="1" name="PivotTable2"/>
    <pivotTable tabId="5" name="PivotTable9"/>
    <pivotTable tabId="6" name="PivotTable10"/>
    <pivotTable tabId="7" name="PivotTable11"/>
  </pivotTables>
  <data>
    <tabular pivotCacheId="259505634">
      <items count="2">
        <i x="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ction" xr10:uid="{6A259F18-B6B1-4148-8D28-84EEBC3E489E}" sourceName="Faction">
  <pivotTables>
    <pivotTable tabId="1" name="PivotTable2"/>
    <pivotTable tabId="5" name="PivotTable9"/>
    <pivotTable tabId="6" name="PivotTable10"/>
    <pivotTable tabId="7" name="PivotTable11"/>
  </pivotTables>
  <data>
    <tabular pivotCacheId="259505634">
      <items count="4">
        <i x="1" s="1"/>
        <i x="0"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le" xr10:uid="{FAA306FF-CB8C-471A-9FA5-AE904BB645A3}" sourceName="Role">
  <pivotTables>
    <pivotTable tabId="1" name="PivotTable2"/>
    <pivotTable tabId="5" name="PivotTable9"/>
    <pivotTable tabId="6" name="PivotTable10"/>
    <pivotTable tabId="7" name="PivotTable11"/>
  </pivotTables>
  <data>
    <tabular pivotCacheId="259505634">
      <items count="3">
        <i x="1"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_Squad" xr10:uid="{D75A4EB8-3B4A-4984-AC77-A411065D0AD9}" sourceName="Status Squad">
  <pivotTables>
    <pivotTable tabId="1" name="PivotTable2"/>
    <pivotTable tabId="5" name="PivotTable9"/>
    <pivotTable tabId="6" name="PivotTable10"/>
    <pivotTable tabId="7" name="PivotTable11"/>
  </pivotTables>
  <data>
    <tabular pivotCacheId="259505634">
      <items count="7">
        <i x="5" s="1"/>
        <i x="3" s="1"/>
        <i x="6" s="1"/>
        <i x="4"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Kelompok" xr10:uid="{1DC6D2B1-9DF4-4AB5-BDD2-AE63EEEC94CB}" cache="Slicer_Sub_Kelompok" caption="Sub-Kelompok" columnCount="2" style="SlicerStyleDark1" rowHeight="234950"/>
  <slicer name="Grup" xr10:uid="{3FC4A8D3-47D9-4DF4-980C-301D492C922A}" cache="Slicer_Grup" caption="Grup" columnCount="2" style="SlicerStyleDark1" rowHeight="234950"/>
  <slicer name="Faction" xr10:uid="{613DCB35-1277-4E6F-B5A0-0A05D458C624}" cache="Slicer_Faction" caption="Faction" columnCount="2" style="SlicerStyleDark1" rowHeight="234950"/>
  <slicer name="Role" xr10:uid="{BD001BD4-3D01-48CB-9C46-CA1AE1B65983}" cache="Slicer_Role" caption="Role" columnCount="2" style="SlicerStyleDark1" rowHeight="234950"/>
  <slicer name="Status Squad" xr10:uid="{EA801A99-75E4-4145-B94A-211B835AD211}" cache="Slicer_Status_Squad" caption="Status Squad" columnCount="4" style="SlicerStyleDark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825128-30C4-4780-8E18-90B59F747E20}" name="OC" displayName="OC" ref="A1:U833" tableType="queryTable" totalsRowShown="0" headerRowDxfId="22" dataDxfId="21">
  <autoFilter ref="A1:U833" xr:uid="{61825128-30C4-4780-8E18-90B59F747E20}"/>
  <tableColumns count="21">
    <tableColumn id="1" xr3:uid="{20C011FD-602C-4237-A8C7-5BEBE07C9A51}" uniqueName="1" name="Nama Karakter" queryTableFieldId="1" dataDxfId="20"/>
    <tableColumn id="20" xr3:uid="{575EC1B8-F763-49E2-B6B0-7D665CB5196B}" uniqueName="20" name="Tanggal Lahir" queryTableFieldId="20" dataDxfId="19"/>
    <tableColumn id="4" xr3:uid="{D12D3C81-8F57-4F51-B906-CF664D561847}" uniqueName="4" name="Umur" queryTableFieldId="4" dataDxfId="18"/>
    <tableColumn id="5" xr3:uid="{10E195E8-EFC2-4D80-B252-14046FFEEB68}" uniqueName="5" name="Tinggi (cm)" queryTableFieldId="5" dataDxfId="17"/>
    <tableColumn id="6" xr3:uid="{334FE945-94D3-4319-984E-D59C4998F6BB}" uniqueName="6" name="Kategori Tinggi" queryTableFieldId="6" dataDxfId="16"/>
    <tableColumn id="2" xr3:uid="{DE0FCA79-AE31-4681-A61F-FECAD0F8072F}" uniqueName="2" name="MBTI" queryTableFieldId="2" dataDxfId="15"/>
    <tableColumn id="3" xr3:uid="{5E59787C-9BC0-40CD-ABAF-14DCE491CC1B}" uniqueName="3" name="Sub-Kelompok" queryTableFieldId="3" dataDxfId="14"/>
    <tableColumn id="7" xr3:uid="{0B68B93D-75C6-439F-A7B6-4C7B7DEF7582}" uniqueName="7" name="Grup" queryTableFieldId="7" dataDxfId="13"/>
    <tableColumn id="8" xr3:uid="{5F961F3B-259A-4CE4-9E12-F4574E4D78A8}" uniqueName="8" name="Role / Kekuatan Utama" queryTableFieldId="8" dataDxfId="12"/>
    <tableColumn id="9" xr3:uid="{B2CB8375-2431-4160-8D50-1984DB5F838D}" uniqueName="9" name="HP" queryTableFieldId="9" dataDxfId="11"/>
    <tableColumn id="10" xr3:uid="{F0D33F18-0630-44FA-B396-EB428A6E8369}" uniqueName="10" name="ATK" queryTableFieldId="10" dataDxfId="10"/>
    <tableColumn id="11" xr3:uid="{F3164B67-B1F8-416D-A365-98702749C033}" uniqueName="11" name="DEF" queryTableFieldId="11" dataDxfId="9"/>
    <tableColumn id="12" xr3:uid="{7DE5E0E0-BB94-4356-A26D-42070978937D}" uniqueName="12" name="SPD" queryTableFieldId="12" dataDxfId="8"/>
    <tableColumn id="13" xr3:uid="{6C452C9C-DB59-4E20-A8DF-A5AA38A88D5E}" uniqueName="13" name="Crit Rate" queryTableFieldId="13" dataDxfId="7" dataCellStyle="Percent"/>
    <tableColumn id="14" xr3:uid="{7EF47557-7620-4A37-92A0-CE8C13AEE600}" uniqueName="14" name="MP" queryTableFieldId="14" dataDxfId="6"/>
    <tableColumn id="15" xr3:uid="{43140B2C-783F-41D5-B5E4-4DBFC5B97BAD}" uniqueName="15" name="Win Rate" queryTableFieldId="15" dataDxfId="5" dataCellStyle="Percent"/>
    <tableColumn id="16" xr3:uid="{0B436DCA-4300-4D3B-9C27-6BC285BBA1C9}" uniqueName="16" name="Potensi Damage" queryTableFieldId="16" dataDxfId="4"/>
    <tableColumn id="17" xr3:uid="{D9EE6141-3F48-4FD1-B487-5F498DCB9EDC}" uniqueName="17" name="Faction" queryTableFieldId="17" dataDxfId="3"/>
    <tableColumn id="18" xr3:uid="{CBA5F09A-412A-4E94-8725-E53A45CC7845}" uniqueName="18" name="Total Stat" queryTableFieldId="18" dataDxfId="2"/>
    <tableColumn id="19" xr3:uid="{3A90F5A2-2236-42ED-A852-B600894A86F3}" uniqueName="19" name="Role" queryTableFieldId="19" dataDxfId="1"/>
    <tableColumn id="22" xr3:uid="{9569E4E6-F42B-472B-B9C4-9D1C0F393C78}" uniqueName="22" name="Status Squad" queryTableFieldId="2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C5AD8-3AA9-4CA7-B686-D5AD2976359F}">
  <dimension ref="A1"/>
  <sheetViews>
    <sheetView workbookViewId="0">
      <selection activeCell="A3" sqref="A3:D8"/>
    </sheetView>
  </sheetViews>
  <sheetFormatPr defaultRowHeight="14.4" x14ac:dyDescent="0.3"/>
  <cols>
    <col min="1" max="1" width="15.109375" bestFit="1" customWidth="1"/>
    <col min="2" max="2" width="10.77734375" bestFit="1" customWidth="1"/>
    <col min="3" max="3" width="10.5546875" bestFit="1" customWidth="1"/>
    <col min="4" max="4" width="10.77734375" bestFit="1" customWidth="1"/>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221AC-E613-461C-9EB4-84F8F0F5B644}">
  <dimension ref="A3:E8"/>
  <sheetViews>
    <sheetView workbookViewId="0">
      <selection activeCell="A3" sqref="A3"/>
    </sheetView>
  </sheetViews>
  <sheetFormatPr defaultRowHeight="14.4" x14ac:dyDescent="0.3"/>
  <cols>
    <col min="1" max="1" width="14.6640625" bestFit="1" customWidth="1"/>
    <col min="2" max="2" width="12.88671875" bestFit="1" customWidth="1"/>
    <col min="3" max="3" width="14" bestFit="1" customWidth="1"/>
    <col min="4" max="4" width="13.77734375" bestFit="1" customWidth="1"/>
    <col min="5" max="5" width="14" bestFit="1" customWidth="1"/>
  </cols>
  <sheetData>
    <row r="3" spans="1:5" x14ac:dyDescent="0.3">
      <c r="A3" s="3" t="s">
        <v>125</v>
      </c>
      <c r="B3" t="s">
        <v>128</v>
      </c>
      <c r="C3" t="s">
        <v>129</v>
      </c>
      <c r="D3" t="s">
        <v>130</v>
      </c>
      <c r="E3" t="s">
        <v>131</v>
      </c>
    </row>
    <row r="4" spans="1:5" x14ac:dyDescent="0.3">
      <c r="A4" s="4" t="s">
        <v>34</v>
      </c>
      <c r="B4" s="34">
        <v>81.445652173913047</v>
      </c>
      <c r="C4" s="34">
        <v>51.663043478260867</v>
      </c>
      <c r="D4" s="34">
        <v>46.326086956521742</v>
      </c>
      <c r="E4" s="34">
        <v>47.967391304347828</v>
      </c>
    </row>
    <row r="5" spans="1:5" x14ac:dyDescent="0.3">
      <c r="A5" s="4" t="s">
        <v>27</v>
      </c>
      <c r="B5" s="34">
        <v>78.134020618556704</v>
      </c>
      <c r="C5" s="34">
        <v>54.47422680412371</v>
      </c>
      <c r="D5" s="34">
        <v>57.360824742268044</v>
      </c>
      <c r="E5" s="34">
        <v>48.494845360824741</v>
      </c>
    </row>
    <row r="6" spans="1:5" x14ac:dyDescent="0.3">
      <c r="A6" s="4" t="s">
        <v>40</v>
      </c>
      <c r="B6" s="34">
        <v>83.010309278350519</v>
      </c>
      <c r="C6" s="34">
        <v>50.917525773195877</v>
      </c>
      <c r="D6" s="34">
        <v>51.226804123711339</v>
      </c>
      <c r="E6" s="34">
        <v>49.03092783505155</v>
      </c>
    </row>
    <row r="7" spans="1:5" x14ac:dyDescent="0.3">
      <c r="A7" s="4" t="s">
        <v>45</v>
      </c>
      <c r="B7" s="34">
        <v>79.009259259259252</v>
      </c>
      <c r="C7" s="34">
        <v>56.268518518518519</v>
      </c>
      <c r="D7" s="34">
        <v>57.444444444444443</v>
      </c>
      <c r="E7" s="34">
        <v>52.694444444444443</v>
      </c>
    </row>
    <row r="8" spans="1:5" x14ac:dyDescent="0.3">
      <c r="A8" s="4" t="s">
        <v>126</v>
      </c>
      <c r="B8" s="34">
        <v>80.347715736040612</v>
      </c>
      <c r="C8" s="34">
        <v>53.434010152284266</v>
      </c>
      <c r="D8" s="34">
        <v>53.296954314720814</v>
      </c>
      <c r="E8" s="34">
        <v>49.654822335025379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4877E-5557-4B52-B013-C60A3DA85468}">
  <dimension ref="A13:B18"/>
  <sheetViews>
    <sheetView workbookViewId="0">
      <selection activeCell="A13" sqref="A13"/>
    </sheetView>
  </sheetViews>
  <sheetFormatPr defaultRowHeight="14.4" x14ac:dyDescent="0.3"/>
  <cols>
    <col min="1" max="1" width="14.6640625" bestFit="1" customWidth="1"/>
    <col min="2" max="2" width="21.6640625" bestFit="1" customWidth="1"/>
    <col min="3" max="3" width="10.77734375" bestFit="1" customWidth="1"/>
    <col min="4" max="4" width="10.5546875" bestFit="1" customWidth="1"/>
    <col min="5" max="5" width="10.77734375" bestFit="1" customWidth="1"/>
  </cols>
  <sheetData>
    <row r="13" spans="1:2" x14ac:dyDescent="0.3">
      <c r="A13" s="3" t="s">
        <v>125</v>
      </c>
      <c r="B13" t="s">
        <v>124</v>
      </c>
    </row>
    <row r="14" spans="1:2" x14ac:dyDescent="0.3">
      <c r="A14" s="4" t="s">
        <v>34</v>
      </c>
      <c r="B14" s="34">
        <v>92</v>
      </c>
    </row>
    <row r="15" spans="1:2" x14ac:dyDescent="0.3">
      <c r="A15" s="4" t="s">
        <v>27</v>
      </c>
      <c r="B15" s="34">
        <v>97</v>
      </c>
    </row>
    <row r="16" spans="1:2" x14ac:dyDescent="0.3">
      <c r="A16" s="4" t="s">
        <v>40</v>
      </c>
      <c r="B16" s="34">
        <v>97</v>
      </c>
    </row>
    <row r="17" spans="1:2" x14ac:dyDescent="0.3">
      <c r="A17" s="4" t="s">
        <v>45</v>
      </c>
      <c r="B17" s="34">
        <v>108</v>
      </c>
    </row>
    <row r="18" spans="1:2" x14ac:dyDescent="0.3">
      <c r="A18" s="4" t="s">
        <v>126</v>
      </c>
      <c r="B18" s="34">
        <v>394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6FCD8-8B08-409B-804D-6458B9A95ABC}">
  <dimension ref="A3:B8"/>
  <sheetViews>
    <sheetView workbookViewId="0">
      <selection activeCell="B7" sqref="B7"/>
    </sheetView>
  </sheetViews>
  <sheetFormatPr defaultRowHeight="14.4" x14ac:dyDescent="0.3"/>
  <cols>
    <col min="1" max="1" width="14.6640625" bestFit="1" customWidth="1"/>
    <col min="2" max="2" width="18.33203125" bestFit="1" customWidth="1"/>
    <col min="3" max="3" width="15.109375" bestFit="1" customWidth="1"/>
  </cols>
  <sheetData>
    <row r="3" spans="1:2" x14ac:dyDescent="0.3">
      <c r="A3" s="3" t="s">
        <v>125</v>
      </c>
      <c r="B3" t="s">
        <v>127</v>
      </c>
    </row>
    <row r="4" spans="1:2" x14ac:dyDescent="0.3">
      <c r="A4" s="4" t="s">
        <v>34</v>
      </c>
      <c r="B4" s="34">
        <v>0.628616304347826</v>
      </c>
    </row>
    <row r="5" spans="1:2" x14ac:dyDescent="0.3">
      <c r="A5" s="4" t="s">
        <v>27</v>
      </c>
      <c r="B5" s="34">
        <v>0.61811649484536069</v>
      </c>
    </row>
    <row r="6" spans="1:2" x14ac:dyDescent="0.3">
      <c r="A6" s="4" t="s">
        <v>40</v>
      </c>
      <c r="B6" s="34">
        <v>0.61907525773195904</v>
      </c>
    </row>
    <row r="7" spans="1:2" x14ac:dyDescent="0.3">
      <c r="A7" s="4" t="s">
        <v>45</v>
      </c>
      <c r="B7" s="34">
        <v>0.63737870370370386</v>
      </c>
    </row>
    <row r="8" spans="1:2" x14ac:dyDescent="0.3">
      <c r="A8" s="4" t="s">
        <v>126</v>
      </c>
      <c r="B8" s="34">
        <v>0.62608426395939099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FCC5C-0895-4122-A2F8-73494597DB3C}">
  <dimension ref="A3:B11"/>
  <sheetViews>
    <sheetView workbookViewId="0">
      <selection activeCell="A3" sqref="A3"/>
    </sheetView>
  </sheetViews>
  <sheetFormatPr defaultRowHeight="14.4" x14ac:dyDescent="0.3"/>
  <cols>
    <col min="1" max="1" width="12.5546875" bestFit="1" customWidth="1"/>
    <col min="2" max="3" width="21.6640625" bestFit="1" customWidth="1"/>
  </cols>
  <sheetData>
    <row r="3" spans="1:2" x14ac:dyDescent="0.3">
      <c r="A3" s="3" t="s">
        <v>125</v>
      </c>
      <c r="B3" t="s">
        <v>124</v>
      </c>
    </row>
    <row r="4" spans="1:2" x14ac:dyDescent="0.3">
      <c r="A4" s="4" t="s">
        <v>102</v>
      </c>
      <c r="B4" s="34">
        <v>51</v>
      </c>
    </row>
    <row r="5" spans="1:2" x14ac:dyDescent="0.3">
      <c r="A5" s="4" t="s">
        <v>56</v>
      </c>
      <c r="B5" s="34">
        <v>53</v>
      </c>
    </row>
    <row r="6" spans="1:2" x14ac:dyDescent="0.3">
      <c r="A6" s="4" t="s">
        <v>113</v>
      </c>
      <c r="B6" s="34">
        <v>43</v>
      </c>
    </row>
    <row r="7" spans="1:2" x14ac:dyDescent="0.3">
      <c r="A7" s="4" t="s">
        <v>65</v>
      </c>
      <c r="B7" s="34">
        <v>60</v>
      </c>
    </row>
    <row r="8" spans="1:2" x14ac:dyDescent="0.3">
      <c r="A8" s="4" t="s">
        <v>36</v>
      </c>
      <c r="B8" s="34">
        <v>58</v>
      </c>
    </row>
    <row r="9" spans="1:2" x14ac:dyDescent="0.3">
      <c r="A9" s="4" t="s">
        <v>29</v>
      </c>
      <c r="B9" s="34">
        <v>67</v>
      </c>
    </row>
    <row r="10" spans="1:2" x14ac:dyDescent="0.3">
      <c r="A10" s="4" t="s">
        <v>47</v>
      </c>
      <c r="B10" s="34">
        <v>62</v>
      </c>
    </row>
    <row r="11" spans="1:2" x14ac:dyDescent="0.3">
      <c r="A11" s="4" t="s">
        <v>126</v>
      </c>
      <c r="B11" s="34">
        <v>394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A78B6-13E2-4242-A916-6E5AAC5811C5}">
  <dimension ref="A1:U833"/>
  <sheetViews>
    <sheetView zoomScale="102" workbookViewId="0">
      <selection activeCell="P13" sqref="P13"/>
    </sheetView>
  </sheetViews>
  <sheetFormatPr defaultRowHeight="14.4" x14ac:dyDescent="0.3"/>
  <cols>
    <col min="1" max="1" width="19.44140625" bestFit="1" customWidth="1"/>
    <col min="2" max="2" width="16.5546875" bestFit="1" customWidth="1"/>
    <col min="3" max="3" width="10.21875" bestFit="1" customWidth="1"/>
    <col min="4" max="4" width="14.77734375" bestFit="1" customWidth="1"/>
    <col min="5" max="5" width="18.21875" bestFit="1" customWidth="1"/>
    <col min="6" max="6" width="9.88671875" bestFit="1" customWidth="1"/>
    <col min="7" max="7" width="18" bestFit="1" customWidth="1"/>
    <col min="8" max="8" width="9.5546875" bestFit="1" customWidth="1"/>
    <col min="9" max="9" width="31.44140625" bestFit="1" customWidth="1"/>
    <col min="10" max="10" width="7.77734375" bestFit="1" customWidth="1"/>
    <col min="11" max="11" width="8.77734375" bestFit="1" customWidth="1"/>
    <col min="12" max="12" width="8.5546875" bestFit="1" customWidth="1"/>
    <col min="13" max="13" width="8.77734375" bestFit="1" customWidth="1"/>
    <col min="14" max="14" width="13" style="18" bestFit="1" customWidth="1"/>
    <col min="15" max="15" width="8.33203125" bestFit="1" customWidth="1"/>
    <col min="16" max="16" width="13.33203125" style="16" bestFit="1" customWidth="1"/>
    <col min="17" max="17" width="19.44140625" bestFit="1" customWidth="1"/>
    <col min="18" max="18" width="15.21875" bestFit="1" customWidth="1"/>
    <col min="19" max="19" width="13.6640625" bestFit="1" customWidth="1"/>
    <col min="20" max="20" width="9.21875" bestFit="1" customWidth="1"/>
    <col min="21" max="21" width="16.44140625" bestFit="1" customWidth="1"/>
    <col min="22" max="22" width="14.21875" bestFit="1" customWidth="1"/>
  </cols>
  <sheetData>
    <row r="1" spans="1:21" x14ac:dyDescent="0.3">
      <c r="A1" s="1" t="s">
        <v>0</v>
      </c>
      <c r="B1" s="1" t="s">
        <v>19</v>
      </c>
      <c r="C1" s="1" t="s">
        <v>3</v>
      </c>
      <c r="D1" s="1" t="s">
        <v>4</v>
      </c>
      <c r="E1" s="1" t="s">
        <v>5</v>
      </c>
      <c r="F1" s="1" t="s">
        <v>1</v>
      </c>
      <c r="G1" s="1" t="s">
        <v>2</v>
      </c>
      <c r="H1" s="1" t="s">
        <v>6</v>
      </c>
      <c r="I1" s="1" t="s">
        <v>7</v>
      </c>
      <c r="J1" s="1" t="s">
        <v>8</v>
      </c>
      <c r="K1" s="1" t="s">
        <v>9</v>
      </c>
      <c r="L1" s="1" t="s">
        <v>10</v>
      </c>
      <c r="M1" s="1" t="s">
        <v>11</v>
      </c>
      <c r="N1" s="17" t="s">
        <v>12</v>
      </c>
      <c r="O1" s="1" t="s">
        <v>13</v>
      </c>
      <c r="P1" s="15" t="s">
        <v>14</v>
      </c>
      <c r="Q1" s="1" t="s">
        <v>15</v>
      </c>
      <c r="R1" s="1" t="s">
        <v>16</v>
      </c>
      <c r="S1" s="1" t="s">
        <v>17</v>
      </c>
      <c r="T1" s="1" t="s">
        <v>18</v>
      </c>
      <c r="U1" s="1" t="s">
        <v>20</v>
      </c>
    </row>
    <row r="2" spans="1:21" x14ac:dyDescent="0.3">
      <c r="A2" s="1" t="s">
        <v>21</v>
      </c>
      <c r="B2" s="2">
        <v>37513</v>
      </c>
      <c r="C2" s="1">
        <v>23</v>
      </c>
      <c r="D2" s="1">
        <v>171</v>
      </c>
      <c r="E2" s="1" t="s">
        <v>24</v>
      </c>
      <c r="F2" s="1" t="s">
        <v>22</v>
      </c>
      <c r="G2" s="1" t="s">
        <v>23</v>
      </c>
      <c r="H2" s="1" t="s">
        <v>25</v>
      </c>
      <c r="I2" s="1" t="s">
        <v>26</v>
      </c>
      <c r="J2" s="1">
        <v>120</v>
      </c>
      <c r="K2" s="1">
        <v>85</v>
      </c>
      <c r="L2" s="1">
        <v>65</v>
      </c>
      <c r="M2" s="1">
        <v>70</v>
      </c>
      <c r="N2" s="17">
        <v>0.88</v>
      </c>
      <c r="O2" s="1">
        <v>310</v>
      </c>
      <c r="P2" s="15">
        <v>0.69</v>
      </c>
      <c r="Q2" s="1">
        <v>159.80000000000001</v>
      </c>
      <c r="R2" s="1" t="s">
        <v>27</v>
      </c>
      <c r="S2" s="1">
        <v>651.57000000000005</v>
      </c>
      <c r="T2" s="1" t="s">
        <v>28</v>
      </c>
      <c r="U2" s="1" t="s">
        <v>29</v>
      </c>
    </row>
    <row r="3" spans="1:21" x14ac:dyDescent="0.3">
      <c r="A3" s="1" t="s">
        <v>30</v>
      </c>
      <c r="B3" s="2">
        <v>37275</v>
      </c>
      <c r="C3" s="1">
        <v>23</v>
      </c>
      <c r="D3" s="1">
        <v>175</v>
      </c>
      <c r="E3" s="1" t="s">
        <v>32</v>
      </c>
      <c r="F3" s="1" t="s">
        <v>31</v>
      </c>
      <c r="G3" s="1" t="s">
        <v>23</v>
      </c>
      <c r="H3" s="1" t="s">
        <v>25</v>
      </c>
      <c r="I3" s="1" t="s">
        <v>33</v>
      </c>
      <c r="J3" s="1">
        <v>130</v>
      </c>
      <c r="K3" s="1">
        <v>90</v>
      </c>
      <c r="L3" s="1">
        <v>75</v>
      </c>
      <c r="M3" s="1">
        <v>60</v>
      </c>
      <c r="N3" s="17">
        <v>0.15</v>
      </c>
      <c r="O3" s="1">
        <v>330</v>
      </c>
      <c r="P3" s="15">
        <v>0.54</v>
      </c>
      <c r="Q3" s="1">
        <v>103.5</v>
      </c>
      <c r="R3" s="1" t="s">
        <v>34</v>
      </c>
      <c r="S3" s="1">
        <v>685.69</v>
      </c>
      <c r="T3" s="1" t="s">
        <v>35</v>
      </c>
      <c r="U3" s="1" t="s">
        <v>36</v>
      </c>
    </row>
    <row r="4" spans="1:21" x14ac:dyDescent="0.3">
      <c r="A4" s="1" t="s">
        <v>37</v>
      </c>
      <c r="B4" s="2">
        <v>37445</v>
      </c>
      <c r="C4" s="1">
        <v>23</v>
      </c>
      <c r="D4" s="1">
        <v>172</v>
      </c>
      <c r="E4" s="1" t="s">
        <v>24</v>
      </c>
      <c r="F4" s="1" t="s">
        <v>38</v>
      </c>
      <c r="G4" s="1" t="s">
        <v>23</v>
      </c>
      <c r="H4" s="1" t="s">
        <v>25</v>
      </c>
      <c r="I4" s="1" t="s">
        <v>39</v>
      </c>
      <c r="J4" s="1">
        <v>140</v>
      </c>
      <c r="K4" s="1">
        <v>88</v>
      </c>
      <c r="L4" s="1">
        <v>80</v>
      </c>
      <c r="M4" s="1">
        <v>65</v>
      </c>
      <c r="N4" s="17">
        <v>0.35</v>
      </c>
      <c r="O4" s="1">
        <v>200</v>
      </c>
      <c r="P4" s="15">
        <v>0.51</v>
      </c>
      <c r="Q4" s="1">
        <v>118.8</v>
      </c>
      <c r="R4" s="1" t="s">
        <v>40</v>
      </c>
      <c r="S4" s="1">
        <v>573.86</v>
      </c>
      <c r="T4" s="1" t="s">
        <v>35</v>
      </c>
      <c r="U4" s="1" t="s">
        <v>36</v>
      </c>
    </row>
    <row r="5" spans="1:21" x14ac:dyDescent="0.3">
      <c r="A5" s="1" t="s">
        <v>41</v>
      </c>
      <c r="B5" s="2">
        <v>37264</v>
      </c>
      <c r="C5" s="1">
        <v>23</v>
      </c>
      <c r="D5" s="1">
        <v>173</v>
      </c>
      <c r="E5" s="1" t="s">
        <v>24</v>
      </c>
      <c r="F5" s="1" t="s">
        <v>42</v>
      </c>
      <c r="G5" s="1" t="s">
        <v>43</v>
      </c>
      <c r="H5" s="1" t="s">
        <v>25</v>
      </c>
      <c r="I5" s="1" t="s">
        <v>44</v>
      </c>
      <c r="J5" s="1">
        <v>135</v>
      </c>
      <c r="K5" s="1">
        <v>65</v>
      </c>
      <c r="L5" s="1">
        <v>90</v>
      </c>
      <c r="M5" s="1">
        <v>55</v>
      </c>
      <c r="N5" s="17">
        <v>0.5</v>
      </c>
      <c r="O5" s="1">
        <v>300</v>
      </c>
      <c r="P5" s="15">
        <v>0.74</v>
      </c>
      <c r="Q5" s="1">
        <v>97.5</v>
      </c>
      <c r="R5" s="1" t="s">
        <v>45</v>
      </c>
      <c r="S5" s="1">
        <v>646.24</v>
      </c>
      <c r="T5" s="1" t="s">
        <v>46</v>
      </c>
      <c r="U5" s="1" t="s">
        <v>47</v>
      </c>
    </row>
    <row r="6" spans="1:21" x14ac:dyDescent="0.3">
      <c r="A6" s="1" t="s">
        <v>48</v>
      </c>
      <c r="B6" s="2">
        <v>37618</v>
      </c>
      <c r="C6" s="1">
        <v>23</v>
      </c>
      <c r="D6" s="1">
        <v>169</v>
      </c>
      <c r="E6" s="1" t="s">
        <v>24</v>
      </c>
      <c r="F6" s="1" t="s">
        <v>49</v>
      </c>
      <c r="G6" s="1" t="s">
        <v>43</v>
      </c>
      <c r="H6" s="1" t="s">
        <v>25</v>
      </c>
      <c r="I6" s="1" t="s">
        <v>50</v>
      </c>
      <c r="J6" s="1">
        <v>145</v>
      </c>
      <c r="K6" s="1">
        <v>80</v>
      </c>
      <c r="L6" s="1">
        <v>85</v>
      </c>
      <c r="M6" s="1">
        <v>50</v>
      </c>
      <c r="N6" s="17">
        <v>0.25</v>
      </c>
      <c r="O6" s="1">
        <v>300</v>
      </c>
      <c r="P6" s="15">
        <v>0.7</v>
      </c>
      <c r="Q6" s="1">
        <v>100</v>
      </c>
      <c r="R6" s="1" t="s">
        <v>45</v>
      </c>
      <c r="S6" s="1">
        <v>660.95</v>
      </c>
      <c r="T6" s="1" t="s">
        <v>28</v>
      </c>
      <c r="U6" s="1" t="s">
        <v>47</v>
      </c>
    </row>
    <row r="7" spans="1:21" x14ac:dyDescent="0.3">
      <c r="A7" s="1" t="s">
        <v>51</v>
      </c>
      <c r="B7" s="2">
        <v>37289</v>
      </c>
      <c r="C7" s="1">
        <v>23</v>
      </c>
      <c r="D7" s="1">
        <v>180</v>
      </c>
      <c r="E7" s="1" t="s">
        <v>32</v>
      </c>
      <c r="F7" s="1" t="s">
        <v>52</v>
      </c>
      <c r="G7" s="1" t="s">
        <v>53</v>
      </c>
      <c r="H7" s="1" t="s">
        <v>54</v>
      </c>
      <c r="I7" s="1" t="s">
        <v>55</v>
      </c>
      <c r="J7" s="1">
        <v>120</v>
      </c>
      <c r="K7" s="1">
        <v>84</v>
      </c>
      <c r="L7" s="1">
        <v>65</v>
      </c>
      <c r="M7" s="1">
        <v>88</v>
      </c>
      <c r="N7" s="17">
        <v>0.45</v>
      </c>
      <c r="O7" s="1">
        <v>180</v>
      </c>
      <c r="P7" s="15">
        <v>0.55000000000000004</v>
      </c>
      <c r="Q7" s="1">
        <v>121.8</v>
      </c>
      <c r="R7" s="1" t="s">
        <v>34</v>
      </c>
      <c r="S7" s="1">
        <v>538</v>
      </c>
      <c r="T7" s="1" t="s">
        <v>28</v>
      </c>
      <c r="U7" s="1" t="s">
        <v>56</v>
      </c>
    </row>
    <row r="8" spans="1:21" x14ac:dyDescent="0.3">
      <c r="A8" s="1" t="s">
        <v>57</v>
      </c>
      <c r="B8" s="2">
        <v>37339</v>
      </c>
      <c r="C8" s="1">
        <v>23</v>
      </c>
      <c r="D8" s="1">
        <v>175</v>
      </c>
      <c r="E8" s="1" t="s">
        <v>32</v>
      </c>
      <c r="F8" s="1" t="s">
        <v>38</v>
      </c>
      <c r="G8" s="1" t="s">
        <v>23</v>
      </c>
      <c r="H8" s="1" t="s">
        <v>54</v>
      </c>
      <c r="I8" s="1" t="s">
        <v>58</v>
      </c>
      <c r="J8" s="1">
        <v>135</v>
      </c>
      <c r="K8" s="1">
        <v>88</v>
      </c>
      <c r="L8" s="1">
        <v>80</v>
      </c>
      <c r="M8" s="1">
        <v>62</v>
      </c>
      <c r="N8" s="17">
        <v>0.62</v>
      </c>
      <c r="O8" s="1">
        <v>270</v>
      </c>
      <c r="P8" s="15">
        <v>0.67</v>
      </c>
      <c r="Q8" s="1">
        <v>142.56</v>
      </c>
      <c r="R8" s="1" t="s">
        <v>27</v>
      </c>
      <c r="S8" s="1">
        <v>636.29</v>
      </c>
      <c r="T8" s="1" t="s">
        <v>35</v>
      </c>
      <c r="U8" s="1" t="s">
        <v>36</v>
      </c>
    </row>
    <row r="9" spans="1:21" x14ac:dyDescent="0.3">
      <c r="A9" s="1" t="s">
        <v>59</v>
      </c>
      <c r="B9" s="2">
        <v>37374</v>
      </c>
      <c r="C9" s="1">
        <v>23</v>
      </c>
      <c r="D9" s="1">
        <v>178</v>
      </c>
      <c r="E9" s="1" t="s">
        <v>32</v>
      </c>
      <c r="F9" s="1" t="s">
        <v>31</v>
      </c>
      <c r="G9" s="1" t="s">
        <v>23</v>
      </c>
      <c r="H9" s="1" t="s">
        <v>54</v>
      </c>
      <c r="I9" s="1" t="s">
        <v>60</v>
      </c>
      <c r="J9" s="1">
        <v>122</v>
      </c>
      <c r="K9" s="1">
        <v>80</v>
      </c>
      <c r="L9" s="1">
        <v>75</v>
      </c>
      <c r="M9" s="1">
        <v>70</v>
      </c>
      <c r="N9" s="17">
        <v>0.85</v>
      </c>
      <c r="O9" s="1">
        <v>120</v>
      </c>
      <c r="P9" s="15">
        <v>0.68</v>
      </c>
      <c r="Q9" s="1">
        <v>148</v>
      </c>
      <c r="R9" s="1" t="s">
        <v>27</v>
      </c>
      <c r="S9" s="1">
        <v>468.53</v>
      </c>
      <c r="T9" s="1" t="s">
        <v>28</v>
      </c>
      <c r="U9" s="1" t="s">
        <v>29</v>
      </c>
    </row>
    <row r="10" spans="1:21" x14ac:dyDescent="0.3">
      <c r="A10" s="1" t="s">
        <v>61</v>
      </c>
      <c r="B10" s="2">
        <v>37273</v>
      </c>
      <c r="C10" s="1">
        <v>23</v>
      </c>
      <c r="D10" s="1">
        <v>176</v>
      </c>
      <c r="E10" s="1" t="s">
        <v>32</v>
      </c>
      <c r="F10" s="1" t="s">
        <v>62</v>
      </c>
      <c r="G10" s="1" t="s">
        <v>63</v>
      </c>
      <c r="H10" s="1" t="s">
        <v>54</v>
      </c>
      <c r="I10" s="1" t="s">
        <v>64</v>
      </c>
      <c r="J10" s="1">
        <v>110</v>
      </c>
      <c r="K10" s="1">
        <v>70</v>
      </c>
      <c r="L10" s="1">
        <v>70</v>
      </c>
      <c r="M10" s="1">
        <v>65</v>
      </c>
      <c r="N10" s="17">
        <v>0.72</v>
      </c>
      <c r="O10" s="1">
        <v>290</v>
      </c>
      <c r="P10" s="15">
        <v>0.61</v>
      </c>
      <c r="Q10" s="1">
        <v>120.4</v>
      </c>
      <c r="R10" s="1" t="s">
        <v>27</v>
      </c>
      <c r="S10" s="1">
        <v>606.33000000000004</v>
      </c>
      <c r="T10" s="1" t="s">
        <v>46</v>
      </c>
      <c r="U10" s="1" t="s">
        <v>65</v>
      </c>
    </row>
    <row r="11" spans="1:21" x14ac:dyDescent="0.3">
      <c r="A11" s="1" t="s">
        <v>66</v>
      </c>
      <c r="B11" s="2">
        <v>37377</v>
      </c>
      <c r="C11" s="1">
        <v>23</v>
      </c>
      <c r="D11" s="1">
        <v>175</v>
      </c>
      <c r="E11" s="1" t="s">
        <v>32</v>
      </c>
      <c r="F11" s="1" t="s">
        <v>49</v>
      </c>
      <c r="G11" s="1" t="s">
        <v>43</v>
      </c>
      <c r="H11" s="1" t="s">
        <v>54</v>
      </c>
      <c r="I11" s="1" t="s">
        <v>67</v>
      </c>
      <c r="J11" s="1">
        <v>138</v>
      </c>
      <c r="K11" s="1">
        <v>82</v>
      </c>
      <c r="L11" s="1">
        <v>82</v>
      </c>
      <c r="M11" s="1">
        <v>58</v>
      </c>
      <c r="N11" s="17">
        <v>0.3</v>
      </c>
      <c r="O11" s="1">
        <v>350</v>
      </c>
      <c r="P11" s="15">
        <v>0.6</v>
      </c>
      <c r="Q11" s="1">
        <v>106.6</v>
      </c>
      <c r="R11" s="1" t="s">
        <v>27</v>
      </c>
      <c r="S11" s="1">
        <v>710.9</v>
      </c>
      <c r="T11" s="1" t="s">
        <v>28</v>
      </c>
      <c r="U11" s="1" t="s">
        <v>47</v>
      </c>
    </row>
    <row r="12" spans="1:21" x14ac:dyDescent="0.3">
      <c r="A12" s="1" t="s">
        <v>68</v>
      </c>
      <c r="B12" s="2">
        <v>37414</v>
      </c>
      <c r="C12" s="1">
        <v>23</v>
      </c>
      <c r="D12" s="1">
        <v>178</v>
      </c>
      <c r="E12" s="1" t="s">
        <v>32</v>
      </c>
      <c r="F12" s="1" t="s">
        <v>69</v>
      </c>
      <c r="G12" s="1" t="s">
        <v>43</v>
      </c>
      <c r="H12" s="1" t="s">
        <v>54</v>
      </c>
      <c r="I12" s="1" t="s">
        <v>70</v>
      </c>
      <c r="J12" s="1">
        <v>132</v>
      </c>
      <c r="K12" s="1">
        <v>60</v>
      </c>
      <c r="L12" s="1">
        <v>80</v>
      </c>
      <c r="M12" s="1">
        <v>60</v>
      </c>
      <c r="N12" s="17">
        <v>0.3</v>
      </c>
      <c r="O12" s="1">
        <v>280</v>
      </c>
      <c r="P12" s="15">
        <v>0.57999999999999996</v>
      </c>
      <c r="Q12" s="1">
        <v>78</v>
      </c>
      <c r="R12" s="1" t="s">
        <v>40</v>
      </c>
      <c r="S12" s="1">
        <v>612.88</v>
      </c>
      <c r="T12" s="1" t="s">
        <v>46</v>
      </c>
      <c r="U12" s="1" t="s">
        <v>47</v>
      </c>
    </row>
    <row r="13" spans="1:21" x14ac:dyDescent="0.3">
      <c r="A13" s="1" t="s">
        <v>71</v>
      </c>
      <c r="B13" s="2">
        <v>37668</v>
      </c>
      <c r="C13" s="1">
        <v>22</v>
      </c>
      <c r="D13" s="1">
        <v>173</v>
      </c>
      <c r="E13" s="1" t="s">
        <v>24</v>
      </c>
      <c r="F13" s="1" t="s">
        <v>72</v>
      </c>
      <c r="G13" s="1" t="s">
        <v>53</v>
      </c>
      <c r="H13" s="1" t="s">
        <v>25</v>
      </c>
      <c r="I13" s="1" t="s">
        <v>73</v>
      </c>
      <c r="J13" s="1">
        <v>110</v>
      </c>
      <c r="K13" s="1">
        <v>98</v>
      </c>
      <c r="L13" s="1">
        <v>82</v>
      </c>
      <c r="M13" s="1">
        <v>95</v>
      </c>
      <c r="N13" s="17">
        <v>0.43</v>
      </c>
      <c r="O13" s="1">
        <v>340</v>
      </c>
      <c r="P13" s="15">
        <v>0.91</v>
      </c>
      <c r="Q13" s="1">
        <v>140.13999999999999</v>
      </c>
      <c r="R13" s="1" t="s">
        <v>27</v>
      </c>
      <c r="S13" s="1">
        <v>726.34</v>
      </c>
      <c r="T13" s="1" t="s">
        <v>35</v>
      </c>
      <c r="U13" s="1" t="s">
        <v>36</v>
      </c>
    </row>
    <row r="14" spans="1:21" x14ac:dyDescent="0.3">
      <c r="A14" s="1" t="s">
        <v>74</v>
      </c>
      <c r="B14" s="2">
        <v>37710</v>
      </c>
      <c r="C14" s="1">
        <v>22</v>
      </c>
      <c r="D14" s="1">
        <v>165</v>
      </c>
      <c r="E14" s="1" t="s">
        <v>76</v>
      </c>
      <c r="F14" s="1" t="s">
        <v>75</v>
      </c>
      <c r="G14" s="1" t="s">
        <v>53</v>
      </c>
      <c r="H14" s="1" t="s">
        <v>25</v>
      </c>
      <c r="I14" s="1" t="s">
        <v>77</v>
      </c>
      <c r="J14" s="1">
        <v>105</v>
      </c>
      <c r="K14" s="1">
        <v>80</v>
      </c>
      <c r="L14" s="1">
        <v>50</v>
      </c>
      <c r="M14" s="1">
        <v>90</v>
      </c>
      <c r="N14" s="17">
        <v>0.42</v>
      </c>
      <c r="O14" s="1">
        <v>330</v>
      </c>
      <c r="P14" s="15">
        <v>0.5</v>
      </c>
      <c r="Q14" s="1">
        <v>113.6</v>
      </c>
      <c r="R14" s="1" t="s">
        <v>40</v>
      </c>
      <c r="S14" s="1">
        <v>655.92</v>
      </c>
      <c r="T14" s="1" t="s">
        <v>28</v>
      </c>
      <c r="U14" s="1" t="s">
        <v>56</v>
      </c>
    </row>
    <row r="15" spans="1:21" x14ac:dyDescent="0.3">
      <c r="A15" s="1" t="s">
        <v>78</v>
      </c>
      <c r="B15" s="2">
        <v>37686</v>
      </c>
      <c r="C15" s="1">
        <v>22</v>
      </c>
      <c r="D15" s="1">
        <v>168</v>
      </c>
      <c r="E15" s="1" t="s">
        <v>24</v>
      </c>
      <c r="F15" s="1" t="s">
        <v>79</v>
      </c>
      <c r="G15" s="1" t="s">
        <v>43</v>
      </c>
      <c r="H15" s="1" t="s">
        <v>25</v>
      </c>
      <c r="I15" s="1" t="s">
        <v>80</v>
      </c>
      <c r="J15" s="1">
        <v>150</v>
      </c>
      <c r="K15" s="1">
        <v>55</v>
      </c>
      <c r="L15" s="1">
        <v>95</v>
      </c>
      <c r="M15" s="1">
        <v>45</v>
      </c>
      <c r="N15" s="17">
        <v>0.68</v>
      </c>
      <c r="O15" s="1">
        <v>140</v>
      </c>
      <c r="P15" s="15">
        <v>0.64</v>
      </c>
      <c r="Q15" s="1">
        <v>92.4</v>
      </c>
      <c r="R15" s="1" t="s">
        <v>45</v>
      </c>
      <c r="S15" s="1">
        <v>486.32</v>
      </c>
      <c r="T15" s="1" t="s">
        <v>46</v>
      </c>
      <c r="U15" s="1" t="s">
        <v>47</v>
      </c>
    </row>
    <row r="16" spans="1:21" x14ac:dyDescent="0.3">
      <c r="A16" s="1" t="s">
        <v>81</v>
      </c>
      <c r="B16" s="2">
        <v>37866</v>
      </c>
      <c r="C16" s="1">
        <v>22</v>
      </c>
      <c r="D16" s="1">
        <v>167</v>
      </c>
      <c r="E16" s="1" t="s">
        <v>76</v>
      </c>
      <c r="F16" s="1" t="s">
        <v>69</v>
      </c>
      <c r="G16" s="1" t="s">
        <v>43</v>
      </c>
      <c r="H16" s="1" t="s">
        <v>25</v>
      </c>
      <c r="I16" s="1" t="s">
        <v>82</v>
      </c>
      <c r="J16" s="1">
        <v>120</v>
      </c>
      <c r="K16" s="1">
        <v>78</v>
      </c>
      <c r="L16" s="1">
        <v>70</v>
      </c>
      <c r="M16" s="1">
        <v>75</v>
      </c>
      <c r="N16" s="17">
        <v>0.25</v>
      </c>
      <c r="O16" s="1">
        <v>280</v>
      </c>
      <c r="P16" s="15">
        <v>0.52</v>
      </c>
      <c r="Q16" s="1">
        <v>97.5</v>
      </c>
      <c r="R16" s="1" t="s">
        <v>45</v>
      </c>
      <c r="S16" s="1">
        <v>623.77</v>
      </c>
      <c r="T16" s="1" t="s">
        <v>28</v>
      </c>
      <c r="U16" s="1" t="s">
        <v>65</v>
      </c>
    </row>
    <row r="17" spans="1:21" x14ac:dyDescent="0.3">
      <c r="A17" s="1" t="s">
        <v>83</v>
      </c>
      <c r="B17" s="2">
        <v>37732</v>
      </c>
      <c r="C17" s="1">
        <v>22</v>
      </c>
      <c r="D17" s="1">
        <v>169</v>
      </c>
      <c r="E17" s="1" t="s">
        <v>24</v>
      </c>
      <c r="F17" s="1" t="s">
        <v>84</v>
      </c>
      <c r="G17" s="1" t="s">
        <v>63</v>
      </c>
      <c r="H17" s="1" t="s">
        <v>25</v>
      </c>
      <c r="I17" s="1" t="s">
        <v>85</v>
      </c>
      <c r="J17" s="1">
        <v>125</v>
      </c>
      <c r="K17" s="1">
        <v>72</v>
      </c>
      <c r="L17" s="1">
        <v>75</v>
      </c>
      <c r="M17" s="1">
        <v>70</v>
      </c>
      <c r="N17" s="17">
        <v>0.4</v>
      </c>
      <c r="O17" s="1">
        <v>150</v>
      </c>
      <c r="P17" s="15">
        <v>0.66</v>
      </c>
      <c r="Q17" s="1">
        <v>100.8</v>
      </c>
      <c r="R17" s="1" t="s">
        <v>45</v>
      </c>
      <c r="S17" s="1">
        <v>493.06</v>
      </c>
      <c r="T17" s="1" t="s">
        <v>46</v>
      </c>
      <c r="U17" s="1" t="s">
        <v>65</v>
      </c>
    </row>
    <row r="18" spans="1:21" x14ac:dyDescent="0.3">
      <c r="A18" s="1" t="s">
        <v>86</v>
      </c>
      <c r="B18" s="2">
        <v>37692</v>
      </c>
      <c r="C18" s="1">
        <v>22</v>
      </c>
      <c r="D18" s="1">
        <v>165</v>
      </c>
      <c r="E18" s="1" t="s">
        <v>76</v>
      </c>
      <c r="F18" s="1" t="s">
        <v>87</v>
      </c>
      <c r="G18" s="1" t="s">
        <v>63</v>
      </c>
      <c r="H18" s="1" t="s">
        <v>25</v>
      </c>
      <c r="I18" s="1" t="s">
        <v>88</v>
      </c>
      <c r="J18" s="1">
        <v>105</v>
      </c>
      <c r="K18" s="1">
        <v>88</v>
      </c>
      <c r="L18" s="1">
        <v>55</v>
      </c>
      <c r="M18" s="1">
        <v>75</v>
      </c>
      <c r="N18" s="17">
        <v>0.55000000000000004</v>
      </c>
      <c r="O18" s="1">
        <v>160</v>
      </c>
      <c r="P18" s="15">
        <v>0.57999999999999996</v>
      </c>
      <c r="Q18" s="1">
        <v>136.4</v>
      </c>
      <c r="R18" s="1" t="s">
        <v>40</v>
      </c>
      <c r="S18" s="1">
        <v>484.13</v>
      </c>
      <c r="T18" s="1" t="s">
        <v>35</v>
      </c>
      <c r="U18" s="1" t="s">
        <v>36</v>
      </c>
    </row>
    <row r="19" spans="1:21" x14ac:dyDescent="0.3">
      <c r="A19" s="1" t="s">
        <v>89</v>
      </c>
      <c r="B19" s="2">
        <v>37854</v>
      </c>
      <c r="C19" s="1">
        <v>22</v>
      </c>
      <c r="D19" s="1">
        <v>184</v>
      </c>
      <c r="E19" s="1" t="s">
        <v>32</v>
      </c>
      <c r="F19" s="1" t="s">
        <v>72</v>
      </c>
      <c r="G19" s="1" t="s">
        <v>53</v>
      </c>
      <c r="H19" s="1" t="s">
        <v>54</v>
      </c>
      <c r="I19" s="1" t="s">
        <v>90</v>
      </c>
      <c r="J19" s="1">
        <v>130</v>
      </c>
      <c r="K19" s="1">
        <v>95</v>
      </c>
      <c r="L19" s="1">
        <v>85</v>
      </c>
      <c r="M19" s="1">
        <v>87</v>
      </c>
      <c r="N19" s="17">
        <v>0.75</v>
      </c>
      <c r="O19" s="1">
        <v>350</v>
      </c>
      <c r="P19" s="15">
        <v>0.62</v>
      </c>
      <c r="Q19" s="1">
        <v>166.25</v>
      </c>
      <c r="R19" s="1" t="s">
        <v>27</v>
      </c>
      <c r="S19" s="1">
        <v>748.37</v>
      </c>
      <c r="T19" s="1" t="s">
        <v>35</v>
      </c>
      <c r="U19" s="1" t="s">
        <v>36</v>
      </c>
    </row>
    <row r="20" spans="1:21" x14ac:dyDescent="0.3">
      <c r="A20" s="1" t="s">
        <v>91</v>
      </c>
      <c r="B20" s="2">
        <v>37650</v>
      </c>
      <c r="C20" s="1">
        <v>22</v>
      </c>
      <c r="D20" s="1">
        <v>173</v>
      </c>
      <c r="E20" s="1" t="s">
        <v>24</v>
      </c>
      <c r="F20" s="1" t="s">
        <v>22</v>
      </c>
      <c r="G20" s="1" t="s">
        <v>23</v>
      </c>
      <c r="H20" s="1" t="s">
        <v>54</v>
      </c>
      <c r="I20" s="1" t="s">
        <v>92</v>
      </c>
      <c r="J20" s="1">
        <v>112</v>
      </c>
      <c r="K20" s="1">
        <v>92</v>
      </c>
      <c r="L20" s="1">
        <v>58</v>
      </c>
      <c r="M20" s="1">
        <v>68</v>
      </c>
      <c r="N20" s="17">
        <v>0.5</v>
      </c>
      <c r="O20" s="1">
        <v>210</v>
      </c>
      <c r="P20" s="15">
        <v>0.63</v>
      </c>
      <c r="Q20" s="1">
        <v>138</v>
      </c>
      <c r="R20" s="1" t="s">
        <v>34</v>
      </c>
      <c r="S20" s="1">
        <v>541.13</v>
      </c>
      <c r="T20" s="1" t="s">
        <v>35</v>
      </c>
      <c r="U20" s="1" t="s">
        <v>36</v>
      </c>
    </row>
    <row r="21" spans="1:21" x14ac:dyDescent="0.3">
      <c r="A21" s="1" t="s">
        <v>93</v>
      </c>
      <c r="B21" s="2">
        <v>37757</v>
      </c>
      <c r="C21" s="1">
        <v>22</v>
      </c>
      <c r="D21" s="1">
        <v>181</v>
      </c>
      <c r="E21" s="1" t="s">
        <v>32</v>
      </c>
      <c r="F21" s="1" t="s">
        <v>84</v>
      </c>
      <c r="G21" s="1" t="s">
        <v>63</v>
      </c>
      <c r="H21" s="1" t="s">
        <v>54</v>
      </c>
      <c r="I21" s="1" t="s">
        <v>94</v>
      </c>
      <c r="J21" s="1">
        <v>140</v>
      </c>
      <c r="K21" s="1">
        <v>65</v>
      </c>
      <c r="L21" s="1">
        <v>85</v>
      </c>
      <c r="M21" s="1">
        <v>55</v>
      </c>
      <c r="N21" s="17">
        <v>0.55000000000000004</v>
      </c>
      <c r="O21" s="1">
        <v>240</v>
      </c>
      <c r="P21" s="15">
        <v>0.72</v>
      </c>
      <c r="Q21" s="1">
        <v>100.75</v>
      </c>
      <c r="R21" s="1" t="s">
        <v>45</v>
      </c>
      <c r="S21" s="1">
        <v>586.27</v>
      </c>
      <c r="T21" s="1" t="s">
        <v>46</v>
      </c>
      <c r="U21" s="1" t="s">
        <v>47</v>
      </c>
    </row>
    <row r="22" spans="1:21" x14ac:dyDescent="0.3">
      <c r="A22" s="1" t="s">
        <v>95</v>
      </c>
      <c r="B22" s="2">
        <v>37684</v>
      </c>
      <c r="C22" s="1">
        <v>22</v>
      </c>
      <c r="D22" s="1">
        <v>179</v>
      </c>
      <c r="E22" s="1" t="s">
        <v>32</v>
      </c>
      <c r="F22" s="1" t="s">
        <v>42</v>
      </c>
      <c r="G22" s="1" t="s">
        <v>43</v>
      </c>
      <c r="H22" s="1" t="s">
        <v>54</v>
      </c>
      <c r="I22" s="1" t="s">
        <v>96</v>
      </c>
      <c r="J22" s="1">
        <v>128</v>
      </c>
      <c r="K22" s="1">
        <v>80</v>
      </c>
      <c r="L22" s="1">
        <v>78</v>
      </c>
      <c r="M22" s="1">
        <v>64</v>
      </c>
      <c r="N22" s="17">
        <v>0.9</v>
      </c>
      <c r="O22" s="1">
        <v>90</v>
      </c>
      <c r="P22" s="15">
        <v>0.81</v>
      </c>
      <c r="Q22" s="1">
        <v>152</v>
      </c>
      <c r="R22" s="1" t="s">
        <v>34</v>
      </c>
      <c r="S22" s="1">
        <v>441.71</v>
      </c>
      <c r="T22" s="1" t="s">
        <v>28</v>
      </c>
      <c r="U22" s="1" t="s">
        <v>65</v>
      </c>
    </row>
    <row r="23" spans="1:21" x14ac:dyDescent="0.3">
      <c r="A23" s="1" t="s">
        <v>97</v>
      </c>
      <c r="B23" s="2">
        <v>38149</v>
      </c>
      <c r="C23" s="1">
        <v>21</v>
      </c>
      <c r="D23" s="1">
        <v>168</v>
      </c>
      <c r="E23" s="1" t="s">
        <v>24</v>
      </c>
      <c r="F23" s="1" t="s">
        <v>98</v>
      </c>
      <c r="G23" s="1" t="s">
        <v>23</v>
      </c>
      <c r="H23" s="1" t="s">
        <v>25</v>
      </c>
      <c r="I23" s="1" t="s">
        <v>99</v>
      </c>
      <c r="J23" s="1">
        <v>115</v>
      </c>
      <c r="K23" s="1">
        <v>75</v>
      </c>
      <c r="L23" s="1">
        <v>70</v>
      </c>
      <c r="M23" s="1">
        <v>85</v>
      </c>
      <c r="N23" s="17">
        <v>0.4</v>
      </c>
      <c r="O23" s="1">
        <v>260</v>
      </c>
      <c r="P23" s="15">
        <v>0.75</v>
      </c>
      <c r="Q23" s="1">
        <v>105</v>
      </c>
      <c r="R23" s="1" t="s">
        <v>34</v>
      </c>
      <c r="S23" s="1">
        <v>606.15</v>
      </c>
      <c r="T23" s="1" t="s">
        <v>28</v>
      </c>
      <c r="U23" s="1" t="s">
        <v>29</v>
      </c>
    </row>
    <row r="24" spans="1:21" x14ac:dyDescent="0.3">
      <c r="A24" s="1" t="s">
        <v>100</v>
      </c>
      <c r="B24" s="2">
        <v>38198</v>
      </c>
      <c r="C24" s="1">
        <v>21</v>
      </c>
      <c r="D24" s="1">
        <v>171</v>
      </c>
      <c r="E24" s="1" t="s">
        <v>24</v>
      </c>
      <c r="F24" s="1" t="s">
        <v>52</v>
      </c>
      <c r="G24" s="1" t="s">
        <v>53</v>
      </c>
      <c r="H24" s="1" t="s">
        <v>25</v>
      </c>
      <c r="I24" s="1" t="s">
        <v>101</v>
      </c>
      <c r="J24" s="1">
        <v>125</v>
      </c>
      <c r="K24" s="1">
        <v>87</v>
      </c>
      <c r="L24" s="1">
        <v>65</v>
      </c>
      <c r="M24" s="1">
        <v>80</v>
      </c>
      <c r="N24" s="17">
        <v>0.57999999999999996</v>
      </c>
      <c r="O24" s="1">
        <v>190</v>
      </c>
      <c r="P24" s="15">
        <v>0.56000000000000005</v>
      </c>
      <c r="Q24" s="1">
        <v>137.46</v>
      </c>
      <c r="R24" s="1" t="s">
        <v>34</v>
      </c>
      <c r="S24" s="1">
        <v>548.14</v>
      </c>
      <c r="T24" s="1" t="s">
        <v>28</v>
      </c>
      <c r="U24" s="1" t="s">
        <v>102</v>
      </c>
    </row>
    <row r="25" spans="1:21" x14ac:dyDescent="0.3">
      <c r="A25" s="1" t="s">
        <v>103</v>
      </c>
      <c r="B25" s="2">
        <v>38182</v>
      </c>
      <c r="C25" s="1">
        <v>21</v>
      </c>
      <c r="D25" s="1">
        <v>167</v>
      </c>
      <c r="E25" s="1" t="s">
        <v>76</v>
      </c>
      <c r="F25" s="1" t="s">
        <v>104</v>
      </c>
      <c r="G25" s="1" t="s">
        <v>53</v>
      </c>
      <c r="H25" s="1" t="s">
        <v>25</v>
      </c>
      <c r="I25" s="1" t="s">
        <v>105</v>
      </c>
      <c r="J25" s="1">
        <v>115</v>
      </c>
      <c r="K25" s="1">
        <v>70</v>
      </c>
      <c r="L25" s="1">
        <v>55</v>
      </c>
      <c r="M25" s="1">
        <v>85</v>
      </c>
      <c r="N25" s="17">
        <v>0.48</v>
      </c>
      <c r="O25" s="1">
        <v>220</v>
      </c>
      <c r="P25" s="15">
        <v>0.61</v>
      </c>
      <c r="Q25" s="1">
        <v>103.6</v>
      </c>
      <c r="R25" s="1" t="s">
        <v>45</v>
      </c>
      <c r="S25" s="1">
        <v>546.09</v>
      </c>
      <c r="T25" s="1" t="s">
        <v>46</v>
      </c>
      <c r="U25" s="1" t="s">
        <v>56</v>
      </c>
    </row>
    <row r="26" spans="1:21" x14ac:dyDescent="0.3">
      <c r="A26" s="1" t="s">
        <v>106</v>
      </c>
      <c r="B26" s="2">
        <v>38044</v>
      </c>
      <c r="C26" s="1">
        <v>21</v>
      </c>
      <c r="D26" s="1">
        <v>166</v>
      </c>
      <c r="E26" s="1" t="s">
        <v>76</v>
      </c>
      <c r="F26" s="1" t="s">
        <v>62</v>
      </c>
      <c r="G26" s="1" t="s">
        <v>63</v>
      </c>
      <c r="H26" s="1" t="s">
        <v>25</v>
      </c>
      <c r="I26" s="1" t="s">
        <v>107</v>
      </c>
      <c r="J26" s="1">
        <v>110</v>
      </c>
      <c r="K26" s="1">
        <v>60</v>
      </c>
      <c r="L26" s="1">
        <v>65</v>
      </c>
      <c r="M26" s="1">
        <v>80</v>
      </c>
      <c r="N26" s="17">
        <v>0.38</v>
      </c>
      <c r="O26" s="1">
        <v>380</v>
      </c>
      <c r="P26" s="15">
        <v>0.55000000000000004</v>
      </c>
      <c r="Q26" s="1">
        <v>82.8</v>
      </c>
      <c r="R26" s="1" t="s">
        <v>27</v>
      </c>
      <c r="S26" s="1">
        <v>695.93</v>
      </c>
      <c r="T26" s="1" t="s">
        <v>46</v>
      </c>
      <c r="U26" s="1" t="s">
        <v>65</v>
      </c>
    </row>
    <row r="27" spans="1:21" x14ac:dyDescent="0.3">
      <c r="A27" s="1" t="s">
        <v>108</v>
      </c>
      <c r="B27" s="2">
        <v>38125</v>
      </c>
      <c r="C27" s="1">
        <v>21</v>
      </c>
      <c r="D27" s="1">
        <v>167</v>
      </c>
      <c r="E27" s="1" t="s">
        <v>76</v>
      </c>
      <c r="F27" s="1" t="s">
        <v>109</v>
      </c>
      <c r="G27" s="1" t="s">
        <v>63</v>
      </c>
      <c r="H27" s="1" t="s">
        <v>25</v>
      </c>
      <c r="I27" s="1" t="s">
        <v>110</v>
      </c>
      <c r="J27" s="1">
        <v>110</v>
      </c>
      <c r="K27" s="1">
        <v>75</v>
      </c>
      <c r="L27" s="1">
        <v>60</v>
      </c>
      <c r="M27" s="1">
        <v>90</v>
      </c>
      <c r="N27" s="17">
        <v>0.8</v>
      </c>
      <c r="O27" s="1">
        <v>110</v>
      </c>
      <c r="P27" s="15">
        <v>0.63</v>
      </c>
      <c r="Q27" s="1">
        <v>135</v>
      </c>
      <c r="R27" s="1" t="s">
        <v>40</v>
      </c>
      <c r="S27" s="1">
        <v>446.43</v>
      </c>
      <c r="T27" s="1" t="s">
        <v>28</v>
      </c>
      <c r="U27" s="1" t="s">
        <v>56</v>
      </c>
    </row>
    <row r="28" spans="1:21" x14ac:dyDescent="0.3">
      <c r="A28" s="1" t="s">
        <v>111</v>
      </c>
      <c r="B28" s="2">
        <v>38071</v>
      </c>
      <c r="C28" s="1">
        <v>21</v>
      </c>
      <c r="D28" s="1">
        <v>168</v>
      </c>
      <c r="E28" s="1" t="s">
        <v>24</v>
      </c>
      <c r="F28" s="1" t="s">
        <v>104</v>
      </c>
      <c r="G28" s="1" t="s">
        <v>53</v>
      </c>
      <c r="H28" s="1" t="s">
        <v>54</v>
      </c>
      <c r="I28" s="1" t="s">
        <v>112</v>
      </c>
      <c r="J28" s="1">
        <v>115</v>
      </c>
      <c r="K28" s="1">
        <v>70</v>
      </c>
      <c r="L28" s="1">
        <v>60</v>
      </c>
      <c r="M28" s="1">
        <v>82</v>
      </c>
      <c r="N28" s="17">
        <v>0.6</v>
      </c>
      <c r="O28" s="1">
        <v>220</v>
      </c>
      <c r="P28" s="15">
        <v>0.71</v>
      </c>
      <c r="Q28" s="1">
        <v>112</v>
      </c>
      <c r="R28" s="1" t="s">
        <v>34</v>
      </c>
      <c r="S28" s="1">
        <v>548.30999999999995</v>
      </c>
      <c r="T28" s="1" t="s">
        <v>46</v>
      </c>
      <c r="U28" s="1" t="s">
        <v>113</v>
      </c>
    </row>
    <row r="29" spans="1:21" x14ac:dyDescent="0.3">
      <c r="A29" s="1" t="s">
        <v>114</v>
      </c>
      <c r="B29" s="2">
        <v>38180</v>
      </c>
      <c r="C29" s="1">
        <v>21</v>
      </c>
      <c r="D29" s="1">
        <v>170</v>
      </c>
      <c r="E29" s="1" t="s">
        <v>24</v>
      </c>
      <c r="F29" s="1" t="s">
        <v>75</v>
      </c>
      <c r="G29" s="1" t="s">
        <v>53</v>
      </c>
      <c r="H29" s="1" t="s">
        <v>54</v>
      </c>
      <c r="I29" s="1" t="s">
        <v>115</v>
      </c>
      <c r="J29" s="1">
        <v>110</v>
      </c>
      <c r="K29" s="1">
        <v>75</v>
      </c>
      <c r="L29" s="1">
        <v>65</v>
      </c>
      <c r="M29" s="1">
        <v>75</v>
      </c>
      <c r="N29" s="17">
        <v>0.7</v>
      </c>
      <c r="O29" s="1">
        <v>210</v>
      </c>
      <c r="P29" s="15">
        <v>0.48</v>
      </c>
      <c r="Q29" s="1">
        <v>127.5</v>
      </c>
      <c r="R29" s="1" t="s">
        <v>40</v>
      </c>
      <c r="S29" s="1">
        <v>536.17999999999995</v>
      </c>
      <c r="T29" s="1" t="s">
        <v>28</v>
      </c>
      <c r="U29" s="1" t="s">
        <v>113</v>
      </c>
    </row>
    <row r="30" spans="1:21" x14ac:dyDescent="0.3">
      <c r="A30" s="1" t="s">
        <v>116</v>
      </c>
      <c r="B30" s="2">
        <v>38300</v>
      </c>
      <c r="C30" s="1">
        <v>21</v>
      </c>
      <c r="D30" s="1">
        <v>180</v>
      </c>
      <c r="E30" s="1" t="s">
        <v>32</v>
      </c>
      <c r="F30" s="1" t="s">
        <v>98</v>
      </c>
      <c r="G30" s="1" t="s">
        <v>23</v>
      </c>
      <c r="H30" s="1" t="s">
        <v>54</v>
      </c>
      <c r="I30" s="1" t="s">
        <v>117</v>
      </c>
      <c r="J30" s="1">
        <v>118</v>
      </c>
      <c r="K30" s="1">
        <v>85</v>
      </c>
      <c r="L30" s="1">
        <v>70</v>
      </c>
      <c r="M30" s="1">
        <v>75</v>
      </c>
      <c r="N30" s="17">
        <v>0.2</v>
      </c>
      <c r="O30" s="1">
        <v>340</v>
      </c>
      <c r="P30" s="15">
        <v>0.52</v>
      </c>
      <c r="Q30" s="1">
        <v>102</v>
      </c>
      <c r="R30" s="1" t="s">
        <v>34</v>
      </c>
      <c r="S30" s="1">
        <v>688.72</v>
      </c>
      <c r="T30" s="1" t="s">
        <v>28</v>
      </c>
      <c r="U30" s="1" t="s">
        <v>29</v>
      </c>
    </row>
    <row r="31" spans="1:21" x14ac:dyDescent="0.3">
      <c r="A31" s="1" t="s">
        <v>118</v>
      </c>
      <c r="B31" s="2">
        <v>38111</v>
      </c>
      <c r="C31" s="1">
        <v>21</v>
      </c>
      <c r="D31" s="1">
        <v>167</v>
      </c>
      <c r="E31" s="1" t="s">
        <v>76</v>
      </c>
      <c r="F31" s="1" t="s">
        <v>109</v>
      </c>
      <c r="G31" s="1" t="s">
        <v>63</v>
      </c>
      <c r="H31" s="1" t="s">
        <v>54</v>
      </c>
      <c r="I31" s="1" t="s">
        <v>119</v>
      </c>
      <c r="J31" s="1">
        <v>125</v>
      </c>
      <c r="K31" s="1">
        <v>83</v>
      </c>
      <c r="L31" s="1">
        <v>67</v>
      </c>
      <c r="M31" s="1">
        <v>80</v>
      </c>
      <c r="N31" s="17">
        <v>0.35</v>
      </c>
      <c r="O31" s="1">
        <v>320</v>
      </c>
      <c r="P31" s="15">
        <v>0.57999999999999996</v>
      </c>
      <c r="Q31" s="1">
        <v>112.05</v>
      </c>
      <c r="R31" s="1" t="s">
        <v>40</v>
      </c>
      <c r="S31" s="1">
        <v>675.93</v>
      </c>
      <c r="T31" s="1" t="s">
        <v>28</v>
      </c>
      <c r="U31" s="1" t="s">
        <v>102</v>
      </c>
    </row>
    <row r="32" spans="1:21" x14ac:dyDescent="0.3">
      <c r="A32" s="1" t="s">
        <v>120</v>
      </c>
      <c r="B32" s="2">
        <v>38248</v>
      </c>
      <c r="C32" s="1">
        <v>21</v>
      </c>
      <c r="D32" s="1">
        <v>168</v>
      </c>
      <c r="E32" s="1" t="s">
        <v>24</v>
      </c>
      <c r="F32" s="1" t="s">
        <v>87</v>
      </c>
      <c r="G32" s="1" t="s">
        <v>63</v>
      </c>
      <c r="H32" s="1" t="s">
        <v>54</v>
      </c>
      <c r="I32" s="1" t="s">
        <v>121</v>
      </c>
      <c r="J32" s="1">
        <v>115</v>
      </c>
      <c r="K32" s="1">
        <v>76</v>
      </c>
      <c r="L32" s="1">
        <v>62</v>
      </c>
      <c r="M32" s="1">
        <v>72</v>
      </c>
      <c r="N32" s="17">
        <v>0.65</v>
      </c>
      <c r="O32" s="1">
        <v>150</v>
      </c>
      <c r="P32" s="15">
        <v>0.59</v>
      </c>
      <c r="Q32" s="1">
        <v>125.4</v>
      </c>
      <c r="R32" s="1" t="s">
        <v>45</v>
      </c>
      <c r="S32" s="1">
        <v>476.24</v>
      </c>
      <c r="T32" s="1" t="s">
        <v>28</v>
      </c>
      <c r="U32" s="1" t="s">
        <v>65</v>
      </c>
    </row>
    <row r="33" spans="1:21" x14ac:dyDescent="0.3">
      <c r="A33" s="1" t="s">
        <v>122</v>
      </c>
      <c r="B33" s="2">
        <v>38028</v>
      </c>
      <c r="C33" s="1">
        <v>21</v>
      </c>
      <c r="D33" s="1">
        <v>168</v>
      </c>
      <c r="E33" s="1" t="s">
        <v>24</v>
      </c>
      <c r="F33" s="1" t="s">
        <v>79</v>
      </c>
      <c r="G33" s="1" t="s">
        <v>43</v>
      </c>
      <c r="H33" s="1" t="s">
        <v>54</v>
      </c>
      <c r="I33" s="1" t="s">
        <v>123</v>
      </c>
      <c r="J33" s="1">
        <v>120</v>
      </c>
      <c r="K33" s="1">
        <v>55</v>
      </c>
      <c r="L33" s="1">
        <v>85</v>
      </c>
      <c r="M33" s="1">
        <v>55</v>
      </c>
      <c r="N33" s="17">
        <v>0.52</v>
      </c>
      <c r="O33" s="1">
        <v>175</v>
      </c>
      <c r="P33" s="15">
        <v>0.53</v>
      </c>
      <c r="Q33" s="1">
        <v>83.6</v>
      </c>
      <c r="R33" s="1" t="s">
        <v>40</v>
      </c>
      <c r="S33" s="1">
        <v>491.05</v>
      </c>
      <c r="T33" s="1" t="s">
        <v>46</v>
      </c>
      <c r="U33" s="1" t="s">
        <v>65</v>
      </c>
    </row>
    <row r="34" spans="1:21" x14ac:dyDescent="0.3">
      <c r="A34" s="1" t="s">
        <v>636</v>
      </c>
      <c r="B34" s="2">
        <v>37258</v>
      </c>
      <c r="C34" s="1">
        <v>22</v>
      </c>
      <c r="D34" s="1">
        <v>179</v>
      </c>
      <c r="E34" s="1" t="s">
        <v>32</v>
      </c>
      <c r="F34" s="1" t="s">
        <v>87</v>
      </c>
      <c r="G34" s="1" t="s">
        <v>63</v>
      </c>
      <c r="H34" s="1" t="s">
        <v>54</v>
      </c>
      <c r="I34" s="1" t="s">
        <v>77</v>
      </c>
      <c r="J34" s="1">
        <v>35</v>
      </c>
      <c r="K34" s="1">
        <v>14</v>
      </c>
      <c r="L34" s="1">
        <v>10</v>
      </c>
      <c r="M34" s="1">
        <v>73</v>
      </c>
      <c r="N34" s="17">
        <v>0.73040000000000005</v>
      </c>
      <c r="O34" s="1">
        <v>213</v>
      </c>
      <c r="P34" s="15">
        <v>0.44040000000000001</v>
      </c>
      <c r="Q34" s="1">
        <v>24.554400000000001</v>
      </c>
      <c r="R34" s="1" t="s">
        <v>45</v>
      </c>
      <c r="S34" s="1">
        <v>346.20080000000002</v>
      </c>
      <c r="T34" s="1" t="s">
        <v>46</v>
      </c>
      <c r="U34" s="1" t="s">
        <v>65</v>
      </c>
    </row>
    <row r="35" spans="1:21" x14ac:dyDescent="0.3">
      <c r="A35" s="1" t="s">
        <v>637</v>
      </c>
      <c r="B35" s="2">
        <v>37327</v>
      </c>
      <c r="C35" s="1">
        <v>22</v>
      </c>
      <c r="D35" s="1">
        <v>181</v>
      </c>
      <c r="E35" s="1" t="s">
        <v>32</v>
      </c>
      <c r="F35" s="1" t="s">
        <v>62</v>
      </c>
      <c r="G35" s="1" t="s">
        <v>63</v>
      </c>
      <c r="H35" s="1" t="s">
        <v>54</v>
      </c>
      <c r="I35" s="1" t="s">
        <v>96</v>
      </c>
      <c r="J35" s="1">
        <v>24</v>
      </c>
      <c r="K35" s="1">
        <v>66</v>
      </c>
      <c r="L35" s="1">
        <v>85</v>
      </c>
      <c r="M35" s="1">
        <v>35</v>
      </c>
      <c r="N35" s="17">
        <v>0.57579999999999998</v>
      </c>
      <c r="O35" s="1">
        <v>379</v>
      </c>
      <c r="P35" s="15">
        <v>0.74850000000000005</v>
      </c>
      <c r="Q35" s="1">
        <v>104.6331</v>
      </c>
      <c r="R35" s="1" t="s">
        <v>45</v>
      </c>
      <c r="S35" s="1">
        <v>589.90430000000003</v>
      </c>
      <c r="T35" s="1" t="s">
        <v>28</v>
      </c>
      <c r="U35" s="1" t="s">
        <v>47</v>
      </c>
    </row>
    <row r="36" spans="1:21" x14ac:dyDescent="0.3">
      <c r="A36" s="1" t="s">
        <v>638</v>
      </c>
      <c r="B36" s="2">
        <v>37838</v>
      </c>
      <c r="C36" s="1">
        <v>21</v>
      </c>
      <c r="D36" s="1">
        <v>162</v>
      </c>
      <c r="E36" s="1" t="s">
        <v>76</v>
      </c>
      <c r="F36" s="1" t="s">
        <v>22</v>
      </c>
      <c r="G36" s="1" t="s">
        <v>23</v>
      </c>
      <c r="H36" s="1" t="s">
        <v>54</v>
      </c>
      <c r="I36" s="1" t="s">
        <v>73</v>
      </c>
      <c r="J36" s="1">
        <v>78</v>
      </c>
      <c r="K36" s="1">
        <v>21</v>
      </c>
      <c r="L36" s="1">
        <v>47</v>
      </c>
      <c r="M36" s="1">
        <v>6</v>
      </c>
      <c r="N36" s="17">
        <v>0.95720000000000005</v>
      </c>
      <c r="O36" s="1">
        <v>53</v>
      </c>
      <c r="P36" s="15">
        <v>0.7218</v>
      </c>
      <c r="Q36" s="1">
        <v>40.337899999999998</v>
      </c>
      <c r="R36" s="1" t="s">
        <v>34</v>
      </c>
      <c r="S36" s="1">
        <v>205.989</v>
      </c>
      <c r="T36" s="1" t="s">
        <v>28</v>
      </c>
      <c r="U36" s="1" t="s">
        <v>29</v>
      </c>
    </row>
    <row r="37" spans="1:21" x14ac:dyDescent="0.3">
      <c r="A37" s="1" t="s">
        <v>639</v>
      </c>
      <c r="B37" s="2">
        <v>37750</v>
      </c>
      <c r="C37" s="1">
        <v>21</v>
      </c>
      <c r="D37" s="1">
        <v>181</v>
      </c>
      <c r="E37" s="1" t="s">
        <v>32</v>
      </c>
      <c r="F37" s="1" t="s">
        <v>22</v>
      </c>
      <c r="G37" s="1" t="s">
        <v>23</v>
      </c>
      <c r="H37" s="1" t="s">
        <v>25</v>
      </c>
      <c r="I37" s="1" t="s">
        <v>44</v>
      </c>
      <c r="J37" s="1">
        <v>13</v>
      </c>
      <c r="K37" s="1">
        <v>43</v>
      </c>
      <c r="L37" s="1">
        <v>10</v>
      </c>
      <c r="M37" s="1">
        <v>32</v>
      </c>
      <c r="N37" s="17">
        <v>0.3967</v>
      </c>
      <c r="O37" s="1">
        <v>3</v>
      </c>
      <c r="P37" s="15">
        <v>0.63549999999999995</v>
      </c>
      <c r="Q37" s="1">
        <v>60.225700000000003</v>
      </c>
      <c r="R37" s="1" t="s">
        <v>34</v>
      </c>
      <c r="S37" s="1">
        <v>101.6922</v>
      </c>
      <c r="T37" s="1" t="s">
        <v>35</v>
      </c>
      <c r="U37" s="1" t="s">
        <v>47</v>
      </c>
    </row>
    <row r="38" spans="1:21" x14ac:dyDescent="0.3">
      <c r="A38" s="1" t="s">
        <v>640</v>
      </c>
      <c r="B38" s="2">
        <v>37867</v>
      </c>
      <c r="C38" s="1">
        <v>21</v>
      </c>
      <c r="D38" s="1">
        <v>171</v>
      </c>
      <c r="E38" s="1" t="s">
        <v>24</v>
      </c>
      <c r="F38" s="1" t="s">
        <v>87</v>
      </c>
      <c r="G38" s="1" t="s">
        <v>63</v>
      </c>
      <c r="H38" s="1" t="s">
        <v>25</v>
      </c>
      <c r="I38" s="1" t="s">
        <v>60</v>
      </c>
      <c r="J38" s="1">
        <v>138</v>
      </c>
      <c r="K38" s="1">
        <v>14</v>
      </c>
      <c r="L38" s="1">
        <v>87</v>
      </c>
      <c r="M38" s="1">
        <v>60</v>
      </c>
      <c r="N38" s="17">
        <v>0.6472</v>
      </c>
      <c r="O38" s="1">
        <v>299</v>
      </c>
      <c r="P38" s="15">
        <v>0.5837</v>
      </c>
      <c r="Q38" s="1">
        <v>22.994900000000001</v>
      </c>
      <c r="R38" s="1" t="s">
        <v>34</v>
      </c>
      <c r="S38" s="1">
        <v>599.64089999999999</v>
      </c>
      <c r="T38" s="1" t="s">
        <v>35</v>
      </c>
      <c r="U38" s="1" t="s">
        <v>36</v>
      </c>
    </row>
    <row r="39" spans="1:21" x14ac:dyDescent="0.3">
      <c r="A39" s="1" t="s">
        <v>641</v>
      </c>
      <c r="B39" s="2">
        <v>37545</v>
      </c>
      <c r="C39" s="1">
        <v>22</v>
      </c>
      <c r="D39" s="1">
        <v>166</v>
      </c>
      <c r="E39" s="1" t="s">
        <v>76</v>
      </c>
      <c r="F39" s="1" t="s">
        <v>52</v>
      </c>
      <c r="G39" s="1" t="s">
        <v>53</v>
      </c>
      <c r="H39" s="1" t="s">
        <v>54</v>
      </c>
      <c r="I39" s="1" t="s">
        <v>26</v>
      </c>
      <c r="J39" s="1">
        <v>116</v>
      </c>
      <c r="K39" s="1">
        <v>80</v>
      </c>
      <c r="L39" s="1">
        <v>85</v>
      </c>
      <c r="M39" s="1">
        <v>13</v>
      </c>
      <c r="N39" s="17">
        <v>0.26740000000000003</v>
      </c>
      <c r="O39" s="1">
        <v>329</v>
      </c>
      <c r="P39" s="15">
        <v>0.43259999999999998</v>
      </c>
      <c r="Q39" s="1">
        <v>101.392</v>
      </c>
      <c r="R39" s="1" t="s">
        <v>27</v>
      </c>
      <c r="S39" s="1">
        <v>623</v>
      </c>
      <c r="T39" s="1" t="s">
        <v>35</v>
      </c>
      <c r="U39" s="1" t="s">
        <v>36</v>
      </c>
    </row>
    <row r="40" spans="1:21" x14ac:dyDescent="0.3">
      <c r="A40" s="1" t="s">
        <v>642</v>
      </c>
      <c r="B40" s="2">
        <v>37709</v>
      </c>
      <c r="C40" s="1">
        <v>21</v>
      </c>
      <c r="D40" s="1">
        <v>185</v>
      </c>
      <c r="E40" s="1" t="s">
        <v>32</v>
      </c>
      <c r="F40" s="1" t="s">
        <v>87</v>
      </c>
      <c r="G40" s="1" t="s">
        <v>63</v>
      </c>
      <c r="H40" s="1" t="s">
        <v>54</v>
      </c>
      <c r="I40" s="1" t="s">
        <v>82</v>
      </c>
      <c r="J40" s="1">
        <v>59</v>
      </c>
      <c r="K40" s="1">
        <v>82</v>
      </c>
      <c r="L40" s="1">
        <v>54</v>
      </c>
      <c r="M40" s="1">
        <v>19</v>
      </c>
      <c r="N40" s="17">
        <v>0.43569999999999998</v>
      </c>
      <c r="O40" s="1">
        <v>16</v>
      </c>
      <c r="P40" s="15">
        <v>0.78569999999999995</v>
      </c>
      <c r="Q40" s="1">
        <v>117.09569999999999</v>
      </c>
      <c r="R40" s="1" t="s">
        <v>40</v>
      </c>
      <c r="S40" s="1">
        <v>230.13140000000001</v>
      </c>
      <c r="T40" s="1" t="s">
        <v>46</v>
      </c>
      <c r="U40" s="1" t="s">
        <v>36</v>
      </c>
    </row>
    <row r="41" spans="1:21" x14ac:dyDescent="0.3">
      <c r="A41" s="1" t="s">
        <v>643</v>
      </c>
      <c r="B41" s="2">
        <v>37403</v>
      </c>
      <c r="C41" s="1">
        <v>22</v>
      </c>
      <c r="D41" s="1">
        <v>166</v>
      </c>
      <c r="E41" s="1" t="s">
        <v>76</v>
      </c>
      <c r="F41" s="1" t="s">
        <v>75</v>
      </c>
      <c r="G41" s="1" t="s">
        <v>53</v>
      </c>
      <c r="H41" s="1" t="s">
        <v>54</v>
      </c>
      <c r="I41" s="1" t="s">
        <v>96</v>
      </c>
      <c r="J41" s="1">
        <v>58</v>
      </c>
      <c r="K41" s="1">
        <v>44</v>
      </c>
      <c r="L41" s="1">
        <v>96</v>
      </c>
      <c r="M41" s="1">
        <v>88</v>
      </c>
      <c r="N41" s="17">
        <v>0.91690000000000005</v>
      </c>
      <c r="O41" s="1">
        <v>169</v>
      </c>
      <c r="P41" s="15">
        <v>0.43140000000000001</v>
      </c>
      <c r="Q41" s="1">
        <v>85.052899999999994</v>
      </c>
      <c r="R41" s="1" t="s">
        <v>45</v>
      </c>
      <c r="S41" s="1">
        <v>457.20830000000001</v>
      </c>
      <c r="T41" s="1" t="s">
        <v>46</v>
      </c>
      <c r="U41" s="1" t="s">
        <v>36</v>
      </c>
    </row>
    <row r="42" spans="1:21" x14ac:dyDescent="0.3">
      <c r="A42" s="1" t="s">
        <v>644</v>
      </c>
      <c r="B42" s="2">
        <v>37668</v>
      </c>
      <c r="C42" s="1">
        <v>21</v>
      </c>
      <c r="D42" s="1">
        <v>169</v>
      </c>
      <c r="E42" s="1" t="s">
        <v>24</v>
      </c>
      <c r="F42" s="1" t="s">
        <v>72</v>
      </c>
      <c r="G42" s="1" t="s">
        <v>53</v>
      </c>
      <c r="H42" s="1" t="s">
        <v>54</v>
      </c>
      <c r="I42" s="1" t="s">
        <v>26</v>
      </c>
      <c r="J42" s="1">
        <v>102</v>
      </c>
      <c r="K42" s="1">
        <v>61</v>
      </c>
      <c r="L42" s="1">
        <v>99</v>
      </c>
      <c r="M42" s="1">
        <v>67</v>
      </c>
      <c r="N42" s="17">
        <v>0.44180000000000003</v>
      </c>
      <c r="O42" s="1">
        <v>177</v>
      </c>
      <c r="P42" s="15">
        <v>0.7994</v>
      </c>
      <c r="Q42" s="1">
        <v>87.690299999999993</v>
      </c>
      <c r="R42" s="1" t="s">
        <v>40</v>
      </c>
      <c r="S42" s="1">
        <v>506.45119999999997</v>
      </c>
      <c r="T42" s="1" t="s">
        <v>46</v>
      </c>
      <c r="U42" s="1" t="s">
        <v>47</v>
      </c>
    </row>
    <row r="43" spans="1:21" x14ac:dyDescent="0.3">
      <c r="A43" s="1" t="s">
        <v>645</v>
      </c>
      <c r="B43" s="2">
        <v>37426</v>
      </c>
      <c r="C43" s="1">
        <v>22</v>
      </c>
      <c r="D43" s="1">
        <v>185</v>
      </c>
      <c r="E43" s="1" t="s">
        <v>32</v>
      </c>
      <c r="F43" s="1" t="s">
        <v>62</v>
      </c>
      <c r="G43" s="1" t="s">
        <v>63</v>
      </c>
      <c r="H43" s="1" t="s">
        <v>25</v>
      </c>
      <c r="I43" s="1" t="s">
        <v>77</v>
      </c>
      <c r="J43" s="1">
        <v>99</v>
      </c>
      <c r="K43" s="1">
        <v>75</v>
      </c>
      <c r="L43" s="1">
        <v>87</v>
      </c>
      <c r="M43" s="1">
        <v>24</v>
      </c>
      <c r="N43" s="17">
        <v>0.41099999999999998</v>
      </c>
      <c r="O43" s="1">
        <v>344</v>
      </c>
      <c r="P43" s="15">
        <v>0.57999999999999996</v>
      </c>
      <c r="Q43" s="1">
        <v>105.2042</v>
      </c>
      <c r="R43" s="1" t="s">
        <v>27</v>
      </c>
      <c r="S43" s="1">
        <v>629.46100000000001</v>
      </c>
      <c r="T43" s="1" t="s">
        <v>46</v>
      </c>
      <c r="U43" s="1" t="s">
        <v>47</v>
      </c>
    </row>
    <row r="44" spans="1:21" x14ac:dyDescent="0.3">
      <c r="A44" s="1" t="s">
        <v>646</v>
      </c>
      <c r="B44" s="2">
        <v>37432</v>
      </c>
      <c r="C44" s="1">
        <v>22</v>
      </c>
      <c r="D44" s="1">
        <v>166</v>
      </c>
      <c r="E44" s="1" t="s">
        <v>76</v>
      </c>
      <c r="F44" s="1" t="s">
        <v>52</v>
      </c>
      <c r="G44" s="1" t="s">
        <v>53</v>
      </c>
      <c r="H44" s="1" t="s">
        <v>54</v>
      </c>
      <c r="I44" s="1" t="s">
        <v>77</v>
      </c>
      <c r="J44" s="1">
        <v>113</v>
      </c>
      <c r="K44" s="1">
        <v>74</v>
      </c>
      <c r="L44" s="1">
        <v>47</v>
      </c>
      <c r="M44" s="1">
        <v>54</v>
      </c>
      <c r="N44" s="17">
        <v>0.66849999999999998</v>
      </c>
      <c r="O44" s="1">
        <v>248</v>
      </c>
      <c r="P44" s="15">
        <v>0.74429999999999996</v>
      </c>
      <c r="Q44" s="1">
        <v>123.7193</v>
      </c>
      <c r="R44" s="1" t="s">
        <v>27</v>
      </c>
      <c r="S44" s="1">
        <v>537.30280000000005</v>
      </c>
      <c r="T44" s="1" t="s">
        <v>28</v>
      </c>
      <c r="U44" s="1" t="s">
        <v>113</v>
      </c>
    </row>
    <row r="45" spans="1:21" x14ac:dyDescent="0.3">
      <c r="A45" s="1" t="s">
        <v>647</v>
      </c>
      <c r="B45" s="2">
        <v>37011</v>
      </c>
      <c r="C45" s="1">
        <v>23</v>
      </c>
      <c r="D45" s="1">
        <v>161</v>
      </c>
      <c r="E45" s="1" t="s">
        <v>76</v>
      </c>
      <c r="F45" s="1" t="s">
        <v>75</v>
      </c>
      <c r="G45" s="1" t="s">
        <v>53</v>
      </c>
      <c r="H45" s="1" t="s">
        <v>54</v>
      </c>
      <c r="I45" s="1" t="s">
        <v>110</v>
      </c>
      <c r="J45" s="1">
        <v>63</v>
      </c>
      <c r="K45" s="1">
        <v>38</v>
      </c>
      <c r="L45" s="1">
        <v>56</v>
      </c>
      <c r="M45" s="1">
        <v>95</v>
      </c>
      <c r="N45" s="17">
        <v>0.36570000000000003</v>
      </c>
      <c r="O45" s="1">
        <v>236</v>
      </c>
      <c r="P45" s="15">
        <v>0.74050000000000005</v>
      </c>
      <c r="Q45" s="1">
        <v>51.281999999999996</v>
      </c>
      <c r="R45" s="1" t="s">
        <v>34</v>
      </c>
      <c r="S45" s="1">
        <v>488.42619999999999</v>
      </c>
      <c r="T45" s="1" t="s">
        <v>35</v>
      </c>
      <c r="U45" s="1" t="s">
        <v>56</v>
      </c>
    </row>
    <row r="46" spans="1:21" x14ac:dyDescent="0.3">
      <c r="A46" s="1" t="s">
        <v>648</v>
      </c>
      <c r="B46" s="2">
        <v>37688</v>
      </c>
      <c r="C46" s="1">
        <v>21</v>
      </c>
      <c r="D46" s="1">
        <v>174</v>
      </c>
      <c r="E46" s="1" t="s">
        <v>24</v>
      </c>
      <c r="F46" s="1" t="s">
        <v>79</v>
      </c>
      <c r="G46" s="1" t="s">
        <v>43</v>
      </c>
      <c r="H46" s="1" t="s">
        <v>54</v>
      </c>
      <c r="I46" s="1" t="s">
        <v>73</v>
      </c>
      <c r="J46" s="1">
        <v>63</v>
      </c>
      <c r="K46" s="1">
        <v>95</v>
      </c>
      <c r="L46" s="1">
        <v>19</v>
      </c>
      <c r="M46" s="1">
        <v>26</v>
      </c>
      <c r="N46" s="17">
        <v>0.61539999999999995</v>
      </c>
      <c r="O46" s="1">
        <v>110</v>
      </c>
      <c r="P46" s="15">
        <v>0.8004</v>
      </c>
      <c r="Q46" s="1">
        <v>154.23840000000001</v>
      </c>
      <c r="R46" s="1" t="s">
        <v>45</v>
      </c>
      <c r="S46" s="1">
        <v>314.83580000000001</v>
      </c>
      <c r="T46" s="1" t="s">
        <v>46</v>
      </c>
      <c r="U46" s="1" t="s">
        <v>102</v>
      </c>
    </row>
    <row r="47" spans="1:21" x14ac:dyDescent="0.3">
      <c r="A47" s="1" t="s">
        <v>649</v>
      </c>
      <c r="B47" s="2">
        <v>37833</v>
      </c>
      <c r="C47" s="1">
        <v>21</v>
      </c>
      <c r="D47" s="1">
        <v>167</v>
      </c>
      <c r="E47" s="1" t="s">
        <v>76</v>
      </c>
      <c r="F47" s="1" t="s">
        <v>109</v>
      </c>
      <c r="G47" s="1" t="s">
        <v>63</v>
      </c>
      <c r="H47" s="1" t="s">
        <v>54</v>
      </c>
      <c r="I47" s="1" t="s">
        <v>26</v>
      </c>
      <c r="J47" s="1">
        <v>79</v>
      </c>
      <c r="K47" s="1">
        <v>12</v>
      </c>
      <c r="L47" s="1">
        <v>80</v>
      </c>
      <c r="M47" s="1">
        <v>8</v>
      </c>
      <c r="N47" s="17">
        <v>0.10349999999999999</v>
      </c>
      <c r="O47" s="1">
        <v>262</v>
      </c>
      <c r="P47" s="15">
        <v>0.70630000000000004</v>
      </c>
      <c r="Q47" s="1">
        <v>13.6503</v>
      </c>
      <c r="R47" s="1" t="s">
        <v>40</v>
      </c>
      <c r="S47" s="1">
        <v>442.51979999999998</v>
      </c>
      <c r="T47" s="1" t="s">
        <v>35</v>
      </c>
      <c r="U47" s="1" t="s">
        <v>47</v>
      </c>
    </row>
    <row r="48" spans="1:21" x14ac:dyDescent="0.3">
      <c r="A48" s="1" t="s">
        <v>650</v>
      </c>
      <c r="B48" s="2">
        <v>36966</v>
      </c>
      <c r="C48" s="1">
        <v>23</v>
      </c>
      <c r="D48" s="1">
        <v>172</v>
      </c>
      <c r="E48" s="1" t="s">
        <v>24</v>
      </c>
      <c r="F48" s="1" t="s">
        <v>52</v>
      </c>
      <c r="G48" s="1" t="s">
        <v>53</v>
      </c>
      <c r="H48" s="1" t="s">
        <v>25</v>
      </c>
      <c r="I48" s="1" t="s">
        <v>77</v>
      </c>
      <c r="J48" s="1">
        <v>8</v>
      </c>
      <c r="K48" s="1">
        <v>52</v>
      </c>
      <c r="L48" s="1">
        <v>56</v>
      </c>
      <c r="M48" s="1">
        <v>30</v>
      </c>
      <c r="N48" s="17">
        <v>0.15179999999999999</v>
      </c>
      <c r="O48" s="1">
        <v>335</v>
      </c>
      <c r="P48" s="15">
        <v>0.74880000000000002</v>
      </c>
      <c r="Q48" s="1">
        <v>59.4559</v>
      </c>
      <c r="R48" s="1" t="s">
        <v>27</v>
      </c>
      <c r="S48" s="1">
        <v>481.8306</v>
      </c>
      <c r="T48" s="1" t="s">
        <v>35</v>
      </c>
      <c r="U48" s="1" t="s">
        <v>36</v>
      </c>
    </row>
    <row r="49" spans="1:21" x14ac:dyDescent="0.3">
      <c r="A49" s="1" t="s">
        <v>651</v>
      </c>
      <c r="B49" s="2">
        <v>37247</v>
      </c>
      <c r="C49" s="1">
        <v>23</v>
      </c>
      <c r="D49" s="1">
        <v>166</v>
      </c>
      <c r="E49" s="1" t="s">
        <v>76</v>
      </c>
      <c r="F49" s="1" t="s">
        <v>72</v>
      </c>
      <c r="G49" s="1" t="s">
        <v>53</v>
      </c>
      <c r="H49" s="1" t="s">
        <v>25</v>
      </c>
      <c r="I49" s="1" t="s">
        <v>55</v>
      </c>
      <c r="J49" s="1">
        <v>106</v>
      </c>
      <c r="K49" s="1">
        <v>66</v>
      </c>
      <c r="L49" s="1">
        <v>82</v>
      </c>
      <c r="M49" s="1">
        <v>9</v>
      </c>
      <c r="N49" s="17">
        <v>0.75229999999999997</v>
      </c>
      <c r="O49" s="1">
        <v>271</v>
      </c>
      <c r="P49" s="15">
        <v>0.77129999999999999</v>
      </c>
      <c r="Q49" s="1">
        <v>114.9684</v>
      </c>
      <c r="R49" s="1" t="s">
        <v>27</v>
      </c>
      <c r="S49" s="1">
        <v>534.94359999999995</v>
      </c>
      <c r="T49" s="1" t="s">
        <v>46</v>
      </c>
      <c r="U49" s="1" t="s">
        <v>102</v>
      </c>
    </row>
    <row r="50" spans="1:21" x14ac:dyDescent="0.3">
      <c r="A50" s="1" t="s">
        <v>652</v>
      </c>
      <c r="B50" s="2">
        <v>37366</v>
      </c>
      <c r="C50" s="1">
        <v>22</v>
      </c>
      <c r="D50" s="1">
        <v>185</v>
      </c>
      <c r="E50" s="1" t="s">
        <v>32</v>
      </c>
      <c r="F50" s="1" t="s">
        <v>87</v>
      </c>
      <c r="G50" s="1" t="s">
        <v>63</v>
      </c>
      <c r="H50" s="1" t="s">
        <v>25</v>
      </c>
      <c r="I50" s="1" t="s">
        <v>94</v>
      </c>
      <c r="J50" s="1">
        <v>93</v>
      </c>
      <c r="K50" s="1">
        <v>76</v>
      </c>
      <c r="L50" s="1">
        <v>62</v>
      </c>
      <c r="M50" s="1">
        <v>35</v>
      </c>
      <c r="N50" s="17">
        <v>0.40820000000000001</v>
      </c>
      <c r="O50" s="1">
        <v>22</v>
      </c>
      <c r="P50" s="15">
        <v>0.68130000000000002</v>
      </c>
      <c r="Q50" s="1">
        <v>107.4316</v>
      </c>
      <c r="R50" s="1" t="s">
        <v>34</v>
      </c>
      <c r="S50" s="1">
        <v>288.24950000000001</v>
      </c>
      <c r="T50" s="1" t="s">
        <v>46</v>
      </c>
      <c r="U50" s="1" t="s">
        <v>29</v>
      </c>
    </row>
    <row r="51" spans="1:21" x14ac:dyDescent="0.3">
      <c r="A51" s="1" t="s">
        <v>653</v>
      </c>
      <c r="B51" s="2">
        <v>36917</v>
      </c>
      <c r="C51" s="1">
        <v>23</v>
      </c>
      <c r="D51" s="1">
        <v>183</v>
      </c>
      <c r="E51" s="1" t="s">
        <v>32</v>
      </c>
      <c r="F51" s="1" t="s">
        <v>49</v>
      </c>
      <c r="G51" s="1" t="s">
        <v>43</v>
      </c>
      <c r="H51" s="1" t="s">
        <v>25</v>
      </c>
      <c r="I51" s="1" t="s">
        <v>70</v>
      </c>
      <c r="J51" s="1">
        <v>35</v>
      </c>
      <c r="K51" s="1">
        <v>92</v>
      </c>
      <c r="L51" s="1">
        <v>80</v>
      </c>
      <c r="M51" s="1">
        <v>78</v>
      </c>
      <c r="N51" s="17">
        <v>0.61009999999999998</v>
      </c>
      <c r="O51" s="1">
        <v>396</v>
      </c>
      <c r="P51" s="15">
        <v>0.72989999999999999</v>
      </c>
      <c r="Q51" s="1">
        <v>147.74279999999999</v>
      </c>
      <c r="R51" s="1" t="s">
        <v>34</v>
      </c>
      <c r="S51" s="1">
        <v>682.51</v>
      </c>
      <c r="T51" s="1" t="s">
        <v>35</v>
      </c>
      <c r="U51" s="1" t="s">
        <v>47</v>
      </c>
    </row>
    <row r="52" spans="1:21" x14ac:dyDescent="0.3">
      <c r="A52" s="1" t="s">
        <v>654</v>
      </c>
      <c r="B52" s="2">
        <v>37507</v>
      </c>
      <c r="C52" s="1">
        <v>22</v>
      </c>
      <c r="D52" s="1">
        <v>160</v>
      </c>
      <c r="E52" s="1" t="s">
        <v>76</v>
      </c>
      <c r="F52" s="1" t="s">
        <v>72</v>
      </c>
      <c r="G52" s="1" t="s">
        <v>53</v>
      </c>
      <c r="H52" s="1" t="s">
        <v>25</v>
      </c>
      <c r="I52" s="1" t="s">
        <v>39</v>
      </c>
      <c r="J52" s="1">
        <v>142</v>
      </c>
      <c r="K52" s="1">
        <v>14</v>
      </c>
      <c r="L52" s="1">
        <v>2</v>
      </c>
      <c r="M52" s="1">
        <v>29</v>
      </c>
      <c r="N52" s="17">
        <v>0.36109999999999998</v>
      </c>
      <c r="O52" s="1">
        <v>223</v>
      </c>
      <c r="P52" s="15">
        <v>0.62160000000000004</v>
      </c>
      <c r="Q52" s="1">
        <v>19.245999999999999</v>
      </c>
      <c r="R52" s="1" t="s">
        <v>40</v>
      </c>
      <c r="S52" s="1">
        <v>411.71269999999998</v>
      </c>
      <c r="T52" s="1" t="s">
        <v>28</v>
      </c>
      <c r="U52" s="1" t="s">
        <v>65</v>
      </c>
    </row>
    <row r="53" spans="1:21" x14ac:dyDescent="0.3">
      <c r="A53" s="1" t="s">
        <v>655</v>
      </c>
      <c r="B53" s="2">
        <v>36962</v>
      </c>
      <c r="C53" s="1">
        <v>23</v>
      </c>
      <c r="D53" s="1">
        <v>185</v>
      </c>
      <c r="E53" s="1" t="s">
        <v>32</v>
      </c>
      <c r="F53" s="1" t="s">
        <v>79</v>
      </c>
      <c r="G53" s="1" t="s">
        <v>43</v>
      </c>
      <c r="H53" s="1" t="s">
        <v>54</v>
      </c>
      <c r="I53" s="1" t="s">
        <v>112</v>
      </c>
      <c r="J53" s="1">
        <v>57</v>
      </c>
      <c r="K53" s="1">
        <v>28</v>
      </c>
      <c r="L53" s="1">
        <v>23</v>
      </c>
      <c r="M53" s="1">
        <v>16</v>
      </c>
      <c r="N53" s="17">
        <v>0.7873</v>
      </c>
      <c r="O53" s="1">
        <v>270</v>
      </c>
      <c r="P53" s="15">
        <v>0.82250000000000001</v>
      </c>
      <c r="Q53" s="1">
        <v>49.686900000000001</v>
      </c>
      <c r="R53" s="1" t="s">
        <v>34</v>
      </c>
      <c r="S53" s="1">
        <v>395.96980000000002</v>
      </c>
      <c r="T53" s="1" t="s">
        <v>28</v>
      </c>
      <c r="U53" s="1" t="s">
        <v>65</v>
      </c>
    </row>
    <row r="54" spans="1:21" x14ac:dyDescent="0.3">
      <c r="A54" s="1" t="s">
        <v>656</v>
      </c>
      <c r="B54" s="2">
        <v>37424</v>
      </c>
      <c r="C54" s="1">
        <v>22</v>
      </c>
      <c r="D54" s="1">
        <v>167</v>
      </c>
      <c r="E54" s="1" t="s">
        <v>76</v>
      </c>
      <c r="F54" s="1" t="s">
        <v>98</v>
      </c>
      <c r="G54" s="1" t="s">
        <v>23</v>
      </c>
      <c r="H54" s="1" t="s">
        <v>25</v>
      </c>
      <c r="I54" s="1" t="s">
        <v>94</v>
      </c>
      <c r="J54" s="1">
        <v>25</v>
      </c>
      <c r="K54" s="1">
        <v>57</v>
      </c>
      <c r="L54" s="1">
        <v>44</v>
      </c>
      <c r="M54" s="1">
        <v>57</v>
      </c>
      <c r="N54" s="17">
        <v>0.28179999999999999</v>
      </c>
      <c r="O54" s="1">
        <v>12</v>
      </c>
      <c r="P54" s="15">
        <v>0.80530000000000002</v>
      </c>
      <c r="Q54" s="1">
        <v>73.254900000000006</v>
      </c>
      <c r="R54" s="1" t="s">
        <v>27</v>
      </c>
      <c r="S54" s="1">
        <v>197.1371</v>
      </c>
      <c r="T54" s="1" t="s">
        <v>35</v>
      </c>
      <c r="U54" s="1" t="s">
        <v>36</v>
      </c>
    </row>
    <row r="55" spans="1:21" x14ac:dyDescent="0.3">
      <c r="A55" s="1" t="s">
        <v>657</v>
      </c>
      <c r="B55" s="2">
        <v>37702</v>
      </c>
      <c r="C55" s="1">
        <v>21</v>
      </c>
      <c r="D55" s="1">
        <v>176</v>
      </c>
      <c r="E55" s="1" t="s">
        <v>32</v>
      </c>
      <c r="F55" s="1" t="s">
        <v>98</v>
      </c>
      <c r="G55" s="1" t="s">
        <v>23</v>
      </c>
      <c r="H55" s="1" t="s">
        <v>25</v>
      </c>
      <c r="I55" s="1" t="s">
        <v>105</v>
      </c>
      <c r="J55" s="1">
        <v>141</v>
      </c>
      <c r="K55" s="1">
        <v>98</v>
      </c>
      <c r="L55" s="1">
        <v>8</v>
      </c>
      <c r="M55" s="1">
        <v>59</v>
      </c>
      <c r="N55" s="17">
        <v>0.21890000000000001</v>
      </c>
      <c r="O55" s="1">
        <v>137</v>
      </c>
      <c r="P55" s="15">
        <v>0.81259999999999999</v>
      </c>
      <c r="Q55" s="1">
        <v>119.07429999999999</v>
      </c>
      <c r="R55" s="1" t="s">
        <v>34</v>
      </c>
      <c r="S55" s="1">
        <v>444.07150000000001</v>
      </c>
      <c r="T55" s="1" t="s">
        <v>28</v>
      </c>
      <c r="U55" s="1" t="s">
        <v>102</v>
      </c>
    </row>
    <row r="56" spans="1:21" x14ac:dyDescent="0.3">
      <c r="A56" s="1" t="s">
        <v>658</v>
      </c>
      <c r="B56" s="2">
        <v>37305</v>
      </c>
      <c r="C56" s="1">
        <v>22</v>
      </c>
      <c r="D56" s="1">
        <v>173</v>
      </c>
      <c r="E56" s="1" t="s">
        <v>24</v>
      </c>
      <c r="F56" s="1" t="s">
        <v>109</v>
      </c>
      <c r="G56" s="1" t="s">
        <v>63</v>
      </c>
      <c r="H56" s="1" t="s">
        <v>25</v>
      </c>
      <c r="I56" s="1" t="s">
        <v>85</v>
      </c>
      <c r="J56" s="1">
        <v>136</v>
      </c>
      <c r="K56" s="1">
        <v>18</v>
      </c>
      <c r="L56" s="1">
        <v>48</v>
      </c>
      <c r="M56" s="1">
        <v>90</v>
      </c>
      <c r="N56" s="17">
        <v>0.71789999999999998</v>
      </c>
      <c r="O56" s="1">
        <v>70</v>
      </c>
      <c r="P56" s="15">
        <v>0.47549999999999998</v>
      </c>
      <c r="Q56" s="1">
        <v>31.231400000000001</v>
      </c>
      <c r="R56" s="1" t="s">
        <v>34</v>
      </c>
      <c r="S56" s="1">
        <v>363.09339999999997</v>
      </c>
      <c r="T56" s="1" t="s">
        <v>46</v>
      </c>
      <c r="U56" s="1" t="s">
        <v>36</v>
      </c>
    </row>
    <row r="57" spans="1:21" x14ac:dyDescent="0.3">
      <c r="A57" s="1" t="s">
        <v>659</v>
      </c>
      <c r="B57" s="2">
        <v>37040</v>
      </c>
      <c r="C57" s="1">
        <v>23</v>
      </c>
      <c r="D57" s="1">
        <v>177</v>
      </c>
      <c r="E57" s="1" t="s">
        <v>32</v>
      </c>
      <c r="F57" s="1" t="s">
        <v>98</v>
      </c>
      <c r="G57" s="1" t="s">
        <v>23</v>
      </c>
      <c r="H57" s="1" t="s">
        <v>54</v>
      </c>
      <c r="I57" s="1" t="s">
        <v>44</v>
      </c>
      <c r="J57" s="1">
        <v>37</v>
      </c>
      <c r="K57" s="1">
        <v>33</v>
      </c>
      <c r="L57" s="1">
        <v>57</v>
      </c>
      <c r="M57" s="1">
        <v>50</v>
      </c>
      <c r="N57" s="17">
        <v>0.66510000000000002</v>
      </c>
      <c r="O57" s="1">
        <v>40</v>
      </c>
      <c r="P57" s="15">
        <v>0.82450000000000001</v>
      </c>
      <c r="Q57" s="1">
        <v>55.081499999999998</v>
      </c>
      <c r="R57" s="1" t="s">
        <v>40</v>
      </c>
      <c r="S57" s="1">
        <v>218.24959999999999</v>
      </c>
      <c r="T57" s="1" t="s">
        <v>28</v>
      </c>
      <c r="U57" s="1" t="s">
        <v>29</v>
      </c>
    </row>
    <row r="58" spans="1:21" x14ac:dyDescent="0.3">
      <c r="A58" s="1" t="s">
        <v>660</v>
      </c>
      <c r="B58" s="2">
        <v>37414</v>
      </c>
      <c r="C58" s="1">
        <v>22</v>
      </c>
      <c r="D58" s="1">
        <v>181</v>
      </c>
      <c r="E58" s="1" t="s">
        <v>32</v>
      </c>
      <c r="F58" s="1" t="s">
        <v>75</v>
      </c>
      <c r="G58" s="1" t="s">
        <v>53</v>
      </c>
      <c r="H58" s="1" t="s">
        <v>54</v>
      </c>
      <c r="I58" s="1" t="s">
        <v>77</v>
      </c>
      <c r="J58" s="1">
        <v>3</v>
      </c>
      <c r="K58" s="1">
        <v>54</v>
      </c>
      <c r="L58" s="1">
        <v>20</v>
      </c>
      <c r="M58" s="1">
        <v>37</v>
      </c>
      <c r="N58" s="17">
        <v>0.45029999999999998</v>
      </c>
      <c r="O58" s="1">
        <v>65</v>
      </c>
      <c r="P58" s="15">
        <v>0.71350000000000002</v>
      </c>
      <c r="Q58" s="1">
        <v>77.590999999999994</v>
      </c>
      <c r="R58" s="1" t="s">
        <v>45</v>
      </c>
      <c r="S58" s="1">
        <v>179.25380000000001</v>
      </c>
      <c r="T58" s="1" t="s">
        <v>28</v>
      </c>
      <c r="U58" s="1" t="s">
        <v>29</v>
      </c>
    </row>
    <row r="59" spans="1:21" x14ac:dyDescent="0.3">
      <c r="A59" s="1" t="s">
        <v>661</v>
      </c>
      <c r="B59" s="2">
        <v>37052</v>
      </c>
      <c r="C59" s="1">
        <v>23</v>
      </c>
      <c r="D59" s="1">
        <v>179</v>
      </c>
      <c r="E59" s="1" t="s">
        <v>32</v>
      </c>
      <c r="F59" s="1" t="s">
        <v>84</v>
      </c>
      <c r="G59" s="1" t="s">
        <v>63</v>
      </c>
      <c r="H59" s="1" t="s">
        <v>25</v>
      </c>
      <c r="I59" s="1" t="s">
        <v>33</v>
      </c>
      <c r="J59" s="1">
        <v>125</v>
      </c>
      <c r="K59" s="1">
        <v>39</v>
      </c>
      <c r="L59" s="1">
        <v>37</v>
      </c>
      <c r="M59" s="1">
        <v>32</v>
      </c>
      <c r="N59" s="17">
        <v>0.58450000000000002</v>
      </c>
      <c r="O59" s="1">
        <v>151</v>
      </c>
      <c r="P59" s="15">
        <v>0.75090000000000001</v>
      </c>
      <c r="Q59" s="1">
        <v>61.13</v>
      </c>
      <c r="R59" s="1" t="s">
        <v>34</v>
      </c>
      <c r="S59" s="1">
        <v>385.03539999999998</v>
      </c>
      <c r="T59" s="1" t="s">
        <v>28</v>
      </c>
      <c r="U59" s="1" t="s">
        <v>36</v>
      </c>
    </row>
    <row r="60" spans="1:21" x14ac:dyDescent="0.3">
      <c r="A60" s="1" t="s">
        <v>662</v>
      </c>
      <c r="B60" s="2">
        <v>37036</v>
      </c>
      <c r="C60" s="1">
        <v>23</v>
      </c>
      <c r="D60" s="1">
        <v>184</v>
      </c>
      <c r="E60" s="1" t="s">
        <v>32</v>
      </c>
      <c r="F60" s="1" t="s">
        <v>79</v>
      </c>
      <c r="G60" s="1" t="s">
        <v>43</v>
      </c>
      <c r="H60" s="1" t="s">
        <v>54</v>
      </c>
      <c r="I60" s="1" t="s">
        <v>88</v>
      </c>
      <c r="J60" s="1">
        <v>97</v>
      </c>
      <c r="K60" s="1">
        <v>44</v>
      </c>
      <c r="L60" s="1">
        <v>66</v>
      </c>
      <c r="M60" s="1">
        <v>9</v>
      </c>
      <c r="N60" s="17">
        <v>0.75429999999999997</v>
      </c>
      <c r="O60" s="1">
        <v>338</v>
      </c>
      <c r="P60" s="15">
        <v>0.62370000000000003</v>
      </c>
      <c r="Q60" s="1">
        <v>77.136600000000001</v>
      </c>
      <c r="R60" s="1" t="s">
        <v>40</v>
      </c>
      <c r="S60" s="1">
        <v>555.32799999999997</v>
      </c>
      <c r="T60" s="1" t="s">
        <v>46</v>
      </c>
      <c r="U60" s="1" t="s">
        <v>47</v>
      </c>
    </row>
    <row r="61" spans="1:21" x14ac:dyDescent="0.3">
      <c r="A61" s="1" t="s">
        <v>663</v>
      </c>
      <c r="B61" s="2">
        <v>37023</v>
      </c>
      <c r="C61" s="1">
        <v>23</v>
      </c>
      <c r="D61" s="1">
        <v>167</v>
      </c>
      <c r="E61" s="1" t="s">
        <v>76</v>
      </c>
      <c r="F61" s="1" t="s">
        <v>42</v>
      </c>
      <c r="G61" s="1" t="s">
        <v>43</v>
      </c>
      <c r="H61" s="1" t="s">
        <v>54</v>
      </c>
      <c r="I61" s="1" t="s">
        <v>117</v>
      </c>
      <c r="J61" s="1">
        <v>140</v>
      </c>
      <c r="K61" s="1">
        <v>23</v>
      </c>
      <c r="L61" s="1">
        <v>33</v>
      </c>
      <c r="M61" s="1">
        <v>11</v>
      </c>
      <c r="N61" s="17">
        <v>0.65920000000000001</v>
      </c>
      <c r="O61" s="1">
        <v>351</v>
      </c>
      <c r="P61" s="15">
        <v>0.50939999999999996</v>
      </c>
      <c r="Q61" s="1">
        <v>37.7468</v>
      </c>
      <c r="R61" s="1" t="s">
        <v>27</v>
      </c>
      <c r="S61" s="1">
        <v>558.59860000000003</v>
      </c>
      <c r="T61" s="1" t="s">
        <v>46</v>
      </c>
      <c r="U61" s="1" t="s">
        <v>102</v>
      </c>
    </row>
    <row r="62" spans="1:21" x14ac:dyDescent="0.3">
      <c r="A62" s="1" t="s">
        <v>664</v>
      </c>
      <c r="B62" s="2">
        <v>36928</v>
      </c>
      <c r="C62" s="1">
        <v>23</v>
      </c>
      <c r="D62" s="1">
        <v>163</v>
      </c>
      <c r="E62" s="1" t="s">
        <v>76</v>
      </c>
      <c r="F62" s="1" t="s">
        <v>72</v>
      </c>
      <c r="G62" s="1" t="s">
        <v>53</v>
      </c>
      <c r="H62" s="1" t="s">
        <v>25</v>
      </c>
      <c r="I62" s="1" t="s">
        <v>58</v>
      </c>
      <c r="J62" s="1">
        <v>43</v>
      </c>
      <c r="K62" s="1">
        <v>77</v>
      </c>
      <c r="L62" s="1">
        <v>90</v>
      </c>
      <c r="M62" s="1">
        <v>71</v>
      </c>
      <c r="N62" s="17">
        <v>0.9365</v>
      </c>
      <c r="O62" s="1">
        <v>171</v>
      </c>
      <c r="P62" s="15">
        <v>0.5444</v>
      </c>
      <c r="Q62" s="1">
        <v>148.5102</v>
      </c>
      <c r="R62" s="1" t="s">
        <v>40</v>
      </c>
      <c r="S62" s="1">
        <v>453.1309</v>
      </c>
      <c r="T62" s="1" t="s">
        <v>35</v>
      </c>
      <c r="U62" s="1" t="s">
        <v>113</v>
      </c>
    </row>
    <row r="63" spans="1:21" x14ac:dyDescent="0.3">
      <c r="A63" s="1" t="s">
        <v>665</v>
      </c>
      <c r="B63" s="2">
        <v>37895</v>
      </c>
      <c r="C63" s="1">
        <v>21</v>
      </c>
      <c r="D63" s="1">
        <v>174</v>
      </c>
      <c r="E63" s="1" t="s">
        <v>24</v>
      </c>
      <c r="F63" s="1" t="s">
        <v>62</v>
      </c>
      <c r="G63" s="1" t="s">
        <v>63</v>
      </c>
      <c r="H63" s="1" t="s">
        <v>54</v>
      </c>
      <c r="I63" s="1" t="s">
        <v>33</v>
      </c>
      <c r="J63" s="1">
        <v>51</v>
      </c>
      <c r="K63" s="1">
        <v>60</v>
      </c>
      <c r="L63" s="1">
        <v>70</v>
      </c>
      <c r="M63" s="1">
        <v>6</v>
      </c>
      <c r="N63" s="17">
        <v>0.2167</v>
      </c>
      <c r="O63" s="1">
        <v>34</v>
      </c>
      <c r="P63" s="15">
        <v>0.58450000000000002</v>
      </c>
      <c r="Q63" s="1">
        <v>72.929000000000002</v>
      </c>
      <c r="R63" s="1" t="s">
        <v>27</v>
      </c>
      <c r="S63" s="1">
        <v>222.2012</v>
      </c>
      <c r="T63" s="1" t="s">
        <v>28</v>
      </c>
      <c r="U63" s="1" t="s">
        <v>113</v>
      </c>
    </row>
    <row r="64" spans="1:21" x14ac:dyDescent="0.3">
      <c r="A64" s="1" t="s">
        <v>666</v>
      </c>
      <c r="B64" s="2">
        <v>37110</v>
      </c>
      <c r="C64" s="1">
        <v>23</v>
      </c>
      <c r="D64" s="1">
        <v>181</v>
      </c>
      <c r="E64" s="1" t="s">
        <v>32</v>
      </c>
      <c r="F64" s="1" t="s">
        <v>79</v>
      </c>
      <c r="G64" s="1" t="s">
        <v>43</v>
      </c>
      <c r="H64" s="1" t="s">
        <v>25</v>
      </c>
      <c r="I64" s="1" t="s">
        <v>112</v>
      </c>
      <c r="J64" s="1">
        <v>3</v>
      </c>
      <c r="K64" s="1">
        <v>44</v>
      </c>
      <c r="L64" s="1">
        <v>94</v>
      </c>
      <c r="M64" s="1">
        <v>29</v>
      </c>
      <c r="N64" s="17">
        <v>0.83709999999999996</v>
      </c>
      <c r="O64" s="1">
        <v>335</v>
      </c>
      <c r="P64" s="15">
        <v>0.71079999999999999</v>
      </c>
      <c r="Q64" s="1">
        <v>79.987300000000005</v>
      </c>
      <c r="R64" s="1" t="s">
        <v>27</v>
      </c>
      <c r="S64" s="1">
        <v>506.62790000000001</v>
      </c>
      <c r="T64" s="1" t="s">
        <v>35</v>
      </c>
      <c r="U64" s="1" t="s">
        <v>113</v>
      </c>
    </row>
    <row r="65" spans="1:21" x14ac:dyDescent="0.3">
      <c r="A65" s="1" t="s">
        <v>667</v>
      </c>
      <c r="B65" s="2">
        <v>37089</v>
      </c>
      <c r="C65" s="1">
        <v>23</v>
      </c>
      <c r="D65" s="1">
        <v>172</v>
      </c>
      <c r="E65" s="1" t="s">
        <v>24</v>
      </c>
      <c r="F65" s="1" t="s">
        <v>52</v>
      </c>
      <c r="G65" s="1" t="s">
        <v>53</v>
      </c>
      <c r="H65" s="1" t="s">
        <v>25</v>
      </c>
      <c r="I65" s="1" t="s">
        <v>50</v>
      </c>
      <c r="J65" s="1">
        <v>13</v>
      </c>
      <c r="K65" s="1">
        <v>95</v>
      </c>
      <c r="L65" s="1">
        <v>31</v>
      </c>
      <c r="M65" s="1">
        <v>85</v>
      </c>
      <c r="N65" s="17">
        <v>0.77759999999999996</v>
      </c>
      <c r="O65" s="1">
        <v>291</v>
      </c>
      <c r="P65" s="15">
        <v>0.72740000000000005</v>
      </c>
      <c r="Q65" s="1">
        <v>168.71199999999999</v>
      </c>
      <c r="R65" s="1" t="s">
        <v>40</v>
      </c>
      <c r="S65" s="1">
        <v>516.28499999999997</v>
      </c>
      <c r="T65" s="1" t="s">
        <v>35</v>
      </c>
      <c r="U65" s="1" t="s">
        <v>56</v>
      </c>
    </row>
    <row r="66" spans="1:21" x14ac:dyDescent="0.3">
      <c r="A66" s="1" t="s">
        <v>668</v>
      </c>
      <c r="B66" s="2">
        <v>37919</v>
      </c>
      <c r="C66" s="1">
        <v>21</v>
      </c>
      <c r="D66" s="1">
        <v>166</v>
      </c>
      <c r="E66" s="1" t="s">
        <v>76</v>
      </c>
      <c r="F66" s="1" t="s">
        <v>49</v>
      </c>
      <c r="G66" s="1" t="s">
        <v>43</v>
      </c>
      <c r="H66" s="1" t="s">
        <v>25</v>
      </c>
      <c r="I66" s="1" t="s">
        <v>82</v>
      </c>
      <c r="J66" s="1">
        <v>47</v>
      </c>
      <c r="K66" s="1">
        <v>45</v>
      </c>
      <c r="L66" s="1">
        <v>51</v>
      </c>
      <c r="M66" s="1">
        <v>64</v>
      </c>
      <c r="N66" s="17">
        <v>0.2341</v>
      </c>
      <c r="O66" s="1">
        <v>184</v>
      </c>
      <c r="P66" s="15">
        <v>0.54810000000000003</v>
      </c>
      <c r="Q66" s="1">
        <v>55.954099999999997</v>
      </c>
      <c r="R66" s="1" t="s">
        <v>40</v>
      </c>
      <c r="S66" s="1">
        <v>391.4622</v>
      </c>
      <c r="T66" s="1" t="s">
        <v>46</v>
      </c>
      <c r="U66" s="1" t="s">
        <v>65</v>
      </c>
    </row>
    <row r="67" spans="1:21" x14ac:dyDescent="0.3">
      <c r="A67" s="1" t="s">
        <v>669</v>
      </c>
      <c r="B67" s="2">
        <v>37188</v>
      </c>
      <c r="C67" s="1">
        <v>23</v>
      </c>
      <c r="D67" s="1">
        <v>173</v>
      </c>
      <c r="E67" s="1" t="s">
        <v>24</v>
      </c>
      <c r="F67" s="1" t="s">
        <v>38</v>
      </c>
      <c r="G67" s="1" t="s">
        <v>23</v>
      </c>
      <c r="H67" s="1" t="s">
        <v>54</v>
      </c>
      <c r="I67" s="1" t="s">
        <v>58</v>
      </c>
      <c r="J67" s="1">
        <v>86</v>
      </c>
      <c r="K67" s="1">
        <v>34</v>
      </c>
      <c r="L67" s="1">
        <v>79</v>
      </c>
      <c r="M67" s="1">
        <v>41</v>
      </c>
      <c r="N67" s="17">
        <v>0.1095</v>
      </c>
      <c r="O67" s="1">
        <v>318</v>
      </c>
      <c r="P67" s="15">
        <v>0.43980000000000002</v>
      </c>
      <c r="Q67" s="1">
        <v>38.211199999999998</v>
      </c>
      <c r="R67" s="1" t="s">
        <v>27</v>
      </c>
      <c r="S67" s="1">
        <v>558.24929999999995</v>
      </c>
      <c r="T67" s="1" t="s">
        <v>28</v>
      </c>
      <c r="U67" s="1" t="s">
        <v>36</v>
      </c>
    </row>
    <row r="68" spans="1:21" x14ac:dyDescent="0.3">
      <c r="A68" s="1" t="s">
        <v>670</v>
      </c>
      <c r="B68" s="2">
        <v>37284</v>
      </c>
      <c r="C68" s="1">
        <v>22</v>
      </c>
      <c r="D68" s="1">
        <v>169</v>
      </c>
      <c r="E68" s="1" t="s">
        <v>24</v>
      </c>
      <c r="F68" s="1" t="s">
        <v>38</v>
      </c>
      <c r="G68" s="1" t="s">
        <v>23</v>
      </c>
      <c r="H68" s="1" t="s">
        <v>25</v>
      </c>
      <c r="I68" s="1" t="s">
        <v>96</v>
      </c>
      <c r="J68" s="1">
        <v>18</v>
      </c>
      <c r="K68" s="1">
        <v>73</v>
      </c>
      <c r="L68" s="1">
        <v>71</v>
      </c>
      <c r="M68" s="1">
        <v>18</v>
      </c>
      <c r="N68" s="17">
        <v>0.67700000000000005</v>
      </c>
      <c r="O68" s="1">
        <v>222</v>
      </c>
      <c r="P68" s="15">
        <v>0.44</v>
      </c>
      <c r="Q68" s="1">
        <v>123.1086</v>
      </c>
      <c r="R68" s="1" t="s">
        <v>27</v>
      </c>
      <c r="S68" s="1">
        <v>404.27699999999999</v>
      </c>
      <c r="T68" s="1" t="s">
        <v>28</v>
      </c>
      <c r="U68" s="1" t="s">
        <v>47</v>
      </c>
    </row>
    <row r="69" spans="1:21" x14ac:dyDescent="0.3">
      <c r="A69" s="1" t="s">
        <v>671</v>
      </c>
      <c r="B69" s="2">
        <v>37799</v>
      </c>
      <c r="C69" s="1">
        <v>21</v>
      </c>
      <c r="D69" s="1">
        <v>161</v>
      </c>
      <c r="E69" s="1" t="s">
        <v>76</v>
      </c>
      <c r="F69" s="1" t="s">
        <v>87</v>
      </c>
      <c r="G69" s="1" t="s">
        <v>63</v>
      </c>
      <c r="H69" s="1" t="s">
        <v>25</v>
      </c>
      <c r="I69" s="1" t="s">
        <v>80</v>
      </c>
      <c r="J69" s="1">
        <v>98</v>
      </c>
      <c r="K69" s="1">
        <v>26</v>
      </c>
      <c r="L69" s="1">
        <v>55</v>
      </c>
      <c r="M69" s="1">
        <v>36</v>
      </c>
      <c r="N69" s="17">
        <v>0.13869999999999999</v>
      </c>
      <c r="O69" s="1">
        <v>140</v>
      </c>
      <c r="P69" s="15">
        <v>0.54630000000000001</v>
      </c>
      <c r="Q69" s="1">
        <v>29.332899999999999</v>
      </c>
      <c r="R69" s="1" t="s">
        <v>45</v>
      </c>
      <c r="S69" s="1">
        <v>354.26499999999999</v>
      </c>
      <c r="T69" s="1" t="s">
        <v>46</v>
      </c>
      <c r="U69" s="1" t="s">
        <v>56</v>
      </c>
    </row>
    <row r="70" spans="1:21" x14ac:dyDescent="0.3">
      <c r="A70" s="1" t="s">
        <v>672</v>
      </c>
      <c r="B70" s="2">
        <v>37253</v>
      </c>
      <c r="C70" s="1">
        <v>23</v>
      </c>
      <c r="D70" s="1">
        <v>177</v>
      </c>
      <c r="E70" s="1" t="s">
        <v>32</v>
      </c>
      <c r="F70" s="1" t="s">
        <v>52</v>
      </c>
      <c r="G70" s="1" t="s">
        <v>53</v>
      </c>
      <c r="H70" s="1" t="s">
        <v>25</v>
      </c>
      <c r="I70" s="1" t="s">
        <v>50</v>
      </c>
      <c r="J70" s="1">
        <v>110</v>
      </c>
      <c r="K70" s="1">
        <v>85</v>
      </c>
      <c r="L70" s="1">
        <v>54</v>
      </c>
      <c r="M70" s="1">
        <v>3</v>
      </c>
      <c r="N70" s="17">
        <v>0.40960000000000002</v>
      </c>
      <c r="O70" s="1">
        <v>243</v>
      </c>
      <c r="P70" s="15">
        <v>0.4577</v>
      </c>
      <c r="Q70" s="1">
        <v>119.32259999999999</v>
      </c>
      <c r="R70" s="1" t="s">
        <v>40</v>
      </c>
      <c r="S70" s="1">
        <v>494.69729999999998</v>
      </c>
      <c r="T70" s="1" t="s">
        <v>46</v>
      </c>
      <c r="U70" s="1" t="s">
        <v>65</v>
      </c>
    </row>
    <row r="71" spans="1:21" x14ac:dyDescent="0.3">
      <c r="A71" s="1" t="s">
        <v>673</v>
      </c>
      <c r="B71" s="2">
        <v>37565</v>
      </c>
      <c r="C71" s="1">
        <v>22</v>
      </c>
      <c r="D71" s="1">
        <v>177</v>
      </c>
      <c r="E71" s="1" t="s">
        <v>32</v>
      </c>
      <c r="F71" s="1" t="s">
        <v>75</v>
      </c>
      <c r="G71" s="1" t="s">
        <v>53</v>
      </c>
      <c r="H71" s="1" t="s">
        <v>25</v>
      </c>
      <c r="I71" s="1" t="s">
        <v>39</v>
      </c>
      <c r="J71" s="1">
        <v>104</v>
      </c>
      <c r="K71" s="1">
        <v>78</v>
      </c>
      <c r="L71" s="1">
        <v>11</v>
      </c>
      <c r="M71" s="1">
        <v>55</v>
      </c>
      <c r="N71" s="17">
        <v>0.9173</v>
      </c>
      <c r="O71" s="1">
        <v>14</v>
      </c>
      <c r="P71" s="15">
        <v>0.59060000000000001</v>
      </c>
      <c r="Q71" s="1">
        <v>148.66739999999999</v>
      </c>
      <c r="R71" s="1" t="s">
        <v>34</v>
      </c>
      <c r="S71" s="1">
        <v>263.7679</v>
      </c>
      <c r="T71" s="1" t="s">
        <v>46</v>
      </c>
      <c r="U71" s="1" t="s">
        <v>29</v>
      </c>
    </row>
    <row r="72" spans="1:21" x14ac:dyDescent="0.3">
      <c r="A72" s="1" t="s">
        <v>674</v>
      </c>
      <c r="B72" s="2">
        <v>37669</v>
      </c>
      <c r="C72" s="1">
        <v>21</v>
      </c>
      <c r="D72" s="1">
        <v>177</v>
      </c>
      <c r="E72" s="1" t="s">
        <v>32</v>
      </c>
      <c r="F72" s="1" t="s">
        <v>109</v>
      </c>
      <c r="G72" s="1" t="s">
        <v>63</v>
      </c>
      <c r="H72" s="1" t="s">
        <v>25</v>
      </c>
      <c r="I72" s="1" t="s">
        <v>88</v>
      </c>
      <c r="J72" s="1">
        <v>57</v>
      </c>
      <c r="K72" s="1">
        <v>65</v>
      </c>
      <c r="L72" s="1">
        <v>92</v>
      </c>
      <c r="M72" s="1">
        <v>27</v>
      </c>
      <c r="N72" s="17">
        <v>0.98360000000000003</v>
      </c>
      <c r="O72" s="1">
        <v>367</v>
      </c>
      <c r="P72" s="15">
        <v>0.55830000000000002</v>
      </c>
      <c r="Q72" s="1">
        <v>127.962</v>
      </c>
      <c r="R72" s="1" t="s">
        <v>27</v>
      </c>
      <c r="S72" s="1">
        <v>608.99189999999999</v>
      </c>
      <c r="T72" s="1" t="s">
        <v>28</v>
      </c>
      <c r="U72" s="1" t="s">
        <v>47</v>
      </c>
    </row>
    <row r="73" spans="1:21" x14ac:dyDescent="0.3">
      <c r="A73" s="1" t="s">
        <v>675</v>
      </c>
      <c r="B73" s="2">
        <v>37146</v>
      </c>
      <c r="C73" s="1">
        <v>23</v>
      </c>
      <c r="D73" s="1">
        <v>178</v>
      </c>
      <c r="E73" s="1" t="s">
        <v>32</v>
      </c>
      <c r="F73" s="1" t="s">
        <v>87</v>
      </c>
      <c r="G73" s="1" t="s">
        <v>63</v>
      </c>
      <c r="H73" s="1" t="s">
        <v>25</v>
      </c>
      <c r="I73" s="1" t="s">
        <v>92</v>
      </c>
      <c r="J73" s="1">
        <v>91</v>
      </c>
      <c r="K73" s="1">
        <v>98</v>
      </c>
      <c r="L73" s="1">
        <v>99</v>
      </c>
      <c r="M73" s="1">
        <v>28</v>
      </c>
      <c r="N73" s="17">
        <v>0.22140000000000001</v>
      </c>
      <c r="O73" s="1">
        <v>358</v>
      </c>
      <c r="P73" s="15">
        <v>0.79910000000000003</v>
      </c>
      <c r="Q73" s="1">
        <v>119.3186</v>
      </c>
      <c r="R73" s="1" t="s">
        <v>27</v>
      </c>
      <c r="S73" s="1">
        <v>675.67049999999995</v>
      </c>
      <c r="T73" s="1" t="s">
        <v>46</v>
      </c>
      <c r="U73" s="1" t="s">
        <v>65</v>
      </c>
    </row>
    <row r="74" spans="1:21" x14ac:dyDescent="0.3">
      <c r="A74" s="1" t="s">
        <v>676</v>
      </c>
      <c r="B74" s="2">
        <v>37964</v>
      </c>
      <c r="C74" s="1">
        <v>21</v>
      </c>
      <c r="D74" s="1">
        <v>173</v>
      </c>
      <c r="E74" s="1" t="s">
        <v>24</v>
      </c>
      <c r="F74" s="1" t="s">
        <v>72</v>
      </c>
      <c r="G74" s="1" t="s">
        <v>53</v>
      </c>
      <c r="H74" s="1" t="s">
        <v>25</v>
      </c>
      <c r="I74" s="1" t="s">
        <v>121</v>
      </c>
      <c r="J74" s="1">
        <v>83</v>
      </c>
      <c r="K74" s="1">
        <v>27</v>
      </c>
      <c r="L74" s="1">
        <v>44</v>
      </c>
      <c r="M74" s="1">
        <v>39</v>
      </c>
      <c r="N74" s="17">
        <v>0.41110000000000002</v>
      </c>
      <c r="O74" s="1">
        <v>335</v>
      </c>
      <c r="P74" s="15">
        <v>0.80330000000000001</v>
      </c>
      <c r="Q74" s="1">
        <v>38.452500000000001</v>
      </c>
      <c r="R74" s="1" t="s">
        <v>27</v>
      </c>
      <c r="S74" s="1">
        <v>529.98440000000005</v>
      </c>
      <c r="T74" s="1" t="s">
        <v>35</v>
      </c>
      <c r="U74" s="1" t="s">
        <v>47</v>
      </c>
    </row>
    <row r="75" spans="1:21" x14ac:dyDescent="0.3">
      <c r="A75" s="1" t="s">
        <v>677</v>
      </c>
      <c r="B75" s="2">
        <v>37151</v>
      </c>
      <c r="C75" s="1">
        <v>23</v>
      </c>
      <c r="D75" s="1">
        <v>161</v>
      </c>
      <c r="E75" s="1" t="s">
        <v>76</v>
      </c>
      <c r="F75" s="1" t="s">
        <v>69</v>
      </c>
      <c r="G75" s="1" t="s">
        <v>43</v>
      </c>
      <c r="H75" s="1" t="s">
        <v>25</v>
      </c>
      <c r="I75" s="1" t="s">
        <v>50</v>
      </c>
      <c r="J75" s="1">
        <v>69</v>
      </c>
      <c r="K75" s="1">
        <v>79</v>
      </c>
      <c r="L75" s="1">
        <v>92</v>
      </c>
      <c r="M75" s="1">
        <v>57</v>
      </c>
      <c r="N75" s="17">
        <v>0.67869999999999997</v>
      </c>
      <c r="O75" s="1">
        <v>52</v>
      </c>
      <c r="P75" s="15">
        <v>0.84640000000000004</v>
      </c>
      <c r="Q75" s="1">
        <v>133.3056</v>
      </c>
      <c r="R75" s="1" t="s">
        <v>27</v>
      </c>
      <c r="S75" s="1">
        <v>351.00510000000003</v>
      </c>
      <c r="T75" s="1" t="s">
        <v>28</v>
      </c>
      <c r="U75" s="1" t="s">
        <v>102</v>
      </c>
    </row>
    <row r="76" spans="1:21" x14ac:dyDescent="0.3">
      <c r="A76" s="1" t="s">
        <v>678</v>
      </c>
      <c r="B76" s="2">
        <v>37966</v>
      </c>
      <c r="C76" s="1">
        <v>21</v>
      </c>
      <c r="D76" s="1">
        <v>180</v>
      </c>
      <c r="E76" s="1" t="s">
        <v>32</v>
      </c>
      <c r="F76" s="1" t="s">
        <v>22</v>
      </c>
      <c r="G76" s="1" t="s">
        <v>23</v>
      </c>
      <c r="H76" s="1" t="s">
        <v>54</v>
      </c>
      <c r="I76" s="1" t="s">
        <v>73</v>
      </c>
      <c r="J76" s="1">
        <v>115</v>
      </c>
      <c r="K76" s="1">
        <v>50</v>
      </c>
      <c r="L76" s="1">
        <v>72</v>
      </c>
      <c r="M76" s="1">
        <v>22</v>
      </c>
      <c r="N76" s="17">
        <v>0.29820000000000002</v>
      </c>
      <c r="O76" s="1">
        <v>19</v>
      </c>
      <c r="P76" s="15">
        <v>0.84340000000000004</v>
      </c>
      <c r="Q76" s="1">
        <v>65.130700000000004</v>
      </c>
      <c r="R76" s="1" t="s">
        <v>34</v>
      </c>
      <c r="S76" s="1">
        <v>279.23160000000001</v>
      </c>
      <c r="T76" s="1" t="s">
        <v>46</v>
      </c>
      <c r="U76" s="1" t="s">
        <v>56</v>
      </c>
    </row>
    <row r="77" spans="1:21" x14ac:dyDescent="0.3">
      <c r="A77" s="1" t="s">
        <v>679</v>
      </c>
      <c r="B77" s="2">
        <v>36958</v>
      </c>
      <c r="C77" s="1">
        <v>23</v>
      </c>
      <c r="D77" s="1">
        <v>184</v>
      </c>
      <c r="E77" s="1" t="s">
        <v>32</v>
      </c>
      <c r="F77" s="1" t="s">
        <v>75</v>
      </c>
      <c r="G77" s="1" t="s">
        <v>53</v>
      </c>
      <c r="H77" s="1" t="s">
        <v>25</v>
      </c>
      <c r="I77" s="1" t="s">
        <v>92</v>
      </c>
      <c r="J77" s="1">
        <v>46</v>
      </c>
      <c r="K77" s="1">
        <v>63</v>
      </c>
      <c r="L77" s="1">
        <v>69</v>
      </c>
      <c r="M77" s="1">
        <v>57</v>
      </c>
      <c r="N77" s="17">
        <v>0.94440000000000002</v>
      </c>
      <c r="O77" s="1">
        <v>340</v>
      </c>
      <c r="P77" s="15">
        <v>0.62419999999999998</v>
      </c>
      <c r="Q77" s="1">
        <v>122.2833</v>
      </c>
      <c r="R77" s="1" t="s">
        <v>40</v>
      </c>
      <c r="S77" s="1">
        <v>576.28859999999997</v>
      </c>
      <c r="T77" s="1" t="s">
        <v>46</v>
      </c>
      <c r="U77" s="1" t="s">
        <v>36</v>
      </c>
    </row>
    <row r="78" spans="1:21" x14ac:dyDescent="0.3">
      <c r="A78" s="1" t="s">
        <v>680</v>
      </c>
      <c r="B78" s="2">
        <v>37303</v>
      </c>
      <c r="C78" s="1">
        <v>22</v>
      </c>
      <c r="D78" s="1">
        <v>171</v>
      </c>
      <c r="E78" s="1" t="s">
        <v>24</v>
      </c>
      <c r="F78" s="1" t="s">
        <v>31</v>
      </c>
      <c r="G78" s="1" t="s">
        <v>23</v>
      </c>
      <c r="H78" s="1" t="s">
        <v>54</v>
      </c>
      <c r="I78" s="1" t="s">
        <v>94</v>
      </c>
      <c r="J78" s="1">
        <v>100</v>
      </c>
      <c r="K78" s="1">
        <v>96</v>
      </c>
      <c r="L78" s="1">
        <v>27</v>
      </c>
      <c r="M78" s="1">
        <v>52</v>
      </c>
      <c r="N78" s="17">
        <v>0.1714</v>
      </c>
      <c r="O78" s="1">
        <v>192</v>
      </c>
      <c r="P78" s="15">
        <v>0.71819999999999995</v>
      </c>
      <c r="Q78" s="1">
        <v>112.0561</v>
      </c>
      <c r="R78" s="1" t="s">
        <v>45</v>
      </c>
      <c r="S78" s="1">
        <v>467.65960000000001</v>
      </c>
      <c r="T78" s="1" t="s">
        <v>28</v>
      </c>
      <c r="U78" s="1" t="s">
        <v>65</v>
      </c>
    </row>
    <row r="79" spans="1:21" x14ac:dyDescent="0.3">
      <c r="A79" s="1" t="s">
        <v>681</v>
      </c>
      <c r="B79" s="2">
        <v>37404</v>
      </c>
      <c r="C79" s="1">
        <v>22</v>
      </c>
      <c r="D79" s="1">
        <v>182</v>
      </c>
      <c r="E79" s="1" t="s">
        <v>32</v>
      </c>
      <c r="F79" s="1" t="s">
        <v>52</v>
      </c>
      <c r="G79" s="1" t="s">
        <v>53</v>
      </c>
      <c r="H79" s="1" t="s">
        <v>54</v>
      </c>
      <c r="I79" s="1" t="s">
        <v>96</v>
      </c>
      <c r="J79" s="1">
        <v>36</v>
      </c>
      <c r="K79" s="1">
        <v>91</v>
      </c>
      <c r="L79" s="1">
        <v>88</v>
      </c>
      <c r="M79" s="1">
        <v>72</v>
      </c>
      <c r="N79" s="17">
        <v>0.57569999999999999</v>
      </c>
      <c r="O79" s="1">
        <v>8</v>
      </c>
      <c r="P79" s="15">
        <v>0.50009999999999999</v>
      </c>
      <c r="Q79" s="1">
        <v>142.63239999999999</v>
      </c>
      <c r="R79" s="1" t="s">
        <v>45</v>
      </c>
      <c r="S79" s="1">
        <v>294.56580000000002</v>
      </c>
      <c r="T79" s="1" t="s">
        <v>35</v>
      </c>
      <c r="U79" s="1" t="s">
        <v>56</v>
      </c>
    </row>
    <row r="80" spans="1:21" x14ac:dyDescent="0.3">
      <c r="A80" s="1" t="s">
        <v>682</v>
      </c>
      <c r="B80" s="2">
        <v>37841</v>
      </c>
      <c r="C80" s="1">
        <v>21</v>
      </c>
      <c r="D80" s="1">
        <v>164</v>
      </c>
      <c r="E80" s="1" t="s">
        <v>76</v>
      </c>
      <c r="F80" s="1" t="s">
        <v>52</v>
      </c>
      <c r="G80" s="1" t="s">
        <v>53</v>
      </c>
      <c r="H80" s="1" t="s">
        <v>25</v>
      </c>
      <c r="I80" s="1" t="s">
        <v>110</v>
      </c>
      <c r="J80" s="1">
        <v>70</v>
      </c>
      <c r="K80" s="1">
        <v>74</v>
      </c>
      <c r="L80" s="1">
        <v>49</v>
      </c>
      <c r="M80" s="1">
        <v>33</v>
      </c>
      <c r="N80" s="17">
        <v>0.39500000000000002</v>
      </c>
      <c r="O80" s="1">
        <v>253</v>
      </c>
      <c r="P80" s="15">
        <v>0.46350000000000002</v>
      </c>
      <c r="Q80" s="1">
        <v>103.02070000000001</v>
      </c>
      <c r="R80" s="1" t="s">
        <v>34</v>
      </c>
      <c r="S80" s="1">
        <v>479.12849999999997</v>
      </c>
      <c r="T80" s="1" t="s">
        <v>35</v>
      </c>
      <c r="U80" s="1" t="s">
        <v>36</v>
      </c>
    </row>
    <row r="81" spans="1:21" x14ac:dyDescent="0.3">
      <c r="A81" s="1" t="s">
        <v>683</v>
      </c>
      <c r="B81" s="2">
        <v>37759</v>
      </c>
      <c r="C81" s="1">
        <v>21</v>
      </c>
      <c r="D81" s="1">
        <v>170</v>
      </c>
      <c r="E81" s="1" t="s">
        <v>24</v>
      </c>
      <c r="F81" s="1" t="s">
        <v>42</v>
      </c>
      <c r="G81" s="1" t="s">
        <v>43</v>
      </c>
      <c r="H81" s="1" t="s">
        <v>54</v>
      </c>
      <c r="I81" s="1" t="s">
        <v>70</v>
      </c>
      <c r="J81" s="1">
        <v>80</v>
      </c>
      <c r="K81" s="1">
        <v>34</v>
      </c>
      <c r="L81" s="1">
        <v>22</v>
      </c>
      <c r="M81" s="1">
        <v>7</v>
      </c>
      <c r="N81" s="17">
        <v>0.66579999999999995</v>
      </c>
      <c r="O81" s="1">
        <v>90</v>
      </c>
      <c r="P81" s="15">
        <v>0.51129999999999998</v>
      </c>
      <c r="Q81" s="1">
        <v>55.837600000000002</v>
      </c>
      <c r="R81" s="1" t="s">
        <v>34</v>
      </c>
      <c r="S81" s="1">
        <v>234.97710000000001</v>
      </c>
      <c r="T81" s="1" t="s">
        <v>46</v>
      </c>
      <c r="U81" s="1" t="s">
        <v>56</v>
      </c>
    </row>
    <row r="82" spans="1:21" x14ac:dyDescent="0.3">
      <c r="A82" s="1" t="s">
        <v>684</v>
      </c>
      <c r="B82" s="2">
        <v>37013</v>
      </c>
      <c r="C82" s="1">
        <v>23</v>
      </c>
      <c r="D82" s="1">
        <v>165</v>
      </c>
      <c r="E82" s="1" t="s">
        <v>76</v>
      </c>
      <c r="F82" s="1" t="s">
        <v>69</v>
      </c>
      <c r="G82" s="1" t="s">
        <v>43</v>
      </c>
      <c r="H82" s="1" t="s">
        <v>25</v>
      </c>
      <c r="I82" s="1" t="s">
        <v>115</v>
      </c>
      <c r="J82" s="1">
        <v>109</v>
      </c>
      <c r="K82" s="1">
        <v>10</v>
      </c>
      <c r="L82" s="1">
        <v>48</v>
      </c>
      <c r="M82" s="1">
        <v>22</v>
      </c>
      <c r="N82" s="17">
        <v>0.49390000000000001</v>
      </c>
      <c r="O82" s="1">
        <v>390</v>
      </c>
      <c r="P82" s="15">
        <v>0.62749999999999995</v>
      </c>
      <c r="Q82" s="1">
        <v>14.2369</v>
      </c>
      <c r="R82" s="1" t="s">
        <v>45</v>
      </c>
      <c r="S82" s="1">
        <v>579.94140000000004</v>
      </c>
      <c r="T82" s="1" t="s">
        <v>35</v>
      </c>
      <c r="U82" s="1" t="s">
        <v>47</v>
      </c>
    </row>
    <row r="83" spans="1:21" x14ac:dyDescent="0.3">
      <c r="A83" s="1" t="s">
        <v>685</v>
      </c>
      <c r="B83" s="2">
        <v>37658</v>
      </c>
      <c r="C83" s="1">
        <v>21</v>
      </c>
      <c r="D83" s="1">
        <v>175</v>
      </c>
      <c r="E83" s="1" t="s">
        <v>32</v>
      </c>
      <c r="F83" s="1" t="s">
        <v>52</v>
      </c>
      <c r="G83" s="1" t="s">
        <v>53</v>
      </c>
      <c r="H83" s="1" t="s">
        <v>54</v>
      </c>
      <c r="I83" s="1" t="s">
        <v>117</v>
      </c>
      <c r="J83" s="1">
        <v>104</v>
      </c>
      <c r="K83" s="1">
        <v>14</v>
      </c>
      <c r="L83" s="1">
        <v>49</v>
      </c>
      <c r="M83" s="1">
        <v>45</v>
      </c>
      <c r="N83" s="17">
        <v>0.71799999999999997</v>
      </c>
      <c r="O83" s="1">
        <v>74</v>
      </c>
      <c r="P83" s="15">
        <v>0.61919999999999997</v>
      </c>
      <c r="Q83" s="1">
        <v>24.825099999999999</v>
      </c>
      <c r="R83" s="1" t="s">
        <v>45</v>
      </c>
      <c r="S83" s="1">
        <v>287.69720000000001</v>
      </c>
      <c r="T83" s="1" t="s">
        <v>28</v>
      </c>
      <c r="U83" s="1" t="s">
        <v>56</v>
      </c>
    </row>
    <row r="84" spans="1:21" x14ac:dyDescent="0.3">
      <c r="A84" s="1" t="s">
        <v>686</v>
      </c>
      <c r="B84" s="2">
        <v>37140</v>
      </c>
      <c r="C84" s="1">
        <v>23</v>
      </c>
      <c r="D84" s="1">
        <v>166</v>
      </c>
      <c r="E84" s="1" t="s">
        <v>76</v>
      </c>
      <c r="F84" s="1" t="s">
        <v>31</v>
      </c>
      <c r="G84" s="1" t="s">
        <v>23</v>
      </c>
      <c r="H84" s="1" t="s">
        <v>25</v>
      </c>
      <c r="I84" s="1" t="s">
        <v>115</v>
      </c>
      <c r="J84" s="1">
        <v>52</v>
      </c>
      <c r="K84" s="1">
        <v>2</v>
      </c>
      <c r="L84" s="1">
        <v>44</v>
      </c>
      <c r="M84" s="1">
        <v>95</v>
      </c>
      <c r="N84" s="17">
        <v>0.75619999999999998</v>
      </c>
      <c r="O84" s="1">
        <v>332</v>
      </c>
      <c r="P84" s="15">
        <v>0.45689999999999997</v>
      </c>
      <c r="Q84" s="1">
        <v>3.7757999999999998</v>
      </c>
      <c r="R84" s="1" t="s">
        <v>27</v>
      </c>
      <c r="S84" s="1">
        <v>526.21310000000005</v>
      </c>
      <c r="T84" s="1" t="s">
        <v>28</v>
      </c>
      <c r="U84" s="1" t="s">
        <v>36</v>
      </c>
    </row>
    <row r="85" spans="1:21" x14ac:dyDescent="0.3">
      <c r="A85" s="1" t="s">
        <v>687</v>
      </c>
      <c r="B85" s="2">
        <v>37411</v>
      </c>
      <c r="C85" s="1">
        <v>22</v>
      </c>
      <c r="D85" s="1">
        <v>184</v>
      </c>
      <c r="E85" s="1" t="s">
        <v>32</v>
      </c>
      <c r="F85" s="1" t="s">
        <v>62</v>
      </c>
      <c r="G85" s="1" t="s">
        <v>63</v>
      </c>
      <c r="H85" s="1" t="s">
        <v>25</v>
      </c>
      <c r="I85" s="1" t="s">
        <v>80</v>
      </c>
      <c r="J85" s="1">
        <v>4</v>
      </c>
      <c r="K85" s="1">
        <v>71</v>
      </c>
      <c r="L85" s="1">
        <v>7</v>
      </c>
      <c r="M85" s="1">
        <v>5</v>
      </c>
      <c r="N85" s="17">
        <v>0.27329999999999999</v>
      </c>
      <c r="O85" s="1">
        <v>81</v>
      </c>
      <c r="P85" s="15">
        <v>0.82279999999999998</v>
      </c>
      <c r="Q85" s="1">
        <v>90.1751</v>
      </c>
      <c r="R85" s="1" t="s">
        <v>27</v>
      </c>
      <c r="S85" s="1">
        <v>169.26609999999999</v>
      </c>
      <c r="T85" s="1" t="s">
        <v>28</v>
      </c>
      <c r="U85" s="1" t="s">
        <v>56</v>
      </c>
    </row>
    <row r="86" spans="1:21" x14ac:dyDescent="0.3">
      <c r="A86" s="1" t="s">
        <v>688</v>
      </c>
      <c r="B86" s="2">
        <v>37602</v>
      </c>
      <c r="C86" s="1">
        <v>22</v>
      </c>
      <c r="D86" s="1">
        <v>171</v>
      </c>
      <c r="E86" s="1" t="s">
        <v>24</v>
      </c>
      <c r="F86" s="1" t="s">
        <v>72</v>
      </c>
      <c r="G86" s="1" t="s">
        <v>53</v>
      </c>
      <c r="H86" s="1" t="s">
        <v>25</v>
      </c>
      <c r="I86" s="1" t="s">
        <v>110</v>
      </c>
      <c r="J86" s="1">
        <v>137</v>
      </c>
      <c r="K86" s="1">
        <v>34</v>
      </c>
      <c r="L86" s="1">
        <v>30</v>
      </c>
      <c r="M86" s="1">
        <v>65</v>
      </c>
      <c r="N86" s="17">
        <v>0.62350000000000005</v>
      </c>
      <c r="O86" s="1">
        <v>43</v>
      </c>
      <c r="P86" s="15">
        <v>0.41849999999999998</v>
      </c>
      <c r="Q86" s="1">
        <v>55.897100000000002</v>
      </c>
      <c r="R86" s="1" t="s">
        <v>40</v>
      </c>
      <c r="S86" s="1">
        <v>310.34199999999998</v>
      </c>
      <c r="T86" s="1" t="s">
        <v>35</v>
      </c>
      <c r="U86" s="1" t="s">
        <v>47</v>
      </c>
    </row>
    <row r="87" spans="1:21" x14ac:dyDescent="0.3">
      <c r="A87" s="1" t="s">
        <v>689</v>
      </c>
      <c r="B87" s="2">
        <v>37509</v>
      </c>
      <c r="C87" s="1">
        <v>22</v>
      </c>
      <c r="D87" s="1">
        <v>170</v>
      </c>
      <c r="E87" s="1" t="s">
        <v>24</v>
      </c>
      <c r="F87" s="1" t="s">
        <v>52</v>
      </c>
      <c r="G87" s="1" t="s">
        <v>53</v>
      </c>
      <c r="H87" s="1" t="s">
        <v>25</v>
      </c>
      <c r="I87" s="1" t="s">
        <v>115</v>
      </c>
      <c r="J87" s="1">
        <v>118</v>
      </c>
      <c r="K87" s="1">
        <v>49</v>
      </c>
      <c r="L87" s="1">
        <v>50</v>
      </c>
      <c r="M87" s="1">
        <v>47</v>
      </c>
      <c r="N87" s="17">
        <v>0.64439999999999997</v>
      </c>
      <c r="O87" s="1">
        <v>103</v>
      </c>
      <c r="P87" s="15">
        <v>0.5494</v>
      </c>
      <c r="Q87" s="1">
        <v>79.802700000000002</v>
      </c>
      <c r="R87" s="1" t="s">
        <v>40</v>
      </c>
      <c r="S87" s="1">
        <v>368.17380000000003</v>
      </c>
      <c r="T87" s="1" t="s">
        <v>46</v>
      </c>
      <c r="U87" s="1" t="s">
        <v>102</v>
      </c>
    </row>
    <row r="88" spans="1:21" x14ac:dyDescent="0.3">
      <c r="A88" s="1" t="s">
        <v>690</v>
      </c>
      <c r="B88" s="2">
        <v>37586</v>
      </c>
      <c r="C88" s="1">
        <v>22</v>
      </c>
      <c r="D88" s="1">
        <v>178</v>
      </c>
      <c r="E88" s="1" t="s">
        <v>32</v>
      </c>
      <c r="F88" s="1" t="s">
        <v>22</v>
      </c>
      <c r="G88" s="1" t="s">
        <v>23</v>
      </c>
      <c r="H88" s="1" t="s">
        <v>25</v>
      </c>
      <c r="I88" s="1" t="s">
        <v>94</v>
      </c>
      <c r="J88" s="1">
        <v>101</v>
      </c>
      <c r="K88" s="1">
        <v>96</v>
      </c>
      <c r="L88" s="1">
        <v>92</v>
      </c>
      <c r="M88" s="1">
        <v>90</v>
      </c>
      <c r="N88" s="17">
        <v>0.33879999999999999</v>
      </c>
      <c r="O88" s="1">
        <v>374</v>
      </c>
      <c r="P88" s="15">
        <v>0.4753</v>
      </c>
      <c r="Q88" s="1">
        <v>128.5248</v>
      </c>
      <c r="R88" s="1" t="s">
        <v>27</v>
      </c>
      <c r="S88" s="1">
        <v>753.72410000000002</v>
      </c>
      <c r="T88" s="1" t="s">
        <v>28</v>
      </c>
      <c r="U88" s="1" t="s">
        <v>102</v>
      </c>
    </row>
    <row r="89" spans="1:21" x14ac:dyDescent="0.3">
      <c r="A89" s="1" t="s">
        <v>691</v>
      </c>
      <c r="B89" s="2">
        <v>37306</v>
      </c>
      <c r="C89" s="1">
        <v>22</v>
      </c>
      <c r="D89" s="1">
        <v>181</v>
      </c>
      <c r="E89" s="1" t="s">
        <v>32</v>
      </c>
      <c r="F89" s="1" t="s">
        <v>109</v>
      </c>
      <c r="G89" s="1" t="s">
        <v>63</v>
      </c>
      <c r="H89" s="1" t="s">
        <v>54</v>
      </c>
      <c r="I89" s="1" t="s">
        <v>70</v>
      </c>
      <c r="J89" s="1">
        <v>18</v>
      </c>
      <c r="K89" s="1">
        <v>39</v>
      </c>
      <c r="L89" s="1">
        <v>33</v>
      </c>
      <c r="M89" s="1">
        <v>23</v>
      </c>
      <c r="N89" s="17">
        <v>0.85399999999999998</v>
      </c>
      <c r="O89" s="1">
        <v>99</v>
      </c>
      <c r="P89" s="15">
        <v>0.64900000000000002</v>
      </c>
      <c r="Q89" s="1">
        <v>73.214500000000001</v>
      </c>
      <c r="R89" s="1" t="s">
        <v>27</v>
      </c>
      <c r="S89" s="1">
        <v>213.233</v>
      </c>
      <c r="T89" s="1" t="s">
        <v>35</v>
      </c>
      <c r="U89" s="1" t="s">
        <v>47</v>
      </c>
    </row>
    <row r="90" spans="1:21" x14ac:dyDescent="0.3">
      <c r="A90" s="1" t="s">
        <v>692</v>
      </c>
      <c r="B90" s="2">
        <v>37258</v>
      </c>
      <c r="C90" s="1">
        <v>22</v>
      </c>
      <c r="D90" s="1">
        <v>175</v>
      </c>
      <c r="E90" s="1" t="s">
        <v>32</v>
      </c>
      <c r="F90" s="1" t="s">
        <v>62</v>
      </c>
      <c r="G90" s="1" t="s">
        <v>63</v>
      </c>
      <c r="H90" s="1" t="s">
        <v>54</v>
      </c>
      <c r="I90" s="1" t="s">
        <v>121</v>
      </c>
      <c r="J90" s="1">
        <v>26</v>
      </c>
      <c r="K90" s="1">
        <v>71</v>
      </c>
      <c r="L90" s="1">
        <v>79</v>
      </c>
      <c r="M90" s="1">
        <v>67</v>
      </c>
      <c r="N90" s="17">
        <v>0.2397</v>
      </c>
      <c r="O90" s="1">
        <v>263</v>
      </c>
      <c r="P90" s="15">
        <v>0.5373</v>
      </c>
      <c r="Q90" s="1">
        <v>88.403000000000006</v>
      </c>
      <c r="R90" s="1" t="s">
        <v>34</v>
      </c>
      <c r="S90" s="1">
        <v>507.197</v>
      </c>
      <c r="T90" s="1" t="s">
        <v>28</v>
      </c>
      <c r="U90" s="1" t="s">
        <v>36</v>
      </c>
    </row>
    <row r="91" spans="1:21" x14ac:dyDescent="0.3">
      <c r="A91" s="1" t="s">
        <v>693</v>
      </c>
      <c r="B91" s="2">
        <v>37422</v>
      </c>
      <c r="C91" s="1">
        <v>22</v>
      </c>
      <c r="D91" s="1">
        <v>178</v>
      </c>
      <c r="E91" s="1" t="s">
        <v>32</v>
      </c>
      <c r="F91" s="1" t="s">
        <v>75</v>
      </c>
      <c r="G91" s="1" t="s">
        <v>53</v>
      </c>
      <c r="H91" s="1" t="s">
        <v>25</v>
      </c>
      <c r="I91" s="1" t="s">
        <v>26</v>
      </c>
      <c r="J91" s="1">
        <v>38</v>
      </c>
      <c r="K91" s="1">
        <v>93</v>
      </c>
      <c r="L91" s="1">
        <v>7</v>
      </c>
      <c r="M91" s="1">
        <v>26</v>
      </c>
      <c r="N91" s="17">
        <v>0.84240000000000004</v>
      </c>
      <c r="O91" s="1">
        <v>373</v>
      </c>
      <c r="P91" s="15">
        <v>0.43780000000000002</v>
      </c>
      <c r="Q91" s="1">
        <v>170.69839999999999</v>
      </c>
      <c r="R91" s="1" t="s">
        <v>34</v>
      </c>
      <c r="S91" s="1">
        <v>538.28020000000004</v>
      </c>
      <c r="T91" s="1" t="s">
        <v>35</v>
      </c>
      <c r="U91" s="1" t="s">
        <v>56</v>
      </c>
    </row>
    <row r="92" spans="1:21" x14ac:dyDescent="0.3">
      <c r="A92" s="1" t="s">
        <v>694</v>
      </c>
      <c r="B92" s="2">
        <v>37368</v>
      </c>
      <c r="C92" s="1">
        <v>22</v>
      </c>
      <c r="D92" s="1">
        <v>179</v>
      </c>
      <c r="E92" s="1" t="s">
        <v>32</v>
      </c>
      <c r="F92" s="1" t="s">
        <v>87</v>
      </c>
      <c r="G92" s="1" t="s">
        <v>63</v>
      </c>
      <c r="H92" s="1" t="s">
        <v>25</v>
      </c>
      <c r="I92" s="1" t="s">
        <v>92</v>
      </c>
      <c r="J92" s="1">
        <v>33</v>
      </c>
      <c r="K92" s="1">
        <v>43</v>
      </c>
      <c r="L92" s="1">
        <v>51</v>
      </c>
      <c r="M92" s="1">
        <v>29</v>
      </c>
      <c r="N92" s="17">
        <v>0.89029999999999998</v>
      </c>
      <c r="O92" s="1">
        <v>385</v>
      </c>
      <c r="P92" s="15">
        <v>0.6008</v>
      </c>
      <c r="Q92" s="1">
        <v>82.001199999999997</v>
      </c>
      <c r="R92" s="1" t="s">
        <v>27</v>
      </c>
      <c r="S92" s="1">
        <v>543.4511</v>
      </c>
      <c r="T92" s="1" t="s">
        <v>46</v>
      </c>
      <c r="U92" s="1" t="s">
        <v>36</v>
      </c>
    </row>
    <row r="93" spans="1:21" x14ac:dyDescent="0.3">
      <c r="A93" s="1" t="s">
        <v>695</v>
      </c>
      <c r="B93" s="2">
        <v>36970</v>
      </c>
      <c r="C93" s="1">
        <v>23</v>
      </c>
      <c r="D93" s="1">
        <v>182</v>
      </c>
      <c r="E93" s="1" t="s">
        <v>32</v>
      </c>
      <c r="F93" s="1" t="s">
        <v>79</v>
      </c>
      <c r="G93" s="1" t="s">
        <v>43</v>
      </c>
      <c r="H93" s="1" t="s">
        <v>25</v>
      </c>
      <c r="I93" s="1" t="s">
        <v>60</v>
      </c>
      <c r="J93" s="1">
        <v>27</v>
      </c>
      <c r="K93" s="1">
        <v>99</v>
      </c>
      <c r="L93" s="1">
        <v>28</v>
      </c>
      <c r="M93" s="1">
        <v>85</v>
      </c>
      <c r="N93" s="17">
        <v>0.1784</v>
      </c>
      <c r="O93" s="1">
        <v>7</v>
      </c>
      <c r="P93" s="15">
        <v>0.40710000000000002</v>
      </c>
      <c r="Q93" s="1">
        <v>116.5791</v>
      </c>
      <c r="R93" s="1" t="s">
        <v>27</v>
      </c>
      <c r="S93" s="1">
        <v>246.3655</v>
      </c>
      <c r="T93" s="1" t="s">
        <v>28</v>
      </c>
      <c r="U93" s="1" t="s">
        <v>29</v>
      </c>
    </row>
    <row r="94" spans="1:21" x14ac:dyDescent="0.3">
      <c r="A94" s="1" t="s">
        <v>696</v>
      </c>
      <c r="B94" s="2">
        <v>37652</v>
      </c>
      <c r="C94" s="1">
        <v>21</v>
      </c>
      <c r="D94" s="1">
        <v>185</v>
      </c>
      <c r="E94" s="1" t="s">
        <v>32</v>
      </c>
      <c r="F94" s="1" t="s">
        <v>22</v>
      </c>
      <c r="G94" s="1" t="s">
        <v>23</v>
      </c>
      <c r="H94" s="1" t="s">
        <v>25</v>
      </c>
      <c r="I94" s="1" t="s">
        <v>101</v>
      </c>
      <c r="J94" s="1">
        <v>117</v>
      </c>
      <c r="K94" s="1">
        <v>18</v>
      </c>
      <c r="L94" s="1">
        <v>39</v>
      </c>
      <c r="M94" s="1">
        <v>6</v>
      </c>
      <c r="N94" s="17">
        <v>0.27629999999999999</v>
      </c>
      <c r="O94" s="1">
        <v>73</v>
      </c>
      <c r="P94" s="15">
        <v>0.60840000000000005</v>
      </c>
      <c r="Q94" s="1">
        <v>23.279699999999998</v>
      </c>
      <c r="R94" s="1" t="s">
        <v>34</v>
      </c>
      <c r="S94" s="1">
        <v>253.7347</v>
      </c>
      <c r="T94" s="1" t="s">
        <v>46</v>
      </c>
      <c r="U94" s="1" t="s">
        <v>47</v>
      </c>
    </row>
    <row r="95" spans="1:21" x14ac:dyDescent="0.3">
      <c r="A95" s="1" t="s">
        <v>697</v>
      </c>
      <c r="B95" s="2">
        <v>37335</v>
      </c>
      <c r="C95" s="1">
        <v>22</v>
      </c>
      <c r="D95" s="1">
        <v>180</v>
      </c>
      <c r="E95" s="1" t="s">
        <v>32</v>
      </c>
      <c r="F95" s="1" t="s">
        <v>75</v>
      </c>
      <c r="G95" s="1" t="s">
        <v>53</v>
      </c>
      <c r="H95" s="1" t="s">
        <v>54</v>
      </c>
      <c r="I95" s="1" t="s">
        <v>80</v>
      </c>
      <c r="J95" s="1">
        <v>101</v>
      </c>
      <c r="K95" s="1">
        <v>5</v>
      </c>
      <c r="L95" s="1">
        <v>56</v>
      </c>
      <c r="M95" s="1">
        <v>75</v>
      </c>
      <c r="N95" s="17">
        <v>0.52049999999999996</v>
      </c>
      <c r="O95" s="1">
        <v>95</v>
      </c>
      <c r="P95" s="15">
        <v>0.52149999999999996</v>
      </c>
      <c r="Q95" s="1">
        <v>8.2258999999999993</v>
      </c>
      <c r="R95" s="1" t="s">
        <v>27</v>
      </c>
      <c r="S95" s="1">
        <v>333.18200000000002</v>
      </c>
      <c r="T95" s="1" t="s">
        <v>28</v>
      </c>
      <c r="U95" s="1" t="s">
        <v>36</v>
      </c>
    </row>
    <row r="96" spans="1:21" x14ac:dyDescent="0.3">
      <c r="A96" s="1" t="s">
        <v>698</v>
      </c>
      <c r="B96" s="2">
        <v>37158</v>
      </c>
      <c r="C96" s="1">
        <v>23</v>
      </c>
      <c r="D96" s="1">
        <v>166</v>
      </c>
      <c r="E96" s="1" t="s">
        <v>76</v>
      </c>
      <c r="F96" s="1" t="s">
        <v>109</v>
      </c>
      <c r="G96" s="1" t="s">
        <v>63</v>
      </c>
      <c r="H96" s="1" t="s">
        <v>25</v>
      </c>
      <c r="I96" s="1" t="s">
        <v>117</v>
      </c>
      <c r="J96" s="1">
        <v>27</v>
      </c>
      <c r="K96" s="1">
        <v>43</v>
      </c>
      <c r="L96" s="1">
        <v>9</v>
      </c>
      <c r="M96" s="1">
        <v>91</v>
      </c>
      <c r="N96" s="17">
        <v>0.17230000000000001</v>
      </c>
      <c r="O96" s="1">
        <v>342</v>
      </c>
      <c r="P96" s="15">
        <v>0.50900000000000001</v>
      </c>
      <c r="Q96" s="1">
        <v>50.631599999999999</v>
      </c>
      <c r="R96" s="1" t="s">
        <v>45</v>
      </c>
      <c r="S96" s="1">
        <v>512.57129999999995</v>
      </c>
      <c r="T96" s="1" t="s">
        <v>46</v>
      </c>
      <c r="U96" s="1" t="s">
        <v>47</v>
      </c>
    </row>
    <row r="97" spans="1:21" x14ac:dyDescent="0.3">
      <c r="A97" s="1" t="s">
        <v>699</v>
      </c>
      <c r="B97" s="2">
        <v>37843</v>
      </c>
      <c r="C97" s="1">
        <v>21</v>
      </c>
      <c r="D97" s="1">
        <v>184</v>
      </c>
      <c r="E97" s="1" t="s">
        <v>32</v>
      </c>
      <c r="F97" s="1" t="s">
        <v>72</v>
      </c>
      <c r="G97" s="1" t="s">
        <v>53</v>
      </c>
      <c r="H97" s="1" t="s">
        <v>25</v>
      </c>
      <c r="I97" s="1" t="s">
        <v>50</v>
      </c>
      <c r="J97" s="1">
        <v>81</v>
      </c>
      <c r="K97" s="1">
        <v>93</v>
      </c>
      <c r="L97" s="1">
        <v>75</v>
      </c>
      <c r="M97" s="1">
        <v>75</v>
      </c>
      <c r="N97" s="17">
        <v>0.64710000000000001</v>
      </c>
      <c r="O97" s="1">
        <v>317</v>
      </c>
      <c r="P97" s="15">
        <v>0.44890000000000002</v>
      </c>
      <c r="Q97" s="1">
        <v>153.92150000000001</v>
      </c>
      <c r="R97" s="1" t="s">
        <v>27</v>
      </c>
      <c r="S97" s="1">
        <v>643.73599999999999</v>
      </c>
      <c r="T97" s="1" t="s">
        <v>28</v>
      </c>
      <c r="U97" s="1" t="s">
        <v>65</v>
      </c>
    </row>
    <row r="98" spans="1:21" x14ac:dyDescent="0.3">
      <c r="A98" s="1" t="s">
        <v>700</v>
      </c>
      <c r="B98" s="2">
        <v>37750</v>
      </c>
      <c r="C98" s="1">
        <v>21</v>
      </c>
      <c r="D98" s="1">
        <v>176</v>
      </c>
      <c r="E98" s="1" t="s">
        <v>32</v>
      </c>
      <c r="F98" s="1" t="s">
        <v>69</v>
      </c>
      <c r="G98" s="1" t="s">
        <v>43</v>
      </c>
      <c r="H98" s="1" t="s">
        <v>25</v>
      </c>
      <c r="I98" s="1" t="s">
        <v>77</v>
      </c>
      <c r="J98" s="1">
        <v>114</v>
      </c>
      <c r="K98" s="1">
        <v>30</v>
      </c>
      <c r="L98" s="1">
        <v>3</v>
      </c>
      <c r="M98" s="1">
        <v>39</v>
      </c>
      <c r="N98" s="17">
        <v>0.89039999999999997</v>
      </c>
      <c r="O98" s="1">
        <v>269</v>
      </c>
      <c r="P98" s="15">
        <v>0.66930000000000001</v>
      </c>
      <c r="Q98" s="1">
        <v>56.371699999999997</v>
      </c>
      <c r="R98" s="1" t="s">
        <v>40</v>
      </c>
      <c r="S98" s="1">
        <v>456.19970000000001</v>
      </c>
      <c r="T98" s="1" t="s">
        <v>35</v>
      </c>
      <c r="U98" s="1" t="s">
        <v>36</v>
      </c>
    </row>
    <row r="99" spans="1:21" x14ac:dyDescent="0.3">
      <c r="A99" s="1" t="s">
        <v>701</v>
      </c>
      <c r="B99" s="2">
        <v>37840</v>
      </c>
      <c r="C99" s="1">
        <v>21</v>
      </c>
      <c r="D99" s="1">
        <v>171</v>
      </c>
      <c r="E99" s="1" t="s">
        <v>24</v>
      </c>
      <c r="F99" s="1" t="s">
        <v>49</v>
      </c>
      <c r="G99" s="1" t="s">
        <v>43</v>
      </c>
      <c r="H99" s="1" t="s">
        <v>25</v>
      </c>
      <c r="I99" s="1" t="s">
        <v>121</v>
      </c>
      <c r="J99" s="1">
        <v>144</v>
      </c>
      <c r="K99" s="1">
        <v>35</v>
      </c>
      <c r="L99" s="1">
        <v>68</v>
      </c>
      <c r="M99" s="1">
        <v>22</v>
      </c>
      <c r="N99" s="17">
        <v>0.29980000000000001</v>
      </c>
      <c r="O99" s="1">
        <v>112</v>
      </c>
      <c r="P99" s="15">
        <v>0.62819999999999998</v>
      </c>
      <c r="Q99" s="1">
        <v>45.48</v>
      </c>
      <c r="R99" s="1" t="s">
        <v>34</v>
      </c>
      <c r="S99" s="1">
        <v>380.89800000000002</v>
      </c>
      <c r="T99" s="1" t="s">
        <v>35</v>
      </c>
      <c r="U99" s="1" t="s">
        <v>47</v>
      </c>
    </row>
    <row r="100" spans="1:21" x14ac:dyDescent="0.3">
      <c r="A100" s="1" t="s">
        <v>702</v>
      </c>
      <c r="B100" s="2">
        <v>37515</v>
      </c>
      <c r="C100" s="1">
        <v>22</v>
      </c>
      <c r="D100" s="1">
        <v>166</v>
      </c>
      <c r="E100" s="1" t="s">
        <v>76</v>
      </c>
      <c r="F100" s="1" t="s">
        <v>72</v>
      </c>
      <c r="G100" s="1" t="s">
        <v>53</v>
      </c>
      <c r="H100" s="1" t="s">
        <v>54</v>
      </c>
      <c r="I100" s="1" t="s">
        <v>55</v>
      </c>
      <c r="J100" s="1">
        <v>113</v>
      </c>
      <c r="K100" s="1">
        <v>53</v>
      </c>
      <c r="L100" s="1">
        <v>29</v>
      </c>
      <c r="M100" s="1">
        <v>85</v>
      </c>
      <c r="N100" s="17">
        <v>0.94299999999999995</v>
      </c>
      <c r="O100" s="1">
        <v>7</v>
      </c>
      <c r="P100" s="15">
        <v>0.73899999999999999</v>
      </c>
      <c r="Q100" s="1">
        <v>102.3184</v>
      </c>
      <c r="R100" s="1" t="s">
        <v>34</v>
      </c>
      <c r="S100" s="1">
        <v>287.93200000000002</v>
      </c>
      <c r="T100" s="1" t="s">
        <v>35</v>
      </c>
      <c r="U100" s="1" t="s">
        <v>113</v>
      </c>
    </row>
    <row r="101" spans="1:21" x14ac:dyDescent="0.3">
      <c r="A101" s="1" t="s">
        <v>703</v>
      </c>
      <c r="B101" s="2">
        <v>37211</v>
      </c>
      <c r="C101" s="1">
        <v>23</v>
      </c>
      <c r="D101" s="1">
        <v>166</v>
      </c>
      <c r="E101" s="1" t="s">
        <v>76</v>
      </c>
      <c r="F101" s="1" t="s">
        <v>52</v>
      </c>
      <c r="G101" s="1" t="s">
        <v>53</v>
      </c>
      <c r="H101" s="1" t="s">
        <v>54</v>
      </c>
      <c r="I101" s="1" t="s">
        <v>123</v>
      </c>
      <c r="J101" s="1">
        <v>124</v>
      </c>
      <c r="K101" s="1">
        <v>80</v>
      </c>
      <c r="L101" s="1">
        <v>11</v>
      </c>
      <c r="M101" s="1">
        <v>11</v>
      </c>
      <c r="N101" s="17">
        <v>0.3745</v>
      </c>
      <c r="O101" s="1">
        <v>352</v>
      </c>
      <c r="P101" s="15">
        <v>0.62760000000000005</v>
      </c>
      <c r="Q101" s="1">
        <v>109.4239</v>
      </c>
      <c r="R101" s="1" t="s">
        <v>27</v>
      </c>
      <c r="S101" s="1">
        <v>579.50210000000004</v>
      </c>
      <c r="T101" s="1" t="s">
        <v>46</v>
      </c>
      <c r="U101" s="1" t="s">
        <v>29</v>
      </c>
    </row>
    <row r="102" spans="1:21" x14ac:dyDescent="0.3">
      <c r="A102" s="1" t="s">
        <v>704</v>
      </c>
      <c r="B102" s="2">
        <v>37598</v>
      </c>
      <c r="C102" s="1">
        <v>22</v>
      </c>
      <c r="D102" s="1">
        <v>167</v>
      </c>
      <c r="E102" s="1" t="s">
        <v>76</v>
      </c>
      <c r="F102" s="1" t="s">
        <v>104</v>
      </c>
      <c r="G102" s="1" t="s">
        <v>53</v>
      </c>
      <c r="H102" s="1" t="s">
        <v>25</v>
      </c>
      <c r="I102" s="1" t="s">
        <v>82</v>
      </c>
      <c r="J102" s="1">
        <v>49</v>
      </c>
      <c r="K102" s="1">
        <v>69</v>
      </c>
      <c r="L102" s="1">
        <v>3</v>
      </c>
      <c r="M102" s="1">
        <v>95</v>
      </c>
      <c r="N102" s="17">
        <v>0.77190000000000003</v>
      </c>
      <c r="O102" s="1">
        <v>316</v>
      </c>
      <c r="P102" s="15">
        <v>0.71779999999999999</v>
      </c>
      <c r="Q102" s="1">
        <v>122.77500000000001</v>
      </c>
      <c r="R102" s="1" t="s">
        <v>45</v>
      </c>
      <c r="S102" s="1">
        <v>534.97969999999998</v>
      </c>
      <c r="T102" s="1" t="s">
        <v>28</v>
      </c>
      <c r="U102" s="1" t="s">
        <v>47</v>
      </c>
    </row>
    <row r="103" spans="1:21" x14ac:dyDescent="0.3">
      <c r="A103" s="1" t="s">
        <v>705</v>
      </c>
      <c r="B103" s="2">
        <v>37008</v>
      </c>
      <c r="C103" s="1">
        <v>23</v>
      </c>
      <c r="D103" s="1">
        <v>168</v>
      </c>
      <c r="E103" s="1" t="s">
        <v>24</v>
      </c>
      <c r="F103" s="1" t="s">
        <v>62</v>
      </c>
      <c r="G103" s="1" t="s">
        <v>63</v>
      </c>
      <c r="H103" s="1" t="s">
        <v>54</v>
      </c>
      <c r="I103" s="1" t="s">
        <v>94</v>
      </c>
      <c r="J103" s="1">
        <v>27</v>
      </c>
      <c r="K103" s="1">
        <v>59</v>
      </c>
      <c r="L103" s="1">
        <v>9</v>
      </c>
      <c r="M103" s="1">
        <v>19</v>
      </c>
      <c r="N103" s="17">
        <v>0.66120000000000001</v>
      </c>
      <c r="O103" s="1">
        <v>175</v>
      </c>
      <c r="P103" s="15">
        <v>0.49419999999999997</v>
      </c>
      <c r="Q103" s="1">
        <v>98.658699999999996</v>
      </c>
      <c r="R103" s="1" t="s">
        <v>27</v>
      </c>
      <c r="S103" s="1">
        <v>291.68540000000002</v>
      </c>
      <c r="T103" s="1" t="s">
        <v>28</v>
      </c>
      <c r="U103" s="1" t="s">
        <v>29</v>
      </c>
    </row>
    <row r="104" spans="1:21" x14ac:dyDescent="0.3">
      <c r="A104" s="1" t="s">
        <v>706</v>
      </c>
      <c r="B104" s="2">
        <v>37925</v>
      </c>
      <c r="C104" s="1">
        <v>21</v>
      </c>
      <c r="D104" s="1">
        <v>167</v>
      </c>
      <c r="E104" s="1" t="s">
        <v>76</v>
      </c>
      <c r="F104" s="1" t="s">
        <v>79</v>
      </c>
      <c r="G104" s="1" t="s">
        <v>43</v>
      </c>
      <c r="H104" s="1" t="s">
        <v>54</v>
      </c>
      <c r="I104" s="1" t="s">
        <v>96</v>
      </c>
      <c r="J104" s="1">
        <v>139</v>
      </c>
      <c r="K104" s="1">
        <v>8</v>
      </c>
      <c r="L104" s="1">
        <v>25</v>
      </c>
      <c r="M104" s="1">
        <v>30</v>
      </c>
      <c r="N104" s="17">
        <v>0.60409999999999997</v>
      </c>
      <c r="O104" s="1">
        <v>80</v>
      </c>
      <c r="P104" s="15">
        <v>0.72919999999999996</v>
      </c>
      <c r="Q104" s="1">
        <v>12.5761</v>
      </c>
      <c r="R104" s="1" t="s">
        <v>34</v>
      </c>
      <c r="S104" s="1">
        <v>284.42329999999998</v>
      </c>
      <c r="T104" s="1" t="s">
        <v>35</v>
      </c>
      <c r="U104" s="1" t="s">
        <v>36</v>
      </c>
    </row>
    <row r="105" spans="1:21" x14ac:dyDescent="0.3">
      <c r="A105" s="1" t="s">
        <v>707</v>
      </c>
      <c r="B105" s="2">
        <v>37878</v>
      </c>
      <c r="C105" s="1">
        <v>21</v>
      </c>
      <c r="D105" s="1">
        <v>174</v>
      </c>
      <c r="E105" s="1" t="s">
        <v>24</v>
      </c>
      <c r="F105" s="1" t="s">
        <v>69</v>
      </c>
      <c r="G105" s="1" t="s">
        <v>43</v>
      </c>
      <c r="H105" s="1" t="s">
        <v>25</v>
      </c>
      <c r="I105" s="1" t="s">
        <v>117</v>
      </c>
      <c r="J105" s="1">
        <v>39</v>
      </c>
      <c r="K105" s="1">
        <v>38</v>
      </c>
      <c r="L105" s="1">
        <v>39</v>
      </c>
      <c r="M105" s="1">
        <v>8</v>
      </c>
      <c r="N105" s="17">
        <v>0.29239999999999999</v>
      </c>
      <c r="O105" s="1">
        <v>206</v>
      </c>
      <c r="P105" s="15">
        <v>0.63390000000000002</v>
      </c>
      <c r="Q105" s="1">
        <v>49.111199999999997</v>
      </c>
      <c r="R105" s="1" t="s">
        <v>45</v>
      </c>
      <c r="S105" s="1">
        <v>331.02629999999999</v>
      </c>
      <c r="T105" s="1" t="s">
        <v>46</v>
      </c>
      <c r="U105" s="1" t="s">
        <v>29</v>
      </c>
    </row>
    <row r="106" spans="1:21" x14ac:dyDescent="0.3">
      <c r="A106" s="1" t="s">
        <v>708</v>
      </c>
      <c r="B106" s="2">
        <v>36929</v>
      </c>
      <c r="C106" s="1">
        <v>23</v>
      </c>
      <c r="D106" s="1">
        <v>175</v>
      </c>
      <c r="E106" s="1" t="s">
        <v>32</v>
      </c>
      <c r="F106" s="1" t="s">
        <v>62</v>
      </c>
      <c r="G106" s="1" t="s">
        <v>63</v>
      </c>
      <c r="H106" s="1" t="s">
        <v>54</v>
      </c>
      <c r="I106" s="1" t="s">
        <v>50</v>
      </c>
      <c r="J106" s="1">
        <v>29</v>
      </c>
      <c r="K106" s="1">
        <v>8</v>
      </c>
      <c r="L106" s="1">
        <v>54</v>
      </c>
      <c r="M106" s="1">
        <v>39</v>
      </c>
      <c r="N106" s="17">
        <v>0.3019</v>
      </c>
      <c r="O106" s="1">
        <v>57</v>
      </c>
      <c r="P106" s="15">
        <v>0.57230000000000003</v>
      </c>
      <c r="Q106" s="1">
        <v>11.053100000000001</v>
      </c>
      <c r="R106" s="1" t="s">
        <v>45</v>
      </c>
      <c r="S106" s="1">
        <v>188.55420000000001</v>
      </c>
      <c r="T106" s="1" t="s">
        <v>28</v>
      </c>
      <c r="U106" s="1" t="s">
        <v>113</v>
      </c>
    </row>
    <row r="107" spans="1:21" x14ac:dyDescent="0.3">
      <c r="A107" s="1" t="s">
        <v>709</v>
      </c>
      <c r="B107" s="2">
        <v>37166</v>
      </c>
      <c r="C107" s="1">
        <v>23</v>
      </c>
      <c r="D107" s="1">
        <v>172</v>
      </c>
      <c r="E107" s="1" t="s">
        <v>24</v>
      </c>
      <c r="F107" s="1" t="s">
        <v>62</v>
      </c>
      <c r="G107" s="1" t="s">
        <v>63</v>
      </c>
      <c r="H107" s="1" t="s">
        <v>54</v>
      </c>
      <c r="I107" s="1" t="s">
        <v>70</v>
      </c>
      <c r="J107" s="1">
        <v>3</v>
      </c>
      <c r="K107" s="1">
        <v>32</v>
      </c>
      <c r="L107" s="1">
        <v>33</v>
      </c>
      <c r="M107" s="1">
        <v>28</v>
      </c>
      <c r="N107" s="17">
        <v>0.52529999999999999</v>
      </c>
      <c r="O107" s="1">
        <v>50</v>
      </c>
      <c r="P107" s="15">
        <v>0.6069</v>
      </c>
      <c r="Q107" s="1">
        <v>49.129899999999999</v>
      </c>
      <c r="R107" s="1" t="s">
        <v>27</v>
      </c>
      <c r="S107" s="1">
        <v>146.04220000000001</v>
      </c>
      <c r="T107" s="1" t="s">
        <v>28</v>
      </c>
      <c r="U107" s="1" t="s">
        <v>113</v>
      </c>
    </row>
    <row r="108" spans="1:21" x14ac:dyDescent="0.3">
      <c r="A108" s="1" t="s">
        <v>710</v>
      </c>
      <c r="B108" s="2">
        <v>37485</v>
      </c>
      <c r="C108" s="1">
        <v>22</v>
      </c>
      <c r="D108" s="1">
        <v>176</v>
      </c>
      <c r="E108" s="1" t="s">
        <v>32</v>
      </c>
      <c r="F108" s="1" t="s">
        <v>31</v>
      </c>
      <c r="G108" s="1" t="s">
        <v>23</v>
      </c>
      <c r="H108" s="1" t="s">
        <v>54</v>
      </c>
      <c r="I108" s="1" t="s">
        <v>39</v>
      </c>
      <c r="J108" s="1">
        <v>70</v>
      </c>
      <c r="K108" s="1">
        <v>85</v>
      </c>
      <c r="L108" s="1">
        <v>74</v>
      </c>
      <c r="M108" s="1">
        <v>48</v>
      </c>
      <c r="N108" s="17">
        <v>0.35909999999999997</v>
      </c>
      <c r="O108" s="1">
        <v>64</v>
      </c>
      <c r="P108" s="15">
        <v>0.68520000000000003</v>
      </c>
      <c r="Q108" s="1">
        <v>116.1215</v>
      </c>
      <c r="R108" s="1" t="s">
        <v>34</v>
      </c>
      <c r="S108" s="1">
        <v>341.8843</v>
      </c>
      <c r="T108" s="1" t="s">
        <v>46</v>
      </c>
      <c r="U108" s="1" t="s">
        <v>47</v>
      </c>
    </row>
    <row r="109" spans="1:21" x14ac:dyDescent="0.3">
      <c r="A109" s="1" t="s">
        <v>711</v>
      </c>
      <c r="B109" s="2">
        <v>37703</v>
      </c>
      <c r="C109" s="1">
        <v>21</v>
      </c>
      <c r="D109" s="1">
        <v>178</v>
      </c>
      <c r="E109" s="1" t="s">
        <v>32</v>
      </c>
      <c r="F109" s="1" t="s">
        <v>109</v>
      </c>
      <c r="G109" s="1" t="s">
        <v>63</v>
      </c>
      <c r="H109" s="1" t="s">
        <v>25</v>
      </c>
      <c r="I109" s="1" t="s">
        <v>121</v>
      </c>
      <c r="J109" s="1">
        <v>6</v>
      </c>
      <c r="K109" s="1">
        <v>60</v>
      </c>
      <c r="L109" s="1">
        <v>10</v>
      </c>
      <c r="M109" s="1">
        <v>53</v>
      </c>
      <c r="N109" s="17">
        <v>0.74399999999999999</v>
      </c>
      <c r="O109" s="1">
        <v>87</v>
      </c>
      <c r="P109" s="15">
        <v>0.61380000000000001</v>
      </c>
      <c r="Q109" s="1">
        <v>104.9714</v>
      </c>
      <c r="R109" s="1" t="s">
        <v>27</v>
      </c>
      <c r="S109" s="1">
        <v>218.14779999999999</v>
      </c>
      <c r="T109" s="1" t="s">
        <v>35</v>
      </c>
      <c r="U109" s="1" t="s">
        <v>102</v>
      </c>
    </row>
    <row r="110" spans="1:21" x14ac:dyDescent="0.3">
      <c r="A110" s="1" t="s">
        <v>712</v>
      </c>
      <c r="B110" s="2">
        <v>37695</v>
      </c>
      <c r="C110" s="1">
        <v>21</v>
      </c>
      <c r="D110" s="1">
        <v>164</v>
      </c>
      <c r="E110" s="1" t="s">
        <v>76</v>
      </c>
      <c r="F110" s="1" t="s">
        <v>49</v>
      </c>
      <c r="G110" s="1" t="s">
        <v>43</v>
      </c>
      <c r="H110" s="1" t="s">
        <v>54</v>
      </c>
      <c r="I110" s="1" t="s">
        <v>77</v>
      </c>
      <c r="J110" s="1">
        <v>35</v>
      </c>
      <c r="K110" s="1">
        <v>23</v>
      </c>
      <c r="L110" s="1">
        <v>90</v>
      </c>
      <c r="M110" s="1">
        <v>72</v>
      </c>
      <c r="N110" s="17">
        <v>0.1191</v>
      </c>
      <c r="O110" s="1">
        <v>256</v>
      </c>
      <c r="P110" s="15">
        <v>0.52559999999999996</v>
      </c>
      <c r="Q110" s="1">
        <v>26.142199999999999</v>
      </c>
      <c r="R110" s="1" t="s">
        <v>45</v>
      </c>
      <c r="S110" s="1">
        <v>477.7647</v>
      </c>
      <c r="T110" s="1" t="s">
        <v>35</v>
      </c>
      <c r="U110" s="1" t="s">
        <v>65</v>
      </c>
    </row>
    <row r="111" spans="1:21" x14ac:dyDescent="0.3">
      <c r="A111" s="1" t="s">
        <v>713</v>
      </c>
      <c r="B111" s="2">
        <v>36999</v>
      </c>
      <c r="C111" s="1">
        <v>23</v>
      </c>
      <c r="D111" s="1">
        <v>175</v>
      </c>
      <c r="E111" s="1" t="s">
        <v>32</v>
      </c>
      <c r="F111" s="1" t="s">
        <v>75</v>
      </c>
      <c r="G111" s="1" t="s">
        <v>53</v>
      </c>
      <c r="H111" s="1" t="s">
        <v>25</v>
      </c>
      <c r="I111" s="1" t="s">
        <v>99</v>
      </c>
      <c r="J111" s="1">
        <v>101</v>
      </c>
      <c r="K111" s="1">
        <v>23</v>
      </c>
      <c r="L111" s="1">
        <v>81</v>
      </c>
      <c r="M111" s="1">
        <v>33</v>
      </c>
      <c r="N111" s="17">
        <v>0.72030000000000005</v>
      </c>
      <c r="O111" s="1">
        <v>1</v>
      </c>
      <c r="P111" s="15">
        <v>0.59430000000000005</v>
      </c>
      <c r="Q111" s="1">
        <v>40.341000000000001</v>
      </c>
      <c r="R111" s="1" t="s">
        <v>45</v>
      </c>
      <c r="S111" s="1">
        <v>241.0746</v>
      </c>
      <c r="T111" s="1" t="s">
        <v>35</v>
      </c>
      <c r="U111" s="1" t="s">
        <v>102</v>
      </c>
    </row>
    <row r="112" spans="1:21" x14ac:dyDescent="0.3">
      <c r="A112" s="1" t="s">
        <v>714</v>
      </c>
      <c r="B112" s="2">
        <v>37228</v>
      </c>
      <c r="C112" s="1">
        <v>23</v>
      </c>
      <c r="D112" s="1">
        <v>171</v>
      </c>
      <c r="E112" s="1" t="s">
        <v>24</v>
      </c>
      <c r="F112" s="1" t="s">
        <v>84</v>
      </c>
      <c r="G112" s="1" t="s">
        <v>63</v>
      </c>
      <c r="H112" s="1" t="s">
        <v>54</v>
      </c>
      <c r="I112" s="1" t="s">
        <v>88</v>
      </c>
      <c r="J112" s="1">
        <v>93</v>
      </c>
      <c r="K112" s="1">
        <v>15</v>
      </c>
      <c r="L112" s="1">
        <v>12</v>
      </c>
      <c r="M112" s="1">
        <v>5</v>
      </c>
      <c r="N112" s="17">
        <v>0.13300000000000001</v>
      </c>
      <c r="O112" s="1">
        <v>142</v>
      </c>
      <c r="P112" s="15">
        <v>0.70950000000000002</v>
      </c>
      <c r="Q112" s="1">
        <v>16.972300000000001</v>
      </c>
      <c r="R112" s="1" t="s">
        <v>34</v>
      </c>
      <c r="S112" s="1">
        <v>266.76249999999999</v>
      </c>
      <c r="T112" s="1" t="s">
        <v>46</v>
      </c>
      <c r="U112" s="1" t="s">
        <v>29</v>
      </c>
    </row>
    <row r="113" spans="1:21" x14ac:dyDescent="0.3">
      <c r="A113" s="1" t="s">
        <v>715</v>
      </c>
      <c r="B113" s="2">
        <v>37090</v>
      </c>
      <c r="C113" s="1">
        <v>23</v>
      </c>
      <c r="D113" s="1">
        <v>169</v>
      </c>
      <c r="E113" s="1" t="s">
        <v>24</v>
      </c>
      <c r="F113" s="1" t="s">
        <v>69</v>
      </c>
      <c r="G113" s="1" t="s">
        <v>43</v>
      </c>
      <c r="H113" s="1" t="s">
        <v>25</v>
      </c>
      <c r="I113" s="1" t="s">
        <v>64</v>
      </c>
      <c r="J113" s="1">
        <v>80</v>
      </c>
      <c r="K113" s="1">
        <v>62</v>
      </c>
      <c r="L113" s="1">
        <v>44</v>
      </c>
      <c r="M113" s="1">
        <v>11</v>
      </c>
      <c r="N113" s="17">
        <v>0.91310000000000002</v>
      </c>
      <c r="O113" s="1">
        <v>202</v>
      </c>
      <c r="P113" s="15">
        <v>0.60809999999999997</v>
      </c>
      <c r="Q113" s="1">
        <v>118.3061</v>
      </c>
      <c r="R113" s="1" t="s">
        <v>40</v>
      </c>
      <c r="S113" s="1">
        <v>401.7312</v>
      </c>
      <c r="T113" s="1" t="s">
        <v>46</v>
      </c>
      <c r="U113" s="1" t="s">
        <v>29</v>
      </c>
    </row>
    <row r="114" spans="1:21" x14ac:dyDescent="0.3">
      <c r="A114" s="1" t="s">
        <v>716</v>
      </c>
      <c r="B114" s="2">
        <v>37038</v>
      </c>
      <c r="C114" s="1">
        <v>23</v>
      </c>
      <c r="D114" s="1">
        <v>173</v>
      </c>
      <c r="E114" s="1" t="s">
        <v>24</v>
      </c>
      <c r="F114" s="1" t="s">
        <v>79</v>
      </c>
      <c r="G114" s="1" t="s">
        <v>43</v>
      </c>
      <c r="H114" s="1" t="s">
        <v>54</v>
      </c>
      <c r="I114" s="1" t="s">
        <v>123</v>
      </c>
      <c r="J114" s="1">
        <v>33</v>
      </c>
      <c r="K114" s="1">
        <v>83</v>
      </c>
      <c r="L114" s="1">
        <v>59</v>
      </c>
      <c r="M114" s="1">
        <v>50</v>
      </c>
      <c r="N114" s="17">
        <v>0.67810000000000004</v>
      </c>
      <c r="O114" s="1">
        <v>76</v>
      </c>
      <c r="P114" s="15">
        <v>0.64400000000000002</v>
      </c>
      <c r="Q114" s="1">
        <v>140.05420000000001</v>
      </c>
      <c r="R114" s="1" t="s">
        <v>27</v>
      </c>
      <c r="S114" s="1">
        <v>302.0421</v>
      </c>
      <c r="T114" s="1" t="s">
        <v>46</v>
      </c>
      <c r="U114" s="1" t="s">
        <v>29</v>
      </c>
    </row>
    <row r="115" spans="1:21" x14ac:dyDescent="0.3">
      <c r="A115" s="1" t="s">
        <v>717</v>
      </c>
      <c r="B115" s="2">
        <v>37360</v>
      </c>
      <c r="C115" s="1">
        <v>22</v>
      </c>
      <c r="D115" s="1">
        <v>162</v>
      </c>
      <c r="E115" s="1" t="s">
        <v>76</v>
      </c>
      <c r="F115" s="1" t="s">
        <v>52</v>
      </c>
      <c r="G115" s="1" t="s">
        <v>53</v>
      </c>
      <c r="H115" s="1" t="s">
        <v>25</v>
      </c>
      <c r="I115" s="1" t="s">
        <v>123</v>
      </c>
      <c r="J115" s="1">
        <v>52</v>
      </c>
      <c r="K115" s="1">
        <v>45</v>
      </c>
      <c r="L115" s="1">
        <v>22</v>
      </c>
      <c r="M115" s="1">
        <v>59</v>
      </c>
      <c r="N115" s="17">
        <v>0.44529999999999997</v>
      </c>
      <c r="O115" s="1">
        <v>298</v>
      </c>
      <c r="P115" s="15">
        <v>0.60050000000000003</v>
      </c>
      <c r="Q115" s="1">
        <v>65.486500000000007</v>
      </c>
      <c r="R115" s="1" t="s">
        <v>40</v>
      </c>
      <c r="S115" s="1">
        <v>478.92579999999998</v>
      </c>
      <c r="T115" s="1" t="s">
        <v>35</v>
      </c>
      <c r="U115" s="1" t="s">
        <v>113</v>
      </c>
    </row>
    <row r="116" spans="1:21" x14ac:dyDescent="0.3">
      <c r="A116" s="1" t="s">
        <v>718</v>
      </c>
      <c r="B116" s="2">
        <v>36989</v>
      </c>
      <c r="C116" s="1">
        <v>23</v>
      </c>
      <c r="D116" s="1">
        <v>178</v>
      </c>
      <c r="E116" s="1" t="s">
        <v>32</v>
      </c>
      <c r="F116" s="1" t="s">
        <v>104</v>
      </c>
      <c r="G116" s="1" t="s">
        <v>53</v>
      </c>
      <c r="H116" s="1" t="s">
        <v>54</v>
      </c>
      <c r="I116" s="1" t="s">
        <v>99</v>
      </c>
      <c r="J116" s="1">
        <v>52</v>
      </c>
      <c r="K116" s="1">
        <v>26</v>
      </c>
      <c r="L116" s="1">
        <v>25</v>
      </c>
      <c r="M116" s="1">
        <v>31</v>
      </c>
      <c r="N116" s="17">
        <v>0.21609999999999999</v>
      </c>
      <c r="O116" s="1">
        <v>37</v>
      </c>
      <c r="P116" s="15">
        <v>0.42320000000000002</v>
      </c>
      <c r="Q116" s="1">
        <v>31.740200000000002</v>
      </c>
      <c r="R116" s="1" t="s">
        <v>34</v>
      </c>
      <c r="S116" s="1">
        <v>171.3493</v>
      </c>
      <c r="T116" s="1" t="s">
        <v>28</v>
      </c>
      <c r="U116" s="1" t="s">
        <v>36</v>
      </c>
    </row>
    <row r="117" spans="1:21" x14ac:dyDescent="0.3">
      <c r="A117" s="1" t="s">
        <v>719</v>
      </c>
      <c r="B117" s="2">
        <v>36986</v>
      </c>
      <c r="C117" s="1">
        <v>23</v>
      </c>
      <c r="D117" s="1">
        <v>161</v>
      </c>
      <c r="E117" s="1" t="s">
        <v>76</v>
      </c>
      <c r="F117" s="1" t="s">
        <v>98</v>
      </c>
      <c r="G117" s="1" t="s">
        <v>23</v>
      </c>
      <c r="H117" s="1" t="s">
        <v>54</v>
      </c>
      <c r="I117" s="1" t="s">
        <v>85</v>
      </c>
      <c r="J117" s="1">
        <v>109</v>
      </c>
      <c r="K117" s="1">
        <v>1</v>
      </c>
      <c r="L117" s="1">
        <v>4</v>
      </c>
      <c r="M117" s="1">
        <v>44</v>
      </c>
      <c r="N117" s="17">
        <v>0.434</v>
      </c>
      <c r="O117" s="1">
        <v>104</v>
      </c>
      <c r="P117" s="15">
        <v>0.64139999999999997</v>
      </c>
      <c r="Q117" s="1">
        <v>1.8785000000000001</v>
      </c>
      <c r="R117" s="1" t="s">
        <v>40</v>
      </c>
      <c r="S117" s="1">
        <v>263.4554</v>
      </c>
      <c r="T117" s="1" t="s">
        <v>46</v>
      </c>
      <c r="U117" s="1" t="s">
        <v>36</v>
      </c>
    </row>
    <row r="118" spans="1:21" x14ac:dyDescent="0.3">
      <c r="A118" s="1" t="s">
        <v>720</v>
      </c>
      <c r="B118" s="2">
        <v>36990</v>
      </c>
      <c r="C118" s="1">
        <v>23</v>
      </c>
      <c r="D118" s="1">
        <v>162</v>
      </c>
      <c r="E118" s="1" t="s">
        <v>76</v>
      </c>
      <c r="F118" s="1" t="s">
        <v>42</v>
      </c>
      <c r="G118" s="1" t="s">
        <v>43</v>
      </c>
      <c r="H118" s="1" t="s">
        <v>25</v>
      </c>
      <c r="I118" s="1" t="s">
        <v>101</v>
      </c>
      <c r="J118" s="1">
        <v>138</v>
      </c>
      <c r="K118" s="1">
        <v>67</v>
      </c>
      <c r="L118" s="1">
        <v>19</v>
      </c>
      <c r="M118" s="1">
        <v>55</v>
      </c>
      <c r="N118" s="17">
        <v>0.83950000000000002</v>
      </c>
      <c r="O118" s="1">
        <v>387</v>
      </c>
      <c r="P118" s="15">
        <v>0.72160000000000002</v>
      </c>
      <c r="Q118" s="1">
        <v>122.5475</v>
      </c>
      <c r="R118" s="1" t="s">
        <v>45</v>
      </c>
      <c r="S118" s="1">
        <v>666.34109999999998</v>
      </c>
      <c r="T118" s="1" t="s">
        <v>46</v>
      </c>
      <c r="U118" s="1" t="s">
        <v>56</v>
      </c>
    </row>
    <row r="119" spans="1:21" x14ac:dyDescent="0.3">
      <c r="A119" s="1" t="s">
        <v>721</v>
      </c>
      <c r="B119" s="2">
        <v>37809</v>
      </c>
      <c r="C119" s="1">
        <v>21</v>
      </c>
      <c r="D119" s="1">
        <v>166</v>
      </c>
      <c r="E119" s="1" t="s">
        <v>76</v>
      </c>
      <c r="F119" s="1" t="s">
        <v>49</v>
      </c>
      <c r="G119" s="1" t="s">
        <v>43</v>
      </c>
      <c r="H119" s="1" t="s">
        <v>25</v>
      </c>
      <c r="I119" s="1" t="s">
        <v>123</v>
      </c>
      <c r="J119" s="1">
        <v>47</v>
      </c>
      <c r="K119" s="1">
        <v>46</v>
      </c>
      <c r="L119" s="1">
        <v>81</v>
      </c>
      <c r="M119" s="1">
        <v>36</v>
      </c>
      <c r="N119" s="17">
        <v>0.80930000000000002</v>
      </c>
      <c r="O119" s="1">
        <v>341</v>
      </c>
      <c r="P119" s="15">
        <v>0.67400000000000004</v>
      </c>
      <c r="Q119" s="1">
        <v>83.643900000000002</v>
      </c>
      <c r="R119" s="1" t="s">
        <v>34</v>
      </c>
      <c r="S119" s="1">
        <v>552.45330000000001</v>
      </c>
      <c r="T119" s="1" t="s">
        <v>35</v>
      </c>
      <c r="U119" s="1" t="s">
        <v>36</v>
      </c>
    </row>
    <row r="120" spans="1:21" x14ac:dyDescent="0.3">
      <c r="A120" s="1" t="s">
        <v>722</v>
      </c>
      <c r="B120" s="2">
        <v>37960</v>
      </c>
      <c r="C120" s="1">
        <v>21</v>
      </c>
      <c r="D120" s="1">
        <v>174</v>
      </c>
      <c r="E120" s="1" t="s">
        <v>24</v>
      </c>
      <c r="F120" s="1" t="s">
        <v>98</v>
      </c>
      <c r="G120" s="1" t="s">
        <v>23</v>
      </c>
      <c r="H120" s="1" t="s">
        <v>54</v>
      </c>
      <c r="I120" s="1" t="s">
        <v>77</v>
      </c>
      <c r="J120" s="1">
        <v>45</v>
      </c>
      <c r="K120" s="1">
        <v>86</v>
      </c>
      <c r="L120" s="1">
        <v>36</v>
      </c>
      <c r="M120" s="1">
        <v>27</v>
      </c>
      <c r="N120" s="17">
        <v>0.36780000000000002</v>
      </c>
      <c r="O120" s="1">
        <v>116</v>
      </c>
      <c r="P120" s="15">
        <v>0.53310000000000002</v>
      </c>
      <c r="Q120" s="1">
        <v>116.9743</v>
      </c>
      <c r="R120" s="1" t="s">
        <v>45</v>
      </c>
      <c r="S120" s="1">
        <v>310.32089999999999</v>
      </c>
      <c r="T120" s="1" t="s">
        <v>28</v>
      </c>
      <c r="U120" s="1" t="s">
        <v>56</v>
      </c>
    </row>
    <row r="121" spans="1:21" x14ac:dyDescent="0.3">
      <c r="A121" s="1" t="s">
        <v>723</v>
      </c>
      <c r="B121" s="2">
        <v>37001</v>
      </c>
      <c r="C121" s="1">
        <v>23</v>
      </c>
      <c r="D121" s="1">
        <v>167</v>
      </c>
      <c r="E121" s="1" t="s">
        <v>76</v>
      </c>
      <c r="F121" s="1" t="s">
        <v>52</v>
      </c>
      <c r="G121" s="1" t="s">
        <v>53</v>
      </c>
      <c r="H121" s="1" t="s">
        <v>25</v>
      </c>
      <c r="I121" s="1" t="s">
        <v>94</v>
      </c>
      <c r="J121" s="1">
        <v>5</v>
      </c>
      <c r="K121" s="1">
        <v>50</v>
      </c>
      <c r="L121" s="1">
        <v>55</v>
      </c>
      <c r="M121" s="1">
        <v>84</v>
      </c>
      <c r="N121" s="17">
        <v>0.19639999999999999</v>
      </c>
      <c r="O121" s="1">
        <v>88</v>
      </c>
      <c r="P121" s="15">
        <v>0.54220000000000002</v>
      </c>
      <c r="Q121" s="1">
        <v>59.664499999999997</v>
      </c>
      <c r="R121" s="1" t="s">
        <v>34</v>
      </c>
      <c r="S121" s="1">
        <v>282.26859999999999</v>
      </c>
      <c r="T121" s="1" t="s">
        <v>46</v>
      </c>
      <c r="U121" s="1" t="s">
        <v>47</v>
      </c>
    </row>
    <row r="122" spans="1:21" x14ac:dyDescent="0.3">
      <c r="A122" s="1" t="s">
        <v>724</v>
      </c>
      <c r="B122" s="2">
        <v>37835</v>
      </c>
      <c r="C122" s="1">
        <v>21</v>
      </c>
      <c r="D122" s="1">
        <v>163</v>
      </c>
      <c r="E122" s="1" t="s">
        <v>76</v>
      </c>
      <c r="F122" s="1" t="s">
        <v>79</v>
      </c>
      <c r="G122" s="1" t="s">
        <v>43</v>
      </c>
      <c r="H122" s="1" t="s">
        <v>25</v>
      </c>
      <c r="I122" s="1" t="s">
        <v>101</v>
      </c>
      <c r="J122" s="1">
        <v>27</v>
      </c>
      <c r="K122" s="1">
        <v>89</v>
      </c>
      <c r="L122" s="1">
        <v>56</v>
      </c>
      <c r="M122" s="1">
        <v>66</v>
      </c>
      <c r="N122" s="17">
        <v>0.59889999999999999</v>
      </c>
      <c r="O122" s="1">
        <v>3</v>
      </c>
      <c r="P122" s="15">
        <v>0.78749999999999998</v>
      </c>
      <c r="Q122" s="1">
        <v>142.41399999999999</v>
      </c>
      <c r="R122" s="1" t="s">
        <v>34</v>
      </c>
      <c r="S122" s="1">
        <v>242.38640000000001</v>
      </c>
      <c r="T122" s="1" t="s">
        <v>35</v>
      </c>
      <c r="U122" s="1" t="s">
        <v>36</v>
      </c>
    </row>
    <row r="123" spans="1:21" x14ac:dyDescent="0.3">
      <c r="A123" s="1" t="s">
        <v>725</v>
      </c>
      <c r="B123" s="2">
        <v>37127</v>
      </c>
      <c r="C123" s="1">
        <v>23</v>
      </c>
      <c r="D123" s="1">
        <v>168</v>
      </c>
      <c r="E123" s="1" t="s">
        <v>24</v>
      </c>
      <c r="F123" s="1" t="s">
        <v>22</v>
      </c>
      <c r="G123" s="1" t="s">
        <v>23</v>
      </c>
      <c r="H123" s="1" t="s">
        <v>54</v>
      </c>
      <c r="I123" s="1" t="s">
        <v>107</v>
      </c>
      <c r="J123" s="1">
        <v>11</v>
      </c>
      <c r="K123" s="1">
        <v>54</v>
      </c>
      <c r="L123" s="1">
        <v>64</v>
      </c>
      <c r="M123" s="1">
        <v>41</v>
      </c>
      <c r="N123" s="17">
        <v>0.88780000000000003</v>
      </c>
      <c r="O123" s="1">
        <v>352</v>
      </c>
      <c r="P123" s="15">
        <v>0.48520000000000002</v>
      </c>
      <c r="Q123" s="1">
        <v>101.11060000000001</v>
      </c>
      <c r="R123" s="1" t="s">
        <v>40</v>
      </c>
      <c r="S123" s="1">
        <v>522.20299999999997</v>
      </c>
      <c r="T123" s="1" t="s">
        <v>46</v>
      </c>
      <c r="U123" s="1" t="s">
        <v>29</v>
      </c>
    </row>
    <row r="124" spans="1:21" x14ac:dyDescent="0.3">
      <c r="A124" s="1" t="s">
        <v>726</v>
      </c>
      <c r="B124" s="2">
        <v>36895</v>
      </c>
      <c r="C124" s="1">
        <v>23</v>
      </c>
      <c r="D124" s="1">
        <v>170</v>
      </c>
      <c r="E124" s="1" t="s">
        <v>24</v>
      </c>
      <c r="F124" s="1" t="s">
        <v>87</v>
      </c>
      <c r="G124" s="1" t="s">
        <v>63</v>
      </c>
      <c r="H124" s="1" t="s">
        <v>25</v>
      </c>
      <c r="I124" s="1" t="s">
        <v>110</v>
      </c>
      <c r="J124" s="1">
        <v>75</v>
      </c>
      <c r="K124" s="1">
        <v>56</v>
      </c>
      <c r="L124" s="1">
        <v>11</v>
      </c>
      <c r="M124" s="1">
        <v>36</v>
      </c>
      <c r="N124" s="17">
        <v>0.94389999999999996</v>
      </c>
      <c r="O124" s="1">
        <v>75</v>
      </c>
      <c r="P124" s="15">
        <v>0.60970000000000002</v>
      </c>
      <c r="Q124" s="1">
        <v>109.38330000000001</v>
      </c>
      <c r="R124" s="1" t="s">
        <v>34</v>
      </c>
      <c r="S124" s="1">
        <v>255.36359999999999</v>
      </c>
      <c r="T124" s="1" t="s">
        <v>35</v>
      </c>
      <c r="U124" s="1" t="s">
        <v>56</v>
      </c>
    </row>
    <row r="125" spans="1:21" x14ac:dyDescent="0.3">
      <c r="A125" s="1" t="s">
        <v>727</v>
      </c>
      <c r="B125" s="2">
        <v>37786</v>
      </c>
      <c r="C125" s="1">
        <v>21</v>
      </c>
      <c r="D125" s="1">
        <v>179</v>
      </c>
      <c r="E125" s="1" t="s">
        <v>32</v>
      </c>
      <c r="F125" s="1" t="s">
        <v>87</v>
      </c>
      <c r="G125" s="1" t="s">
        <v>63</v>
      </c>
      <c r="H125" s="1" t="s">
        <v>54</v>
      </c>
      <c r="I125" s="1" t="s">
        <v>70</v>
      </c>
      <c r="J125" s="1">
        <v>29</v>
      </c>
      <c r="K125" s="1">
        <v>49</v>
      </c>
      <c r="L125" s="1">
        <v>13</v>
      </c>
      <c r="M125" s="1">
        <v>13</v>
      </c>
      <c r="N125" s="17">
        <v>0.2392</v>
      </c>
      <c r="O125" s="1">
        <v>264</v>
      </c>
      <c r="P125" s="15">
        <v>0.78469999999999995</v>
      </c>
      <c r="Q125" s="1">
        <v>60.460599999999999</v>
      </c>
      <c r="R125" s="1" t="s">
        <v>45</v>
      </c>
      <c r="S125" s="1">
        <v>368.96390000000002</v>
      </c>
      <c r="T125" s="1" t="s">
        <v>46</v>
      </c>
      <c r="U125" s="1" t="s">
        <v>56</v>
      </c>
    </row>
    <row r="126" spans="1:21" x14ac:dyDescent="0.3">
      <c r="A126" s="1" t="s">
        <v>728</v>
      </c>
      <c r="B126" s="2">
        <v>36892</v>
      </c>
      <c r="C126" s="1">
        <v>24</v>
      </c>
      <c r="D126" s="1">
        <v>161</v>
      </c>
      <c r="E126" s="1" t="s">
        <v>76</v>
      </c>
      <c r="F126" s="1" t="s">
        <v>42</v>
      </c>
      <c r="G126" s="1" t="s">
        <v>43</v>
      </c>
      <c r="H126" s="1" t="s">
        <v>25</v>
      </c>
      <c r="I126" s="1" t="s">
        <v>117</v>
      </c>
      <c r="J126" s="1">
        <v>147</v>
      </c>
      <c r="K126" s="1">
        <v>58</v>
      </c>
      <c r="L126" s="1">
        <v>6</v>
      </c>
      <c r="M126" s="1">
        <v>38</v>
      </c>
      <c r="N126" s="17">
        <v>0.39439999999999997</v>
      </c>
      <c r="O126" s="1">
        <v>124</v>
      </c>
      <c r="P126" s="15">
        <v>0.57279999999999998</v>
      </c>
      <c r="Q126" s="1">
        <v>81.418999999999997</v>
      </c>
      <c r="R126" s="1" t="s">
        <v>27</v>
      </c>
      <c r="S126" s="1">
        <v>375.72719999999998</v>
      </c>
      <c r="T126" s="1" t="s">
        <v>35</v>
      </c>
      <c r="U126" s="1" t="s">
        <v>56</v>
      </c>
    </row>
    <row r="127" spans="1:21" x14ac:dyDescent="0.3">
      <c r="A127" s="1" t="s">
        <v>729</v>
      </c>
      <c r="B127" s="2">
        <v>37883</v>
      </c>
      <c r="C127" s="1">
        <v>21</v>
      </c>
      <c r="D127" s="1">
        <v>185</v>
      </c>
      <c r="E127" s="1" t="s">
        <v>32</v>
      </c>
      <c r="F127" s="1" t="s">
        <v>62</v>
      </c>
      <c r="G127" s="1" t="s">
        <v>63</v>
      </c>
      <c r="H127" s="1" t="s">
        <v>25</v>
      </c>
      <c r="I127" s="1" t="s">
        <v>82</v>
      </c>
      <c r="J127" s="1">
        <v>1</v>
      </c>
      <c r="K127" s="1">
        <v>27</v>
      </c>
      <c r="L127" s="1">
        <v>100</v>
      </c>
      <c r="M127" s="1">
        <v>6</v>
      </c>
      <c r="N127" s="17">
        <v>0.45889999999999997</v>
      </c>
      <c r="O127" s="1">
        <v>71</v>
      </c>
      <c r="P127" s="15">
        <v>0.42959999999999998</v>
      </c>
      <c r="Q127" s="1">
        <v>39.0548</v>
      </c>
      <c r="R127" s="1" t="s">
        <v>40</v>
      </c>
      <c r="S127" s="1">
        <v>205.23849999999999</v>
      </c>
      <c r="T127" s="1" t="s">
        <v>46</v>
      </c>
      <c r="U127" s="1" t="s">
        <v>65</v>
      </c>
    </row>
    <row r="128" spans="1:21" x14ac:dyDescent="0.3">
      <c r="A128" s="1" t="s">
        <v>730</v>
      </c>
      <c r="B128" s="2">
        <v>37415</v>
      </c>
      <c r="C128" s="1">
        <v>22</v>
      </c>
      <c r="D128" s="1">
        <v>176</v>
      </c>
      <c r="E128" s="1" t="s">
        <v>32</v>
      </c>
      <c r="F128" s="1" t="s">
        <v>72</v>
      </c>
      <c r="G128" s="1" t="s">
        <v>53</v>
      </c>
      <c r="H128" s="1" t="s">
        <v>54</v>
      </c>
      <c r="I128" s="1" t="s">
        <v>73</v>
      </c>
      <c r="J128" s="1">
        <v>107</v>
      </c>
      <c r="K128" s="1">
        <v>7</v>
      </c>
      <c r="L128" s="1">
        <v>97</v>
      </c>
      <c r="M128" s="1">
        <v>15</v>
      </c>
      <c r="N128" s="17">
        <v>0.72109999999999996</v>
      </c>
      <c r="O128" s="1">
        <v>255</v>
      </c>
      <c r="P128" s="15">
        <v>0.40329999999999999</v>
      </c>
      <c r="Q128" s="1">
        <v>12.0649</v>
      </c>
      <c r="R128" s="1" t="s">
        <v>45</v>
      </c>
      <c r="S128" s="1">
        <v>481.45440000000002</v>
      </c>
      <c r="T128" s="1" t="s">
        <v>28</v>
      </c>
      <c r="U128" s="1" t="s">
        <v>29</v>
      </c>
    </row>
    <row r="129" spans="1:21" x14ac:dyDescent="0.3">
      <c r="A129" s="1" t="s">
        <v>731</v>
      </c>
      <c r="B129" s="2">
        <v>37236</v>
      </c>
      <c r="C129" s="1">
        <v>23</v>
      </c>
      <c r="D129" s="1">
        <v>185</v>
      </c>
      <c r="E129" s="1" t="s">
        <v>32</v>
      </c>
      <c r="F129" s="1" t="s">
        <v>31</v>
      </c>
      <c r="G129" s="1" t="s">
        <v>23</v>
      </c>
      <c r="H129" s="1" t="s">
        <v>54</v>
      </c>
      <c r="I129" s="1" t="s">
        <v>33</v>
      </c>
      <c r="J129" s="1">
        <v>112</v>
      </c>
      <c r="K129" s="1">
        <v>88</v>
      </c>
      <c r="L129" s="1">
        <v>90</v>
      </c>
      <c r="M129" s="1">
        <v>85</v>
      </c>
      <c r="N129" s="17">
        <v>0.98609999999999998</v>
      </c>
      <c r="O129" s="1">
        <v>157</v>
      </c>
      <c r="P129" s="15">
        <v>0.55730000000000002</v>
      </c>
      <c r="Q129" s="1">
        <v>174.49870000000001</v>
      </c>
      <c r="R129" s="1" t="s">
        <v>34</v>
      </c>
      <c r="S129" s="1">
        <v>533.76340000000005</v>
      </c>
      <c r="T129" s="1" t="s">
        <v>35</v>
      </c>
      <c r="U129" s="1" t="s">
        <v>36</v>
      </c>
    </row>
    <row r="130" spans="1:21" x14ac:dyDescent="0.3">
      <c r="A130" s="1" t="s">
        <v>732</v>
      </c>
      <c r="B130" s="2">
        <v>37127</v>
      </c>
      <c r="C130" s="1">
        <v>23</v>
      </c>
      <c r="D130" s="1">
        <v>185</v>
      </c>
      <c r="E130" s="1" t="s">
        <v>32</v>
      </c>
      <c r="F130" s="1" t="s">
        <v>87</v>
      </c>
      <c r="G130" s="1" t="s">
        <v>63</v>
      </c>
      <c r="H130" s="1" t="s">
        <v>25</v>
      </c>
      <c r="I130" s="1" t="s">
        <v>105</v>
      </c>
      <c r="J130" s="1">
        <v>127</v>
      </c>
      <c r="K130" s="1">
        <v>63</v>
      </c>
      <c r="L130" s="1">
        <v>64</v>
      </c>
      <c r="M130" s="1">
        <v>60</v>
      </c>
      <c r="N130" s="17">
        <v>0.23799999999999999</v>
      </c>
      <c r="O130" s="1">
        <v>371</v>
      </c>
      <c r="P130" s="15">
        <v>0.53580000000000005</v>
      </c>
      <c r="Q130" s="1">
        <v>77.461699999999993</v>
      </c>
      <c r="R130" s="1" t="s">
        <v>27</v>
      </c>
      <c r="S130" s="1">
        <v>684.29380000000003</v>
      </c>
      <c r="T130" s="1" t="s">
        <v>28</v>
      </c>
      <c r="U130" s="1" t="s">
        <v>36</v>
      </c>
    </row>
    <row r="131" spans="1:21" x14ac:dyDescent="0.3">
      <c r="A131" s="1" t="s">
        <v>733</v>
      </c>
      <c r="B131" s="2">
        <v>37297</v>
      </c>
      <c r="C131" s="1">
        <v>22</v>
      </c>
      <c r="D131" s="1">
        <v>166</v>
      </c>
      <c r="E131" s="1" t="s">
        <v>76</v>
      </c>
      <c r="F131" s="1" t="s">
        <v>87</v>
      </c>
      <c r="G131" s="1" t="s">
        <v>63</v>
      </c>
      <c r="H131" s="1" t="s">
        <v>54</v>
      </c>
      <c r="I131" s="1" t="s">
        <v>33</v>
      </c>
      <c r="J131" s="1">
        <v>138</v>
      </c>
      <c r="K131" s="1">
        <v>49</v>
      </c>
      <c r="L131" s="1">
        <v>73</v>
      </c>
      <c r="M131" s="1">
        <v>94</v>
      </c>
      <c r="N131" s="17">
        <v>0.23899999999999999</v>
      </c>
      <c r="O131" s="1">
        <v>52</v>
      </c>
      <c r="P131" s="15">
        <v>0.5363</v>
      </c>
      <c r="Q131" s="1">
        <v>60.686199999999999</v>
      </c>
      <c r="R131" s="1" t="s">
        <v>45</v>
      </c>
      <c r="S131" s="1">
        <v>407.17529999999999</v>
      </c>
      <c r="T131" s="1" t="s">
        <v>46</v>
      </c>
      <c r="U131" s="1" t="s">
        <v>102</v>
      </c>
    </row>
    <row r="132" spans="1:21" x14ac:dyDescent="0.3">
      <c r="A132" s="1" t="s">
        <v>734</v>
      </c>
      <c r="B132" s="2">
        <v>37688</v>
      </c>
      <c r="C132" s="1">
        <v>21</v>
      </c>
      <c r="D132" s="1">
        <v>172</v>
      </c>
      <c r="E132" s="1" t="s">
        <v>24</v>
      </c>
      <c r="F132" s="1" t="s">
        <v>52</v>
      </c>
      <c r="G132" s="1" t="s">
        <v>53</v>
      </c>
      <c r="H132" s="1" t="s">
        <v>25</v>
      </c>
      <c r="I132" s="1" t="s">
        <v>58</v>
      </c>
      <c r="J132" s="1">
        <v>29</v>
      </c>
      <c r="K132" s="1">
        <v>14</v>
      </c>
      <c r="L132" s="1">
        <v>44</v>
      </c>
      <c r="M132" s="1">
        <v>42</v>
      </c>
      <c r="N132" s="17">
        <v>0.18609999999999999</v>
      </c>
      <c r="O132" s="1">
        <v>229</v>
      </c>
      <c r="P132" s="15">
        <v>0.55759999999999998</v>
      </c>
      <c r="Q132" s="1">
        <v>16.8782</v>
      </c>
      <c r="R132" s="1" t="s">
        <v>40</v>
      </c>
      <c r="S132" s="1">
        <v>359.27370000000002</v>
      </c>
      <c r="T132" s="1" t="s">
        <v>28</v>
      </c>
      <c r="U132" s="1" t="s">
        <v>102</v>
      </c>
    </row>
    <row r="133" spans="1:21" x14ac:dyDescent="0.3">
      <c r="A133" s="1" t="s">
        <v>735</v>
      </c>
      <c r="B133" s="2">
        <v>37873</v>
      </c>
      <c r="C133" s="1">
        <v>21</v>
      </c>
      <c r="D133" s="1">
        <v>179</v>
      </c>
      <c r="E133" s="1" t="s">
        <v>32</v>
      </c>
      <c r="F133" s="1" t="s">
        <v>69</v>
      </c>
      <c r="G133" s="1" t="s">
        <v>43</v>
      </c>
      <c r="H133" s="1" t="s">
        <v>25</v>
      </c>
      <c r="I133" s="1" t="s">
        <v>60</v>
      </c>
      <c r="J133" s="1">
        <v>139</v>
      </c>
      <c r="K133" s="1">
        <v>91</v>
      </c>
      <c r="L133" s="1">
        <v>42</v>
      </c>
      <c r="M133" s="1">
        <v>51</v>
      </c>
      <c r="N133" s="17">
        <v>0.3765</v>
      </c>
      <c r="O133" s="1">
        <v>210</v>
      </c>
      <c r="P133" s="15">
        <v>0.71609999999999996</v>
      </c>
      <c r="Q133" s="1">
        <v>124.88979999999999</v>
      </c>
      <c r="R133" s="1" t="s">
        <v>34</v>
      </c>
      <c r="S133" s="1">
        <v>534.26260000000002</v>
      </c>
      <c r="T133" s="1" t="s">
        <v>28</v>
      </c>
      <c r="U133" s="1" t="s">
        <v>65</v>
      </c>
    </row>
    <row r="134" spans="1:21" x14ac:dyDescent="0.3">
      <c r="A134" s="1" t="s">
        <v>736</v>
      </c>
      <c r="B134" s="2">
        <v>37314</v>
      </c>
      <c r="C134" s="1">
        <v>22</v>
      </c>
      <c r="D134" s="1">
        <v>184</v>
      </c>
      <c r="E134" s="1" t="s">
        <v>32</v>
      </c>
      <c r="F134" s="1" t="s">
        <v>79</v>
      </c>
      <c r="G134" s="1" t="s">
        <v>43</v>
      </c>
      <c r="H134" s="1" t="s">
        <v>25</v>
      </c>
      <c r="I134" s="1" t="s">
        <v>123</v>
      </c>
      <c r="J134" s="1">
        <v>38</v>
      </c>
      <c r="K134" s="1">
        <v>20</v>
      </c>
      <c r="L134" s="1">
        <v>22</v>
      </c>
      <c r="M134" s="1">
        <v>78</v>
      </c>
      <c r="N134" s="17">
        <v>0.48609999999999998</v>
      </c>
      <c r="O134" s="1">
        <v>297</v>
      </c>
      <c r="P134" s="15">
        <v>0.82630000000000003</v>
      </c>
      <c r="Q134" s="1">
        <v>29.4099</v>
      </c>
      <c r="R134" s="1" t="s">
        <v>40</v>
      </c>
      <c r="S134" s="1">
        <v>456.26240000000001</v>
      </c>
      <c r="T134" s="1" t="s">
        <v>28</v>
      </c>
      <c r="U134" s="1" t="s">
        <v>102</v>
      </c>
    </row>
    <row r="135" spans="1:21" x14ac:dyDescent="0.3">
      <c r="A135" s="1" t="s">
        <v>737</v>
      </c>
      <c r="B135" s="2">
        <v>37379</v>
      </c>
      <c r="C135" s="1">
        <v>22</v>
      </c>
      <c r="D135" s="1">
        <v>173</v>
      </c>
      <c r="E135" s="1" t="s">
        <v>24</v>
      </c>
      <c r="F135" s="1" t="s">
        <v>98</v>
      </c>
      <c r="G135" s="1" t="s">
        <v>23</v>
      </c>
      <c r="H135" s="1" t="s">
        <v>54</v>
      </c>
      <c r="I135" s="1" t="s">
        <v>58</v>
      </c>
      <c r="J135" s="1">
        <v>104</v>
      </c>
      <c r="K135" s="1">
        <v>91</v>
      </c>
      <c r="L135" s="1">
        <v>84</v>
      </c>
      <c r="M135" s="1">
        <v>14</v>
      </c>
      <c r="N135" s="17">
        <v>0.35580000000000001</v>
      </c>
      <c r="O135" s="1">
        <v>10</v>
      </c>
      <c r="P135" s="15">
        <v>0.70350000000000001</v>
      </c>
      <c r="Q135" s="1">
        <v>123.4049</v>
      </c>
      <c r="R135" s="1" t="s">
        <v>34</v>
      </c>
      <c r="S135" s="1">
        <v>303.94929999999999</v>
      </c>
      <c r="T135" s="1" t="s">
        <v>46</v>
      </c>
      <c r="U135" s="1" t="s">
        <v>47</v>
      </c>
    </row>
    <row r="136" spans="1:21" x14ac:dyDescent="0.3">
      <c r="A136" s="1" t="s">
        <v>738</v>
      </c>
      <c r="B136" s="2">
        <v>37396</v>
      </c>
      <c r="C136" s="1">
        <v>22</v>
      </c>
      <c r="D136" s="1">
        <v>172</v>
      </c>
      <c r="E136" s="1" t="s">
        <v>24</v>
      </c>
      <c r="F136" s="1" t="s">
        <v>22</v>
      </c>
      <c r="G136" s="1" t="s">
        <v>23</v>
      </c>
      <c r="H136" s="1" t="s">
        <v>54</v>
      </c>
      <c r="I136" s="1" t="s">
        <v>50</v>
      </c>
      <c r="J136" s="1">
        <v>111</v>
      </c>
      <c r="K136" s="1">
        <v>9</v>
      </c>
      <c r="L136" s="1">
        <v>85</v>
      </c>
      <c r="M136" s="1">
        <v>54</v>
      </c>
      <c r="N136" s="17">
        <v>0.30599999999999999</v>
      </c>
      <c r="O136" s="1">
        <v>59</v>
      </c>
      <c r="P136" s="15">
        <v>0.73670000000000002</v>
      </c>
      <c r="Q136" s="1">
        <v>11.962999999999999</v>
      </c>
      <c r="R136" s="1" t="s">
        <v>45</v>
      </c>
      <c r="S136" s="1">
        <v>318.7527</v>
      </c>
      <c r="T136" s="1" t="s">
        <v>28</v>
      </c>
      <c r="U136" s="1" t="s">
        <v>65</v>
      </c>
    </row>
    <row r="137" spans="1:21" x14ac:dyDescent="0.3">
      <c r="A137" s="1" t="s">
        <v>739</v>
      </c>
      <c r="B137" s="2">
        <v>37565</v>
      </c>
      <c r="C137" s="1">
        <v>22</v>
      </c>
      <c r="D137" s="1">
        <v>165</v>
      </c>
      <c r="E137" s="1" t="s">
        <v>76</v>
      </c>
      <c r="F137" s="1" t="s">
        <v>84</v>
      </c>
      <c r="G137" s="1" t="s">
        <v>63</v>
      </c>
      <c r="H137" s="1" t="s">
        <v>54</v>
      </c>
      <c r="I137" s="1" t="s">
        <v>60</v>
      </c>
      <c r="J137" s="1">
        <v>49</v>
      </c>
      <c r="K137" s="1">
        <v>75</v>
      </c>
      <c r="L137" s="1">
        <v>45</v>
      </c>
      <c r="M137" s="1">
        <v>24</v>
      </c>
      <c r="N137" s="17">
        <v>0.87180000000000002</v>
      </c>
      <c r="O137" s="1">
        <v>274</v>
      </c>
      <c r="P137" s="15">
        <v>0.59799999999999998</v>
      </c>
      <c r="Q137" s="1">
        <v>139.97319999999999</v>
      </c>
      <c r="R137" s="1" t="s">
        <v>40</v>
      </c>
      <c r="S137" s="1">
        <v>469.14980000000003</v>
      </c>
      <c r="T137" s="1" t="s">
        <v>46</v>
      </c>
      <c r="U137" s="1" t="s">
        <v>29</v>
      </c>
    </row>
    <row r="138" spans="1:21" x14ac:dyDescent="0.3">
      <c r="A138" s="1" t="s">
        <v>740</v>
      </c>
      <c r="B138" s="2">
        <v>37180</v>
      </c>
      <c r="C138" s="1">
        <v>23</v>
      </c>
      <c r="D138" s="1">
        <v>183</v>
      </c>
      <c r="E138" s="1" t="s">
        <v>32</v>
      </c>
      <c r="F138" s="1" t="s">
        <v>49</v>
      </c>
      <c r="G138" s="1" t="s">
        <v>43</v>
      </c>
      <c r="H138" s="1" t="s">
        <v>25</v>
      </c>
      <c r="I138" s="1" t="s">
        <v>85</v>
      </c>
      <c r="J138" s="1">
        <v>49</v>
      </c>
      <c r="K138" s="1">
        <v>33</v>
      </c>
      <c r="L138" s="1">
        <v>97</v>
      </c>
      <c r="M138" s="1">
        <v>65</v>
      </c>
      <c r="N138" s="17">
        <v>0.91520000000000001</v>
      </c>
      <c r="O138" s="1">
        <v>345</v>
      </c>
      <c r="P138" s="15">
        <v>0.55459999999999998</v>
      </c>
      <c r="Q138" s="1">
        <v>62.320599999999999</v>
      </c>
      <c r="R138" s="1" t="s">
        <v>34</v>
      </c>
      <c r="S138" s="1">
        <v>589.96979999999996</v>
      </c>
      <c r="T138" s="1" t="s">
        <v>28</v>
      </c>
      <c r="U138" s="1" t="s">
        <v>29</v>
      </c>
    </row>
    <row r="139" spans="1:21" x14ac:dyDescent="0.3">
      <c r="A139" s="1" t="s">
        <v>741</v>
      </c>
      <c r="B139" s="2">
        <v>37758</v>
      </c>
      <c r="C139" s="1">
        <v>21</v>
      </c>
      <c r="D139" s="1">
        <v>165</v>
      </c>
      <c r="E139" s="1" t="s">
        <v>76</v>
      </c>
      <c r="F139" s="1" t="s">
        <v>72</v>
      </c>
      <c r="G139" s="1" t="s">
        <v>53</v>
      </c>
      <c r="H139" s="1" t="s">
        <v>25</v>
      </c>
      <c r="I139" s="1" t="s">
        <v>58</v>
      </c>
      <c r="J139" s="1">
        <v>98</v>
      </c>
      <c r="K139" s="1">
        <v>48</v>
      </c>
      <c r="L139" s="1">
        <v>58</v>
      </c>
      <c r="M139" s="1">
        <v>31</v>
      </c>
      <c r="N139" s="17">
        <v>0.68079999999999996</v>
      </c>
      <c r="O139" s="1">
        <v>258</v>
      </c>
      <c r="P139" s="15">
        <v>0.74419999999999997</v>
      </c>
      <c r="Q139" s="1">
        <v>79.9893</v>
      </c>
      <c r="R139" s="1" t="s">
        <v>34</v>
      </c>
      <c r="S139" s="1">
        <v>494.15499999999997</v>
      </c>
      <c r="T139" s="1" t="s">
        <v>35</v>
      </c>
      <c r="U139" s="1" t="s">
        <v>113</v>
      </c>
    </row>
    <row r="140" spans="1:21" x14ac:dyDescent="0.3">
      <c r="A140" s="1" t="s">
        <v>742</v>
      </c>
      <c r="B140" s="2">
        <v>37539</v>
      </c>
      <c r="C140" s="1">
        <v>22</v>
      </c>
      <c r="D140" s="1">
        <v>183</v>
      </c>
      <c r="E140" s="1" t="s">
        <v>32</v>
      </c>
      <c r="F140" s="1" t="s">
        <v>104</v>
      </c>
      <c r="G140" s="1" t="s">
        <v>53</v>
      </c>
      <c r="H140" s="1" t="s">
        <v>25</v>
      </c>
      <c r="I140" s="1" t="s">
        <v>115</v>
      </c>
      <c r="J140" s="1">
        <v>3</v>
      </c>
      <c r="K140" s="1">
        <v>98</v>
      </c>
      <c r="L140" s="1">
        <v>39</v>
      </c>
      <c r="M140" s="1">
        <v>39</v>
      </c>
      <c r="N140" s="17">
        <v>0.86670000000000003</v>
      </c>
      <c r="O140" s="1">
        <v>122</v>
      </c>
      <c r="P140" s="15">
        <v>0.56830000000000003</v>
      </c>
      <c r="Q140" s="1">
        <v>183.75790000000001</v>
      </c>
      <c r="R140" s="1" t="s">
        <v>45</v>
      </c>
      <c r="S140" s="1">
        <v>303.63499999999999</v>
      </c>
      <c r="T140" s="1" t="s">
        <v>28</v>
      </c>
      <c r="U140" s="1" t="s">
        <v>47</v>
      </c>
    </row>
    <row r="141" spans="1:21" x14ac:dyDescent="0.3">
      <c r="A141" s="1" t="s">
        <v>743</v>
      </c>
      <c r="B141" s="2">
        <v>37527</v>
      </c>
      <c r="C141" s="1">
        <v>22</v>
      </c>
      <c r="D141" s="1">
        <v>165</v>
      </c>
      <c r="E141" s="1" t="s">
        <v>76</v>
      </c>
      <c r="F141" s="1" t="s">
        <v>98</v>
      </c>
      <c r="G141" s="1" t="s">
        <v>23</v>
      </c>
      <c r="H141" s="1" t="s">
        <v>54</v>
      </c>
      <c r="I141" s="1" t="s">
        <v>117</v>
      </c>
      <c r="J141" s="1">
        <v>135</v>
      </c>
      <c r="K141" s="1">
        <v>62</v>
      </c>
      <c r="L141" s="1">
        <v>41</v>
      </c>
      <c r="M141" s="1">
        <v>14</v>
      </c>
      <c r="N141" s="17">
        <v>0.66900000000000004</v>
      </c>
      <c r="O141" s="1">
        <v>80</v>
      </c>
      <c r="P141" s="15">
        <v>0.42870000000000003</v>
      </c>
      <c r="Q141" s="1">
        <v>104.0622</v>
      </c>
      <c r="R141" s="1" t="s">
        <v>34</v>
      </c>
      <c r="S141" s="1">
        <v>333.99770000000001</v>
      </c>
      <c r="T141" s="1" t="s">
        <v>46</v>
      </c>
      <c r="U141" s="1" t="s">
        <v>47</v>
      </c>
    </row>
    <row r="142" spans="1:21" x14ac:dyDescent="0.3">
      <c r="A142" s="1" t="s">
        <v>744</v>
      </c>
      <c r="B142" s="2">
        <v>36965</v>
      </c>
      <c r="C142" s="1">
        <v>23</v>
      </c>
      <c r="D142" s="1">
        <v>183</v>
      </c>
      <c r="E142" s="1" t="s">
        <v>32</v>
      </c>
      <c r="F142" s="1" t="s">
        <v>84</v>
      </c>
      <c r="G142" s="1" t="s">
        <v>63</v>
      </c>
      <c r="H142" s="1" t="s">
        <v>54</v>
      </c>
      <c r="I142" s="1" t="s">
        <v>50</v>
      </c>
      <c r="J142" s="1">
        <v>23</v>
      </c>
      <c r="K142" s="1">
        <v>92</v>
      </c>
      <c r="L142" s="1">
        <v>75</v>
      </c>
      <c r="M142" s="1">
        <v>33</v>
      </c>
      <c r="N142" s="17">
        <v>0.31530000000000002</v>
      </c>
      <c r="O142" s="1">
        <v>344</v>
      </c>
      <c r="P142" s="15">
        <v>0.44969999999999999</v>
      </c>
      <c r="Q142" s="1">
        <v>121.1391</v>
      </c>
      <c r="R142" s="1" t="s">
        <v>40</v>
      </c>
      <c r="S142" s="1">
        <v>567.71500000000003</v>
      </c>
      <c r="T142" s="1" t="s">
        <v>35</v>
      </c>
      <c r="U142" s="1" t="s">
        <v>29</v>
      </c>
    </row>
    <row r="143" spans="1:21" x14ac:dyDescent="0.3">
      <c r="A143" s="1" t="s">
        <v>745</v>
      </c>
      <c r="B143" s="2">
        <v>37425</v>
      </c>
      <c r="C143" s="1">
        <v>22</v>
      </c>
      <c r="D143" s="1">
        <v>168</v>
      </c>
      <c r="E143" s="1" t="s">
        <v>24</v>
      </c>
      <c r="F143" s="1" t="s">
        <v>31</v>
      </c>
      <c r="G143" s="1" t="s">
        <v>23</v>
      </c>
      <c r="H143" s="1" t="s">
        <v>25</v>
      </c>
      <c r="I143" s="1" t="s">
        <v>101</v>
      </c>
      <c r="J143" s="1">
        <v>69</v>
      </c>
      <c r="K143" s="1">
        <v>45</v>
      </c>
      <c r="L143" s="1">
        <v>61</v>
      </c>
      <c r="M143" s="1">
        <v>77</v>
      </c>
      <c r="N143" s="17">
        <v>0.58830000000000005</v>
      </c>
      <c r="O143" s="1">
        <v>86</v>
      </c>
      <c r="P143" s="15">
        <v>0.79290000000000005</v>
      </c>
      <c r="Q143" s="1">
        <v>72.045299999999997</v>
      </c>
      <c r="R143" s="1" t="s">
        <v>45</v>
      </c>
      <c r="S143" s="1">
        <v>340.08120000000002</v>
      </c>
      <c r="T143" s="1" t="s">
        <v>28</v>
      </c>
      <c r="U143" s="1" t="s">
        <v>29</v>
      </c>
    </row>
    <row r="144" spans="1:21" x14ac:dyDescent="0.3">
      <c r="A144" s="1" t="s">
        <v>746</v>
      </c>
      <c r="B144" s="2">
        <v>37950</v>
      </c>
      <c r="C144" s="1">
        <v>21</v>
      </c>
      <c r="D144" s="1">
        <v>160</v>
      </c>
      <c r="E144" s="1" t="s">
        <v>76</v>
      </c>
      <c r="F144" s="1" t="s">
        <v>69</v>
      </c>
      <c r="G144" s="1" t="s">
        <v>43</v>
      </c>
      <c r="H144" s="1" t="s">
        <v>25</v>
      </c>
      <c r="I144" s="1" t="s">
        <v>80</v>
      </c>
      <c r="J144" s="1">
        <v>28</v>
      </c>
      <c r="K144" s="1">
        <v>69</v>
      </c>
      <c r="L144" s="1">
        <v>29</v>
      </c>
      <c r="M144" s="1">
        <v>77</v>
      </c>
      <c r="N144" s="17">
        <v>0.187</v>
      </c>
      <c r="O144" s="1">
        <v>38</v>
      </c>
      <c r="P144" s="15">
        <v>0.54149999999999998</v>
      </c>
      <c r="Q144" s="1">
        <v>81.914900000000003</v>
      </c>
      <c r="R144" s="1" t="s">
        <v>40</v>
      </c>
      <c r="S144" s="1">
        <v>241.9085</v>
      </c>
      <c r="T144" s="1" t="s">
        <v>46</v>
      </c>
      <c r="U144" s="1" t="s">
        <v>36</v>
      </c>
    </row>
    <row r="145" spans="1:21" x14ac:dyDescent="0.3">
      <c r="A145" s="1" t="s">
        <v>747</v>
      </c>
      <c r="B145" s="2">
        <v>36955</v>
      </c>
      <c r="C145" s="1">
        <v>23</v>
      </c>
      <c r="D145" s="1">
        <v>178</v>
      </c>
      <c r="E145" s="1" t="s">
        <v>32</v>
      </c>
      <c r="F145" s="1" t="s">
        <v>42</v>
      </c>
      <c r="G145" s="1" t="s">
        <v>43</v>
      </c>
      <c r="H145" s="1" t="s">
        <v>25</v>
      </c>
      <c r="I145" s="1" t="s">
        <v>85</v>
      </c>
      <c r="J145" s="1">
        <v>30</v>
      </c>
      <c r="K145" s="1">
        <v>51</v>
      </c>
      <c r="L145" s="1">
        <v>6</v>
      </c>
      <c r="M145" s="1">
        <v>86</v>
      </c>
      <c r="N145" s="17">
        <v>0.17469999999999999</v>
      </c>
      <c r="O145" s="1">
        <v>388</v>
      </c>
      <c r="P145" s="15">
        <v>0.77259999999999995</v>
      </c>
      <c r="Q145" s="1">
        <v>59.545499999999997</v>
      </c>
      <c r="R145" s="1" t="s">
        <v>27</v>
      </c>
      <c r="S145" s="1">
        <v>561.67729999999995</v>
      </c>
      <c r="T145" s="1" t="s">
        <v>35</v>
      </c>
      <c r="U145" s="1" t="s">
        <v>29</v>
      </c>
    </row>
    <row r="146" spans="1:21" x14ac:dyDescent="0.3">
      <c r="A146" s="1" t="s">
        <v>748</v>
      </c>
      <c r="B146" s="2">
        <v>37874</v>
      </c>
      <c r="C146" s="1">
        <v>21</v>
      </c>
      <c r="D146" s="1">
        <v>160</v>
      </c>
      <c r="E146" s="1" t="s">
        <v>76</v>
      </c>
      <c r="F146" s="1" t="s">
        <v>42</v>
      </c>
      <c r="G146" s="1" t="s">
        <v>43</v>
      </c>
      <c r="H146" s="1" t="s">
        <v>25</v>
      </c>
      <c r="I146" s="1" t="s">
        <v>101</v>
      </c>
      <c r="J146" s="1">
        <v>14</v>
      </c>
      <c r="K146" s="1">
        <v>10</v>
      </c>
      <c r="L146" s="1">
        <v>6</v>
      </c>
      <c r="M146" s="1">
        <v>11</v>
      </c>
      <c r="N146" s="17">
        <v>0.98409999999999997</v>
      </c>
      <c r="O146" s="1">
        <v>322</v>
      </c>
      <c r="P146" s="15">
        <v>0.76649999999999996</v>
      </c>
      <c r="Q146" s="1">
        <v>20.713999999999999</v>
      </c>
      <c r="R146" s="1" t="s">
        <v>34</v>
      </c>
      <c r="S146" s="1">
        <v>364.5806</v>
      </c>
      <c r="T146" s="1" t="s">
        <v>28</v>
      </c>
      <c r="U146" s="1" t="s">
        <v>65</v>
      </c>
    </row>
    <row r="147" spans="1:21" x14ac:dyDescent="0.3">
      <c r="A147" s="1" t="s">
        <v>749</v>
      </c>
      <c r="B147" s="2">
        <v>37253</v>
      </c>
      <c r="C147" s="1">
        <v>23</v>
      </c>
      <c r="D147" s="1">
        <v>167</v>
      </c>
      <c r="E147" s="1" t="s">
        <v>76</v>
      </c>
      <c r="F147" s="1" t="s">
        <v>22</v>
      </c>
      <c r="G147" s="1" t="s">
        <v>23</v>
      </c>
      <c r="H147" s="1" t="s">
        <v>25</v>
      </c>
      <c r="I147" s="1" t="s">
        <v>101</v>
      </c>
      <c r="J147" s="1">
        <v>144</v>
      </c>
      <c r="K147" s="1">
        <v>87</v>
      </c>
      <c r="L147" s="1">
        <v>49</v>
      </c>
      <c r="M147" s="1">
        <v>99</v>
      </c>
      <c r="N147" s="17">
        <v>0.55549999999999999</v>
      </c>
      <c r="O147" s="1">
        <v>249</v>
      </c>
      <c r="P147" s="15">
        <v>0.81399999999999995</v>
      </c>
      <c r="Q147" s="1">
        <v>135.31290000000001</v>
      </c>
      <c r="R147" s="1" t="s">
        <v>34</v>
      </c>
      <c r="S147" s="1">
        <v>628.55949999999996</v>
      </c>
      <c r="T147" s="1" t="s">
        <v>28</v>
      </c>
      <c r="U147" s="1" t="s">
        <v>47</v>
      </c>
    </row>
    <row r="148" spans="1:21" x14ac:dyDescent="0.3">
      <c r="A148" s="1" t="s">
        <v>750</v>
      </c>
      <c r="B148" s="2">
        <v>36899</v>
      </c>
      <c r="C148" s="1">
        <v>23</v>
      </c>
      <c r="D148" s="1">
        <v>163</v>
      </c>
      <c r="E148" s="1" t="s">
        <v>76</v>
      </c>
      <c r="F148" s="1" t="s">
        <v>98</v>
      </c>
      <c r="G148" s="1" t="s">
        <v>23</v>
      </c>
      <c r="H148" s="1" t="s">
        <v>54</v>
      </c>
      <c r="I148" s="1" t="s">
        <v>26</v>
      </c>
      <c r="J148" s="1">
        <v>78</v>
      </c>
      <c r="K148" s="1">
        <v>38</v>
      </c>
      <c r="L148" s="1">
        <v>34</v>
      </c>
      <c r="M148" s="1">
        <v>86</v>
      </c>
      <c r="N148" s="17">
        <v>0.43709999999999999</v>
      </c>
      <c r="O148" s="1">
        <v>292</v>
      </c>
      <c r="P148" s="15">
        <v>0.64159999999999995</v>
      </c>
      <c r="Q148" s="1">
        <v>54.149900000000002</v>
      </c>
      <c r="R148" s="1" t="s">
        <v>34</v>
      </c>
      <c r="S148" s="1">
        <v>529.09870000000001</v>
      </c>
      <c r="T148" s="1" t="s">
        <v>28</v>
      </c>
      <c r="U148" s="1" t="s">
        <v>29</v>
      </c>
    </row>
    <row r="149" spans="1:21" x14ac:dyDescent="0.3">
      <c r="A149" s="1" t="s">
        <v>751</v>
      </c>
      <c r="B149" s="2">
        <v>37098</v>
      </c>
      <c r="C149" s="1">
        <v>23</v>
      </c>
      <c r="D149" s="1">
        <v>167</v>
      </c>
      <c r="E149" s="1" t="s">
        <v>76</v>
      </c>
      <c r="F149" s="1" t="s">
        <v>62</v>
      </c>
      <c r="G149" s="1" t="s">
        <v>63</v>
      </c>
      <c r="H149" s="1" t="s">
        <v>54</v>
      </c>
      <c r="I149" s="1" t="s">
        <v>117</v>
      </c>
      <c r="J149" s="1">
        <v>97</v>
      </c>
      <c r="K149" s="1">
        <v>40</v>
      </c>
      <c r="L149" s="1">
        <v>82</v>
      </c>
      <c r="M149" s="1">
        <v>30</v>
      </c>
      <c r="N149" s="17">
        <v>0.35680000000000001</v>
      </c>
      <c r="O149" s="1">
        <v>323</v>
      </c>
      <c r="P149" s="15">
        <v>0.78120000000000001</v>
      </c>
      <c r="Q149" s="1">
        <v>54.665500000000002</v>
      </c>
      <c r="R149" s="1" t="s">
        <v>40</v>
      </c>
      <c r="S149" s="1">
        <v>573.00800000000004</v>
      </c>
      <c r="T149" s="1" t="s">
        <v>46</v>
      </c>
      <c r="U149" s="1" t="s">
        <v>113</v>
      </c>
    </row>
    <row r="150" spans="1:21" x14ac:dyDescent="0.3">
      <c r="A150" s="1" t="s">
        <v>752</v>
      </c>
      <c r="B150" s="2">
        <v>37411</v>
      </c>
      <c r="C150" s="1">
        <v>22</v>
      </c>
      <c r="D150" s="1">
        <v>167</v>
      </c>
      <c r="E150" s="1" t="s">
        <v>76</v>
      </c>
      <c r="F150" s="1" t="s">
        <v>72</v>
      </c>
      <c r="G150" s="1" t="s">
        <v>53</v>
      </c>
      <c r="H150" s="1" t="s">
        <v>54</v>
      </c>
      <c r="I150" s="1" t="s">
        <v>82</v>
      </c>
      <c r="J150" s="1">
        <v>121</v>
      </c>
      <c r="K150" s="1">
        <v>74</v>
      </c>
      <c r="L150" s="1">
        <v>6</v>
      </c>
      <c r="M150" s="1">
        <v>28</v>
      </c>
      <c r="N150" s="17">
        <v>0.49680000000000002</v>
      </c>
      <c r="O150" s="1">
        <v>338</v>
      </c>
      <c r="P150" s="15">
        <v>0.74299999999999999</v>
      </c>
      <c r="Q150" s="1">
        <v>110.9278</v>
      </c>
      <c r="R150" s="1" t="s">
        <v>45</v>
      </c>
      <c r="S150" s="1">
        <v>567.72979999999995</v>
      </c>
      <c r="T150" s="1" t="s">
        <v>46</v>
      </c>
      <c r="U150" s="1" t="s">
        <v>36</v>
      </c>
    </row>
    <row r="151" spans="1:21" x14ac:dyDescent="0.3">
      <c r="A151" s="1" t="s">
        <v>753</v>
      </c>
      <c r="B151" s="2">
        <v>37721</v>
      </c>
      <c r="C151" s="1">
        <v>21</v>
      </c>
      <c r="D151" s="1">
        <v>171</v>
      </c>
      <c r="E151" s="1" t="s">
        <v>24</v>
      </c>
      <c r="F151" s="1" t="s">
        <v>109</v>
      </c>
      <c r="G151" s="1" t="s">
        <v>63</v>
      </c>
      <c r="H151" s="1" t="s">
        <v>25</v>
      </c>
      <c r="I151" s="1" t="s">
        <v>107</v>
      </c>
      <c r="J151" s="1">
        <v>132</v>
      </c>
      <c r="K151" s="1">
        <v>96</v>
      </c>
      <c r="L151" s="1">
        <v>93</v>
      </c>
      <c r="M151" s="1">
        <v>87</v>
      </c>
      <c r="N151" s="17">
        <v>0.95399999999999996</v>
      </c>
      <c r="O151" s="1">
        <v>285</v>
      </c>
      <c r="P151" s="15">
        <v>0.4874</v>
      </c>
      <c r="Q151" s="1">
        <v>186.90010000000001</v>
      </c>
      <c r="R151" s="1" t="s">
        <v>45</v>
      </c>
      <c r="S151" s="1">
        <v>694.14139999999998</v>
      </c>
      <c r="T151" s="1" t="s">
        <v>46</v>
      </c>
      <c r="U151" s="1" t="s">
        <v>65</v>
      </c>
    </row>
    <row r="152" spans="1:21" x14ac:dyDescent="0.3">
      <c r="A152" s="1" t="s">
        <v>754</v>
      </c>
      <c r="B152" s="2">
        <v>37246</v>
      </c>
      <c r="C152" s="1">
        <v>23</v>
      </c>
      <c r="D152" s="1">
        <v>185</v>
      </c>
      <c r="E152" s="1" t="s">
        <v>32</v>
      </c>
      <c r="F152" s="1" t="s">
        <v>49</v>
      </c>
      <c r="G152" s="1" t="s">
        <v>43</v>
      </c>
      <c r="H152" s="1" t="s">
        <v>54</v>
      </c>
      <c r="I152" s="1" t="s">
        <v>123</v>
      </c>
      <c r="J152" s="1">
        <v>84</v>
      </c>
      <c r="K152" s="1">
        <v>30</v>
      </c>
      <c r="L152" s="1">
        <v>61</v>
      </c>
      <c r="M152" s="1">
        <v>42</v>
      </c>
      <c r="N152" s="17">
        <v>0.92659999999999998</v>
      </c>
      <c r="O152" s="1">
        <v>384</v>
      </c>
      <c r="P152" s="15">
        <v>0.69169999999999998</v>
      </c>
      <c r="Q152" s="1">
        <v>58.549399999999999</v>
      </c>
      <c r="R152" s="1" t="s">
        <v>27</v>
      </c>
      <c r="S152" s="1">
        <v>602.82830000000001</v>
      </c>
      <c r="T152" s="1" t="s">
        <v>46</v>
      </c>
      <c r="U152" s="1" t="s">
        <v>36</v>
      </c>
    </row>
    <row r="153" spans="1:21" x14ac:dyDescent="0.3">
      <c r="A153" s="1" t="s">
        <v>755</v>
      </c>
      <c r="B153" s="2">
        <v>37187</v>
      </c>
      <c r="C153" s="1">
        <v>23</v>
      </c>
      <c r="D153" s="1">
        <v>184</v>
      </c>
      <c r="E153" s="1" t="s">
        <v>32</v>
      </c>
      <c r="F153" s="1" t="s">
        <v>72</v>
      </c>
      <c r="G153" s="1" t="s">
        <v>53</v>
      </c>
      <c r="H153" s="1" t="s">
        <v>25</v>
      </c>
      <c r="I153" s="1" t="s">
        <v>101</v>
      </c>
      <c r="J153" s="1">
        <v>50</v>
      </c>
      <c r="K153" s="1">
        <v>26</v>
      </c>
      <c r="L153" s="1">
        <v>35</v>
      </c>
      <c r="M153" s="1">
        <v>3</v>
      </c>
      <c r="N153" s="17">
        <v>0.29010000000000002</v>
      </c>
      <c r="O153" s="1">
        <v>261</v>
      </c>
      <c r="P153" s="15">
        <v>0.46529999999999999</v>
      </c>
      <c r="Q153" s="1">
        <v>33.710299999999997</v>
      </c>
      <c r="R153" s="1" t="s">
        <v>40</v>
      </c>
      <c r="S153" s="1">
        <v>376.25540000000001</v>
      </c>
      <c r="T153" s="1" t="s">
        <v>35</v>
      </c>
      <c r="U153" s="1" t="s">
        <v>65</v>
      </c>
    </row>
    <row r="154" spans="1:21" x14ac:dyDescent="0.3">
      <c r="A154" s="1" t="s">
        <v>756</v>
      </c>
      <c r="B154" s="2">
        <v>37733</v>
      </c>
      <c r="C154" s="1">
        <v>21</v>
      </c>
      <c r="D154" s="1">
        <v>162</v>
      </c>
      <c r="E154" s="1" t="s">
        <v>76</v>
      </c>
      <c r="F154" s="1" t="s">
        <v>52</v>
      </c>
      <c r="G154" s="1" t="s">
        <v>53</v>
      </c>
      <c r="H154" s="1" t="s">
        <v>25</v>
      </c>
      <c r="I154" s="1" t="s">
        <v>33</v>
      </c>
      <c r="J154" s="1">
        <v>118</v>
      </c>
      <c r="K154" s="1">
        <v>87</v>
      </c>
      <c r="L154" s="1">
        <v>32</v>
      </c>
      <c r="M154" s="1">
        <v>14</v>
      </c>
      <c r="N154" s="17">
        <v>0.30259999999999998</v>
      </c>
      <c r="O154" s="1">
        <v>171</v>
      </c>
      <c r="P154" s="15">
        <v>0.52200000000000002</v>
      </c>
      <c r="Q154" s="1">
        <v>113.717</v>
      </c>
      <c r="R154" s="1" t="s">
        <v>40</v>
      </c>
      <c r="S154" s="1">
        <v>423.0446</v>
      </c>
      <c r="T154" s="1" t="s">
        <v>28</v>
      </c>
      <c r="U154" s="1" t="s">
        <v>65</v>
      </c>
    </row>
    <row r="155" spans="1:21" x14ac:dyDescent="0.3">
      <c r="A155" s="1" t="s">
        <v>757</v>
      </c>
      <c r="B155" s="2">
        <v>37134</v>
      </c>
      <c r="C155" s="1">
        <v>23</v>
      </c>
      <c r="D155" s="1">
        <v>165</v>
      </c>
      <c r="E155" s="1" t="s">
        <v>76</v>
      </c>
      <c r="F155" s="1" t="s">
        <v>109</v>
      </c>
      <c r="G155" s="1" t="s">
        <v>63</v>
      </c>
      <c r="H155" s="1" t="s">
        <v>54</v>
      </c>
      <c r="I155" s="1" t="s">
        <v>50</v>
      </c>
      <c r="J155" s="1">
        <v>75</v>
      </c>
      <c r="K155" s="1">
        <v>19</v>
      </c>
      <c r="L155" s="1">
        <v>19</v>
      </c>
      <c r="M155" s="1">
        <v>39</v>
      </c>
      <c r="N155" s="17">
        <v>0.26390000000000002</v>
      </c>
      <c r="O155" s="1">
        <v>327</v>
      </c>
      <c r="P155" s="15">
        <v>0.82020000000000004</v>
      </c>
      <c r="Q155" s="1">
        <v>24.140499999999999</v>
      </c>
      <c r="R155" s="1" t="s">
        <v>34</v>
      </c>
      <c r="S155" s="1">
        <v>480.48410000000001</v>
      </c>
      <c r="T155" s="1" t="s">
        <v>35</v>
      </c>
      <c r="U155" s="1" t="s">
        <v>65</v>
      </c>
    </row>
    <row r="156" spans="1:21" x14ac:dyDescent="0.3">
      <c r="A156" s="1" t="s">
        <v>758</v>
      </c>
      <c r="B156" s="2">
        <v>37952</v>
      </c>
      <c r="C156" s="1">
        <v>21</v>
      </c>
      <c r="D156" s="1">
        <v>182</v>
      </c>
      <c r="E156" s="1" t="s">
        <v>32</v>
      </c>
      <c r="F156" s="1" t="s">
        <v>72</v>
      </c>
      <c r="G156" s="1" t="s">
        <v>53</v>
      </c>
      <c r="H156" s="1" t="s">
        <v>25</v>
      </c>
      <c r="I156" s="1" t="s">
        <v>82</v>
      </c>
      <c r="J156" s="1">
        <v>80</v>
      </c>
      <c r="K156" s="1">
        <v>82</v>
      </c>
      <c r="L156" s="1">
        <v>96</v>
      </c>
      <c r="M156" s="1">
        <v>44</v>
      </c>
      <c r="N156" s="17">
        <v>0.28010000000000002</v>
      </c>
      <c r="O156" s="1">
        <v>376</v>
      </c>
      <c r="P156" s="15">
        <v>0.4657</v>
      </c>
      <c r="Q156" s="1">
        <v>105.50579999999999</v>
      </c>
      <c r="R156" s="1" t="s">
        <v>34</v>
      </c>
      <c r="S156" s="1">
        <v>680.1558</v>
      </c>
      <c r="T156" s="1" t="s">
        <v>35</v>
      </c>
      <c r="U156" s="1" t="s">
        <v>47</v>
      </c>
    </row>
    <row r="157" spans="1:21" x14ac:dyDescent="0.3">
      <c r="A157" s="1" t="s">
        <v>759</v>
      </c>
      <c r="B157" s="2">
        <v>37972</v>
      </c>
      <c r="C157" s="1">
        <v>21</v>
      </c>
      <c r="D157" s="1">
        <v>184</v>
      </c>
      <c r="E157" s="1" t="s">
        <v>32</v>
      </c>
      <c r="F157" s="1" t="s">
        <v>109</v>
      </c>
      <c r="G157" s="1" t="s">
        <v>63</v>
      </c>
      <c r="H157" s="1" t="s">
        <v>25</v>
      </c>
      <c r="I157" s="1" t="s">
        <v>107</v>
      </c>
      <c r="J157" s="1">
        <v>73</v>
      </c>
      <c r="K157" s="1">
        <v>91</v>
      </c>
      <c r="L157" s="1">
        <v>5</v>
      </c>
      <c r="M157" s="1">
        <v>28</v>
      </c>
      <c r="N157" s="17">
        <v>0.77949999999999997</v>
      </c>
      <c r="O157" s="1">
        <v>46</v>
      </c>
      <c r="P157" s="15">
        <v>0.81159999999999999</v>
      </c>
      <c r="Q157" s="1">
        <v>162.09469999999999</v>
      </c>
      <c r="R157" s="1" t="s">
        <v>27</v>
      </c>
      <c r="S157" s="1">
        <v>243.7611</v>
      </c>
      <c r="T157" s="1" t="s">
        <v>28</v>
      </c>
      <c r="U157" s="1" t="s">
        <v>56</v>
      </c>
    </row>
    <row r="158" spans="1:21" x14ac:dyDescent="0.3">
      <c r="A158" s="1" t="s">
        <v>760</v>
      </c>
      <c r="B158" s="2">
        <v>37421</v>
      </c>
      <c r="C158" s="1">
        <v>22</v>
      </c>
      <c r="D158" s="1">
        <v>185</v>
      </c>
      <c r="E158" s="1" t="s">
        <v>32</v>
      </c>
      <c r="F158" s="1" t="s">
        <v>98</v>
      </c>
      <c r="G158" s="1" t="s">
        <v>23</v>
      </c>
      <c r="H158" s="1" t="s">
        <v>25</v>
      </c>
      <c r="I158" s="1" t="s">
        <v>88</v>
      </c>
      <c r="J158" s="1">
        <v>138</v>
      </c>
      <c r="K158" s="1">
        <v>5</v>
      </c>
      <c r="L158" s="1">
        <v>22</v>
      </c>
      <c r="M158" s="1">
        <v>10</v>
      </c>
      <c r="N158" s="17">
        <v>0.20469999999999999</v>
      </c>
      <c r="O158" s="1">
        <v>57</v>
      </c>
      <c r="P158" s="15">
        <v>0.66749999999999998</v>
      </c>
      <c r="Q158" s="1">
        <v>5.4692999999999996</v>
      </c>
      <c r="R158" s="1" t="s">
        <v>40</v>
      </c>
      <c r="S158" s="1">
        <v>232.0522</v>
      </c>
      <c r="T158" s="1" t="s">
        <v>46</v>
      </c>
      <c r="U158" s="1" t="s">
        <v>65</v>
      </c>
    </row>
    <row r="159" spans="1:21" x14ac:dyDescent="0.3">
      <c r="A159" s="1" t="s">
        <v>761</v>
      </c>
      <c r="B159" s="2">
        <v>37823</v>
      </c>
      <c r="C159" s="1">
        <v>21</v>
      </c>
      <c r="D159" s="1">
        <v>170</v>
      </c>
      <c r="E159" s="1" t="s">
        <v>24</v>
      </c>
      <c r="F159" s="1" t="s">
        <v>79</v>
      </c>
      <c r="G159" s="1" t="s">
        <v>43</v>
      </c>
      <c r="H159" s="1" t="s">
        <v>25</v>
      </c>
      <c r="I159" s="1" t="s">
        <v>123</v>
      </c>
      <c r="J159" s="1">
        <v>145</v>
      </c>
      <c r="K159" s="1">
        <v>66</v>
      </c>
      <c r="L159" s="1">
        <v>66</v>
      </c>
      <c r="M159" s="1">
        <v>16</v>
      </c>
      <c r="N159" s="17">
        <v>0.81210000000000004</v>
      </c>
      <c r="O159" s="1">
        <v>73</v>
      </c>
      <c r="P159" s="15">
        <v>0.6552</v>
      </c>
      <c r="Q159" s="1">
        <v>118.89190000000001</v>
      </c>
      <c r="R159" s="1" t="s">
        <v>27</v>
      </c>
      <c r="S159" s="1">
        <v>366.02730000000003</v>
      </c>
      <c r="T159" s="1" t="s">
        <v>46</v>
      </c>
      <c r="U159" s="1" t="s">
        <v>36</v>
      </c>
    </row>
    <row r="160" spans="1:21" x14ac:dyDescent="0.3">
      <c r="A160" s="1" t="s">
        <v>762</v>
      </c>
      <c r="B160" s="2">
        <v>37965</v>
      </c>
      <c r="C160" s="1">
        <v>21</v>
      </c>
      <c r="D160" s="1">
        <v>183</v>
      </c>
      <c r="E160" s="1" t="s">
        <v>32</v>
      </c>
      <c r="F160" s="1" t="s">
        <v>69</v>
      </c>
      <c r="G160" s="1" t="s">
        <v>43</v>
      </c>
      <c r="H160" s="1" t="s">
        <v>25</v>
      </c>
      <c r="I160" s="1" t="s">
        <v>85</v>
      </c>
      <c r="J160" s="1">
        <v>82</v>
      </c>
      <c r="K160" s="1">
        <v>30</v>
      </c>
      <c r="L160" s="1">
        <v>98</v>
      </c>
      <c r="M160" s="1">
        <v>62</v>
      </c>
      <c r="N160" s="17">
        <v>0.54469999999999996</v>
      </c>
      <c r="O160" s="1">
        <v>166</v>
      </c>
      <c r="P160" s="15">
        <v>0.48909999999999998</v>
      </c>
      <c r="Q160" s="1">
        <v>46.418199999999999</v>
      </c>
      <c r="R160" s="1" t="s">
        <v>27</v>
      </c>
      <c r="S160" s="1">
        <v>439.24380000000002</v>
      </c>
      <c r="T160" s="1" t="s">
        <v>28</v>
      </c>
      <c r="U160" s="1" t="s">
        <v>113</v>
      </c>
    </row>
    <row r="161" spans="1:21" x14ac:dyDescent="0.3">
      <c r="A161" s="1" t="s">
        <v>763</v>
      </c>
      <c r="B161" s="2">
        <v>37734</v>
      </c>
      <c r="C161" s="1">
        <v>21</v>
      </c>
      <c r="D161" s="1">
        <v>166</v>
      </c>
      <c r="E161" s="1" t="s">
        <v>76</v>
      </c>
      <c r="F161" s="1" t="s">
        <v>22</v>
      </c>
      <c r="G161" s="1" t="s">
        <v>23</v>
      </c>
      <c r="H161" s="1" t="s">
        <v>54</v>
      </c>
      <c r="I161" s="1" t="s">
        <v>90</v>
      </c>
      <c r="J161" s="1">
        <v>131</v>
      </c>
      <c r="K161" s="1">
        <v>45</v>
      </c>
      <c r="L161" s="1">
        <v>98</v>
      </c>
      <c r="M161" s="1">
        <v>7</v>
      </c>
      <c r="N161" s="17">
        <v>0.50049999999999994</v>
      </c>
      <c r="O161" s="1">
        <v>43</v>
      </c>
      <c r="P161" s="15">
        <v>0.77649999999999997</v>
      </c>
      <c r="Q161" s="1">
        <v>67.822599999999994</v>
      </c>
      <c r="R161" s="1" t="s">
        <v>45</v>
      </c>
      <c r="S161" s="1">
        <v>325.59699999999998</v>
      </c>
      <c r="T161" s="1" t="s">
        <v>35</v>
      </c>
      <c r="U161" s="1" t="s">
        <v>113</v>
      </c>
    </row>
    <row r="162" spans="1:21" x14ac:dyDescent="0.3">
      <c r="A162" s="1" t="s">
        <v>764</v>
      </c>
      <c r="B162" s="2">
        <v>37746</v>
      </c>
      <c r="C162" s="1">
        <v>21</v>
      </c>
      <c r="D162" s="1">
        <v>168</v>
      </c>
      <c r="E162" s="1" t="s">
        <v>24</v>
      </c>
      <c r="F162" s="1" t="s">
        <v>79</v>
      </c>
      <c r="G162" s="1" t="s">
        <v>43</v>
      </c>
      <c r="H162" s="1" t="s">
        <v>25</v>
      </c>
      <c r="I162" s="1" t="s">
        <v>119</v>
      </c>
      <c r="J162" s="1">
        <v>67</v>
      </c>
      <c r="K162" s="1">
        <v>86</v>
      </c>
      <c r="L162" s="1">
        <v>7</v>
      </c>
      <c r="M162" s="1">
        <v>90</v>
      </c>
      <c r="N162" s="17">
        <v>0.46589999999999998</v>
      </c>
      <c r="O162" s="1">
        <v>114</v>
      </c>
      <c r="P162" s="15">
        <v>0.77790000000000004</v>
      </c>
      <c r="Q162" s="1">
        <v>126.1114</v>
      </c>
      <c r="R162" s="1" t="s">
        <v>34</v>
      </c>
      <c r="S162" s="1">
        <v>365.81380000000001</v>
      </c>
      <c r="T162" s="1" t="s">
        <v>28</v>
      </c>
      <c r="U162" s="1" t="s">
        <v>102</v>
      </c>
    </row>
    <row r="163" spans="1:21" x14ac:dyDescent="0.3">
      <c r="A163" s="1" t="s">
        <v>765</v>
      </c>
      <c r="B163" s="2">
        <v>37748</v>
      </c>
      <c r="C163" s="1">
        <v>21</v>
      </c>
      <c r="D163" s="1">
        <v>167</v>
      </c>
      <c r="E163" s="1" t="s">
        <v>76</v>
      </c>
      <c r="F163" s="1" t="s">
        <v>22</v>
      </c>
      <c r="G163" s="1" t="s">
        <v>23</v>
      </c>
      <c r="H163" s="1" t="s">
        <v>25</v>
      </c>
      <c r="I163" s="1" t="s">
        <v>67</v>
      </c>
      <c r="J163" s="1">
        <v>80</v>
      </c>
      <c r="K163" s="1">
        <v>57</v>
      </c>
      <c r="L163" s="1">
        <v>34</v>
      </c>
      <c r="M163" s="1">
        <v>36</v>
      </c>
      <c r="N163" s="17">
        <v>0.77680000000000005</v>
      </c>
      <c r="O163" s="1">
        <v>191</v>
      </c>
      <c r="P163" s="15">
        <v>0.4612</v>
      </c>
      <c r="Q163" s="1">
        <v>100.9755</v>
      </c>
      <c r="R163" s="1" t="s">
        <v>27</v>
      </c>
      <c r="S163" s="1">
        <v>399.428</v>
      </c>
      <c r="T163" s="1" t="s">
        <v>35</v>
      </c>
      <c r="U163" s="1" t="s">
        <v>29</v>
      </c>
    </row>
    <row r="164" spans="1:21" x14ac:dyDescent="0.3">
      <c r="A164" s="1" t="s">
        <v>766</v>
      </c>
      <c r="B164" s="2">
        <v>37982</v>
      </c>
      <c r="C164" s="1">
        <v>21</v>
      </c>
      <c r="D164" s="1">
        <v>182</v>
      </c>
      <c r="E164" s="1" t="s">
        <v>32</v>
      </c>
      <c r="F164" s="1" t="s">
        <v>87</v>
      </c>
      <c r="G164" s="1" t="s">
        <v>63</v>
      </c>
      <c r="H164" s="1" t="s">
        <v>54</v>
      </c>
      <c r="I164" s="1" t="s">
        <v>73</v>
      </c>
      <c r="J164" s="1">
        <v>129</v>
      </c>
      <c r="K164" s="1">
        <v>36</v>
      </c>
      <c r="L164" s="1">
        <v>53</v>
      </c>
      <c r="M164" s="1">
        <v>61</v>
      </c>
      <c r="N164" s="17">
        <v>0.80169999999999997</v>
      </c>
      <c r="O164" s="1">
        <v>181</v>
      </c>
      <c r="P164" s="15">
        <v>0.80789999999999995</v>
      </c>
      <c r="Q164" s="1">
        <v>65.563900000000004</v>
      </c>
      <c r="R164" s="1" t="s">
        <v>27</v>
      </c>
      <c r="S164" s="1">
        <v>461.64960000000002</v>
      </c>
      <c r="T164" s="1" t="s">
        <v>46</v>
      </c>
      <c r="U164" s="1" t="s">
        <v>102</v>
      </c>
    </row>
    <row r="165" spans="1:21" x14ac:dyDescent="0.3">
      <c r="A165" s="1" t="s">
        <v>767</v>
      </c>
      <c r="B165" s="2">
        <v>36933</v>
      </c>
      <c r="C165" s="1">
        <v>23</v>
      </c>
      <c r="D165" s="1">
        <v>184</v>
      </c>
      <c r="E165" s="1" t="s">
        <v>32</v>
      </c>
      <c r="F165" s="1" t="s">
        <v>49</v>
      </c>
      <c r="G165" s="1" t="s">
        <v>43</v>
      </c>
      <c r="H165" s="1" t="s">
        <v>25</v>
      </c>
      <c r="I165" s="1" t="s">
        <v>50</v>
      </c>
      <c r="J165" s="1">
        <v>62</v>
      </c>
      <c r="K165" s="1">
        <v>63</v>
      </c>
      <c r="L165" s="1">
        <v>9</v>
      </c>
      <c r="M165" s="1">
        <v>40</v>
      </c>
      <c r="N165" s="17">
        <v>0.193</v>
      </c>
      <c r="O165" s="1">
        <v>281</v>
      </c>
      <c r="P165" s="15">
        <v>0.50470000000000004</v>
      </c>
      <c r="Q165" s="1">
        <v>75.469200000000001</v>
      </c>
      <c r="R165" s="1" t="s">
        <v>45</v>
      </c>
      <c r="S165" s="1">
        <v>456.26769999999999</v>
      </c>
      <c r="T165" s="1" t="s">
        <v>46</v>
      </c>
      <c r="U165" s="1" t="s">
        <v>113</v>
      </c>
    </row>
    <row r="166" spans="1:21" x14ac:dyDescent="0.3">
      <c r="A166" s="1" t="s">
        <v>768</v>
      </c>
      <c r="B166" s="2">
        <v>37133</v>
      </c>
      <c r="C166" s="1">
        <v>23</v>
      </c>
      <c r="D166" s="1">
        <v>166</v>
      </c>
      <c r="E166" s="1" t="s">
        <v>76</v>
      </c>
      <c r="F166" s="1" t="s">
        <v>84</v>
      </c>
      <c r="G166" s="1" t="s">
        <v>63</v>
      </c>
      <c r="H166" s="1" t="s">
        <v>54</v>
      </c>
      <c r="I166" s="1" t="s">
        <v>70</v>
      </c>
      <c r="J166" s="1">
        <v>77</v>
      </c>
      <c r="K166" s="1">
        <v>36</v>
      </c>
      <c r="L166" s="1">
        <v>37</v>
      </c>
      <c r="M166" s="1">
        <v>72</v>
      </c>
      <c r="N166" s="17">
        <v>0.36759999999999998</v>
      </c>
      <c r="O166" s="1">
        <v>350</v>
      </c>
      <c r="P166" s="15">
        <v>0.47789999999999999</v>
      </c>
      <c r="Q166" s="1">
        <v>49.069499999999998</v>
      </c>
      <c r="R166" s="1" t="s">
        <v>34</v>
      </c>
      <c r="S166" s="1">
        <v>573.10550000000001</v>
      </c>
      <c r="T166" s="1" t="s">
        <v>46</v>
      </c>
      <c r="U166" s="1" t="s">
        <v>56</v>
      </c>
    </row>
    <row r="167" spans="1:21" x14ac:dyDescent="0.3">
      <c r="A167" s="1" t="s">
        <v>769</v>
      </c>
      <c r="B167" s="2">
        <v>37091</v>
      </c>
      <c r="C167" s="1">
        <v>23</v>
      </c>
      <c r="D167" s="1">
        <v>173</v>
      </c>
      <c r="E167" s="1" t="s">
        <v>24</v>
      </c>
      <c r="F167" s="1" t="s">
        <v>31</v>
      </c>
      <c r="G167" s="1" t="s">
        <v>23</v>
      </c>
      <c r="H167" s="1" t="s">
        <v>25</v>
      </c>
      <c r="I167" s="1" t="s">
        <v>115</v>
      </c>
      <c r="J167" s="1">
        <v>7</v>
      </c>
      <c r="K167" s="1">
        <v>34</v>
      </c>
      <c r="L167" s="1">
        <v>23</v>
      </c>
      <c r="M167" s="1">
        <v>26</v>
      </c>
      <c r="N167" s="17">
        <v>0.2029</v>
      </c>
      <c r="O167" s="1">
        <v>21</v>
      </c>
      <c r="P167" s="15">
        <v>0.60680000000000001</v>
      </c>
      <c r="Q167" s="1">
        <v>40.802399999999999</v>
      </c>
      <c r="R167" s="1" t="s">
        <v>34</v>
      </c>
      <c r="S167" s="1">
        <v>111.9597</v>
      </c>
      <c r="T167" s="1" t="s">
        <v>28</v>
      </c>
      <c r="U167" s="1" t="s">
        <v>29</v>
      </c>
    </row>
    <row r="168" spans="1:21" x14ac:dyDescent="0.3">
      <c r="A168" s="1" t="s">
        <v>770</v>
      </c>
      <c r="B168" s="2">
        <v>36903</v>
      </c>
      <c r="C168" s="1">
        <v>23</v>
      </c>
      <c r="D168" s="1">
        <v>174</v>
      </c>
      <c r="E168" s="1" t="s">
        <v>24</v>
      </c>
      <c r="F168" s="1" t="s">
        <v>52</v>
      </c>
      <c r="G168" s="1" t="s">
        <v>53</v>
      </c>
      <c r="H168" s="1" t="s">
        <v>54</v>
      </c>
      <c r="I168" s="1" t="s">
        <v>73</v>
      </c>
      <c r="J168" s="1">
        <v>12</v>
      </c>
      <c r="K168" s="1">
        <v>98</v>
      </c>
      <c r="L168" s="1">
        <v>80</v>
      </c>
      <c r="M168" s="1">
        <v>58</v>
      </c>
      <c r="N168" s="17">
        <v>0.69120000000000004</v>
      </c>
      <c r="O168" s="1">
        <v>394</v>
      </c>
      <c r="P168" s="15">
        <v>0.67559999999999998</v>
      </c>
      <c r="Q168" s="1">
        <v>164.92580000000001</v>
      </c>
      <c r="R168" s="1" t="s">
        <v>40</v>
      </c>
      <c r="S168" s="1">
        <v>641.99680000000001</v>
      </c>
      <c r="T168" s="1" t="s">
        <v>28</v>
      </c>
      <c r="U168" s="1" t="s">
        <v>29</v>
      </c>
    </row>
    <row r="169" spans="1:21" x14ac:dyDescent="0.3">
      <c r="A169" s="1" t="s">
        <v>771</v>
      </c>
      <c r="B169" s="2">
        <v>37169</v>
      </c>
      <c r="C169" s="1">
        <v>23</v>
      </c>
      <c r="D169" s="1">
        <v>171</v>
      </c>
      <c r="E169" s="1" t="s">
        <v>24</v>
      </c>
      <c r="F169" s="1" t="s">
        <v>42</v>
      </c>
      <c r="G169" s="1" t="s">
        <v>43</v>
      </c>
      <c r="H169" s="1" t="s">
        <v>54</v>
      </c>
      <c r="I169" s="1" t="s">
        <v>73</v>
      </c>
      <c r="J169" s="1">
        <v>11</v>
      </c>
      <c r="K169" s="1">
        <v>47</v>
      </c>
      <c r="L169" s="1">
        <v>48</v>
      </c>
      <c r="M169" s="1">
        <v>97</v>
      </c>
      <c r="N169" s="17">
        <v>0.82940000000000003</v>
      </c>
      <c r="O169" s="1">
        <v>95</v>
      </c>
      <c r="P169" s="15">
        <v>0.77329999999999999</v>
      </c>
      <c r="Q169" s="1">
        <v>85.1952</v>
      </c>
      <c r="R169" s="1" t="s">
        <v>27</v>
      </c>
      <c r="S169" s="1">
        <v>298.68270000000001</v>
      </c>
      <c r="T169" s="1" t="s">
        <v>35</v>
      </c>
      <c r="U169" s="1" t="s">
        <v>102</v>
      </c>
    </row>
    <row r="170" spans="1:21" x14ac:dyDescent="0.3">
      <c r="A170" s="1" t="s">
        <v>772</v>
      </c>
      <c r="B170" s="2">
        <v>37501</v>
      </c>
      <c r="C170" s="1">
        <v>22</v>
      </c>
      <c r="D170" s="1">
        <v>184</v>
      </c>
      <c r="E170" s="1" t="s">
        <v>32</v>
      </c>
      <c r="F170" s="1" t="s">
        <v>31</v>
      </c>
      <c r="G170" s="1" t="s">
        <v>23</v>
      </c>
      <c r="H170" s="1" t="s">
        <v>25</v>
      </c>
      <c r="I170" s="1" t="s">
        <v>105</v>
      </c>
      <c r="J170" s="1">
        <v>124</v>
      </c>
      <c r="K170" s="1">
        <v>62</v>
      </c>
      <c r="L170" s="1">
        <v>35</v>
      </c>
      <c r="M170" s="1">
        <v>23</v>
      </c>
      <c r="N170" s="17">
        <v>0.57240000000000002</v>
      </c>
      <c r="O170" s="1">
        <v>28</v>
      </c>
      <c r="P170" s="15">
        <v>0.67500000000000004</v>
      </c>
      <c r="Q170" s="1">
        <v>98.133499999999998</v>
      </c>
      <c r="R170" s="1" t="s">
        <v>34</v>
      </c>
      <c r="S170" s="1">
        <v>273.93740000000003</v>
      </c>
      <c r="T170" s="1" t="s">
        <v>35</v>
      </c>
      <c r="U170" s="1" t="s">
        <v>29</v>
      </c>
    </row>
    <row r="171" spans="1:21" x14ac:dyDescent="0.3">
      <c r="A171" s="1" t="s">
        <v>773</v>
      </c>
      <c r="B171" s="2">
        <v>37792</v>
      </c>
      <c r="C171" s="1">
        <v>21</v>
      </c>
      <c r="D171" s="1">
        <v>182</v>
      </c>
      <c r="E171" s="1" t="s">
        <v>32</v>
      </c>
      <c r="F171" s="1" t="s">
        <v>31</v>
      </c>
      <c r="G171" s="1" t="s">
        <v>23</v>
      </c>
      <c r="H171" s="1" t="s">
        <v>25</v>
      </c>
      <c r="I171" s="1" t="s">
        <v>92</v>
      </c>
      <c r="J171" s="1">
        <v>118</v>
      </c>
      <c r="K171" s="1">
        <v>2</v>
      </c>
      <c r="L171" s="1">
        <v>3</v>
      </c>
      <c r="M171" s="1">
        <v>94</v>
      </c>
      <c r="N171" s="17">
        <v>0.24379999999999999</v>
      </c>
      <c r="O171" s="1">
        <v>307</v>
      </c>
      <c r="P171" s="15">
        <v>0.69910000000000005</v>
      </c>
      <c r="Q171" s="1">
        <v>2.1393</v>
      </c>
      <c r="R171" s="1" t="s">
        <v>40</v>
      </c>
      <c r="S171" s="1">
        <v>524.92290000000003</v>
      </c>
      <c r="T171" s="1" t="s">
        <v>28</v>
      </c>
      <c r="U171" s="1" t="s">
        <v>29</v>
      </c>
    </row>
    <row r="172" spans="1:21" x14ac:dyDescent="0.3">
      <c r="A172" s="1" t="s">
        <v>774</v>
      </c>
      <c r="B172" s="2">
        <v>37799</v>
      </c>
      <c r="C172" s="1">
        <v>21</v>
      </c>
      <c r="D172" s="1">
        <v>178</v>
      </c>
      <c r="E172" s="1" t="s">
        <v>32</v>
      </c>
      <c r="F172" s="1" t="s">
        <v>52</v>
      </c>
      <c r="G172" s="1" t="s">
        <v>53</v>
      </c>
      <c r="H172" s="1" t="s">
        <v>25</v>
      </c>
      <c r="I172" s="1" t="s">
        <v>88</v>
      </c>
      <c r="J172" s="1">
        <v>116</v>
      </c>
      <c r="K172" s="1">
        <v>16</v>
      </c>
      <c r="L172" s="1">
        <v>46</v>
      </c>
      <c r="M172" s="1">
        <v>45</v>
      </c>
      <c r="N172" s="17">
        <v>0.62539999999999996</v>
      </c>
      <c r="O172" s="1">
        <v>122</v>
      </c>
      <c r="P172" s="15">
        <v>0.4819</v>
      </c>
      <c r="Q172" s="1">
        <v>25.616299999999999</v>
      </c>
      <c r="R172" s="1" t="s">
        <v>45</v>
      </c>
      <c r="S172" s="1">
        <v>344.84730000000002</v>
      </c>
      <c r="T172" s="1" t="s">
        <v>46</v>
      </c>
      <c r="U172" s="1" t="s">
        <v>47</v>
      </c>
    </row>
    <row r="173" spans="1:21" x14ac:dyDescent="0.3">
      <c r="A173" s="1" t="s">
        <v>775</v>
      </c>
      <c r="B173" s="2">
        <v>37163</v>
      </c>
      <c r="C173" s="1">
        <v>23</v>
      </c>
      <c r="D173" s="1">
        <v>174</v>
      </c>
      <c r="E173" s="1" t="s">
        <v>24</v>
      </c>
      <c r="F173" s="1" t="s">
        <v>52</v>
      </c>
      <c r="G173" s="1" t="s">
        <v>53</v>
      </c>
      <c r="H173" s="1" t="s">
        <v>54</v>
      </c>
      <c r="I173" s="1" t="s">
        <v>64</v>
      </c>
      <c r="J173" s="1">
        <v>73</v>
      </c>
      <c r="K173" s="1">
        <v>20</v>
      </c>
      <c r="L173" s="1">
        <v>77</v>
      </c>
      <c r="M173" s="1">
        <v>45</v>
      </c>
      <c r="N173" s="17">
        <v>0.29270000000000002</v>
      </c>
      <c r="O173" s="1">
        <v>157</v>
      </c>
      <c r="P173" s="15">
        <v>0.69699999999999995</v>
      </c>
      <c r="Q173" s="1">
        <v>25.375699999999998</v>
      </c>
      <c r="R173" s="1" t="s">
        <v>34</v>
      </c>
      <c r="S173" s="1">
        <v>372.22969999999998</v>
      </c>
      <c r="T173" s="1" t="s">
        <v>28</v>
      </c>
      <c r="U173" s="1" t="s">
        <v>102</v>
      </c>
    </row>
    <row r="174" spans="1:21" x14ac:dyDescent="0.3">
      <c r="A174" s="1" t="s">
        <v>776</v>
      </c>
      <c r="B174" s="2">
        <v>37290</v>
      </c>
      <c r="C174" s="1">
        <v>22</v>
      </c>
      <c r="D174" s="1">
        <v>175</v>
      </c>
      <c r="E174" s="1" t="s">
        <v>32</v>
      </c>
      <c r="F174" s="1" t="s">
        <v>84</v>
      </c>
      <c r="G174" s="1" t="s">
        <v>63</v>
      </c>
      <c r="H174" s="1" t="s">
        <v>25</v>
      </c>
      <c r="I174" s="1" t="s">
        <v>107</v>
      </c>
      <c r="J174" s="1">
        <v>1</v>
      </c>
      <c r="K174" s="1">
        <v>7</v>
      </c>
      <c r="L174" s="1">
        <v>97</v>
      </c>
      <c r="M174" s="1">
        <v>28</v>
      </c>
      <c r="N174" s="17">
        <v>0.9849</v>
      </c>
      <c r="O174" s="1">
        <v>220</v>
      </c>
      <c r="P174" s="15">
        <v>0.68589999999999995</v>
      </c>
      <c r="Q174" s="1">
        <v>13.279</v>
      </c>
      <c r="R174" s="1" t="s">
        <v>45</v>
      </c>
      <c r="S174" s="1">
        <v>353.88080000000002</v>
      </c>
      <c r="T174" s="1" t="s">
        <v>28</v>
      </c>
      <c r="U174" s="1" t="s">
        <v>102</v>
      </c>
    </row>
    <row r="175" spans="1:21" x14ac:dyDescent="0.3">
      <c r="A175" s="1" t="s">
        <v>777</v>
      </c>
      <c r="B175" s="2">
        <v>37979</v>
      </c>
      <c r="C175" s="1">
        <v>21</v>
      </c>
      <c r="D175" s="1">
        <v>163</v>
      </c>
      <c r="E175" s="1" t="s">
        <v>76</v>
      </c>
      <c r="F175" s="1" t="s">
        <v>42</v>
      </c>
      <c r="G175" s="1" t="s">
        <v>43</v>
      </c>
      <c r="H175" s="1" t="s">
        <v>25</v>
      </c>
      <c r="I175" s="1" t="s">
        <v>101</v>
      </c>
      <c r="J175" s="1">
        <v>13</v>
      </c>
      <c r="K175" s="1">
        <v>31</v>
      </c>
      <c r="L175" s="1">
        <v>84</v>
      </c>
      <c r="M175" s="1">
        <v>10</v>
      </c>
      <c r="N175" s="17">
        <v>0.38240000000000002</v>
      </c>
      <c r="O175" s="1">
        <v>355</v>
      </c>
      <c r="P175" s="15">
        <v>0.70599999999999996</v>
      </c>
      <c r="Q175" s="1">
        <v>42.177</v>
      </c>
      <c r="R175" s="1" t="s">
        <v>45</v>
      </c>
      <c r="S175" s="1">
        <v>494.09840000000003</v>
      </c>
      <c r="T175" s="1" t="s">
        <v>35</v>
      </c>
      <c r="U175" s="1" t="s">
        <v>113</v>
      </c>
    </row>
    <row r="176" spans="1:21" x14ac:dyDescent="0.3">
      <c r="A176" s="1" t="s">
        <v>778</v>
      </c>
      <c r="B176" s="2">
        <v>36930</v>
      </c>
      <c r="C176" s="1">
        <v>23</v>
      </c>
      <c r="D176" s="1">
        <v>172</v>
      </c>
      <c r="E176" s="1" t="s">
        <v>24</v>
      </c>
      <c r="F176" s="1" t="s">
        <v>75</v>
      </c>
      <c r="G176" s="1" t="s">
        <v>53</v>
      </c>
      <c r="H176" s="1" t="s">
        <v>25</v>
      </c>
      <c r="I176" s="1" t="s">
        <v>39</v>
      </c>
      <c r="J176" s="1">
        <v>103</v>
      </c>
      <c r="K176" s="1">
        <v>53</v>
      </c>
      <c r="L176" s="1">
        <v>14</v>
      </c>
      <c r="M176" s="1">
        <v>88</v>
      </c>
      <c r="N176" s="17">
        <v>0.93669999999999998</v>
      </c>
      <c r="O176" s="1">
        <v>322</v>
      </c>
      <c r="P176" s="15">
        <v>0.65629999999999999</v>
      </c>
      <c r="Q176" s="1">
        <v>102.8969</v>
      </c>
      <c r="R176" s="1" t="s">
        <v>27</v>
      </c>
      <c r="S176" s="1">
        <v>581.03300000000002</v>
      </c>
      <c r="T176" s="1" t="s">
        <v>46</v>
      </c>
      <c r="U176" s="1" t="s">
        <v>102</v>
      </c>
    </row>
    <row r="177" spans="1:21" x14ac:dyDescent="0.3">
      <c r="A177" s="1" t="s">
        <v>779</v>
      </c>
      <c r="B177" s="2">
        <v>37784</v>
      </c>
      <c r="C177" s="1">
        <v>21</v>
      </c>
      <c r="D177" s="1">
        <v>177</v>
      </c>
      <c r="E177" s="1" t="s">
        <v>32</v>
      </c>
      <c r="F177" s="1" t="s">
        <v>87</v>
      </c>
      <c r="G177" s="1" t="s">
        <v>63</v>
      </c>
      <c r="H177" s="1" t="s">
        <v>54</v>
      </c>
      <c r="I177" s="1" t="s">
        <v>26</v>
      </c>
      <c r="J177" s="1">
        <v>25</v>
      </c>
      <c r="K177" s="1">
        <v>2</v>
      </c>
      <c r="L177" s="1">
        <v>38</v>
      </c>
      <c r="M177" s="1">
        <v>73</v>
      </c>
      <c r="N177" s="17">
        <v>0.54730000000000001</v>
      </c>
      <c r="O177" s="1">
        <v>379</v>
      </c>
      <c r="P177" s="15">
        <v>0.82099999999999995</v>
      </c>
      <c r="Q177" s="1">
        <v>2.9243999999999999</v>
      </c>
      <c r="R177" s="1" t="s">
        <v>27</v>
      </c>
      <c r="S177" s="1">
        <v>518.40830000000005</v>
      </c>
      <c r="T177" s="1" t="s">
        <v>35</v>
      </c>
      <c r="U177" s="1" t="s">
        <v>47</v>
      </c>
    </row>
    <row r="178" spans="1:21" x14ac:dyDescent="0.3">
      <c r="A178" s="1" t="s">
        <v>780</v>
      </c>
      <c r="B178" s="2">
        <v>37555</v>
      </c>
      <c r="C178" s="1">
        <v>22</v>
      </c>
      <c r="D178" s="1">
        <v>185</v>
      </c>
      <c r="E178" s="1" t="s">
        <v>32</v>
      </c>
      <c r="F178" s="1" t="s">
        <v>62</v>
      </c>
      <c r="G178" s="1" t="s">
        <v>63</v>
      </c>
      <c r="H178" s="1" t="s">
        <v>54</v>
      </c>
      <c r="I178" s="1" t="s">
        <v>77</v>
      </c>
      <c r="J178" s="1">
        <v>148</v>
      </c>
      <c r="K178" s="1">
        <v>16</v>
      </c>
      <c r="L178" s="1">
        <v>3</v>
      </c>
      <c r="M178" s="1">
        <v>84</v>
      </c>
      <c r="N178" s="17">
        <v>0.80959999999999999</v>
      </c>
      <c r="O178" s="1">
        <v>201</v>
      </c>
      <c r="P178" s="15">
        <v>0.78639999999999999</v>
      </c>
      <c r="Q178" s="1">
        <v>28.989799999999999</v>
      </c>
      <c r="R178" s="1" t="s">
        <v>34</v>
      </c>
      <c r="S178" s="1">
        <v>453.14600000000002</v>
      </c>
      <c r="T178" s="1" t="s">
        <v>35</v>
      </c>
      <c r="U178" s="1" t="s">
        <v>65</v>
      </c>
    </row>
    <row r="179" spans="1:21" x14ac:dyDescent="0.3">
      <c r="A179" s="1" t="s">
        <v>781</v>
      </c>
      <c r="B179" s="2">
        <v>37262</v>
      </c>
      <c r="C179" s="1">
        <v>22</v>
      </c>
      <c r="D179" s="1">
        <v>176</v>
      </c>
      <c r="E179" s="1" t="s">
        <v>32</v>
      </c>
      <c r="F179" s="1" t="s">
        <v>98</v>
      </c>
      <c r="G179" s="1" t="s">
        <v>23</v>
      </c>
      <c r="H179" s="1" t="s">
        <v>54</v>
      </c>
      <c r="I179" s="1" t="s">
        <v>26</v>
      </c>
      <c r="J179" s="1">
        <v>143</v>
      </c>
      <c r="K179" s="1">
        <v>69</v>
      </c>
      <c r="L179" s="1">
        <v>52</v>
      </c>
      <c r="M179" s="1">
        <v>33</v>
      </c>
      <c r="N179" s="17">
        <v>0.49569999999999997</v>
      </c>
      <c r="O179" s="1">
        <v>226</v>
      </c>
      <c r="P179" s="15">
        <v>0.8054</v>
      </c>
      <c r="Q179" s="1">
        <v>102.76949999999999</v>
      </c>
      <c r="R179" s="1" t="s">
        <v>45</v>
      </c>
      <c r="S179" s="1">
        <v>523.16110000000003</v>
      </c>
      <c r="T179" s="1" t="s">
        <v>28</v>
      </c>
      <c r="U179" s="1" t="s">
        <v>56</v>
      </c>
    </row>
    <row r="180" spans="1:21" x14ac:dyDescent="0.3">
      <c r="A180" s="1" t="s">
        <v>782</v>
      </c>
      <c r="B180" s="2">
        <v>37984</v>
      </c>
      <c r="C180" s="1">
        <v>21</v>
      </c>
      <c r="D180" s="1">
        <v>182</v>
      </c>
      <c r="E180" s="1" t="s">
        <v>32</v>
      </c>
      <c r="F180" s="1" t="s">
        <v>87</v>
      </c>
      <c r="G180" s="1" t="s">
        <v>63</v>
      </c>
      <c r="H180" s="1" t="s">
        <v>25</v>
      </c>
      <c r="I180" s="1" t="s">
        <v>88</v>
      </c>
      <c r="J180" s="1">
        <v>10</v>
      </c>
      <c r="K180" s="1">
        <v>72</v>
      </c>
      <c r="L180" s="1">
        <v>72</v>
      </c>
      <c r="M180" s="1">
        <v>24</v>
      </c>
      <c r="N180" s="17">
        <v>0.37059999999999998</v>
      </c>
      <c r="O180" s="1">
        <v>297</v>
      </c>
      <c r="P180" s="15">
        <v>0.63260000000000005</v>
      </c>
      <c r="Q180" s="1">
        <v>98.121300000000005</v>
      </c>
      <c r="R180" s="1" t="s">
        <v>34</v>
      </c>
      <c r="S180" s="1">
        <v>475.70319999999998</v>
      </c>
      <c r="T180" s="1" t="s">
        <v>28</v>
      </c>
      <c r="U180" s="1" t="s">
        <v>36</v>
      </c>
    </row>
    <row r="181" spans="1:21" x14ac:dyDescent="0.3">
      <c r="A181" s="1" t="s">
        <v>783</v>
      </c>
      <c r="B181" s="2">
        <v>37665</v>
      </c>
      <c r="C181" s="1">
        <v>21</v>
      </c>
      <c r="D181" s="1">
        <v>172</v>
      </c>
      <c r="E181" s="1" t="s">
        <v>24</v>
      </c>
      <c r="F181" s="1" t="s">
        <v>84</v>
      </c>
      <c r="G181" s="1" t="s">
        <v>63</v>
      </c>
      <c r="H181" s="1" t="s">
        <v>54</v>
      </c>
      <c r="I181" s="1" t="s">
        <v>33</v>
      </c>
      <c r="J181" s="1">
        <v>81</v>
      </c>
      <c r="K181" s="1">
        <v>64</v>
      </c>
      <c r="L181" s="1">
        <v>32</v>
      </c>
      <c r="M181" s="1">
        <v>25</v>
      </c>
      <c r="N181" s="17">
        <v>0.80630000000000002</v>
      </c>
      <c r="O181" s="1">
        <v>321</v>
      </c>
      <c r="P181" s="15">
        <v>0.54249999999999998</v>
      </c>
      <c r="Q181" s="1">
        <v>114.7362</v>
      </c>
      <c r="R181" s="1" t="s">
        <v>45</v>
      </c>
      <c r="S181" s="1">
        <v>523.23879999999997</v>
      </c>
      <c r="T181" s="1" t="s">
        <v>35</v>
      </c>
      <c r="U181" s="1" t="s">
        <v>113</v>
      </c>
    </row>
    <row r="182" spans="1:21" x14ac:dyDescent="0.3">
      <c r="A182" s="1" t="s">
        <v>784</v>
      </c>
      <c r="B182" s="2">
        <v>37243</v>
      </c>
      <c r="C182" s="1">
        <v>23</v>
      </c>
      <c r="D182" s="1">
        <v>180</v>
      </c>
      <c r="E182" s="1" t="s">
        <v>32</v>
      </c>
      <c r="F182" s="1" t="s">
        <v>87</v>
      </c>
      <c r="G182" s="1" t="s">
        <v>63</v>
      </c>
      <c r="H182" s="1" t="s">
        <v>54</v>
      </c>
      <c r="I182" s="1" t="s">
        <v>96</v>
      </c>
      <c r="J182" s="1">
        <v>130</v>
      </c>
      <c r="K182" s="1">
        <v>8</v>
      </c>
      <c r="L182" s="1">
        <v>74</v>
      </c>
      <c r="M182" s="1">
        <v>29</v>
      </c>
      <c r="N182" s="17">
        <v>0.76959999999999995</v>
      </c>
      <c r="O182" s="1">
        <v>141</v>
      </c>
      <c r="P182" s="15">
        <v>0.66839999999999999</v>
      </c>
      <c r="Q182" s="1">
        <v>13.2897</v>
      </c>
      <c r="R182" s="1" t="s">
        <v>45</v>
      </c>
      <c r="S182" s="1">
        <v>382.24799999999999</v>
      </c>
      <c r="T182" s="1" t="s">
        <v>35</v>
      </c>
      <c r="U182" s="1" t="s">
        <v>102</v>
      </c>
    </row>
    <row r="183" spans="1:21" x14ac:dyDescent="0.3">
      <c r="A183" s="1" t="s">
        <v>785</v>
      </c>
      <c r="B183" s="2">
        <v>37362</v>
      </c>
      <c r="C183" s="1">
        <v>22</v>
      </c>
      <c r="D183" s="1">
        <v>168</v>
      </c>
      <c r="E183" s="1" t="s">
        <v>24</v>
      </c>
      <c r="F183" s="1" t="s">
        <v>75</v>
      </c>
      <c r="G183" s="1" t="s">
        <v>53</v>
      </c>
      <c r="H183" s="1" t="s">
        <v>54</v>
      </c>
      <c r="I183" s="1" t="s">
        <v>115</v>
      </c>
      <c r="J183" s="1">
        <v>99</v>
      </c>
      <c r="K183" s="1">
        <v>13</v>
      </c>
      <c r="L183" s="1">
        <v>13</v>
      </c>
      <c r="M183" s="1">
        <v>26</v>
      </c>
      <c r="N183" s="17">
        <v>0.62790000000000001</v>
      </c>
      <c r="O183" s="1">
        <v>312</v>
      </c>
      <c r="P183" s="15">
        <v>0.58389999999999997</v>
      </c>
      <c r="Q183" s="1">
        <v>21.1464</v>
      </c>
      <c r="R183" s="1" t="s">
        <v>45</v>
      </c>
      <c r="S183" s="1">
        <v>463.42180000000002</v>
      </c>
      <c r="T183" s="1" t="s">
        <v>35</v>
      </c>
      <c r="U183" s="1" t="s">
        <v>47</v>
      </c>
    </row>
    <row r="184" spans="1:21" x14ac:dyDescent="0.3">
      <c r="A184" s="1" t="s">
        <v>786</v>
      </c>
      <c r="B184" s="2">
        <v>37870</v>
      </c>
      <c r="C184" s="1">
        <v>21</v>
      </c>
      <c r="D184" s="1">
        <v>175</v>
      </c>
      <c r="E184" s="1" t="s">
        <v>32</v>
      </c>
      <c r="F184" s="1" t="s">
        <v>84</v>
      </c>
      <c r="G184" s="1" t="s">
        <v>63</v>
      </c>
      <c r="H184" s="1" t="s">
        <v>54</v>
      </c>
      <c r="I184" s="1" t="s">
        <v>64</v>
      </c>
      <c r="J184" s="1">
        <v>36</v>
      </c>
      <c r="K184" s="1">
        <v>71</v>
      </c>
      <c r="L184" s="1">
        <v>91</v>
      </c>
      <c r="M184" s="1">
        <v>1</v>
      </c>
      <c r="N184" s="17">
        <v>0.85109999999999997</v>
      </c>
      <c r="O184" s="1">
        <v>396</v>
      </c>
      <c r="P184" s="15">
        <v>0.83750000000000002</v>
      </c>
      <c r="Q184" s="1">
        <v>130.7062</v>
      </c>
      <c r="R184" s="1" t="s">
        <v>34</v>
      </c>
      <c r="S184" s="1">
        <v>596.5086</v>
      </c>
      <c r="T184" s="1" t="s">
        <v>46</v>
      </c>
      <c r="U184" s="1" t="s">
        <v>65</v>
      </c>
    </row>
    <row r="185" spans="1:21" x14ac:dyDescent="0.3">
      <c r="A185" s="1" t="s">
        <v>787</v>
      </c>
      <c r="B185" s="2">
        <v>37983</v>
      </c>
      <c r="C185" s="1">
        <v>21</v>
      </c>
      <c r="D185" s="1">
        <v>180</v>
      </c>
      <c r="E185" s="1" t="s">
        <v>32</v>
      </c>
      <c r="F185" s="1" t="s">
        <v>42</v>
      </c>
      <c r="G185" s="1" t="s">
        <v>43</v>
      </c>
      <c r="H185" s="1" t="s">
        <v>25</v>
      </c>
      <c r="I185" s="1" t="s">
        <v>117</v>
      </c>
      <c r="J185" s="1">
        <v>86</v>
      </c>
      <c r="K185" s="1">
        <v>67</v>
      </c>
      <c r="L185" s="1">
        <v>97</v>
      </c>
      <c r="M185" s="1">
        <v>58</v>
      </c>
      <c r="N185" s="17">
        <v>0.9173</v>
      </c>
      <c r="O185" s="1">
        <v>347</v>
      </c>
      <c r="P185" s="15">
        <v>0.70140000000000002</v>
      </c>
      <c r="Q185" s="1">
        <v>128.09479999999999</v>
      </c>
      <c r="R185" s="1" t="s">
        <v>45</v>
      </c>
      <c r="S185" s="1">
        <v>656.31870000000004</v>
      </c>
      <c r="T185" s="1" t="s">
        <v>28</v>
      </c>
      <c r="U185" s="1" t="s">
        <v>65</v>
      </c>
    </row>
    <row r="186" spans="1:21" x14ac:dyDescent="0.3">
      <c r="A186" s="1" t="s">
        <v>788</v>
      </c>
      <c r="B186" s="2">
        <v>37043</v>
      </c>
      <c r="C186" s="1">
        <v>23</v>
      </c>
      <c r="D186" s="1">
        <v>176</v>
      </c>
      <c r="E186" s="1" t="s">
        <v>32</v>
      </c>
      <c r="F186" s="1" t="s">
        <v>69</v>
      </c>
      <c r="G186" s="1" t="s">
        <v>43</v>
      </c>
      <c r="H186" s="1" t="s">
        <v>54</v>
      </c>
      <c r="I186" s="1" t="s">
        <v>90</v>
      </c>
      <c r="J186" s="1">
        <v>124</v>
      </c>
      <c r="K186" s="1">
        <v>12</v>
      </c>
      <c r="L186" s="1">
        <v>99</v>
      </c>
      <c r="M186" s="1">
        <v>87</v>
      </c>
      <c r="N186" s="17">
        <v>0.2404</v>
      </c>
      <c r="O186" s="1">
        <v>396</v>
      </c>
      <c r="P186" s="15">
        <v>0.73780000000000001</v>
      </c>
      <c r="Q186" s="1">
        <v>14.686299999999999</v>
      </c>
      <c r="R186" s="1" t="s">
        <v>27</v>
      </c>
      <c r="S186" s="1">
        <v>718.01819999999998</v>
      </c>
      <c r="T186" s="1" t="s">
        <v>46</v>
      </c>
      <c r="U186" s="1" t="s">
        <v>29</v>
      </c>
    </row>
    <row r="187" spans="1:21" x14ac:dyDescent="0.3">
      <c r="A187" s="1" t="s">
        <v>789</v>
      </c>
      <c r="B187" s="2">
        <v>37274</v>
      </c>
      <c r="C187" s="1">
        <v>22</v>
      </c>
      <c r="D187" s="1">
        <v>162</v>
      </c>
      <c r="E187" s="1" t="s">
        <v>76</v>
      </c>
      <c r="F187" s="1" t="s">
        <v>79</v>
      </c>
      <c r="G187" s="1" t="s">
        <v>43</v>
      </c>
      <c r="H187" s="1" t="s">
        <v>25</v>
      </c>
      <c r="I187" s="1" t="s">
        <v>112</v>
      </c>
      <c r="J187" s="1">
        <v>104</v>
      </c>
      <c r="K187" s="1">
        <v>17</v>
      </c>
      <c r="L187" s="1">
        <v>93</v>
      </c>
      <c r="M187" s="1">
        <v>69</v>
      </c>
      <c r="N187" s="17">
        <v>0.83540000000000003</v>
      </c>
      <c r="O187" s="1">
        <v>161</v>
      </c>
      <c r="P187" s="15">
        <v>0.62339999999999995</v>
      </c>
      <c r="Q187" s="1">
        <v>31.293600000000001</v>
      </c>
      <c r="R187" s="1" t="s">
        <v>27</v>
      </c>
      <c r="S187" s="1">
        <v>445.58879999999999</v>
      </c>
      <c r="T187" s="1" t="s">
        <v>28</v>
      </c>
      <c r="U187" s="1" t="s">
        <v>65</v>
      </c>
    </row>
    <row r="188" spans="1:21" x14ac:dyDescent="0.3">
      <c r="A188" s="1" t="s">
        <v>790</v>
      </c>
      <c r="B188" s="2">
        <v>36930</v>
      </c>
      <c r="C188" s="1">
        <v>23</v>
      </c>
      <c r="D188" s="1">
        <v>178</v>
      </c>
      <c r="E188" s="1" t="s">
        <v>32</v>
      </c>
      <c r="F188" s="1" t="s">
        <v>109</v>
      </c>
      <c r="G188" s="1" t="s">
        <v>63</v>
      </c>
      <c r="H188" s="1" t="s">
        <v>54</v>
      </c>
      <c r="I188" s="1" t="s">
        <v>85</v>
      </c>
      <c r="J188" s="1">
        <v>70</v>
      </c>
      <c r="K188" s="1">
        <v>85</v>
      </c>
      <c r="L188" s="1">
        <v>6</v>
      </c>
      <c r="M188" s="1">
        <v>22</v>
      </c>
      <c r="N188" s="17">
        <v>0.14099999999999999</v>
      </c>
      <c r="O188" s="1">
        <v>299</v>
      </c>
      <c r="P188" s="15">
        <v>0.65200000000000002</v>
      </c>
      <c r="Q188" s="1">
        <v>97.361500000000007</v>
      </c>
      <c r="R188" s="1" t="s">
        <v>40</v>
      </c>
      <c r="S188" s="1">
        <v>482.24299999999999</v>
      </c>
      <c r="T188" s="1" t="s">
        <v>46</v>
      </c>
      <c r="U188" s="1" t="s">
        <v>56</v>
      </c>
    </row>
    <row r="189" spans="1:21" x14ac:dyDescent="0.3">
      <c r="A189" s="1" t="s">
        <v>791</v>
      </c>
      <c r="B189" s="2">
        <v>37213</v>
      </c>
      <c r="C189" s="1">
        <v>23</v>
      </c>
      <c r="D189" s="1">
        <v>163</v>
      </c>
      <c r="E189" s="1" t="s">
        <v>76</v>
      </c>
      <c r="F189" s="1" t="s">
        <v>75</v>
      </c>
      <c r="G189" s="1" t="s">
        <v>53</v>
      </c>
      <c r="H189" s="1" t="s">
        <v>25</v>
      </c>
      <c r="I189" s="1" t="s">
        <v>64</v>
      </c>
      <c r="J189" s="1">
        <v>17</v>
      </c>
      <c r="K189" s="1">
        <v>24</v>
      </c>
      <c r="L189" s="1">
        <v>1</v>
      </c>
      <c r="M189" s="1">
        <v>61</v>
      </c>
      <c r="N189" s="17">
        <v>0.38269999999999998</v>
      </c>
      <c r="O189" s="1">
        <v>231</v>
      </c>
      <c r="P189" s="15">
        <v>0.73040000000000005</v>
      </c>
      <c r="Q189" s="1">
        <v>33.585799999999999</v>
      </c>
      <c r="R189" s="1" t="s">
        <v>40</v>
      </c>
      <c r="S189" s="1">
        <v>335.24310000000003</v>
      </c>
      <c r="T189" s="1" t="s">
        <v>35</v>
      </c>
      <c r="U189" s="1" t="s">
        <v>102</v>
      </c>
    </row>
    <row r="190" spans="1:21" x14ac:dyDescent="0.3">
      <c r="A190" s="1" t="s">
        <v>792</v>
      </c>
      <c r="B190" s="2">
        <v>37450</v>
      </c>
      <c r="C190" s="1">
        <v>22</v>
      </c>
      <c r="D190" s="1">
        <v>169</v>
      </c>
      <c r="E190" s="1" t="s">
        <v>24</v>
      </c>
      <c r="F190" s="1" t="s">
        <v>49</v>
      </c>
      <c r="G190" s="1" t="s">
        <v>43</v>
      </c>
      <c r="H190" s="1" t="s">
        <v>54</v>
      </c>
      <c r="I190" s="1" t="s">
        <v>33</v>
      </c>
      <c r="J190" s="1">
        <v>74</v>
      </c>
      <c r="K190" s="1">
        <v>39</v>
      </c>
      <c r="L190" s="1">
        <v>82</v>
      </c>
      <c r="M190" s="1">
        <v>2</v>
      </c>
      <c r="N190" s="17">
        <v>0.84730000000000005</v>
      </c>
      <c r="O190" s="1">
        <v>204</v>
      </c>
      <c r="P190" s="15">
        <v>0.47039999999999998</v>
      </c>
      <c r="Q190" s="1">
        <v>71.86</v>
      </c>
      <c r="R190" s="1" t="s">
        <v>40</v>
      </c>
      <c r="S190" s="1">
        <v>402.24770000000001</v>
      </c>
      <c r="T190" s="1" t="s">
        <v>28</v>
      </c>
      <c r="U190" s="1" t="s">
        <v>65</v>
      </c>
    </row>
    <row r="191" spans="1:21" x14ac:dyDescent="0.3">
      <c r="A191" s="1" t="s">
        <v>793</v>
      </c>
      <c r="B191" s="2">
        <v>37499</v>
      </c>
      <c r="C191" s="1">
        <v>22</v>
      </c>
      <c r="D191" s="1">
        <v>182</v>
      </c>
      <c r="E191" s="1" t="s">
        <v>32</v>
      </c>
      <c r="F191" s="1" t="s">
        <v>104</v>
      </c>
      <c r="G191" s="1" t="s">
        <v>53</v>
      </c>
      <c r="H191" s="1" t="s">
        <v>25</v>
      </c>
      <c r="I191" s="1" t="s">
        <v>77</v>
      </c>
      <c r="J191" s="1">
        <v>23</v>
      </c>
      <c r="K191" s="1">
        <v>35</v>
      </c>
      <c r="L191" s="1">
        <v>54</v>
      </c>
      <c r="M191" s="1">
        <v>3</v>
      </c>
      <c r="N191" s="17">
        <v>0.79530000000000001</v>
      </c>
      <c r="O191" s="1">
        <v>329</v>
      </c>
      <c r="P191" s="15">
        <v>0.74770000000000003</v>
      </c>
      <c r="Q191" s="1">
        <v>62.6021</v>
      </c>
      <c r="R191" s="1" t="s">
        <v>40</v>
      </c>
      <c r="S191" s="1">
        <v>445.22300000000001</v>
      </c>
      <c r="T191" s="1" t="s">
        <v>46</v>
      </c>
      <c r="U191" s="1" t="s">
        <v>47</v>
      </c>
    </row>
    <row r="192" spans="1:21" x14ac:dyDescent="0.3">
      <c r="A192" s="1" t="s">
        <v>794</v>
      </c>
      <c r="B192" s="2">
        <v>37147</v>
      </c>
      <c r="C192" s="1">
        <v>23</v>
      </c>
      <c r="D192" s="1">
        <v>170</v>
      </c>
      <c r="E192" s="1" t="s">
        <v>24</v>
      </c>
      <c r="F192" s="1" t="s">
        <v>62</v>
      </c>
      <c r="G192" s="1" t="s">
        <v>63</v>
      </c>
      <c r="H192" s="1" t="s">
        <v>54</v>
      </c>
      <c r="I192" s="1" t="s">
        <v>115</v>
      </c>
      <c r="J192" s="1">
        <v>42</v>
      </c>
      <c r="K192" s="1">
        <v>8</v>
      </c>
      <c r="L192" s="1">
        <v>72</v>
      </c>
      <c r="M192" s="1">
        <v>95</v>
      </c>
      <c r="N192" s="17">
        <v>0.83379999999999999</v>
      </c>
      <c r="O192" s="1">
        <v>201</v>
      </c>
      <c r="P192" s="15">
        <v>0.78369999999999995</v>
      </c>
      <c r="Q192" s="1">
        <v>15.293900000000001</v>
      </c>
      <c r="R192" s="1" t="s">
        <v>40</v>
      </c>
      <c r="S192" s="1">
        <v>419.79750000000001</v>
      </c>
      <c r="T192" s="1" t="s">
        <v>28</v>
      </c>
      <c r="U192" s="1" t="s">
        <v>65</v>
      </c>
    </row>
    <row r="193" spans="1:21" x14ac:dyDescent="0.3">
      <c r="A193" s="1" t="s">
        <v>795</v>
      </c>
      <c r="B193" s="2">
        <v>37240</v>
      </c>
      <c r="C193" s="1">
        <v>23</v>
      </c>
      <c r="D193" s="1">
        <v>178</v>
      </c>
      <c r="E193" s="1" t="s">
        <v>32</v>
      </c>
      <c r="F193" s="1" t="s">
        <v>62</v>
      </c>
      <c r="G193" s="1" t="s">
        <v>63</v>
      </c>
      <c r="H193" s="1" t="s">
        <v>25</v>
      </c>
      <c r="I193" s="1" t="s">
        <v>105</v>
      </c>
      <c r="J193" s="1">
        <v>88</v>
      </c>
      <c r="K193" s="1">
        <v>38</v>
      </c>
      <c r="L193" s="1">
        <v>57</v>
      </c>
      <c r="M193" s="1">
        <v>72</v>
      </c>
      <c r="N193" s="17">
        <v>0.84470000000000001</v>
      </c>
      <c r="O193" s="1">
        <v>157</v>
      </c>
      <c r="P193" s="15">
        <v>0.72430000000000005</v>
      </c>
      <c r="Q193" s="1">
        <v>70.578199999999995</v>
      </c>
      <c r="R193" s="1" t="s">
        <v>40</v>
      </c>
      <c r="S193" s="1">
        <v>413.63900000000001</v>
      </c>
      <c r="T193" s="1" t="s">
        <v>46</v>
      </c>
      <c r="U193" s="1" t="s">
        <v>29</v>
      </c>
    </row>
    <row r="194" spans="1:21" x14ac:dyDescent="0.3">
      <c r="A194" s="1" t="s">
        <v>796</v>
      </c>
      <c r="B194" s="2">
        <v>37940</v>
      </c>
      <c r="C194" s="1">
        <v>21</v>
      </c>
      <c r="D194" s="1">
        <v>183</v>
      </c>
      <c r="E194" s="1" t="s">
        <v>32</v>
      </c>
      <c r="F194" s="1" t="s">
        <v>31</v>
      </c>
      <c r="G194" s="1" t="s">
        <v>23</v>
      </c>
      <c r="H194" s="1" t="s">
        <v>54</v>
      </c>
      <c r="I194" s="1" t="s">
        <v>26</v>
      </c>
      <c r="J194" s="1">
        <v>24</v>
      </c>
      <c r="K194" s="1">
        <v>5</v>
      </c>
      <c r="L194" s="1">
        <v>18</v>
      </c>
      <c r="M194" s="1">
        <v>28</v>
      </c>
      <c r="N194" s="17">
        <v>0.46929999999999999</v>
      </c>
      <c r="O194" s="1">
        <v>279</v>
      </c>
      <c r="P194" s="15">
        <v>0.63329999999999997</v>
      </c>
      <c r="Q194" s="1">
        <v>7.5815999999999999</v>
      </c>
      <c r="R194" s="1" t="s">
        <v>40</v>
      </c>
      <c r="S194" s="1">
        <v>355.90260000000001</v>
      </c>
      <c r="T194" s="1" t="s">
        <v>46</v>
      </c>
      <c r="U194" s="1" t="s">
        <v>113</v>
      </c>
    </row>
    <row r="195" spans="1:21" x14ac:dyDescent="0.3">
      <c r="A195" s="1" t="s">
        <v>797</v>
      </c>
      <c r="B195" s="2">
        <v>37645</v>
      </c>
      <c r="C195" s="1">
        <v>21</v>
      </c>
      <c r="D195" s="1">
        <v>176</v>
      </c>
      <c r="E195" s="1" t="s">
        <v>32</v>
      </c>
      <c r="F195" s="1" t="s">
        <v>79</v>
      </c>
      <c r="G195" s="1" t="s">
        <v>43</v>
      </c>
      <c r="H195" s="1" t="s">
        <v>54</v>
      </c>
      <c r="I195" s="1" t="s">
        <v>117</v>
      </c>
      <c r="J195" s="1">
        <v>48</v>
      </c>
      <c r="K195" s="1">
        <v>89</v>
      </c>
      <c r="L195" s="1">
        <v>65</v>
      </c>
      <c r="M195" s="1">
        <v>45</v>
      </c>
      <c r="N195" s="17">
        <v>0.1457</v>
      </c>
      <c r="O195" s="1">
        <v>38</v>
      </c>
      <c r="P195" s="15">
        <v>0.76</v>
      </c>
      <c r="Q195" s="1">
        <v>101.6465</v>
      </c>
      <c r="R195" s="1" t="s">
        <v>34</v>
      </c>
      <c r="S195" s="1">
        <v>285.87569999999999</v>
      </c>
      <c r="T195" s="1" t="s">
        <v>35</v>
      </c>
      <c r="U195" s="1" t="s">
        <v>102</v>
      </c>
    </row>
    <row r="196" spans="1:21" x14ac:dyDescent="0.3">
      <c r="A196" s="1" t="s">
        <v>798</v>
      </c>
      <c r="B196" s="2">
        <v>37361</v>
      </c>
      <c r="C196" s="1">
        <v>22</v>
      </c>
      <c r="D196" s="1">
        <v>162</v>
      </c>
      <c r="E196" s="1" t="s">
        <v>76</v>
      </c>
      <c r="F196" s="1" t="s">
        <v>84</v>
      </c>
      <c r="G196" s="1" t="s">
        <v>63</v>
      </c>
      <c r="H196" s="1" t="s">
        <v>54</v>
      </c>
      <c r="I196" s="1" t="s">
        <v>117</v>
      </c>
      <c r="J196" s="1">
        <v>106</v>
      </c>
      <c r="K196" s="1">
        <v>23</v>
      </c>
      <c r="L196" s="1">
        <v>57</v>
      </c>
      <c r="M196" s="1">
        <v>51</v>
      </c>
      <c r="N196" s="17">
        <v>0.92459999999999998</v>
      </c>
      <c r="O196" s="1">
        <v>334</v>
      </c>
      <c r="P196" s="15">
        <v>0.56410000000000005</v>
      </c>
      <c r="Q196" s="1">
        <v>44.920200000000001</v>
      </c>
      <c r="R196" s="1" t="s">
        <v>34</v>
      </c>
      <c r="S196" s="1">
        <v>572.37869999999998</v>
      </c>
      <c r="T196" s="1" t="s">
        <v>35</v>
      </c>
      <c r="U196" s="1" t="s">
        <v>113</v>
      </c>
    </row>
    <row r="197" spans="1:21" x14ac:dyDescent="0.3">
      <c r="A197" s="1" t="s">
        <v>799</v>
      </c>
      <c r="B197" s="2">
        <v>37855</v>
      </c>
      <c r="C197" s="1">
        <v>21</v>
      </c>
      <c r="D197" s="1">
        <v>171</v>
      </c>
      <c r="E197" s="1" t="s">
        <v>24</v>
      </c>
      <c r="F197" s="1" t="s">
        <v>98</v>
      </c>
      <c r="G197" s="1" t="s">
        <v>23</v>
      </c>
      <c r="H197" s="1" t="s">
        <v>25</v>
      </c>
      <c r="I197" s="1" t="s">
        <v>119</v>
      </c>
      <c r="J197" s="1">
        <v>125</v>
      </c>
      <c r="K197" s="1">
        <v>96</v>
      </c>
      <c r="L197" s="1">
        <v>54</v>
      </c>
      <c r="M197" s="1">
        <v>63</v>
      </c>
      <c r="N197" s="17">
        <v>0.54569999999999996</v>
      </c>
      <c r="O197" s="1">
        <v>92</v>
      </c>
      <c r="P197" s="15">
        <v>0.78080000000000005</v>
      </c>
      <c r="Q197" s="1">
        <v>147.7998</v>
      </c>
      <c r="R197" s="1" t="s">
        <v>45</v>
      </c>
      <c r="S197" s="1">
        <v>430.51650000000001</v>
      </c>
      <c r="T197" s="1" t="s">
        <v>35</v>
      </c>
      <c r="U197" s="1" t="s">
        <v>29</v>
      </c>
    </row>
    <row r="198" spans="1:21" x14ac:dyDescent="0.3">
      <c r="A198" s="1" t="s">
        <v>800</v>
      </c>
      <c r="B198" s="2">
        <v>37875</v>
      </c>
      <c r="C198" s="1">
        <v>21</v>
      </c>
      <c r="D198" s="1">
        <v>183</v>
      </c>
      <c r="E198" s="1" t="s">
        <v>32</v>
      </c>
      <c r="F198" s="1" t="s">
        <v>72</v>
      </c>
      <c r="G198" s="1" t="s">
        <v>53</v>
      </c>
      <c r="H198" s="1" t="s">
        <v>25</v>
      </c>
      <c r="I198" s="1" t="s">
        <v>115</v>
      </c>
      <c r="J198" s="1">
        <v>35</v>
      </c>
      <c r="K198" s="1">
        <v>71</v>
      </c>
      <c r="L198" s="1">
        <v>42</v>
      </c>
      <c r="M198" s="1">
        <v>4</v>
      </c>
      <c r="N198" s="17">
        <v>0.1338</v>
      </c>
      <c r="O198" s="1">
        <v>165</v>
      </c>
      <c r="P198" s="15">
        <v>0.49009999999999998</v>
      </c>
      <c r="Q198" s="1">
        <v>80.239000000000004</v>
      </c>
      <c r="R198" s="1" t="s">
        <v>45</v>
      </c>
      <c r="S198" s="1">
        <v>317.01389999999998</v>
      </c>
      <c r="T198" s="1" t="s">
        <v>46</v>
      </c>
      <c r="U198" s="1" t="s">
        <v>113</v>
      </c>
    </row>
    <row r="199" spans="1:21" x14ac:dyDescent="0.3">
      <c r="A199" s="1" t="s">
        <v>801</v>
      </c>
      <c r="B199" s="2">
        <v>37418</v>
      </c>
      <c r="C199" s="1">
        <v>22</v>
      </c>
      <c r="D199" s="1">
        <v>183</v>
      </c>
      <c r="E199" s="1" t="s">
        <v>32</v>
      </c>
      <c r="F199" s="1" t="s">
        <v>98</v>
      </c>
      <c r="G199" s="1" t="s">
        <v>23</v>
      </c>
      <c r="H199" s="1" t="s">
        <v>25</v>
      </c>
      <c r="I199" s="1" t="s">
        <v>99</v>
      </c>
      <c r="J199" s="1">
        <v>74</v>
      </c>
      <c r="K199" s="1">
        <v>40</v>
      </c>
      <c r="L199" s="1">
        <v>80</v>
      </c>
      <c r="M199" s="1">
        <v>6</v>
      </c>
      <c r="N199" s="17">
        <v>0.87790000000000001</v>
      </c>
      <c r="O199" s="1">
        <v>298</v>
      </c>
      <c r="P199" s="15">
        <v>0.41339999999999999</v>
      </c>
      <c r="Q199" s="1">
        <v>75.5291</v>
      </c>
      <c r="R199" s="1" t="s">
        <v>27</v>
      </c>
      <c r="S199" s="1">
        <v>498.53129999999999</v>
      </c>
      <c r="T199" s="1" t="s">
        <v>35</v>
      </c>
      <c r="U199" s="1" t="s">
        <v>65</v>
      </c>
    </row>
    <row r="200" spans="1:21" x14ac:dyDescent="0.3">
      <c r="A200" s="1" t="s">
        <v>802</v>
      </c>
      <c r="B200" s="2">
        <v>37700</v>
      </c>
      <c r="C200" s="1">
        <v>21</v>
      </c>
      <c r="D200" s="1">
        <v>172</v>
      </c>
      <c r="E200" s="1" t="s">
        <v>24</v>
      </c>
      <c r="F200" s="1" t="s">
        <v>69</v>
      </c>
      <c r="G200" s="1" t="s">
        <v>43</v>
      </c>
      <c r="H200" s="1" t="s">
        <v>25</v>
      </c>
      <c r="I200" s="1" t="s">
        <v>60</v>
      </c>
      <c r="J200" s="1">
        <v>33</v>
      </c>
      <c r="K200" s="1">
        <v>93</v>
      </c>
      <c r="L200" s="1">
        <v>57</v>
      </c>
      <c r="M200" s="1">
        <v>85</v>
      </c>
      <c r="N200" s="17">
        <v>0.36890000000000001</v>
      </c>
      <c r="O200" s="1">
        <v>24</v>
      </c>
      <c r="P200" s="15">
        <v>0.51</v>
      </c>
      <c r="Q200" s="1">
        <v>126.92440000000001</v>
      </c>
      <c r="R200" s="1" t="s">
        <v>34</v>
      </c>
      <c r="S200" s="1">
        <v>292.84890000000001</v>
      </c>
      <c r="T200" s="1" t="s">
        <v>35</v>
      </c>
      <c r="U200" s="1" t="s">
        <v>47</v>
      </c>
    </row>
    <row r="201" spans="1:21" x14ac:dyDescent="0.3">
      <c r="A201" s="1" t="s">
        <v>803</v>
      </c>
      <c r="B201" s="2">
        <v>37441</v>
      </c>
      <c r="C201" s="1">
        <v>22</v>
      </c>
      <c r="D201" s="1">
        <v>163</v>
      </c>
      <c r="E201" s="1" t="s">
        <v>76</v>
      </c>
      <c r="F201" s="1" t="s">
        <v>72</v>
      </c>
      <c r="G201" s="1" t="s">
        <v>53</v>
      </c>
      <c r="H201" s="1" t="s">
        <v>54</v>
      </c>
      <c r="I201" s="1" t="s">
        <v>110</v>
      </c>
      <c r="J201" s="1">
        <v>98</v>
      </c>
      <c r="K201" s="1">
        <v>43</v>
      </c>
      <c r="L201" s="1">
        <v>96</v>
      </c>
      <c r="M201" s="1">
        <v>63</v>
      </c>
      <c r="N201" s="17">
        <v>0.1575</v>
      </c>
      <c r="O201" s="1">
        <v>48</v>
      </c>
      <c r="P201" s="15">
        <v>0.51080000000000003</v>
      </c>
      <c r="Q201" s="1">
        <v>49.610500000000002</v>
      </c>
      <c r="R201" s="1" t="s">
        <v>34</v>
      </c>
      <c r="S201" s="1">
        <v>348.82830000000001</v>
      </c>
      <c r="T201" s="1" t="s">
        <v>28</v>
      </c>
      <c r="U201" s="1" t="s">
        <v>29</v>
      </c>
    </row>
    <row r="202" spans="1:21" x14ac:dyDescent="0.3">
      <c r="A202" s="1" t="s">
        <v>804</v>
      </c>
      <c r="B202" s="2">
        <v>37825</v>
      </c>
      <c r="C202" s="1">
        <v>21</v>
      </c>
      <c r="D202" s="1">
        <v>176</v>
      </c>
      <c r="E202" s="1" t="s">
        <v>32</v>
      </c>
      <c r="F202" s="1" t="s">
        <v>75</v>
      </c>
      <c r="G202" s="1" t="s">
        <v>53</v>
      </c>
      <c r="H202" s="1" t="s">
        <v>25</v>
      </c>
      <c r="I202" s="1" t="s">
        <v>96</v>
      </c>
      <c r="J202" s="1">
        <v>96</v>
      </c>
      <c r="K202" s="1">
        <v>9</v>
      </c>
      <c r="L202" s="1">
        <v>58</v>
      </c>
      <c r="M202" s="1">
        <v>28</v>
      </c>
      <c r="N202" s="17">
        <v>0.33550000000000002</v>
      </c>
      <c r="O202" s="1">
        <v>334</v>
      </c>
      <c r="P202" s="15">
        <v>0.6643</v>
      </c>
      <c r="Q202" s="1">
        <v>11.578799999999999</v>
      </c>
      <c r="R202" s="1" t="s">
        <v>40</v>
      </c>
      <c r="S202" s="1">
        <v>525.6798</v>
      </c>
      <c r="T202" s="1" t="s">
        <v>35</v>
      </c>
      <c r="U202" s="1" t="s">
        <v>29</v>
      </c>
    </row>
    <row r="203" spans="1:21" x14ac:dyDescent="0.3">
      <c r="A203" s="1" t="s">
        <v>805</v>
      </c>
      <c r="B203" s="2">
        <v>37722</v>
      </c>
      <c r="C203" s="1">
        <v>21</v>
      </c>
      <c r="D203" s="1">
        <v>175</v>
      </c>
      <c r="E203" s="1" t="s">
        <v>32</v>
      </c>
      <c r="F203" s="1" t="s">
        <v>84</v>
      </c>
      <c r="G203" s="1" t="s">
        <v>63</v>
      </c>
      <c r="H203" s="1" t="s">
        <v>54</v>
      </c>
      <c r="I203" s="1" t="s">
        <v>101</v>
      </c>
      <c r="J203" s="1">
        <v>53</v>
      </c>
      <c r="K203" s="1">
        <v>78</v>
      </c>
      <c r="L203" s="1">
        <v>79</v>
      </c>
      <c r="M203" s="1">
        <v>12</v>
      </c>
      <c r="N203" s="17">
        <v>0.61219999999999997</v>
      </c>
      <c r="O203" s="1">
        <v>250</v>
      </c>
      <c r="P203" s="15">
        <v>0.63970000000000005</v>
      </c>
      <c r="Q203" s="1">
        <v>125.67100000000001</v>
      </c>
      <c r="R203" s="1" t="s">
        <v>45</v>
      </c>
      <c r="S203" s="1">
        <v>472.55189999999999</v>
      </c>
      <c r="T203" s="1" t="s">
        <v>28</v>
      </c>
      <c r="U203" s="1" t="s">
        <v>29</v>
      </c>
    </row>
    <row r="204" spans="1:21" x14ac:dyDescent="0.3">
      <c r="A204" s="1" t="s">
        <v>806</v>
      </c>
      <c r="B204" s="2">
        <v>37217</v>
      </c>
      <c r="C204" s="1">
        <v>23</v>
      </c>
      <c r="D204" s="1">
        <v>182</v>
      </c>
      <c r="E204" s="1" t="s">
        <v>32</v>
      </c>
      <c r="F204" s="1" t="s">
        <v>104</v>
      </c>
      <c r="G204" s="1" t="s">
        <v>53</v>
      </c>
      <c r="H204" s="1" t="s">
        <v>25</v>
      </c>
      <c r="I204" s="1" t="s">
        <v>88</v>
      </c>
      <c r="J204" s="1">
        <v>68</v>
      </c>
      <c r="K204" s="1">
        <v>17</v>
      </c>
      <c r="L204" s="1">
        <v>75</v>
      </c>
      <c r="M204" s="1">
        <v>72</v>
      </c>
      <c r="N204" s="17">
        <v>0.21190000000000001</v>
      </c>
      <c r="O204" s="1">
        <v>330</v>
      </c>
      <c r="P204" s="15">
        <v>0.63100000000000001</v>
      </c>
      <c r="Q204" s="1">
        <v>21.184000000000001</v>
      </c>
      <c r="R204" s="1" t="s">
        <v>45</v>
      </c>
      <c r="S204" s="1">
        <v>563.35289999999998</v>
      </c>
      <c r="T204" s="1" t="s">
        <v>46</v>
      </c>
      <c r="U204" s="1" t="s">
        <v>56</v>
      </c>
    </row>
    <row r="205" spans="1:21" x14ac:dyDescent="0.3">
      <c r="A205" s="1" t="s">
        <v>807</v>
      </c>
      <c r="B205" s="2">
        <v>37897</v>
      </c>
      <c r="C205" s="1">
        <v>21</v>
      </c>
      <c r="D205" s="1">
        <v>176</v>
      </c>
      <c r="E205" s="1" t="s">
        <v>32</v>
      </c>
      <c r="F205" s="1" t="s">
        <v>109</v>
      </c>
      <c r="G205" s="1" t="s">
        <v>63</v>
      </c>
      <c r="H205" s="1" t="s">
        <v>25</v>
      </c>
      <c r="I205" s="1" t="s">
        <v>67</v>
      </c>
      <c r="J205" s="1">
        <v>108</v>
      </c>
      <c r="K205" s="1">
        <v>96</v>
      </c>
      <c r="L205" s="1">
        <v>97</v>
      </c>
      <c r="M205" s="1">
        <v>42</v>
      </c>
      <c r="N205" s="17">
        <v>0.91949999999999998</v>
      </c>
      <c r="O205" s="1">
        <v>198</v>
      </c>
      <c r="P205" s="15">
        <v>0.4904</v>
      </c>
      <c r="Q205" s="1">
        <v>183.4658</v>
      </c>
      <c r="R205" s="1" t="s">
        <v>45</v>
      </c>
      <c r="S205" s="1">
        <v>541.80989999999997</v>
      </c>
      <c r="T205" s="1" t="s">
        <v>28</v>
      </c>
      <c r="U205" s="1" t="s">
        <v>65</v>
      </c>
    </row>
    <row r="206" spans="1:21" x14ac:dyDescent="0.3">
      <c r="A206" s="1" t="s">
        <v>808</v>
      </c>
      <c r="B206" s="2">
        <v>37333</v>
      </c>
      <c r="C206" s="1">
        <v>22</v>
      </c>
      <c r="D206" s="1">
        <v>162</v>
      </c>
      <c r="E206" s="1" t="s">
        <v>76</v>
      </c>
      <c r="F206" s="1" t="s">
        <v>72</v>
      </c>
      <c r="G206" s="1" t="s">
        <v>53</v>
      </c>
      <c r="H206" s="1" t="s">
        <v>54</v>
      </c>
      <c r="I206" s="1" t="s">
        <v>67</v>
      </c>
      <c r="J206" s="1">
        <v>60</v>
      </c>
      <c r="K206" s="1">
        <v>64</v>
      </c>
      <c r="L206" s="1">
        <v>69</v>
      </c>
      <c r="M206" s="1">
        <v>57</v>
      </c>
      <c r="N206" s="17">
        <v>0.60509999999999997</v>
      </c>
      <c r="O206" s="1">
        <v>47</v>
      </c>
      <c r="P206" s="15">
        <v>0.50519999999999998</v>
      </c>
      <c r="Q206" s="1">
        <v>102.26090000000001</v>
      </c>
      <c r="R206" s="1" t="s">
        <v>34</v>
      </c>
      <c r="S206" s="1">
        <v>297.94029999999998</v>
      </c>
      <c r="T206" s="1" t="s">
        <v>28</v>
      </c>
      <c r="U206" s="1" t="s">
        <v>29</v>
      </c>
    </row>
    <row r="207" spans="1:21" x14ac:dyDescent="0.3">
      <c r="A207" s="1" t="s">
        <v>809</v>
      </c>
      <c r="B207" s="2">
        <v>37447</v>
      </c>
      <c r="C207" s="1">
        <v>22</v>
      </c>
      <c r="D207" s="1">
        <v>183</v>
      </c>
      <c r="E207" s="1" t="s">
        <v>32</v>
      </c>
      <c r="F207" s="1" t="s">
        <v>84</v>
      </c>
      <c r="G207" s="1" t="s">
        <v>63</v>
      </c>
      <c r="H207" s="1" t="s">
        <v>25</v>
      </c>
      <c r="I207" s="1" t="s">
        <v>110</v>
      </c>
      <c r="J207" s="1">
        <v>43</v>
      </c>
      <c r="K207" s="1">
        <v>18</v>
      </c>
      <c r="L207" s="1">
        <v>46</v>
      </c>
      <c r="M207" s="1">
        <v>52</v>
      </c>
      <c r="N207" s="17">
        <v>0.87070000000000003</v>
      </c>
      <c r="O207" s="1">
        <v>347</v>
      </c>
      <c r="P207" s="15">
        <v>0.72470000000000001</v>
      </c>
      <c r="Q207" s="1">
        <v>34.514400000000002</v>
      </c>
      <c r="R207" s="1" t="s">
        <v>45</v>
      </c>
      <c r="S207" s="1">
        <v>508.74540000000002</v>
      </c>
      <c r="T207" s="1" t="s">
        <v>35</v>
      </c>
      <c r="U207" s="1" t="s">
        <v>29</v>
      </c>
    </row>
    <row r="208" spans="1:21" x14ac:dyDescent="0.3">
      <c r="A208" s="1" t="s">
        <v>810</v>
      </c>
      <c r="B208" s="2">
        <v>37685</v>
      </c>
      <c r="C208" s="1">
        <v>21</v>
      </c>
      <c r="D208" s="1">
        <v>183</v>
      </c>
      <c r="E208" s="1" t="s">
        <v>32</v>
      </c>
      <c r="F208" s="1" t="s">
        <v>22</v>
      </c>
      <c r="G208" s="1" t="s">
        <v>23</v>
      </c>
      <c r="H208" s="1" t="s">
        <v>54</v>
      </c>
      <c r="I208" s="1" t="s">
        <v>58</v>
      </c>
      <c r="J208" s="1">
        <v>9</v>
      </c>
      <c r="K208" s="1">
        <v>55</v>
      </c>
      <c r="L208" s="1">
        <v>52</v>
      </c>
      <c r="M208" s="1">
        <v>73</v>
      </c>
      <c r="N208" s="17">
        <v>0.32769999999999999</v>
      </c>
      <c r="O208" s="1">
        <v>357</v>
      </c>
      <c r="P208" s="15">
        <v>0.81830000000000003</v>
      </c>
      <c r="Q208" s="1">
        <v>73.289000000000001</v>
      </c>
      <c r="R208" s="1" t="s">
        <v>34</v>
      </c>
      <c r="S208" s="1">
        <v>547.846</v>
      </c>
      <c r="T208" s="1" t="s">
        <v>28</v>
      </c>
      <c r="U208" s="1" t="s">
        <v>113</v>
      </c>
    </row>
    <row r="209" spans="1:21" x14ac:dyDescent="0.3">
      <c r="A209" s="1" t="s">
        <v>811</v>
      </c>
      <c r="B209" s="2">
        <v>37647</v>
      </c>
      <c r="C209" s="1">
        <v>21</v>
      </c>
      <c r="D209" s="1">
        <v>179</v>
      </c>
      <c r="E209" s="1" t="s">
        <v>32</v>
      </c>
      <c r="F209" s="1" t="s">
        <v>52</v>
      </c>
      <c r="G209" s="1" t="s">
        <v>53</v>
      </c>
      <c r="H209" s="1" t="s">
        <v>54</v>
      </c>
      <c r="I209" s="1" t="s">
        <v>123</v>
      </c>
      <c r="J209" s="1">
        <v>134</v>
      </c>
      <c r="K209" s="1">
        <v>48</v>
      </c>
      <c r="L209" s="1">
        <v>77</v>
      </c>
      <c r="M209" s="1">
        <v>78</v>
      </c>
      <c r="N209" s="17">
        <v>0.73429999999999995</v>
      </c>
      <c r="O209" s="1">
        <v>208</v>
      </c>
      <c r="P209" s="15">
        <v>0.54239999999999999</v>
      </c>
      <c r="Q209" s="1">
        <v>82.674099999999996</v>
      </c>
      <c r="R209" s="1" t="s">
        <v>34</v>
      </c>
      <c r="S209" s="1">
        <v>545.71669999999995</v>
      </c>
      <c r="T209" s="1" t="s">
        <v>46</v>
      </c>
      <c r="U209" s="1" t="s">
        <v>47</v>
      </c>
    </row>
    <row r="210" spans="1:21" x14ac:dyDescent="0.3">
      <c r="A210" s="1" t="s">
        <v>812</v>
      </c>
      <c r="B210" s="2">
        <v>37060</v>
      </c>
      <c r="C210" s="1">
        <v>23</v>
      </c>
      <c r="D210" s="1">
        <v>168</v>
      </c>
      <c r="E210" s="1" t="s">
        <v>24</v>
      </c>
      <c r="F210" s="1" t="s">
        <v>98</v>
      </c>
      <c r="G210" s="1" t="s">
        <v>23</v>
      </c>
      <c r="H210" s="1" t="s">
        <v>25</v>
      </c>
      <c r="I210" s="1" t="s">
        <v>121</v>
      </c>
      <c r="J210" s="1">
        <v>40</v>
      </c>
      <c r="K210" s="1">
        <v>23</v>
      </c>
      <c r="L210" s="1">
        <v>4</v>
      </c>
      <c r="M210" s="1">
        <v>88</v>
      </c>
      <c r="N210" s="17">
        <v>0.29609999999999997</v>
      </c>
      <c r="O210" s="1">
        <v>226</v>
      </c>
      <c r="P210" s="15">
        <v>0.51280000000000003</v>
      </c>
      <c r="Q210" s="1">
        <v>29.706600000000002</v>
      </c>
      <c r="R210" s="1" t="s">
        <v>27</v>
      </c>
      <c r="S210" s="1">
        <v>381.45890000000003</v>
      </c>
      <c r="T210" s="1" t="s">
        <v>46</v>
      </c>
      <c r="U210" s="1" t="s">
        <v>36</v>
      </c>
    </row>
    <row r="211" spans="1:21" x14ac:dyDescent="0.3">
      <c r="A211" s="1" t="s">
        <v>813</v>
      </c>
      <c r="B211" s="2">
        <v>37774</v>
      </c>
      <c r="C211" s="1">
        <v>21</v>
      </c>
      <c r="D211" s="1">
        <v>176</v>
      </c>
      <c r="E211" s="1" t="s">
        <v>32</v>
      </c>
      <c r="F211" s="1" t="s">
        <v>62</v>
      </c>
      <c r="G211" s="1" t="s">
        <v>63</v>
      </c>
      <c r="H211" s="1" t="s">
        <v>25</v>
      </c>
      <c r="I211" s="1" t="s">
        <v>64</v>
      </c>
      <c r="J211" s="1">
        <v>52</v>
      </c>
      <c r="K211" s="1">
        <v>6</v>
      </c>
      <c r="L211" s="1">
        <v>39</v>
      </c>
      <c r="M211" s="1">
        <v>62</v>
      </c>
      <c r="N211" s="17">
        <v>0.97650000000000003</v>
      </c>
      <c r="O211" s="1">
        <v>148</v>
      </c>
      <c r="P211" s="15">
        <v>0.80689999999999995</v>
      </c>
      <c r="Q211" s="1">
        <v>11.957800000000001</v>
      </c>
      <c r="R211" s="1" t="s">
        <v>45</v>
      </c>
      <c r="S211" s="1">
        <v>309.65339999999998</v>
      </c>
      <c r="T211" s="1" t="s">
        <v>28</v>
      </c>
      <c r="U211" s="1" t="s">
        <v>102</v>
      </c>
    </row>
    <row r="212" spans="1:21" x14ac:dyDescent="0.3">
      <c r="A212" s="1" t="s">
        <v>814</v>
      </c>
      <c r="B212" s="2">
        <v>37125</v>
      </c>
      <c r="C212" s="1">
        <v>23</v>
      </c>
      <c r="D212" s="1">
        <v>175</v>
      </c>
      <c r="E212" s="1" t="s">
        <v>32</v>
      </c>
      <c r="F212" s="1" t="s">
        <v>22</v>
      </c>
      <c r="G212" s="1" t="s">
        <v>23</v>
      </c>
      <c r="H212" s="1" t="s">
        <v>25</v>
      </c>
      <c r="I212" s="1" t="s">
        <v>117</v>
      </c>
      <c r="J212" s="1">
        <v>18</v>
      </c>
      <c r="K212" s="1">
        <v>79</v>
      </c>
      <c r="L212" s="1">
        <v>46</v>
      </c>
      <c r="M212" s="1">
        <v>68</v>
      </c>
      <c r="N212" s="17">
        <v>0.50239999999999996</v>
      </c>
      <c r="O212" s="1">
        <v>207</v>
      </c>
      <c r="P212" s="15">
        <v>0.52710000000000001</v>
      </c>
      <c r="Q212" s="1">
        <v>119.3356</v>
      </c>
      <c r="R212" s="1" t="s">
        <v>45</v>
      </c>
      <c r="S212" s="1">
        <v>418.70949999999999</v>
      </c>
      <c r="T212" s="1" t="s">
        <v>28</v>
      </c>
      <c r="U212" s="1" t="s">
        <v>56</v>
      </c>
    </row>
    <row r="213" spans="1:21" x14ac:dyDescent="0.3">
      <c r="A213" s="1" t="s">
        <v>815</v>
      </c>
      <c r="B213" s="2">
        <v>37426</v>
      </c>
      <c r="C213" s="1">
        <v>22</v>
      </c>
      <c r="D213" s="1">
        <v>172</v>
      </c>
      <c r="E213" s="1" t="s">
        <v>24</v>
      </c>
      <c r="F213" s="1" t="s">
        <v>22</v>
      </c>
      <c r="G213" s="1" t="s">
        <v>23</v>
      </c>
      <c r="H213" s="1" t="s">
        <v>25</v>
      </c>
      <c r="I213" s="1" t="s">
        <v>26</v>
      </c>
      <c r="J213" s="1">
        <v>112</v>
      </c>
      <c r="K213" s="1">
        <v>59</v>
      </c>
      <c r="L213" s="1">
        <v>62</v>
      </c>
      <c r="M213" s="1">
        <v>20</v>
      </c>
      <c r="N213" s="17">
        <v>0.93740000000000001</v>
      </c>
      <c r="O213" s="1">
        <v>7</v>
      </c>
      <c r="P213" s="15">
        <v>0.51790000000000003</v>
      </c>
      <c r="Q213" s="1">
        <v>115.2559</v>
      </c>
      <c r="R213" s="1" t="s">
        <v>40</v>
      </c>
      <c r="S213" s="1">
        <v>261.13529999999997</v>
      </c>
      <c r="T213" s="1" t="s">
        <v>35</v>
      </c>
      <c r="U213" s="1" t="s">
        <v>36</v>
      </c>
    </row>
    <row r="214" spans="1:21" x14ac:dyDescent="0.3">
      <c r="A214" s="1" t="s">
        <v>816</v>
      </c>
      <c r="B214" s="2">
        <v>36899</v>
      </c>
      <c r="C214" s="1">
        <v>23</v>
      </c>
      <c r="D214" s="1">
        <v>167</v>
      </c>
      <c r="E214" s="1" t="s">
        <v>76</v>
      </c>
      <c r="F214" s="1" t="s">
        <v>52</v>
      </c>
      <c r="G214" s="1" t="s">
        <v>53</v>
      </c>
      <c r="H214" s="1" t="s">
        <v>54</v>
      </c>
      <c r="I214" s="1" t="s">
        <v>88</v>
      </c>
      <c r="J214" s="1">
        <v>72</v>
      </c>
      <c r="K214" s="1">
        <v>86</v>
      </c>
      <c r="L214" s="1">
        <v>89</v>
      </c>
      <c r="M214" s="1">
        <v>13</v>
      </c>
      <c r="N214" s="17">
        <v>0.27660000000000001</v>
      </c>
      <c r="O214" s="1">
        <v>212</v>
      </c>
      <c r="P214" s="15">
        <v>0.75739999999999996</v>
      </c>
      <c r="Q214" s="1">
        <v>110.3493</v>
      </c>
      <c r="R214" s="1" t="s">
        <v>34</v>
      </c>
      <c r="S214" s="1">
        <v>473.54399999999998</v>
      </c>
      <c r="T214" s="1" t="s">
        <v>35</v>
      </c>
      <c r="U214" s="1" t="s">
        <v>36</v>
      </c>
    </row>
    <row r="215" spans="1:21" x14ac:dyDescent="0.3">
      <c r="A215" s="1" t="s">
        <v>817</v>
      </c>
      <c r="B215" s="2">
        <v>37949</v>
      </c>
      <c r="C215" s="1">
        <v>21</v>
      </c>
      <c r="D215" s="1">
        <v>165</v>
      </c>
      <c r="E215" s="1" t="s">
        <v>76</v>
      </c>
      <c r="F215" s="1" t="s">
        <v>79</v>
      </c>
      <c r="G215" s="1" t="s">
        <v>43</v>
      </c>
      <c r="H215" s="1" t="s">
        <v>25</v>
      </c>
      <c r="I215" s="1" t="s">
        <v>67</v>
      </c>
      <c r="J215" s="1">
        <v>82</v>
      </c>
      <c r="K215" s="1">
        <v>34</v>
      </c>
      <c r="L215" s="1">
        <v>79</v>
      </c>
      <c r="M215" s="1">
        <v>73</v>
      </c>
      <c r="N215" s="17">
        <v>0.34029999999999999</v>
      </c>
      <c r="O215" s="1">
        <v>122</v>
      </c>
      <c r="P215" s="15">
        <v>0.63400000000000001</v>
      </c>
      <c r="Q215" s="1">
        <v>45.369199999999999</v>
      </c>
      <c r="R215" s="1" t="s">
        <v>45</v>
      </c>
      <c r="S215" s="1">
        <v>391.57429999999999</v>
      </c>
      <c r="T215" s="1" t="s">
        <v>35</v>
      </c>
      <c r="U215" s="1" t="s">
        <v>65</v>
      </c>
    </row>
    <row r="216" spans="1:21" x14ac:dyDescent="0.3">
      <c r="A216" s="1" t="s">
        <v>818</v>
      </c>
      <c r="B216" s="2">
        <v>37351</v>
      </c>
      <c r="C216" s="1">
        <v>22</v>
      </c>
      <c r="D216" s="1">
        <v>183</v>
      </c>
      <c r="E216" s="1" t="s">
        <v>32</v>
      </c>
      <c r="F216" s="1" t="s">
        <v>38</v>
      </c>
      <c r="G216" s="1" t="s">
        <v>23</v>
      </c>
      <c r="H216" s="1" t="s">
        <v>54</v>
      </c>
      <c r="I216" s="1" t="s">
        <v>105</v>
      </c>
      <c r="J216" s="1">
        <v>81</v>
      </c>
      <c r="K216" s="1">
        <v>67</v>
      </c>
      <c r="L216" s="1">
        <v>85</v>
      </c>
      <c r="M216" s="1">
        <v>15</v>
      </c>
      <c r="N216" s="17">
        <v>0.9143</v>
      </c>
      <c r="O216" s="1">
        <v>193</v>
      </c>
      <c r="P216" s="15">
        <v>0.40050000000000002</v>
      </c>
      <c r="Q216" s="1">
        <v>127.81780000000001</v>
      </c>
      <c r="R216" s="1" t="s">
        <v>40</v>
      </c>
      <c r="S216" s="1">
        <v>442.39479999999998</v>
      </c>
      <c r="T216" s="1" t="s">
        <v>35</v>
      </c>
      <c r="U216" s="1" t="s">
        <v>36</v>
      </c>
    </row>
    <row r="217" spans="1:21" x14ac:dyDescent="0.3">
      <c r="A217" s="1" t="s">
        <v>819</v>
      </c>
      <c r="B217" s="2">
        <v>37546</v>
      </c>
      <c r="C217" s="1">
        <v>22</v>
      </c>
      <c r="D217" s="1">
        <v>167</v>
      </c>
      <c r="E217" s="1" t="s">
        <v>76</v>
      </c>
      <c r="F217" s="1" t="s">
        <v>98</v>
      </c>
      <c r="G217" s="1" t="s">
        <v>23</v>
      </c>
      <c r="H217" s="1" t="s">
        <v>54</v>
      </c>
      <c r="I217" s="1" t="s">
        <v>85</v>
      </c>
      <c r="J217" s="1">
        <v>143</v>
      </c>
      <c r="K217" s="1">
        <v>90</v>
      </c>
      <c r="L217" s="1">
        <v>22</v>
      </c>
      <c r="M217" s="1">
        <v>67</v>
      </c>
      <c r="N217" s="17">
        <v>0.39760000000000001</v>
      </c>
      <c r="O217" s="1">
        <v>295</v>
      </c>
      <c r="P217" s="15">
        <v>0.62629999999999997</v>
      </c>
      <c r="Q217" s="1">
        <v>125.6722</v>
      </c>
      <c r="R217" s="1" t="s">
        <v>45</v>
      </c>
      <c r="S217" s="1">
        <v>617.71389999999997</v>
      </c>
      <c r="T217" s="1" t="s">
        <v>46</v>
      </c>
      <c r="U217" s="1" t="s">
        <v>56</v>
      </c>
    </row>
    <row r="218" spans="1:21" x14ac:dyDescent="0.3">
      <c r="A218" s="1" t="s">
        <v>820</v>
      </c>
      <c r="B218" s="2">
        <v>37226</v>
      </c>
      <c r="C218" s="1">
        <v>23</v>
      </c>
      <c r="D218" s="1">
        <v>163</v>
      </c>
      <c r="E218" s="1" t="s">
        <v>76</v>
      </c>
      <c r="F218" s="1" t="s">
        <v>84</v>
      </c>
      <c r="G218" s="1" t="s">
        <v>63</v>
      </c>
      <c r="H218" s="1" t="s">
        <v>25</v>
      </c>
      <c r="I218" s="1" t="s">
        <v>96</v>
      </c>
      <c r="J218" s="1">
        <v>114</v>
      </c>
      <c r="K218" s="1">
        <v>99</v>
      </c>
      <c r="L218" s="1">
        <v>46</v>
      </c>
      <c r="M218" s="1">
        <v>49</v>
      </c>
      <c r="N218" s="17">
        <v>0.2349</v>
      </c>
      <c r="O218" s="1">
        <v>388</v>
      </c>
      <c r="P218" s="15">
        <v>0.60050000000000003</v>
      </c>
      <c r="Q218" s="1">
        <v>122.2551</v>
      </c>
      <c r="R218" s="1" t="s">
        <v>45</v>
      </c>
      <c r="S218" s="1">
        <v>696.2654</v>
      </c>
      <c r="T218" s="1" t="s">
        <v>28</v>
      </c>
      <c r="U218" s="1" t="s">
        <v>29</v>
      </c>
    </row>
    <row r="219" spans="1:21" x14ac:dyDescent="0.3">
      <c r="A219" s="1" t="s">
        <v>821</v>
      </c>
      <c r="B219" s="2">
        <v>37435</v>
      </c>
      <c r="C219" s="1">
        <v>22</v>
      </c>
      <c r="D219" s="1">
        <v>172</v>
      </c>
      <c r="E219" s="1" t="s">
        <v>24</v>
      </c>
      <c r="F219" s="1" t="s">
        <v>22</v>
      </c>
      <c r="G219" s="1" t="s">
        <v>23</v>
      </c>
      <c r="H219" s="1" t="s">
        <v>54</v>
      </c>
      <c r="I219" s="1" t="s">
        <v>33</v>
      </c>
      <c r="J219" s="1">
        <v>44</v>
      </c>
      <c r="K219" s="1">
        <v>61</v>
      </c>
      <c r="L219" s="1">
        <v>47</v>
      </c>
      <c r="M219" s="1">
        <v>49</v>
      </c>
      <c r="N219" s="17">
        <v>0.69940000000000002</v>
      </c>
      <c r="O219" s="1">
        <v>323</v>
      </c>
      <c r="P219" s="15">
        <v>0.72350000000000003</v>
      </c>
      <c r="Q219" s="1">
        <v>102.8817</v>
      </c>
      <c r="R219" s="1" t="s">
        <v>34</v>
      </c>
      <c r="S219" s="1">
        <v>524.05290000000002</v>
      </c>
      <c r="T219" s="1" t="s">
        <v>46</v>
      </c>
      <c r="U219" s="1" t="s">
        <v>113</v>
      </c>
    </row>
    <row r="220" spans="1:21" x14ac:dyDescent="0.3">
      <c r="A220" s="1" t="s">
        <v>822</v>
      </c>
      <c r="B220" s="2">
        <v>37242</v>
      </c>
      <c r="C220" s="1">
        <v>23</v>
      </c>
      <c r="D220" s="1">
        <v>164</v>
      </c>
      <c r="E220" s="1" t="s">
        <v>76</v>
      </c>
      <c r="F220" s="1" t="s">
        <v>87</v>
      </c>
      <c r="G220" s="1" t="s">
        <v>63</v>
      </c>
      <c r="H220" s="1" t="s">
        <v>54</v>
      </c>
      <c r="I220" s="1" t="s">
        <v>101</v>
      </c>
      <c r="J220" s="1">
        <v>51</v>
      </c>
      <c r="K220" s="1">
        <v>88</v>
      </c>
      <c r="L220" s="1">
        <v>68</v>
      </c>
      <c r="M220" s="1">
        <v>88</v>
      </c>
      <c r="N220" s="17">
        <v>0.23530000000000001</v>
      </c>
      <c r="O220" s="1">
        <v>245</v>
      </c>
      <c r="P220" s="15">
        <v>0.63229999999999997</v>
      </c>
      <c r="Q220" s="1">
        <v>108.3729</v>
      </c>
      <c r="R220" s="1" t="s">
        <v>40</v>
      </c>
      <c r="S220" s="1">
        <v>540.32759999999996</v>
      </c>
      <c r="T220" s="1" t="s">
        <v>46</v>
      </c>
      <c r="U220" s="1" t="s">
        <v>36</v>
      </c>
    </row>
    <row r="221" spans="1:21" x14ac:dyDescent="0.3">
      <c r="A221" s="1" t="s">
        <v>823</v>
      </c>
      <c r="B221" s="2">
        <v>37087</v>
      </c>
      <c r="C221" s="1">
        <v>23</v>
      </c>
      <c r="D221" s="1">
        <v>160</v>
      </c>
      <c r="E221" s="1" t="s">
        <v>76</v>
      </c>
      <c r="F221" s="1" t="s">
        <v>87</v>
      </c>
      <c r="G221" s="1" t="s">
        <v>63</v>
      </c>
      <c r="H221" s="1" t="s">
        <v>54</v>
      </c>
      <c r="I221" s="1" t="s">
        <v>73</v>
      </c>
      <c r="J221" s="1">
        <v>132</v>
      </c>
      <c r="K221" s="1">
        <v>42</v>
      </c>
      <c r="L221" s="1">
        <v>71</v>
      </c>
      <c r="M221" s="1">
        <v>4</v>
      </c>
      <c r="N221" s="17">
        <v>0.75170000000000003</v>
      </c>
      <c r="O221" s="1">
        <v>129</v>
      </c>
      <c r="P221" s="15">
        <v>0.82679999999999998</v>
      </c>
      <c r="Q221" s="1">
        <v>73.098399999999998</v>
      </c>
      <c r="R221" s="1" t="s">
        <v>34</v>
      </c>
      <c r="S221" s="1">
        <v>378.25850000000003</v>
      </c>
      <c r="T221" s="1" t="s">
        <v>46</v>
      </c>
      <c r="U221" s="1" t="s">
        <v>65</v>
      </c>
    </row>
    <row r="222" spans="1:21" x14ac:dyDescent="0.3">
      <c r="A222" s="1" t="s">
        <v>824</v>
      </c>
      <c r="B222" s="2">
        <v>37479</v>
      </c>
      <c r="C222" s="1">
        <v>22</v>
      </c>
      <c r="D222" s="1">
        <v>163</v>
      </c>
      <c r="E222" s="1" t="s">
        <v>76</v>
      </c>
      <c r="F222" s="1" t="s">
        <v>109</v>
      </c>
      <c r="G222" s="1" t="s">
        <v>63</v>
      </c>
      <c r="H222" s="1" t="s">
        <v>25</v>
      </c>
      <c r="I222" s="1" t="s">
        <v>58</v>
      </c>
      <c r="J222" s="1">
        <v>62</v>
      </c>
      <c r="K222" s="1">
        <v>26</v>
      </c>
      <c r="L222" s="1">
        <v>40</v>
      </c>
      <c r="M222" s="1">
        <v>73</v>
      </c>
      <c r="N222" s="17">
        <v>0.4229</v>
      </c>
      <c r="O222" s="1">
        <v>78</v>
      </c>
      <c r="P222" s="15">
        <v>0.64490000000000003</v>
      </c>
      <c r="Q222" s="1">
        <v>37.593000000000004</v>
      </c>
      <c r="R222" s="1" t="s">
        <v>40</v>
      </c>
      <c r="S222" s="1">
        <v>279.38780000000003</v>
      </c>
      <c r="T222" s="1" t="s">
        <v>35</v>
      </c>
      <c r="U222" s="1" t="s">
        <v>29</v>
      </c>
    </row>
    <row r="223" spans="1:21" x14ac:dyDescent="0.3">
      <c r="A223" s="1" t="s">
        <v>825</v>
      </c>
      <c r="B223" s="2">
        <v>37057</v>
      </c>
      <c r="C223" s="1">
        <v>23</v>
      </c>
      <c r="D223" s="1">
        <v>161</v>
      </c>
      <c r="E223" s="1" t="s">
        <v>76</v>
      </c>
      <c r="F223" s="1" t="s">
        <v>69</v>
      </c>
      <c r="G223" s="1" t="s">
        <v>43</v>
      </c>
      <c r="H223" s="1" t="s">
        <v>54</v>
      </c>
      <c r="I223" s="1" t="s">
        <v>50</v>
      </c>
      <c r="J223" s="1">
        <v>72</v>
      </c>
      <c r="K223" s="1">
        <v>76</v>
      </c>
      <c r="L223" s="1">
        <v>9</v>
      </c>
      <c r="M223" s="1">
        <v>51</v>
      </c>
      <c r="N223" s="17">
        <v>0.4793</v>
      </c>
      <c r="O223" s="1">
        <v>31</v>
      </c>
      <c r="P223" s="15">
        <v>0.72370000000000001</v>
      </c>
      <c r="Q223" s="1">
        <v>112.9889</v>
      </c>
      <c r="R223" s="1" t="s">
        <v>40</v>
      </c>
      <c r="S223" s="1">
        <v>239.26300000000001</v>
      </c>
      <c r="T223" s="1" t="s">
        <v>28</v>
      </c>
      <c r="U223" s="1" t="s">
        <v>47</v>
      </c>
    </row>
    <row r="224" spans="1:21" x14ac:dyDescent="0.3">
      <c r="A224" s="1" t="s">
        <v>826</v>
      </c>
      <c r="B224" s="2">
        <v>37592</v>
      </c>
      <c r="C224" s="1">
        <v>22</v>
      </c>
      <c r="D224" s="1">
        <v>167</v>
      </c>
      <c r="E224" s="1" t="s">
        <v>76</v>
      </c>
      <c r="F224" s="1" t="s">
        <v>75</v>
      </c>
      <c r="G224" s="1" t="s">
        <v>53</v>
      </c>
      <c r="H224" s="1" t="s">
        <v>25</v>
      </c>
      <c r="I224" s="1" t="s">
        <v>105</v>
      </c>
      <c r="J224" s="1">
        <v>149</v>
      </c>
      <c r="K224" s="1">
        <v>78</v>
      </c>
      <c r="L224" s="1">
        <v>84</v>
      </c>
      <c r="M224" s="1">
        <v>2</v>
      </c>
      <c r="N224" s="17">
        <v>0.28179999999999999</v>
      </c>
      <c r="O224" s="1">
        <v>344</v>
      </c>
      <c r="P224" s="15">
        <v>0.48420000000000002</v>
      </c>
      <c r="Q224" s="1">
        <v>99.66</v>
      </c>
      <c r="R224" s="1" t="s">
        <v>40</v>
      </c>
      <c r="S224" s="1">
        <v>657.69600000000003</v>
      </c>
      <c r="T224" s="1" t="s">
        <v>46</v>
      </c>
      <c r="U224" s="1" t="s">
        <v>65</v>
      </c>
    </row>
    <row r="225" spans="1:21" x14ac:dyDescent="0.3">
      <c r="A225" s="1" t="s">
        <v>827</v>
      </c>
      <c r="B225" s="2">
        <v>37858</v>
      </c>
      <c r="C225" s="1">
        <v>21</v>
      </c>
      <c r="D225" s="1">
        <v>182</v>
      </c>
      <c r="E225" s="1" t="s">
        <v>32</v>
      </c>
      <c r="F225" s="1" t="s">
        <v>87</v>
      </c>
      <c r="G225" s="1" t="s">
        <v>63</v>
      </c>
      <c r="H225" s="1" t="s">
        <v>54</v>
      </c>
      <c r="I225" s="1" t="s">
        <v>121</v>
      </c>
      <c r="J225" s="1">
        <v>43</v>
      </c>
      <c r="K225" s="1">
        <v>47</v>
      </c>
      <c r="L225" s="1">
        <v>5</v>
      </c>
      <c r="M225" s="1">
        <v>40</v>
      </c>
      <c r="N225" s="17">
        <v>0.37380000000000002</v>
      </c>
      <c r="O225" s="1">
        <v>333</v>
      </c>
      <c r="P225" s="15">
        <v>0.78339999999999999</v>
      </c>
      <c r="Q225" s="1">
        <v>65.214299999999994</v>
      </c>
      <c r="R225" s="1" t="s">
        <v>27</v>
      </c>
      <c r="S225" s="1">
        <v>469.97719999999998</v>
      </c>
      <c r="T225" s="1" t="s">
        <v>46</v>
      </c>
      <c r="U225" s="1" t="s">
        <v>56</v>
      </c>
    </row>
    <row r="226" spans="1:21" x14ac:dyDescent="0.3">
      <c r="A226" s="1" t="s">
        <v>828</v>
      </c>
      <c r="B226" s="2">
        <v>37109</v>
      </c>
      <c r="C226" s="1">
        <v>23</v>
      </c>
      <c r="D226" s="1">
        <v>172</v>
      </c>
      <c r="E226" s="1" t="s">
        <v>24</v>
      </c>
      <c r="F226" s="1" t="s">
        <v>52</v>
      </c>
      <c r="G226" s="1" t="s">
        <v>53</v>
      </c>
      <c r="H226" s="1" t="s">
        <v>25</v>
      </c>
      <c r="I226" s="1" t="s">
        <v>123</v>
      </c>
      <c r="J226" s="1">
        <v>113</v>
      </c>
      <c r="K226" s="1">
        <v>54</v>
      </c>
      <c r="L226" s="1">
        <v>84</v>
      </c>
      <c r="M226" s="1">
        <v>100</v>
      </c>
      <c r="N226" s="17">
        <v>0.42930000000000001</v>
      </c>
      <c r="O226" s="1">
        <v>235</v>
      </c>
      <c r="P226" s="15">
        <v>0.40839999999999999</v>
      </c>
      <c r="Q226" s="1">
        <v>77.782499999999999</v>
      </c>
      <c r="R226" s="1" t="s">
        <v>45</v>
      </c>
      <c r="S226" s="1">
        <v>587.84770000000003</v>
      </c>
      <c r="T226" s="1" t="s">
        <v>35</v>
      </c>
      <c r="U226" s="1" t="s">
        <v>56</v>
      </c>
    </row>
    <row r="227" spans="1:21" x14ac:dyDescent="0.3">
      <c r="A227" s="1" t="s">
        <v>829</v>
      </c>
      <c r="B227" s="2">
        <v>37159</v>
      </c>
      <c r="C227" s="1">
        <v>23</v>
      </c>
      <c r="D227" s="1">
        <v>182</v>
      </c>
      <c r="E227" s="1" t="s">
        <v>32</v>
      </c>
      <c r="F227" s="1" t="s">
        <v>62</v>
      </c>
      <c r="G227" s="1" t="s">
        <v>63</v>
      </c>
      <c r="H227" s="1" t="s">
        <v>25</v>
      </c>
      <c r="I227" s="1" t="s">
        <v>110</v>
      </c>
      <c r="J227" s="1">
        <v>101</v>
      </c>
      <c r="K227" s="1">
        <v>62</v>
      </c>
      <c r="L227" s="1">
        <v>31</v>
      </c>
      <c r="M227" s="1">
        <v>13</v>
      </c>
      <c r="N227" s="17">
        <v>0.78459999999999996</v>
      </c>
      <c r="O227" s="1">
        <v>254</v>
      </c>
      <c r="P227" s="15">
        <v>0.66059999999999997</v>
      </c>
      <c r="Q227" s="1">
        <v>110.2704</v>
      </c>
      <c r="R227" s="1" t="s">
        <v>45</v>
      </c>
      <c r="S227" s="1">
        <v>461.67520000000002</v>
      </c>
      <c r="T227" s="1" t="s">
        <v>28</v>
      </c>
      <c r="U227" s="1" t="s">
        <v>29</v>
      </c>
    </row>
    <row r="228" spans="1:21" x14ac:dyDescent="0.3">
      <c r="A228" s="1" t="s">
        <v>830</v>
      </c>
      <c r="B228" s="2">
        <v>36937</v>
      </c>
      <c r="C228" s="1">
        <v>23</v>
      </c>
      <c r="D228" s="1">
        <v>180</v>
      </c>
      <c r="E228" s="1" t="s">
        <v>32</v>
      </c>
      <c r="F228" s="1" t="s">
        <v>22</v>
      </c>
      <c r="G228" s="1" t="s">
        <v>23</v>
      </c>
      <c r="H228" s="1" t="s">
        <v>54</v>
      </c>
      <c r="I228" s="1" t="s">
        <v>119</v>
      </c>
      <c r="J228" s="1">
        <v>112</v>
      </c>
      <c r="K228" s="1">
        <v>24</v>
      </c>
      <c r="L228" s="1">
        <v>15</v>
      </c>
      <c r="M228" s="1">
        <v>39</v>
      </c>
      <c r="N228" s="17">
        <v>0.92759999999999998</v>
      </c>
      <c r="O228" s="1">
        <v>335</v>
      </c>
      <c r="P228" s="15">
        <v>0.56530000000000002</v>
      </c>
      <c r="Q228" s="1">
        <v>46.898499999999999</v>
      </c>
      <c r="R228" s="1" t="s">
        <v>34</v>
      </c>
      <c r="S228" s="1">
        <v>526.26289999999995</v>
      </c>
      <c r="T228" s="1" t="s">
        <v>46</v>
      </c>
      <c r="U228" s="1" t="s">
        <v>56</v>
      </c>
    </row>
    <row r="229" spans="1:21" x14ac:dyDescent="0.3">
      <c r="A229" s="1" t="s">
        <v>831</v>
      </c>
      <c r="B229" s="2">
        <v>36928</v>
      </c>
      <c r="C229" s="1">
        <v>23</v>
      </c>
      <c r="D229" s="1">
        <v>178</v>
      </c>
      <c r="E229" s="1" t="s">
        <v>32</v>
      </c>
      <c r="F229" s="1" t="s">
        <v>42</v>
      </c>
      <c r="G229" s="1" t="s">
        <v>43</v>
      </c>
      <c r="H229" s="1" t="s">
        <v>54</v>
      </c>
      <c r="I229" s="1" t="s">
        <v>117</v>
      </c>
      <c r="J229" s="1">
        <v>147</v>
      </c>
      <c r="K229" s="1">
        <v>33</v>
      </c>
      <c r="L229" s="1">
        <v>93</v>
      </c>
      <c r="M229" s="1">
        <v>40</v>
      </c>
      <c r="N229" s="17">
        <v>0.89780000000000004</v>
      </c>
      <c r="O229" s="1">
        <v>391</v>
      </c>
      <c r="P229" s="15">
        <v>0.57769999999999999</v>
      </c>
      <c r="Q229" s="1">
        <v>62.95</v>
      </c>
      <c r="R229" s="1" t="s">
        <v>34</v>
      </c>
      <c r="S229" s="1">
        <v>705.66549999999995</v>
      </c>
      <c r="T229" s="1" t="s">
        <v>28</v>
      </c>
      <c r="U229" s="1" t="s">
        <v>29</v>
      </c>
    </row>
    <row r="230" spans="1:21" x14ac:dyDescent="0.3">
      <c r="A230" s="1" t="s">
        <v>832</v>
      </c>
      <c r="B230" s="2">
        <v>37352</v>
      </c>
      <c r="C230" s="1">
        <v>22</v>
      </c>
      <c r="D230" s="1">
        <v>174</v>
      </c>
      <c r="E230" s="1" t="s">
        <v>24</v>
      </c>
      <c r="F230" s="1" t="s">
        <v>31</v>
      </c>
      <c r="G230" s="1" t="s">
        <v>23</v>
      </c>
      <c r="H230" s="1" t="s">
        <v>25</v>
      </c>
      <c r="I230" s="1" t="s">
        <v>119</v>
      </c>
      <c r="J230" s="1">
        <v>131</v>
      </c>
      <c r="K230" s="1">
        <v>9</v>
      </c>
      <c r="L230" s="1">
        <v>22</v>
      </c>
      <c r="M230" s="1">
        <v>72</v>
      </c>
      <c r="N230" s="17">
        <v>0.22650000000000001</v>
      </c>
      <c r="O230" s="1">
        <v>65</v>
      </c>
      <c r="P230" s="15">
        <v>0.55840000000000001</v>
      </c>
      <c r="Q230" s="1">
        <v>11.3697</v>
      </c>
      <c r="R230" s="1" t="s">
        <v>34</v>
      </c>
      <c r="S230" s="1">
        <v>300.9649</v>
      </c>
      <c r="T230" s="1" t="s">
        <v>35</v>
      </c>
      <c r="U230" s="1" t="s">
        <v>113</v>
      </c>
    </row>
    <row r="231" spans="1:21" x14ac:dyDescent="0.3">
      <c r="A231" s="1" t="s">
        <v>833</v>
      </c>
      <c r="B231" s="2">
        <v>37919</v>
      </c>
      <c r="C231" s="1">
        <v>21</v>
      </c>
      <c r="D231" s="1">
        <v>163</v>
      </c>
      <c r="E231" s="1" t="s">
        <v>76</v>
      </c>
      <c r="F231" s="1" t="s">
        <v>69</v>
      </c>
      <c r="G231" s="1" t="s">
        <v>43</v>
      </c>
      <c r="H231" s="1" t="s">
        <v>54</v>
      </c>
      <c r="I231" s="1" t="s">
        <v>73</v>
      </c>
      <c r="J231" s="1">
        <v>78</v>
      </c>
      <c r="K231" s="1">
        <v>30</v>
      </c>
      <c r="L231" s="1">
        <v>90</v>
      </c>
      <c r="M231" s="1">
        <v>89</v>
      </c>
      <c r="N231" s="17">
        <v>0.29620000000000002</v>
      </c>
      <c r="O231" s="1">
        <v>219</v>
      </c>
      <c r="P231" s="15">
        <v>0.50770000000000004</v>
      </c>
      <c r="Q231" s="1">
        <v>38.613799999999998</v>
      </c>
      <c r="R231" s="1" t="s">
        <v>27</v>
      </c>
      <c r="S231" s="1">
        <v>506.46390000000002</v>
      </c>
      <c r="T231" s="1" t="s">
        <v>28</v>
      </c>
      <c r="U231" s="1" t="s">
        <v>65</v>
      </c>
    </row>
    <row r="232" spans="1:21" x14ac:dyDescent="0.3">
      <c r="A232" s="1" t="s">
        <v>834</v>
      </c>
      <c r="B232" s="2">
        <v>37910</v>
      </c>
      <c r="C232" s="1">
        <v>21</v>
      </c>
      <c r="D232" s="1">
        <v>172</v>
      </c>
      <c r="E232" s="1" t="s">
        <v>24</v>
      </c>
      <c r="F232" s="1" t="s">
        <v>75</v>
      </c>
      <c r="G232" s="1" t="s">
        <v>53</v>
      </c>
      <c r="H232" s="1" t="s">
        <v>54</v>
      </c>
      <c r="I232" s="1" t="s">
        <v>82</v>
      </c>
      <c r="J232" s="1">
        <v>25</v>
      </c>
      <c r="K232" s="1">
        <v>34</v>
      </c>
      <c r="L232" s="1">
        <v>92</v>
      </c>
      <c r="M232" s="1">
        <v>65</v>
      </c>
      <c r="N232" s="17">
        <v>0.94030000000000002</v>
      </c>
      <c r="O232" s="1">
        <v>357</v>
      </c>
      <c r="P232" s="15">
        <v>0.48230000000000001</v>
      </c>
      <c r="Q232" s="1">
        <v>66.203000000000003</v>
      </c>
      <c r="R232" s="1" t="s">
        <v>27</v>
      </c>
      <c r="S232" s="1">
        <v>573.50260000000003</v>
      </c>
      <c r="T232" s="1" t="s">
        <v>35</v>
      </c>
      <c r="U232" s="1" t="s">
        <v>36</v>
      </c>
    </row>
    <row r="233" spans="1:21" x14ac:dyDescent="0.3">
      <c r="A233" s="1" t="s">
        <v>835</v>
      </c>
      <c r="B233" s="2">
        <v>36976</v>
      </c>
      <c r="C233" s="1">
        <v>23</v>
      </c>
      <c r="D233" s="1">
        <v>173</v>
      </c>
      <c r="E233" s="1" t="s">
        <v>24</v>
      </c>
      <c r="F233" s="1" t="s">
        <v>62</v>
      </c>
      <c r="G233" s="1" t="s">
        <v>63</v>
      </c>
      <c r="H233" s="1" t="s">
        <v>54</v>
      </c>
      <c r="I233" s="1" t="s">
        <v>121</v>
      </c>
      <c r="J233" s="1">
        <v>98</v>
      </c>
      <c r="K233" s="1">
        <v>94</v>
      </c>
      <c r="L233" s="1">
        <v>28</v>
      </c>
      <c r="M233" s="1">
        <v>29</v>
      </c>
      <c r="N233" s="17">
        <v>0.66449999999999998</v>
      </c>
      <c r="O233" s="1">
        <v>197</v>
      </c>
      <c r="P233" s="15">
        <v>0.67569999999999997</v>
      </c>
      <c r="Q233" s="1">
        <v>156.82919999999999</v>
      </c>
      <c r="R233" s="1" t="s">
        <v>45</v>
      </c>
      <c r="S233" s="1">
        <v>448.48020000000002</v>
      </c>
      <c r="T233" s="1" t="s">
        <v>28</v>
      </c>
      <c r="U233" s="1" t="s">
        <v>29</v>
      </c>
    </row>
    <row r="234" spans="1:21" x14ac:dyDescent="0.3">
      <c r="A234" s="1" t="s">
        <v>836</v>
      </c>
      <c r="B234" s="2">
        <v>37782</v>
      </c>
      <c r="C234" s="1">
        <v>21</v>
      </c>
      <c r="D234" s="1">
        <v>176</v>
      </c>
      <c r="E234" s="1" t="s">
        <v>32</v>
      </c>
      <c r="F234" s="1" t="s">
        <v>62</v>
      </c>
      <c r="G234" s="1" t="s">
        <v>63</v>
      </c>
      <c r="H234" s="1" t="s">
        <v>54</v>
      </c>
      <c r="I234" s="1" t="s">
        <v>96</v>
      </c>
      <c r="J234" s="1">
        <v>34</v>
      </c>
      <c r="K234" s="1">
        <v>49</v>
      </c>
      <c r="L234" s="1">
        <v>91</v>
      </c>
      <c r="M234" s="1">
        <v>64</v>
      </c>
      <c r="N234" s="17">
        <v>0.68730000000000002</v>
      </c>
      <c r="O234" s="1">
        <v>199</v>
      </c>
      <c r="P234" s="15">
        <v>0.81130000000000002</v>
      </c>
      <c r="Q234" s="1">
        <v>81.867800000000003</v>
      </c>
      <c r="R234" s="1" t="s">
        <v>40</v>
      </c>
      <c r="S234" s="1">
        <v>438.6386</v>
      </c>
      <c r="T234" s="1" t="s">
        <v>35</v>
      </c>
      <c r="U234" s="1" t="s">
        <v>65</v>
      </c>
    </row>
    <row r="235" spans="1:21" x14ac:dyDescent="0.3">
      <c r="A235" s="1" t="s">
        <v>837</v>
      </c>
      <c r="B235" s="2">
        <v>37252</v>
      </c>
      <c r="C235" s="1">
        <v>23</v>
      </c>
      <c r="D235" s="1">
        <v>173</v>
      </c>
      <c r="E235" s="1" t="s">
        <v>24</v>
      </c>
      <c r="F235" s="1" t="s">
        <v>49</v>
      </c>
      <c r="G235" s="1" t="s">
        <v>43</v>
      </c>
      <c r="H235" s="1" t="s">
        <v>54</v>
      </c>
      <c r="I235" s="1" t="s">
        <v>80</v>
      </c>
      <c r="J235" s="1">
        <v>45</v>
      </c>
      <c r="K235" s="1">
        <v>87</v>
      </c>
      <c r="L235" s="1">
        <v>94</v>
      </c>
      <c r="M235" s="1">
        <v>10</v>
      </c>
      <c r="N235" s="17">
        <v>0.51029999999999998</v>
      </c>
      <c r="O235" s="1">
        <v>384</v>
      </c>
      <c r="P235" s="15">
        <v>0.81859999999999999</v>
      </c>
      <c r="Q235" s="1">
        <v>131.1696</v>
      </c>
      <c r="R235" s="1" t="s">
        <v>27</v>
      </c>
      <c r="S235" s="1">
        <v>621.78890000000001</v>
      </c>
      <c r="T235" s="1" t="s">
        <v>28</v>
      </c>
      <c r="U235" s="1" t="s">
        <v>102</v>
      </c>
    </row>
    <row r="236" spans="1:21" x14ac:dyDescent="0.3">
      <c r="A236" s="1" t="s">
        <v>838</v>
      </c>
      <c r="B236" s="2">
        <v>37630</v>
      </c>
      <c r="C236" s="1">
        <v>21</v>
      </c>
      <c r="D236" s="1">
        <v>179</v>
      </c>
      <c r="E236" s="1" t="s">
        <v>32</v>
      </c>
      <c r="F236" s="1" t="s">
        <v>62</v>
      </c>
      <c r="G236" s="1" t="s">
        <v>63</v>
      </c>
      <c r="H236" s="1" t="s">
        <v>54</v>
      </c>
      <c r="I236" s="1" t="s">
        <v>50</v>
      </c>
      <c r="J236" s="1">
        <v>144</v>
      </c>
      <c r="K236" s="1">
        <v>16</v>
      </c>
      <c r="L236" s="1">
        <v>75</v>
      </c>
      <c r="M236" s="1">
        <v>25</v>
      </c>
      <c r="N236" s="17">
        <v>0.41909999999999997</v>
      </c>
      <c r="O236" s="1">
        <v>24</v>
      </c>
      <c r="P236" s="15">
        <v>0.49640000000000001</v>
      </c>
      <c r="Q236" s="1">
        <v>23.415199999999999</v>
      </c>
      <c r="R236" s="1" t="s">
        <v>40</v>
      </c>
      <c r="S236" s="1">
        <v>285.64550000000003</v>
      </c>
      <c r="T236" s="1" t="s">
        <v>28</v>
      </c>
      <c r="U236" s="1" t="s">
        <v>113</v>
      </c>
    </row>
    <row r="237" spans="1:21" x14ac:dyDescent="0.3">
      <c r="A237" s="1" t="s">
        <v>839</v>
      </c>
      <c r="B237" s="2">
        <v>37796</v>
      </c>
      <c r="C237" s="1">
        <v>21</v>
      </c>
      <c r="D237" s="1">
        <v>170</v>
      </c>
      <c r="E237" s="1" t="s">
        <v>24</v>
      </c>
      <c r="F237" s="1" t="s">
        <v>52</v>
      </c>
      <c r="G237" s="1" t="s">
        <v>53</v>
      </c>
      <c r="H237" s="1" t="s">
        <v>54</v>
      </c>
      <c r="I237" s="1" t="s">
        <v>96</v>
      </c>
      <c r="J237" s="1">
        <v>56</v>
      </c>
      <c r="K237" s="1">
        <v>87</v>
      </c>
      <c r="L237" s="1">
        <v>9</v>
      </c>
      <c r="M237" s="1">
        <v>43</v>
      </c>
      <c r="N237" s="17">
        <v>0.56810000000000005</v>
      </c>
      <c r="O237" s="1">
        <v>266</v>
      </c>
      <c r="P237" s="15">
        <v>0.72509999999999997</v>
      </c>
      <c r="Q237" s="1">
        <v>137.17740000000001</v>
      </c>
      <c r="R237" s="1" t="s">
        <v>45</v>
      </c>
      <c r="S237" s="1">
        <v>461.47320000000002</v>
      </c>
      <c r="T237" s="1" t="s">
        <v>35</v>
      </c>
      <c r="U237" s="1" t="s">
        <v>36</v>
      </c>
    </row>
    <row r="238" spans="1:21" x14ac:dyDescent="0.3">
      <c r="A238" s="1" t="s">
        <v>840</v>
      </c>
      <c r="B238" s="2">
        <v>37908</v>
      </c>
      <c r="C238" s="1">
        <v>21</v>
      </c>
      <c r="D238" s="1">
        <v>174</v>
      </c>
      <c r="E238" s="1" t="s">
        <v>24</v>
      </c>
      <c r="F238" s="1" t="s">
        <v>104</v>
      </c>
      <c r="G238" s="1" t="s">
        <v>53</v>
      </c>
      <c r="H238" s="1" t="s">
        <v>54</v>
      </c>
      <c r="I238" s="1" t="s">
        <v>85</v>
      </c>
      <c r="J238" s="1">
        <v>77</v>
      </c>
      <c r="K238" s="1">
        <v>31</v>
      </c>
      <c r="L238" s="1">
        <v>54</v>
      </c>
      <c r="M238" s="1">
        <v>27</v>
      </c>
      <c r="N238" s="17">
        <v>0.42699999999999999</v>
      </c>
      <c r="O238" s="1">
        <v>136</v>
      </c>
      <c r="P238" s="15">
        <v>0.6966</v>
      </c>
      <c r="Q238" s="1">
        <v>44.194200000000002</v>
      </c>
      <c r="R238" s="1" t="s">
        <v>34</v>
      </c>
      <c r="S238" s="1">
        <v>327.68360000000001</v>
      </c>
      <c r="T238" s="1" t="s">
        <v>35</v>
      </c>
      <c r="U238" s="1" t="s">
        <v>36</v>
      </c>
    </row>
    <row r="239" spans="1:21" x14ac:dyDescent="0.3">
      <c r="A239" s="1" t="s">
        <v>841</v>
      </c>
      <c r="B239" s="2">
        <v>37150</v>
      </c>
      <c r="C239" s="1">
        <v>23</v>
      </c>
      <c r="D239" s="1">
        <v>169</v>
      </c>
      <c r="E239" s="1" t="s">
        <v>24</v>
      </c>
      <c r="F239" s="1" t="s">
        <v>62</v>
      </c>
      <c r="G239" s="1" t="s">
        <v>63</v>
      </c>
      <c r="H239" s="1" t="s">
        <v>25</v>
      </c>
      <c r="I239" s="1" t="s">
        <v>90</v>
      </c>
      <c r="J239" s="1">
        <v>37</v>
      </c>
      <c r="K239" s="1">
        <v>94</v>
      </c>
      <c r="L239" s="1">
        <v>58</v>
      </c>
      <c r="M239" s="1">
        <v>29</v>
      </c>
      <c r="N239" s="17">
        <v>0.1051</v>
      </c>
      <c r="O239" s="1">
        <v>112</v>
      </c>
      <c r="P239" s="15">
        <v>0.56799999999999995</v>
      </c>
      <c r="Q239" s="1">
        <v>104.233</v>
      </c>
      <c r="R239" s="1" t="s">
        <v>27</v>
      </c>
      <c r="S239" s="1">
        <v>331.63310000000001</v>
      </c>
      <c r="T239" s="1" t="s">
        <v>28</v>
      </c>
      <c r="U239" s="1" t="s">
        <v>113</v>
      </c>
    </row>
    <row r="240" spans="1:21" x14ac:dyDescent="0.3">
      <c r="A240" s="1" t="s">
        <v>842</v>
      </c>
      <c r="B240" s="2">
        <v>37361</v>
      </c>
      <c r="C240" s="1">
        <v>22</v>
      </c>
      <c r="D240" s="1">
        <v>164</v>
      </c>
      <c r="E240" s="1" t="s">
        <v>76</v>
      </c>
      <c r="F240" s="1" t="s">
        <v>104</v>
      </c>
      <c r="G240" s="1" t="s">
        <v>53</v>
      </c>
      <c r="H240" s="1" t="s">
        <v>54</v>
      </c>
      <c r="I240" s="1" t="s">
        <v>101</v>
      </c>
      <c r="J240" s="1">
        <v>1</v>
      </c>
      <c r="K240" s="1">
        <v>6</v>
      </c>
      <c r="L240" s="1">
        <v>16</v>
      </c>
      <c r="M240" s="1">
        <v>40</v>
      </c>
      <c r="N240" s="17">
        <v>0.9647</v>
      </c>
      <c r="O240" s="1">
        <v>50</v>
      </c>
      <c r="P240" s="15">
        <v>0.42909999999999998</v>
      </c>
      <c r="Q240" s="1">
        <v>12.4366</v>
      </c>
      <c r="R240" s="1" t="s">
        <v>27</v>
      </c>
      <c r="S240" s="1">
        <v>115.24379999999999</v>
      </c>
      <c r="T240" s="1" t="s">
        <v>28</v>
      </c>
      <c r="U240" s="1" t="s">
        <v>36</v>
      </c>
    </row>
    <row r="241" spans="1:21" x14ac:dyDescent="0.3">
      <c r="A241" s="1" t="s">
        <v>843</v>
      </c>
      <c r="B241" s="2">
        <v>36987</v>
      </c>
      <c r="C241" s="1">
        <v>23</v>
      </c>
      <c r="D241" s="1">
        <v>165</v>
      </c>
      <c r="E241" s="1" t="s">
        <v>76</v>
      </c>
      <c r="F241" s="1" t="s">
        <v>87</v>
      </c>
      <c r="G241" s="1" t="s">
        <v>63</v>
      </c>
      <c r="H241" s="1" t="s">
        <v>25</v>
      </c>
      <c r="I241" s="1" t="s">
        <v>123</v>
      </c>
      <c r="J241" s="1">
        <v>45</v>
      </c>
      <c r="K241" s="1">
        <v>27</v>
      </c>
      <c r="L241" s="1">
        <v>44</v>
      </c>
      <c r="M241" s="1">
        <v>97</v>
      </c>
      <c r="N241" s="17">
        <v>0.54500000000000004</v>
      </c>
      <c r="O241" s="1">
        <v>231</v>
      </c>
      <c r="P241" s="15">
        <v>0.59650000000000003</v>
      </c>
      <c r="Q241" s="1">
        <v>41.112400000000001</v>
      </c>
      <c r="R241" s="1" t="s">
        <v>45</v>
      </c>
      <c r="S241" s="1">
        <v>444.33150000000001</v>
      </c>
      <c r="T241" s="1" t="s">
        <v>28</v>
      </c>
      <c r="U241" s="1" t="s">
        <v>113</v>
      </c>
    </row>
    <row r="242" spans="1:21" x14ac:dyDescent="0.3">
      <c r="A242" s="1" t="s">
        <v>844</v>
      </c>
      <c r="B242" s="2">
        <v>37568</v>
      </c>
      <c r="C242" s="1">
        <v>22</v>
      </c>
      <c r="D242" s="1">
        <v>168</v>
      </c>
      <c r="E242" s="1" t="s">
        <v>24</v>
      </c>
      <c r="F242" s="1" t="s">
        <v>84</v>
      </c>
      <c r="G242" s="1" t="s">
        <v>63</v>
      </c>
      <c r="H242" s="1" t="s">
        <v>25</v>
      </c>
      <c r="I242" s="1" t="s">
        <v>92</v>
      </c>
      <c r="J242" s="1">
        <v>36</v>
      </c>
      <c r="K242" s="1">
        <v>59</v>
      </c>
      <c r="L242" s="1">
        <v>79</v>
      </c>
      <c r="M242" s="1">
        <v>78</v>
      </c>
      <c r="N242" s="17">
        <v>0.25130000000000002</v>
      </c>
      <c r="O242" s="1">
        <v>157</v>
      </c>
      <c r="P242" s="15">
        <v>0.83389999999999997</v>
      </c>
      <c r="Q242" s="1">
        <v>74.089500000000001</v>
      </c>
      <c r="R242" s="1" t="s">
        <v>40</v>
      </c>
      <c r="S242" s="1">
        <v>410.15519999999998</v>
      </c>
      <c r="T242" s="1" t="s">
        <v>28</v>
      </c>
      <c r="U242" s="1" t="s">
        <v>47</v>
      </c>
    </row>
    <row r="243" spans="1:21" x14ac:dyDescent="0.3">
      <c r="A243" s="1" t="s">
        <v>845</v>
      </c>
      <c r="B243" s="2">
        <v>37293</v>
      </c>
      <c r="C243" s="1">
        <v>22</v>
      </c>
      <c r="D243" s="1">
        <v>180</v>
      </c>
      <c r="E243" s="1" t="s">
        <v>32</v>
      </c>
      <c r="F243" s="1" t="s">
        <v>109</v>
      </c>
      <c r="G243" s="1" t="s">
        <v>63</v>
      </c>
      <c r="H243" s="1" t="s">
        <v>25</v>
      </c>
      <c r="I243" s="1" t="s">
        <v>92</v>
      </c>
      <c r="J243" s="1">
        <v>31</v>
      </c>
      <c r="K243" s="1">
        <v>89</v>
      </c>
      <c r="L243" s="1">
        <v>71</v>
      </c>
      <c r="M243" s="1">
        <v>95</v>
      </c>
      <c r="N243" s="17">
        <v>0.98799999999999999</v>
      </c>
      <c r="O243" s="1">
        <v>32</v>
      </c>
      <c r="P243" s="15">
        <v>0.79979999999999996</v>
      </c>
      <c r="Q243" s="1">
        <v>177.7073</v>
      </c>
      <c r="R243" s="1" t="s">
        <v>27</v>
      </c>
      <c r="S243" s="1">
        <v>320.58780000000002</v>
      </c>
      <c r="T243" s="1" t="s">
        <v>28</v>
      </c>
      <c r="U243" s="1" t="s">
        <v>36</v>
      </c>
    </row>
    <row r="244" spans="1:21" x14ac:dyDescent="0.3">
      <c r="A244" s="1" t="s">
        <v>846</v>
      </c>
      <c r="B244" s="2">
        <v>37154</v>
      </c>
      <c r="C244" s="1">
        <v>23</v>
      </c>
      <c r="D244" s="1">
        <v>166</v>
      </c>
      <c r="E244" s="1" t="s">
        <v>76</v>
      </c>
      <c r="F244" s="1" t="s">
        <v>69</v>
      </c>
      <c r="G244" s="1" t="s">
        <v>43</v>
      </c>
      <c r="H244" s="1" t="s">
        <v>25</v>
      </c>
      <c r="I244" s="1" t="s">
        <v>99</v>
      </c>
      <c r="J244" s="1">
        <v>43</v>
      </c>
      <c r="K244" s="1">
        <v>29</v>
      </c>
      <c r="L244" s="1">
        <v>86</v>
      </c>
      <c r="M244" s="1">
        <v>55</v>
      </c>
      <c r="N244" s="17">
        <v>0.69330000000000003</v>
      </c>
      <c r="O244" s="1">
        <v>147</v>
      </c>
      <c r="P244" s="15">
        <v>0.82389999999999997</v>
      </c>
      <c r="Q244" s="1">
        <v>48.817799999999998</v>
      </c>
      <c r="R244" s="1" t="s">
        <v>40</v>
      </c>
      <c r="S244" s="1">
        <v>360.92720000000003</v>
      </c>
      <c r="T244" s="1" t="s">
        <v>35</v>
      </c>
      <c r="U244" s="1" t="s">
        <v>56</v>
      </c>
    </row>
    <row r="245" spans="1:21" x14ac:dyDescent="0.3">
      <c r="A245" s="1" t="s">
        <v>847</v>
      </c>
      <c r="B245" s="2">
        <v>37674</v>
      </c>
      <c r="C245" s="1">
        <v>21</v>
      </c>
      <c r="D245" s="1">
        <v>162</v>
      </c>
      <c r="E245" s="1" t="s">
        <v>76</v>
      </c>
      <c r="F245" s="1" t="s">
        <v>98</v>
      </c>
      <c r="G245" s="1" t="s">
        <v>23</v>
      </c>
      <c r="H245" s="1" t="s">
        <v>25</v>
      </c>
      <c r="I245" s="1" t="s">
        <v>58</v>
      </c>
      <c r="J245" s="1">
        <v>57</v>
      </c>
      <c r="K245" s="1">
        <v>89</v>
      </c>
      <c r="L245" s="1">
        <v>95</v>
      </c>
      <c r="M245" s="1">
        <v>87</v>
      </c>
      <c r="N245" s="17">
        <v>0.72130000000000005</v>
      </c>
      <c r="O245" s="1">
        <v>326</v>
      </c>
      <c r="P245" s="15">
        <v>0.69010000000000005</v>
      </c>
      <c r="Q245" s="1">
        <v>153.4023</v>
      </c>
      <c r="R245" s="1" t="s">
        <v>45</v>
      </c>
      <c r="S245" s="1">
        <v>656.91139999999996</v>
      </c>
      <c r="T245" s="1" t="s">
        <v>46</v>
      </c>
      <c r="U245" s="1" t="s">
        <v>102</v>
      </c>
    </row>
    <row r="246" spans="1:21" x14ac:dyDescent="0.3">
      <c r="A246" s="1" t="s">
        <v>848</v>
      </c>
      <c r="B246" s="2">
        <v>37643</v>
      </c>
      <c r="C246" s="1">
        <v>21</v>
      </c>
      <c r="D246" s="1">
        <v>162</v>
      </c>
      <c r="E246" s="1" t="s">
        <v>76</v>
      </c>
      <c r="F246" s="1" t="s">
        <v>42</v>
      </c>
      <c r="G246" s="1" t="s">
        <v>43</v>
      </c>
      <c r="H246" s="1" t="s">
        <v>54</v>
      </c>
      <c r="I246" s="1" t="s">
        <v>67</v>
      </c>
      <c r="J246" s="1">
        <v>119</v>
      </c>
      <c r="K246" s="1">
        <v>27</v>
      </c>
      <c r="L246" s="1">
        <v>50</v>
      </c>
      <c r="M246" s="1">
        <v>19</v>
      </c>
      <c r="N246" s="17">
        <v>0.5544</v>
      </c>
      <c r="O246" s="1">
        <v>168</v>
      </c>
      <c r="P246" s="15">
        <v>0.65349999999999997</v>
      </c>
      <c r="Q246" s="1">
        <v>41.3626</v>
      </c>
      <c r="R246" s="1" t="s">
        <v>27</v>
      </c>
      <c r="S246" s="1">
        <v>383.58789999999999</v>
      </c>
      <c r="T246" s="1" t="s">
        <v>35</v>
      </c>
      <c r="U246" s="1" t="s">
        <v>36</v>
      </c>
    </row>
    <row r="247" spans="1:21" x14ac:dyDescent="0.3">
      <c r="A247" s="1" t="s">
        <v>849</v>
      </c>
      <c r="B247" s="2">
        <v>36898</v>
      </c>
      <c r="C247" s="1">
        <v>23</v>
      </c>
      <c r="D247" s="1">
        <v>166</v>
      </c>
      <c r="E247" s="1" t="s">
        <v>76</v>
      </c>
      <c r="F247" s="1" t="s">
        <v>75</v>
      </c>
      <c r="G247" s="1" t="s">
        <v>53</v>
      </c>
      <c r="H247" s="1" t="s">
        <v>54</v>
      </c>
      <c r="I247" s="1" t="s">
        <v>39</v>
      </c>
      <c r="J247" s="1">
        <v>32</v>
      </c>
      <c r="K247" s="1">
        <v>16</v>
      </c>
      <c r="L247" s="1">
        <v>26</v>
      </c>
      <c r="M247" s="1">
        <v>81</v>
      </c>
      <c r="N247" s="17">
        <v>0.60529999999999995</v>
      </c>
      <c r="O247" s="1">
        <v>258</v>
      </c>
      <c r="P247" s="15">
        <v>0.52349999999999997</v>
      </c>
      <c r="Q247" s="1">
        <v>26.0059</v>
      </c>
      <c r="R247" s="1" t="s">
        <v>45</v>
      </c>
      <c r="S247" s="1">
        <v>414.47879999999998</v>
      </c>
      <c r="T247" s="1" t="s">
        <v>35</v>
      </c>
      <c r="U247" s="1" t="s">
        <v>102</v>
      </c>
    </row>
    <row r="248" spans="1:21" x14ac:dyDescent="0.3">
      <c r="A248" s="1" t="s">
        <v>850</v>
      </c>
      <c r="B248" s="2">
        <v>37429</v>
      </c>
      <c r="C248" s="1">
        <v>22</v>
      </c>
      <c r="D248" s="1">
        <v>182</v>
      </c>
      <c r="E248" s="1" t="s">
        <v>32</v>
      </c>
      <c r="F248" s="1" t="s">
        <v>87</v>
      </c>
      <c r="G248" s="1" t="s">
        <v>63</v>
      </c>
      <c r="H248" s="1" t="s">
        <v>54</v>
      </c>
      <c r="I248" s="1" t="s">
        <v>77</v>
      </c>
      <c r="J248" s="1">
        <v>130</v>
      </c>
      <c r="K248" s="1">
        <v>11</v>
      </c>
      <c r="L248" s="1">
        <v>96</v>
      </c>
      <c r="M248" s="1">
        <v>14</v>
      </c>
      <c r="N248" s="17">
        <v>0.84340000000000004</v>
      </c>
      <c r="O248" s="1">
        <v>41</v>
      </c>
      <c r="P248" s="15">
        <v>0.62380000000000002</v>
      </c>
      <c r="Q248" s="1">
        <v>19.5032</v>
      </c>
      <c r="R248" s="1" t="s">
        <v>34</v>
      </c>
      <c r="S248" s="1">
        <v>293.18720000000002</v>
      </c>
      <c r="T248" s="1" t="s">
        <v>46</v>
      </c>
      <c r="U248" s="1" t="s">
        <v>47</v>
      </c>
    </row>
    <row r="249" spans="1:21" x14ac:dyDescent="0.3">
      <c r="A249" s="1" t="s">
        <v>851</v>
      </c>
      <c r="B249" s="2">
        <v>37042</v>
      </c>
      <c r="C249" s="1">
        <v>23</v>
      </c>
      <c r="D249" s="1">
        <v>165</v>
      </c>
      <c r="E249" s="1" t="s">
        <v>76</v>
      </c>
      <c r="F249" s="1" t="s">
        <v>52</v>
      </c>
      <c r="G249" s="1" t="s">
        <v>53</v>
      </c>
      <c r="H249" s="1" t="s">
        <v>25</v>
      </c>
      <c r="I249" s="1" t="s">
        <v>94</v>
      </c>
      <c r="J249" s="1">
        <v>107</v>
      </c>
      <c r="K249" s="1">
        <v>99</v>
      </c>
      <c r="L249" s="1">
        <v>70</v>
      </c>
      <c r="M249" s="1">
        <v>90</v>
      </c>
      <c r="N249" s="17">
        <v>0.58389999999999997</v>
      </c>
      <c r="O249" s="1">
        <v>128</v>
      </c>
      <c r="P249" s="15">
        <v>0.54669999999999996</v>
      </c>
      <c r="Q249" s="1">
        <v>156.2201</v>
      </c>
      <c r="R249" s="1" t="s">
        <v>40</v>
      </c>
      <c r="S249" s="1">
        <v>495.00060000000002</v>
      </c>
      <c r="T249" s="1" t="s">
        <v>28</v>
      </c>
      <c r="U249" s="1" t="s">
        <v>29</v>
      </c>
    </row>
    <row r="250" spans="1:21" x14ac:dyDescent="0.3">
      <c r="A250" s="1" t="s">
        <v>852</v>
      </c>
      <c r="B250" s="2">
        <v>37436</v>
      </c>
      <c r="C250" s="1">
        <v>22</v>
      </c>
      <c r="D250" s="1">
        <v>166</v>
      </c>
      <c r="E250" s="1" t="s">
        <v>76</v>
      </c>
      <c r="F250" s="1" t="s">
        <v>42</v>
      </c>
      <c r="G250" s="1" t="s">
        <v>43</v>
      </c>
      <c r="H250" s="1" t="s">
        <v>54</v>
      </c>
      <c r="I250" s="1" t="s">
        <v>88</v>
      </c>
      <c r="J250" s="1">
        <v>16</v>
      </c>
      <c r="K250" s="1">
        <v>79</v>
      </c>
      <c r="L250" s="1">
        <v>34</v>
      </c>
      <c r="M250" s="1">
        <v>37</v>
      </c>
      <c r="N250" s="17">
        <v>0.27</v>
      </c>
      <c r="O250" s="1">
        <v>146</v>
      </c>
      <c r="P250" s="15">
        <v>0.72519999999999996</v>
      </c>
      <c r="Q250" s="1">
        <v>99.745800000000003</v>
      </c>
      <c r="R250" s="1" t="s">
        <v>27</v>
      </c>
      <c r="S250" s="1">
        <v>312.58519999999999</v>
      </c>
      <c r="T250" s="1" t="s">
        <v>28</v>
      </c>
      <c r="U250" s="1" t="s">
        <v>36</v>
      </c>
    </row>
    <row r="251" spans="1:21" x14ac:dyDescent="0.3">
      <c r="A251" s="1" t="s">
        <v>853</v>
      </c>
      <c r="B251" s="2">
        <v>36923</v>
      </c>
      <c r="C251" s="1">
        <v>23</v>
      </c>
      <c r="D251" s="1">
        <v>175</v>
      </c>
      <c r="E251" s="1" t="s">
        <v>32</v>
      </c>
      <c r="F251" s="1" t="s">
        <v>62</v>
      </c>
      <c r="G251" s="1" t="s">
        <v>63</v>
      </c>
      <c r="H251" s="1" t="s">
        <v>54</v>
      </c>
      <c r="I251" s="1" t="s">
        <v>50</v>
      </c>
      <c r="J251" s="1">
        <v>36</v>
      </c>
      <c r="K251" s="1">
        <v>95</v>
      </c>
      <c r="L251" s="1">
        <v>34</v>
      </c>
      <c r="M251" s="1">
        <v>24</v>
      </c>
      <c r="N251" s="17">
        <v>0.84950000000000003</v>
      </c>
      <c r="O251" s="1">
        <v>224</v>
      </c>
      <c r="P251" s="15">
        <v>0.63519999999999999</v>
      </c>
      <c r="Q251" s="1">
        <v>175.2216</v>
      </c>
      <c r="R251" s="1" t="s">
        <v>34</v>
      </c>
      <c r="S251" s="1">
        <v>414.75470000000001</v>
      </c>
      <c r="T251" s="1" t="s">
        <v>46</v>
      </c>
      <c r="U251" s="1" t="s">
        <v>113</v>
      </c>
    </row>
    <row r="252" spans="1:21" x14ac:dyDescent="0.3">
      <c r="A252" s="1" t="s">
        <v>854</v>
      </c>
      <c r="B252" s="2">
        <v>37336</v>
      </c>
      <c r="C252" s="1">
        <v>22</v>
      </c>
      <c r="D252" s="1">
        <v>178</v>
      </c>
      <c r="E252" s="1" t="s">
        <v>32</v>
      </c>
      <c r="F252" s="1" t="s">
        <v>109</v>
      </c>
      <c r="G252" s="1" t="s">
        <v>63</v>
      </c>
      <c r="H252" s="1" t="s">
        <v>54</v>
      </c>
      <c r="I252" s="1" t="s">
        <v>110</v>
      </c>
      <c r="J252" s="1">
        <v>68</v>
      </c>
      <c r="K252" s="1">
        <v>37</v>
      </c>
      <c r="L252" s="1">
        <v>53</v>
      </c>
      <c r="M252" s="1">
        <v>72</v>
      </c>
      <c r="N252" s="17">
        <v>0.82210000000000005</v>
      </c>
      <c r="O252" s="1">
        <v>162</v>
      </c>
      <c r="P252" s="15">
        <v>0.40100000000000002</v>
      </c>
      <c r="Q252" s="1">
        <v>67.946100000000001</v>
      </c>
      <c r="R252" s="1" t="s">
        <v>45</v>
      </c>
      <c r="S252" s="1">
        <v>393.99310000000003</v>
      </c>
      <c r="T252" s="1" t="s">
        <v>46</v>
      </c>
      <c r="U252" s="1" t="s">
        <v>102</v>
      </c>
    </row>
    <row r="253" spans="1:21" x14ac:dyDescent="0.3">
      <c r="A253" s="1" t="s">
        <v>855</v>
      </c>
      <c r="B253" s="2">
        <v>37215</v>
      </c>
      <c r="C253" s="1">
        <v>23</v>
      </c>
      <c r="D253" s="1">
        <v>169</v>
      </c>
      <c r="E253" s="1" t="s">
        <v>24</v>
      </c>
      <c r="F253" s="1" t="s">
        <v>31</v>
      </c>
      <c r="G253" s="1" t="s">
        <v>23</v>
      </c>
      <c r="H253" s="1" t="s">
        <v>25</v>
      </c>
      <c r="I253" s="1" t="s">
        <v>99</v>
      </c>
      <c r="J253" s="1">
        <v>109</v>
      </c>
      <c r="K253" s="1">
        <v>30</v>
      </c>
      <c r="L253" s="1">
        <v>30</v>
      </c>
      <c r="M253" s="1">
        <v>98</v>
      </c>
      <c r="N253" s="17">
        <v>0.27689999999999998</v>
      </c>
      <c r="O253" s="1">
        <v>134</v>
      </c>
      <c r="P253" s="15">
        <v>0.56210000000000004</v>
      </c>
      <c r="Q253" s="1">
        <v>37.821800000000003</v>
      </c>
      <c r="R253" s="1" t="s">
        <v>34</v>
      </c>
      <c r="S253" s="1">
        <v>401.01900000000001</v>
      </c>
      <c r="T253" s="1" t="s">
        <v>28</v>
      </c>
      <c r="U253" s="1" t="s">
        <v>29</v>
      </c>
    </row>
    <row r="254" spans="1:21" x14ac:dyDescent="0.3">
      <c r="A254" s="1" t="s">
        <v>856</v>
      </c>
      <c r="B254" s="2">
        <v>37257</v>
      </c>
      <c r="C254" s="1">
        <v>23</v>
      </c>
      <c r="D254" s="1">
        <v>160</v>
      </c>
      <c r="E254" s="1" t="s">
        <v>76</v>
      </c>
      <c r="F254" s="1" t="s">
        <v>72</v>
      </c>
      <c r="G254" s="1" t="s">
        <v>53</v>
      </c>
      <c r="H254" s="1" t="s">
        <v>25</v>
      </c>
      <c r="I254" s="1" t="s">
        <v>70</v>
      </c>
      <c r="J254" s="1">
        <v>109</v>
      </c>
      <c r="K254" s="1">
        <v>19</v>
      </c>
      <c r="L254" s="1">
        <v>68</v>
      </c>
      <c r="M254" s="1">
        <v>41</v>
      </c>
      <c r="N254" s="17">
        <v>0.66120000000000001</v>
      </c>
      <c r="O254" s="1">
        <v>264</v>
      </c>
      <c r="P254" s="15">
        <v>0.60609999999999997</v>
      </c>
      <c r="Q254" s="1">
        <v>31.014600000000002</v>
      </c>
      <c r="R254" s="1" t="s">
        <v>34</v>
      </c>
      <c r="S254" s="1">
        <v>501.93729999999999</v>
      </c>
      <c r="T254" s="1" t="s">
        <v>46</v>
      </c>
      <c r="U254" s="1" t="s">
        <v>47</v>
      </c>
    </row>
    <row r="255" spans="1:21" x14ac:dyDescent="0.3">
      <c r="A255" s="1" t="s">
        <v>857</v>
      </c>
      <c r="B255" s="2">
        <v>37311</v>
      </c>
      <c r="C255" s="1">
        <v>22</v>
      </c>
      <c r="D255" s="1">
        <v>161</v>
      </c>
      <c r="E255" s="1" t="s">
        <v>76</v>
      </c>
      <c r="F255" s="1" t="s">
        <v>75</v>
      </c>
      <c r="G255" s="1" t="s">
        <v>53</v>
      </c>
      <c r="H255" s="1" t="s">
        <v>54</v>
      </c>
      <c r="I255" s="1" t="s">
        <v>60</v>
      </c>
      <c r="J255" s="1">
        <v>41</v>
      </c>
      <c r="K255" s="1">
        <v>56</v>
      </c>
      <c r="L255" s="1">
        <v>45</v>
      </c>
      <c r="M255" s="1">
        <v>82</v>
      </c>
      <c r="N255" s="17">
        <v>0.77890000000000004</v>
      </c>
      <c r="O255" s="1">
        <v>122</v>
      </c>
      <c r="P255" s="15">
        <v>0.76370000000000005</v>
      </c>
      <c r="Q255" s="1">
        <v>100.41889999999999</v>
      </c>
      <c r="R255" s="1" t="s">
        <v>45</v>
      </c>
      <c r="S255" s="1">
        <v>349.38260000000002</v>
      </c>
      <c r="T255" s="1" t="s">
        <v>46</v>
      </c>
      <c r="U255" s="1" t="s">
        <v>102</v>
      </c>
    </row>
    <row r="256" spans="1:21" x14ac:dyDescent="0.3">
      <c r="A256" s="1" t="s">
        <v>858</v>
      </c>
      <c r="B256" s="2">
        <v>37547</v>
      </c>
      <c r="C256" s="1">
        <v>22</v>
      </c>
      <c r="D256" s="1">
        <v>178</v>
      </c>
      <c r="E256" s="1" t="s">
        <v>32</v>
      </c>
      <c r="F256" s="1" t="s">
        <v>104</v>
      </c>
      <c r="G256" s="1" t="s">
        <v>53</v>
      </c>
      <c r="H256" s="1" t="s">
        <v>25</v>
      </c>
      <c r="I256" s="1" t="s">
        <v>80</v>
      </c>
      <c r="J256" s="1">
        <v>119</v>
      </c>
      <c r="K256" s="1">
        <v>62</v>
      </c>
      <c r="L256" s="1">
        <v>95</v>
      </c>
      <c r="M256" s="1">
        <v>75</v>
      </c>
      <c r="N256" s="17">
        <v>0.98089999999999999</v>
      </c>
      <c r="O256" s="1">
        <v>384</v>
      </c>
      <c r="P256" s="15">
        <v>0.60940000000000005</v>
      </c>
      <c r="Q256" s="1">
        <v>121.8254</v>
      </c>
      <c r="R256" s="1" t="s">
        <v>45</v>
      </c>
      <c r="S256" s="1">
        <v>735.70029999999997</v>
      </c>
      <c r="T256" s="1" t="s">
        <v>46</v>
      </c>
      <c r="U256" s="1" t="s">
        <v>29</v>
      </c>
    </row>
    <row r="257" spans="1:21" x14ac:dyDescent="0.3">
      <c r="A257" s="1" t="s">
        <v>859</v>
      </c>
      <c r="B257" s="2">
        <v>37749</v>
      </c>
      <c r="C257" s="1">
        <v>21</v>
      </c>
      <c r="D257" s="1">
        <v>185</v>
      </c>
      <c r="E257" s="1" t="s">
        <v>32</v>
      </c>
      <c r="F257" s="1" t="s">
        <v>79</v>
      </c>
      <c r="G257" s="1" t="s">
        <v>43</v>
      </c>
      <c r="H257" s="1" t="s">
        <v>25</v>
      </c>
      <c r="I257" s="1" t="s">
        <v>55</v>
      </c>
      <c r="J257" s="1">
        <v>145</v>
      </c>
      <c r="K257" s="1">
        <v>94</v>
      </c>
      <c r="L257" s="1">
        <v>8</v>
      </c>
      <c r="M257" s="1">
        <v>80</v>
      </c>
      <c r="N257" s="17">
        <v>0.19670000000000001</v>
      </c>
      <c r="O257" s="1">
        <v>114</v>
      </c>
      <c r="P257" s="15">
        <v>0.67710000000000004</v>
      </c>
      <c r="Q257" s="1">
        <v>112.1906</v>
      </c>
      <c r="R257" s="1" t="s">
        <v>34</v>
      </c>
      <c r="S257" s="1">
        <v>441.68380000000002</v>
      </c>
      <c r="T257" s="1" t="s">
        <v>35</v>
      </c>
      <c r="U257" s="1" t="s">
        <v>29</v>
      </c>
    </row>
    <row r="258" spans="1:21" x14ac:dyDescent="0.3">
      <c r="A258" s="1" t="s">
        <v>860</v>
      </c>
      <c r="B258" s="2">
        <v>37125</v>
      </c>
      <c r="C258" s="1">
        <v>23</v>
      </c>
      <c r="D258" s="1">
        <v>160</v>
      </c>
      <c r="E258" s="1" t="s">
        <v>76</v>
      </c>
      <c r="F258" s="1" t="s">
        <v>98</v>
      </c>
      <c r="G258" s="1" t="s">
        <v>23</v>
      </c>
      <c r="H258" s="1" t="s">
        <v>25</v>
      </c>
      <c r="I258" s="1" t="s">
        <v>67</v>
      </c>
      <c r="J258" s="1">
        <v>113</v>
      </c>
      <c r="K258" s="1">
        <v>93</v>
      </c>
      <c r="L258" s="1">
        <v>99</v>
      </c>
      <c r="M258" s="1">
        <v>75</v>
      </c>
      <c r="N258" s="17">
        <v>0.69110000000000005</v>
      </c>
      <c r="O258" s="1">
        <v>69</v>
      </c>
      <c r="P258" s="15">
        <v>0.56759999999999999</v>
      </c>
      <c r="Q258" s="1">
        <v>157.93180000000001</v>
      </c>
      <c r="R258" s="1" t="s">
        <v>45</v>
      </c>
      <c r="S258" s="1">
        <v>451.58870000000002</v>
      </c>
      <c r="T258" s="1" t="s">
        <v>46</v>
      </c>
      <c r="U258" s="1" t="s">
        <v>47</v>
      </c>
    </row>
    <row r="259" spans="1:21" x14ac:dyDescent="0.3">
      <c r="A259" s="1" t="s">
        <v>861</v>
      </c>
      <c r="B259" s="2">
        <v>37415</v>
      </c>
      <c r="C259" s="1">
        <v>22</v>
      </c>
      <c r="D259" s="1">
        <v>173</v>
      </c>
      <c r="E259" s="1" t="s">
        <v>24</v>
      </c>
      <c r="F259" s="1" t="s">
        <v>87</v>
      </c>
      <c r="G259" s="1" t="s">
        <v>63</v>
      </c>
      <c r="H259" s="1" t="s">
        <v>54</v>
      </c>
      <c r="I259" s="1" t="s">
        <v>77</v>
      </c>
      <c r="J259" s="1">
        <v>121</v>
      </c>
      <c r="K259" s="1">
        <v>77</v>
      </c>
      <c r="L259" s="1">
        <v>2</v>
      </c>
      <c r="M259" s="1">
        <v>36</v>
      </c>
      <c r="N259" s="17">
        <v>0.72829999999999995</v>
      </c>
      <c r="O259" s="1">
        <v>323</v>
      </c>
      <c r="P259" s="15">
        <v>0.64539999999999997</v>
      </c>
      <c r="Q259" s="1">
        <v>132.2841</v>
      </c>
      <c r="R259" s="1" t="s">
        <v>40</v>
      </c>
      <c r="S259" s="1">
        <v>559.18370000000004</v>
      </c>
      <c r="T259" s="1" t="s">
        <v>35</v>
      </c>
      <c r="U259" s="1" t="s">
        <v>113</v>
      </c>
    </row>
    <row r="260" spans="1:21" x14ac:dyDescent="0.3">
      <c r="A260" s="1" t="s">
        <v>862</v>
      </c>
      <c r="B260" s="2">
        <v>37558</v>
      </c>
      <c r="C260" s="1">
        <v>22</v>
      </c>
      <c r="D260" s="1">
        <v>160</v>
      </c>
      <c r="E260" s="1" t="s">
        <v>76</v>
      </c>
      <c r="F260" s="1" t="s">
        <v>42</v>
      </c>
      <c r="G260" s="1" t="s">
        <v>43</v>
      </c>
      <c r="H260" s="1" t="s">
        <v>54</v>
      </c>
      <c r="I260" s="1" t="s">
        <v>101</v>
      </c>
      <c r="J260" s="1">
        <v>56</v>
      </c>
      <c r="K260" s="1">
        <v>39</v>
      </c>
      <c r="L260" s="1">
        <v>11</v>
      </c>
      <c r="M260" s="1">
        <v>92</v>
      </c>
      <c r="N260" s="17">
        <v>0.12740000000000001</v>
      </c>
      <c r="O260" s="1">
        <v>295</v>
      </c>
      <c r="P260" s="15">
        <v>0.81989999999999996</v>
      </c>
      <c r="Q260" s="1">
        <v>44.149000000000001</v>
      </c>
      <c r="R260" s="1" t="s">
        <v>34</v>
      </c>
      <c r="S260" s="1">
        <v>494.52730000000003</v>
      </c>
      <c r="T260" s="1" t="s">
        <v>46</v>
      </c>
      <c r="U260" s="1" t="s">
        <v>29</v>
      </c>
    </row>
    <row r="261" spans="1:21" x14ac:dyDescent="0.3">
      <c r="A261" s="1" t="s">
        <v>863</v>
      </c>
      <c r="B261" s="2">
        <v>37574</v>
      </c>
      <c r="C261" s="1">
        <v>22</v>
      </c>
      <c r="D261" s="1">
        <v>184</v>
      </c>
      <c r="E261" s="1" t="s">
        <v>32</v>
      </c>
      <c r="F261" s="1" t="s">
        <v>104</v>
      </c>
      <c r="G261" s="1" t="s">
        <v>53</v>
      </c>
      <c r="H261" s="1" t="s">
        <v>54</v>
      </c>
      <c r="I261" s="1" t="s">
        <v>88</v>
      </c>
      <c r="J261" s="1">
        <v>66</v>
      </c>
      <c r="K261" s="1">
        <v>80</v>
      </c>
      <c r="L261" s="1">
        <v>30</v>
      </c>
      <c r="M261" s="1">
        <v>54</v>
      </c>
      <c r="N261" s="17">
        <v>0.11550000000000001</v>
      </c>
      <c r="O261" s="1">
        <v>293</v>
      </c>
      <c r="P261" s="15">
        <v>0.52270000000000005</v>
      </c>
      <c r="Q261" s="1">
        <v>89.641599999999997</v>
      </c>
      <c r="R261" s="1" t="s">
        <v>34</v>
      </c>
      <c r="S261" s="1">
        <v>523.6182</v>
      </c>
      <c r="T261" s="1" t="s">
        <v>28</v>
      </c>
      <c r="U261" s="1" t="s">
        <v>36</v>
      </c>
    </row>
    <row r="262" spans="1:21" x14ac:dyDescent="0.3">
      <c r="A262" s="1" t="s">
        <v>864</v>
      </c>
      <c r="B262" s="2">
        <v>37786</v>
      </c>
      <c r="C262" s="1">
        <v>21</v>
      </c>
      <c r="D262" s="1">
        <v>166</v>
      </c>
      <c r="E262" s="1" t="s">
        <v>76</v>
      </c>
      <c r="F262" s="1" t="s">
        <v>75</v>
      </c>
      <c r="G262" s="1" t="s">
        <v>53</v>
      </c>
      <c r="H262" s="1" t="s">
        <v>54</v>
      </c>
      <c r="I262" s="1" t="s">
        <v>82</v>
      </c>
      <c r="J262" s="1">
        <v>18</v>
      </c>
      <c r="K262" s="1">
        <v>35</v>
      </c>
      <c r="L262" s="1">
        <v>49</v>
      </c>
      <c r="M262" s="1">
        <v>61</v>
      </c>
      <c r="N262" s="17">
        <v>0.2903</v>
      </c>
      <c r="O262" s="1">
        <v>51</v>
      </c>
      <c r="P262" s="15">
        <v>0.5595</v>
      </c>
      <c r="Q262" s="1">
        <v>45.328200000000002</v>
      </c>
      <c r="R262" s="1" t="s">
        <v>27</v>
      </c>
      <c r="S262" s="1">
        <v>215.90979999999999</v>
      </c>
      <c r="T262" s="1" t="s">
        <v>35</v>
      </c>
      <c r="U262" s="1" t="s">
        <v>113</v>
      </c>
    </row>
    <row r="263" spans="1:21" x14ac:dyDescent="0.3">
      <c r="A263" s="1" t="s">
        <v>865</v>
      </c>
      <c r="B263" s="2">
        <v>37346</v>
      </c>
      <c r="C263" s="1">
        <v>22</v>
      </c>
      <c r="D263" s="1">
        <v>161</v>
      </c>
      <c r="E263" s="1" t="s">
        <v>76</v>
      </c>
      <c r="F263" s="1" t="s">
        <v>52</v>
      </c>
      <c r="G263" s="1" t="s">
        <v>53</v>
      </c>
      <c r="H263" s="1" t="s">
        <v>54</v>
      </c>
      <c r="I263" s="1" t="s">
        <v>105</v>
      </c>
      <c r="J263" s="1">
        <v>101</v>
      </c>
      <c r="K263" s="1">
        <v>34</v>
      </c>
      <c r="L263" s="1">
        <v>17</v>
      </c>
      <c r="M263" s="1">
        <v>6</v>
      </c>
      <c r="N263" s="17">
        <v>0.81689999999999996</v>
      </c>
      <c r="O263" s="1">
        <v>47</v>
      </c>
      <c r="P263" s="15">
        <v>0.82589999999999997</v>
      </c>
      <c r="Q263" s="1">
        <v>61.193199999999997</v>
      </c>
      <c r="R263" s="1" t="s">
        <v>40</v>
      </c>
      <c r="S263" s="1">
        <v>205.24279999999999</v>
      </c>
      <c r="T263" s="1" t="s">
        <v>28</v>
      </c>
      <c r="U263" s="1" t="s">
        <v>113</v>
      </c>
    </row>
    <row r="264" spans="1:21" x14ac:dyDescent="0.3">
      <c r="A264" s="1" t="s">
        <v>866</v>
      </c>
      <c r="B264" s="2">
        <v>37967</v>
      </c>
      <c r="C264" s="1">
        <v>21</v>
      </c>
      <c r="D264" s="1">
        <v>161</v>
      </c>
      <c r="E264" s="1" t="s">
        <v>76</v>
      </c>
      <c r="F264" s="1" t="s">
        <v>109</v>
      </c>
      <c r="G264" s="1" t="s">
        <v>63</v>
      </c>
      <c r="H264" s="1" t="s">
        <v>25</v>
      </c>
      <c r="I264" s="1" t="s">
        <v>55</v>
      </c>
      <c r="J264" s="1">
        <v>51</v>
      </c>
      <c r="K264" s="1">
        <v>17</v>
      </c>
      <c r="L264" s="1">
        <v>13</v>
      </c>
      <c r="M264" s="1">
        <v>27</v>
      </c>
      <c r="N264" s="17">
        <v>0.89680000000000004</v>
      </c>
      <c r="O264" s="1">
        <v>141</v>
      </c>
      <c r="P264" s="15">
        <v>0.66049999999999998</v>
      </c>
      <c r="Q264" s="1">
        <v>31.335100000000001</v>
      </c>
      <c r="R264" s="1" t="s">
        <v>34</v>
      </c>
      <c r="S264" s="1">
        <v>249.96729999999999</v>
      </c>
      <c r="T264" s="1" t="s">
        <v>28</v>
      </c>
      <c r="U264" s="1" t="s">
        <v>47</v>
      </c>
    </row>
    <row r="265" spans="1:21" x14ac:dyDescent="0.3">
      <c r="A265" s="1" t="s">
        <v>867</v>
      </c>
      <c r="B265" s="2">
        <v>37548</v>
      </c>
      <c r="C265" s="1">
        <v>22</v>
      </c>
      <c r="D265" s="1">
        <v>168</v>
      </c>
      <c r="E265" s="1" t="s">
        <v>24</v>
      </c>
      <c r="F265" s="1" t="s">
        <v>52</v>
      </c>
      <c r="G265" s="1" t="s">
        <v>53</v>
      </c>
      <c r="H265" s="1" t="s">
        <v>54</v>
      </c>
      <c r="I265" s="1" t="s">
        <v>90</v>
      </c>
      <c r="J265" s="1">
        <v>28</v>
      </c>
      <c r="K265" s="1">
        <v>83</v>
      </c>
      <c r="L265" s="1">
        <v>9</v>
      </c>
      <c r="M265" s="1">
        <v>58</v>
      </c>
      <c r="N265" s="17">
        <v>0.74219999999999997</v>
      </c>
      <c r="O265" s="1">
        <v>329</v>
      </c>
      <c r="P265" s="15">
        <v>0.55259999999999998</v>
      </c>
      <c r="Q265" s="1">
        <v>144.13220000000001</v>
      </c>
      <c r="R265" s="1" t="s">
        <v>27</v>
      </c>
      <c r="S265" s="1">
        <v>507.12479999999999</v>
      </c>
      <c r="T265" s="1" t="s">
        <v>46</v>
      </c>
      <c r="U265" s="1" t="s">
        <v>47</v>
      </c>
    </row>
    <row r="266" spans="1:21" x14ac:dyDescent="0.3">
      <c r="A266" s="1" t="s">
        <v>868</v>
      </c>
      <c r="B266" s="2">
        <v>37330</v>
      </c>
      <c r="C266" s="1">
        <v>22</v>
      </c>
      <c r="D266" s="1">
        <v>161</v>
      </c>
      <c r="E266" s="1" t="s">
        <v>76</v>
      </c>
      <c r="F266" s="1" t="s">
        <v>62</v>
      </c>
      <c r="G266" s="1" t="s">
        <v>63</v>
      </c>
      <c r="H266" s="1" t="s">
        <v>54</v>
      </c>
      <c r="I266" s="1" t="s">
        <v>82</v>
      </c>
      <c r="J266" s="1">
        <v>141</v>
      </c>
      <c r="K266" s="1">
        <v>42</v>
      </c>
      <c r="L266" s="1">
        <v>19</v>
      </c>
      <c r="M266" s="1">
        <v>11</v>
      </c>
      <c r="N266" s="17">
        <v>0.76270000000000004</v>
      </c>
      <c r="O266" s="1">
        <v>379</v>
      </c>
      <c r="P266" s="15">
        <v>0.4677</v>
      </c>
      <c r="Q266" s="1">
        <v>73.998099999999994</v>
      </c>
      <c r="R266" s="1" t="s">
        <v>40</v>
      </c>
      <c r="S266" s="1">
        <v>593.5204</v>
      </c>
      <c r="T266" s="1" t="s">
        <v>46</v>
      </c>
      <c r="U266" s="1" t="s">
        <v>102</v>
      </c>
    </row>
    <row r="267" spans="1:21" x14ac:dyDescent="0.3">
      <c r="A267" s="1" t="s">
        <v>869</v>
      </c>
      <c r="B267" s="2">
        <v>37454</v>
      </c>
      <c r="C267" s="1">
        <v>22</v>
      </c>
      <c r="D267" s="1">
        <v>179</v>
      </c>
      <c r="E267" s="1" t="s">
        <v>32</v>
      </c>
      <c r="F267" s="1" t="s">
        <v>52</v>
      </c>
      <c r="G267" s="1" t="s">
        <v>53</v>
      </c>
      <c r="H267" s="1" t="s">
        <v>25</v>
      </c>
      <c r="I267" s="1" t="s">
        <v>58</v>
      </c>
      <c r="J267" s="1">
        <v>14</v>
      </c>
      <c r="K267" s="1">
        <v>59</v>
      </c>
      <c r="L267" s="1">
        <v>46</v>
      </c>
      <c r="M267" s="1">
        <v>15</v>
      </c>
      <c r="N267" s="17">
        <v>0.28699999999999998</v>
      </c>
      <c r="O267" s="1">
        <v>116</v>
      </c>
      <c r="P267" s="15">
        <v>0.73399999999999999</v>
      </c>
      <c r="Q267" s="1">
        <v>76.525000000000006</v>
      </c>
      <c r="R267" s="1" t="s">
        <v>27</v>
      </c>
      <c r="S267" s="1">
        <v>251.851</v>
      </c>
      <c r="T267" s="1" t="s">
        <v>35</v>
      </c>
      <c r="U267" s="1" t="s">
        <v>113</v>
      </c>
    </row>
    <row r="268" spans="1:21" x14ac:dyDescent="0.3">
      <c r="A268" s="1" t="s">
        <v>870</v>
      </c>
      <c r="B268" s="2">
        <v>37778</v>
      </c>
      <c r="C268" s="1">
        <v>21</v>
      </c>
      <c r="D268" s="1">
        <v>162</v>
      </c>
      <c r="E268" s="1" t="s">
        <v>76</v>
      </c>
      <c r="F268" s="1" t="s">
        <v>104</v>
      </c>
      <c r="G268" s="1" t="s">
        <v>53</v>
      </c>
      <c r="H268" s="1" t="s">
        <v>25</v>
      </c>
      <c r="I268" s="1" t="s">
        <v>67</v>
      </c>
      <c r="J268" s="1">
        <v>80</v>
      </c>
      <c r="K268" s="1">
        <v>41</v>
      </c>
      <c r="L268" s="1">
        <v>18</v>
      </c>
      <c r="M268" s="1">
        <v>11</v>
      </c>
      <c r="N268" s="17">
        <v>0.40839999999999999</v>
      </c>
      <c r="O268" s="1">
        <v>247</v>
      </c>
      <c r="P268" s="15">
        <v>0.46529999999999999</v>
      </c>
      <c r="Q268" s="1">
        <v>57.6599</v>
      </c>
      <c r="R268" s="1" t="s">
        <v>40</v>
      </c>
      <c r="S268" s="1">
        <v>397.63369999999998</v>
      </c>
      <c r="T268" s="1" t="s">
        <v>28</v>
      </c>
      <c r="U268" s="1" t="s">
        <v>65</v>
      </c>
    </row>
    <row r="269" spans="1:21" x14ac:dyDescent="0.3">
      <c r="A269" s="1" t="s">
        <v>871</v>
      </c>
      <c r="B269" s="2">
        <v>36924</v>
      </c>
      <c r="C269" s="1">
        <v>23</v>
      </c>
      <c r="D269" s="1">
        <v>163</v>
      </c>
      <c r="E269" s="1" t="s">
        <v>76</v>
      </c>
      <c r="F269" s="1" t="s">
        <v>84</v>
      </c>
      <c r="G269" s="1" t="s">
        <v>63</v>
      </c>
      <c r="H269" s="1" t="s">
        <v>54</v>
      </c>
      <c r="I269" s="1" t="s">
        <v>60</v>
      </c>
      <c r="J269" s="1">
        <v>78</v>
      </c>
      <c r="K269" s="1">
        <v>93</v>
      </c>
      <c r="L269" s="1">
        <v>24</v>
      </c>
      <c r="M269" s="1">
        <v>22</v>
      </c>
      <c r="N269" s="17">
        <v>0.2465</v>
      </c>
      <c r="O269" s="1">
        <v>45</v>
      </c>
      <c r="P269" s="15">
        <v>0.59289999999999998</v>
      </c>
      <c r="Q269" s="1">
        <v>116.1613</v>
      </c>
      <c r="R269" s="1" t="s">
        <v>27</v>
      </c>
      <c r="S269" s="1">
        <v>262.49939999999998</v>
      </c>
      <c r="T269" s="1" t="s">
        <v>35</v>
      </c>
      <c r="U269" s="1" t="s">
        <v>65</v>
      </c>
    </row>
    <row r="270" spans="1:21" x14ac:dyDescent="0.3">
      <c r="A270" s="1" t="s">
        <v>872</v>
      </c>
      <c r="B270" s="2">
        <v>37735</v>
      </c>
      <c r="C270" s="1">
        <v>21</v>
      </c>
      <c r="D270" s="1">
        <v>185</v>
      </c>
      <c r="E270" s="1" t="s">
        <v>32</v>
      </c>
      <c r="F270" s="1" t="s">
        <v>69</v>
      </c>
      <c r="G270" s="1" t="s">
        <v>43</v>
      </c>
      <c r="H270" s="1" t="s">
        <v>25</v>
      </c>
      <c r="I270" s="1" t="s">
        <v>88</v>
      </c>
      <c r="J270" s="1">
        <v>31</v>
      </c>
      <c r="K270" s="1">
        <v>32</v>
      </c>
      <c r="L270" s="1">
        <v>22</v>
      </c>
      <c r="M270" s="1">
        <v>40</v>
      </c>
      <c r="N270" s="17">
        <v>0.11840000000000001</v>
      </c>
      <c r="O270" s="1">
        <v>88</v>
      </c>
      <c r="P270" s="15">
        <v>0.48430000000000001</v>
      </c>
      <c r="Q270" s="1">
        <v>35.744100000000003</v>
      </c>
      <c r="R270" s="1" t="s">
        <v>27</v>
      </c>
      <c r="S270" s="1">
        <v>212.70269999999999</v>
      </c>
      <c r="T270" s="1" t="s">
        <v>46</v>
      </c>
      <c r="U270" s="1" t="s">
        <v>29</v>
      </c>
    </row>
    <row r="271" spans="1:21" x14ac:dyDescent="0.3">
      <c r="A271" s="1" t="s">
        <v>873</v>
      </c>
      <c r="B271" s="2">
        <v>37160</v>
      </c>
      <c r="C271" s="1">
        <v>23</v>
      </c>
      <c r="D271" s="1">
        <v>169</v>
      </c>
      <c r="E271" s="1" t="s">
        <v>24</v>
      </c>
      <c r="F271" s="1" t="s">
        <v>75</v>
      </c>
      <c r="G271" s="1" t="s">
        <v>53</v>
      </c>
      <c r="H271" s="1" t="s">
        <v>54</v>
      </c>
      <c r="I271" s="1" t="s">
        <v>70</v>
      </c>
      <c r="J271" s="1">
        <v>76</v>
      </c>
      <c r="K271" s="1">
        <v>52</v>
      </c>
      <c r="L271" s="1">
        <v>12</v>
      </c>
      <c r="M271" s="1">
        <v>63</v>
      </c>
      <c r="N271" s="17">
        <v>0.60899999999999999</v>
      </c>
      <c r="O271" s="1">
        <v>300</v>
      </c>
      <c r="P271" s="15">
        <v>0.5554</v>
      </c>
      <c r="Q271" s="1">
        <v>83.812799999999996</v>
      </c>
      <c r="R271" s="1" t="s">
        <v>45</v>
      </c>
      <c r="S271" s="1">
        <v>503.62439999999998</v>
      </c>
      <c r="T271" s="1" t="s">
        <v>46</v>
      </c>
      <c r="U271" s="1" t="s">
        <v>65</v>
      </c>
    </row>
    <row r="272" spans="1:21" x14ac:dyDescent="0.3">
      <c r="A272" s="1" t="s">
        <v>874</v>
      </c>
      <c r="B272" s="2">
        <v>37876</v>
      </c>
      <c r="C272" s="1">
        <v>21</v>
      </c>
      <c r="D272" s="1">
        <v>179</v>
      </c>
      <c r="E272" s="1" t="s">
        <v>32</v>
      </c>
      <c r="F272" s="1" t="s">
        <v>22</v>
      </c>
      <c r="G272" s="1" t="s">
        <v>23</v>
      </c>
      <c r="H272" s="1" t="s">
        <v>25</v>
      </c>
      <c r="I272" s="1" t="s">
        <v>123</v>
      </c>
      <c r="J272" s="1">
        <v>41</v>
      </c>
      <c r="K272" s="1">
        <v>92</v>
      </c>
      <c r="L272" s="1">
        <v>94</v>
      </c>
      <c r="M272" s="1">
        <v>34</v>
      </c>
      <c r="N272" s="17">
        <v>0.83179999999999998</v>
      </c>
      <c r="O272" s="1">
        <v>55</v>
      </c>
      <c r="P272" s="15">
        <v>0.56330000000000002</v>
      </c>
      <c r="Q272" s="1">
        <v>168.96520000000001</v>
      </c>
      <c r="R272" s="1" t="s">
        <v>40</v>
      </c>
      <c r="S272" s="1">
        <v>317.55509999999998</v>
      </c>
      <c r="T272" s="1" t="s">
        <v>35</v>
      </c>
      <c r="U272" s="1" t="s">
        <v>36</v>
      </c>
    </row>
    <row r="273" spans="1:21" x14ac:dyDescent="0.3">
      <c r="A273" s="1" t="s">
        <v>875</v>
      </c>
      <c r="B273" s="2">
        <v>37312</v>
      </c>
      <c r="C273" s="1">
        <v>22</v>
      </c>
      <c r="D273" s="1">
        <v>184</v>
      </c>
      <c r="E273" s="1" t="s">
        <v>32</v>
      </c>
      <c r="F273" s="1" t="s">
        <v>62</v>
      </c>
      <c r="G273" s="1" t="s">
        <v>63</v>
      </c>
      <c r="H273" s="1" t="s">
        <v>54</v>
      </c>
      <c r="I273" s="1" t="s">
        <v>58</v>
      </c>
      <c r="J273" s="1">
        <v>22</v>
      </c>
      <c r="K273" s="1">
        <v>25</v>
      </c>
      <c r="L273" s="1">
        <v>75</v>
      </c>
      <c r="M273" s="1">
        <v>81</v>
      </c>
      <c r="N273" s="17">
        <v>0.71799999999999997</v>
      </c>
      <c r="O273" s="1">
        <v>293</v>
      </c>
      <c r="P273" s="15">
        <v>0.40250000000000002</v>
      </c>
      <c r="Q273" s="1">
        <v>42.623600000000003</v>
      </c>
      <c r="R273" s="1" t="s">
        <v>34</v>
      </c>
      <c r="S273" s="1">
        <v>497.07049999999998</v>
      </c>
      <c r="T273" s="1" t="s">
        <v>46</v>
      </c>
      <c r="U273" s="1" t="s">
        <v>36</v>
      </c>
    </row>
    <row r="274" spans="1:21" x14ac:dyDescent="0.3">
      <c r="A274" s="1" t="s">
        <v>876</v>
      </c>
      <c r="B274" s="2">
        <v>37435</v>
      </c>
      <c r="C274" s="1">
        <v>22</v>
      </c>
      <c r="D274" s="1">
        <v>165</v>
      </c>
      <c r="E274" s="1" t="s">
        <v>76</v>
      </c>
      <c r="F274" s="1" t="s">
        <v>104</v>
      </c>
      <c r="G274" s="1" t="s">
        <v>53</v>
      </c>
      <c r="H274" s="1" t="s">
        <v>54</v>
      </c>
      <c r="I274" s="1" t="s">
        <v>73</v>
      </c>
      <c r="J274" s="1">
        <v>129</v>
      </c>
      <c r="K274" s="1">
        <v>42</v>
      </c>
      <c r="L274" s="1">
        <v>20</v>
      </c>
      <c r="M274" s="1">
        <v>29</v>
      </c>
      <c r="N274" s="17">
        <v>0.9647</v>
      </c>
      <c r="O274" s="1">
        <v>145</v>
      </c>
      <c r="P274" s="15">
        <v>0.48230000000000001</v>
      </c>
      <c r="Q274" s="1">
        <v>81.927999999999997</v>
      </c>
      <c r="R274" s="1" t="s">
        <v>34</v>
      </c>
      <c r="S274" s="1">
        <v>365.90699999999998</v>
      </c>
      <c r="T274" s="1" t="s">
        <v>35</v>
      </c>
      <c r="U274" s="1" t="s">
        <v>113</v>
      </c>
    </row>
    <row r="275" spans="1:21" x14ac:dyDescent="0.3">
      <c r="A275" s="1" t="s">
        <v>877</v>
      </c>
      <c r="B275" s="2">
        <v>37315</v>
      </c>
      <c r="C275" s="1">
        <v>22</v>
      </c>
      <c r="D275" s="1">
        <v>163</v>
      </c>
      <c r="E275" s="1" t="s">
        <v>76</v>
      </c>
      <c r="F275" s="1" t="s">
        <v>109</v>
      </c>
      <c r="G275" s="1" t="s">
        <v>63</v>
      </c>
      <c r="H275" s="1" t="s">
        <v>54</v>
      </c>
      <c r="I275" s="1" t="s">
        <v>58</v>
      </c>
      <c r="J275" s="1">
        <v>58</v>
      </c>
      <c r="K275" s="1">
        <v>34</v>
      </c>
      <c r="L275" s="1">
        <v>77</v>
      </c>
      <c r="M275" s="1">
        <v>98</v>
      </c>
      <c r="N275" s="17">
        <v>0.41489999999999999</v>
      </c>
      <c r="O275" s="1">
        <v>268</v>
      </c>
      <c r="P275" s="15">
        <v>0.47660000000000002</v>
      </c>
      <c r="Q275" s="1">
        <v>48.7575</v>
      </c>
      <c r="R275" s="1" t="s">
        <v>27</v>
      </c>
      <c r="S275" s="1">
        <v>537.04150000000004</v>
      </c>
      <c r="T275" s="1" t="s">
        <v>28</v>
      </c>
      <c r="U275" s="1" t="s">
        <v>36</v>
      </c>
    </row>
    <row r="276" spans="1:21" x14ac:dyDescent="0.3">
      <c r="A276" s="1" t="s">
        <v>878</v>
      </c>
      <c r="B276" s="2">
        <v>36966</v>
      </c>
      <c r="C276" s="1">
        <v>23</v>
      </c>
      <c r="D276" s="1">
        <v>169</v>
      </c>
      <c r="E276" s="1" t="s">
        <v>24</v>
      </c>
      <c r="F276" s="1" t="s">
        <v>69</v>
      </c>
      <c r="G276" s="1" t="s">
        <v>43</v>
      </c>
      <c r="H276" s="1" t="s">
        <v>25</v>
      </c>
      <c r="I276" s="1" t="s">
        <v>60</v>
      </c>
      <c r="J276" s="1">
        <v>47</v>
      </c>
      <c r="K276" s="1">
        <v>30</v>
      </c>
      <c r="L276" s="1">
        <v>40</v>
      </c>
      <c r="M276" s="1">
        <v>65</v>
      </c>
      <c r="N276" s="17">
        <v>0.2054</v>
      </c>
      <c r="O276" s="1">
        <v>92</v>
      </c>
      <c r="P276" s="15">
        <v>0.5595</v>
      </c>
      <c r="Q276" s="1">
        <v>35.6678</v>
      </c>
      <c r="R276" s="1" t="s">
        <v>40</v>
      </c>
      <c r="S276" s="1">
        <v>273.30489999999998</v>
      </c>
      <c r="T276" s="1" t="s">
        <v>28</v>
      </c>
      <c r="U276" s="1" t="s">
        <v>102</v>
      </c>
    </row>
    <row r="277" spans="1:21" x14ac:dyDescent="0.3">
      <c r="A277" s="1" t="s">
        <v>879</v>
      </c>
      <c r="B277" s="2">
        <v>37231</v>
      </c>
      <c r="C277" s="1">
        <v>23</v>
      </c>
      <c r="D277" s="1">
        <v>173</v>
      </c>
      <c r="E277" s="1" t="s">
        <v>24</v>
      </c>
      <c r="F277" s="1" t="s">
        <v>84</v>
      </c>
      <c r="G277" s="1" t="s">
        <v>63</v>
      </c>
      <c r="H277" s="1" t="s">
        <v>25</v>
      </c>
      <c r="I277" s="1" t="s">
        <v>123</v>
      </c>
      <c r="J277" s="1">
        <v>42</v>
      </c>
      <c r="K277" s="1">
        <v>99</v>
      </c>
      <c r="L277" s="1">
        <v>23</v>
      </c>
      <c r="M277" s="1">
        <v>36</v>
      </c>
      <c r="N277" s="17">
        <v>0.66720000000000002</v>
      </c>
      <c r="O277" s="1">
        <v>229</v>
      </c>
      <c r="P277" s="15">
        <v>0.67159999999999997</v>
      </c>
      <c r="Q277" s="1">
        <v>164.66929999999999</v>
      </c>
      <c r="R277" s="1" t="s">
        <v>40</v>
      </c>
      <c r="S277" s="1">
        <v>430.36880000000002</v>
      </c>
      <c r="T277" s="1" t="s">
        <v>35</v>
      </c>
      <c r="U277" s="1" t="s">
        <v>56</v>
      </c>
    </row>
    <row r="278" spans="1:21" x14ac:dyDescent="0.3">
      <c r="A278" s="1" t="s">
        <v>880</v>
      </c>
      <c r="B278" s="2">
        <v>37706</v>
      </c>
      <c r="C278" s="1">
        <v>21</v>
      </c>
      <c r="D278" s="1">
        <v>182</v>
      </c>
      <c r="E278" s="1" t="s">
        <v>32</v>
      </c>
      <c r="F278" s="1" t="s">
        <v>104</v>
      </c>
      <c r="G278" s="1" t="s">
        <v>53</v>
      </c>
      <c r="H278" s="1" t="s">
        <v>54</v>
      </c>
      <c r="I278" s="1" t="s">
        <v>85</v>
      </c>
      <c r="J278" s="1">
        <v>1</v>
      </c>
      <c r="K278" s="1">
        <v>99</v>
      </c>
      <c r="L278" s="1">
        <v>46</v>
      </c>
      <c r="M278" s="1">
        <v>65</v>
      </c>
      <c r="N278" s="17">
        <v>0.21640000000000001</v>
      </c>
      <c r="O278" s="1">
        <v>178</v>
      </c>
      <c r="P278" s="15">
        <v>0.80530000000000002</v>
      </c>
      <c r="Q278" s="1">
        <v>120.7642</v>
      </c>
      <c r="R278" s="1" t="s">
        <v>40</v>
      </c>
      <c r="S278" s="1">
        <v>390.35169999999999</v>
      </c>
      <c r="T278" s="1" t="s">
        <v>35</v>
      </c>
      <c r="U278" s="1" t="s">
        <v>29</v>
      </c>
    </row>
    <row r="279" spans="1:21" x14ac:dyDescent="0.3">
      <c r="A279" s="1" t="s">
        <v>881</v>
      </c>
      <c r="B279" s="2">
        <v>37293</v>
      </c>
      <c r="C279" s="1">
        <v>22</v>
      </c>
      <c r="D279" s="1">
        <v>183</v>
      </c>
      <c r="E279" s="1" t="s">
        <v>32</v>
      </c>
      <c r="F279" s="1" t="s">
        <v>79</v>
      </c>
      <c r="G279" s="1" t="s">
        <v>43</v>
      </c>
      <c r="H279" s="1" t="s">
        <v>54</v>
      </c>
      <c r="I279" s="1" t="s">
        <v>101</v>
      </c>
      <c r="J279" s="1">
        <v>44</v>
      </c>
      <c r="K279" s="1">
        <v>86</v>
      </c>
      <c r="L279" s="1">
        <v>43</v>
      </c>
      <c r="M279" s="1">
        <v>88</v>
      </c>
      <c r="N279" s="17">
        <v>0.4128</v>
      </c>
      <c r="O279" s="1">
        <v>126</v>
      </c>
      <c r="P279" s="15">
        <v>0.46360000000000001</v>
      </c>
      <c r="Q279" s="1">
        <v>121.7551</v>
      </c>
      <c r="R279" s="1" t="s">
        <v>40</v>
      </c>
      <c r="S279" s="1">
        <v>388.32639999999998</v>
      </c>
      <c r="T279" s="1" t="s">
        <v>28</v>
      </c>
      <c r="U279" s="1" t="s">
        <v>102</v>
      </c>
    </row>
    <row r="280" spans="1:21" x14ac:dyDescent="0.3">
      <c r="A280" s="1" t="s">
        <v>882</v>
      </c>
      <c r="B280" s="2">
        <v>37967</v>
      </c>
      <c r="C280" s="1">
        <v>21</v>
      </c>
      <c r="D280" s="1">
        <v>181</v>
      </c>
      <c r="E280" s="1" t="s">
        <v>32</v>
      </c>
      <c r="F280" s="1" t="s">
        <v>52</v>
      </c>
      <c r="G280" s="1" t="s">
        <v>53</v>
      </c>
      <c r="H280" s="1" t="s">
        <v>25</v>
      </c>
      <c r="I280" s="1" t="s">
        <v>96</v>
      </c>
      <c r="J280" s="1">
        <v>130</v>
      </c>
      <c r="K280" s="1">
        <v>46</v>
      </c>
      <c r="L280" s="1">
        <v>91</v>
      </c>
      <c r="M280" s="1">
        <v>3</v>
      </c>
      <c r="N280" s="17">
        <v>0.92810000000000004</v>
      </c>
      <c r="O280" s="1">
        <v>46</v>
      </c>
      <c r="P280" s="15">
        <v>0.74080000000000001</v>
      </c>
      <c r="Q280" s="1">
        <v>89.193899999999999</v>
      </c>
      <c r="R280" s="1" t="s">
        <v>40</v>
      </c>
      <c r="S280" s="1">
        <v>319.03890000000001</v>
      </c>
      <c r="T280" s="1" t="s">
        <v>46</v>
      </c>
      <c r="U280" s="1" t="s">
        <v>65</v>
      </c>
    </row>
    <row r="281" spans="1:21" x14ac:dyDescent="0.3">
      <c r="A281" s="1" t="s">
        <v>883</v>
      </c>
      <c r="B281" s="2">
        <v>37099</v>
      </c>
      <c r="C281" s="1">
        <v>23</v>
      </c>
      <c r="D281" s="1">
        <v>176</v>
      </c>
      <c r="E281" s="1" t="s">
        <v>32</v>
      </c>
      <c r="F281" s="1" t="s">
        <v>62</v>
      </c>
      <c r="G281" s="1" t="s">
        <v>63</v>
      </c>
      <c r="H281" s="1" t="s">
        <v>25</v>
      </c>
      <c r="I281" s="1" t="s">
        <v>92</v>
      </c>
      <c r="J281" s="1">
        <v>96</v>
      </c>
      <c r="K281" s="1">
        <v>32</v>
      </c>
      <c r="L281" s="1">
        <v>64</v>
      </c>
      <c r="M281" s="1">
        <v>93</v>
      </c>
      <c r="N281" s="17">
        <v>0.18590000000000001</v>
      </c>
      <c r="O281" s="1">
        <v>185</v>
      </c>
      <c r="P281" s="15">
        <v>0.81730000000000003</v>
      </c>
      <c r="Q281" s="1">
        <v>37.379600000000003</v>
      </c>
      <c r="R281" s="1" t="s">
        <v>40</v>
      </c>
      <c r="S281" s="1">
        <v>470.60320000000002</v>
      </c>
      <c r="T281" s="1" t="s">
        <v>35</v>
      </c>
      <c r="U281" s="1" t="s">
        <v>65</v>
      </c>
    </row>
    <row r="282" spans="1:21" x14ac:dyDescent="0.3">
      <c r="A282" s="1" t="s">
        <v>884</v>
      </c>
      <c r="B282" s="2">
        <v>37658</v>
      </c>
      <c r="C282" s="1">
        <v>21</v>
      </c>
      <c r="D282" s="1">
        <v>163</v>
      </c>
      <c r="E282" s="1" t="s">
        <v>76</v>
      </c>
      <c r="F282" s="1" t="s">
        <v>38</v>
      </c>
      <c r="G282" s="1" t="s">
        <v>23</v>
      </c>
      <c r="H282" s="1" t="s">
        <v>25</v>
      </c>
      <c r="I282" s="1" t="s">
        <v>90</v>
      </c>
      <c r="J282" s="1">
        <v>42</v>
      </c>
      <c r="K282" s="1">
        <v>33</v>
      </c>
      <c r="L282" s="1">
        <v>32</v>
      </c>
      <c r="M282" s="1">
        <v>52</v>
      </c>
      <c r="N282" s="17">
        <v>0.14280000000000001</v>
      </c>
      <c r="O282" s="1">
        <v>101</v>
      </c>
      <c r="P282" s="15">
        <v>0.65139999999999998</v>
      </c>
      <c r="Q282" s="1">
        <v>37.918100000000003</v>
      </c>
      <c r="R282" s="1" t="s">
        <v>40</v>
      </c>
      <c r="S282" s="1">
        <v>260.99419999999998</v>
      </c>
      <c r="T282" s="1" t="s">
        <v>28</v>
      </c>
      <c r="U282" s="1" t="s">
        <v>29</v>
      </c>
    </row>
    <row r="283" spans="1:21" x14ac:dyDescent="0.3">
      <c r="A283" s="1" t="s">
        <v>885</v>
      </c>
      <c r="B283" s="2">
        <v>37187</v>
      </c>
      <c r="C283" s="1">
        <v>23</v>
      </c>
      <c r="D283" s="1">
        <v>164</v>
      </c>
      <c r="E283" s="1" t="s">
        <v>76</v>
      </c>
      <c r="F283" s="1" t="s">
        <v>109</v>
      </c>
      <c r="G283" s="1" t="s">
        <v>63</v>
      </c>
      <c r="H283" s="1" t="s">
        <v>25</v>
      </c>
      <c r="I283" s="1" t="s">
        <v>67</v>
      </c>
      <c r="J283" s="1">
        <v>90</v>
      </c>
      <c r="K283" s="1">
        <v>57</v>
      </c>
      <c r="L283" s="1">
        <v>93</v>
      </c>
      <c r="M283" s="1">
        <v>28</v>
      </c>
      <c r="N283" s="17">
        <v>0.79559999999999997</v>
      </c>
      <c r="O283" s="1">
        <v>207</v>
      </c>
      <c r="P283" s="15">
        <v>0.74790000000000001</v>
      </c>
      <c r="Q283" s="1">
        <v>101.82850000000001</v>
      </c>
      <c r="R283" s="1" t="s">
        <v>40</v>
      </c>
      <c r="S283" s="1">
        <v>476.09350000000001</v>
      </c>
      <c r="T283" s="1" t="s">
        <v>35</v>
      </c>
      <c r="U283" s="1" t="s">
        <v>29</v>
      </c>
    </row>
    <row r="284" spans="1:21" x14ac:dyDescent="0.3">
      <c r="A284" s="1" t="s">
        <v>886</v>
      </c>
      <c r="B284" s="2">
        <v>37141</v>
      </c>
      <c r="C284" s="1">
        <v>23</v>
      </c>
      <c r="D284" s="1">
        <v>171</v>
      </c>
      <c r="E284" s="1" t="s">
        <v>24</v>
      </c>
      <c r="F284" s="1" t="s">
        <v>84</v>
      </c>
      <c r="G284" s="1" t="s">
        <v>63</v>
      </c>
      <c r="H284" s="1" t="s">
        <v>25</v>
      </c>
      <c r="I284" s="1" t="s">
        <v>50</v>
      </c>
      <c r="J284" s="1">
        <v>47</v>
      </c>
      <c r="K284" s="1">
        <v>14</v>
      </c>
      <c r="L284" s="1">
        <v>16</v>
      </c>
      <c r="M284" s="1">
        <v>6</v>
      </c>
      <c r="N284" s="17">
        <v>0.3916</v>
      </c>
      <c r="O284" s="1">
        <v>371</v>
      </c>
      <c r="P284" s="15">
        <v>0.68669999999999998</v>
      </c>
      <c r="Q284" s="1">
        <v>19.218</v>
      </c>
      <c r="R284" s="1" t="s">
        <v>40</v>
      </c>
      <c r="S284" s="1">
        <v>453.37830000000002</v>
      </c>
      <c r="T284" s="1" t="s">
        <v>28</v>
      </c>
      <c r="U284" s="1" t="s">
        <v>102</v>
      </c>
    </row>
    <row r="285" spans="1:21" x14ac:dyDescent="0.3">
      <c r="A285" s="1" t="s">
        <v>887</v>
      </c>
      <c r="B285" s="2">
        <v>37630</v>
      </c>
      <c r="C285" s="1">
        <v>21</v>
      </c>
      <c r="D285" s="1">
        <v>180</v>
      </c>
      <c r="E285" s="1" t="s">
        <v>32</v>
      </c>
      <c r="F285" s="1" t="s">
        <v>72</v>
      </c>
      <c r="G285" s="1" t="s">
        <v>53</v>
      </c>
      <c r="H285" s="1" t="s">
        <v>54</v>
      </c>
      <c r="I285" s="1" t="s">
        <v>55</v>
      </c>
      <c r="J285" s="1">
        <v>71</v>
      </c>
      <c r="K285" s="1">
        <v>48</v>
      </c>
      <c r="L285" s="1">
        <v>34</v>
      </c>
      <c r="M285" s="1">
        <v>20</v>
      </c>
      <c r="N285" s="17">
        <v>0.3407</v>
      </c>
      <c r="O285" s="1">
        <v>372</v>
      </c>
      <c r="P285" s="15">
        <v>0.84209999999999996</v>
      </c>
      <c r="Q285" s="1">
        <v>63.9514</v>
      </c>
      <c r="R285" s="1" t="s">
        <v>45</v>
      </c>
      <c r="S285" s="1">
        <v>545.82280000000003</v>
      </c>
      <c r="T285" s="1" t="s">
        <v>46</v>
      </c>
      <c r="U285" s="1" t="s">
        <v>113</v>
      </c>
    </row>
    <row r="286" spans="1:21" x14ac:dyDescent="0.3">
      <c r="A286" s="1" t="s">
        <v>888</v>
      </c>
      <c r="B286" s="2">
        <v>37087</v>
      </c>
      <c r="C286" s="1">
        <v>23</v>
      </c>
      <c r="D286" s="1">
        <v>161</v>
      </c>
      <c r="E286" s="1" t="s">
        <v>76</v>
      </c>
      <c r="F286" s="1" t="s">
        <v>72</v>
      </c>
      <c r="G286" s="1" t="s">
        <v>53</v>
      </c>
      <c r="H286" s="1" t="s">
        <v>25</v>
      </c>
      <c r="I286" s="1" t="s">
        <v>123</v>
      </c>
      <c r="J286" s="1">
        <v>89</v>
      </c>
      <c r="K286" s="1">
        <v>93</v>
      </c>
      <c r="L286" s="1">
        <v>76</v>
      </c>
      <c r="M286" s="1">
        <v>17</v>
      </c>
      <c r="N286" s="17">
        <v>0.16370000000000001</v>
      </c>
      <c r="O286" s="1">
        <v>393</v>
      </c>
      <c r="P286" s="15">
        <v>0.51080000000000003</v>
      </c>
      <c r="Q286" s="1">
        <v>108.41030000000001</v>
      </c>
      <c r="R286" s="1" t="s">
        <v>45</v>
      </c>
      <c r="S286" s="1">
        <v>668.46450000000004</v>
      </c>
      <c r="T286" s="1" t="s">
        <v>35</v>
      </c>
      <c r="U286" s="1" t="s">
        <v>47</v>
      </c>
    </row>
    <row r="287" spans="1:21" x14ac:dyDescent="0.3">
      <c r="A287" s="1" t="s">
        <v>889</v>
      </c>
      <c r="B287" s="2">
        <v>37408</v>
      </c>
      <c r="C287" s="1">
        <v>22</v>
      </c>
      <c r="D287" s="1">
        <v>181</v>
      </c>
      <c r="E287" s="1" t="s">
        <v>32</v>
      </c>
      <c r="F287" s="1" t="s">
        <v>75</v>
      </c>
      <c r="G287" s="1" t="s">
        <v>53</v>
      </c>
      <c r="H287" s="1" t="s">
        <v>25</v>
      </c>
      <c r="I287" s="1" t="s">
        <v>82</v>
      </c>
      <c r="J287" s="1">
        <v>61</v>
      </c>
      <c r="K287" s="1">
        <v>71</v>
      </c>
      <c r="L287" s="1">
        <v>8</v>
      </c>
      <c r="M287" s="1">
        <v>46</v>
      </c>
      <c r="N287" s="17">
        <v>0.43880000000000002</v>
      </c>
      <c r="O287" s="1">
        <v>255</v>
      </c>
      <c r="P287" s="15">
        <v>0.63460000000000005</v>
      </c>
      <c r="Q287" s="1">
        <v>101.7088</v>
      </c>
      <c r="R287" s="1" t="s">
        <v>40</v>
      </c>
      <c r="S287" s="1">
        <v>441.24340000000001</v>
      </c>
      <c r="T287" s="1" t="s">
        <v>35</v>
      </c>
      <c r="U287" s="1" t="s">
        <v>102</v>
      </c>
    </row>
    <row r="288" spans="1:21" x14ac:dyDescent="0.3">
      <c r="A288" s="1" t="s">
        <v>890</v>
      </c>
      <c r="B288" s="2">
        <v>37491</v>
      </c>
      <c r="C288" s="1">
        <v>22</v>
      </c>
      <c r="D288" s="1">
        <v>185</v>
      </c>
      <c r="E288" s="1" t="s">
        <v>32</v>
      </c>
      <c r="F288" s="1" t="s">
        <v>72</v>
      </c>
      <c r="G288" s="1" t="s">
        <v>53</v>
      </c>
      <c r="H288" s="1" t="s">
        <v>54</v>
      </c>
      <c r="I288" s="1" t="s">
        <v>82</v>
      </c>
      <c r="J288" s="1">
        <v>108</v>
      </c>
      <c r="K288" s="1">
        <v>4</v>
      </c>
      <c r="L288" s="1">
        <v>18</v>
      </c>
      <c r="M288" s="1">
        <v>51</v>
      </c>
      <c r="N288" s="17">
        <v>0.7016</v>
      </c>
      <c r="O288" s="1">
        <v>199</v>
      </c>
      <c r="P288" s="15">
        <v>0.5151</v>
      </c>
      <c r="Q288" s="1">
        <v>6.5340999999999996</v>
      </c>
      <c r="R288" s="1" t="s">
        <v>40</v>
      </c>
      <c r="S288" s="1">
        <v>380.92669999999998</v>
      </c>
      <c r="T288" s="1" t="s">
        <v>28</v>
      </c>
      <c r="U288" s="1" t="s">
        <v>102</v>
      </c>
    </row>
    <row r="289" spans="1:21" x14ac:dyDescent="0.3">
      <c r="A289" s="1" t="s">
        <v>891</v>
      </c>
      <c r="B289" s="2">
        <v>37767</v>
      </c>
      <c r="C289" s="1">
        <v>21</v>
      </c>
      <c r="D289" s="1">
        <v>178</v>
      </c>
      <c r="E289" s="1" t="s">
        <v>32</v>
      </c>
      <c r="F289" s="1" t="s">
        <v>22</v>
      </c>
      <c r="G289" s="1" t="s">
        <v>23</v>
      </c>
      <c r="H289" s="1" t="s">
        <v>54</v>
      </c>
      <c r="I289" s="1" t="s">
        <v>82</v>
      </c>
      <c r="J289" s="1">
        <v>63</v>
      </c>
      <c r="K289" s="1">
        <v>100</v>
      </c>
      <c r="L289" s="1">
        <v>16</v>
      </c>
      <c r="M289" s="1">
        <v>88</v>
      </c>
      <c r="N289" s="17">
        <v>0.85809999999999997</v>
      </c>
      <c r="O289" s="1">
        <v>60</v>
      </c>
      <c r="P289" s="15">
        <v>0.66900000000000004</v>
      </c>
      <c r="Q289" s="1">
        <v>184.8809</v>
      </c>
      <c r="R289" s="1" t="s">
        <v>40</v>
      </c>
      <c r="S289" s="1">
        <v>327.4271</v>
      </c>
      <c r="T289" s="1" t="s">
        <v>28</v>
      </c>
      <c r="U289" s="1" t="s">
        <v>65</v>
      </c>
    </row>
    <row r="290" spans="1:21" x14ac:dyDescent="0.3">
      <c r="A290" s="1" t="s">
        <v>892</v>
      </c>
      <c r="B290" s="2">
        <v>36969</v>
      </c>
      <c r="C290" s="1">
        <v>23</v>
      </c>
      <c r="D290" s="1">
        <v>168</v>
      </c>
      <c r="E290" s="1" t="s">
        <v>24</v>
      </c>
      <c r="F290" s="1" t="s">
        <v>31</v>
      </c>
      <c r="G290" s="1" t="s">
        <v>23</v>
      </c>
      <c r="H290" s="1" t="s">
        <v>25</v>
      </c>
      <c r="I290" s="1" t="s">
        <v>96</v>
      </c>
      <c r="J290" s="1">
        <v>125</v>
      </c>
      <c r="K290" s="1">
        <v>71</v>
      </c>
      <c r="L290" s="1">
        <v>79</v>
      </c>
      <c r="M290" s="1">
        <v>80</v>
      </c>
      <c r="N290" s="17">
        <v>0.54649999999999999</v>
      </c>
      <c r="O290" s="1">
        <v>12</v>
      </c>
      <c r="P290" s="15">
        <v>0.79400000000000004</v>
      </c>
      <c r="Q290" s="1">
        <v>110.018</v>
      </c>
      <c r="R290" s="1" t="s">
        <v>45</v>
      </c>
      <c r="S290" s="1">
        <v>368.85050000000001</v>
      </c>
      <c r="T290" s="1" t="s">
        <v>46</v>
      </c>
      <c r="U290" s="1" t="s">
        <v>47</v>
      </c>
    </row>
    <row r="291" spans="1:21" x14ac:dyDescent="0.3">
      <c r="A291" s="1" t="s">
        <v>893</v>
      </c>
      <c r="B291" s="2">
        <v>37209</v>
      </c>
      <c r="C291" s="1">
        <v>23</v>
      </c>
      <c r="D291" s="1">
        <v>180</v>
      </c>
      <c r="E291" s="1" t="s">
        <v>32</v>
      </c>
      <c r="F291" s="1" t="s">
        <v>104</v>
      </c>
      <c r="G291" s="1" t="s">
        <v>53</v>
      </c>
      <c r="H291" s="1" t="s">
        <v>25</v>
      </c>
      <c r="I291" s="1" t="s">
        <v>105</v>
      </c>
      <c r="J291" s="1">
        <v>101</v>
      </c>
      <c r="K291" s="1">
        <v>30</v>
      </c>
      <c r="L291" s="1">
        <v>45</v>
      </c>
      <c r="M291" s="1">
        <v>99</v>
      </c>
      <c r="N291" s="17">
        <v>0.57030000000000003</v>
      </c>
      <c r="O291" s="1">
        <v>147</v>
      </c>
      <c r="P291" s="15">
        <v>0.82469999999999999</v>
      </c>
      <c r="Q291" s="1">
        <v>47.784199999999998</v>
      </c>
      <c r="R291" s="1" t="s">
        <v>34</v>
      </c>
      <c r="S291" s="1">
        <v>424.11500000000001</v>
      </c>
      <c r="T291" s="1" t="s">
        <v>28</v>
      </c>
      <c r="U291" s="1" t="s">
        <v>36</v>
      </c>
    </row>
    <row r="292" spans="1:21" x14ac:dyDescent="0.3">
      <c r="A292" s="1" t="s">
        <v>894</v>
      </c>
      <c r="B292" s="2">
        <v>37178</v>
      </c>
      <c r="C292" s="1">
        <v>23</v>
      </c>
      <c r="D292" s="1">
        <v>185</v>
      </c>
      <c r="E292" s="1" t="s">
        <v>32</v>
      </c>
      <c r="F292" s="1" t="s">
        <v>49</v>
      </c>
      <c r="G292" s="1" t="s">
        <v>43</v>
      </c>
      <c r="H292" s="1" t="s">
        <v>25</v>
      </c>
      <c r="I292" s="1" t="s">
        <v>67</v>
      </c>
      <c r="J292" s="1">
        <v>65</v>
      </c>
      <c r="K292" s="1">
        <v>71</v>
      </c>
      <c r="L292" s="1">
        <v>61</v>
      </c>
      <c r="M292" s="1">
        <v>74</v>
      </c>
      <c r="N292" s="17">
        <v>0.42849999999999999</v>
      </c>
      <c r="O292" s="1">
        <v>267</v>
      </c>
      <c r="P292" s="15">
        <v>0.71970000000000001</v>
      </c>
      <c r="Q292" s="1">
        <v>101.1378</v>
      </c>
      <c r="R292" s="1" t="s">
        <v>45</v>
      </c>
      <c r="S292" s="1">
        <v>537.69820000000004</v>
      </c>
      <c r="T292" s="1" t="s">
        <v>46</v>
      </c>
      <c r="U292" s="1" t="s">
        <v>56</v>
      </c>
    </row>
    <row r="293" spans="1:21" x14ac:dyDescent="0.3">
      <c r="A293" s="1" t="s">
        <v>895</v>
      </c>
      <c r="B293" s="2">
        <v>37322</v>
      </c>
      <c r="C293" s="1">
        <v>22</v>
      </c>
      <c r="D293" s="1">
        <v>168</v>
      </c>
      <c r="E293" s="1" t="s">
        <v>24</v>
      </c>
      <c r="F293" s="1" t="s">
        <v>49</v>
      </c>
      <c r="G293" s="1" t="s">
        <v>43</v>
      </c>
      <c r="H293" s="1" t="s">
        <v>25</v>
      </c>
      <c r="I293" s="1" t="s">
        <v>88</v>
      </c>
      <c r="J293" s="1">
        <v>32</v>
      </c>
      <c r="K293" s="1">
        <v>81</v>
      </c>
      <c r="L293" s="1">
        <v>48</v>
      </c>
      <c r="M293" s="1">
        <v>40</v>
      </c>
      <c r="N293" s="17">
        <v>0.75800000000000001</v>
      </c>
      <c r="O293" s="1">
        <v>315</v>
      </c>
      <c r="P293" s="15">
        <v>0.41610000000000003</v>
      </c>
      <c r="Q293" s="1">
        <v>141.8706</v>
      </c>
      <c r="R293" s="1" t="s">
        <v>45</v>
      </c>
      <c r="S293" s="1">
        <v>516.44410000000005</v>
      </c>
      <c r="T293" s="1" t="s">
        <v>28</v>
      </c>
      <c r="U293" s="1" t="s">
        <v>29</v>
      </c>
    </row>
    <row r="294" spans="1:21" x14ac:dyDescent="0.3">
      <c r="A294" s="1" t="s">
        <v>896</v>
      </c>
      <c r="B294" s="2">
        <v>37295</v>
      </c>
      <c r="C294" s="1">
        <v>22</v>
      </c>
      <c r="D294" s="1">
        <v>171</v>
      </c>
      <c r="E294" s="1" t="s">
        <v>24</v>
      </c>
      <c r="F294" s="1" t="s">
        <v>79</v>
      </c>
      <c r="G294" s="1" t="s">
        <v>43</v>
      </c>
      <c r="H294" s="1" t="s">
        <v>25</v>
      </c>
      <c r="I294" s="1" t="s">
        <v>112</v>
      </c>
      <c r="J294" s="1">
        <v>5</v>
      </c>
      <c r="K294" s="1">
        <v>42</v>
      </c>
      <c r="L294" s="1">
        <v>10</v>
      </c>
      <c r="M294" s="1">
        <v>35</v>
      </c>
      <c r="N294" s="17">
        <v>0.78539999999999999</v>
      </c>
      <c r="O294" s="1">
        <v>50</v>
      </c>
      <c r="P294" s="15">
        <v>0.4844</v>
      </c>
      <c r="Q294" s="1">
        <v>75.825900000000004</v>
      </c>
      <c r="R294" s="1" t="s">
        <v>34</v>
      </c>
      <c r="S294" s="1">
        <v>143.63980000000001</v>
      </c>
      <c r="T294" s="1" t="s">
        <v>46</v>
      </c>
      <c r="U294" s="1" t="s">
        <v>29</v>
      </c>
    </row>
    <row r="295" spans="1:21" x14ac:dyDescent="0.3">
      <c r="A295" s="1" t="s">
        <v>897</v>
      </c>
      <c r="B295" s="2">
        <v>37461</v>
      </c>
      <c r="C295" s="1">
        <v>22</v>
      </c>
      <c r="D295" s="1">
        <v>179</v>
      </c>
      <c r="E295" s="1" t="s">
        <v>32</v>
      </c>
      <c r="F295" s="1" t="s">
        <v>52</v>
      </c>
      <c r="G295" s="1" t="s">
        <v>53</v>
      </c>
      <c r="H295" s="1" t="s">
        <v>54</v>
      </c>
      <c r="I295" s="1" t="s">
        <v>85</v>
      </c>
      <c r="J295" s="1">
        <v>80</v>
      </c>
      <c r="K295" s="1">
        <v>64</v>
      </c>
      <c r="L295" s="1">
        <v>37</v>
      </c>
      <c r="M295" s="1">
        <v>60</v>
      </c>
      <c r="N295" s="17">
        <v>0.98370000000000002</v>
      </c>
      <c r="O295" s="1">
        <v>104</v>
      </c>
      <c r="P295" s="15">
        <v>0.61019999999999996</v>
      </c>
      <c r="Q295" s="1">
        <v>126.57989999999999</v>
      </c>
      <c r="R295" s="1" t="s">
        <v>45</v>
      </c>
      <c r="S295" s="1">
        <v>346.35390000000001</v>
      </c>
      <c r="T295" s="1" t="s">
        <v>46</v>
      </c>
      <c r="U295" s="1" t="s">
        <v>65</v>
      </c>
    </row>
    <row r="296" spans="1:21" x14ac:dyDescent="0.3">
      <c r="A296" s="1" t="s">
        <v>898</v>
      </c>
      <c r="B296" s="2">
        <v>37896</v>
      </c>
      <c r="C296" s="1">
        <v>21</v>
      </c>
      <c r="D296" s="1">
        <v>168</v>
      </c>
      <c r="E296" s="1" t="s">
        <v>24</v>
      </c>
      <c r="F296" s="1" t="s">
        <v>75</v>
      </c>
      <c r="G296" s="1" t="s">
        <v>53</v>
      </c>
      <c r="H296" s="1" t="s">
        <v>25</v>
      </c>
      <c r="I296" s="1" t="s">
        <v>67</v>
      </c>
      <c r="J296" s="1">
        <v>17</v>
      </c>
      <c r="K296" s="1">
        <v>52</v>
      </c>
      <c r="L296" s="1">
        <v>34</v>
      </c>
      <c r="M296" s="1">
        <v>65</v>
      </c>
      <c r="N296" s="17">
        <v>0.3891</v>
      </c>
      <c r="O296" s="1">
        <v>339</v>
      </c>
      <c r="P296" s="15">
        <v>0.41260000000000002</v>
      </c>
      <c r="Q296" s="1">
        <v>71.997100000000003</v>
      </c>
      <c r="R296" s="1" t="s">
        <v>27</v>
      </c>
      <c r="S296" s="1">
        <v>506.64170000000001</v>
      </c>
      <c r="T296" s="1" t="s">
        <v>46</v>
      </c>
      <c r="U296" s="1" t="s">
        <v>47</v>
      </c>
    </row>
    <row r="297" spans="1:21" x14ac:dyDescent="0.3">
      <c r="A297" s="1" t="s">
        <v>899</v>
      </c>
      <c r="B297" s="2">
        <v>37870</v>
      </c>
      <c r="C297" s="1">
        <v>21</v>
      </c>
      <c r="D297" s="1">
        <v>178</v>
      </c>
      <c r="E297" s="1" t="s">
        <v>32</v>
      </c>
      <c r="F297" s="1" t="s">
        <v>49</v>
      </c>
      <c r="G297" s="1" t="s">
        <v>43</v>
      </c>
      <c r="H297" s="1" t="s">
        <v>54</v>
      </c>
      <c r="I297" s="1" t="s">
        <v>96</v>
      </c>
      <c r="J297" s="1">
        <v>53</v>
      </c>
      <c r="K297" s="1">
        <v>19</v>
      </c>
      <c r="L297" s="1">
        <v>85</v>
      </c>
      <c r="M297" s="1">
        <v>40</v>
      </c>
      <c r="N297" s="17">
        <v>0.34029999999999999</v>
      </c>
      <c r="O297" s="1">
        <v>11</v>
      </c>
      <c r="P297" s="15">
        <v>0.79149999999999998</v>
      </c>
      <c r="Q297" s="1">
        <v>25.345099999999999</v>
      </c>
      <c r="R297" s="1" t="s">
        <v>27</v>
      </c>
      <c r="S297" s="1">
        <v>208.89179999999999</v>
      </c>
      <c r="T297" s="1" t="s">
        <v>35</v>
      </c>
      <c r="U297" s="1" t="s">
        <v>47</v>
      </c>
    </row>
    <row r="298" spans="1:21" x14ac:dyDescent="0.3">
      <c r="A298" s="1" t="s">
        <v>900</v>
      </c>
      <c r="B298" s="2">
        <v>37076</v>
      </c>
      <c r="C298" s="1">
        <v>23</v>
      </c>
      <c r="D298" s="1">
        <v>178</v>
      </c>
      <c r="E298" s="1" t="s">
        <v>32</v>
      </c>
      <c r="F298" s="1" t="s">
        <v>38</v>
      </c>
      <c r="G298" s="1" t="s">
        <v>23</v>
      </c>
      <c r="H298" s="1" t="s">
        <v>25</v>
      </c>
      <c r="I298" s="1" t="s">
        <v>121</v>
      </c>
      <c r="J298" s="1">
        <v>77</v>
      </c>
      <c r="K298" s="1">
        <v>34</v>
      </c>
      <c r="L298" s="1">
        <v>15</v>
      </c>
      <c r="M298" s="1">
        <v>43</v>
      </c>
      <c r="N298" s="17">
        <v>0.96799999999999997</v>
      </c>
      <c r="O298" s="1">
        <v>98</v>
      </c>
      <c r="P298" s="15">
        <v>0.50370000000000004</v>
      </c>
      <c r="Q298" s="1">
        <v>65.986999999999995</v>
      </c>
      <c r="R298" s="1" t="s">
        <v>34</v>
      </c>
      <c r="S298" s="1">
        <v>269.67169999999999</v>
      </c>
      <c r="T298" s="1" t="s">
        <v>46</v>
      </c>
      <c r="U298" s="1" t="s">
        <v>65</v>
      </c>
    </row>
    <row r="299" spans="1:21" x14ac:dyDescent="0.3">
      <c r="A299" s="1" t="s">
        <v>901</v>
      </c>
      <c r="B299" s="2">
        <v>36927</v>
      </c>
      <c r="C299" s="1">
        <v>23</v>
      </c>
      <c r="D299" s="1">
        <v>161</v>
      </c>
      <c r="E299" s="1" t="s">
        <v>76</v>
      </c>
      <c r="F299" s="1" t="s">
        <v>38</v>
      </c>
      <c r="G299" s="1" t="s">
        <v>23</v>
      </c>
      <c r="H299" s="1" t="s">
        <v>54</v>
      </c>
      <c r="I299" s="1" t="s">
        <v>77</v>
      </c>
      <c r="J299" s="1">
        <v>72</v>
      </c>
      <c r="K299" s="1">
        <v>53</v>
      </c>
      <c r="L299" s="1">
        <v>10</v>
      </c>
      <c r="M299" s="1">
        <v>43</v>
      </c>
      <c r="N299" s="17">
        <v>0.81659999999999999</v>
      </c>
      <c r="O299" s="1">
        <v>122</v>
      </c>
      <c r="P299" s="15">
        <v>0.69230000000000003</v>
      </c>
      <c r="Q299" s="1">
        <v>95.698499999999996</v>
      </c>
      <c r="R299" s="1" t="s">
        <v>34</v>
      </c>
      <c r="S299" s="1">
        <v>301.1189</v>
      </c>
      <c r="T299" s="1" t="s">
        <v>28</v>
      </c>
      <c r="U299" s="1" t="s">
        <v>113</v>
      </c>
    </row>
    <row r="300" spans="1:21" x14ac:dyDescent="0.3">
      <c r="A300" s="1" t="s">
        <v>902</v>
      </c>
      <c r="B300" s="2">
        <v>37216</v>
      </c>
      <c r="C300" s="1">
        <v>23</v>
      </c>
      <c r="D300" s="1">
        <v>168</v>
      </c>
      <c r="E300" s="1" t="s">
        <v>24</v>
      </c>
      <c r="F300" s="1" t="s">
        <v>38</v>
      </c>
      <c r="G300" s="1" t="s">
        <v>23</v>
      </c>
      <c r="H300" s="1" t="s">
        <v>25</v>
      </c>
      <c r="I300" s="1" t="s">
        <v>70</v>
      </c>
      <c r="J300" s="1">
        <v>148</v>
      </c>
      <c r="K300" s="1">
        <v>48</v>
      </c>
      <c r="L300" s="1">
        <v>71</v>
      </c>
      <c r="M300" s="1">
        <v>58</v>
      </c>
      <c r="N300" s="17">
        <v>0.39660000000000001</v>
      </c>
      <c r="O300" s="1">
        <v>31</v>
      </c>
      <c r="P300" s="15">
        <v>0.57499999999999996</v>
      </c>
      <c r="Q300" s="1">
        <v>67.385999999999996</v>
      </c>
      <c r="R300" s="1" t="s">
        <v>45</v>
      </c>
      <c r="S300" s="1">
        <v>356.76159999999999</v>
      </c>
      <c r="T300" s="1" t="s">
        <v>28</v>
      </c>
      <c r="U300" s="1" t="s">
        <v>47</v>
      </c>
    </row>
    <row r="301" spans="1:21" x14ac:dyDescent="0.3">
      <c r="A301" s="1" t="s">
        <v>903</v>
      </c>
      <c r="B301" s="2">
        <v>37268</v>
      </c>
      <c r="C301" s="1">
        <v>22</v>
      </c>
      <c r="D301" s="1">
        <v>175</v>
      </c>
      <c r="E301" s="1" t="s">
        <v>32</v>
      </c>
      <c r="F301" s="1" t="s">
        <v>79</v>
      </c>
      <c r="G301" s="1" t="s">
        <v>43</v>
      </c>
      <c r="H301" s="1" t="s">
        <v>25</v>
      </c>
      <c r="I301" s="1" t="s">
        <v>82</v>
      </c>
      <c r="J301" s="1">
        <v>102</v>
      </c>
      <c r="K301" s="1">
        <v>76</v>
      </c>
      <c r="L301" s="1">
        <v>81</v>
      </c>
      <c r="M301" s="1">
        <v>33</v>
      </c>
      <c r="N301" s="17">
        <v>0.20749999999999999</v>
      </c>
      <c r="O301" s="1">
        <v>213</v>
      </c>
      <c r="P301" s="15">
        <v>0.75370000000000004</v>
      </c>
      <c r="Q301" s="1">
        <v>91.649299999999997</v>
      </c>
      <c r="R301" s="1" t="s">
        <v>45</v>
      </c>
      <c r="S301" s="1">
        <v>505.64120000000003</v>
      </c>
      <c r="T301" s="1" t="s">
        <v>28</v>
      </c>
      <c r="U301" s="1" t="s">
        <v>56</v>
      </c>
    </row>
    <row r="302" spans="1:21" x14ac:dyDescent="0.3">
      <c r="A302" s="1" t="s">
        <v>904</v>
      </c>
      <c r="B302" s="2">
        <v>37436</v>
      </c>
      <c r="C302" s="1">
        <v>22</v>
      </c>
      <c r="D302" s="1">
        <v>177</v>
      </c>
      <c r="E302" s="1" t="s">
        <v>32</v>
      </c>
      <c r="F302" s="1" t="s">
        <v>49</v>
      </c>
      <c r="G302" s="1" t="s">
        <v>43</v>
      </c>
      <c r="H302" s="1" t="s">
        <v>25</v>
      </c>
      <c r="I302" s="1" t="s">
        <v>88</v>
      </c>
      <c r="J302" s="1">
        <v>99</v>
      </c>
      <c r="K302" s="1">
        <v>41</v>
      </c>
      <c r="L302" s="1">
        <v>12</v>
      </c>
      <c r="M302" s="1">
        <v>87</v>
      </c>
      <c r="N302" s="17">
        <v>0.61499999999999999</v>
      </c>
      <c r="O302" s="1">
        <v>275</v>
      </c>
      <c r="P302" s="15">
        <v>0.7893</v>
      </c>
      <c r="Q302" s="1">
        <v>66.263499999999993</v>
      </c>
      <c r="R302" s="1" t="s">
        <v>34</v>
      </c>
      <c r="S302" s="1">
        <v>516.04430000000002</v>
      </c>
      <c r="T302" s="1" t="s">
        <v>28</v>
      </c>
      <c r="U302" s="1" t="s">
        <v>113</v>
      </c>
    </row>
    <row r="303" spans="1:21" x14ac:dyDescent="0.3">
      <c r="A303" s="1" t="s">
        <v>905</v>
      </c>
      <c r="B303" s="2">
        <v>37312</v>
      </c>
      <c r="C303" s="1">
        <v>22</v>
      </c>
      <c r="D303" s="1">
        <v>179</v>
      </c>
      <c r="E303" s="1" t="s">
        <v>32</v>
      </c>
      <c r="F303" s="1" t="s">
        <v>109</v>
      </c>
      <c r="G303" s="1" t="s">
        <v>63</v>
      </c>
      <c r="H303" s="1" t="s">
        <v>54</v>
      </c>
      <c r="I303" s="1" t="s">
        <v>64</v>
      </c>
      <c r="J303" s="1">
        <v>62</v>
      </c>
      <c r="K303" s="1">
        <v>23</v>
      </c>
      <c r="L303" s="1">
        <v>27</v>
      </c>
      <c r="M303" s="1">
        <v>73</v>
      </c>
      <c r="N303" s="17">
        <v>0.36020000000000002</v>
      </c>
      <c r="O303" s="1">
        <v>5</v>
      </c>
      <c r="P303" s="15">
        <v>0.41120000000000001</v>
      </c>
      <c r="Q303" s="1">
        <v>31.692699999999999</v>
      </c>
      <c r="R303" s="1" t="s">
        <v>45</v>
      </c>
      <c r="S303" s="1">
        <v>190.5514</v>
      </c>
      <c r="T303" s="1" t="s">
        <v>46</v>
      </c>
      <c r="U303" s="1" t="s">
        <v>36</v>
      </c>
    </row>
    <row r="304" spans="1:21" x14ac:dyDescent="0.3">
      <c r="A304" s="1" t="s">
        <v>906</v>
      </c>
      <c r="B304" s="2">
        <v>37112</v>
      </c>
      <c r="C304" s="1">
        <v>23</v>
      </c>
      <c r="D304" s="1">
        <v>182</v>
      </c>
      <c r="E304" s="1" t="s">
        <v>32</v>
      </c>
      <c r="F304" s="1" t="s">
        <v>22</v>
      </c>
      <c r="G304" s="1" t="s">
        <v>23</v>
      </c>
      <c r="H304" s="1" t="s">
        <v>54</v>
      </c>
      <c r="I304" s="1" t="s">
        <v>85</v>
      </c>
      <c r="J304" s="1">
        <v>42</v>
      </c>
      <c r="K304" s="1">
        <v>40</v>
      </c>
      <c r="L304" s="1">
        <v>54</v>
      </c>
      <c r="M304" s="1">
        <v>10</v>
      </c>
      <c r="N304" s="17">
        <v>0.156</v>
      </c>
      <c r="O304" s="1">
        <v>264</v>
      </c>
      <c r="P304" s="15">
        <v>0.40429999999999999</v>
      </c>
      <c r="Q304" s="1">
        <v>46.147500000000001</v>
      </c>
      <c r="R304" s="1" t="s">
        <v>45</v>
      </c>
      <c r="S304" s="1">
        <v>410.94029999999998</v>
      </c>
      <c r="T304" s="1" t="s">
        <v>46</v>
      </c>
      <c r="U304" s="1" t="s">
        <v>65</v>
      </c>
    </row>
    <row r="305" spans="1:21" x14ac:dyDescent="0.3">
      <c r="A305" s="1" t="s">
        <v>907</v>
      </c>
      <c r="B305" s="2">
        <v>37160</v>
      </c>
      <c r="C305" s="1">
        <v>23</v>
      </c>
      <c r="D305" s="1">
        <v>166</v>
      </c>
      <c r="E305" s="1" t="s">
        <v>76</v>
      </c>
      <c r="F305" s="1" t="s">
        <v>87</v>
      </c>
      <c r="G305" s="1" t="s">
        <v>63</v>
      </c>
      <c r="H305" s="1" t="s">
        <v>25</v>
      </c>
      <c r="I305" s="1" t="s">
        <v>121</v>
      </c>
      <c r="J305" s="1">
        <v>99</v>
      </c>
      <c r="K305" s="1">
        <v>87</v>
      </c>
      <c r="L305" s="1">
        <v>67</v>
      </c>
      <c r="M305" s="1">
        <v>33</v>
      </c>
      <c r="N305" s="17">
        <v>0.25580000000000003</v>
      </c>
      <c r="O305" s="1">
        <v>244</v>
      </c>
      <c r="P305" s="15">
        <v>0.70589999999999997</v>
      </c>
      <c r="Q305" s="1">
        <v>108.8653</v>
      </c>
      <c r="R305" s="1" t="s">
        <v>40</v>
      </c>
      <c r="S305" s="1">
        <v>531.19169999999997</v>
      </c>
      <c r="T305" s="1" t="s">
        <v>46</v>
      </c>
      <c r="U305" s="1" t="s">
        <v>65</v>
      </c>
    </row>
    <row r="306" spans="1:21" x14ac:dyDescent="0.3">
      <c r="A306" s="1" t="s">
        <v>908</v>
      </c>
      <c r="B306" s="2">
        <v>37016</v>
      </c>
      <c r="C306" s="1">
        <v>23</v>
      </c>
      <c r="D306" s="1">
        <v>184</v>
      </c>
      <c r="E306" s="1" t="s">
        <v>32</v>
      </c>
      <c r="F306" s="1" t="s">
        <v>22</v>
      </c>
      <c r="G306" s="1" t="s">
        <v>23</v>
      </c>
      <c r="H306" s="1" t="s">
        <v>54</v>
      </c>
      <c r="I306" s="1" t="s">
        <v>39</v>
      </c>
      <c r="J306" s="1">
        <v>50</v>
      </c>
      <c r="K306" s="1">
        <v>89</v>
      </c>
      <c r="L306" s="1">
        <v>82</v>
      </c>
      <c r="M306" s="1">
        <v>90</v>
      </c>
      <c r="N306" s="17">
        <v>0.69369999999999998</v>
      </c>
      <c r="O306" s="1">
        <v>298</v>
      </c>
      <c r="P306" s="15">
        <v>0.4859</v>
      </c>
      <c r="Q306" s="1">
        <v>151.28129999999999</v>
      </c>
      <c r="R306" s="1" t="s">
        <v>27</v>
      </c>
      <c r="S306" s="1">
        <v>610.36959999999999</v>
      </c>
      <c r="T306" s="1" t="s">
        <v>28</v>
      </c>
      <c r="U306" s="1" t="s">
        <v>29</v>
      </c>
    </row>
    <row r="307" spans="1:21" x14ac:dyDescent="0.3">
      <c r="A307" s="1" t="s">
        <v>909</v>
      </c>
      <c r="B307" s="2">
        <v>37487</v>
      </c>
      <c r="C307" s="1">
        <v>22</v>
      </c>
      <c r="D307" s="1">
        <v>184</v>
      </c>
      <c r="E307" s="1" t="s">
        <v>32</v>
      </c>
      <c r="F307" s="1" t="s">
        <v>62</v>
      </c>
      <c r="G307" s="1" t="s">
        <v>63</v>
      </c>
      <c r="H307" s="1" t="s">
        <v>54</v>
      </c>
      <c r="I307" s="1" t="s">
        <v>88</v>
      </c>
      <c r="J307" s="1">
        <v>111</v>
      </c>
      <c r="K307" s="1">
        <v>67</v>
      </c>
      <c r="L307" s="1">
        <v>59</v>
      </c>
      <c r="M307" s="1">
        <v>6</v>
      </c>
      <c r="N307" s="17">
        <v>0.1724</v>
      </c>
      <c r="O307" s="1">
        <v>84</v>
      </c>
      <c r="P307" s="15">
        <v>0.79569999999999996</v>
      </c>
      <c r="Q307" s="1">
        <v>78.668000000000006</v>
      </c>
      <c r="R307" s="1" t="s">
        <v>34</v>
      </c>
      <c r="S307" s="1">
        <v>327.36810000000003</v>
      </c>
      <c r="T307" s="1" t="s">
        <v>35</v>
      </c>
      <c r="U307" s="1" t="s">
        <v>113</v>
      </c>
    </row>
    <row r="308" spans="1:21" x14ac:dyDescent="0.3">
      <c r="A308" s="1" t="s">
        <v>910</v>
      </c>
      <c r="B308" s="2">
        <v>37801</v>
      </c>
      <c r="C308" s="1">
        <v>21</v>
      </c>
      <c r="D308" s="1">
        <v>178</v>
      </c>
      <c r="E308" s="1" t="s">
        <v>32</v>
      </c>
      <c r="F308" s="1" t="s">
        <v>72</v>
      </c>
      <c r="G308" s="1" t="s">
        <v>53</v>
      </c>
      <c r="H308" s="1" t="s">
        <v>25</v>
      </c>
      <c r="I308" s="1" t="s">
        <v>112</v>
      </c>
      <c r="J308" s="1">
        <v>100</v>
      </c>
      <c r="K308" s="1">
        <v>67</v>
      </c>
      <c r="L308" s="1">
        <v>60</v>
      </c>
      <c r="M308" s="1">
        <v>15</v>
      </c>
      <c r="N308" s="17">
        <v>0.1139</v>
      </c>
      <c r="O308" s="1">
        <v>341</v>
      </c>
      <c r="P308" s="15">
        <v>0.44140000000000001</v>
      </c>
      <c r="Q308" s="1">
        <v>74.831800000000001</v>
      </c>
      <c r="R308" s="1" t="s">
        <v>40</v>
      </c>
      <c r="S308" s="1">
        <v>583.48530000000005</v>
      </c>
      <c r="T308" s="1" t="s">
        <v>35</v>
      </c>
      <c r="U308" s="1" t="s">
        <v>29</v>
      </c>
    </row>
    <row r="309" spans="1:21" x14ac:dyDescent="0.3">
      <c r="A309" s="1" t="s">
        <v>911</v>
      </c>
      <c r="B309" s="2">
        <v>37233</v>
      </c>
      <c r="C309" s="1">
        <v>23</v>
      </c>
      <c r="D309" s="1">
        <v>165</v>
      </c>
      <c r="E309" s="1" t="s">
        <v>76</v>
      </c>
      <c r="F309" s="1" t="s">
        <v>22</v>
      </c>
      <c r="G309" s="1" t="s">
        <v>23</v>
      </c>
      <c r="H309" s="1" t="s">
        <v>25</v>
      </c>
      <c r="I309" s="1" t="s">
        <v>82</v>
      </c>
      <c r="J309" s="1">
        <v>21</v>
      </c>
      <c r="K309" s="1">
        <v>8</v>
      </c>
      <c r="L309" s="1">
        <v>78</v>
      </c>
      <c r="M309" s="1">
        <v>4</v>
      </c>
      <c r="N309" s="17">
        <v>0.91180000000000005</v>
      </c>
      <c r="O309" s="1">
        <v>323</v>
      </c>
      <c r="P309" s="15">
        <v>0.52869999999999995</v>
      </c>
      <c r="Q309" s="1">
        <v>14.5106</v>
      </c>
      <c r="R309" s="1" t="s">
        <v>34</v>
      </c>
      <c r="S309" s="1">
        <v>435.51049999999998</v>
      </c>
      <c r="T309" s="1" t="s">
        <v>35</v>
      </c>
      <c r="U309" s="1" t="s">
        <v>102</v>
      </c>
    </row>
    <row r="310" spans="1:21" x14ac:dyDescent="0.3">
      <c r="A310" s="1" t="s">
        <v>912</v>
      </c>
      <c r="B310" s="2">
        <v>37056</v>
      </c>
      <c r="C310" s="1">
        <v>23</v>
      </c>
      <c r="D310" s="1">
        <v>181</v>
      </c>
      <c r="E310" s="1" t="s">
        <v>32</v>
      </c>
      <c r="F310" s="1" t="s">
        <v>62</v>
      </c>
      <c r="G310" s="1" t="s">
        <v>63</v>
      </c>
      <c r="H310" s="1" t="s">
        <v>54</v>
      </c>
      <c r="I310" s="1" t="s">
        <v>101</v>
      </c>
      <c r="J310" s="1">
        <v>141</v>
      </c>
      <c r="K310" s="1">
        <v>36</v>
      </c>
      <c r="L310" s="1">
        <v>20</v>
      </c>
      <c r="M310" s="1">
        <v>7</v>
      </c>
      <c r="N310" s="17">
        <v>0.13300000000000001</v>
      </c>
      <c r="O310" s="1">
        <v>394</v>
      </c>
      <c r="P310" s="15">
        <v>0.74380000000000002</v>
      </c>
      <c r="Q310" s="1">
        <v>40.3461</v>
      </c>
      <c r="R310" s="1" t="s">
        <v>45</v>
      </c>
      <c r="S310" s="1">
        <v>598.49680000000001</v>
      </c>
      <c r="T310" s="1" t="s">
        <v>28</v>
      </c>
      <c r="U310" s="1" t="s">
        <v>36</v>
      </c>
    </row>
    <row r="311" spans="1:21" x14ac:dyDescent="0.3">
      <c r="A311" s="1" t="s">
        <v>913</v>
      </c>
      <c r="B311" s="2">
        <v>37907</v>
      </c>
      <c r="C311" s="1">
        <v>21</v>
      </c>
      <c r="D311" s="1">
        <v>175</v>
      </c>
      <c r="E311" s="1" t="s">
        <v>32</v>
      </c>
      <c r="F311" s="1" t="s">
        <v>104</v>
      </c>
      <c r="G311" s="1" t="s">
        <v>53</v>
      </c>
      <c r="H311" s="1" t="s">
        <v>54</v>
      </c>
      <c r="I311" s="1" t="s">
        <v>80</v>
      </c>
      <c r="J311" s="1">
        <v>110</v>
      </c>
      <c r="K311" s="1">
        <v>85</v>
      </c>
      <c r="L311" s="1">
        <v>28</v>
      </c>
      <c r="M311" s="1">
        <v>97</v>
      </c>
      <c r="N311" s="17">
        <v>0.75349999999999995</v>
      </c>
      <c r="O311" s="1">
        <v>286</v>
      </c>
      <c r="P311" s="15">
        <v>0.50560000000000005</v>
      </c>
      <c r="Q311" s="1">
        <v>149.74889999999999</v>
      </c>
      <c r="R311" s="1" t="s">
        <v>34</v>
      </c>
      <c r="S311" s="1">
        <v>607.78909999999996</v>
      </c>
      <c r="T311" s="1" t="s">
        <v>28</v>
      </c>
      <c r="U311" s="1" t="s">
        <v>102</v>
      </c>
    </row>
    <row r="312" spans="1:21" x14ac:dyDescent="0.3">
      <c r="A312" s="1" t="s">
        <v>914</v>
      </c>
      <c r="B312" s="2">
        <v>37089</v>
      </c>
      <c r="C312" s="1">
        <v>23</v>
      </c>
      <c r="D312" s="1">
        <v>174</v>
      </c>
      <c r="E312" s="1" t="s">
        <v>24</v>
      </c>
      <c r="F312" s="1" t="s">
        <v>42</v>
      </c>
      <c r="G312" s="1" t="s">
        <v>43</v>
      </c>
      <c r="H312" s="1" t="s">
        <v>54</v>
      </c>
      <c r="I312" s="1" t="s">
        <v>85</v>
      </c>
      <c r="J312" s="1">
        <v>35</v>
      </c>
      <c r="K312" s="1">
        <v>38</v>
      </c>
      <c r="L312" s="1">
        <v>60</v>
      </c>
      <c r="M312" s="1">
        <v>32</v>
      </c>
      <c r="N312" s="17">
        <v>0.35680000000000001</v>
      </c>
      <c r="O312" s="1">
        <v>100</v>
      </c>
      <c r="P312" s="15">
        <v>0.56430000000000002</v>
      </c>
      <c r="Q312" s="1">
        <v>51.273499999999999</v>
      </c>
      <c r="R312" s="1" t="s">
        <v>45</v>
      </c>
      <c r="S312" s="1">
        <v>264.74110000000002</v>
      </c>
      <c r="T312" s="1" t="s">
        <v>46</v>
      </c>
      <c r="U312" s="1" t="s">
        <v>29</v>
      </c>
    </row>
    <row r="313" spans="1:21" x14ac:dyDescent="0.3">
      <c r="A313" s="1" t="s">
        <v>915</v>
      </c>
      <c r="B313" s="2">
        <v>37611</v>
      </c>
      <c r="C313" s="1">
        <v>22</v>
      </c>
      <c r="D313" s="1">
        <v>182</v>
      </c>
      <c r="E313" s="1" t="s">
        <v>32</v>
      </c>
      <c r="F313" s="1" t="s">
        <v>52</v>
      </c>
      <c r="G313" s="1" t="s">
        <v>53</v>
      </c>
      <c r="H313" s="1" t="s">
        <v>54</v>
      </c>
      <c r="I313" s="1" t="s">
        <v>112</v>
      </c>
      <c r="J313" s="1">
        <v>35</v>
      </c>
      <c r="K313" s="1">
        <v>4</v>
      </c>
      <c r="L313" s="1">
        <v>91</v>
      </c>
      <c r="M313" s="1">
        <v>68</v>
      </c>
      <c r="N313" s="17">
        <v>0.57310000000000005</v>
      </c>
      <c r="O313" s="1">
        <v>80</v>
      </c>
      <c r="P313" s="15">
        <v>0.67930000000000001</v>
      </c>
      <c r="Q313" s="1">
        <v>7.0317999999999996</v>
      </c>
      <c r="R313" s="1" t="s">
        <v>40</v>
      </c>
      <c r="S313" s="1">
        <v>279.20240000000001</v>
      </c>
      <c r="T313" s="1" t="s">
        <v>35</v>
      </c>
      <c r="U313" s="1" t="s">
        <v>102</v>
      </c>
    </row>
    <row r="314" spans="1:21" x14ac:dyDescent="0.3">
      <c r="A314" s="1" t="s">
        <v>916</v>
      </c>
      <c r="B314" s="2">
        <v>37638</v>
      </c>
      <c r="C314" s="1">
        <v>21</v>
      </c>
      <c r="D314" s="1">
        <v>174</v>
      </c>
      <c r="E314" s="1" t="s">
        <v>24</v>
      </c>
      <c r="F314" s="1" t="s">
        <v>98</v>
      </c>
      <c r="G314" s="1" t="s">
        <v>23</v>
      </c>
      <c r="H314" s="1" t="s">
        <v>25</v>
      </c>
      <c r="I314" s="1" t="s">
        <v>82</v>
      </c>
      <c r="J314" s="1">
        <v>130</v>
      </c>
      <c r="K314" s="1">
        <v>66</v>
      </c>
      <c r="L314" s="1">
        <v>34</v>
      </c>
      <c r="M314" s="1">
        <v>17</v>
      </c>
      <c r="N314" s="17">
        <v>0.63649999999999995</v>
      </c>
      <c r="O314" s="1">
        <v>206</v>
      </c>
      <c r="P314" s="15">
        <v>0.64529999999999998</v>
      </c>
      <c r="Q314" s="1">
        <v>107.33799999999999</v>
      </c>
      <c r="R314" s="1" t="s">
        <v>34</v>
      </c>
      <c r="S314" s="1">
        <v>453.70179999999999</v>
      </c>
      <c r="T314" s="1" t="s">
        <v>35</v>
      </c>
      <c r="U314" s="1" t="s">
        <v>113</v>
      </c>
    </row>
    <row r="315" spans="1:21" x14ac:dyDescent="0.3">
      <c r="A315" s="1" t="s">
        <v>917</v>
      </c>
      <c r="B315" s="2">
        <v>37321</v>
      </c>
      <c r="C315" s="1">
        <v>22</v>
      </c>
      <c r="D315" s="1">
        <v>177</v>
      </c>
      <c r="E315" s="1" t="s">
        <v>32</v>
      </c>
      <c r="F315" s="1" t="s">
        <v>22</v>
      </c>
      <c r="G315" s="1" t="s">
        <v>23</v>
      </c>
      <c r="H315" s="1" t="s">
        <v>25</v>
      </c>
      <c r="I315" s="1" t="s">
        <v>92</v>
      </c>
      <c r="J315" s="1">
        <v>107</v>
      </c>
      <c r="K315" s="1">
        <v>28</v>
      </c>
      <c r="L315" s="1">
        <v>32</v>
      </c>
      <c r="M315" s="1">
        <v>25</v>
      </c>
      <c r="N315" s="17">
        <v>0.21859999999999999</v>
      </c>
      <c r="O315" s="1">
        <v>138</v>
      </c>
      <c r="P315" s="15">
        <v>0.59619999999999995</v>
      </c>
      <c r="Q315" s="1">
        <v>34.193899999999999</v>
      </c>
      <c r="R315" s="1" t="s">
        <v>45</v>
      </c>
      <c r="S315" s="1">
        <v>331.3048</v>
      </c>
      <c r="T315" s="1" t="s">
        <v>46</v>
      </c>
      <c r="U315" s="1" t="s">
        <v>65</v>
      </c>
    </row>
    <row r="316" spans="1:21" x14ac:dyDescent="0.3">
      <c r="A316" s="1" t="s">
        <v>918</v>
      </c>
      <c r="B316" s="2">
        <v>36934</v>
      </c>
      <c r="C316" s="1">
        <v>23</v>
      </c>
      <c r="D316" s="1">
        <v>173</v>
      </c>
      <c r="E316" s="1" t="s">
        <v>24</v>
      </c>
      <c r="F316" s="1" t="s">
        <v>104</v>
      </c>
      <c r="G316" s="1" t="s">
        <v>53</v>
      </c>
      <c r="H316" s="1" t="s">
        <v>25</v>
      </c>
      <c r="I316" s="1" t="s">
        <v>26</v>
      </c>
      <c r="J316" s="1">
        <v>88</v>
      </c>
      <c r="K316" s="1">
        <v>98</v>
      </c>
      <c r="L316" s="1">
        <v>80</v>
      </c>
      <c r="M316" s="1">
        <v>73</v>
      </c>
      <c r="N316" s="17">
        <v>0.51419999999999999</v>
      </c>
      <c r="O316" s="1">
        <v>172</v>
      </c>
      <c r="P316" s="15">
        <v>0.64090000000000003</v>
      </c>
      <c r="Q316" s="1">
        <v>148.1645</v>
      </c>
      <c r="R316" s="1" t="s">
        <v>45</v>
      </c>
      <c r="S316" s="1">
        <v>512.27509999999995</v>
      </c>
      <c r="T316" s="1" t="s">
        <v>46</v>
      </c>
      <c r="U316" s="1" t="s">
        <v>29</v>
      </c>
    </row>
    <row r="317" spans="1:21" x14ac:dyDescent="0.3">
      <c r="A317" s="1" t="s">
        <v>919</v>
      </c>
      <c r="B317" s="2">
        <v>37914</v>
      </c>
      <c r="C317" s="1">
        <v>21</v>
      </c>
      <c r="D317" s="1">
        <v>168</v>
      </c>
      <c r="E317" s="1" t="s">
        <v>24</v>
      </c>
      <c r="F317" s="1" t="s">
        <v>87</v>
      </c>
      <c r="G317" s="1" t="s">
        <v>63</v>
      </c>
      <c r="H317" s="1" t="s">
        <v>54</v>
      </c>
      <c r="I317" s="1" t="s">
        <v>82</v>
      </c>
      <c r="J317" s="1">
        <v>73</v>
      </c>
      <c r="K317" s="1">
        <v>4</v>
      </c>
      <c r="L317" s="1">
        <v>76</v>
      </c>
      <c r="M317" s="1">
        <v>33</v>
      </c>
      <c r="N317" s="17">
        <v>0.82420000000000004</v>
      </c>
      <c r="O317" s="1">
        <v>2</v>
      </c>
      <c r="P317" s="15">
        <v>0.55430000000000001</v>
      </c>
      <c r="Q317" s="1">
        <v>7.9535</v>
      </c>
      <c r="R317" s="1" t="s">
        <v>45</v>
      </c>
      <c r="S317" s="1">
        <v>189.42850000000001</v>
      </c>
      <c r="T317" s="1" t="s">
        <v>35</v>
      </c>
      <c r="U317" s="1" t="s">
        <v>65</v>
      </c>
    </row>
    <row r="318" spans="1:21" x14ac:dyDescent="0.3">
      <c r="A318" s="1" t="s">
        <v>920</v>
      </c>
      <c r="B318" s="2">
        <v>37845</v>
      </c>
      <c r="C318" s="1">
        <v>21</v>
      </c>
      <c r="D318" s="1">
        <v>180</v>
      </c>
      <c r="E318" s="1" t="s">
        <v>32</v>
      </c>
      <c r="F318" s="1" t="s">
        <v>38</v>
      </c>
      <c r="G318" s="1" t="s">
        <v>23</v>
      </c>
      <c r="H318" s="1" t="s">
        <v>54</v>
      </c>
      <c r="I318" s="1" t="s">
        <v>115</v>
      </c>
      <c r="J318" s="1">
        <v>34</v>
      </c>
      <c r="K318" s="1">
        <v>44</v>
      </c>
      <c r="L318" s="1">
        <v>30</v>
      </c>
      <c r="M318" s="1">
        <v>15</v>
      </c>
      <c r="N318" s="17">
        <v>0.87880000000000003</v>
      </c>
      <c r="O318" s="1">
        <v>155</v>
      </c>
      <c r="P318" s="15">
        <v>0.72319999999999995</v>
      </c>
      <c r="Q318" s="1">
        <v>83.399900000000002</v>
      </c>
      <c r="R318" s="1" t="s">
        <v>40</v>
      </c>
      <c r="S318" s="1">
        <v>280.09199999999998</v>
      </c>
      <c r="T318" s="1" t="s">
        <v>28</v>
      </c>
      <c r="U318" s="1" t="s">
        <v>29</v>
      </c>
    </row>
    <row r="319" spans="1:21" x14ac:dyDescent="0.3">
      <c r="A319" s="1" t="s">
        <v>921</v>
      </c>
      <c r="B319" s="2">
        <v>37210</v>
      </c>
      <c r="C319" s="1">
        <v>23</v>
      </c>
      <c r="D319" s="1">
        <v>160</v>
      </c>
      <c r="E319" s="1" t="s">
        <v>76</v>
      </c>
      <c r="F319" s="1" t="s">
        <v>31</v>
      </c>
      <c r="G319" s="1" t="s">
        <v>23</v>
      </c>
      <c r="H319" s="1" t="s">
        <v>54</v>
      </c>
      <c r="I319" s="1" t="s">
        <v>119</v>
      </c>
      <c r="J319" s="1">
        <v>72</v>
      </c>
      <c r="K319" s="1">
        <v>14</v>
      </c>
      <c r="L319" s="1">
        <v>56</v>
      </c>
      <c r="M319" s="1">
        <v>40</v>
      </c>
      <c r="N319" s="17">
        <v>0.19769999999999999</v>
      </c>
      <c r="O319" s="1">
        <v>143</v>
      </c>
      <c r="P319" s="15">
        <v>0.73380000000000001</v>
      </c>
      <c r="Q319" s="1">
        <v>16.288699999999999</v>
      </c>
      <c r="R319" s="1" t="s">
        <v>45</v>
      </c>
      <c r="S319" s="1">
        <v>325.81150000000002</v>
      </c>
      <c r="T319" s="1" t="s">
        <v>46</v>
      </c>
      <c r="U319" s="1" t="s">
        <v>47</v>
      </c>
    </row>
    <row r="320" spans="1:21" x14ac:dyDescent="0.3">
      <c r="A320" s="1" t="s">
        <v>922</v>
      </c>
      <c r="B320" s="2">
        <v>37920</v>
      </c>
      <c r="C320" s="1">
        <v>21</v>
      </c>
      <c r="D320" s="1">
        <v>172</v>
      </c>
      <c r="E320" s="1" t="s">
        <v>24</v>
      </c>
      <c r="F320" s="1" t="s">
        <v>98</v>
      </c>
      <c r="G320" s="1" t="s">
        <v>23</v>
      </c>
      <c r="H320" s="1" t="s">
        <v>25</v>
      </c>
      <c r="I320" s="1" t="s">
        <v>58</v>
      </c>
      <c r="J320" s="1">
        <v>100</v>
      </c>
      <c r="K320" s="1">
        <v>63</v>
      </c>
      <c r="L320" s="1">
        <v>32</v>
      </c>
      <c r="M320" s="1">
        <v>22</v>
      </c>
      <c r="N320" s="17">
        <v>0.29920000000000002</v>
      </c>
      <c r="O320" s="1">
        <v>271</v>
      </c>
      <c r="P320" s="15">
        <v>0.54400000000000004</v>
      </c>
      <c r="Q320" s="1">
        <v>82.109399999999994</v>
      </c>
      <c r="R320" s="1" t="s">
        <v>34</v>
      </c>
      <c r="S320" s="1">
        <v>488.6232</v>
      </c>
      <c r="T320" s="1" t="s">
        <v>35</v>
      </c>
      <c r="U320" s="1" t="s">
        <v>29</v>
      </c>
    </row>
    <row r="321" spans="1:21" x14ac:dyDescent="0.3">
      <c r="A321" s="1" t="s">
        <v>923</v>
      </c>
      <c r="B321" s="2">
        <v>37442</v>
      </c>
      <c r="C321" s="1">
        <v>22</v>
      </c>
      <c r="D321" s="1">
        <v>179</v>
      </c>
      <c r="E321" s="1" t="s">
        <v>32</v>
      </c>
      <c r="F321" s="1" t="s">
        <v>52</v>
      </c>
      <c r="G321" s="1" t="s">
        <v>53</v>
      </c>
      <c r="H321" s="1" t="s">
        <v>54</v>
      </c>
      <c r="I321" s="1" t="s">
        <v>123</v>
      </c>
      <c r="J321" s="1">
        <v>90</v>
      </c>
      <c r="K321" s="1">
        <v>31</v>
      </c>
      <c r="L321" s="1">
        <v>16</v>
      </c>
      <c r="M321" s="1">
        <v>16</v>
      </c>
      <c r="N321" s="17">
        <v>0.41160000000000002</v>
      </c>
      <c r="O321" s="1">
        <v>332</v>
      </c>
      <c r="P321" s="15">
        <v>0.77769999999999995</v>
      </c>
      <c r="Q321" s="1">
        <v>43.138500000000001</v>
      </c>
      <c r="R321" s="1" t="s">
        <v>40</v>
      </c>
      <c r="S321" s="1">
        <v>486.27929999999998</v>
      </c>
      <c r="T321" s="1" t="s">
        <v>46</v>
      </c>
      <c r="U321" s="1" t="s">
        <v>102</v>
      </c>
    </row>
    <row r="322" spans="1:21" x14ac:dyDescent="0.3">
      <c r="A322" s="1" t="s">
        <v>924</v>
      </c>
      <c r="B322" s="2">
        <v>37500</v>
      </c>
      <c r="C322" s="1">
        <v>22</v>
      </c>
      <c r="D322" s="1">
        <v>185</v>
      </c>
      <c r="E322" s="1" t="s">
        <v>32</v>
      </c>
      <c r="F322" s="1" t="s">
        <v>104</v>
      </c>
      <c r="G322" s="1" t="s">
        <v>53</v>
      </c>
      <c r="H322" s="1" t="s">
        <v>54</v>
      </c>
      <c r="I322" s="1" t="s">
        <v>99</v>
      </c>
      <c r="J322" s="1">
        <v>12</v>
      </c>
      <c r="K322" s="1">
        <v>56</v>
      </c>
      <c r="L322" s="1">
        <v>43</v>
      </c>
      <c r="M322" s="1">
        <v>53</v>
      </c>
      <c r="N322" s="17">
        <v>0.1197</v>
      </c>
      <c r="O322" s="1">
        <v>191</v>
      </c>
      <c r="P322" s="15">
        <v>0.51280000000000003</v>
      </c>
      <c r="Q322" s="1">
        <v>62.221699999999998</v>
      </c>
      <c r="R322" s="1" t="s">
        <v>40</v>
      </c>
      <c r="S322" s="1">
        <v>354.59249999999997</v>
      </c>
      <c r="T322" s="1" t="s">
        <v>35</v>
      </c>
      <c r="U322" s="1" t="s">
        <v>56</v>
      </c>
    </row>
    <row r="323" spans="1:21" x14ac:dyDescent="0.3">
      <c r="A323" s="1" t="s">
        <v>925</v>
      </c>
      <c r="B323" s="2">
        <v>36980</v>
      </c>
      <c r="C323" s="1">
        <v>23</v>
      </c>
      <c r="D323" s="1">
        <v>179</v>
      </c>
      <c r="E323" s="1" t="s">
        <v>32</v>
      </c>
      <c r="F323" s="1" t="s">
        <v>87</v>
      </c>
      <c r="G323" s="1" t="s">
        <v>63</v>
      </c>
      <c r="H323" s="1" t="s">
        <v>25</v>
      </c>
      <c r="I323" s="1" t="s">
        <v>82</v>
      </c>
      <c r="J323" s="1">
        <v>73</v>
      </c>
      <c r="K323" s="1">
        <v>78</v>
      </c>
      <c r="L323" s="1">
        <v>8</v>
      </c>
      <c r="M323" s="1">
        <v>28</v>
      </c>
      <c r="N323" s="17">
        <v>0.78359999999999996</v>
      </c>
      <c r="O323" s="1">
        <v>213</v>
      </c>
      <c r="P323" s="15">
        <v>0.49559999999999998</v>
      </c>
      <c r="Q323" s="1">
        <v>138.6036</v>
      </c>
      <c r="R323" s="1" t="s">
        <v>40</v>
      </c>
      <c r="S323" s="1">
        <v>400.39920000000001</v>
      </c>
      <c r="T323" s="1" t="s">
        <v>46</v>
      </c>
      <c r="U323" s="1" t="s">
        <v>65</v>
      </c>
    </row>
    <row r="324" spans="1:21" x14ac:dyDescent="0.3">
      <c r="A324" s="1" t="s">
        <v>926</v>
      </c>
      <c r="B324" s="2">
        <v>37824</v>
      </c>
      <c r="C324" s="1">
        <v>21</v>
      </c>
      <c r="D324" s="1">
        <v>179</v>
      </c>
      <c r="E324" s="1" t="s">
        <v>32</v>
      </c>
      <c r="F324" s="1" t="s">
        <v>62</v>
      </c>
      <c r="G324" s="1" t="s">
        <v>63</v>
      </c>
      <c r="H324" s="1" t="s">
        <v>54</v>
      </c>
      <c r="I324" s="1" t="s">
        <v>90</v>
      </c>
      <c r="J324" s="1">
        <v>55</v>
      </c>
      <c r="K324" s="1">
        <v>90</v>
      </c>
      <c r="L324" s="1">
        <v>25</v>
      </c>
      <c r="M324" s="1">
        <v>76</v>
      </c>
      <c r="N324" s="17">
        <v>0.27229999999999999</v>
      </c>
      <c r="O324" s="1">
        <v>75</v>
      </c>
      <c r="P324" s="15">
        <v>0.83489999999999998</v>
      </c>
      <c r="Q324" s="1">
        <v>114.03619999999999</v>
      </c>
      <c r="R324" s="1" t="s">
        <v>40</v>
      </c>
      <c r="S324" s="1">
        <v>321.72719999999998</v>
      </c>
      <c r="T324" s="1" t="s">
        <v>28</v>
      </c>
      <c r="U324" s="1" t="s">
        <v>65</v>
      </c>
    </row>
    <row r="325" spans="1:21" x14ac:dyDescent="0.3">
      <c r="A325" s="1" t="s">
        <v>927</v>
      </c>
      <c r="B325" s="2">
        <v>37361</v>
      </c>
      <c r="C325" s="1">
        <v>22</v>
      </c>
      <c r="D325" s="1">
        <v>172</v>
      </c>
      <c r="E325" s="1" t="s">
        <v>24</v>
      </c>
      <c r="F325" s="1" t="s">
        <v>72</v>
      </c>
      <c r="G325" s="1" t="s">
        <v>53</v>
      </c>
      <c r="H325" s="1" t="s">
        <v>54</v>
      </c>
      <c r="I325" s="1" t="s">
        <v>67</v>
      </c>
      <c r="J325" s="1">
        <v>27</v>
      </c>
      <c r="K325" s="1">
        <v>68</v>
      </c>
      <c r="L325" s="1">
        <v>6</v>
      </c>
      <c r="M325" s="1">
        <v>95</v>
      </c>
      <c r="N325" s="17">
        <v>0.97919999999999996</v>
      </c>
      <c r="O325" s="1">
        <v>204</v>
      </c>
      <c r="P325" s="15">
        <v>0.50090000000000001</v>
      </c>
      <c r="Q325" s="1">
        <v>133.79390000000001</v>
      </c>
      <c r="R325" s="1" t="s">
        <v>45</v>
      </c>
      <c r="S325" s="1">
        <v>400.67009999999999</v>
      </c>
      <c r="T325" s="1" t="s">
        <v>46</v>
      </c>
      <c r="U325" s="1" t="s">
        <v>29</v>
      </c>
    </row>
    <row r="326" spans="1:21" x14ac:dyDescent="0.3">
      <c r="A326" s="1" t="s">
        <v>928</v>
      </c>
      <c r="B326" s="2">
        <v>37074</v>
      </c>
      <c r="C326" s="1">
        <v>23</v>
      </c>
      <c r="D326" s="1">
        <v>182</v>
      </c>
      <c r="E326" s="1" t="s">
        <v>32</v>
      </c>
      <c r="F326" s="1" t="s">
        <v>104</v>
      </c>
      <c r="G326" s="1" t="s">
        <v>53</v>
      </c>
      <c r="H326" s="1" t="s">
        <v>25</v>
      </c>
      <c r="I326" s="1" t="s">
        <v>80</v>
      </c>
      <c r="J326" s="1">
        <v>56</v>
      </c>
      <c r="K326" s="1">
        <v>87</v>
      </c>
      <c r="L326" s="1">
        <v>62</v>
      </c>
      <c r="M326" s="1">
        <v>40</v>
      </c>
      <c r="N326" s="17">
        <v>0.33119999999999999</v>
      </c>
      <c r="O326" s="1">
        <v>141</v>
      </c>
      <c r="P326" s="15">
        <v>0.52590000000000003</v>
      </c>
      <c r="Q326" s="1">
        <v>115.242</v>
      </c>
      <c r="R326" s="1" t="s">
        <v>45</v>
      </c>
      <c r="S326" s="1">
        <v>386.1071</v>
      </c>
      <c r="T326" s="1" t="s">
        <v>35</v>
      </c>
      <c r="U326" s="1" t="s">
        <v>47</v>
      </c>
    </row>
    <row r="327" spans="1:21" x14ac:dyDescent="0.3">
      <c r="A327" s="1" t="s">
        <v>929</v>
      </c>
      <c r="B327" s="2">
        <v>37462</v>
      </c>
      <c r="C327" s="1">
        <v>22</v>
      </c>
      <c r="D327" s="1">
        <v>171</v>
      </c>
      <c r="E327" s="1" t="s">
        <v>24</v>
      </c>
      <c r="F327" s="1" t="s">
        <v>109</v>
      </c>
      <c r="G327" s="1" t="s">
        <v>63</v>
      </c>
      <c r="H327" s="1" t="s">
        <v>54</v>
      </c>
      <c r="I327" s="1" t="s">
        <v>80</v>
      </c>
      <c r="J327" s="1">
        <v>126</v>
      </c>
      <c r="K327" s="1">
        <v>38</v>
      </c>
      <c r="L327" s="1">
        <v>68</v>
      </c>
      <c r="M327" s="1">
        <v>2</v>
      </c>
      <c r="N327" s="17">
        <v>0.4955</v>
      </c>
      <c r="O327" s="1">
        <v>292</v>
      </c>
      <c r="P327" s="15">
        <v>0.59399999999999997</v>
      </c>
      <c r="Q327" s="1">
        <v>56.799100000000003</v>
      </c>
      <c r="R327" s="1" t="s">
        <v>45</v>
      </c>
      <c r="S327" s="1">
        <v>527.28949999999998</v>
      </c>
      <c r="T327" s="1" t="s">
        <v>28</v>
      </c>
      <c r="U327" s="1" t="s">
        <v>47</v>
      </c>
    </row>
    <row r="328" spans="1:21" x14ac:dyDescent="0.3">
      <c r="A328" s="1" t="s">
        <v>930</v>
      </c>
      <c r="B328" s="2">
        <v>37262</v>
      </c>
      <c r="C328" s="1">
        <v>22</v>
      </c>
      <c r="D328" s="1">
        <v>168</v>
      </c>
      <c r="E328" s="1" t="s">
        <v>24</v>
      </c>
      <c r="F328" s="1" t="s">
        <v>62</v>
      </c>
      <c r="G328" s="1" t="s">
        <v>63</v>
      </c>
      <c r="H328" s="1" t="s">
        <v>25</v>
      </c>
      <c r="I328" s="1" t="s">
        <v>58</v>
      </c>
      <c r="J328" s="1">
        <v>32</v>
      </c>
      <c r="K328" s="1">
        <v>18</v>
      </c>
      <c r="L328" s="1">
        <v>69</v>
      </c>
      <c r="M328" s="1">
        <v>84</v>
      </c>
      <c r="N328" s="17">
        <v>0.82220000000000004</v>
      </c>
      <c r="O328" s="1">
        <v>94</v>
      </c>
      <c r="P328" s="15">
        <v>0.77910000000000001</v>
      </c>
      <c r="Q328" s="1">
        <v>32.617400000000004</v>
      </c>
      <c r="R328" s="1" t="s">
        <v>45</v>
      </c>
      <c r="S328" s="1">
        <v>298.80130000000003</v>
      </c>
      <c r="T328" s="1" t="s">
        <v>28</v>
      </c>
      <c r="U328" s="1" t="s">
        <v>102</v>
      </c>
    </row>
    <row r="329" spans="1:21" x14ac:dyDescent="0.3">
      <c r="A329" s="1" t="s">
        <v>931</v>
      </c>
      <c r="B329" s="2">
        <v>37064</v>
      </c>
      <c r="C329" s="1">
        <v>23</v>
      </c>
      <c r="D329" s="1">
        <v>167</v>
      </c>
      <c r="E329" s="1" t="s">
        <v>76</v>
      </c>
      <c r="F329" s="1" t="s">
        <v>42</v>
      </c>
      <c r="G329" s="1" t="s">
        <v>43</v>
      </c>
      <c r="H329" s="1" t="s">
        <v>25</v>
      </c>
      <c r="I329" s="1" t="s">
        <v>110</v>
      </c>
      <c r="J329" s="1">
        <v>18</v>
      </c>
      <c r="K329" s="1">
        <v>29</v>
      </c>
      <c r="L329" s="1">
        <v>20</v>
      </c>
      <c r="M329" s="1">
        <v>66</v>
      </c>
      <c r="N329" s="17">
        <v>0.29070000000000001</v>
      </c>
      <c r="O329" s="1">
        <v>7</v>
      </c>
      <c r="P329" s="15">
        <v>0.69079999999999997</v>
      </c>
      <c r="Q329" s="1">
        <v>37.623899999999999</v>
      </c>
      <c r="R329" s="1" t="s">
        <v>40</v>
      </c>
      <c r="S329" s="1">
        <v>141.85149999999999</v>
      </c>
      <c r="T329" s="1" t="s">
        <v>46</v>
      </c>
      <c r="U329" s="1" t="s">
        <v>36</v>
      </c>
    </row>
    <row r="330" spans="1:21" x14ac:dyDescent="0.3">
      <c r="A330" s="1" t="s">
        <v>932</v>
      </c>
      <c r="B330" s="2">
        <v>37962</v>
      </c>
      <c r="C330" s="1">
        <v>21</v>
      </c>
      <c r="D330" s="1">
        <v>185</v>
      </c>
      <c r="E330" s="1" t="s">
        <v>32</v>
      </c>
      <c r="F330" s="1" t="s">
        <v>22</v>
      </c>
      <c r="G330" s="1" t="s">
        <v>23</v>
      </c>
      <c r="H330" s="1" t="s">
        <v>54</v>
      </c>
      <c r="I330" s="1" t="s">
        <v>96</v>
      </c>
      <c r="J330" s="1">
        <v>89</v>
      </c>
      <c r="K330" s="1">
        <v>74</v>
      </c>
      <c r="L330" s="1">
        <v>30</v>
      </c>
      <c r="M330" s="1">
        <v>60</v>
      </c>
      <c r="N330" s="17">
        <v>0.21510000000000001</v>
      </c>
      <c r="O330" s="1">
        <v>32</v>
      </c>
      <c r="P330" s="15">
        <v>0.62570000000000003</v>
      </c>
      <c r="Q330" s="1">
        <v>90.403400000000005</v>
      </c>
      <c r="R330" s="1" t="s">
        <v>27</v>
      </c>
      <c r="S330" s="1">
        <v>286.44080000000002</v>
      </c>
      <c r="T330" s="1" t="s">
        <v>28</v>
      </c>
      <c r="U330" s="1" t="s">
        <v>36</v>
      </c>
    </row>
    <row r="331" spans="1:21" x14ac:dyDescent="0.3">
      <c r="A331" s="1" t="s">
        <v>933</v>
      </c>
      <c r="B331" s="2">
        <v>37198</v>
      </c>
      <c r="C331" s="1">
        <v>23</v>
      </c>
      <c r="D331" s="1">
        <v>174</v>
      </c>
      <c r="E331" s="1" t="s">
        <v>24</v>
      </c>
      <c r="F331" s="1" t="s">
        <v>42</v>
      </c>
      <c r="G331" s="1" t="s">
        <v>43</v>
      </c>
      <c r="H331" s="1" t="s">
        <v>54</v>
      </c>
      <c r="I331" s="1" t="s">
        <v>73</v>
      </c>
      <c r="J331" s="1">
        <v>131</v>
      </c>
      <c r="K331" s="1">
        <v>65</v>
      </c>
      <c r="L331" s="1">
        <v>8</v>
      </c>
      <c r="M331" s="1">
        <v>61</v>
      </c>
      <c r="N331" s="17">
        <v>0.9194</v>
      </c>
      <c r="O331" s="1">
        <v>127</v>
      </c>
      <c r="P331" s="15">
        <v>0.76549999999999996</v>
      </c>
      <c r="Q331" s="1">
        <v>124.857</v>
      </c>
      <c r="R331" s="1" t="s">
        <v>40</v>
      </c>
      <c r="S331" s="1">
        <v>393.73489999999998</v>
      </c>
      <c r="T331" s="1" t="s">
        <v>46</v>
      </c>
      <c r="U331" s="1" t="s">
        <v>29</v>
      </c>
    </row>
    <row r="332" spans="1:21" x14ac:dyDescent="0.3">
      <c r="A332" s="1" t="s">
        <v>934</v>
      </c>
      <c r="B332" s="2">
        <v>37022</v>
      </c>
      <c r="C332" s="1">
        <v>23</v>
      </c>
      <c r="D332" s="1">
        <v>161</v>
      </c>
      <c r="E332" s="1" t="s">
        <v>76</v>
      </c>
      <c r="F332" s="1" t="s">
        <v>79</v>
      </c>
      <c r="G332" s="1" t="s">
        <v>43</v>
      </c>
      <c r="H332" s="1" t="s">
        <v>25</v>
      </c>
      <c r="I332" s="1" t="s">
        <v>92</v>
      </c>
      <c r="J332" s="1">
        <v>100</v>
      </c>
      <c r="K332" s="1">
        <v>24</v>
      </c>
      <c r="L332" s="1">
        <v>22</v>
      </c>
      <c r="M332" s="1">
        <v>9</v>
      </c>
      <c r="N332" s="17">
        <v>0.83779999999999999</v>
      </c>
      <c r="O332" s="1">
        <v>59</v>
      </c>
      <c r="P332" s="15">
        <v>0.60809999999999997</v>
      </c>
      <c r="Q332" s="1">
        <v>43.2986</v>
      </c>
      <c r="R332" s="1" t="s">
        <v>40</v>
      </c>
      <c r="S332" s="1">
        <v>214.45590000000001</v>
      </c>
      <c r="T332" s="1" t="s">
        <v>46</v>
      </c>
      <c r="U332" s="1" t="s">
        <v>65</v>
      </c>
    </row>
    <row r="333" spans="1:21" x14ac:dyDescent="0.3">
      <c r="A333" s="1" t="s">
        <v>935</v>
      </c>
      <c r="B333" s="2">
        <v>37010</v>
      </c>
      <c r="C333" s="1">
        <v>23</v>
      </c>
      <c r="D333" s="1">
        <v>178</v>
      </c>
      <c r="E333" s="1" t="s">
        <v>32</v>
      </c>
      <c r="F333" s="1" t="s">
        <v>42</v>
      </c>
      <c r="G333" s="1" t="s">
        <v>43</v>
      </c>
      <c r="H333" s="1" t="s">
        <v>54</v>
      </c>
      <c r="I333" s="1" t="s">
        <v>123</v>
      </c>
      <c r="J333" s="1">
        <v>89</v>
      </c>
      <c r="K333" s="1">
        <v>65</v>
      </c>
      <c r="L333" s="1">
        <v>45</v>
      </c>
      <c r="M333" s="1">
        <v>54</v>
      </c>
      <c r="N333" s="17">
        <v>0.99370000000000003</v>
      </c>
      <c r="O333" s="1">
        <v>242</v>
      </c>
      <c r="P333" s="15">
        <v>0.71419999999999995</v>
      </c>
      <c r="Q333" s="1">
        <v>130.46770000000001</v>
      </c>
      <c r="R333" s="1" t="s">
        <v>45</v>
      </c>
      <c r="S333" s="1">
        <v>497.8879</v>
      </c>
      <c r="T333" s="1" t="s">
        <v>35</v>
      </c>
      <c r="U333" s="1" t="s">
        <v>56</v>
      </c>
    </row>
    <row r="334" spans="1:21" x14ac:dyDescent="0.3">
      <c r="A334" s="1" t="s">
        <v>133</v>
      </c>
      <c r="B334" s="2">
        <v>37349</v>
      </c>
      <c r="C334" s="1">
        <v>22</v>
      </c>
      <c r="D334" s="1">
        <v>167</v>
      </c>
      <c r="E334" s="1" t="s">
        <v>76</v>
      </c>
      <c r="F334" s="1" t="s">
        <v>42</v>
      </c>
      <c r="G334" s="1" t="s">
        <v>43</v>
      </c>
      <c r="H334" s="1" t="s">
        <v>25</v>
      </c>
      <c r="I334" s="1" t="s">
        <v>58</v>
      </c>
      <c r="J334" s="1">
        <v>102</v>
      </c>
      <c r="K334" s="1">
        <v>89</v>
      </c>
      <c r="L334" s="1">
        <v>10</v>
      </c>
      <c r="M334" s="1">
        <v>43</v>
      </c>
      <c r="N334" s="17">
        <v>0.29680000000000001</v>
      </c>
      <c r="O334" s="1">
        <v>13</v>
      </c>
      <c r="P334" s="15">
        <v>0.62739999999999996</v>
      </c>
      <c r="Q334" s="1">
        <v>115.84310000000001</v>
      </c>
      <c r="R334" s="1" t="s">
        <v>27</v>
      </c>
      <c r="S334" s="1">
        <v>257.35419999999999</v>
      </c>
      <c r="T334" s="1" t="s">
        <v>46</v>
      </c>
      <c r="U334" s="1" t="s">
        <v>36</v>
      </c>
    </row>
    <row r="335" spans="1:21" x14ac:dyDescent="0.3">
      <c r="A335" s="1" t="s">
        <v>134</v>
      </c>
      <c r="B335" s="2">
        <v>37461</v>
      </c>
      <c r="C335" s="1">
        <v>22</v>
      </c>
      <c r="D335" s="1">
        <v>178</v>
      </c>
      <c r="E335" s="1" t="s">
        <v>32</v>
      </c>
      <c r="F335" s="1" t="s">
        <v>98</v>
      </c>
      <c r="G335" s="1" t="s">
        <v>23</v>
      </c>
      <c r="H335" s="1" t="s">
        <v>25</v>
      </c>
      <c r="I335" s="1" t="s">
        <v>70</v>
      </c>
      <c r="J335" s="1">
        <v>105</v>
      </c>
      <c r="K335" s="1">
        <v>35</v>
      </c>
      <c r="L335" s="1">
        <v>16</v>
      </c>
      <c r="M335" s="1">
        <v>96</v>
      </c>
      <c r="N335" s="17">
        <v>0.1835</v>
      </c>
      <c r="O335" s="1">
        <v>135</v>
      </c>
      <c r="P335" s="15">
        <v>0.44350000000000001</v>
      </c>
      <c r="Q335" s="1">
        <v>41.043799999999997</v>
      </c>
      <c r="R335" s="1" t="s">
        <v>40</v>
      </c>
      <c r="S335" s="1">
        <v>387.77699999999999</v>
      </c>
      <c r="T335" s="1" t="s">
        <v>46</v>
      </c>
      <c r="U335" s="1" t="s">
        <v>47</v>
      </c>
    </row>
    <row r="336" spans="1:21" x14ac:dyDescent="0.3">
      <c r="A336" s="1" t="s">
        <v>135</v>
      </c>
      <c r="B336" s="2">
        <v>37053</v>
      </c>
      <c r="C336" s="1">
        <v>23</v>
      </c>
      <c r="D336" s="1">
        <v>172</v>
      </c>
      <c r="E336" s="1" t="s">
        <v>24</v>
      </c>
      <c r="F336" s="1" t="s">
        <v>31</v>
      </c>
      <c r="G336" s="1" t="s">
        <v>23</v>
      </c>
      <c r="H336" s="1" t="s">
        <v>54</v>
      </c>
      <c r="I336" s="1" t="s">
        <v>105</v>
      </c>
      <c r="J336" s="1">
        <v>87</v>
      </c>
      <c r="K336" s="1">
        <v>71</v>
      </c>
      <c r="L336" s="1">
        <v>6</v>
      </c>
      <c r="M336" s="1">
        <v>24</v>
      </c>
      <c r="N336" s="17">
        <v>0.17180000000000001</v>
      </c>
      <c r="O336" s="1">
        <v>116</v>
      </c>
      <c r="P336" s="15">
        <v>0.50480000000000003</v>
      </c>
      <c r="Q336" s="1">
        <v>82.904799999999994</v>
      </c>
      <c r="R336" s="1" t="s">
        <v>27</v>
      </c>
      <c r="S336" s="1">
        <v>304.02659999999997</v>
      </c>
      <c r="T336" s="1" t="s">
        <v>35</v>
      </c>
      <c r="U336" s="1" t="s">
        <v>47</v>
      </c>
    </row>
    <row r="337" spans="1:21" x14ac:dyDescent="0.3">
      <c r="A337" s="1" t="s">
        <v>136</v>
      </c>
      <c r="B337" s="2">
        <v>37650</v>
      </c>
      <c r="C337" s="1">
        <v>21</v>
      </c>
      <c r="D337" s="1">
        <v>165</v>
      </c>
      <c r="E337" s="1" t="s">
        <v>76</v>
      </c>
      <c r="F337" s="1" t="s">
        <v>104</v>
      </c>
      <c r="G337" s="1" t="s">
        <v>53</v>
      </c>
      <c r="H337" s="1" t="s">
        <v>54</v>
      </c>
      <c r="I337" s="1" t="s">
        <v>80</v>
      </c>
      <c r="J337" s="1">
        <v>101</v>
      </c>
      <c r="K337" s="1">
        <v>70</v>
      </c>
      <c r="L337" s="1">
        <v>69</v>
      </c>
      <c r="M337" s="1">
        <v>8</v>
      </c>
      <c r="N337" s="17">
        <v>0.58069999999999999</v>
      </c>
      <c r="O337" s="1">
        <v>254</v>
      </c>
      <c r="P337" s="15">
        <v>0.51019999999999999</v>
      </c>
      <c r="Q337" s="1">
        <v>111.40770000000001</v>
      </c>
      <c r="R337" s="1" t="s">
        <v>45</v>
      </c>
      <c r="S337" s="1">
        <v>503.53089999999997</v>
      </c>
      <c r="T337" s="1" t="s">
        <v>35</v>
      </c>
      <c r="U337" s="1" t="s">
        <v>47</v>
      </c>
    </row>
    <row r="338" spans="1:21" x14ac:dyDescent="0.3">
      <c r="A338" s="1" t="s">
        <v>137</v>
      </c>
      <c r="B338" s="2">
        <v>37006</v>
      </c>
      <c r="C338" s="1">
        <v>23</v>
      </c>
      <c r="D338" s="1">
        <v>184</v>
      </c>
      <c r="E338" s="1" t="s">
        <v>32</v>
      </c>
      <c r="F338" s="1" t="s">
        <v>69</v>
      </c>
      <c r="G338" s="1" t="s">
        <v>43</v>
      </c>
      <c r="H338" s="1" t="s">
        <v>25</v>
      </c>
      <c r="I338" s="1" t="s">
        <v>39</v>
      </c>
      <c r="J338" s="1">
        <v>121</v>
      </c>
      <c r="K338" s="1">
        <v>41</v>
      </c>
      <c r="L338" s="1">
        <v>8</v>
      </c>
      <c r="M338" s="1">
        <v>91</v>
      </c>
      <c r="N338" s="17">
        <v>0.74609999999999999</v>
      </c>
      <c r="O338" s="1">
        <v>227</v>
      </c>
      <c r="P338" s="15">
        <v>0.49569999999999997</v>
      </c>
      <c r="Q338" s="1">
        <v>71.101200000000006</v>
      </c>
      <c r="R338" s="1" t="s">
        <v>45</v>
      </c>
      <c r="S338" s="1">
        <v>489.16180000000003</v>
      </c>
      <c r="T338" s="1" t="s">
        <v>35</v>
      </c>
      <c r="U338" s="1" t="s">
        <v>102</v>
      </c>
    </row>
    <row r="339" spans="1:21" x14ac:dyDescent="0.3">
      <c r="A339" s="1" t="s">
        <v>138</v>
      </c>
      <c r="B339" s="2">
        <v>37397</v>
      </c>
      <c r="C339" s="1">
        <v>22</v>
      </c>
      <c r="D339" s="1">
        <v>164</v>
      </c>
      <c r="E339" s="1" t="s">
        <v>76</v>
      </c>
      <c r="F339" s="1" t="s">
        <v>104</v>
      </c>
      <c r="G339" s="1" t="s">
        <v>53</v>
      </c>
      <c r="H339" s="1" t="s">
        <v>54</v>
      </c>
      <c r="I339" s="1" t="s">
        <v>115</v>
      </c>
      <c r="J339" s="1">
        <v>135</v>
      </c>
      <c r="K339" s="1">
        <v>41</v>
      </c>
      <c r="L339" s="1">
        <v>23</v>
      </c>
      <c r="M339" s="1">
        <v>100</v>
      </c>
      <c r="N339" s="17">
        <v>0.18179999999999999</v>
      </c>
      <c r="O339" s="1">
        <v>204</v>
      </c>
      <c r="P339" s="15">
        <v>0.42120000000000002</v>
      </c>
      <c r="Q339" s="1">
        <v>47.910200000000003</v>
      </c>
      <c r="R339" s="1" t="s">
        <v>27</v>
      </c>
      <c r="S339" s="1">
        <v>502.69299999999998</v>
      </c>
      <c r="T339" s="1" t="s">
        <v>28</v>
      </c>
      <c r="U339" s="1" t="s">
        <v>102</v>
      </c>
    </row>
    <row r="340" spans="1:21" x14ac:dyDescent="0.3">
      <c r="A340" s="1" t="s">
        <v>139</v>
      </c>
      <c r="B340" s="2">
        <v>37022</v>
      </c>
      <c r="C340" s="1">
        <v>23</v>
      </c>
      <c r="D340" s="1">
        <v>179</v>
      </c>
      <c r="E340" s="1" t="s">
        <v>32</v>
      </c>
      <c r="F340" s="1" t="s">
        <v>52</v>
      </c>
      <c r="G340" s="1" t="s">
        <v>53</v>
      </c>
      <c r="H340" s="1" t="s">
        <v>54</v>
      </c>
      <c r="I340" s="1" t="s">
        <v>107</v>
      </c>
      <c r="J340" s="1">
        <v>90</v>
      </c>
      <c r="K340" s="1">
        <v>47</v>
      </c>
      <c r="L340" s="1">
        <v>26</v>
      </c>
      <c r="M340" s="1">
        <v>56</v>
      </c>
      <c r="N340" s="17">
        <v>0.71230000000000004</v>
      </c>
      <c r="O340" s="1">
        <v>377</v>
      </c>
      <c r="P340" s="15">
        <v>0.45150000000000001</v>
      </c>
      <c r="Q340" s="1">
        <v>81.060299999999998</v>
      </c>
      <c r="R340" s="1" t="s">
        <v>40</v>
      </c>
      <c r="S340" s="1">
        <v>596.98379999999997</v>
      </c>
      <c r="T340" s="1" t="s">
        <v>46</v>
      </c>
      <c r="U340" s="1" t="s">
        <v>47</v>
      </c>
    </row>
    <row r="341" spans="1:21" x14ac:dyDescent="0.3">
      <c r="A341" s="1" t="s">
        <v>140</v>
      </c>
      <c r="B341" s="2">
        <v>37821</v>
      </c>
      <c r="C341" s="1">
        <v>21</v>
      </c>
      <c r="D341" s="1">
        <v>165</v>
      </c>
      <c r="E341" s="1" t="s">
        <v>76</v>
      </c>
      <c r="F341" s="1" t="s">
        <v>42</v>
      </c>
      <c r="G341" s="1" t="s">
        <v>43</v>
      </c>
      <c r="H341" s="1" t="s">
        <v>25</v>
      </c>
      <c r="I341" s="1" t="s">
        <v>88</v>
      </c>
      <c r="J341" s="1">
        <v>146</v>
      </c>
      <c r="K341" s="1">
        <v>76</v>
      </c>
      <c r="L341" s="1">
        <v>51</v>
      </c>
      <c r="M341" s="1">
        <v>12</v>
      </c>
      <c r="N341" s="17">
        <v>0.85750000000000004</v>
      </c>
      <c r="O341" s="1">
        <v>250</v>
      </c>
      <c r="P341" s="15">
        <v>0.62839999999999996</v>
      </c>
      <c r="Q341" s="1">
        <v>141.96870000000001</v>
      </c>
      <c r="R341" s="1" t="s">
        <v>34</v>
      </c>
      <c r="S341" s="1">
        <v>537.0059</v>
      </c>
      <c r="T341" s="1" t="s">
        <v>28</v>
      </c>
      <c r="U341" s="1" t="s">
        <v>47</v>
      </c>
    </row>
    <row r="342" spans="1:21" x14ac:dyDescent="0.3">
      <c r="A342" s="1" t="s">
        <v>141</v>
      </c>
      <c r="B342" s="2">
        <v>37555</v>
      </c>
      <c r="C342" s="1">
        <v>22</v>
      </c>
      <c r="D342" s="1">
        <v>179</v>
      </c>
      <c r="E342" s="1" t="s">
        <v>32</v>
      </c>
      <c r="F342" s="1" t="s">
        <v>52</v>
      </c>
      <c r="G342" s="1" t="s">
        <v>53</v>
      </c>
      <c r="H342" s="1" t="s">
        <v>54</v>
      </c>
      <c r="I342" s="1" t="s">
        <v>33</v>
      </c>
      <c r="J342" s="1">
        <v>18</v>
      </c>
      <c r="K342" s="1">
        <v>37</v>
      </c>
      <c r="L342" s="1">
        <v>99</v>
      </c>
      <c r="M342" s="1">
        <v>81</v>
      </c>
      <c r="N342" s="17">
        <v>0.31680000000000003</v>
      </c>
      <c r="O342" s="1">
        <v>97</v>
      </c>
      <c r="P342" s="15">
        <v>0.65529999999999999</v>
      </c>
      <c r="Q342" s="1">
        <v>48.642600000000002</v>
      </c>
      <c r="R342" s="1" t="s">
        <v>27</v>
      </c>
      <c r="S342" s="1">
        <v>331.5421</v>
      </c>
      <c r="T342" s="1" t="s">
        <v>28</v>
      </c>
      <c r="U342" s="1" t="s">
        <v>102</v>
      </c>
    </row>
    <row r="343" spans="1:21" x14ac:dyDescent="0.3">
      <c r="A343" s="1" t="s">
        <v>142</v>
      </c>
      <c r="B343" s="2">
        <v>37865</v>
      </c>
      <c r="C343" s="1">
        <v>21</v>
      </c>
      <c r="D343" s="1">
        <v>164</v>
      </c>
      <c r="E343" s="1" t="s">
        <v>76</v>
      </c>
      <c r="F343" s="1" t="s">
        <v>109</v>
      </c>
      <c r="G343" s="1" t="s">
        <v>63</v>
      </c>
      <c r="H343" s="1" t="s">
        <v>25</v>
      </c>
      <c r="I343" s="1" t="s">
        <v>88</v>
      </c>
      <c r="J343" s="1">
        <v>80</v>
      </c>
      <c r="K343" s="1">
        <v>61</v>
      </c>
      <c r="L343" s="1">
        <v>96</v>
      </c>
      <c r="M343" s="1">
        <v>93</v>
      </c>
      <c r="N343" s="17">
        <v>0.72089999999999999</v>
      </c>
      <c r="O343" s="1">
        <v>302</v>
      </c>
      <c r="P343" s="15">
        <v>0.7208</v>
      </c>
      <c r="Q343" s="1">
        <v>105.0609</v>
      </c>
      <c r="R343" s="1" t="s">
        <v>45</v>
      </c>
      <c r="S343" s="1">
        <v>633.89170000000001</v>
      </c>
      <c r="T343" s="1" t="s">
        <v>46</v>
      </c>
      <c r="U343" s="1" t="s">
        <v>102</v>
      </c>
    </row>
    <row r="344" spans="1:21" x14ac:dyDescent="0.3">
      <c r="A344" s="1" t="s">
        <v>143</v>
      </c>
      <c r="B344" s="2">
        <v>37399</v>
      </c>
      <c r="C344" s="1">
        <v>22</v>
      </c>
      <c r="D344" s="1">
        <v>163</v>
      </c>
      <c r="E344" s="1" t="s">
        <v>76</v>
      </c>
      <c r="F344" s="1" t="s">
        <v>84</v>
      </c>
      <c r="G344" s="1" t="s">
        <v>63</v>
      </c>
      <c r="H344" s="1" t="s">
        <v>25</v>
      </c>
      <c r="I344" s="1" t="s">
        <v>50</v>
      </c>
      <c r="J344" s="1">
        <v>51</v>
      </c>
      <c r="K344" s="1">
        <v>59</v>
      </c>
      <c r="L344" s="1">
        <v>24</v>
      </c>
      <c r="M344" s="1">
        <v>23</v>
      </c>
      <c r="N344" s="17">
        <v>0.66800000000000004</v>
      </c>
      <c r="O344" s="1">
        <v>29</v>
      </c>
      <c r="P344" s="15">
        <v>0.503</v>
      </c>
      <c r="Q344" s="1">
        <v>98.812299999999993</v>
      </c>
      <c r="R344" s="1" t="s">
        <v>27</v>
      </c>
      <c r="S344" s="1">
        <v>187.691</v>
      </c>
      <c r="T344" s="1" t="s">
        <v>35</v>
      </c>
      <c r="U344" s="1" t="s">
        <v>29</v>
      </c>
    </row>
    <row r="345" spans="1:21" x14ac:dyDescent="0.3">
      <c r="A345" s="1" t="s">
        <v>144</v>
      </c>
      <c r="B345" s="2">
        <v>37162</v>
      </c>
      <c r="C345" s="1">
        <v>23</v>
      </c>
      <c r="D345" s="1">
        <v>166</v>
      </c>
      <c r="E345" s="1" t="s">
        <v>76</v>
      </c>
      <c r="F345" s="1" t="s">
        <v>69</v>
      </c>
      <c r="G345" s="1" t="s">
        <v>43</v>
      </c>
      <c r="H345" s="1" t="s">
        <v>54</v>
      </c>
      <c r="I345" s="1" t="s">
        <v>85</v>
      </c>
      <c r="J345" s="1">
        <v>118</v>
      </c>
      <c r="K345" s="1">
        <v>81</v>
      </c>
      <c r="L345" s="1">
        <v>20</v>
      </c>
      <c r="M345" s="1">
        <v>11</v>
      </c>
      <c r="N345" s="17">
        <v>0.48120000000000002</v>
      </c>
      <c r="O345" s="1">
        <v>173</v>
      </c>
      <c r="P345" s="15">
        <v>0.61019999999999996</v>
      </c>
      <c r="Q345" s="1">
        <v>119.8883</v>
      </c>
      <c r="R345" s="1" t="s">
        <v>27</v>
      </c>
      <c r="S345" s="1">
        <v>403.38139999999999</v>
      </c>
      <c r="T345" s="1" t="s">
        <v>46</v>
      </c>
      <c r="U345" s="1" t="s">
        <v>102</v>
      </c>
    </row>
    <row r="346" spans="1:21" x14ac:dyDescent="0.3">
      <c r="A346" s="1" t="s">
        <v>145</v>
      </c>
      <c r="B346" s="2">
        <v>37586</v>
      </c>
      <c r="C346" s="1">
        <v>22</v>
      </c>
      <c r="D346" s="1">
        <v>183</v>
      </c>
      <c r="E346" s="1" t="s">
        <v>32</v>
      </c>
      <c r="F346" s="1" t="s">
        <v>42</v>
      </c>
      <c r="G346" s="1" t="s">
        <v>43</v>
      </c>
      <c r="H346" s="1" t="s">
        <v>25</v>
      </c>
      <c r="I346" s="1" t="s">
        <v>85</v>
      </c>
      <c r="J346" s="1">
        <v>30</v>
      </c>
      <c r="K346" s="1">
        <v>54</v>
      </c>
      <c r="L346" s="1">
        <v>15</v>
      </c>
      <c r="M346" s="1">
        <v>19</v>
      </c>
      <c r="N346" s="17">
        <v>0.88700000000000001</v>
      </c>
      <c r="O346" s="1">
        <v>186</v>
      </c>
      <c r="P346" s="15">
        <v>0.43390000000000001</v>
      </c>
      <c r="Q346" s="1">
        <v>102.06780000000001</v>
      </c>
      <c r="R346" s="1" t="s">
        <v>27</v>
      </c>
      <c r="S346" s="1">
        <v>304.60090000000002</v>
      </c>
      <c r="T346" s="1" t="s">
        <v>28</v>
      </c>
      <c r="U346" s="1" t="s">
        <v>102</v>
      </c>
    </row>
    <row r="347" spans="1:21" x14ac:dyDescent="0.3">
      <c r="A347" s="1" t="s">
        <v>146</v>
      </c>
      <c r="B347" s="2">
        <v>37724</v>
      </c>
      <c r="C347" s="1">
        <v>21</v>
      </c>
      <c r="D347" s="1">
        <v>165</v>
      </c>
      <c r="E347" s="1" t="s">
        <v>76</v>
      </c>
      <c r="F347" s="1" t="s">
        <v>22</v>
      </c>
      <c r="G347" s="1" t="s">
        <v>23</v>
      </c>
      <c r="H347" s="1" t="s">
        <v>54</v>
      </c>
      <c r="I347" s="1" t="s">
        <v>121</v>
      </c>
      <c r="J347" s="1">
        <v>33</v>
      </c>
      <c r="K347" s="1">
        <v>41</v>
      </c>
      <c r="L347" s="1">
        <v>7</v>
      </c>
      <c r="M347" s="1">
        <v>39</v>
      </c>
      <c r="N347" s="17">
        <v>0.3387</v>
      </c>
      <c r="O347" s="1">
        <v>394</v>
      </c>
      <c r="P347" s="15">
        <v>0.75280000000000002</v>
      </c>
      <c r="Q347" s="1">
        <v>54.485100000000003</v>
      </c>
      <c r="R347" s="1" t="s">
        <v>45</v>
      </c>
      <c r="S347" s="1">
        <v>514.10149999999999</v>
      </c>
      <c r="T347" s="1" t="s">
        <v>35</v>
      </c>
      <c r="U347" s="1" t="s">
        <v>56</v>
      </c>
    </row>
    <row r="348" spans="1:21" x14ac:dyDescent="0.3">
      <c r="A348" s="1" t="s">
        <v>147</v>
      </c>
      <c r="B348" s="2">
        <v>37337</v>
      </c>
      <c r="C348" s="1">
        <v>22</v>
      </c>
      <c r="D348" s="1">
        <v>169</v>
      </c>
      <c r="E348" s="1" t="s">
        <v>24</v>
      </c>
      <c r="F348" s="1" t="s">
        <v>109</v>
      </c>
      <c r="G348" s="1" t="s">
        <v>63</v>
      </c>
      <c r="H348" s="1" t="s">
        <v>25</v>
      </c>
      <c r="I348" s="1" t="s">
        <v>44</v>
      </c>
      <c r="J348" s="1">
        <v>112</v>
      </c>
      <c r="K348" s="1">
        <v>7</v>
      </c>
      <c r="L348" s="1">
        <v>59</v>
      </c>
      <c r="M348" s="1">
        <v>51</v>
      </c>
      <c r="N348" s="17">
        <v>0.2417</v>
      </c>
      <c r="O348" s="1">
        <v>341</v>
      </c>
      <c r="P348" s="15">
        <v>0.83240000000000003</v>
      </c>
      <c r="Q348" s="1">
        <v>8.2697000000000003</v>
      </c>
      <c r="R348" s="1" t="s">
        <v>27</v>
      </c>
      <c r="S348" s="1">
        <v>571.03409999999997</v>
      </c>
      <c r="T348" s="1" t="s">
        <v>28</v>
      </c>
      <c r="U348" s="1" t="s">
        <v>29</v>
      </c>
    </row>
    <row r="349" spans="1:21" x14ac:dyDescent="0.3">
      <c r="A349" s="1" t="s">
        <v>148</v>
      </c>
      <c r="B349" s="2">
        <v>37137</v>
      </c>
      <c r="C349" s="1">
        <v>23</v>
      </c>
      <c r="D349" s="1">
        <v>172</v>
      </c>
      <c r="E349" s="1" t="s">
        <v>24</v>
      </c>
      <c r="F349" s="1" t="s">
        <v>38</v>
      </c>
      <c r="G349" s="1" t="s">
        <v>23</v>
      </c>
      <c r="H349" s="1" t="s">
        <v>25</v>
      </c>
      <c r="I349" s="1" t="s">
        <v>39</v>
      </c>
      <c r="J349" s="1">
        <v>93</v>
      </c>
      <c r="K349" s="1">
        <v>42</v>
      </c>
      <c r="L349" s="1">
        <v>59</v>
      </c>
      <c r="M349" s="1">
        <v>53</v>
      </c>
      <c r="N349" s="17">
        <v>0.2838</v>
      </c>
      <c r="O349" s="1">
        <v>374</v>
      </c>
      <c r="P349" s="15">
        <v>0.72230000000000005</v>
      </c>
      <c r="Q349" s="1">
        <v>54.561500000000002</v>
      </c>
      <c r="R349" s="1" t="s">
        <v>34</v>
      </c>
      <c r="S349" s="1">
        <v>622.28610000000003</v>
      </c>
      <c r="T349" s="1" t="s">
        <v>35</v>
      </c>
      <c r="U349" s="1" t="s">
        <v>56</v>
      </c>
    </row>
    <row r="350" spans="1:21" x14ac:dyDescent="0.3">
      <c r="A350" s="1" t="s">
        <v>149</v>
      </c>
      <c r="B350" s="2">
        <v>37539</v>
      </c>
      <c r="C350" s="1">
        <v>22</v>
      </c>
      <c r="D350" s="1">
        <v>174</v>
      </c>
      <c r="E350" s="1" t="s">
        <v>24</v>
      </c>
      <c r="F350" s="1" t="s">
        <v>49</v>
      </c>
      <c r="G350" s="1" t="s">
        <v>43</v>
      </c>
      <c r="H350" s="1" t="s">
        <v>25</v>
      </c>
      <c r="I350" s="1" t="s">
        <v>26</v>
      </c>
      <c r="J350" s="1">
        <v>69</v>
      </c>
      <c r="K350" s="1">
        <v>100</v>
      </c>
      <c r="L350" s="1">
        <v>100</v>
      </c>
      <c r="M350" s="1">
        <v>8</v>
      </c>
      <c r="N350" s="17">
        <v>0.3387</v>
      </c>
      <c r="O350" s="1">
        <v>86</v>
      </c>
      <c r="P350" s="15">
        <v>0.82</v>
      </c>
      <c r="Q350" s="1">
        <v>133.66919999999999</v>
      </c>
      <c r="R350" s="1" t="s">
        <v>27</v>
      </c>
      <c r="S350" s="1">
        <v>364.19869999999997</v>
      </c>
      <c r="T350" s="1" t="s">
        <v>28</v>
      </c>
      <c r="U350" s="1" t="s">
        <v>47</v>
      </c>
    </row>
    <row r="351" spans="1:21" x14ac:dyDescent="0.3">
      <c r="A351" s="1" t="s">
        <v>150</v>
      </c>
      <c r="B351" s="2">
        <v>37511</v>
      </c>
      <c r="C351" s="1">
        <v>22</v>
      </c>
      <c r="D351" s="1">
        <v>177</v>
      </c>
      <c r="E351" s="1" t="s">
        <v>32</v>
      </c>
      <c r="F351" s="1" t="s">
        <v>75</v>
      </c>
      <c r="G351" s="1" t="s">
        <v>53</v>
      </c>
      <c r="H351" s="1" t="s">
        <v>25</v>
      </c>
      <c r="I351" s="1" t="s">
        <v>94</v>
      </c>
      <c r="J351" s="1">
        <v>140</v>
      </c>
      <c r="K351" s="1">
        <v>11</v>
      </c>
      <c r="L351" s="1">
        <v>88</v>
      </c>
      <c r="M351" s="1">
        <v>27</v>
      </c>
      <c r="N351" s="17">
        <v>0.76819999999999999</v>
      </c>
      <c r="O351" s="1">
        <v>356</v>
      </c>
      <c r="P351" s="15">
        <v>0.47</v>
      </c>
      <c r="Q351" s="1">
        <v>19.9099</v>
      </c>
      <c r="R351" s="1" t="s">
        <v>40</v>
      </c>
      <c r="S351" s="1">
        <v>623.43820000000005</v>
      </c>
      <c r="T351" s="1" t="s">
        <v>46</v>
      </c>
      <c r="U351" s="1" t="s">
        <v>36</v>
      </c>
    </row>
    <row r="352" spans="1:21" x14ac:dyDescent="0.3">
      <c r="A352" s="1" t="s">
        <v>151</v>
      </c>
      <c r="B352" s="2">
        <v>37892</v>
      </c>
      <c r="C352" s="1">
        <v>21</v>
      </c>
      <c r="D352" s="1">
        <v>176</v>
      </c>
      <c r="E352" s="1" t="s">
        <v>32</v>
      </c>
      <c r="F352" s="1" t="s">
        <v>79</v>
      </c>
      <c r="G352" s="1" t="s">
        <v>43</v>
      </c>
      <c r="H352" s="1" t="s">
        <v>54</v>
      </c>
      <c r="I352" s="1" t="s">
        <v>44</v>
      </c>
      <c r="J352" s="1">
        <v>15</v>
      </c>
      <c r="K352" s="1">
        <v>43</v>
      </c>
      <c r="L352" s="1">
        <v>28</v>
      </c>
      <c r="M352" s="1">
        <v>1</v>
      </c>
      <c r="N352" s="17">
        <v>0.6734</v>
      </c>
      <c r="O352" s="1">
        <v>309</v>
      </c>
      <c r="P352" s="15">
        <v>0.51790000000000003</v>
      </c>
      <c r="Q352" s="1">
        <v>71.839100000000002</v>
      </c>
      <c r="R352" s="1" t="s">
        <v>45</v>
      </c>
      <c r="S352" s="1">
        <v>397.29129999999998</v>
      </c>
      <c r="T352" s="1" t="s">
        <v>46</v>
      </c>
      <c r="U352" s="1" t="s">
        <v>102</v>
      </c>
    </row>
    <row r="353" spans="1:21" x14ac:dyDescent="0.3">
      <c r="A353" s="1" t="s">
        <v>152</v>
      </c>
      <c r="B353" s="2">
        <v>37046</v>
      </c>
      <c r="C353" s="1">
        <v>23</v>
      </c>
      <c r="D353" s="1">
        <v>163</v>
      </c>
      <c r="E353" s="1" t="s">
        <v>76</v>
      </c>
      <c r="F353" s="1" t="s">
        <v>98</v>
      </c>
      <c r="G353" s="1" t="s">
        <v>23</v>
      </c>
      <c r="H353" s="1" t="s">
        <v>25</v>
      </c>
      <c r="I353" s="1" t="s">
        <v>39</v>
      </c>
      <c r="J353" s="1">
        <v>125</v>
      </c>
      <c r="K353" s="1">
        <v>59</v>
      </c>
      <c r="L353" s="1">
        <v>16</v>
      </c>
      <c r="M353" s="1">
        <v>14</v>
      </c>
      <c r="N353" s="17">
        <v>0.90910000000000002</v>
      </c>
      <c r="O353" s="1">
        <v>124</v>
      </c>
      <c r="P353" s="15">
        <v>0.75829999999999997</v>
      </c>
      <c r="Q353" s="1">
        <v>112.0069</v>
      </c>
      <c r="R353" s="1" t="s">
        <v>27</v>
      </c>
      <c r="S353" s="1">
        <v>338.9674</v>
      </c>
      <c r="T353" s="1" t="s">
        <v>35</v>
      </c>
      <c r="U353" s="1" t="s">
        <v>36</v>
      </c>
    </row>
    <row r="354" spans="1:21" x14ac:dyDescent="0.3">
      <c r="A354" s="1" t="s">
        <v>153</v>
      </c>
      <c r="B354" s="2">
        <v>37724</v>
      </c>
      <c r="C354" s="1">
        <v>21</v>
      </c>
      <c r="D354" s="1">
        <v>171</v>
      </c>
      <c r="E354" s="1" t="s">
        <v>24</v>
      </c>
      <c r="F354" s="1" t="s">
        <v>69</v>
      </c>
      <c r="G354" s="1" t="s">
        <v>43</v>
      </c>
      <c r="H354" s="1" t="s">
        <v>25</v>
      </c>
      <c r="I354" s="1" t="s">
        <v>85</v>
      </c>
      <c r="J354" s="1">
        <v>130</v>
      </c>
      <c r="K354" s="1">
        <v>98</v>
      </c>
      <c r="L354" s="1">
        <v>81</v>
      </c>
      <c r="M354" s="1">
        <v>88</v>
      </c>
      <c r="N354" s="17">
        <v>0.76290000000000002</v>
      </c>
      <c r="O354" s="1">
        <v>11</v>
      </c>
      <c r="P354" s="15">
        <v>0.54949999999999999</v>
      </c>
      <c r="Q354" s="1">
        <v>172.12960000000001</v>
      </c>
      <c r="R354" s="1" t="s">
        <v>45</v>
      </c>
      <c r="S354" s="1">
        <v>409.20240000000001</v>
      </c>
      <c r="T354" s="1" t="s">
        <v>46</v>
      </c>
      <c r="U354" s="1" t="s">
        <v>113</v>
      </c>
    </row>
    <row r="355" spans="1:21" x14ac:dyDescent="0.3">
      <c r="A355" s="1" t="s">
        <v>154</v>
      </c>
      <c r="B355" s="2">
        <v>37113</v>
      </c>
      <c r="C355" s="1">
        <v>23</v>
      </c>
      <c r="D355" s="1">
        <v>185</v>
      </c>
      <c r="E355" s="1" t="s">
        <v>32</v>
      </c>
      <c r="F355" s="1" t="s">
        <v>69</v>
      </c>
      <c r="G355" s="1" t="s">
        <v>43</v>
      </c>
      <c r="H355" s="1" t="s">
        <v>54</v>
      </c>
      <c r="I355" s="1" t="s">
        <v>39</v>
      </c>
      <c r="J355" s="1">
        <v>129</v>
      </c>
      <c r="K355" s="1">
        <v>23</v>
      </c>
      <c r="L355" s="1">
        <v>82</v>
      </c>
      <c r="M355" s="1">
        <v>47</v>
      </c>
      <c r="N355" s="17">
        <v>0.81579999999999997</v>
      </c>
      <c r="O355" s="1">
        <v>123</v>
      </c>
      <c r="P355" s="15">
        <v>0.50239999999999996</v>
      </c>
      <c r="Q355" s="1">
        <v>41.799700000000001</v>
      </c>
      <c r="R355" s="1" t="s">
        <v>27</v>
      </c>
      <c r="S355" s="1">
        <v>404.44819999999999</v>
      </c>
      <c r="T355" s="1" t="s">
        <v>46</v>
      </c>
      <c r="U355" s="1" t="s">
        <v>36</v>
      </c>
    </row>
    <row r="356" spans="1:21" x14ac:dyDescent="0.3">
      <c r="A356" s="1" t="s">
        <v>155</v>
      </c>
      <c r="B356" s="2">
        <v>37463</v>
      </c>
      <c r="C356" s="1">
        <v>22</v>
      </c>
      <c r="D356" s="1">
        <v>162</v>
      </c>
      <c r="E356" s="1" t="s">
        <v>76</v>
      </c>
      <c r="F356" s="1" t="s">
        <v>87</v>
      </c>
      <c r="G356" s="1" t="s">
        <v>63</v>
      </c>
      <c r="H356" s="1" t="s">
        <v>54</v>
      </c>
      <c r="I356" s="1" t="s">
        <v>110</v>
      </c>
      <c r="J356" s="1">
        <v>102</v>
      </c>
      <c r="K356" s="1">
        <v>85</v>
      </c>
      <c r="L356" s="1">
        <v>34</v>
      </c>
      <c r="M356" s="1">
        <v>4</v>
      </c>
      <c r="N356" s="17">
        <v>0.33510000000000001</v>
      </c>
      <c r="O356" s="1">
        <v>351</v>
      </c>
      <c r="P356" s="15">
        <v>0.6613</v>
      </c>
      <c r="Q356" s="1">
        <v>112.84269999999999</v>
      </c>
      <c r="R356" s="1" t="s">
        <v>40</v>
      </c>
      <c r="S356" s="1">
        <v>576.21640000000002</v>
      </c>
      <c r="T356" s="1" t="s">
        <v>28</v>
      </c>
      <c r="U356" s="1" t="s">
        <v>29</v>
      </c>
    </row>
    <row r="357" spans="1:21" x14ac:dyDescent="0.3">
      <c r="A357" s="1" t="s">
        <v>156</v>
      </c>
      <c r="B357" s="2">
        <v>37939</v>
      </c>
      <c r="C357" s="1">
        <v>21</v>
      </c>
      <c r="D357" s="1">
        <v>173</v>
      </c>
      <c r="E357" s="1" t="s">
        <v>24</v>
      </c>
      <c r="F357" s="1" t="s">
        <v>98</v>
      </c>
      <c r="G357" s="1" t="s">
        <v>23</v>
      </c>
      <c r="H357" s="1" t="s">
        <v>25</v>
      </c>
      <c r="I357" s="1" t="s">
        <v>107</v>
      </c>
      <c r="J357" s="1">
        <v>135</v>
      </c>
      <c r="K357" s="1">
        <v>20</v>
      </c>
      <c r="L357" s="1">
        <v>5</v>
      </c>
      <c r="M357" s="1">
        <v>44</v>
      </c>
      <c r="N357" s="17">
        <v>0.82589999999999997</v>
      </c>
      <c r="O357" s="1">
        <v>208</v>
      </c>
      <c r="P357" s="15">
        <v>0.70909999999999995</v>
      </c>
      <c r="Q357" s="1">
        <v>36.189300000000003</v>
      </c>
      <c r="R357" s="1" t="s">
        <v>34</v>
      </c>
      <c r="S357" s="1">
        <v>414.39499999999998</v>
      </c>
      <c r="T357" s="1" t="s">
        <v>35</v>
      </c>
      <c r="U357" s="1" t="s">
        <v>56</v>
      </c>
    </row>
    <row r="358" spans="1:21" x14ac:dyDescent="0.3">
      <c r="A358" s="1" t="s">
        <v>157</v>
      </c>
      <c r="B358" s="2">
        <v>37534</v>
      </c>
      <c r="C358" s="1">
        <v>22</v>
      </c>
      <c r="D358" s="1">
        <v>179</v>
      </c>
      <c r="E358" s="1" t="s">
        <v>32</v>
      </c>
      <c r="F358" s="1" t="s">
        <v>38</v>
      </c>
      <c r="G358" s="1" t="s">
        <v>23</v>
      </c>
      <c r="H358" s="1" t="s">
        <v>25</v>
      </c>
      <c r="I358" s="1" t="s">
        <v>94</v>
      </c>
      <c r="J358" s="1">
        <v>77</v>
      </c>
      <c r="K358" s="1">
        <v>67</v>
      </c>
      <c r="L358" s="1">
        <v>33</v>
      </c>
      <c r="M358" s="1">
        <v>70</v>
      </c>
      <c r="N358" s="17">
        <v>0.2727</v>
      </c>
      <c r="O358" s="1">
        <v>222</v>
      </c>
      <c r="P358" s="15">
        <v>0.69920000000000004</v>
      </c>
      <c r="Q358" s="1">
        <v>85.296400000000006</v>
      </c>
      <c r="R358" s="1" t="s">
        <v>45</v>
      </c>
      <c r="S358" s="1">
        <v>470.07190000000003</v>
      </c>
      <c r="T358" s="1" t="s">
        <v>46</v>
      </c>
      <c r="U358" s="1" t="s">
        <v>102</v>
      </c>
    </row>
    <row r="359" spans="1:21" x14ac:dyDescent="0.3">
      <c r="A359" s="1" t="s">
        <v>158</v>
      </c>
      <c r="B359" s="2">
        <v>36892</v>
      </c>
      <c r="C359" s="1">
        <v>24</v>
      </c>
      <c r="D359" s="1">
        <v>172</v>
      </c>
      <c r="E359" s="1" t="s">
        <v>24</v>
      </c>
      <c r="F359" s="1" t="s">
        <v>52</v>
      </c>
      <c r="G359" s="1" t="s">
        <v>53</v>
      </c>
      <c r="H359" s="1" t="s">
        <v>54</v>
      </c>
      <c r="I359" s="1" t="s">
        <v>92</v>
      </c>
      <c r="J359" s="1">
        <v>32</v>
      </c>
      <c r="K359" s="1">
        <v>79</v>
      </c>
      <c r="L359" s="1">
        <v>61</v>
      </c>
      <c r="M359" s="1">
        <v>33</v>
      </c>
      <c r="N359" s="17">
        <v>0.70809999999999995</v>
      </c>
      <c r="O359" s="1">
        <v>177</v>
      </c>
      <c r="P359" s="15">
        <v>0.63</v>
      </c>
      <c r="Q359" s="1">
        <v>134.5812</v>
      </c>
      <c r="R359" s="1" t="s">
        <v>34</v>
      </c>
      <c r="S359" s="1">
        <v>383.67809999999997</v>
      </c>
      <c r="T359" s="1" t="s">
        <v>46</v>
      </c>
      <c r="U359" s="1" t="s">
        <v>29</v>
      </c>
    </row>
    <row r="360" spans="1:21" x14ac:dyDescent="0.3">
      <c r="A360" s="1" t="s">
        <v>159</v>
      </c>
      <c r="B360" s="2">
        <v>37373</v>
      </c>
      <c r="C360" s="1">
        <v>22</v>
      </c>
      <c r="D360" s="1">
        <v>162</v>
      </c>
      <c r="E360" s="1" t="s">
        <v>76</v>
      </c>
      <c r="F360" s="1" t="s">
        <v>75</v>
      </c>
      <c r="G360" s="1" t="s">
        <v>53</v>
      </c>
      <c r="H360" s="1" t="s">
        <v>54</v>
      </c>
      <c r="I360" s="1" t="s">
        <v>82</v>
      </c>
      <c r="J360" s="1">
        <v>121</v>
      </c>
      <c r="K360" s="1">
        <v>16</v>
      </c>
      <c r="L360" s="1">
        <v>6</v>
      </c>
      <c r="M360" s="1">
        <v>98</v>
      </c>
      <c r="N360" s="17">
        <v>0.79159999999999997</v>
      </c>
      <c r="O360" s="1">
        <v>245</v>
      </c>
      <c r="P360" s="15">
        <v>0.60489999999999999</v>
      </c>
      <c r="Q360" s="1">
        <v>27.931000000000001</v>
      </c>
      <c r="R360" s="1" t="s">
        <v>34</v>
      </c>
      <c r="S360" s="1">
        <v>487.05650000000003</v>
      </c>
      <c r="T360" s="1" t="s">
        <v>46</v>
      </c>
      <c r="U360" s="1" t="s">
        <v>102</v>
      </c>
    </row>
    <row r="361" spans="1:21" x14ac:dyDescent="0.3">
      <c r="A361" s="1" t="s">
        <v>160</v>
      </c>
      <c r="B361" s="2">
        <v>37194</v>
      </c>
      <c r="C361" s="1">
        <v>23</v>
      </c>
      <c r="D361" s="1">
        <v>167</v>
      </c>
      <c r="E361" s="1" t="s">
        <v>76</v>
      </c>
      <c r="F361" s="1" t="s">
        <v>87</v>
      </c>
      <c r="G361" s="1" t="s">
        <v>63</v>
      </c>
      <c r="H361" s="1" t="s">
        <v>25</v>
      </c>
      <c r="I361" s="1" t="s">
        <v>58</v>
      </c>
      <c r="J361" s="1">
        <v>117</v>
      </c>
      <c r="K361" s="1">
        <v>23</v>
      </c>
      <c r="L361" s="1">
        <v>81</v>
      </c>
      <c r="M361" s="1">
        <v>70</v>
      </c>
      <c r="N361" s="17">
        <v>0.60170000000000001</v>
      </c>
      <c r="O361" s="1">
        <v>186</v>
      </c>
      <c r="P361" s="15">
        <v>0.81289999999999996</v>
      </c>
      <c r="Q361" s="1">
        <v>36.310499999999998</v>
      </c>
      <c r="R361" s="1" t="s">
        <v>27</v>
      </c>
      <c r="S361" s="1">
        <v>477.93459999999999</v>
      </c>
      <c r="T361" s="1" t="s">
        <v>35</v>
      </c>
      <c r="U361" s="1" t="s">
        <v>36</v>
      </c>
    </row>
    <row r="362" spans="1:21" x14ac:dyDescent="0.3">
      <c r="A362" s="1" t="s">
        <v>161</v>
      </c>
      <c r="B362" s="2">
        <v>37798</v>
      </c>
      <c r="C362" s="1">
        <v>21</v>
      </c>
      <c r="D362" s="1">
        <v>184</v>
      </c>
      <c r="E362" s="1" t="s">
        <v>32</v>
      </c>
      <c r="F362" s="1" t="s">
        <v>104</v>
      </c>
      <c r="G362" s="1" t="s">
        <v>53</v>
      </c>
      <c r="H362" s="1" t="s">
        <v>54</v>
      </c>
      <c r="I362" s="1" t="s">
        <v>117</v>
      </c>
      <c r="J362" s="1">
        <v>135</v>
      </c>
      <c r="K362" s="1">
        <v>75</v>
      </c>
      <c r="L362" s="1">
        <v>48</v>
      </c>
      <c r="M362" s="1">
        <v>27</v>
      </c>
      <c r="N362" s="17">
        <v>0.67390000000000005</v>
      </c>
      <c r="O362" s="1">
        <v>100</v>
      </c>
      <c r="P362" s="15">
        <v>0.74460000000000004</v>
      </c>
      <c r="Q362" s="1">
        <v>124.9064</v>
      </c>
      <c r="R362" s="1" t="s">
        <v>45</v>
      </c>
      <c r="S362" s="1">
        <v>385.01850000000002</v>
      </c>
      <c r="T362" s="1" t="s">
        <v>46</v>
      </c>
      <c r="U362" s="1" t="s">
        <v>36</v>
      </c>
    </row>
    <row r="363" spans="1:21" x14ac:dyDescent="0.3">
      <c r="A363" s="1" t="s">
        <v>162</v>
      </c>
      <c r="B363" s="2">
        <v>37477</v>
      </c>
      <c r="C363" s="1">
        <v>22</v>
      </c>
      <c r="D363" s="1">
        <v>182</v>
      </c>
      <c r="E363" s="1" t="s">
        <v>32</v>
      </c>
      <c r="F363" s="1" t="s">
        <v>72</v>
      </c>
      <c r="G363" s="1" t="s">
        <v>53</v>
      </c>
      <c r="H363" s="1" t="s">
        <v>25</v>
      </c>
      <c r="I363" s="1" t="s">
        <v>90</v>
      </c>
      <c r="J363" s="1">
        <v>51</v>
      </c>
      <c r="K363" s="1">
        <v>89</v>
      </c>
      <c r="L363" s="1">
        <v>9</v>
      </c>
      <c r="M363" s="1">
        <v>16</v>
      </c>
      <c r="N363" s="17">
        <v>0.23749999999999999</v>
      </c>
      <c r="O363" s="1">
        <v>154</v>
      </c>
      <c r="P363" s="15">
        <v>0.49630000000000002</v>
      </c>
      <c r="Q363" s="1">
        <v>110.64490000000001</v>
      </c>
      <c r="R363" s="1" t="s">
        <v>45</v>
      </c>
      <c r="S363" s="1">
        <v>319.92380000000003</v>
      </c>
      <c r="T363" s="1" t="s">
        <v>35</v>
      </c>
      <c r="U363" s="1" t="s">
        <v>47</v>
      </c>
    </row>
    <row r="364" spans="1:21" x14ac:dyDescent="0.3">
      <c r="A364" s="1" t="s">
        <v>163</v>
      </c>
      <c r="B364" s="2">
        <v>37752</v>
      </c>
      <c r="C364" s="1">
        <v>21</v>
      </c>
      <c r="D364" s="1">
        <v>166</v>
      </c>
      <c r="E364" s="1" t="s">
        <v>76</v>
      </c>
      <c r="F364" s="1" t="s">
        <v>104</v>
      </c>
      <c r="G364" s="1" t="s">
        <v>53</v>
      </c>
      <c r="H364" s="1" t="s">
        <v>54</v>
      </c>
      <c r="I364" s="1" t="s">
        <v>33</v>
      </c>
      <c r="J364" s="1">
        <v>129</v>
      </c>
      <c r="K364" s="1">
        <v>77</v>
      </c>
      <c r="L364" s="1">
        <v>39</v>
      </c>
      <c r="M364" s="1">
        <v>2</v>
      </c>
      <c r="N364" s="17">
        <v>0.77810000000000001</v>
      </c>
      <c r="O364" s="1">
        <v>141</v>
      </c>
      <c r="P364" s="15">
        <v>0.78410000000000002</v>
      </c>
      <c r="Q364" s="1">
        <v>136.5403</v>
      </c>
      <c r="R364" s="1" t="s">
        <v>45</v>
      </c>
      <c r="S364" s="1">
        <v>388.59219999999999</v>
      </c>
      <c r="T364" s="1" t="s">
        <v>46</v>
      </c>
      <c r="U364" s="1" t="s">
        <v>102</v>
      </c>
    </row>
    <row r="365" spans="1:21" x14ac:dyDescent="0.3">
      <c r="A365" s="1" t="s">
        <v>164</v>
      </c>
      <c r="B365" s="2">
        <v>37784</v>
      </c>
      <c r="C365" s="1">
        <v>21</v>
      </c>
      <c r="D365" s="1">
        <v>168</v>
      </c>
      <c r="E365" s="1" t="s">
        <v>24</v>
      </c>
      <c r="F365" s="1" t="s">
        <v>69</v>
      </c>
      <c r="G365" s="1" t="s">
        <v>43</v>
      </c>
      <c r="H365" s="1" t="s">
        <v>54</v>
      </c>
      <c r="I365" s="1" t="s">
        <v>33</v>
      </c>
      <c r="J365" s="1">
        <v>59</v>
      </c>
      <c r="K365" s="1">
        <v>67</v>
      </c>
      <c r="L365" s="1">
        <v>80</v>
      </c>
      <c r="M365" s="1">
        <v>73</v>
      </c>
      <c r="N365" s="17">
        <v>0.92759999999999998</v>
      </c>
      <c r="O365" s="1">
        <v>336</v>
      </c>
      <c r="P365" s="15">
        <v>0.84130000000000005</v>
      </c>
      <c r="Q365" s="1">
        <v>129.57329999999999</v>
      </c>
      <c r="R365" s="1" t="s">
        <v>27</v>
      </c>
      <c r="S365" s="1">
        <v>616.99890000000005</v>
      </c>
      <c r="T365" s="1" t="s">
        <v>35</v>
      </c>
      <c r="U365" s="1" t="s">
        <v>65</v>
      </c>
    </row>
    <row r="366" spans="1:21" x14ac:dyDescent="0.3">
      <c r="A366" s="1" t="s">
        <v>165</v>
      </c>
      <c r="B366" s="2">
        <v>37837</v>
      </c>
      <c r="C366" s="1">
        <v>21</v>
      </c>
      <c r="D366" s="1">
        <v>164</v>
      </c>
      <c r="E366" s="1" t="s">
        <v>76</v>
      </c>
      <c r="F366" s="1" t="s">
        <v>22</v>
      </c>
      <c r="G366" s="1" t="s">
        <v>23</v>
      </c>
      <c r="H366" s="1" t="s">
        <v>25</v>
      </c>
      <c r="I366" s="1" t="s">
        <v>44</v>
      </c>
      <c r="J366" s="1">
        <v>40</v>
      </c>
      <c r="K366" s="1">
        <v>33</v>
      </c>
      <c r="L366" s="1">
        <v>46</v>
      </c>
      <c r="M366" s="1">
        <v>34</v>
      </c>
      <c r="N366" s="17">
        <v>0.35039999999999999</v>
      </c>
      <c r="O366" s="1">
        <v>352</v>
      </c>
      <c r="P366" s="15">
        <v>0.82799999999999996</v>
      </c>
      <c r="Q366" s="1">
        <v>45.116900000000001</v>
      </c>
      <c r="R366" s="1" t="s">
        <v>45</v>
      </c>
      <c r="S366" s="1">
        <v>506.75839999999999</v>
      </c>
      <c r="T366" s="1" t="s">
        <v>35</v>
      </c>
      <c r="U366" s="1" t="s">
        <v>113</v>
      </c>
    </row>
    <row r="367" spans="1:21" x14ac:dyDescent="0.3">
      <c r="A367" s="1" t="s">
        <v>166</v>
      </c>
      <c r="B367" s="2">
        <v>36998</v>
      </c>
      <c r="C367" s="1">
        <v>23</v>
      </c>
      <c r="D367" s="1">
        <v>183</v>
      </c>
      <c r="E367" s="1" t="s">
        <v>32</v>
      </c>
      <c r="F367" s="1" t="s">
        <v>38</v>
      </c>
      <c r="G367" s="1" t="s">
        <v>23</v>
      </c>
      <c r="H367" s="1" t="s">
        <v>54</v>
      </c>
      <c r="I367" s="1" t="s">
        <v>82</v>
      </c>
      <c r="J367" s="1">
        <v>98</v>
      </c>
      <c r="K367" s="1">
        <v>78</v>
      </c>
      <c r="L367" s="1">
        <v>66</v>
      </c>
      <c r="M367" s="1">
        <v>76</v>
      </c>
      <c r="N367" s="17">
        <v>0.27939999999999998</v>
      </c>
      <c r="O367" s="1">
        <v>380</v>
      </c>
      <c r="P367" s="15">
        <v>0.40920000000000001</v>
      </c>
      <c r="Q367" s="1">
        <v>100.2282</v>
      </c>
      <c r="R367" s="1" t="s">
        <v>34</v>
      </c>
      <c r="S367" s="1">
        <v>697.98860000000002</v>
      </c>
      <c r="T367" s="1" t="s">
        <v>28</v>
      </c>
      <c r="U367" s="1" t="s">
        <v>36</v>
      </c>
    </row>
    <row r="368" spans="1:21" x14ac:dyDescent="0.3">
      <c r="A368" s="1" t="s">
        <v>167</v>
      </c>
      <c r="B368" s="2">
        <v>37338</v>
      </c>
      <c r="C368" s="1">
        <v>22</v>
      </c>
      <c r="D368" s="1">
        <v>178</v>
      </c>
      <c r="E368" s="1" t="s">
        <v>32</v>
      </c>
      <c r="F368" s="1" t="s">
        <v>109</v>
      </c>
      <c r="G368" s="1" t="s">
        <v>63</v>
      </c>
      <c r="H368" s="1" t="s">
        <v>54</v>
      </c>
      <c r="I368" s="1" t="s">
        <v>88</v>
      </c>
      <c r="J368" s="1">
        <v>115</v>
      </c>
      <c r="K368" s="1">
        <v>18</v>
      </c>
      <c r="L368" s="1">
        <v>61</v>
      </c>
      <c r="M368" s="1">
        <v>75</v>
      </c>
      <c r="N368" s="17">
        <v>0.83740000000000003</v>
      </c>
      <c r="O368" s="1">
        <v>47</v>
      </c>
      <c r="P368" s="15">
        <v>0.83409999999999995</v>
      </c>
      <c r="Q368" s="1">
        <v>32.3566</v>
      </c>
      <c r="R368" s="1" t="s">
        <v>27</v>
      </c>
      <c r="S368" s="1">
        <v>317.41149999999999</v>
      </c>
      <c r="T368" s="1" t="s">
        <v>46</v>
      </c>
      <c r="U368" s="1" t="s">
        <v>29</v>
      </c>
    </row>
    <row r="369" spans="1:21" x14ac:dyDescent="0.3">
      <c r="A369" s="1" t="s">
        <v>168</v>
      </c>
      <c r="B369" s="2">
        <v>37298</v>
      </c>
      <c r="C369" s="1">
        <v>22</v>
      </c>
      <c r="D369" s="1">
        <v>172</v>
      </c>
      <c r="E369" s="1" t="s">
        <v>24</v>
      </c>
      <c r="F369" s="1" t="s">
        <v>75</v>
      </c>
      <c r="G369" s="1" t="s">
        <v>53</v>
      </c>
      <c r="H369" s="1" t="s">
        <v>25</v>
      </c>
      <c r="I369" s="1" t="s">
        <v>85</v>
      </c>
      <c r="J369" s="1">
        <v>16</v>
      </c>
      <c r="K369" s="1">
        <v>77</v>
      </c>
      <c r="L369" s="1">
        <v>85</v>
      </c>
      <c r="M369" s="1">
        <v>60</v>
      </c>
      <c r="N369" s="17">
        <v>0.98550000000000004</v>
      </c>
      <c r="O369" s="1">
        <v>49</v>
      </c>
      <c r="P369" s="15">
        <v>0.75219999999999998</v>
      </c>
      <c r="Q369" s="1">
        <v>153.8365</v>
      </c>
      <c r="R369" s="1" t="s">
        <v>40</v>
      </c>
      <c r="S369" s="1">
        <v>290.3177</v>
      </c>
      <c r="T369" s="1" t="s">
        <v>46</v>
      </c>
      <c r="U369" s="1" t="s">
        <v>56</v>
      </c>
    </row>
    <row r="370" spans="1:21" x14ac:dyDescent="0.3">
      <c r="A370" s="1" t="s">
        <v>169</v>
      </c>
      <c r="B370" s="2">
        <v>37590</v>
      </c>
      <c r="C370" s="1">
        <v>22</v>
      </c>
      <c r="D370" s="1">
        <v>180</v>
      </c>
      <c r="E370" s="1" t="s">
        <v>32</v>
      </c>
      <c r="F370" s="1" t="s">
        <v>84</v>
      </c>
      <c r="G370" s="1" t="s">
        <v>63</v>
      </c>
      <c r="H370" s="1" t="s">
        <v>25</v>
      </c>
      <c r="I370" s="1" t="s">
        <v>112</v>
      </c>
      <c r="J370" s="1">
        <v>124</v>
      </c>
      <c r="K370" s="1">
        <v>11</v>
      </c>
      <c r="L370" s="1">
        <v>96</v>
      </c>
      <c r="M370" s="1">
        <v>64</v>
      </c>
      <c r="N370" s="17">
        <v>0.73660000000000003</v>
      </c>
      <c r="O370" s="1">
        <v>332</v>
      </c>
      <c r="P370" s="15">
        <v>0.59599999999999997</v>
      </c>
      <c r="Q370" s="1">
        <v>19.8841</v>
      </c>
      <c r="R370" s="1" t="s">
        <v>40</v>
      </c>
      <c r="S370" s="1">
        <v>628.00260000000003</v>
      </c>
      <c r="T370" s="1" t="s">
        <v>46</v>
      </c>
      <c r="U370" s="1" t="s">
        <v>113</v>
      </c>
    </row>
    <row r="371" spans="1:21" x14ac:dyDescent="0.3">
      <c r="A371" s="1" t="s">
        <v>170</v>
      </c>
      <c r="B371" s="2">
        <v>37441</v>
      </c>
      <c r="C371" s="1">
        <v>22</v>
      </c>
      <c r="D371" s="1">
        <v>183</v>
      </c>
      <c r="E371" s="1" t="s">
        <v>32</v>
      </c>
      <c r="F371" s="1" t="s">
        <v>109</v>
      </c>
      <c r="G371" s="1" t="s">
        <v>63</v>
      </c>
      <c r="H371" s="1" t="s">
        <v>54</v>
      </c>
      <c r="I371" s="1" t="s">
        <v>85</v>
      </c>
      <c r="J371" s="1">
        <v>125</v>
      </c>
      <c r="K371" s="1">
        <v>10</v>
      </c>
      <c r="L371" s="1">
        <v>88</v>
      </c>
      <c r="M371" s="1">
        <v>25</v>
      </c>
      <c r="N371" s="17">
        <v>0.64929999999999999</v>
      </c>
      <c r="O371" s="1">
        <v>186</v>
      </c>
      <c r="P371" s="15">
        <v>0.57050000000000001</v>
      </c>
      <c r="Q371" s="1">
        <v>15.8003</v>
      </c>
      <c r="R371" s="1" t="s">
        <v>27</v>
      </c>
      <c r="S371" s="1">
        <v>435.41980000000001</v>
      </c>
      <c r="T371" s="1" t="s">
        <v>35</v>
      </c>
      <c r="U371" s="1" t="s">
        <v>113</v>
      </c>
    </row>
    <row r="372" spans="1:21" x14ac:dyDescent="0.3">
      <c r="A372" s="1" t="s">
        <v>171</v>
      </c>
      <c r="B372" s="2">
        <v>37618</v>
      </c>
      <c r="C372" s="1">
        <v>22</v>
      </c>
      <c r="D372" s="1">
        <v>166</v>
      </c>
      <c r="E372" s="1" t="s">
        <v>76</v>
      </c>
      <c r="F372" s="1" t="s">
        <v>79</v>
      </c>
      <c r="G372" s="1" t="s">
        <v>43</v>
      </c>
      <c r="H372" s="1" t="s">
        <v>54</v>
      </c>
      <c r="I372" s="1" t="s">
        <v>99</v>
      </c>
      <c r="J372" s="1">
        <v>43</v>
      </c>
      <c r="K372" s="1">
        <v>60</v>
      </c>
      <c r="L372" s="1">
        <v>88</v>
      </c>
      <c r="M372" s="1">
        <v>56</v>
      </c>
      <c r="N372" s="17">
        <v>0.27200000000000002</v>
      </c>
      <c r="O372" s="1">
        <v>207</v>
      </c>
      <c r="P372" s="15">
        <v>0.50860000000000005</v>
      </c>
      <c r="Q372" s="1">
        <v>76.345399999999998</v>
      </c>
      <c r="R372" s="1" t="s">
        <v>45</v>
      </c>
      <c r="S372" s="1">
        <v>454.75060000000002</v>
      </c>
      <c r="T372" s="1" t="s">
        <v>35</v>
      </c>
      <c r="U372" s="1" t="s">
        <v>65</v>
      </c>
    </row>
    <row r="373" spans="1:21" x14ac:dyDescent="0.3">
      <c r="A373" s="1" t="s">
        <v>172</v>
      </c>
      <c r="B373" s="2">
        <v>37897</v>
      </c>
      <c r="C373" s="1">
        <v>21</v>
      </c>
      <c r="D373" s="1">
        <v>180</v>
      </c>
      <c r="E373" s="1" t="s">
        <v>32</v>
      </c>
      <c r="F373" s="1" t="s">
        <v>69</v>
      </c>
      <c r="G373" s="1" t="s">
        <v>43</v>
      </c>
      <c r="H373" s="1" t="s">
        <v>54</v>
      </c>
      <c r="I373" s="1" t="s">
        <v>33</v>
      </c>
      <c r="J373" s="1">
        <v>15</v>
      </c>
      <c r="K373" s="1">
        <v>23</v>
      </c>
      <c r="L373" s="1">
        <v>69</v>
      </c>
      <c r="M373" s="1">
        <v>31</v>
      </c>
      <c r="N373" s="17">
        <v>0.52590000000000003</v>
      </c>
      <c r="O373" s="1">
        <v>233</v>
      </c>
      <c r="P373" s="15">
        <v>0.63890000000000002</v>
      </c>
      <c r="Q373" s="1">
        <v>35.004100000000001</v>
      </c>
      <c r="R373" s="1" t="s">
        <v>45</v>
      </c>
      <c r="S373" s="1">
        <v>372.8048</v>
      </c>
      <c r="T373" s="1" t="s">
        <v>46</v>
      </c>
      <c r="U373" s="1" t="s">
        <v>65</v>
      </c>
    </row>
    <row r="374" spans="1:21" x14ac:dyDescent="0.3">
      <c r="A374" s="1" t="s">
        <v>173</v>
      </c>
      <c r="B374" s="2">
        <v>37519</v>
      </c>
      <c r="C374" s="1">
        <v>22</v>
      </c>
      <c r="D374" s="1">
        <v>168</v>
      </c>
      <c r="E374" s="1" t="s">
        <v>24</v>
      </c>
      <c r="F374" s="1" t="s">
        <v>79</v>
      </c>
      <c r="G374" s="1" t="s">
        <v>43</v>
      </c>
      <c r="H374" s="1" t="s">
        <v>54</v>
      </c>
      <c r="I374" s="1" t="s">
        <v>82</v>
      </c>
      <c r="J374" s="1">
        <v>19</v>
      </c>
      <c r="K374" s="1">
        <v>20</v>
      </c>
      <c r="L374" s="1">
        <v>13</v>
      </c>
      <c r="M374" s="1">
        <v>54</v>
      </c>
      <c r="N374" s="17">
        <v>0.2666</v>
      </c>
      <c r="O374" s="1">
        <v>305</v>
      </c>
      <c r="P374" s="15">
        <v>0.49740000000000001</v>
      </c>
      <c r="Q374" s="1">
        <v>25.4207</v>
      </c>
      <c r="R374" s="1" t="s">
        <v>45</v>
      </c>
      <c r="S374" s="1">
        <v>411.81400000000002</v>
      </c>
      <c r="T374" s="1" t="s">
        <v>35</v>
      </c>
      <c r="U374" s="1" t="s">
        <v>102</v>
      </c>
    </row>
    <row r="375" spans="1:21" x14ac:dyDescent="0.3">
      <c r="A375" s="1" t="s">
        <v>174</v>
      </c>
      <c r="B375" s="2">
        <v>37357</v>
      </c>
      <c r="C375" s="1">
        <v>22</v>
      </c>
      <c r="D375" s="1">
        <v>169</v>
      </c>
      <c r="E375" s="1" t="s">
        <v>24</v>
      </c>
      <c r="F375" s="1" t="s">
        <v>75</v>
      </c>
      <c r="G375" s="1" t="s">
        <v>53</v>
      </c>
      <c r="H375" s="1" t="s">
        <v>54</v>
      </c>
      <c r="I375" s="1" t="s">
        <v>73</v>
      </c>
      <c r="J375" s="1">
        <v>46</v>
      </c>
      <c r="K375" s="1">
        <v>71</v>
      </c>
      <c r="L375" s="1">
        <v>14</v>
      </c>
      <c r="M375" s="1">
        <v>6</v>
      </c>
      <c r="N375" s="17">
        <v>0.3629</v>
      </c>
      <c r="O375" s="1">
        <v>23</v>
      </c>
      <c r="P375" s="15">
        <v>0.82479999999999998</v>
      </c>
      <c r="Q375" s="1">
        <v>96.888599999999997</v>
      </c>
      <c r="R375" s="1" t="s">
        <v>45</v>
      </c>
      <c r="S375" s="1">
        <v>160.11770000000001</v>
      </c>
      <c r="T375" s="1" t="s">
        <v>28</v>
      </c>
      <c r="U375" s="1" t="s">
        <v>113</v>
      </c>
    </row>
    <row r="376" spans="1:21" x14ac:dyDescent="0.3">
      <c r="A376" s="1" t="s">
        <v>175</v>
      </c>
      <c r="B376" s="2">
        <v>37872</v>
      </c>
      <c r="C376" s="1">
        <v>21</v>
      </c>
      <c r="D376" s="1">
        <v>175</v>
      </c>
      <c r="E376" s="1" t="s">
        <v>32</v>
      </c>
      <c r="F376" s="1" t="s">
        <v>22</v>
      </c>
      <c r="G376" s="1" t="s">
        <v>23</v>
      </c>
      <c r="H376" s="1" t="s">
        <v>54</v>
      </c>
      <c r="I376" s="1" t="s">
        <v>99</v>
      </c>
      <c r="J376" s="1">
        <v>28</v>
      </c>
      <c r="K376" s="1">
        <v>6</v>
      </c>
      <c r="L376" s="1">
        <v>94</v>
      </c>
      <c r="M376" s="1">
        <v>48</v>
      </c>
      <c r="N376" s="17">
        <v>0.46060000000000001</v>
      </c>
      <c r="O376" s="1">
        <v>329</v>
      </c>
      <c r="P376" s="15">
        <v>0.43330000000000002</v>
      </c>
      <c r="Q376" s="1">
        <v>8.8950999999999993</v>
      </c>
      <c r="R376" s="1" t="s">
        <v>27</v>
      </c>
      <c r="S376" s="1">
        <v>506.94389999999999</v>
      </c>
      <c r="T376" s="1" t="s">
        <v>28</v>
      </c>
      <c r="U376" s="1" t="s">
        <v>36</v>
      </c>
    </row>
    <row r="377" spans="1:21" x14ac:dyDescent="0.3">
      <c r="A377" s="1" t="s">
        <v>176</v>
      </c>
      <c r="B377" s="2">
        <v>37744</v>
      </c>
      <c r="C377" s="1">
        <v>21</v>
      </c>
      <c r="D377" s="1">
        <v>163</v>
      </c>
      <c r="E377" s="1" t="s">
        <v>76</v>
      </c>
      <c r="F377" s="1" t="s">
        <v>75</v>
      </c>
      <c r="G377" s="1" t="s">
        <v>53</v>
      </c>
      <c r="H377" s="1" t="s">
        <v>25</v>
      </c>
      <c r="I377" s="1" t="s">
        <v>107</v>
      </c>
      <c r="J377" s="1">
        <v>68</v>
      </c>
      <c r="K377" s="1">
        <v>45</v>
      </c>
      <c r="L377" s="1">
        <v>86</v>
      </c>
      <c r="M377" s="1">
        <v>99</v>
      </c>
      <c r="N377" s="17">
        <v>0.65890000000000004</v>
      </c>
      <c r="O377" s="1">
        <v>123</v>
      </c>
      <c r="P377" s="15">
        <v>0.67430000000000001</v>
      </c>
      <c r="Q377" s="1">
        <v>74.368499999999997</v>
      </c>
      <c r="R377" s="1" t="s">
        <v>27</v>
      </c>
      <c r="S377" s="1">
        <v>422.31319999999999</v>
      </c>
      <c r="T377" s="1" t="s">
        <v>28</v>
      </c>
      <c r="U377" s="1" t="s">
        <v>102</v>
      </c>
    </row>
    <row r="378" spans="1:21" x14ac:dyDescent="0.3">
      <c r="A378" s="1" t="s">
        <v>177</v>
      </c>
      <c r="B378" s="2">
        <v>37383</v>
      </c>
      <c r="C378" s="1">
        <v>22</v>
      </c>
      <c r="D378" s="1">
        <v>165</v>
      </c>
      <c r="E378" s="1" t="s">
        <v>76</v>
      </c>
      <c r="F378" s="1" t="s">
        <v>62</v>
      </c>
      <c r="G378" s="1" t="s">
        <v>63</v>
      </c>
      <c r="H378" s="1" t="s">
        <v>25</v>
      </c>
      <c r="I378" s="1" t="s">
        <v>50</v>
      </c>
      <c r="J378" s="1">
        <v>24</v>
      </c>
      <c r="K378" s="1">
        <v>41</v>
      </c>
      <c r="L378" s="1">
        <v>69</v>
      </c>
      <c r="M378" s="1">
        <v>48</v>
      </c>
      <c r="N378" s="17">
        <v>0.35930000000000001</v>
      </c>
      <c r="O378" s="1">
        <v>14</v>
      </c>
      <c r="P378" s="15">
        <v>0.5272</v>
      </c>
      <c r="Q378" s="1">
        <v>56.3294</v>
      </c>
      <c r="R378" s="1" t="s">
        <v>45</v>
      </c>
      <c r="S378" s="1">
        <v>197.4365</v>
      </c>
      <c r="T378" s="1" t="s">
        <v>28</v>
      </c>
      <c r="U378" s="1" t="s">
        <v>102</v>
      </c>
    </row>
    <row r="379" spans="1:21" x14ac:dyDescent="0.3">
      <c r="A379" s="1" t="s">
        <v>178</v>
      </c>
      <c r="B379" s="2">
        <v>37127</v>
      </c>
      <c r="C379" s="1">
        <v>23</v>
      </c>
      <c r="D379" s="1">
        <v>173</v>
      </c>
      <c r="E379" s="1" t="s">
        <v>24</v>
      </c>
      <c r="F379" s="1" t="s">
        <v>69</v>
      </c>
      <c r="G379" s="1" t="s">
        <v>43</v>
      </c>
      <c r="H379" s="1" t="s">
        <v>25</v>
      </c>
      <c r="I379" s="1" t="s">
        <v>67</v>
      </c>
      <c r="J379" s="1">
        <v>136</v>
      </c>
      <c r="K379" s="1">
        <v>83</v>
      </c>
      <c r="L379" s="1">
        <v>8</v>
      </c>
      <c r="M379" s="1">
        <v>17</v>
      </c>
      <c r="N379" s="17">
        <v>0.77410000000000001</v>
      </c>
      <c r="O379" s="1">
        <v>124</v>
      </c>
      <c r="P379" s="15">
        <v>0.65610000000000002</v>
      </c>
      <c r="Q379" s="1">
        <v>146.96639999999999</v>
      </c>
      <c r="R379" s="1" t="s">
        <v>40</v>
      </c>
      <c r="S379" s="1">
        <v>369.86020000000002</v>
      </c>
      <c r="T379" s="1" t="s">
        <v>35</v>
      </c>
      <c r="U379" s="1" t="s">
        <v>29</v>
      </c>
    </row>
    <row r="380" spans="1:21" x14ac:dyDescent="0.3">
      <c r="A380" s="1" t="s">
        <v>179</v>
      </c>
      <c r="B380" s="2">
        <v>37716</v>
      </c>
      <c r="C380" s="1">
        <v>21</v>
      </c>
      <c r="D380" s="1">
        <v>182</v>
      </c>
      <c r="E380" s="1" t="s">
        <v>32</v>
      </c>
      <c r="F380" s="1" t="s">
        <v>104</v>
      </c>
      <c r="G380" s="1" t="s">
        <v>53</v>
      </c>
      <c r="H380" s="1" t="s">
        <v>54</v>
      </c>
      <c r="I380" s="1" t="s">
        <v>123</v>
      </c>
      <c r="J380" s="1">
        <v>66</v>
      </c>
      <c r="K380" s="1">
        <v>60</v>
      </c>
      <c r="L380" s="1">
        <v>89</v>
      </c>
      <c r="M380" s="1">
        <v>74</v>
      </c>
      <c r="N380" s="17">
        <v>0.12330000000000001</v>
      </c>
      <c r="O380" s="1">
        <v>242</v>
      </c>
      <c r="P380" s="15">
        <v>0.503</v>
      </c>
      <c r="Q380" s="1">
        <v>67.633899999999997</v>
      </c>
      <c r="R380" s="1" t="s">
        <v>27</v>
      </c>
      <c r="S380" s="1">
        <v>531.71630000000005</v>
      </c>
      <c r="T380" s="1" t="s">
        <v>46</v>
      </c>
      <c r="U380" s="1" t="s">
        <v>113</v>
      </c>
    </row>
    <row r="381" spans="1:21" x14ac:dyDescent="0.3">
      <c r="A381" s="1" t="s">
        <v>180</v>
      </c>
      <c r="B381" s="2">
        <v>37250</v>
      </c>
      <c r="C381" s="1">
        <v>23</v>
      </c>
      <c r="D381" s="1">
        <v>184</v>
      </c>
      <c r="E381" s="1" t="s">
        <v>32</v>
      </c>
      <c r="F381" s="1" t="s">
        <v>72</v>
      </c>
      <c r="G381" s="1" t="s">
        <v>53</v>
      </c>
      <c r="H381" s="1" t="s">
        <v>54</v>
      </c>
      <c r="I381" s="1" t="s">
        <v>117</v>
      </c>
      <c r="J381" s="1">
        <v>137</v>
      </c>
      <c r="K381" s="1">
        <v>19</v>
      </c>
      <c r="L381" s="1">
        <v>59</v>
      </c>
      <c r="M381" s="1">
        <v>64</v>
      </c>
      <c r="N381" s="17">
        <v>0.18210000000000001</v>
      </c>
      <c r="O381" s="1">
        <v>197</v>
      </c>
      <c r="P381" s="15">
        <v>0.55659999999999998</v>
      </c>
      <c r="Q381" s="1">
        <v>22.424399999999999</v>
      </c>
      <c r="R381" s="1" t="s">
        <v>40</v>
      </c>
      <c r="S381" s="1">
        <v>477.18869999999998</v>
      </c>
      <c r="T381" s="1" t="s">
        <v>35</v>
      </c>
      <c r="U381" s="1" t="s">
        <v>102</v>
      </c>
    </row>
    <row r="382" spans="1:21" x14ac:dyDescent="0.3">
      <c r="A382" s="1" t="s">
        <v>181</v>
      </c>
      <c r="B382" s="2">
        <v>37906</v>
      </c>
      <c r="C382" s="1">
        <v>21</v>
      </c>
      <c r="D382" s="1">
        <v>173</v>
      </c>
      <c r="E382" s="1" t="s">
        <v>24</v>
      </c>
      <c r="F382" s="1" t="s">
        <v>42</v>
      </c>
      <c r="G382" s="1" t="s">
        <v>43</v>
      </c>
      <c r="H382" s="1" t="s">
        <v>54</v>
      </c>
      <c r="I382" s="1" t="s">
        <v>110</v>
      </c>
      <c r="J382" s="1">
        <v>122</v>
      </c>
      <c r="K382" s="1">
        <v>55</v>
      </c>
      <c r="L382" s="1">
        <v>46</v>
      </c>
      <c r="M382" s="1">
        <v>32</v>
      </c>
      <c r="N382" s="17">
        <v>0.97319999999999995</v>
      </c>
      <c r="O382" s="1">
        <v>130</v>
      </c>
      <c r="P382" s="15">
        <v>0.58189999999999997</v>
      </c>
      <c r="Q382" s="1">
        <v>109.4337</v>
      </c>
      <c r="R382" s="1" t="s">
        <v>27</v>
      </c>
      <c r="S382" s="1">
        <v>387.39510000000001</v>
      </c>
      <c r="T382" s="1" t="s">
        <v>46</v>
      </c>
      <c r="U382" s="1" t="s">
        <v>113</v>
      </c>
    </row>
    <row r="383" spans="1:21" x14ac:dyDescent="0.3">
      <c r="A383" s="1" t="s">
        <v>182</v>
      </c>
      <c r="B383" s="2">
        <v>37953</v>
      </c>
      <c r="C383" s="1">
        <v>21</v>
      </c>
      <c r="D383" s="1">
        <v>166</v>
      </c>
      <c r="E383" s="1" t="s">
        <v>76</v>
      </c>
      <c r="F383" s="1" t="s">
        <v>104</v>
      </c>
      <c r="G383" s="1" t="s">
        <v>53</v>
      </c>
      <c r="H383" s="1" t="s">
        <v>54</v>
      </c>
      <c r="I383" s="1" t="s">
        <v>123</v>
      </c>
      <c r="J383" s="1">
        <v>94</v>
      </c>
      <c r="K383" s="1">
        <v>76</v>
      </c>
      <c r="L383" s="1">
        <v>21</v>
      </c>
      <c r="M383" s="1">
        <v>55</v>
      </c>
      <c r="N383" s="17">
        <v>0.49430000000000002</v>
      </c>
      <c r="O383" s="1">
        <v>371</v>
      </c>
      <c r="P383" s="15">
        <v>0.71419999999999995</v>
      </c>
      <c r="Q383" s="1">
        <v>113.9254</v>
      </c>
      <c r="R383" s="1" t="s">
        <v>27</v>
      </c>
      <c r="S383" s="1">
        <v>619.29849999999999</v>
      </c>
      <c r="T383" s="1" t="s">
        <v>28</v>
      </c>
      <c r="U383" s="1" t="s">
        <v>102</v>
      </c>
    </row>
    <row r="384" spans="1:21" x14ac:dyDescent="0.3">
      <c r="A384" s="1" t="s">
        <v>183</v>
      </c>
      <c r="B384" s="2">
        <v>36920</v>
      </c>
      <c r="C384" s="1">
        <v>23</v>
      </c>
      <c r="D384" s="1">
        <v>177</v>
      </c>
      <c r="E384" s="1" t="s">
        <v>32</v>
      </c>
      <c r="F384" s="1" t="s">
        <v>69</v>
      </c>
      <c r="G384" s="1" t="s">
        <v>43</v>
      </c>
      <c r="H384" s="1" t="s">
        <v>54</v>
      </c>
      <c r="I384" s="1" t="s">
        <v>55</v>
      </c>
      <c r="J384" s="1">
        <v>34</v>
      </c>
      <c r="K384" s="1">
        <v>84</v>
      </c>
      <c r="L384" s="1">
        <v>12</v>
      </c>
      <c r="M384" s="1">
        <v>95</v>
      </c>
      <c r="N384" s="17">
        <v>0.23860000000000001</v>
      </c>
      <c r="O384" s="1">
        <v>259</v>
      </c>
      <c r="P384" s="15">
        <v>0.81969999999999998</v>
      </c>
      <c r="Q384" s="1">
        <v>104.414</v>
      </c>
      <c r="R384" s="1" t="s">
        <v>40</v>
      </c>
      <c r="S384" s="1">
        <v>486.26830000000001</v>
      </c>
      <c r="T384" s="1" t="s">
        <v>46</v>
      </c>
      <c r="U384" s="1" t="s">
        <v>102</v>
      </c>
    </row>
    <row r="385" spans="1:21" x14ac:dyDescent="0.3">
      <c r="A385" s="1" t="s">
        <v>184</v>
      </c>
      <c r="B385" s="2">
        <v>37391</v>
      </c>
      <c r="C385" s="1">
        <v>22</v>
      </c>
      <c r="D385" s="1">
        <v>175</v>
      </c>
      <c r="E385" s="1" t="s">
        <v>32</v>
      </c>
      <c r="F385" s="1" t="s">
        <v>72</v>
      </c>
      <c r="G385" s="1" t="s">
        <v>53</v>
      </c>
      <c r="H385" s="1" t="s">
        <v>54</v>
      </c>
      <c r="I385" s="1" t="s">
        <v>67</v>
      </c>
      <c r="J385" s="1">
        <v>58</v>
      </c>
      <c r="K385" s="1">
        <v>92</v>
      </c>
      <c r="L385" s="1">
        <v>51</v>
      </c>
      <c r="M385" s="1">
        <v>88</v>
      </c>
      <c r="N385" s="17">
        <v>0.34860000000000002</v>
      </c>
      <c r="O385" s="1">
        <v>346</v>
      </c>
      <c r="P385" s="15">
        <v>0.75549999999999995</v>
      </c>
      <c r="Q385" s="1">
        <v>124.4218</v>
      </c>
      <c r="R385" s="1" t="s">
        <v>45</v>
      </c>
      <c r="S385" s="1">
        <v>636.63409999999999</v>
      </c>
      <c r="T385" s="1" t="s">
        <v>35</v>
      </c>
      <c r="U385" s="1" t="s">
        <v>113</v>
      </c>
    </row>
    <row r="386" spans="1:21" x14ac:dyDescent="0.3">
      <c r="A386" s="1" t="s">
        <v>185</v>
      </c>
      <c r="B386" s="2">
        <v>37503</v>
      </c>
      <c r="C386" s="1">
        <v>22</v>
      </c>
      <c r="D386" s="1">
        <v>183</v>
      </c>
      <c r="E386" s="1" t="s">
        <v>32</v>
      </c>
      <c r="F386" s="1" t="s">
        <v>72</v>
      </c>
      <c r="G386" s="1" t="s">
        <v>53</v>
      </c>
      <c r="H386" s="1" t="s">
        <v>54</v>
      </c>
      <c r="I386" s="1" t="s">
        <v>67</v>
      </c>
      <c r="J386" s="1">
        <v>68</v>
      </c>
      <c r="K386" s="1">
        <v>49</v>
      </c>
      <c r="L386" s="1">
        <v>34</v>
      </c>
      <c r="M386" s="1">
        <v>77</v>
      </c>
      <c r="N386" s="17">
        <v>0.93959999999999999</v>
      </c>
      <c r="O386" s="1">
        <v>152</v>
      </c>
      <c r="P386" s="15">
        <v>0.7913</v>
      </c>
      <c r="Q386" s="1">
        <v>94.943399999999997</v>
      </c>
      <c r="R386" s="1" t="s">
        <v>34</v>
      </c>
      <c r="S386" s="1">
        <v>380.16090000000003</v>
      </c>
      <c r="T386" s="1" t="s">
        <v>46</v>
      </c>
      <c r="U386" s="1" t="s">
        <v>56</v>
      </c>
    </row>
    <row r="387" spans="1:21" x14ac:dyDescent="0.3">
      <c r="A387" s="1" t="s">
        <v>186</v>
      </c>
      <c r="B387" s="2">
        <v>37860</v>
      </c>
      <c r="C387" s="1">
        <v>21</v>
      </c>
      <c r="D387" s="1">
        <v>170</v>
      </c>
      <c r="E387" s="1" t="s">
        <v>24</v>
      </c>
      <c r="F387" s="1" t="s">
        <v>69</v>
      </c>
      <c r="G387" s="1" t="s">
        <v>43</v>
      </c>
      <c r="H387" s="1" t="s">
        <v>54</v>
      </c>
      <c r="I387" s="1" t="s">
        <v>107</v>
      </c>
      <c r="J387" s="1">
        <v>148</v>
      </c>
      <c r="K387" s="1">
        <v>79</v>
      </c>
      <c r="L387" s="1">
        <v>66</v>
      </c>
      <c r="M387" s="1">
        <v>16</v>
      </c>
      <c r="N387" s="17">
        <v>0.21360000000000001</v>
      </c>
      <c r="O387" s="1">
        <v>386</v>
      </c>
      <c r="P387" s="15">
        <v>0.83440000000000003</v>
      </c>
      <c r="Q387" s="1">
        <v>96.420500000000004</v>
      </c>
      <c r="R387" s="1" t="s">
        <v>40</v>
      </c>
      <c r="S387" s="1">
        <v>696.33799999999997</v>
      </c>
      <c r="T387" s="1" t="s">
        <v>28</v>
      </c>
      <c r="U387" s="1" t="s">
        <v>113</v>
      </c>
    </row>
    <row r="388" spans="1:21" x14ac:dyDescent="0.3">
      <c r="A388" s="1" t="s">
        <v>187</v>
      </c>
      <c r="B388" s="2">
        <v>37187</v>
      </c>
      <c r="C388" s="1">
        <v>23</v>
      </c>
      <c r="D388" s="1">
        <v>160</v>
      </c>
      <c r="E388" s="1" t="s">
        <v>76</v>
      </c>
      <c r="F388" s="1" t="s">
        <v>104</v>
      </c>
      <c r="G388" s="1" t="s">
        <v>53</v>
      </c>
      <c r="H388" s="1" t="s">
        <v>54</v>
      </c>
      <c r="I388" s="1" t="s">
        <v>67</v>
      </c>
      <c r="J388" s="1">
        <v>12</v>
      </c>
      <c r="K388" s="1">
        <v>78</v>
      </c>
      <c r="L388" s="1">
        <v>27</v>
      </c>
      <c r="M388" s="1">
        <v>63</v>
      </c>
      <c r="N388" s="17">
        <v>0.17230000000000001</v>
      </c>
      <c r="O388" s="1">
        <v>160</v>
      </c>
      <c r="P388" s="15">
        <v>0.54790000000000005</v>
      </c>
      <c r="Q388" s="1">
        <v>91.873199999999997</v>
      </c>
      <c r="R388" s="1" t="s">
        <v>45</v>
      </c>
      <c r="S388" s="1">
        <v>340.78019999999998</v>
      </c>
      <c r="T388" s="1" t="s">
        <v>35</v>
      </c>
      <c r="U388" s="1" t="s">
        <v>102</v>
      </c>
    </row>
    <row r="389" spans="1:21" x14ac:dyDescent="0.3">
      <c r="A389" s="1" t="s">
        <v>188</v>
      </c>
      <c r="B389" s="2">
        <v>37032</v>
      </c>
      <c r="C389" s="1">
        <v>23</v>
      </c>
      <c r="D389" s="1">
        <v>179</v>
      </c>
      <c r="E389" s="1" t="s">
        <v>32</v>
      </c>
      <c r="F389" s="1" t="s">
        <v>109</v>
      </c>
      <c r="G389" s="1" t="s">
        <v>63</v>
      </c>
      <c r="H389" s="1" t="s">
        <v>25</v>
      </c>
      <c r="I389" s="1" t="s">
        <v>92</v>
      </c>
      <c r="J389" s="1">
        <v>150</v>
      </c>
      <c r="K389" s="1">
        <v>75</v>
      </c>
      <c r="L389" s="1">
        <v>44</v>
      </c>
      <c r="M389" s="1">
        <v>11</v>
      </c>
      <c r="N389" s="17">
        <v>0.88529999999999998</v>
      </c>
      <c r="O389" s="1">
        <v>254</v>
      </c>
      <c r="P389" s="15">
        <v>0.59970000000000001</v>
      </c>
      <c r="Q389" s="1">
        <v>141.2655</v>
      </c>
      <c r="R389" s="1" t="s">
        <v>40</v>
      </c>
      <c r="S389" s="1">
        <v>534.61500000000001</v>
      </c>
      <c r="T389" s="1" t="s">
        <v>28</v>
      </c>
      <c r="U389" s="1" t="s">
        <v>29</v>
      </c>
    </row>
    <row r="390" spans="1:21" x14ac:dyDescent="0.3">
      <c r="A390" s="1" t="s">
        <v>189</v>
      </c>
      <c r="B390" s="2">
        <v>37659</v>
      </c>
      <c r="C390" s="1">
        <v>21</v>
      </c>
      <c r="D390" s="1">
        <v>171</v>
      </c>
      <c r="E390" s="1" t="s">
        <v>24</v>
      </c>
      <c r="F390" s="1" t="s">
        <v>79</v>
      </c>
      <c r="G390" s="1" t="s">
        <v>43</v>
      </c>
      <c r="H390" s="1" t="s">
        <v>54</v>
      </c>
      <c r="I390" s="1" t="s">
        <v>67</v>
      </c>
      <c r="J390" s="1">
        <v>37</v>
      </c>
      <c r="K390" s="1">
        <v>42</v>
      </c>
      <c r="L390" s="1">
        <v>68</v>
      </c>
      <c r="M390" s="1">
        <v>19</v>
      </c>
      <c r="N390" s="17">
        <v>0.64849999999999997</v>
      </c>
      <c r="O390" s="1">
        <v>71</v>
      </c>
      <c r="P390" s="15">
        <v>0.57210000000000005</v>
      </c>
      <c r="Q390" s="1">
        <v>68.890799999999999</v>
      </c>
      <c r="R390" s="1" t="s">
        <v>34</v>
      </c>
      <c r="S390" s="1">
        <v>238.5806</v>
      </c>
      <c r="T390" s="1" t="s">
        <v>35</v>
      </c>
      <c r="U390" s="1" t="s">
        <v>65</v>
      </c>
    </row>
    <row r="391" spans="1:21" x14ac:dyDescent="0.3">
      <c r="A391" s="1" t="s">
        <v>190</v>
      </c>
      <c r="B391" s="2">
        <v>37412</v>
      </c>
      <c r="C391" s="1">
        <v>22</v>
      </c>
      <c r="D391" s="1">
        <v>180</v>
      </c>
      <c r="E391" s="1" t="s">
        <v>32</v>
      </c>
      <c r="F391" s="1" t="s">
        <v>49</v>
      </c>
      <c r="G391" s="1" t="s">
        <v>43</v>
      </c>
      <c r="H391" s="1" t="s">
        <v>54</v>
      </c>
      <c r="I391" s="1" t="s">
        <v>88</v>
      </c>
      <c r="J391" s="1">
        <v>100</v>
      </c>
      <c r="K391" s="1">
        <v>90</v>
      </c>
      <c r="L391" s="1">
        <v>47</v>
      </c>
      <c r="M391" s="1">
        <v>29</v>
      </c>
      <c r="N391" s="17">
        <v>0.16650000000000001</v>
      </c>
      <c r="O391" s="1">
        <v>219</v>
      </c>
      <c r="P391" s="15">
        <v>0.82540000000000002</v>
      </c>
      <c r="Q391" s="1">
        <v>104.97329999999999</v>
      </c>
      <c r="R391" s="1" t="s">
        <v>40</v>
      </c>
      <c r="S391" s="1">
        <v>486.97190000000001</v>
      </c>
      <c r="T391" s="1" t="s">
        <v>46</v>
      </c>
      <c r="U391" s="1" t="s">
        <v>56</v>
      </c>
    </row>
    <row r="392" spans="1:21" x14ac:dyDescent="0.3">
      <c r="A392" s="1" t="s">
        <v>191</v>
      </c>
      <c r="B392" s="2">
        <v>37679</v>
      </c>
      <c r="C392" s="1">
        <v>21</v>
      </c>
      <c r="D392" s="1">
        <v>166</v>
      </c>
      <c r="E392" s="1" t="s">
        <v>76</v>
      </c>
      <c r="F392" s="1" t="s">
        <v>72</v>
      </c>
      <c r="G392" s="1" t="s">
        <v>53</v>
      </c>
      <c r="H392" s="1" t="s">
        <v>54</v>
      </c>
      <c r="I392" s="1" t="s">
        <v>58</v>
      </c>
      <c r="J392" s="1">
        <v>36</v>
      </c>
      <c r="K392" s="1">
        <v>58</v>
      </c>
      <c r="L392" s="1">
        <v>58</v>
      </c>
      <c r="M392" s="1">
        <v>99</v>
      </c>
      <c r="N392" s="17">
        <v>0.98019999999999996</v>
      </c>
      <c r="O392" s="1">
        <v>119</v>
      </c>
      <c r="P392" s="15">
        <v>0.69620000000000004</v>
      </c>
      <c r="Q392" s="1">
        <v>114.09910000000001</v>
      </c>
      <c r="R392" s="1" t="s">
        <v>40</v>
      </c>
      <c r="S392" s="1">
        <v>371.62639999999999</v>
      </c>
      <c r="T392" s="1" t="s">
        <v>28</v>
      </c>
      <c r="U392" s="1" t="s">
        <v>65</v>
      </c>
    </row>
    <row r="393" spans="1:21" x14ac:dyDescent="0.3">
      <c r="A393" s="1" t="s">
        <v>192</v>
      </c>
      <c r="B393" s="2">
        <v>37363</v>
      </c>
      <c r="C393" s="1">
        <v>22</v>
      </c>
      <c r="D393" s="1">
        <v>169</v>
      </c>
      <c r="E393" s="1" t="s">
        <v>24</v>
      </c>
      <c r="F393" s="1" t="s">
        <v>31</v>
      </c>
      <c r="G393" s="1" t="s">
        <v>23</v>
      </c>
      <c r="H393" s="1" t="s">
        <v>54</v>
      </c>
      <c r="I393" s="1" t="s">
        <v>82</v>
      </c>
      <c r="J393" s="1">
        <v>96</v>
      </c>
      <c r="K393" s="1">
        <v>62</v>
      </c>
      <c r="L393" s="1">
        <v>68</v>
      </c>
      <c r="M393" s="1">
        <v>72</v>
      </c>
      <c r="N393" s="17">
        <v>0.85450000000000004</v>
      </c>
      <c r="O393" s="1">
        <v>264</v>
      </c>
      <c r="P393" s="15">
        <v>0.68269999999999997</v>
      </c>
      <c r="Q393" s="1">
        <v>115.8506</v>
      </c>
      <c r="R393" s="1" t="s">
        <v>27</v>
      </c>
      <c r="S393" s="1">
        <v>564.34720000000004</v>
      </c>
      <c r="T393" s="1" t="s">
        <v>35</v>
      </c>
      <c r="U393" s="1" t="s">
        <v>113</v>
      </c>
    </row>
    <row r="394" spans="1:21" x14ac:dyDescent="0.3">
      <c r="A394" s="1" t="s">
        <v>193</v>
      </c>
      <c r="B394" s="2">
        <v>37161</v>
      </c>
      <c r="C394" s="1">
        <v>23</v>
      </c>
      <c r="D394" s="1">
        <v>183</v>
      </c>
      <c r="E394" s="1" t="s">
        <v>32</v>
      </c>
      <c r="F394" s="1" t="s">
        <v>104</v>
      </c>
      <c r="G394" s="1" t="s">
        <v>53</v>
      </c>
      <c r="H394" s="1" t="s">
        <v>25</v>
      </c>
      <c r="I394" s="1" t="s">
        <v>92</v>
      </c>
      <c r="J394" s="1">
        <v>50</v>
      </c>
      <c r="K394" s="1">
        <v>42</v>
      </c>
      <c r="L394" s="1">
        <v>21</v>
      </c>
      <c r="M394" s="1">
        <v>79</v>
      </c>
      <c r="N394" s="17">
        <v>0.42930000000000001</v>
      </c>
      <c r="O394" s="1">
        <v>351</v>
      </c>
      <c r="P394" s="15">
        <v>0.62580000000000002</v>
      </c>
      <c r="Q394" s="1">
        <v>60.2164</v>
      </c>
      <c r="R394" s="1" t="s">
        <v>40</v>
      </c>
      <c r="S394" s="1">
        <v>543.31510000000003</v>
      </c>
      <c r="T394" s="1" t="s">
        <v>28</v>
      </c>
      <c r="U394" s="1" t="s">
        <v>47</v>
      </c>
    </row>
    <row r="395" spans="1:21" x14ac:dyDescent="0.3">
      <c r="A395" s="1" t="s">
        <v>194</v>
      </c>
      <c r="B395" s="2">
        <v>37127</v>
      </c>
      <c r="C395" s="1">
        <v>23</v>
      </c>
      <c r="D395" s="1">
        <v>185</v>
      </c>
      <c r="E395" s="1" t="s">
        <v>32</v>
      </c>
      <c r="F395" s="1" t="s">
        <v>109</v>
      </c>
      <c r="G395" s="1" t="s">
        <v>63</v>
      </c>
      <c r="H395" s="1" t="s">
        <v>54</v>
      </c>
      <c r="I395" s="1" t="s">
        <v>50</v>
      </c>
      <c r="J395" s="1">
        <v>22</v>
      </c>
      <c r="K395" s="1">
        <v>97</v>
      </c>
      <c r="L395" s="1">
        <v>86</v>
      </c>
      <c r="M395" s="1">
        <v>73</v>
      </c>
      <c r="N395" s="17">
        <v>0.97050000000000003</v>
      </c>
      <c r="O395" s="1">
        <v>392</v>
      </c>
      <c r="P395" s="15">
        <v>0.7621</v>
      </c>
      <c r="Q395" s="1">
        <v>190.50790000000001</v>
      </c>
      <c r="R395" s="1" t="s">
        <v>40</v>
      </c>
      <c r="S395" s="1">
        <v>671.23260000000005</v>
      </c>
      <c r="T395" s="1" t="s">
        <v>28</v>
      </c>
      <c r="U395" s="1" t="s">
        <v>113</v>
      </c>
    </row>
    <row r="396" spans="1:21" x14ac:dyDescent="0.3">
      <c r="A396" s="1" t="s">
        <v>195</v>
      </c>
      <c r="B396" s="2">
        <v>37145</v>
      </c>
      <c r="C396" s="1">
        <v>23</v>
      </c>
      <c r="D396" s="1">
        <v>177</v>
      </c>
      <c r="E396" s="1" t="s">
        <v>32</v>
      </c>
      <c r="F396" s="1" t="s">
        <v>87</v>
      </c>
      <c r="G396" s="1" t="s">
        <v>63</v>
      </c>
      <c r="H396" s="1" t="s">
        <v>54</v>
      </c>
      <c r="I396" s="1" t="s">
        <v>105</v>
      </c>
      <c r="J396" s="1">
        <v>101</v>
      </c>
      <c r="K396" s="1">
        <v>68</v>
      </c>
      <c r="L396" s="1">
        <v>59</v>
      </c>
      <c r="M396" s="1">
        <v>82</v>
      </c>
      <c r="N396" s="17">
        <v>0.19750000000000001</v>
      </c>
      <c r="O396" s="1">
        <v>376</v>
      </c>
      <c r="P396" s="15">
        <v>0.50519999999999998</v>
      </c>
      <c r="Q396" s="1">
        <v>80.903099999999995</v>
      </c>
      <c r="R396" s="1" t="s">
        <v>27</v>
      </c>
      <c r="S396" s="1">
        <v>686.98270000000002</v>
      </c>
      <c r="T396" s="1" t="s">
        <v>46</v>
      </c>
      <c r="U396" s="1" t="s">
        <v>65</v>
      </c>
    </row>
    <row r="397" spans="1:21" x14ac:dyDescent="0.3">
      <c r="A397" s="1" t="s">
        <v>196</v>
      </c>
      <c r="B397" s="2">
        <v>37021</v>
      </c>
      <c r="C397" s="1">
        <v>23</v>
      </c>
      <c r="D397" s="1">
        <v>180</v>
      </c>
      <c r="E397" s="1" t="s">
        <v>32</v>
      </c>
      <c r="F397" s="1" t="s">
        <v>79</v>
      </c>
      <c r="G397" s="1" t="s">
        <v>43</v>
      </c>
      <c r="H397" s="1" t="s">
        <v>54</v>
      </c>
      <c r="I397" s="1" t="s">
        <v>94</v>
      </c>
      <c r="J397" s="1">
        <v>98</v>
      </c>
      <c r="K397" s="1">
        <v>13</v>
      </c>
      <c r="L397" s="1">
        <v>5</v>
      </c>
      <c r="M397" s="1">
        <v>5</v>
      </c>
      <c r="N397" s="17">
        <v>0.20449999999999999</v>
      </c>
      <c r="O397" s="1">
        <v>398</v>
      </c>
      <c r="P397" s="15">
        <v>0.50570000000000004</v>
      </c>
      <c r="Q397" s="1">
        <v>15.1165</v>
      </c>
      <c r="R397" s="1" t="s">
        <v>34</v>
      </c>
      <c r="S397" s="1">
        <v>519.55020000000002</v>
      </c>
      <c r="T397" s="1" t="s">
        <v>35</v>
      </c>
      <c r="U397" s="1" t="s">
        <v>56</v>
      </c>
    </row>
    <row r="398" spans="1:21" x14ac:dyDescent="0.3">
      <c r="A398" s="1" t="s">
        <v>197</v>
      </c>
      <c r="B398" s="2">
        <v>37208</v>
      </c>
      <c r="C398" s="1">
        <v>23</v>
      </c>
      <c r="D398" s="1">
        <v>178</v>
      </c>
      <c r="E398" s="1" t="s">
        <v>32</v>
      </c>
      <c r="F398" s="1" t="s">
        <v>84</v>
      </c>
      <c r="G398" s="1" t="s">
        <v>63</v>
      </c>
      <c r="H398" s="1" t="s">
        <v>54</v>
      </c>
      <c r="I398" s="1" t="s">
        <v>58</v>
      </c>
      <c r="J398" s="1">
        <v>125</v>
      </c>
      <c r="K398" s="1">
        <v>62</v>
      </c>
      <c r="L398" s="1">
        <v>94</v>
      </c>
      <c r="M398" s="1">
        <v>29</v>
      </c>
      <c r="N398" s="17">
        <v>0.29549999999999998</v>
      </c>
      <c r="O398" s="1">
        <v>276</v>
      </c>
      <c r="P398" s="15">
        <v>0.60009999999999997</v>
      </c>
      <c r="Q398" s="1">
        <v>80.256200000000007</v>
      </c>
      <c r="R398" s="1" t="s">
        <v>34</v>
      </c>
      <c r="S398" s="1">
        <v>587.14559999999994</v>
      </c>
      <c r="T398" s="1" t="s">
        <v>35</v>
      </c>
      <c r="U398" s="1" t="s">
        <v>29</v>
      </c>
    </row>
    <row r="399" spans="1:21" x14ac:dyDescent="0.3">
      <c r="A399" s="1" t="s">
        <v>198</v>
      </c>
      <c r="B399" s="2">
        <v>37707</v>
      </c>
      <c r="C399" s="1">
        <v>21</v>
      </c>
      <c r="D399" s="1">
        <v>161</v>
      </c>
      <c r="E399" s="1" t="s">
        <v>76</v>
      </c>
      <c r="F399" s="1" t="s">
        <v>84</v>
      </c>
      <c r="G399" s="1" t="s">
        <v>63</v>
      </c>
      <c r="H399" s="1" t="s">
        <v>54</v>
      </c>
      <c r="I399" s="1" t="s">
        <v>77</v>
      </c>
      <c r="J399" s="1">
        <v>145</v>
      </c>
      <c r="K399" s="1">
        <v>95</v>
      </c>
      <c r="L399" s="1">
        <v>83</v>
      </c>
      <c r="M399" s="1">
        <v>10</v>
      </c>
      <c r="N399" s="17">
        <v>0.67549999999999999</v>
      </c>
      <c r="O399" s="1">
        <v>86</v>
      </c>
      <c r="P399" s="15">
        <v>0.83699999999999997</v>
      </c>
      <c r="Q399" s="1">
        <v>159.08869999999999</v>
      </c>
      <c r="R399" s="1" t="s">
        <v>27</v>
      </c>
      <c r="S399" s="1">
        <v>420.02249999999998</v>
      </c>
      <c r="T399" s="1" t="s">
        <v>35</v>
      </c>
      <c r="U399" s="1" t="s">
        <v>36</v>
      </c>
    </row>
    <row r="400" spans="1:21" x14ac:dyDescent="0.3">
      <c r="A400" s="1" t="s">
        <v>199</v>
      </c>
      <c r="B400" s="2">
        <v>37316</v>
      </c>
      <c r="C400" s="1">
        <v>22</v>
      </c>
      <c r="D400" s="1">
        <v>162</v>
      </c>
      <c r="E400" s="1" t="s">
        <v>76</v>
      </c>
      <c r="F400" s="1" t="s">
        <v>49</v>
      </c>
      <c r="G400" s="1" t="s">
        <v>43</v>
      </c>
      <c r="H400" s="1" t="s">
        <v>25</v>
      </c>
      <c r="I400" s="1" t="s">
        <v>82</v>
      </c>
      <c r="J400" s="1">
        <v>50</v>
      </c>
      <c r="K400" s="1">
        <v>16</v>
      </c>
      <c r="L400" s="1">
        <v>90</v>
      </c>
      <c r="M400" s="1">
        <v>1</v>
      </c>
      <c r="N400" s="17">
        <v>0.23019999999999999</v>
      </c>
      <c r="O400" s="1">
        <v>344</v>
      </c>
      <c r="P400" s="15">
        <v>0.45850000000000002</v>
      </c>
      <c r="Q400" s="1">
        <v>19.203399999999998</v>
      </c>
      <c r="R400" s="1" t="s">
        <v>40</v>
      </c>
      <c r="S400" s="1">
        <v>501.18869999999998</v>
      </c>
      <c r="T400" s="1" t="s">
        <v>28</v>
      </c>
      <c r="U400" s="1" t="s">
        <v>29</v>
      </c>
    </row>
    <row r="401" spans="1:21" x14ac:dyDescent="0.3">
      <c r="A401" s="1" t="s">
        <v>200</v>
      </c>
      <c r="B401" s="2">
        <v>37379</v>
      </c>
      <c r="C401" s="1">
        <v>22</v>
      </c>
      <c r="D401" s="1">
        <v>171</v>
      </c>
      <c r="E401" s="1" t="s">
        <v>24</v>
      </c>
      <c r="F401" s="1" t="s">
        <v>22</v>
      </c>
      <c r="G401" s="1" t="s">
        <v>23</v>
      </c>
      <c r="H401" s="1" t="s">
        <v>54</v>
      </c>
      <c r="I401" s="1" t="s">
        <v>33</v>
      </c>
      <c r="J401" s="1">
        <v>27</v>
      </c>
      <c r="K401" s="1">
        <v>6</v>
      </c>
      <c r="L401" s="1">
        <v>74</v>
      </c>
      <c r="M401" s="1">
        <v>53</v>
      </c>
      <c r="N401" s="17">
        <v>0.52859999999999996</v>
      </c>
      <c r="O401" s="1">
        <v>299</v>
      </c>
      <c r="P401" s="15">
        <v>0.75009999999999999</v>
      </c>
      <c r="Q401" s="1">
        <v>9.4619999999999997</v>
      </c>
      <c r="R401" s="1" t="s">
        <v>27</v>
      </c>
      <c r="S401" s="1">
        <v>460.45870000000002</v>
      </c>
      <c r="T401" s="1" t="s">
        <v>35</v>
      </c>
      <c r="U401" s="1" t="s">
        <v>65</v>
      </c>
    </row>
    <row r="402" spans="1:21" x14ac:dyDescent="0.3">
      <c r="A402" s="1" t="s">
        <v>201</v>
      </c>
      <c r="B402" s="2">
        <v>37959</v>
      </c>
      <c r="C402" s="1">
        <v>21</v>
      </c>
      <c r="D402" s="1">
        <v>183</v>
      </c>
      <c r="E402" s="1" t="s">
        <v>32</v>
      </c>
      <c r="F402" s="1" t="s">
        <v>69</v>
      </c>
      <c r="G402" s="1" t="s">
        <v>43</v>
      </c>
      <c r="H402" s="1" t="s">
        <v>54</v>
      </c>
      <c r="I402" s="1" t="s">
        <v>119</v>
      </c>
      <c r="J402" s="1">
        <v>97</v>
      </c>
      <c r="K402" s="1">
        <v>4</v>
      </c>
      <c r="L402" s="1">
        <v>100</v>
      </c>
      <c r="M402" s="1">
        <v>85</v>
      </c>
      <c r="N402" s="17">
        <v>0.19719999999999999</v>
      </c>
      <c r="O402" s="1">
        <v>171</v>
      </c>
      <c r="P402" s="15">
        <v>0.72060000000000002</v>
      </c>
      <c r="Q402" s="1">
        <v>4.8845999999999998</v>
      </c>
      <c r="R402" s="1" t="s">
        <v>45</v>
      </c>
      <c r="S402" s="1">
        <v>457.67779999999999</v>
      </c>
      <c r="T402" s="1" t="s">
        <v>28</v>
      </c>
      <c r="U402" s="1" t="s">
        <v>29</v>
      </c>
    </row>
    <row r="403" spans="1:21" x14ac:dyDescent="0.3">
      <c r="A403" s="1" t="s">
        <v>202</v>
      </c>
      <c r="B403" s="2">
        <v>37150</v>
      </c>
      <c r="C403" s="1">
        <v>23</v>
      </c>
      <c r="D403" s="1">
        <v>162</v>
      </c>
      <c r="E403" s="1" t="s">
        <v>76</v>
      </c>
      <c r="F403" s="1" t="s">
        <v>79</v>
      </c>
      <c r="G403" s="1" t="s">
        <v>43</v>
      </c>
      <c r="H403" s="1" t="s">
        <v>54</v>
      </c>
      <c r="I403" s="1" t="s">
        <v>96</v>
      </c>
      <c r="J403" s="1">
        <v>58</v>
      </c>
      <c r="K403" s="1">
        <v>60</v>
      </c>
      <c r="L403" s="1">
        <v>30</v>
      </c>
      <c r="M403" s="1">
        <v>51</v>
      </c>
      <c r="N403" s="17">
        <v>0.81379999999999997</v>
      </c>
      <c r="O403" s="1">
        <v>173</v>
      </c>
      <c r="P403" s="15">
        <v>0.45150000000000001</v>
      </c>
      <c r="Q403" s="1">
        <v>109.0819</v>
      </c>
      <c r="R403" s="1" t="s">
        <v>34</v>
      </c>
      <c r="S403" s="1">
        <v>373.0453</v>
      </c>
      <c r="T403" s="1" t="s">
        <v>35</v>
      </c>
      <c r="U403" s="1" t="s">
        <v>56</v>
      </c>
    </row>
    <row r="404" spans="1:21" x14ac:dyDescent="0.3">
      <c r="A404" s="1" t="s">
        <v>203</v>
      </c>
      <c r="B404" s="2">
        <v>37708</v>
      </c>
      <c r="C404" s="1">
        <v>21</v>
      </c>
      <c r="D404" s="1">
        <v>174</v>
      </c>
      <c r="E404" s="1" t="s">
        <v>24</v>
      </c>
      <c r="F404" s="1" t="s">
        <v>69</v>
      </c>
      <c r="G404" s="1" t="s">
        <v>43</v>
      </c>
      <c r="H404" s="1" t="s">
        <v>54</v>
      </c>
      <c r="I404" s="1" t="s">
        <v>58</v>
      </c>
      <c r="J404" s="1">
        <v>48</v>
      </c>
      <c r="K404" s="1">
        <v>32</v>
      </c>
      <c r="L404" s="1">
        <v>26</v>
      </c>
      <c r="M404" s="1">
        <v>95</v>
      </c>
      <c r="N404" s="17">
        <v>0.52680000000000005</v>
      </c>
      <c r="O404" s="1">
        <v>275</v>
      </c>
      <c r="P404" s="15">
        <v>0.44109999999999999</v>
      </c>
      <c r="Q404" s="1">
        <v>48.765999999999998</v>
      </c>
      <c r="R404" s="1" t="s">
        <v>27</v>
      </c>
      <c r="S404" s="1">
        <v>477.15789999999998</v>
      </c>
      <c r="T404" s="1" t="s">
        <v>28</v>
      </c>
      <c r="U404" s="1" t="s">
        <v>56</v>
      </c>
    </row>
    <row r="405" spans="1:21" x14ac:dyDescent="0.3">
      <c r="A405" s="1" t="s">
        <v>204</v>
      </c>
      <c r="B405" s="2">
        <v>37014</v>
      </c>
      <c r="C405" s="1">
        <v>23</v>
      </c>
      <c r="D405" s="1">
        <v>177</v>
      </c>
      <c r="E405" s="1" t="s">
        <v>32</v>
      </c>
      <c r="F405" s="1" t="s">
        <v>42</v>
      </c>
      <c r="G405" s="1" t="s">
        <v>43</v>
      </c>
      <c r="H405" s="1" t="s">
        <v>54</v>
      </c>
      <c r="I405" s="1" t="s">
        <v>60</v>
      </c>
      <c r="J405" s="1">
        <v>62</v>
      </c>
      <c r="K405" s="1">
        <v>87</v>
      </c>
      <c r="L405" s="1">
        <v>94</v>
      </c>
      <c r="M405" s="1">
        <v>43</v>
      </c>
      <c r="N405" s="17">
        <v>0.14630000000000001</v>
      </c>
      <c r="O405" s="1">
        <v>366</v>
      </c>
      <c r="P405" s="15">
        <v>0.52939999999999998</v>
      </c>
      <c r="Q405" s="1">
        <v>100.2898</v>
      </c>
      <c r="R405" s="1" t="s">
        <v>40</v>
      </c>
      <c r="S405" s="1">
        <v>653.83569999999997</v>
      </c>
      <c r="T405" s="1" t="s">
        <v>35</v>
      </c>
      <c r="U405" s="1" t="s">
        <v>29</v>
      </c>
    </row>
    <row r="406" spans="1:21" x14ac:dyDescent="0.3">
      <c r="A406" s="1" t="s">
        <v>205</v>
      </c>
      <c r="B406" s="2">
        <v>37113</v>
      </c>
      <c r="C406" s="1">
        <v>23</v>
      </c>
      <c r="D406" s="1">
        <v>167</v>
      </c>
      <c r="E406" s="1" t="s">
        <v>76</v>
      </c>
      <c r="F406" s="1" t="s">
        <v>62</v>
      </c>
      <c r="G406" s="1" t="s">
        <v>63</v>
      </c>
      <c r="H406" s="1" t="s">
        <v>54</v>
      </c>
      <c r="I406" s="1" t="s">
        <v>105</v>
      </c>
      <c r="J406" s="1">
        <v>18</v>
      </c>
      <c r="K406" s="1">
        <v>29</v>
      </c>
      <c r="L406" s="1">
        <v>23</v>
      </c>
      <c r="M406" s="1">
        <v>43</v>
      </c>
      <c r="N406" s="17">
        <v>0.79069999999999996</v>
      </c>
      <c r="O406" s="1">
        <v>225</v>
      </c>
      <c r="P406" s="15">
        <v>0.67979999999999996</v>
      </c>
      <c r="Q406" s="1">
        <v>51.178199999999997</v>
      </c>
      <c r="R406" s="1" t="s">
        <v>27</v>
      </c>
      <c r="S406" s="1">
        <v>339.87049999999999</v>
      </c>
      <c r="T406" s="1" t="s">
        <v>46</v>
      </c>
      <c r="U406" s="1" t="s">
        <v>102</v>
      </c>
    </row>
    <row r="407" spans="1:21" x14ac:dyDescent="0.3">
      <c r="A407" s="1" t="s">
        <v>206</v>
      </c>
      <c r="B407" s="2">
        <v>37524</v>
      </c>
      <c r="C407" s="1">
        <v>22</v>
      </c>
      <c r="D407" s="1">
        <v>168</v>
      </c>
      <c r="E407" s="1" t="s">
        <v>24</v>
      </c>
      <c r="F407" s="1" t="s">
        <v>72</v>
      </c>
      <c r="G407" s="1" t="s">
        <v>53</v>
      </c>
      <c r="H407" s="1" t="s">
        <v>54</v>
      </c>
      <c r="I407" s="1" t="s">
        <v>101</v>
      </c>
      <c r="J407" s="1">
        <v>2</v>
      </c>
      <c r="K407" s="1">
        <v>87</v>
      </c>
      <c r="L407" s="1">
        <v>57</v>
      </c>
      <c r="M407" s="1">
        <v>41</v>
      </c>
      <c r="N407" s="17">
        <v>0.66990000000000005</v>
      </c>
      <c r="O407" s="1">
        <v>58</v>
      </c>
      <c r="P407" s="15">
        <v>0.4138</v>
      </c>
      <c r="Q407" s="1">
        <v>145.48169999999999</v>
      </c>
      <c r="R407" s="1" t="s">
        <v>34</v>
      </c>
      <c r="S407" s="1">
        <v>245.47370000000001</v>
      </c>
      <c r="T407" s="1" t="s">
        <v>35</v>
      </c>
      <c r="U407" s="1" t="s">
        <v>56</v>
      </c>
    </row>
    <row r="408" spans="1:21" x14ac:dyDescent="0.3">
      <c r="A408" s="1" t="s">
        <v>207</v>
      </c>
      <c r="B408" s="2">
        <v>37530</v>
      </c>
      <c r="C408" s="1">
        <v>22</v>
      </c>
      <c r="D408" s="1">
        <v>171</v>
      </c>
      <c r="E408" s="1" t="s">
        <v>24</v>
      </c>
      <c r="F408" s="1" t="s">
        <v>104</v>
      </c>
      <c r="G408" s="1" t="s">
        <v>53</v>
      </c>
      <c r="H408" s="1" t="s">
        <v>54</v>
      </c>
      <c r="I408" s="1" t="s">
        <v>55</v>
      </c>
      <c r="J408" s="1">
        <v>133</v>
      </c>
      <c r="K408" s="1">
        <v>16</v>
      </c>
      <c r="L408" s="1">
        <v>76</v>
      </c>
      <c r="M408" s="1">
        <v>6</v>
      </c>
      <c r="N408" s="17">
        <v>0.49880000000000002</v>
      </c>
      <c r="O408" s="1">
        <v>34</v>
      </c>
      <c r="P408" s="15">
        <v>0.59079999999999999</v>
      </c>
      <c r="Q408" s="1">
        <v>24.580300000000001</v>
      </c>
      <c r="R408" s="1" t="s">
        <v>45</v>
      </c>
      <c r="S408" s="1">
        <v>265.27960000000002</v>
      </c>
      <c r="T408" s="1" t="s">
        <v>35</v>
      </c>
      <c r="U408" s="1" t="s">
        <v>47</v>
      </c>
    </row>
    <row r="409" spans="1:21" x14ac:dyDescent="0.3">
      <c r="A409" s="1" t="s">
        <v>208</v>
      </c>
      <c r="B409" s="2">
        <v>37772</v>
      </c>
      <c r="C409" s="1">
        <v>21</v>
      </c>
      <c r="D409" s="1">
        <v>171</v>
      </c>
      <c r="E409" s="1" t="s">
        <v>24</v>
      </c>
      <c r="F409" s="1" t="s">
        <v>62</v>
      </c>
      <c r="G409" s="1" t="s">
        <v>63</v>
      </c>
      <c r="H409" s="1" t="s">
        <v>25</v>
      </c>
      <c r="I409" s="1" t="s">
        <v>92</v>
      </c>
      <c r="J409" s="1">
        <v>102</v>
      </c>
      <c r="K409" s="1">
        <v>60</v>
      </c>
      <c r="L409" s="1">
        <v>53</v>
      </c>
      <c r="M409" s="1">
        <v>32</v>
      </c>
      <c r="N409" s="17">
        <v>0.98599999999999999</v>
      </c>
      <c r="O409" s="1">
        <v>89</v>
      </c>
      <c r="P409" s="15">
        <v>0.42470000000000002</v>
      </c>
      <c r="Q409" s="1">
        <v>118.6039</v>
      </c>
      <c r="R409" s="1" t="s">
        <v>34</v>
      </c>
      <c r="S409" s="1">
        <v>336.8707</v>
      </c>
      <c r="T409" s="1" t="s">
        <v>35</v>
      </c>
      <c r="U409" s="1" t="s">
        <v>36</v>
      </c>
    </row>
    <row r="410" spans="1:21" x14ac:dyDescent="0.3">
      <c r="A410" s="1" t="s">
        <v>209</v>
      </c>
      <c r="B410" s="2">
        <v>37137</v>
      </c>
      <c r="C410" s="1">
        <v>23</v>
      </c>
      <c r="D410" s="1">
        <v>170</v>
      </c>
      <c r="E410" s="1" t="s">
        <v>24</v>
      </c>
      <c r="F410" s="1" t="s">
        <v>49</v>
      </c>
      <c r="G410" s="1" t="s">
        <v>43</v>
      </c>
      <c r="H410" s="1" t="s">
        <v>25</v>
      </c>
      <c r="I410" s="1" t="s">
        <v>123</v>
      </c>
      <c r="J410" s="1">
        <v>112</v>
      </c>
      <c r="K410" s="1">
        <v>18</v>
      </c>
      <c r="L410" s="1">
        <v>39</v>
      </c>
      <c r="M410" s="1">
        <v>71</v>
      </c>
      <c r="N410" s="17">
        <v>0.85</v>
      </c>
      <c r="O410" s="1">
        <v>201</v>
      </c>
      <c r="P410" s="15">
        <v>0.76280000000000003</v>
      </c>
      <c r="Q410" s="1">
        <v>34.021500000000003</v>
      </c>
      <c r="R410" s="1" t="s">
        <v>27</v>
      </c>
      <c r="S410" s="1">
        <v>442.21280000000002</v>
      </c>
      <c r="T410" s="1" t="s">
        <v>35</v>
      </c>
      <c r="U410" s="1" t="s">
        <v>113</v>
      </c>
    </row>
    <row r="411" spans="1:21" x14ac:dyDescent="0.3">
      <c r="A411" s="1" t="s">
        <v>210</v>
      </c>
      <c r="B411" s="2">
        <v>37051</v>
      </c>
      <c r="C411" s="1">
        <v>23</v>
      </c>
      <c r="D411" s="1">
        <v>174</v>
      </c>
      <c r="E411" s="1" t="s">
        <v>24</v>
      </c>
      <c r="F411" s="1" t="s">
        <v>31</v>
      </c>
      <c r="G411" s="1" t="s">
        <v>23</v>
      </c>
      <c r="H411" s="1" t="s">
        <v>54</v>
      </c>
      <c r="I411" s="1" t="s">
        <v>115</v>
      </c>
      <c r="J411" s="1">
        <v>86</v>
      </c>
      <c r="K411" s="1">
        <v>71</v>
      </c>
      <c r="L411" s="1">
        <v>42</v>
      </c>
      <c r="M411" s="1">
        <v>12</v>
      </c>
      <c r="N411" s="17">
        <v>0.39229999999999998</v>
      </c>
      <c r="O411" s="1">
        <v>9</v>
      </c>
      <c r="P411" s="15">
        <v>0.76060000000000005</v>
      </c>
      <c r="Q411" s="1">
        <v>99.1875</v>
      </c>
      <c r="R411" s="1" t="s">
        <v>45</v>
      </c>
      <c r="S411" s="1">
        <v>222.90289999999999</v>
      </c>
      <c r="T411" s="1" t="s">
        <v>46</v>
      </c>
      <c r="U411" s="1" t="s">
        <v>47</v>
      </c>
    </row>
    <row r="412" spans="1:21" x14ac:dyDescent="0.3">
      <c r="A412" s="1" t="s">
        <v>211</v>
      </c>
      <c r="B412" s="2">
        <v>37784</v>
      </c>
      <c r="C412" s="1">
        <v>21</v>
      </c>
      <c r="D412" s="1">
        <v>167</v>
      </c>
      <c r="E412" s="1" t="s">
        <v>76</v>
      </c>
      <c r="F412" s="1" t="s">
        <v>38</v>
      </c>
      <c r="G412" s="1" t="s">
        <v>23</v>
      </c>
      <c r="H412" s="1" t="s">
        <v>54</v>
      </c>
      <c r="I412" s="1" t="s">
        <v>55</v>
      </c>
      <c r="J412" s="1">
        <v>60</v>
      </c>
      <c r="K412" s="1">
        <v>32</v>
      </c>
      <c r="L412" s="1">
        <v>35</v>
      </c>
      <c r="M412" s="1">
        <v>34</v>
      </c>
      <c r="N412" s="17">
        <v>0.55940000000000001</v>
      </c>
      <c r="O412" s="1">
        <v>68</v>
      </c>
      <c r="P412" s="15">
        <v>0.45129999999999998</v>
      </c>
      <c r="Q412" s="1">
        <v>49.464199999999998</v>
      </c>
      <c r="R412" s="1" t="s">
        <v>34</v>
      </c>
      <c r="S412" s="1">
        <v>229.36070000000001</v>
      </c>
      <c r="T412" s="1" t="s">
        <v>35</v>
      </c>
      <c r="U412" s="1" t="s">
        <v>47</v>
      </c>
    </row>
    <row r="413" spans="1:21" x14ac:dyDescent="0.3">
      <c r="A413" s="1" t="s">
        <v>212</v>
      </c>
      <c r="B413" s="2">
        <v>37416</v>
      </c>
      <c r="C413" s="1">
        <v>22</v>
      </c>
      <c r="D413" s="1">
        <v>164</v>
      </c>
      <c r="E413" s="1" t="s">
        <v>76</v>
      </c>
      <c r="F413" s="1" t="s">
        <v>49</v>
      </c>
      <c r="G413" s="1" t="s">
        <v>43</v>
      </c>
      <c r="H413" s="1" t="s">
        <v>25</v>
      </c>
      <c r="I413" s="1" t="s">
        <v>73</v>
      </c>
      <c r="J413" s="1">
        <v>91</v>
      </c>
      <c r="K413" s="1">
        <v>76</v>
      </c>
      <c r="L413" s="1">
        <v>66</v>
      </c>
      <c r="M413" s="1">
        <v>19</v>
      </c>
      <c r="N413" s="17">
        <v>0.54469999999999996</v>
      </c>
      <c r="O413" s="1">
        <v>309</v>
      </c>
      <c r="P413" s="15">
        <v>0.73950000000000005</v>
      </c>
      <c r="Q413" s="1">
        <v>117.7988</v>
      </c>
      <c r="R413" s="1" t="s">
        <v>45</v>
      </c>
      <c r="S413" s="1">
        <v>562.11419999999998</v>
      </c>
      <c r="T413" s="1" t="s">
        <v>46</v>
      </c>
      <c r="U413" s="1" t="s">
        <v>65</v>
      </c>
    </row>
    <row r="414" spans="1:21" x14ac:dyDescent="0.3">
      <c r="A414" s="1" t="s">
        <v>213</v>
      </c>
      <c r="B414" s="2">
        <v>37792</v>
      </c>
      <c r="C414" s="1">
        <v>21</v>
      </c>
      <c r="D414" s="1">
        <v>164</v>
      </c>
      <c r="E414" s="1" t="s">
        <v>76</v>
      </c>
      <c r="F414" s="1" t="s">
        <v>79</v>
      </c>
      <c r="G414" s="1" t="s">
        <v>43</v>
      </c>
      <c r="H414" s="1" t="s">
        <v>25</v>
      </c>
      <c r="I414" s="1" t="s">
        <v>121</v>
      </c>
      <c r="J414" s="1">
        <v>67</v>
      </c>
      <c r="K414" s="1">
        <v>31</v>
      </c>
      <c r="L414" s="1">
        <v>28</v>
      </c>
      <c r="M414" s="1">
        <v>7</v>
      </c>
      <c r="N414" s="17">
        <v>0.37940000000000002</v>
      </c>
      <c r="O414" s="1">
        <v>203</v>
      </c>
      <c r="P414" s="15">
        <v>0.60340000000000005</v>
      </c>
      <c r="Q414" s="1">
        <v>42.733800000000002</v>
      </c>
      <c r="R414" s="1" t="s">
        <v>27</v>
      </c>
      <c r="S414" s="1">
        <v>337.03280000000001</v>
      </c>
      <c r="T414" s="1" t="s">
        <v>35</v>
      </c>
      <c r="U414" s="1" t="s">
        <v>113</v>
      </c>
    </row>
    <row r="415" spans="1:21" x14ac:dyDescent="0.3">
      <c r="A415" s="1" t="s">
        <v>214</v>
      </c>
      <c r="B415" s="2">
        <v>37930</v>
      </c>
      <c r="C415" s="1">
        <v>21</v>
      </c>
      <c r="D415" s="1">
        <v>179</v>
      </c>
      <c r="E415" s="1" t="s">
        <v>32</v>
      </c>
      <c r="F415" s="1" t="s">
        <v>75</v>
      </c>
      <c r="G415" s="1" t="s">
        <v>53</v>
      </c>
      <c r="H415" s="1" t="s">
        <v>54</v>
      </c>
      <c r="I415" s="1" t="s">
        <v>119</v>
      </c>
      <c r="J415" s="1">
        <v>87</v>
      </c>
      <c r="K415" s="1">
        <v>95</v>
      </c>
      <c r="L415" s="1">
        <v>74</v>
      </c>
      <c r="M415" s="1">
        <v>5</v>
      </c>
      <c r="N415" s="17">
        <v>0.61450000000000005</v>
      </c>
      <c r="O415" s="1">
        <v>364</v>
      </c>
      <c r="P415" s="15">
        <v>0.48470000000000002</v>
      </c>
      <c r="Q415" s="1">
        <v>154.13630000000001</v>
      </c>
      <c r="R415" s="1" t="s">
        <v>45</v>
      </c>
      <c r="S415" s="1">
        <v>626.95920000000001</v>
      </c>
      <c r="T415" s="1" t="s">
        <v>46</v>
      </c>
      <c r="U415" s="1" t="s">
        <v>36</v>
      </c>
    </row>
    <row r="416" spans="1:21" x14ac:dyDescent="0.3">
      <c r="A416" s="1" t="s">
        <v>215</v>
      </c>
      <c r="B416" s="2">
        <v>37595</v>
      </c>
      <c r="C416" s="1">
        <v>22</v>
      </c>
      <c r="D416" s="1">
        <v>185</v>
      </c>
      <c r="E416" s="1" t="s">
        <v>32</v>
      </c>
      <c r="F416" s="1" t="s">
        <v>31</v>
      </c>
      <c r="G416" s="1" t="s">
        <v>23</v>
      </c>
      <c r="H416" s="1" t="s">
        <v>25</v>
      </c>
      <c r="I416" s="1" t="s">
        <v>73</v>
      </c>
      <c r="J416" s="1">
        <v>7</v>
      </c>
      <c r="K416" s="1">
        <v>71</v>
      </c>
      <c r="L416" s="1">
        <v>99</v>
      </c>
      <c r="M416" s="1">
        <v>53</v>
      </c>
      <c r="N416" s="17">
        <v>0.42749999999999999</v>
      </c>
      <c r="O416" s="1">
        <v>244</v>
      </c>
      <c r="P416" s="15">
        <v>0.81310000000000004</v>
      </c>
      <c r="Q416" s="1">
        <v>101.4239</v>
      </c>
      <c r="R416" s="1" t="s">
        <v>45</v>
      </c>
      <c r="S416" s="1">
        <v>475.42059999999998</v>
      </c>
      <c r="T416" s="1" t="s">
        <v>35</v>
      </c>
      <c r="U416" s="1" t="s">
        <v>113</v>
      </c>
    </row>
    <row r="417" spans="1:21" x14ac:dyDescent="0.3">
      <c r="A417" s="1" t="s">
        <v>216</v>
      </c>
      <c r="B417" s="2">
        <v>37577</v>
      </c>
      <c r="C417" s="1">
        <v>22</v>
      </c>
      <c r="D417" s="1">
        <v>185</v>
      </c>
      <c r="E417" s="1" t="s">
        <v>32</v>
      </c>
      <c r="F417" s="1" t="s">
        <v>79</v>
      </c>
      <c r="G417" s="1" t="s">
        <v>43</v>
      </c>
      <c r="H417" s="1" t="s">
        <v>25</v>
      </c>
      <c r="I417" s="1" t="s">
        <v>99</v>
      </c>
      <c r="J417" s="1">
        <v>15</v>
      </c>
      <c r="K417" s="1">
        <v>68</v>
      </c>
      <c r="L417" s="1">
        <v>29</v>
      </c>
      <c r="M417" s="1">
        <v>73</v>
      </c>
      <c r="N417" s="17">
        <v>0.91569999999999996</v>
      </c>
      <c r="O417" s="1">
        <v>263</v>
      </c>
      <c r="P417" s="15">
        <v>0.79300000000000004</v>
      </c>
      <c r="Q417" s="1">
        <v>130.57409999999999</v>
      </c>
      <c r="R417" s="1" t="s">
        <v>40</v>
      </c>
      <c r="S417" s="1">
        <v>449.69869999999997</v>
      </c>
      <c r="T417" s="1" t="s">
        <v>28</v>
      </c>
      <c r="U417" s="1" t="s">
        <v>65</v>
      </c>
    </row>
    <row r="418" spans="1:21" x14ac:dyDescent="0.3">
      <c r="A418" s="1" t="s">
        <v>217</v>
      </c>
      <c r="B418" s="2">
        <v>37694</v>
      </c>
      <c r="C418" s="1">
        <v>21</v>
      </c>
      <c r="D418" s="1">
        <v>180</v>
      </c>
      <c r="E418" s="1" t="s">
        <v>32</v>
      </c>
      <c r="F418" s="1" t="s">
        <v>49</v>
      </c>
      <c r="G418" s="1" t="s">
        <v>43</v>
      </c>
      <c r="H418" s="1" t="s">
        <v>25</v>
      </c>
      <c r="I418" s="1" t="s">
        <v>55</v>
      </c>
      <c r="J418" s="1">
        <v>47</v>
      </c>
      <c r="K418" s="1">
        <v>38</v>
      </c>
      <c r="L418" s="1">
        <v>79</v>
      </c>
      <c r="M418" s="1">
        <v>82</v>
      </c>
      <c r="N418" s="17">
        <v>0.84609999999999996</v>
      </c>
      <c r="O418" s="1">
        <v>268</v>
      </c>
      <c r="P418" s="15">
        <v>0.73240000000000005</v>
      </c>
      <c r="Q418" s="1">
        <v>70.687200000000004</v>
      </c>
      <c r="R418" s="1" t="s">
        <v>27</v>
      </c>
      <c r="S418" s="1">
        <v>516.25850000000003</v>
      </c>
      <c r="T418" s="1" t="s">
        <v>46</v>
      </c>
      <c r="U418" s="1" t="s">
        <v>102</v>
      </c>
    </row>
    <row r="419" spans="1:21" x14ac:dyDescent="0.3">
      <c r="A419" s="1" t="s">
        <v>218</v>
      </c>
      <c r="B419" s="2">
        <v>37634</v>
      </c>
      <c r="C419" s="1">
        <v>21</v>
      </c>
      <c r="D419" s="1">
        <v>160</v>
      </c>
      <c r="E419" s="1" t="s">
        <v>76</v>
      </c>
      <c r="F419" s="1" t="s">
        <v>98</v>
      </c>
      <c r="G419" s="1" t="s">
        <v>23</v>
      </c>
      <c r="H419" s="1" t="s">
        <v>54</v>
      </c>
      <c r="I419" s="1" t="s">
        <v>73</v>
      </c>
      <c r="J419" s="1">
        <v>143</v>
      </c>
      <c r="K419" s="1">
        <v>35</v>
      </c>
      <c r="L419" s="1">
        <v>77</v>
      </c>
      <c r="M419" s="1">
        <v>20</v>
      </c>
      <c r="N419" s="17">
        <v>0.23949999999999999</v>
      </c>
      <c r="O419" s="1">
        <v>400</v>
      </c>
      <c r="P419" s="15">
        <v>0.53310000000000002</v>
      </c>
      <c r="Q419" s="1">
        <v>43.171799999999998</v>
      </c>
      <c r="R419" s="1" t="s">
        <v>27</v>
      </c>
      <c r="S419" s="1">
        <v>675.17259999999999</v>
      </c>
      <c r="T419" s="1" t="s">
        <v>46</v>
      </c>
      <c r="U419" s="1" t="s">
        <v>113</v>
      </c>
    </row>
    <row r="420" spans="1:21" x14ac:dyDescent="0.3">
      <c r="A420" s="1" t="s">
        <v>219</v>
      </c>
      <c r="B420" s="2">
        <v>37160</v>
      </c>
      <c r="C420" s="1">
        <v>23</v>
      </c>
      <c r="D420" s="1">
        <v>184</v>
      </c>
      <c r="E420" s="1" t="s">
        <v>32</v>
      </c>
      <c r="F420" s="1" t="s">
        <v>31</v>
      </c>
      <c r="G420" s="1" t="s">
        <v>23</v>
      </c>
      <c r="H420" s="1" t="s">
        <v>54</v>
      </c>
      <c r="I420" s="1" t="s">
        <v>67</v>
      </c>
      <c r="J420" s="1">
        <v>25</v>
      </c>
      <c r="K420" s="1">
        <v>83</v>
      </c>
      <c r="L420" s="1">
        <v>77</v>
      </c>
      <c r="M420" s="1">
        <v>81</v>
      </c>
      <c r="N420" s="17">
        <v>0.49390000000000001</v>
      </c>
      <c r="O420" s="1">
        <v>67</v>
      </c>
      <c r="P420" s="15">
        <v>0.58489999999999998</v>
      </c>
      <c r="Q420" s="1">
        <v>124.4419</v>
      </c>
      <c r="R420" s="1" t="s">
        <v>34</v>
      </c>
      <c r="S420" s="1">
        <v>335.03879999999998</v>
      </c>
      <c r="T420" s="1" t="s">
        <v>35</v>
      </c>
      <c r="U420" s="1" t="s">
        <v>65</v>
      </c>
    </row>
    <row r="421" spans="1:21" x14ac:dyDescent="0.3">
      <c r="A421" s="1" t="s">
        <v>220</v>
      </c>
      <c r="B421" s="2">
        <v>37381</v>
      </c>
      <c r="C421" s="1">
        <v>22</v>
      </c>
      <c r="D421" s="1">
        <v>177</v>
      </c>
      <c r="E421" s="1" t="s">
        <v>32</v>
      </c>
      <c r="F421" s="1" t="s">
        <v>75</v>
      </c>
      <c r="G421" s="1" t="s">
        <v>53</v>
      </c>
      <c r="H421" s="1" t="s">
        <v>54</v>
      </c>
      <c r="I421" s="1" t="s">
        <v>121</v>
      </c>
      <c r="J421" s="1">
        <v>136</v>
      </c>
      <c r="K421" s="1">
        <v>20</v>
      </c>
      <c r="L421" s="1">
        <v>68</v>
      </c>
      <c r="M421" s="1">
        <v>57</v>
      </c>
      <c r="N421" s="17">
        <v>0.79249999999999998</v>
      </c>
      <c r="O421" s="1">
        <v>177</v>
      </c>
      <c r="P421" s="15">
        <v>0.75019999999999998</v>
      </c>
      <c r="Q421" s="1">
        <v>36.226399999999998</v>
      </c>
      <c r="R421" s="1" t="s">
        <v>45</v>
      </c>
      <c r="S421" s="1">
        <v>459.86270000000002</v>
      </c>
      <c r="T421" s="1" t="s">
        <v>28</v>
      </c>
      <c r="U421" s="1" t="s">
        <v>113</v>
      </c>
    </row>
    <row r="422" spans="1:21" x14ac:dyDescent="0.3">
      <c r="A422" s="1" t="s">
        <v>221</v>
      </c>
      <c r="B422" s="2">
        <v>36998</v>
      </c>
      <c r="C422" s="1">
        <v>23</v>
      </c>
      <c r="D422" s="1">
        <v>168</v>
      </c>
      <c r="E422" s="1" t="s">
        <v>24</v>
      </c>
      <c r="F422" s="1" t="s">
        <v>62</v>
      </c>
      <c r="G422" s="1" t="s">
        <v>63</v>
      </c>
      <c r="H422" s="1" t="s">
        <v>54</v>
      </c>
      <c r="I422" s="1" t="s">
        <v>105</v>
      </c>
      <c r="J422" s="1">
        <v>84</v>
      </c>
      <c r="K422" s="1">
        <v>11</v>
      </c>
      <c r="L422" s="1">
        <v>85</v>
      </c>
      <c r="M422" s="1">
        <v>85</v>
      </c>
      <c r="N422" s="17">
        <v>0.78680000000000005</v>
      </c>
      <c r="O422" s="1">
        <v>115</v>
      </c>
      <c r="P422" s="15">
        <v>0.52280000000000004</v>
      </c>
      <c r="Q422" s="1">
        <v>19.9407</v>
      </c>
      <c r="R422" s="1" t="s">
        <v>34</v>
      </c>
      <c r="S422" s="1">
        <v>380.84960000000001</v>
      </c>
      <c r="T422" s="1" t="s">
        <v>35</v>
      </c>
      <c r="U422" s="1" t="s">
        <v>29</v>
      </c>
    </row>
    <row r="423" spans="1:21" x14ac:dyDescent="0.3">
      <c r="A423" s="1" t="s">
        <v>222</v>
      </c>
      <c r="B423" s="2">
        <v>37741</v>
      </c>
      <c r="C423" s="1">
        <v>21</v>
      </c>
      <c r="D423" s="1">
        <v>160</v>
      </c>
      <c r="E423" s="1" t="s">
        <v>76</v>
      </c>
      <c r="F423" s="1" t="s">
        <v>69</v>
      </c>
      <c r="G423" s="1" t="s">
        <v>43</v>
      </c>
      <c r="H423" s="1" t="s">
        <v>25</v>
      </c>
      <c r="I423" s="1" t="s">
        <v>110</v>
      </c>
      <c r="J423" s="1">
        <v>76</v>
      </c>
      <c r="K423" s="1">
        <v>24</v>
      </c>
      <c r="L423" s="1">
        <v>99</v>
      </c>
      <c r="M423" s="1">
        <v>38</v>
      </c>
      <c r="N423" s="17">
        <v>0.93769999999999998</v>
      </c>
      <c r="O423" s="1">
        <v>12</v>
      </c>
      <c r="P423" s="15">
        <v>0.77759999999999996</v>
      </c>
      <c r="Q423" s="1">
        <v>47.163600000000002</v>
      </c>
      <c r="R423" s="1" t="s">
        <v>40</v>
      </c>
      <c r="S423" s="1">
        <v>251.68530000000001</v>
      </c>
      <c r="T423" s="1" t="s">
        <v>28</v>
      </c>
      <c r="U423" s="1" t="s">
        <v>36</v>
      </c>
    </row>
    <row r="424" spans="1:21" x14ac:dyDescent="0.3">
      <c r="A424" s="1" t="s">
        <v>223</v>
      </c>
      <c r="B424" s="2">
        <v>37176</v>
      </c>
      <c r="C424" s="1">
        <v>23</v>
      </c>
      <c r="D424" s="1">
        <v>182</v>
      </c>
      <c r="E424" s="1" t="s">
        <v>32</v>
      </c>
      <c r="F424" s="1" t="s">
        <v>31</v>
      </c>
      <c r="G424" s="1" t="s">
        <v>23</v>
      </c>
      <c r="H424" s="1" t="s">
        <v>54</v>
      </c>
      <c r="I424" s="1" t="s">
        <v>117</v>
      </c>
      <c r="J424" s="1">
        <v>93</v>
      </c>
      <c r="K424" s="1">
        <v>91</v>
      </c>
      <c r="L424" s="1">
        <v>3</v>
      </c>
      <c r="M424" s="1">
        <v>22</v>
      </c>
      <c r="N424" s="17">
        <v>0.94620000000000004</v>
      </c>
      <c r="O424" s="1">
        <v>61</v>
      </c>
      <c r="P424" s="15">
        <v>0.67400000000000004</v>
      </c>
      <c r="Q424" s="1">
        <v>176.48140000000001</v>
      </c>
      <c r="R424" s="1" t="s">
        <v>45</v>
      </c>
      <c r="S424" s="1">
        <v>270.8802</v>
      </c>
      <c r="T424" s="1" t="s">
        <v>28</v>
      </c>
      <c r="U424" s="1" t="s">
        <v>113</v>
      </c>
    </row>
    <row r="425" spans="1:21" x14ac:dyDescent="0.3">
      <c r="A425" s="1" t="s">
        <v>224</v>
      </c>
      <c r="B425" s="2">
        <v>36989</v>
      </c>
      <c r="C425" s="1">
        <v>23</v>
      </c>
      <c r="D425" s="1">
        <v>163</v>
      </c>
      <c r="E425" s="1" t="s">
        <v>76</v>
      </c>
      <c r="F425" s="1" t="s">
        <v>75</v>
      </c>
      <c r="G425" s="1" t="s">
        <v>53</v>
      </c>
      <c r="H425" s="1" t="s">
        <v>25</v>
      </c>
      <c r="I425" s="1" t="s">
        <v>112</v>
      </c>
      <c r="J425" s="1">
        <v>96</v>
      </c>
      <c r="K425" s="1">
        <v>63</v>
      </c>
      <c r="L425" s="1">
        <v>7</v>
      </c>
      <c r="M425" s="1">
        <v>84</v>
      </c>
      <c r="N425" s="17">
        <v>0.58240000000000003</v>
      </c>
      <c r="O425" s="1">
        <v>200</v>
      </c>
      <c r="P425" s="15">
        <v>0.68440000000000001</v>
      </c>
      <c r="Q425" s="1">
        <v>99.153199999999998</v>
      </c>
      <c r="R425" s="1" t="s">
        <v>34</v>
      </c>
      <c r="S425" s="1">
        <v>451.60680000000002</v>
      </c>
      <c r="T425" s="1" t="s">
        <v>46</v>
      </c>
      <c r="U425" s="1" t="s">
        <v>36</v>
      </c>
    </row>
    <row r="426" spans="1:21" x14ac:dyDescent="0.3">
      <c r="A426" s="1" t="s">
        <v>225</v>
      </c>
      <c r="B426" s="2">
        <v>37614</v>
      </c>
      <c r="C426" s="1">
        <v>22</v>
      </c>
      <c r="D426" s="1">
        <v>179</v>
      </c>
      <c r="E426" s="1" t="s">
        <v>32</v>
      </c>
      <c r="F426" s="1" t="s">
        <v>75</v>
      </c>
      <c r="G426" s="1" t="s">
        <v>53</v>
      </c>
      <c r="H426" s="1" t="s">
        <v>25</v>
      </c>
      <c r="I426" s="1" t="s">
        <v>112</v>
      </c>
      <c r="J426" s="1">
        <v>29</v>
      </c>
      <c r="K426" s="1">
        <v>67</v>
      </c>
      <c r="L426" s="1">
        <v>53</v>
      </c>
      <c r="M426" s="1">
        <v>37</v>
      </c>
      <c r="N426" s="17">
        <v>0.5897</v>
      </c>
      <c r="O426" s="1">
        <v>381</v>
      </c>
      <c r="P426" s="15">
        <v>0.75390000000000001</v>
      </c>
      <c r="Q426" s="1">
        <v>106.7484</v>
      </c>
      <c r="R426" s="1" t="s">
        <v>27</v>
      </c>
      <c r="S426" s="1">
        <v>568.33360000000005</v>
      </c>
      <c r="T426" s="1" t="s">
        <v>35</v>
      </c>
      <c r="U426" s="1" t="s">
        <v>113</v>
      </c>
    </row>
    <row r="427" spans="1:21" x14ac:dyDescent="0.3">
      <c r="A427" s="1" t="s">
        <v>226</v>
      </c>
      <c r="B427" s="2">
        <v>37411</v>
      </c>
      <c r="C427" s="1">
        <v>22</v>
      </c>
      <c r="D427" s="1">
        <v>171</v>
      </c>
      <c r="E427" s="1" t="s">
        <v>24</v>
      </c>
      <c r="F427" s="1" t="s">
        <v>109</v>
      </c>
      <c r="G427" s="1" t="s">
        <v>63</v>
      </c>
      <c r="H427" s="1" t="s">
        <v>25</v>
      </c>
      <c r="I427" s="1" t="s">
        <v>101</v>
      </c>
      <c r="J427" s="1">
        <v>118</v>
      </c>
      <c r="K427" s="1">
        <v>35</v>
      </c>
      <c r="L427" s="1">
        <v>74</v>
      </c>
      <c r="M427" s="1">
        <v>63</v>
      </c>
      <c r="N427" s="17">
        <v>0.76170000000000004</v>
      </c>
      <c r="O427" s="1">
        <v>309</v>
      </c>
      <c r="P427" s="15">
        <v>0.54959999999999998</v>
      </c>
      <c r="Q427" s="1">
        <v>61.906100000000002</v>
      </c>
      <c r="R427" s="1" t="s">
        <v>27</v>
      </c>
      <c r="S427" s="1">
        <v>600.53129999999999</v>
      </c>
      <c r="T427" s="1" t="s">
        <v>35</v>
      </c>
      <c r="U427" s="1" t="s">
        <v>65</v>
      </c>
    </row>
    <row r="428" spans="1:21" x14ac:dyDescent="0.3">
      <c r="A428" s="1" t="s">
        <v>227</v>
      </c>
      <c r="B428" s="2">
        <v>37843</v>
      </c>
      <c r="C428" s="1">
        <v>21</v>
      </c>
      <c r="D428" s="1">
        <v>184</v>
      </c>
      <c r="E428" s="1" t="s">
        <v>32</v>
      </c>
      <c r="F428" s="1" t="s">
        <v>79</v>
      </c>
      <c r="G428" s="1" t="s">
        <v>43</v>
      </c>
      <c r="H428" s="1" t="s">
        <v>54</v>
      </c>
      <c r="I428" s="1" t="s">
        <v>73</v>
      </c>
      <c r="J428" s="1">
        <v>122</v>
      </c>
      <c r="K428" s="1">
        <v>7</v>
      </c>
      <c r="L428" s="1">
        <v>78</v>
      </c>
      <c r="M428" s="1">
        <v>46</v>
      </c>
      <c r="N428" s="17">
        <v>0.1394</v>
      </c>
      <c r="O428" s="1">
        <v>118</v>
      </c>
      <c r="P428" s="15">
        <v>0.48980000000000001</v>
      </c>
      <c r="Q428" s="1">
        <v>8.2606999999999999</v>
      </c>
      <c r="R428" s="1" t="s">
        <v>27</v>
      </c>
      <c r="S428" s="1">
        <v>372.01920000000001</v>
      </c>
      <c r="T428" s="1" t="s">
        <v>35</v>
      </c>
      <c r="U428" s="1" t="s">
        <v>47</v>
      </c>
    </row>
    <row r="429" spans="1:21" x14ac:dyDescent="0.3">
      <c r="A429" s="1" t="s">
        <v>228</v>
      </c>
      <c r="B429" s="2">
        <v>36966</v>
      </c>
      <c r="C429" s="1">
        <v>23</v>
      </c>
      <c r="D429" s="1">
        <v>168</v>
      </c>
      <c r="E429" s="1" t="s">
        <v>24</v>
      </c>
      <c r="F429" s="1" t="s">
        <v>87</v>
      </c>
      <c r="G429" s="1" t="s">
        <v>63</v>
      </c>
      <c r="H429" s="1" t="s">
        <v>25</v>
      </c>
      <c r="I429" s="1" t="s">
        <v>92</v>
      </c>
      <c r="J429" s="1">
        <v>54</v>
      </c>
      <c r="K429" s="1">
        <v>78</v>
      </c>
      <c r="L429" s="1">
        <v>87</v>
      </c>
      <c r="M429" s="1">
        <v>34</v>
      </c>
      <c r="N429" s="17">
        <v>0.43120000000000003</v>
      </c>
      <c r="O429" s="1">
        <v>51</v>
      </c>
      <c r="P429" s="15">
        <v>0.80030000000000001</v>
      </c>
      <c r="Q429" s="1">
        <v>112.063</v>
      </c>
      <c r="R429" s="1" t="s">
        <v>45</v>
      </c>
      <c r="S429" s="1">
        <v>304.9615</v>
      </c>
      <c r="T429" s="1" t="s">
        <v>35</v>
      </c>
      <c r="U429" s="1" t="s">
        <v>47</v>
      </c>
    </row>
    <row r="430" spans="1:21" x14ac:dyDescent="0.3">
      <c r="A430" s="1" t="s">
        <v>229</v>
      </c>
      <c r="B430" s="2">
        <v>37955</v>
      </c>
      <c r="C430" s="1">
        <v>21</v>
      </c>
      <c r="D430" s="1">
        <v>171</v>
      </c>
      <c r="E430" s="1" t="s">
        <v>24</v>
      </c>
      <c r="F430" s="1" t="s">
        <v>52</v>
      </c>
      <c r="G430" s="1" t="s">
        <v>53</v>
      </c>
      <c r="H430" s="1" t="s">
        <v>54</v>
      </c>
      <c r="I430" s="1" t="s">
        <v>55</v>
      </c>
      <c r="J430" s="1">
        <v>109</v>
      </c>
      <c r="K430" s="1">
        <v>9</v>
      </c>
      <c r="L430" s="1">
        <v>61</v>
      </c>
      <c r="M430" s="1">
        <v>82</v>
      </c>
      <c r="N430" s="17">
        <v>0.3891</v>
      </c>
      <c r="O430" s="1">
        <v>219</v>
      </c>
      <c r="P430" s="15">
        <v>0.436</v>
      </c>
      <c r="Q430" s="1">
        <v>12.238</v>
      </c>
      <c r="R430" s="1" t="s">
        <v>40</v>
      </c>
      <c r="S430" s="1">
        <v>480.6651</v>
      </c>
      <c r="T430" s="1" t="s">
        <v>35</v>
      </c>
      <c r="U430" s="1" t="s">
        <v>56</v>
      </c>
    </row>
    <row r="431" spans="1:21" x14ac:dyDescent="0.3">
      <c r="A431" s="1" t="s">
        <v>230</v>
      </c>
      <c r="B431" s="2">
        <v>37807</v>
      </c>
      <c r="C431" s="1">
        <v>21</v>
      </c>
      <c r="D431" s="1">
        <v>171</v>
      </c>
      <c r="E431" s="1" t="s">
        <v>24</v>
      </c>
      <c r="F431" s="1" t="s">
        <v>98</v>
      </c>
      <c r="G431" s="1" t="s">
        <v>23</v>
      </c>
      <c r="H431" s="1" t="s">
        <v>25</v>
      </c>
      <c r="I431" s="1" t="s">
        <v>101</v>
      </c>
      <c r="J431" s="1">
        <v>93</v>
      </c>
      <c r="K431" s="1">
        <v>44</v>
      </c>
      <c r="L431" s="1">
        <v>64</v>
      </c>
      <c r="M431" s="1">
        <v>79</v>
      </c>
      <c r="N431" s="17">
        <v>0.70409999999999995</v>
      </c>
      <c r="O431" s="1">
        <v>24</v>
      </c>
      <c r="P431" s="15">
        <v>0.58279999999999998</v>
      </c>
      <c r="Q431" s="1">
        <v>75.082599999999999</v>
      </c>
      <c r="R431" s="1" t="s">
        <v>34</v>
      </c>
      <c r="S431" s="1">
        <v>305.51690000000002</v>
      </c>
      <c r="T431" s="1" t="s">
        <v>28</v>
      </c>
      <c r="U431" s="1" t="s">
        <v>36</v>
      </c>
    </row>
    <row r="432" spans="1:21" x14ac:dyDescent="0.3">
      <c r="A432" s="1" t="s">
        <v>231</v>
      </c>
      <c r="B432" s="2">
        <v>37375</v>
      </c>
      <c r="C432" s="1">
        <v>22</v>
      </c>
      <c r="D432" s="1">
        <v>162</v>
      </c>
      <c r="E432" s="1" t="s">
        <v>76</v>
      </c>
      <c r="F432" s="1" t="s">
        <v>104</v>
      </c>
      <c r="G432" s="1" t="s">
        <v>53</v>
      </c>
      <c r="H432" s="1" t="s">
        <v>54</v>
      </c>
      <c r="I432" s="1" t="s">
        <v>105</v>
      </c>
      <c r="J432" s="1">
        <v>58</v>
      </c>
      <c r="K432" s="1">
        <v>57</v>
      </c>
      <c r="L432" s="1">
        <v>61</v>
      </c>
      <c r="M432" s="1">
        <v>68</v>
      </c>
      <c r="N432" s="17">
        <v>0.43480000000000002</v>
      </c>
      <c r="O432" s="1">
        <v>380</v>
      </c>
      <c r="P432" s="15">
        <v>0.74339999999999995</v>
      </c>
      <c r="Q432" s="1">
        <v>82.013199999999998</v>
      </c>
      <c r="R432" s="1" t="s">
        <v>34</v>
      </c>
      <c r="S432" s="1">
        <v>625.09820000000002</v>
      </c>
      <c r="T432" s="1" t="s">
        <v>46</v>
      </c>
      <c r="U432" s="1" t="s">
        <v>47</v>
      </c>
    </row>
    <row r="433" spans="1:21" x14ac:dyDescent="0.3">
      <c r="A433" s="1" t="s">
        <v>232</v>
      </c>
      <c r="B433" s="2">
        <v>37124</v>
      </c>
      <c r="C433" s="1">
        <v>23</v>
      </c>
      <c r="D433" s="1">
        <v>167</v>
      </c>
      <c r="E433" s="1" t="s">
        <v>76</v>
      </c>
      <c r="F433" s="1" t="s">
        <v>87</v>
      </c>
      <c r="G433" s="1" t="s">
        <v>63</v>
      </c>
      <c r="H433" s="1" t="s">
        <v>25</v>
      </c>
      <c r="I433" s="1" t="s">
        <v>73</v>
      </c>
      <c r="J433" s="1">
        <v>75</v>
      </c>
      <c r="K433" s="1">
        <v>39</v>
      </c>
      <c r="L433" s="1">
        <v>57</v>
      </c>
      <c r="M433" s="1">
        <v>27</v>
      </c>
      <c r="N433" s="17">
        <v>0.50160000000000005</v>
      </c>
      <c r="O433" s="1">
        <v>105</v>
      </c>
      <c r="P433" s="15">
        <v>0.84840000000000004</v>
      </c>
      <c r="Q433" s="1">
        <v>59.027900000000002</v>
      </c>
      <c r="R433" s="1" t="s">
        <v>40</v>
      </c>
      <c r="S433" s="1">
        <v>304.41000000000003</v>
      </c>
      <c r="T433" s="1" t="s">
        <v>46</v>
      </c>
      <c r="U433" s="1" t="s">
        <v>56</v>
      </c>
    </row>
    <row r="434" spans="1:21" x14ac:dyDescent="0.3">
      <c r="A434" s="1" t="s">
        <v>233</v>
      </c>
      <c r="B434" s="2">
        <v>37817</v>
      </c>
      <c r="C434" s="1">
        <v>21</v>
      </c>
      <c r="D434" s="1">
        <v>162</v>
      </c>
      <c r="E434" s="1" t="s">
        <v>76</v>
      </c>
      <c r="F434" s="1" t="s">
        <v>62</v>
      </c>
      <c r="G434" s="1" t="s">
        <v>63</v>
      </c>
      <c r="H434" s="1" t="s">
        <v>25</v>
      </c>
      <c r="I434" s="1" t="s">
        <v>117</v>
      </c>
      <c r="J434" s="1">
        <v>150</v>
      </c>
      <c r="K434" s="1">
        <v>81</v>
      </c>
      <c r="L434" s="1">
        <v>97</v>
      </c>
      <c r="M434" s="1">
        <v>99</v>
      </c>
      <c r="N434" s="17">
        <v>0.73860000000000003</v>
      </c>
      <c r="O434" s="1">
        <v>267</v>
      </c>
      <c r="P434" s="15">
        <v>0.64749999999999996</v>
      </c>
      <c r="Q434" s="1">
        <v>141.2439</v>
      </c>
      <c r="R434" s="1" t="s">
        <v>40</v>
      </c>
      <c r="S434" s="1">
        <v>695.14610000000005</v>
      </c>
      <c r="T434" s="1" t="s">
        <v>35</v>
      </c>
      <c r="U434" s="1" t="s">
        <v>113</v>
      </c>
    </row>
    <row r="435" spans="1:21" x14ac:dyDescent="0.3">
      <c r="A435" s="1" t="s">
        <v>234</v>
      </c>
      <c r="B435" s="2">
        <v>37632</v>
      </c>
      <c r="C435" s="1">
        <v>21</v>
      </c>
      <c r="D435" s="1">
        <v>185</v>
      </c>
      <c r="E435" s="1" t="s">
        <v>32</v>
      </c>
      <c r="F435" s="1" t="s">
        <v>52</v>
      </c>
      <c r="G435" s="1" t="s">
        <v>53</v>
      </c>
      <c r="H435" s="1" t="s">
        <v>25</v>
      </c>
      <c r="I435" s="1" t="s">
        <v>60</v>
      </c>
      <c r="J435" s="1">
        <v>148</v>
      </c>
      <c r="K435" s="1">
        <v>79</v>
      </c>
      <c r="L435" s="1">
        <v>24</v>
      </c>
      <c r="M435" s="1">
        <v>50</v>
      </c>
      <c r="N435" s="17">
        <v>0.61499999999999999</v>
      </c>
      <c r="O435" s="1">
        <v>145</v>
      </c>
      <c r="P435" s="15">
        <v>0.61029999999999995</v>
      </c>
      <c r="Q435" s="1">
        <v>128.24719999999999</v>
      </c>
      <c r="R435" s="1" t="s">
        <v>34</v>
      </c>
      <c r="S435" s="1">
        <v>447.76530000000002</v>
      </c>
      <c r="T435" s="1" t="s">
        <v>46</v>
      </c>
      <c r="U435" s="1" t="s">
        <v>29</v>
      </c>
    </row>
    <row r="436" spans="1:21" x14ac:dyDescent="0.3">
      <c r="A436" s="1" t="s">
        <v>235</v>
      </c>
      <c r="B436" s="2">
        <v>37872</v>
      </c>
      <c r="C436" s="1">
        <v>21</v>
      </c>
      <c r="D436" s="1">
        <v>182</v>
      </c>
      <c r="E436" s="1" t="s">
        <v>32</v>
      </c>
      <c r="F436" s="1" t="s">
        <v>38</v>
      </c>
      <c r="G436" s="1" t="s">
        <v>23</v>
      </c>
      <c r="H436" s="1" t="s">
        <v>54</v>
      </c>
      <c r="I436" s="1" t="s">
        <v>112</v>
      </c>
      <c r="J436" s="1">
        <v>124</v>
      </c>
      <c r="K436" s="1">
        <v>8</v>
      </c>
      <c r="L436" s="1">
        <v>97</v>
      </c>
      <c r="M436" s="1">
        <v>65</v>
      </c>
      <c r="N436" s="17">
        <v>0.71209999999999996</v>
      </c>
      <c r="O436" s="1">
        <v>181</v>
      </c>
      <c r="P436" s="15">
        <v>0.55500000000000005</v>
      </c>
      <c r="Q436" s="1">
        <v>14.2104</v>
      </c>
      <c r="R436" s="1" t="s">
        <v>34</v>
      </c>
      <c r="S436" s="1">
        <v>475.64710000000002</v>
      </c>
      <c r="T436" s="1" t="s">
        <v>28</v>
      </c>
      <c r="U436" s="1" t="s">
        <v>56</v>
      </c>
    </row>
    <row r="437" spans="1:21" x14ac:dyDescent="0.3">
      <c r="A437" s="1" t="s">
        <v>236</v>
      </c>
      <c r="B437" s="2">
        <v>37229</v>
      </c>
      <c r="C437" s="1">
        <v>23</v>
      </c>
      <c r="D437" s="1">
        <v>169</v>
      </c>
      <c r="E437" s="1" t="s">
        <v>24</v>
      </c>
      <c r="F437" s="1" t="s">
        <v>31</v>
      </c>
      <c r="G437" s="1" t="s">
        <v>23</v>
      </c>
      <c r="H437" s="1" t="s">
        <v>25</v>
      </c>
      <c r="I437" s="1" t="s">
        <v>96</v>
      </c>
      <c r="J437" s="1">
        <v>140</v>
      </c>
      <c r="K437" s="1">
        <v>23</v>
      </c>
      <c r="L437" s="1">
        <v>95</v>
      </c>
      <c r="M437" s="1">
        <v>52</v>
      </c>
      <c r="N437" s="17">
        <v>0.17100000000000001</v>
      </c>
      <c r="O437" s="1">
        <v>114</v>
      </c>
      <c r="P437" s="15">
        <v>0.48830000000000001</v>
      </c>
      <c r="Q437" s="1">
        <v>27.307700000000001</v>
      </c>
      <c r="R437" s="1" t="s">
        <v>40</v>
      </c>
      <c r="S437" s="1">
        <v>425.76929999999999</v>
      </c>
      <c r="T437" s="1" t="s">
        <v>28</v>
      </c>
      <c r="U437" s="1" t="s">
        <v>102</v>
      </c>
    </row>
    <row r="438" spans="1:21" x14ac:dyDescent="0.3">
      <c r="A438" s="1" t="s">
        <v>237</v>
      </c>
      <c r="B438" s="2">
        <v>37237</v>
      </c>
      <c r="C438" s="1">
        <v>23</v>
      </c>
      <c r="D438" s="1">
        <v>176</v>
      </c>
      <c r="E438" s="1" t="s">
        <v>32</v>
      </c>
      <c r="F438" s="1" t="s">
        <v>75</v>
      </c>
      <c r="G438" s="1" t="s">
        <v>53</v>
      </c>
      <c r="H438" s="1" t="s">
        <v>25</v>
      </c>
      <c r="I438" s="1" t="s">
        <v>70</v>
      </c>
      <c r="J438" s="1">
        <v>99</v>
      </c>
      <c r="K438" s="1">
        <v>72</v>
      </c>
      <c r="L438" s="1">
        <v>61</v>
      </c>
      <c r="M438" s="1">
        <v>84</v>
      </c>
      <c r="N438" s="17">
        <v>0.8427</v>
      </c>
      <c r="O438" s="1">
        <v>226</v>
      </c>
      <c r="P438" s="15">
        <v>0.4128</v>
      </c>
      <c r="Q438" s="1">
        <v>133.30090000000001</v>
      </c>
      <c r="R438" s="1" t="s">
        <v>27</v>
      </c>
      <c r="S438" s="1">
        <v>543.94550000000004</v>
      </c>
      <c r="T438" s="1" t="s">
        <v>46</v>
      </c>
      <c r="U438" s="1" t="s">
        <v>113</v>
      </c>
    </row>
    <row r="439" spans="1:21" x14ac:dyDescent="0.3">
      <c r="A439" s="1" t="s">
        <v>238</v>
      </c>
      <c r="B439" s="2">
        <v>37745</v>
      </c>
      <c r="C439" s="1">
        <v>21</v>
      </c>
      <c r="D439" s="1">
        <v>184</v>
      </c>
      <c r="E439" s="1" t="s">
        <v>32</v>
      </c>
      <c r="F439" s="1" t="s">
        <v>72</v>
      </c>
      <c r="G439" s="1" t="s">
        <v>53</v>
      </c>
      <c r="H439" s="1" t="s">
        <v>25</v>
      </c>
      <c r="I439" s="1" t="s">
        <v>123</v>
      </c>
      <c r="J439" s="1">
        <v>133</v>
      </c>
      <c r="K439" s="1">
        <v>55</v>
      </c>
      <c r="L439" s="1">
        <v>65</v>
      </c>
      <c r="M439" s="1">
        <v>31</v>
      </c>
      <c r="N439" s="17">
        <v>0.8266</v>
      </c>
      <c r="O439" s="1">
        <v>99</v>
      </c>
      <c r="P439" s="15">
        <v>0.5827</v>
      </c>
      <c r="Q439" s="1">
        <v>100.4813</v>
      </c>
      <c r="R439" s="1" t="s">
        <v>45</v>
      </c>
      <c r="S439" s="1">
        <v>384.04930000000002</v>
      </c>
      <c r="T439" s="1" t="s">
        <v>28</v>
      </c>
      <c r="U439" s="1" t="s">
        <v>102</v>
      </c>
    </row>
    <row r="440" spans="1:21" x14ac:dyDescent="0.3">
      <c r="A440" s="1" t="s">
        <v>239</v>
      </c>
      <c r="B440" s="2">
        <v>37186</v>
      </c>
      <c r="C440" s="1">
        <v>23</v>
      </c>
      <c r="D440" s="1">
        <v>170</v>
      </c>
      <c r="E440" s="1" t="s">
        <v>24</v>
      </c>
      <c r="F440" s="1" t="s">
        <v>31</v>
      </c>
      <c r="G440" s="1" t="s">
        <v>23</v>
      </c>
      <c r="H440" s="1" t="s">
        <v>54</v>
      </c>
      <c r="I440" s="1" t="s">
        <v>96</v>
      </c>
      <c r="J440" s="1">
        <v>110</v>
      </c>
      <c r="K440" s="1">
        <v>86</v>
      </c>
      <c r="L440" s="1">
        <v>98</v>
      </c>
      <c r="M440" s="1">
        <v>14</v>
      </c>
      <c r="N440" s="17">
        <v>0.60550000000000004</v>
      </c>
      <c r="O440" s="1">
        <v>149</v>
      </c>
      <c r="P440" s="15">
        <v>0.54359999999999997</v>
      </c>
      <c r="Q440" s="1">
        <v>138.42619999999999</v>
      </c>
      <c r="R440" s="1" t="s">
        <v>45</v>
      </c>
      <c r="S440" s="1">
        <v>458.12909999999999</v>
      </c>
      <c r="T440" s="1" t="s">
        <v>28</v>
      </c>
      <c r="U440" s="1" t="s">
        <v>47</v>
      </c>
    </row>
    <row r="441" spans="1:21" x14ac:dyDescent="0.3">
      <c r="A441" s="1" t="s">
        <v>240</v>
      </c>
      <c r="B441" s="2">
        <v>36995</v>
      </c>
      <c r="C441" s="1">
        <v>23</v>
      </c>
      <c r="D441" s="1">
        <v>163</v>
      </c>
      <c r="E441" s="1" t="s">
        <v>76</v>
      </c>
      <c r="F441" s="1" t="s">
        <v>104</v>
      </c>
      <c r="G441" s="1" t="s">
        <v>53</v>
      </c>
      <c r="H441" s="1" t="s">
        <v>54</v>
      </c>
      <c r="I441" s="1" t="s">
        <v>107</v>
      </c>
      <c r="J441" s="1">
        <v>130</v>
      </c>
      <c r="K441" s="1">
        <v>42</v>
      </c>
      <c r="L441" s="1">
        <v>96</v>
      </c>
      <c r="M441" s="1">
        <v>90</v>
      </c>
      <c r="N441" s="17">
        <v>0.94040000000000001</v>
      </c>
      <c r="O441" s="1">
        <v>326</v>
      </c>
      <c r="P441" s="15">
        <v>0.72450000000000003</v>
      </c>
      <c r="Q441" s="1">
        <v>82.272999999999996</v>
      </c>
      <c r="R441" s="1" t="s">
        <v>34</v>
      </c>
      <c r="S441" s="1">
        <v>686.04489999999998</v>
      </c>
      <c r="T441" s="1" t="s">
        <v>28</v>
      </c>
      <c r="U441" s="1" t="s">
        <v>56</v>
      </c>
    </row>
    <row r="442" spans="1:21" x14ac:dyDescent="0.3">
      <c r="A442" s="1" t="s">
        <v>241</v>
      </c>
      <c r="B442" s="2">
        <v>36939</v>
      </c>
      <c r="C442" s="1">
        <v>23</v>
      </c>
      <c r="D442" s="1">
        <v>175</v>
      </c>
      <c r="E442" s="1" t="s">
        <v>32</v>
      </c>
      <c r="F442" s="1" t="s">
        <v>104</v>
      </c>
      <c r="G442" s="1" t="s">
        <v>53</v>
      </c>
      <c r="H442" s="1" t="s">
        <v>25</v>
      </c>
      <c r="I442" s="1" t="s">
        <v>110</v>
      </c>
      <c r="J442" s="1">
        <v>76</v>
      </c>
      <c r="K442" s="1">
        <v>97</v>
      </c>
      <c r="L442" s="1">
        <v>22</v>
      </c>
      <c r="M442" s="1">
        <v>36</v>
      </c>
      <c r="N442" s="17">
        <v>0.5454</v>
      </c>
      <c r="O442" s="1">
        <v>21</v>
      </c>
      <c r="P442" s="15">
        <v>0.79710000000000003</v>
      </c>
      <c r="Q442" s="1">
        <v>149.4402</v>
      </c>
      <c r="R442" s="1" t="s">
        <v>45</v>
      </c>
      <c r="S442" s="1">
        <v>253.76249999999999</v>
      </c>
      <c r="T442" s="1" t="s">
        <v>35</v>
      </c>
      <c r="U442" s="1" t="s">
        <v>65</v>
      </c>
    </row>
    <row r="443" spans="1:21" x14ac:dyDescent="0.3">
      <c r="A443" s="1" t="s">
        <v>242</v>
      </c>
      <c r="B443" s="2">
        <v>37433</v>
      </c>
      <c r="C443" s="1">
        <v>22</v>
      </c>
      <c r="D443" s="1">
        <v>164</v>
      </c>
      <c r="E443" s="1" t="s">
        <v>76</v>
      </c>
      <c r="F443" s="1" t="s">
        <v>22</v>
      </c>
      <c r="G443" s="1" t="s">
        <v>23</v>
      </c>
      <c r="H443" s="1" t="s">
        <v>54</v>
      </c>
      <c r="I443" s="1" t="s">
        <v>110</v>
      </c>
      <c r="J443" s="1">
        <v>56</v>
      </c>
      <c r="K443" s="1">
        <v>41</v>
      </c>
      <c r="L443" s="1">
        <v>57</v>
      </c>
      <c r="M443" s="1">
        <v>20</v>
      </c>
      <c r="N443" s="17">
        <v>0.16619999999999999</v>
      </c>
      <c r="O443" s="1">
        <v>222</v>
      </c>
      <c r="P443" s="15">
        <v>0.62690000000000001</v>
      </c>
      <c r="Q443" s="1">
        <v>47.417700000000004</v>
      </c>
      <c r="R443" s="1" t="s">
        <v>40</v>
      </c>
      <c r="S443" s="1">
        <v>396.44310000000002</v>
      </c>
      <c r="T443" s="1" t="s">
        <v>46</v>
      </c>
      <c r="U443" s="1" t="s">
        <v>102</v>
      </c>
    </row>
    <row r="444" spans="1:21" x14ac:dyDescent="0.3">
      <c r="A444" s="1" t="s">
        <v>243</v>
      </c>
      <c r="B444" s="2">
        <v>37656</v>
      </c>
      <c r="C444" s="1">
        <v>21</v>
      </c>
      <c r="D444" s="1">
        <v>172</v>
      </c>
      <c r="E444" s="1" t="s">
        <v>24</v>
      </c>
      <c r="F444" s="1" t="s">
        <v>42</v>
      </c>
      <c r="G444" s="1" t="s">
        <v>43</v>
      </c>
      <c r="H444" s="1" t="s">
        <v>54</v>
      </c>
      <c r="I444" s="1" t="s">
        <v>105</v>
      </c>
      <c r="J444" s="1">
        <v>113</v>
      </c>
      <c r="K444" s="1">
        <v>21</v>
      </c>
      <c r="L444" s="1">
        <v>51</v>
      </c>
      <c r="M444" s="1">
        <v>51</v>
      </c>
      <c r="N444" s="17">
        <v>0.2233</v>
      </c>
      <c r="O444" s="1">
        <v>19</v>
      </c>
      <c r="P444" s="15">
        <v>0.54990000000000006</v>
      </c>
      <c r="Q444" s="1">
        <v>25.334499999999998</v>
      </c>
      <c r="R444" s="1" t="s">
        <v>45</v>
      </c>
      <c r="S444" s="1">
        <v>255.9632</v>
      </c>
      <c r="T444" s="1" t="s">
        <v>46</v>
      </c>
      <c r="U444" s="1" t="s">
        <v>56</v>
      </c>
    </row>
    <row r="445" spans="1:21" x14ac:dyDescent="0.3">
      <c r="A445" s="1" t="s">
        <v>244</v>
      </c>
      <c r="B445" s="2">
        <v>37696</v>
      </c>
      <c r="C445" s="1">
        <v>21</v>
      </c>
      <c r="D445" s="1">
        <v>165</v>
      </c>
      <c r="E445" s="1" t="s">
        <v>76</v>
      </c>
      <c r="F445" s="1" t="s">
        <v>49</v>
      </c>
      <c r="G445" s="1" t="s">
        <v>43</v>
      </c>
      <c r="H445" s="1" t="s">
        <v>54</v>
      </c>
      <c r="I445" s="1" t="s">
        <v>99</v>
      </c>
      <c r="J445" s="1">
        <v>77</v>
      </c>
      <c r="K445" s="1">
        <v>51</v>
      </c>
      <c r="L445" s="1">
        <v>49</v>
      </c>
      <c r="M445" s="1">
        <v>57</v>
      </c>
      <c r="N445" s="17">
        <v>0.115</v>
      </c>
      <c r="O445" s="1">
        <v>190</v>
      </c>
      <c r="P445" s="15">
        <v>0.54910000000000003</v>
      </c>
      <c r="Q445" s="1">
        <v>57.377899999999997</v>
      </c>
      <c r="R445" s="1" t="s">
        <v>27</v>
      </c>
      <c r="S445" s="1">
        <v>425.41410000000002</v>
      </c>
      <c r="T445" s="1" t="s">
        <v>35</v>
      </c>
      <c r="U445" s="1" t="s">
        <v>65</v>
      </c>
    </row>
    <row r="446" spans="1:21" x14ac:dyDescent="0.3">
      <c r="A446" s="1" t="s">
        <v>245</v>
      </c>
      <c r="B446" s="2">
        <v>37863</v>
      </c>
      <c r="C446" s="1">
        <v>21</v>
      </c>
      <c r="D446" s="1">
        <v>179</v>
      </c>
      <c r="E446" s="1" t="s">
        <v>32</v>
      </c>
      <c r="F446" s="1" t="s">
        <v>75</v>
      </c>
      <c r="G446" s="1" t="s">
        <v>53</v>
      </c>
      <c r="H446" s="1" t="s">
        <v>54</v>
      </c>
      <c r="I446" s="1" t="s">
        <v>82</v>
      </c>
      <c r="J446" s="1">
        <v>108</v>
      </c>
      <c r="K446" s="1">
        <v>59</v>
      </c>
      <c r="L446" s="1">
        <v>18</v>
      </c>
      <c r="M446" s="1">
        <v>63</v>
      </c>
      <c r="N446" s="17">
        <v>0.85709999999999997</v>
      </c>
      <c r="O446" s="1">
        <v>248</v>
      </c>
      <c r="P446" s="15">
        <v>0.46650000000000003</v>
      </c>
      <c r="Q446" s="1">
        <v>109.1418</v>
      </c>
      <c r="R446" s="1" t="s">
        <v>34</v>
      </c>
      <c r="S446" s="1">
        <v>498.00360000000001</v>
      </c>
      <c r="T446" s="1" t="s">
        <v>28</v>
      </c>
      <c r="U446" s="1" t="s">
        <v>65</v>
      </c>
    </row>
    <row r="447" spans="1:21" x14ac:dyDescent="0.3">
      <c r="A447" s="1" t="s">
        <v>246</v>
      </c>
      <c r="B447" s="2">
        <v>37534</v>
      </c>
      <c r="C447" s="1">
        <v>22</v>
      </c>
      <c r="D447" s="1">
        <v>174</v>
      </c>
      <c r="E447" s="1" t="s">
        <v>24</v>
      </c>
      <c r="F447" s="1" t="s">
        <v>42</v>
      </c>
      <c r="G447" s="1" t="s">
        <v>43</v>
      </c>
      <c r="H447" s="1" t="s">
        <v>54</v>
      </c>
      <c r="I447" s="1" t="s">
        <v>67</v>
      </c>
      <c r="J447" s="1">
        <v>63</v>
      </c>
      <c r="K447" s="1">
        <v>21</v>
      </c>
      <c r="L447" s="1">
        <v>51</v>
      </c>
      <c r="M447" s="1">
        <v>62</v>
      </c>
      <c r="N447" s="17">
        <v>0.86350000000000005</v>
      </c>
      <c r="O447" s="1">
        <v>189</v>
      </c>
      <c r="P447" s="15">
        <v>0.72729999999999995</v>
      </c>
      <c r="Q447" s="1">
        <v>39.4876</v>
      </c>
      <c r="R447" s="1" t="s">
        <v>34</v>
      </c>
      <c r="S447" s="1">
        <v>386.70080000000002</v>
      </c>
      <c r="T447" s="1" t="s">
        <v>46</v>
      </c>
      <c r="U447" s="1" t="s">
        <v>36</v>
      </c>
    </row>
    <row r="448" spans="1:21" x14ac:dyDescent="0.3">
      <c r="A448" s="1" t="s">
        <v>247</v>
      </c>
      <c r="B448" s="2">
        <v>37663</v>
      </c>
      <c r="C448" s="1">
        <v>21</v>
      </c>
      <c r="D448" s="1">
        <v>176</v>
      </c>
      <c r="E448" s="1" t="s">
        <v>32</v>
      </c>
      <c r="F448" s="1" t="s">
        <v>79</v>
      </c>
      <c r="G448" s="1" t="s">
        <v>43</v>
      </c>
      <c r="H448" s="1" t="s">
        <v>54</v>
      </c>
      <c r="I448" s="1" t="s">
        <v>73</v>
      </c>
      <c r="J448" s="1">
        <v>69</v>
      </c>
      <c r="K448" s="1">
        <v>54</v>
      </c>
      <c r="L448" s="1">
        <v>55</v>
      </c>
      <c r="M448" s="1">
        <v>68</v>
      </c>
      <c r="N448" s="17">
        <v>0.7127</v>
      </c>
      <c r="O448" s="1">
        <v>347</v>
      </c>
      <c r="P448" s="15">
        <v>0.76160000000000005</v>
      </c>
      <c r="Q448" s="1">
        <v>92.108999999999995</v>
      </c>
      <c r="R448" s="1" t="s">
        <v>40</v>
      </c>
      <c r="S448" s="1">
        <v>594.92430000000002</v>
      </c>
      <c r="T448" s="1" t="s">
        <v>46</v>
      </c>
      <c r="U448" s="1" t="s">
        <v>56</v>
      </c>
    </row>
    <row r="449" spans="1:21" x14ac:dyDescent="0.3">
      <c r="A449" s="1" t="s">
        <v>248</v>
      </c>
      <c r="B449" s="2">
        <v>37503</v>
      </c>
      <c r="C449" s="1">
        <v>22</v>
      </c>
      <c r="D449" s="1">
        <v>177</v>
      </c>
      <c r="E449" s="1" t="s">
        <v>32</v>
      </c>
      <c r="F449" s="1" t="s">
        <v>62</v>
      </c>
      <c r="G449" s="1" t="s">
        <v>63</v>
      </c>
      <c r="H449" s="1" t="s">
        <v>25</v>
      </c>
      <c r="I449" s="1" t="s">
        <v>94</v>
      </c>
      <c r="J449" s="1">
        <v>116</v>
      </c>
      <c r="K449" s="1">
        <v>71</v>
      </c>
      <c r="L449" s="1">
        <v>69</v>
      </c>
      <c r="M449" s="1">
        <v>49</v>
      </c>
      <c r="N449" s="17">
        <v>0.60440000000000005</v>
      </c>
      <c r="O449" s="1">
        <v>192</v>
      </c>
      <c r="P449" s="15">
        <v>0.82050000000000001</v>
      </c>
      <c r="Q449" s="1">
        <v>113.57550000000001</v>
      </c>
      <c r="R449" s="1" t="s">
        <v>40</v>
      </c>
      <c r="S449" s="1">
        <v>499.29489999999998</v>
      </c>
      <c r="T449" s="1" t="s">
        <v>35</v>
      </c>
      <c r="U449" s="1" t="s">
        <v>29</v>
      </c>
    </row>
    <row r="450" spans="1:21" x14ac:dyDescent="0.3">
      <c r="A450" s="1" t="s">
        <v>249</v>
      </c>
      <c r="B450" s="2">
        <v>37191</v>
      </c>
      <c r="C450" s="1">
        <v>23</v>
      </c>
      <c r="D450" s="1">
        <v>184</v>
      </c>
      <c r="E450" s="1" t="s">
        <v>32</v>
      </c>
      <c r="F450" s="1" t="s">
        <v>87</v>
      </c>
      <c r="G450" s="1" t="s">
        <v>63</v>
      </c>
      <c r="H450" s="1" t="s">
        <v>54</v>
      </c>
      <c r="I450" s="1" t="s">
        <v>39</v>
      </c>
      <c r="J450" s="1">
        <v>44</v>
      </c>
      <c r="K450" s="1">
        <v>72</v>
      </c>
      <c r="L450" s="1">
        <v>35</v>
      </c>
      <c r="M450" s="1">
        <v>45</v>
      </c>
      <c r="N450" s="17">
        <v>0.53120000000000001</v>
      </c>
      <c r="O450" s="1">
        <v>103</v>
      </c>
      <c r="P450" s="15">
        <v>0.4909</v>
      </c>
      <c r="Q450" s="1">
        <v>109.78700000000001</v>
      </c>
      <c r="R450" s="1" t="s">
        <v>40</v>
      </c>
      <c r="S450" s="1">
        <v>299.99209999999999</v>
      </c>
      <c r="T450" s="1" t="s">
        <v>46</v>
      </c>
      <c r="U450" s="1" t="s">
        <v>102</v>
      </c>
    </row>
    <row r="451" spans="1:21" x14ac:dyDescent="0.3">
      <c r="A451" s="1" t="s">
        <v>250</v>
      </c>
      <c r="B451" s="2">
        <v>37382</v>
      </c>
      <c r="C451" s="1">
        <v>22</v>
      </c>
      <c r="D451" s="1">
        <v>179</v>
      </c>
      <c r="E451" s="1" t="s">
        <v>32</v>
      </c>
      <c r="F451" s="1" t="s">
        <v>72</v>
      </c>
      <c r="G451" s="1" t="s">
        <v>53</v>
      </c>
      <c r="H451" s="1" t="s">
        <v>25</v>
      </c>
      <c r="I451" s="1" t="s">
        <v>44</v>
      </c>
      <c r="J451" s="1">
        <v>101</v>
      </c>
      <c r="K451" s="1">
        <v>54</v>
      </c>
      <c r="L451" s="1">
        <v>64</v>
      </c>
      <c r="M451" s="1">
        <v>6</v>
      </c>
      <c r="N451" s="17">
        <v>0.74560000000000004</v>
      </c>
      <c r="O451" s="1">
        <v>166</v>
      </c>
      <c r="P451" s="15">
        <v>0.44519999999999998</v>
      </c>
      <c r="Q451" s="1">
        <v>93.511799999999994</v>
      </c>
      <c r="R451" s="1" t="s">
        <v>34</v>
      </c>
      <c r="S451" s="1">
        <v>391.8408</v>
      </c>
      <c r="T451" s="1" t="s">
        <v>28</v>
      </c>
      <c r="U451" s="1" t="s">
        <v>65</v>
      </c>
    </row>
    <row r="452" spans="1:21" x14ac:dyDescent="0.3">
      <c r="A452" s="1" t="s">
        <v>251</v>
      </c>
      <c r="B452" s="2">
        <v>37300</v>
      </c>
      <c r="C452" s="1">
        <v>22</v>
      </c>
      <c r="D452" s="1">
        <v>175</v>
      </c>
      <c r="E452" s="1" t="s">
        <v>32</v>
      </c>
      <c r="F452" s="1" t="s">
        <v>52</v>
      </c>
      <c r="G452" s="1" t="s">
        <v>53</v>
      </c>
      <c r="H452" s="1" t="s">
        <v>54</v>
      </c>
      <c r="I452" s="1" t="s">
        <v>96</v>
      </c>
      <c r="J452" s="1">
        <v>44</v>
      </c>
      <c r="K452" s="1">
        <v>7</v>
      </c>
      <c r="L452" s="1">
        <v>77</v>
      </c>
      <c r="M452" s="1">
        <v>66</v>
      </c>
      <c r="N452" s="17">
        <v>0.76480000000000004</v>
      </c>
      <c r="O452" s="1">
        <v>94</v>
      </c>
      <c r="P452" s="15">
        <v>0.78259999999999996</v>
      </c>
      <c r="Q452" s="1">
        <v>12.1065</v>
      </c>
      <c r="R452" s="1" t="s">
        <v>27</v>
      </c>
      <c r="S452" s="1">
        <v>288.2774</v>
      </c>
      <c r="T452" s="1" t="s">
        <v>28</v>
      </c>
      <c r="U452" s="1" t="s">
        <v>56</v>
      </c>
    </row>
    <row r="453" spans="1:21" x14ac:dyDescent="0.3">
      <c r="A453" s="1" t="s">
        <v>252</v>
      </c>
      <c r="B453" s="2">
        <v>37906</v>
      </c>
      <c r="C453" s="1">
        <v>21</v>
      </c>
      <c r="D453" s="1">
        <v>185</v>
      </c>
      <c r="E453" s="1" t="s">
        <v>32</v>
      </c>
      <c r="F453" s="1" t="s">
        <v>52</v>
      </c>
      <c r="G453" s="1" t="s">
        <v>53</v>
      </c>
      <c r="H453" s="1" t="s">
        <v>25</v>
      </c>
      <c r="I453" s="1" t="s">
        <v>92</v>
      </c>
      <c r="J453" s="1">
        <v>132</v>
      </c>
      <c r="K453" s="1">
        <v>2</v>
      </c>
      <c r="L453" s="1">
        <v>57</v>
      </c>
      <c r="M453" s="1">
        <v>12</v>
      </c>
      <c r="N453" s="17">
        <v>0.35610000000000003</v>
      </c>
      <c r="O453" s="1">
        <v>393</v>
      </c>
      <c r="P453" s="15">
        <v>0.84509999999999996</v>
      </c>
      <c r="Q453" s="1">
        <v>2.6036999999999999</v>
      </c>
      <c r="R453" s="1" t="s">
        <v>45</v>
      </c>
      <c r="S453" s="1">
        <v>596.81119999999999</v>
      </c>
      <c r="T453" s="1" t="s">
        <v>28</v>
      </c>
      <c r="U453" s="1" t="s">
        <v>113</v>
      </c>
    </row>
    <row r="454" spans="1:21" x14ac:dyDescent="0.3">
      <c r="A454" s="1" t="s">
        <v>253</v>
      </c>
      <c r="B454" s="2">
        <v>37122</v>
      </c>
      <c r="C454" s="1">
        <v>23</v>
      </c>
      <c r="D454" s="1">
        <v>185</v>
      </c>
      <c r="E454" s="1" t="s">
        <v>32</v>
      </c>
      <c r="F454" s="1" t="s">
        <v>104</v>
      </c>
      <c r="G454" s="1" t="s">
        <v>53</v>
      </c>
      <c r="H454" s="1" t="s">
        <v>54</v>
      </c>
      <c r="I454" s="1" t="s">
        <v>70</v>
      </c>
      <c r="J454" s="1">
        <v>110</v>
      </c>
      <c r="K454" s="1">
        <v>65</v>
      </c>
      <c r="L454" s="1">
        <v>72</v>
      </c>
      <c r="M454" s="1">
        <v>2</v>
      </c>
      <c r="N454" s="17">
        <v>0.36549999999999999</v>
      </c>
      <c r="O454" s="1">
        <v>136</v>
      </c>
      <c r="P454" s="15">
        <v>0.70350000000000001</v>
      </c>
      <c r="Q454" s="1">
        <v>89.003299999999996</v>
      </c>
      <c r="R454" s="1" t="s">
        <v>34</v>
      </c>
      <c r="S454" s="1">
        <v>386.22899999999998</v>
      </c>
      <c r="T454" s="1" t="s">
        <v>28</v>
      </c>
      <c r="U454" s="1" t="s">
        <v>65</v>
      </c>
    </row>
    <row r="455" spans="1:21" x14ac:dyDescent="0.3">
      <c r="A455" s="1" t="s">
        <v>254</v>
      </c>
      <c r="B455" s="2">
        <v>37712</v>
      </c>
      <c r="C455" s="1">
        <v>21</v>
      </c>
      <c r="D455" s="1">
        <v>162</v>
      </c>
      <c r="E455" s="1" t="s">
        <v>76</v>
      </c>
      <c r="F455" s="1" t="s">
        <v>87</v>
      </c>
      <c r="G455" s="1" t="s">
        <v>63</v>
      </c>
      <c r="H455" s="1" t="s">
        <v>25</v>
      </c>
      <c r="I455" s="1" t="s">
        <v>73</v>
      </c>
      <c r="J455" s="1">
        <v>147</v>
      </c>
      <c r="K455" s="1">
        <v>48</v>
      </c>
      <c r="L455" s="1">
        <v>94</v>
      </c>
      <c r="M455" s="1">
        <v>2</v>
      </c>
      <c r="N455" s="17">
        <v>0.50209999999999999</v>
      </c>
      <c r="O455" s="1">
        <v>154</v>
      </c>
      <c r="P455" s="15">
        <v>0.52010000000000001</v>
      </c>
      <c r="Q455" s="1">
        <v>72.506399999999999</v>
      </c>
      <c r="R455" s="1" t="s">
        <v>40</v>
      </c>
      <c r="S455" s="1">
        <v>445.94220000000001</v>
      </c>
      <c r="T455" s="1" t="s">
        <v>35</v>
      </c>
      <c r="U455" s="1" t="s">
        <v>65</v>
      </c>
    </row>
    <row r="456" spans="1:21" x14ac:dyDescent="0.3">
      <c r="A456" s="1" t="s">
        <v>255</v>
      </c>
      <c r="B456" s="2">
        <v>37375</v>
      </c>
      <c r="C456" s="1">
        <v>22</v>
      </c>
      <c r="D456" s="1">
        <v>182</v>
      </c>
      <c r="E456" s="1" t="s">
        <v>32</v>
      </c>
      <c r="F456" s="1" t="s">
        <v>22</v>
      </c>
      <c r="G456" s="1" t="s">
        <v>23</v>
      </c>
      <c r="H456" s="1" t="s">
        <v>25</v>
      </c>
      <c r="I456" s="1" t="s">
        <v>60</v>
      </c>
      <c r="J456" s="1">
        <v>70</v>
      </c>
      <c r="K456" s="1">
        <v>17</v>
      </c>
      <c r="L456" s="1">
        <v>69</v>
      </c>
      <c r="M456" s="1">
        <v>92</v>
      </c>
      <c r="N456" s="17">
        <v>0.79290000000000005</v>
      </c>
      <c r="O456" s="1">
        <v>355</v>
      </c>
      <c r="P456" s="15">
        <v>0.71060000000000001</v>
      </c>
      <c r="Q456" s="1">
        <v>30.1386</v>
      </c>
      <c r="R456" s="1" t="s">
        <v>40</v>
      </c>
      <c r="S456" s="1">
        <v>605.19349999999997</v>
      </c>
      <c r="T456" s="1" t="s">
        <v>35</v>
      </c>
      <c r="U456" s="1" t="s">
        <v>65</v>
      </c>
    </row>
    <row r="457" spans="1:21" x14ac:dyDescent="0.3">
      <c r="A457" s="1" t="s">
        <v>256</v>
      </c>
      <c r="B457" s="2">
        <v>37205</v>
      </c>
      <c r="C457" s="1">
        <v>23</v>
      </c>
      <c r="D457" s="1">
        <v>175</v>
      </c>
      <c r="E457" s="1" t="s">
        <v>32</v>
      </c>
      <c r="F457" s="1" t="s">
        <v>69</v>
      </c>
      <c r="G457" s="1" t="s">
        <v>43</v>
      </c>
      <c r="H457" s="1" t="s">
        <v>54</v>
      </c>
      <c r="I457" s="1" t="s">
        <v>105</v>
      </c>
      <c r="J457" s="1">
        <v>63</v>
      </c>
      <c r="K457" s="1">
        <v>55</v>
      </c>
      <c r="L457" s="1">
        <v>48</v>
      </c>
      <c r="M457" s="1">
        <v>54</v>
      </c>
      <c r="N457" s="17">
        <v>0.29659999999999997</v>
      </c>
      <c r="O457" s="1">
        <v>266</v>
      </c>
      <c r="P457" s="15">
        <v>0.51139999999999997</v>
      </c>
      <c r="Q457" s="1">
        <v>71.792699999999996</v>
      </c>
      <c r="R457" s="1" t="s">
        <v>27</v>
      </c>
      <c r="S457" s="1">
        <v>486.928</v>
      </c>
      <c r="T457" s="1" t="s">
        <v>46</v>
      </c>
      <c r="U457" s="1" t="s">
        <v>56</v>
      </c>
    </row>
    <row r="458" spans="1:21" x14ac:dyDescent="0.3">
      <c r="A458" s="1" t="s">
        <v>257</v>
      </c>
      <c r="B458" s="2">
        <v>37927</v>
      </c>
      <c r="C458" s="1">
        <v>21</v>
      </c>
      <c r="D458" s="1">
        <v>161</v>
      </c>
      <c r="E458" s="1" t="s">
        <v>76</v>
      </c>
      <c r="F458" s="1" t="s">
        <v>84</v>
      </c>
      <c r="G458" s="1" t="s">
        <v>63</v>
      </c>
      <c r="H458" s="1" t="s">
        <v>25</v>
      </c>
      <c r="I458" s="1" t="s">
        <v>67</v>
      </c>
      <c r="J458" s="1">
        <v>26</v>
      </c>
      <c r="K458" s="1">
        <v>86</v>
      </c>
      <c r="L458" s="1">
        <v>45</v>
      </c>
      <c r="M458" s="1">
        <v>68</v>
      </c>
      <c r="N458" s="17">
        <v>0.53990000000000005</v>
      </c>
      <c r="O458" s="1">
        <v>287</v>
      </c>
      <c r="P458" s="15">
        <v>0.80449999999999999</v>
      </c>
      <c r="Q458" s="1">
        <v>131.80000000000001</v>
      </c>
      <c r="R458" s="1" t="s">
        <v>45</v>
      </c>
      <c r="S458" s="1">
        <v>512.59439999999995</v>
      </c>
      <c r="T458" s="1" t="s">
        <v>28</v>
      </c>
      <c r="U458" s="1" t="s">
        <v>56</v>
      </c>
    </row>
    <row r="459" spans="1:21" x14ac:dyDescent="0.3">
      <c r="A459" s="1" t="s">
        <v>258</v>
      </c>
      <c r="B459" s="2">
        <v>37010</v>
      </c>
      <c r="C459" s="1">
        <v>23</v>
      </c>
      <c r="D459" s="1">
        <v>174</v>
      </c>
      <c r="E459" s="1" t="s">
        <v>24</v>
      </c>
      <c r="F459" s="1" t="s">
        <v>49</v>
      </c>
      <c r="G459" s="1" t="s">
        <v>43</v>
      </c>
      <c r="H459" s="1" t="s">
        <v>54</v>
      </c>
      <c r="I459" s="1" t="s">
        <v>94</v>
      </c>
      <c r="J459" s="1">
        <v>109</v>
      </c>
      <c r="K459" s="1">
        <v>40</v>
      </c>
      <c r="L459" s="1">
        <v>82</v>
      </c>
      <c r="M459" s="1">
        <v>75</v>
      </c>
      <c r="N459" s="17">
        <v>0.14080000000000001</v>
      </c>
      <c r="O459" s="1">
        <v>232</v>
      </c>
      <c r="P459" s="15">
        <v>0.55500000000000005</v>
      </c>
      <c r="Q459" s="1">
        <v>45.860199999999999</v>
      </c>
      <c r="R459" s="1" t="s">
        <v>27</v>
      </c>
      <c r="S459" s="1">
        <v>538.07579999999996</v>
      </c>
      <c r="T459" s="1" t="s">
        <v>46</v>
      </c>
      <c r="U459" s="1" t="s">
        <v>29</v>
      </c>
    </row>
    <row r="460" spans="1:21" x14ac:dyDescent="0.3">
      <c r="A460" s="1" t="s">
        <v>259</v>
      </c>
      <c r="B460" s="2">
        <v>37729</v>
      </c>
      <c r="C460" s="1">
        <v>21</v>
      </c>
      <c r="D460" s="1">
        <v>169</v>
      </c>
      <c r="E460" s="1" t="s">
        <v>24</v>
      </c>
      <c r="F460" s="1" t="s">
        <v>38</v>
      </c>
      <c r="G460" s="1" t="s">
        <v>23</v>
      </c>
      <c r="H460" s="1" t="s">
        <v>25</v>
      </c>
      <c r="I460" s="1" t="s">
        <v>64</v>
      </c>
      <c r="J460" s="1">
        <v>115</v>
      </c>
      <c r="K460" s="1">
        <v>98</v>
      </c>
      <c r="L460" s="1">
        <v>65</v>
      </c>
      <c r="M460" s="1">
        <v>43</v>
      </c>
      <c r="N460" s="17">
        <v>0.44419999999999998</v>
      </c>
      <c r="O460" s="1">
        <v>397</v>
      </c>
      <c r="P460" s="15">
        <v>0.7913</v>
      </c>
      <c r="Q460" s="1">
        <v>141.315</v>
      </c>
      <c r="R460" s="1" t="s">
        <v>45</v>
      </c>
      <c r="S460" s="1">
        <v>718.90549999999996</v>
      </c>
      <c r="T460" s="1" t="s">
        <v>35</v>
      </c>
      <c r="U460" s="1" t="s">
        <v>29</v>
      </c>
    </row>
    <row r="461" spans="1:21" x14ac:dyDescent="0.3">
      <c r="A461" s="1" t="s">
        <v>260</v>
      </c>
      <c r="B461" s="2">
        <v>37257</v>
      </c>
      <c r="C461" s="1">
        <v>23</v>
      </c>
      <c r="D461" s="1">
        <v>163</v>
      </c>
      <c r="E461" s="1" t="s">
        <v>76</v>
      </c>
      <c r="F461" s="1" t="s">
        <v>49</v>
      </c>
      <c r="G461" s="1" t="s">
        <v>43</v>
      </c>
      <c r="H461" s="1" t="s">
        <v>54</v>
      </c>
      <c r="I461" s="1" t="s">
        <v>64</v>
      </c>
      <c r="J461" s="1">
        <v>109</v>
      </c>
      <c r="K461" s="1">
        <v>23</v>
      </c>
      <c r="L461" s="1">
        <v>1</v>
      </c>
      <c r="M461" s="1">
        <v>3</v>
      </c>
      <c r="N461" s="17">
        <v>0.70609999999999995</v>
      </c>
      <c r="O461" s="1">
        <v>120</v>
      </c>
      <c r="P461" s="15">
        <v>0.64500000000000002</v>
      </c>
      <c r="Q461" s="1">
        <v>39.325600000000001</v>
      </c>
      <c r="R461" s="1" t="s">
        <v>45</v>
      </c>
      <c r="S461" s="1">
        <v>258.49110000000002</v>
      </c>
      <c r="T461" s="1" t="s">
        <v>28</v>
      </c>
      <c r="U461" s="1" t="s">
        <v>36</v>
      </c>
    </row>
    <row r="462" spans="1:21" x14ac:dyDescent="0.3">
      <c r="A462" s="1" t="s">
        <v>261</v>
      </c>
      <c r="B462" s="2">
        <v>37278</v>
      </c>
      <c r="C462" s="1">
        <v>22</v>
      </c>
      <c r="D462" s="1">
        <v>168</v>
      </c>
      <c r="E462" s="1" t="s">
        <v>24</v>
      </c>
      <c r="F462" s="1" t="s">
        <v>104</v>
      </c>
      <c r="G462" s="1" t="s">
        <v>53</v>
      </c>
      <c r="H462" s="1" t="s">
        <v>25</v>
      </c>
      <c r="I462" s="1" t="s">
        <v>39</v>
      </c>
      <c r="J462" s="1">
        <v>122</v>
      </c>
      <c r="K462" s="1">
        <v>42</v>
      </c>
      <c r="L462" s="1">
        <v>77</v>
      </c>
      <c r="M462" s="1">
        <v>88</v>
      </c>
      <c r="N462" s="17">
        <v>0.28549999999999998</v>
      </c>
      <c r="O462" s="1">
        <v>7</v>
      </c>
      <c r="P462" s="15">
        <v>0.44540000000000002</v>
      </c>
      <c r="Q462" s="1">
        <v>54.633699999999997</v>
      </c>
      <c r="R462" s="1" t="s">
        <v>27</v>
      </c>
      <c r="S462" s="1">
        <v>337.41090000000003</v>
      </c>
      <c r="T462" s="1" t="s">
        <v>35</v>
      </c>
      <c r="U462" s="1" t="s">
        <v>65</v>
      </c>
    </row>
    <row r="463" spans="1:21" x14ac:dyDescent="0.3">
      <c r="A463" s="1" t="s">
        <v>262</v>
      </c>
      <c r="B463" s="2">
        <v>37790</v>
      </c>
      <c r="C463" s="1">
        <v>21</v>
      </c>
      <c r="D463" s="1">
        <v>172</v>
      </c>
      <c r="E463" s="1" t="s">
        <v>24</v>
      </c>
      <c r="F463" s="1" t="s">
        <v>31</v>
      </c>
      <c r="G463" s="1" t="s">
        <v>23</v>
      </c>
      <c r="H463" s="1" t="s">
        <v>25</v>
      </c>
      <c r="I463" s="1" t="s">
        <v>80</v>
      </c>
      <c r="J463" s="1">
        <v>113</v>
      </c>
      <c r="K463" s="1">
        <v>78</v>
      </c>
      <c r="L463" s="1">
        <v>15</v>
      </c>
      <c r="M463" s="1">
        <v>99</v>
      </c>
      <c r="N463" s="17">
        <v>0.92479999999999996</v>
      </c>
      <c r="O463" s="1">
        <v>94</v>
      </c>
      <c r="P463" s="15">
        <v>0.65920000000000001</v>
      </c>
      <c r="Q463" s="1">
        <v>149.80719999999999</v>
      </c>
      <c r="R463" s="1" t="s">
        <v>40</v>
      </c>
      <c r="S463" s="1">
        <v>401.464</v>
      </c>
      <c r="T463" s="1" t="s">
        <v>28</v>
      </c>
      <c r="U463" s="1" t="s">
        <v>47</v>
      </c>
    </row>
    <row r="464" spans="1:21" x14ac:dyDescent="0.3">
      <c r="A464" s="1" t="s">
        <v>263</v>
      </c>
      <c r="B464" s="2">
        <v>37507</v>
      </c>
      <c r="C464" s="1">
        <v>22</v>
      </c>
      <c r="D464" s="1">
        <v>173</v>
      </c>
      <c r="E464" s="1" t="s">
        <v>24</v>
      </c>
      <c r="F464" s="1" t="s">
        <v>49</v>
      </c>
      <c r="G464" s="1" t="s">
        <v>43</v>
      </c>
      <c r="H464" s="1" t="s">
        <v>54</v>
      </c>
      <c r="I464" s="1" t="s">
        <v>44</v>
      </c>
      <c r="J464" s="1">
        <v>84</v>
      </c>
      <c r="K464" s="1">
        <v>60</v>
      </c>
      <c r="L464" s="1">
        <v>74</v>
      </c>
      <c r="M464" s="1">
        <v>18</v>
      </c>
      <c r="N464" s="17">
        <v>0.60029999999999994</v>
      </c>
      <c r="O464" s="1">
        <v>272</v>
      </c>
      <c r="P464" s="15">
        <v>0.42109999999999997</v>
      </c>
      <c r="Q464" s="1">
        <v>95.3459</v>
      </c>
      <c r="R464" s="1" t="s">
        <v>40</v>
      </c>
      <c r="S464" s="1">
        <v>508.50139999999999</v>
      </c>
      <c r="T464" s="1" t="s">
        <v>46</v>
      </c>
      <c r="U464" s="1" t="s">
        <v>102</v>
      </c>
    </row>
    <row r="465" spans="1:21" x14ac:dyDescent="0.3">
      <c r="A465" s="1" t="s">
        <v>264</v>
      </c>
      <c r="B465" s="2">
        <v>37744</v>
      </c>
      <c r="C465" s="1">
        <v>21</v>
      </c>
      <c r="D465" s="1">
        <v>182</v>
      </c>
      <c r="E465" s="1" t="s">
        <v>32</v>
      </c>
      <c r="F465" s="1" t="s">
        <v>87</v>
      </c>
      <c r="G465" s="1" t="s">
        <v>63</v>
      </c>
      <c r="H465" s="1" t="s">
        <v>54</v>
      </c>
      <c r="I465" s="1" t="s">
        <v>67</v>
      </c>
      <c r="J465" s="1">
        <v>46</v>
      </c>
      <c r="K465" s="1">
        <v>19</v>
      </c>
      <c r="L465" s="1">
        <v>54</v>
      </c>
      <c r="M465" s="1">
        <v>25</v>
      </c>
      <c r="N465" s="17">
        <v>0.87180000000000002</v>
      </c>
      <c r="O465" s="1">
        <v>91</v>
      </c>
      <c r="P465" s="15">
        <v>0.46500000000000002</v>
      </c>
      <c r="Q465" s="1">
        <v>35.938600000000001</v>
      </c>
      <c r="R465" s="1" t="s">
        <v>45</v>
      </c>
      <c r="S465" s="1">
        <v>236.23679999999999</v>
      </c>
      <c r="T465" s="1" t="s">
        <v>28</v>
      </c>
      <c r="U465" s="1" t="s">
        <v>65</v>
      </c>
    </row>
    <row r="466" spans="1:21" x14ac:dyDescent="0.3">
      <c r="A466" s="1" t="s">
        <v>265</v>
      </c>
      <c r="B466" s="2">
        <v>37389</v>
      </c>
      <c r="C466" s="1">
        <v>22</v>
      </c>
      <c r="D466" s="1">
        <v>172</v>
      </c>
      <c r="E466" s="1" t="s">
        <v>24</v>
      </c>
      <c r="F466" s="1" t="s">
        <v>98</v>
      </c>
      <c r="G466" s="1" t="s">
        <v>23</v>
      </c>
      <c r="H466" s="1" t="s">
        <v>54</v>
      </c>
      <c r="I466" s="1" t="s">
        <v>80</v>
      </c>
      <c r="J466" s="1">
        <v>50</v>
      </c>
      <c r="K466" s="1">
        <v>9</v>
      </c>
      <c r="L466" s="1">
        <v>46</v>
      </c>
      <c r="M466" s="1">
        <v>38</v>
      </c>
      <c r="N466" s="17">
        <v>0.84650000000000003</v>
      </c>
      <c r="O466" s="1">
        <v>215</v>
      </c>
      <c r="P466" s="15">
        <v>0.42320000000000002</v>
      </c>
      <c r="Q466" s="1">
        <v>16.304600000000001</v>
      </c>
      <c r="R466" s="1" t="s">
        <v>45</v>
      </c>
      <c r="S466" s="1">
        <v>358.29969999999997</v>
      </c>
      <c r="T466" s="1" t="s">
        <v>46</v>
      </c>
      <c r="U466" s="1" t="s">
        <v>65</v>
      </c>
    </row>
    <row r="467" spans="1:21" x14ac:dyDescent="0.3">
      <c r="A467" s="1" t="s">
        <v>266</v>
      </c>
      <c r="B467" s="2">
        <v>37336</v>
      </c>
      <c r="C467" s="1">
        <v>22</v>
      </c>
      <c r="D467" s="1">
        <v>185</v>
      </c>
      <c r="E467" s="1" t="s">
        <v>32</v>
      </c>
      <c r="F467" s="1" t="s">
        <v>31</v>
      </c>
      <c r="G467" s="1" t="s">
        <v>23</v>
      </c>
      <c r="H467" s="1" t="s">
        <v>54</v>
      </c>
      <c r="I467" s="1" t="s">
        <v>80</v>
      </c>
      <c r="J467" s="1">
        <v>131</v>
      </c>
      <c r="K467" s="1">
        <v>34</v>
      </c>
      <c r="L467" s="1">
        <v>96</v>
      </c>
      <c r="M467" s="1">
        <v>3</v>
      </c>
      <c r="N467" s="17">
        <v>0.96589999999999998</v>
      </c>
      <c r="O467" s="1">
        <v>375</v>
      </c>
      <c r="P467" s="15">
        <v>0.45279999999999998</v>
      </c>
      <c r="Q467" s="1">
        <v>66.762</v>
      </c>
      <c r="R467" s="1" t="s">
        <v>45</v>
      </c>
      <c r="S467" s="1">
        <v>639.11869999999999</v>
      </c>
      <c r="T467" s="1" t="s">
        <v>28</v>
      </c>
      <c r="U467" s="1" t="s">
        <v>102</v>
      </c>
    </row>
    <row r="468" spans="1:21" x14ac:dyDescent="0.3">
      <c r="A468" s="1" t="s">
        <v>267</v>
      </c>
      <c r="B468" s="2">
        <v>37550</v>
      </c>
      <c r="C468" s="1">
        <v>22</v>
      </c>
      <c r="D468" s="1">
        <v>177</v>
      </c>
      <c r="E468" s="1" t="s">
        <v>32</v>
      </c>
      <c r="F468" s="1" t="s">
        <v>62</v>
      </c>
      <c r="G468" s="1" t="s">
        <v>63</v>
      </c>
      <c r="H468" s="1" t="s">
        <v>54</v>
      </c>
      <c r="I468" s="1" t="s">
        <v>107</v>
      </c>
      <c r="J468" s="1">
        <v>70</v>
      </c>
      <c r="K468" s="1">
        <v>65</v>
      </c>
      <c r="L468" s="1">
        <v>32</v>
      </c>
      <c r="M468" s="1">
        <v>37</v>
      </c>
      <c r="N468" s="17">
        <v>0.51939999999999997</v>
      </c>
      <c r="O468" s="1">
        <v>353</v>
      </c>
      <c r="P468" s="15">
        <v>0.76129999999999998</v>
      </c>
      <c r="Q468" s="1">
        <v>99.095299999999995</v>
      </c>
      <c r="R468" s="1" t="s">
        <v>45</v>
      </c>
      <c r="S468" s="1">
        <v>558.34069999999997</v>
      </c>
      <c r="T468" s="1" t="s">
        <v>35</v>
      </c>
      <c r="U468" s="1" t="s">
        <v>36</v>
      </c>
    </row>
    <row r="469" spans="1:21" x14ac:dyDescent="0.3">
      <c r="A469" s="1" t="s">
        <v>268</v>
      </c>
      <c r="B469" s="2">
        <v>37345</v>
      </c>
      <c r="C469" s="1">
        <v>22</v>
      </c>
      <c r="D469" s="1">
        <v>161</v>
      </c>
      <c r="E469" s="1" t="s">
        <v>76</v>
      </c>
      <c r="F469" s="1" t="s">
        <v>84</v>
      </c>
      <c r="G469" s="1" t="s">
        <v>63</v>
      </c>
      <c r="H469" s="1" t="s">
        <v>25</v>
      </c>
      <c r="I469" s="1" t="s">
        <v>33</v>
      </c>
      <c r="J469" s="1">
        <v>40</v>
      </c>
      <c r="K469" s="1">
        <v>94</v>
      </c>
      <c r="L469" s="1">
        <v>58</v>
      </c>
      <c r="M469" s="1">
        <v>42</v>
      </c>
      <c r="N469" s="17">
        <v>0.39689999999999998</v>
      </c>
      <c r="O469" s="1">
        <v>62</v>
      </c>
      <c r="P469" s="15">
        <v>0.57089999999999996</v>
      </c>
      <c r="Q469" s="1">
        <v>130.666</v>
      </c>
      <c r="R469" s="1" t="s">
        <v>34</v>
      </c>
      <c r="S469" s="1">
        <v>296.8578</v>
      </c>
      <c r="T469" s="1" t="s">
        <v>35</v>
      </c>
      <c r="U469" s="1" t="s">
        <v>65</v>
      </c>
    </row>
    <row r="470" spans="1:21" x14ac:dyDescent="0.3">
      <c r="A470" s="1" t="s">
        <v>269</v>
      </c>
      <c r="B470" s="2">
        <v>37896</v>
      </c>
      <c r="C470" s="1">
        <v>21</v>
      </c>
      <c r="D470" s="1">
        <v>183</v>
      </c>
      <c r="E470" s="1" t="s">
        <v>32</v>
      </c>
      <c r="F470" s="1" t="s">
        <v>79</v>
      </c>
      <c r="G470" s="1" t="s">
        <v>43</v>
      </c>
      <c r="H470" s="1" t="s">
        <v>54</v>
      </c>
      <c r="I470" s="1" t="s">
        <v>70</v>
      </c>
      <c r="J470" s="1">
        <v>110</v>
      </c>
      <c r="K470" s="1">
        <v>36</v>
      </c>
      <c r="L470" s="1">
        <v>15</v>
      </c>
      <c r="M470" s="1">
        <v>55</v>
      </c>
      <c r="N470" s="17">
        <v>0.90039999999999998</v>
      </c>
      <c r="O470" s="1">
        <v>74</v>
      </c>
      <c r="P470" s="15">
        <v>0.84560000000000002</v>
      </c>
      <c r="Q470" s="1">
        <v>68.167299999999997</v>
      </c>
      <c r="R470" s="1" t="s">
        <v>27</v>
      </c>
      <c r="S470" s="1">
        <v>292.20600000000002</v>
      </c>
      <c r="T470" s="1" t="s">
        <v>46</v>
      </c>
      <c r="U470" s="1" t="s">
        <v>29</v>
      </c>
    </row>
    <row r="471" spans="1:21" x14ac:dyDescent="0.3">
      <c r="A471" s="1" t="s">
        <v>270</v>
      </c>
      <c r="B471" s="2">
        <v>36905</v>
      </c>
      <c r="C471" s="1">
        <v>23</v>
      </c>
      <c r="D471" s="1">
        <v>184</v>
      </c>
      <c r="E471" s="1" t="s">
        <v>32</v>
      </c>
      <c r="F471" s="1" t="s">
        <v>38</v>
      </c>
      <c r="G471" s="1" t="s">
        <v>23</v>
      </c>
      <c r="H471" s="1" t="s">
        <v>54</v>
      </c>
      <c r="I471" s="1" t="s">
        <v>64</v>
      </c>
      <c r="J471" s="1">
        <v>127</v>
      </c>
      <c r="K471" s="1">
        <v>24</v>
      </c>
      <c r="L471" s="1">
        <v>71</v>
      </c>
      <c r="M471" s="1">
        <v>2</v>
      </c>
      <c r="N471" s="17">
        <v>0.43590000000000001</v>
      </c>
      <c r="O471" s="1">
        <v>203</v>
      </c>
      <c r="P471" s="15">
        <v>0.67800000000000005</v>
      </c>
      <c r="Q471" s="1">
        <v>34.3324</v>
      </c>
      <c r="R471" s="1" t="s">
        <v>45</v>
      </c>
      <c r="S471" s="1">
        <v>427.27390000000003</v>
      </c>
      <c r="T471" s="1" t="s">
        <v>46</v>
      </c>
      <c r="U471" s="1" t="s">
        <v>56</v>
      </c>
    </row>
    <row r="472" spans="1:21" x14ac:dyDescent="0.3">
      <c r="A472" s="1" t="s">
        <v>271</v>
      </c>
      <c r="B472" s="2">
        <v>36926</v>
      </c>
      <c r="C472" s="1">
        <v>23</v>
      </c>
      <c r="D472" s="1">
        <v>160</v>
      </c>
      <c r="E472" s="1" t="s">
        <v>76</v>
      </c>
      <c r="F472" s="1" t="s">
        <v>22</v>
      </c>
      <c r="G472" s="1" t="s">
        <v>23</v>
      </c>
      <c r="H472" s="1" t="s">
        <v>54</v>
      </c>
      <c r="I472" s="1" t="s">
        <v>92</v>
      </c>
      <c r="J472" s="1">
        <v>4</v>
      </c>
      <c r="K472" s="1">
        <v>82</v>
      </c>
      <c r="L472" s="1">
        <v>68</v>
      </c>
      <c r="M472" s="1">
        <v>81</v>
      </c>
      <c r="N472" s="17">
        <v>0.1963</v>
      </c>
      <c r="O472" s="1">
        <v>364</v>
      </c>
      <c r="P472" s="15">
        <v>0.44330000000000003</v>
      </c>
      <c r="Q472" s="1">
        <v>97.498400000000004</v>
      </c>
      <c r="R472" s="1" t="s">
        <v>34</v>
      </c>
      <c r="S472" s="1">
        <v>598.2296</v>
      </c>
      <c r="T472" s="1" t="s">
        <v>28</v>
      </c>
      <c r="U472" s="1" t="s">
        <v>36</v>
      </c>
    </row>
    <row r="473" spans="1:21" x14ac:dyDescent="0.3">
      <c r="A473" s="1" t="s">
        <v>272</v>
      </c>
      <c r="B473" s="2">
        <v>37704</v>
      </c>
      <c r="C473" s="1">
        <v>21</v>
      </c>
      <c r="D473" s="1">
        <v>185</v>
      </c>
      <c r="E473" s="1" t="s">
        <v>32</v>
      </c>
      <c r="F473" s="1" t="s">
        <v>72</v>
      </c>
      <c r="G473" s="1" t="s">
        <v>53</v>
      </c>
      <c r="H473" s="1" t="s">
        <v>25</v>
      </c>
      <c r="I473" s="1" t="s">
        <v>105</v>
      </c>
      <c r="J473" s="1">
        <v>144</v>
      </c>
      <c r="K473" s="1">
        <v>46</v>
      </c>
      <c r="L473" s="1">
        <v>25</v>
      </c>
      <c r="M473" s="1">
        <v>70</v>
      </c>
      <c r="N473" s="17">
        <v>0.84530000000000005</v>
      </c>
      <c r="O473" s="1">
        <v>121</v>
      </c>
      <c r="P473" s="15">
        <v>0.43630000000000002</v>
      </c>
      <c r="Q473" s="1">
        <v>85.695700000000002</v>
      </c>
      <c r="R473" s="1" t="s">
        <v>27</v>
      </c>
      <c r="S473" s="1">
        <v>407.46159999999998</v>
      </c>
      <c r="T473" s="1" t="s">
        <v>28</v>
      </c>
      <c r="U473" s="1" t="s">
        <v>56</v>
      </c>
    </row>
    <row r="474" spans="1:21" x14ac:dyDescent="0.3">
      <c r="A474" s="1" t="s">
        <v>273</v>
      </c>
      <c r="B474" s="2">
        <v>36911</v>
      </c>
      <c r="C474" s="1">
        <v>23</v>
      </c>
      <c r="D474" s="1">
        <v>161</v>
      </c>
      <c r="E474" s="1" t="s">
        <v>76</v>
      </c>
      <c r="F474" s="1" t="s">
        <v>87</v>
      </c>
      <c r="G474" s="1" t="s">
        <v>63</v>
      </c>
      <c r="H474" s="1" t="s">
        <v>25</v>
      </c>
      <c r="I474" s="1" t="s">
        <v>55</v>
      </c>
      <c r="J474" s="1">
        <v>75</v>
      </c>
      <c r="K474" s="1">
        <v>44</v>
      </c>
      <c r="L474" s="1">
        <v>79</v>
      </c>
      <c r="M474" s="1">
        <v>57</v>
      </c>
      <c r="N474" s="17">
        <v>0.18579999999999999</v>
      </c>
      <c r="O474" s="1">
        <v>343</v>
      </c>
      <c r="P474" s="15">
        <v>0.63770000000000004</v>
      </c>
      <c r="Q474" s="1">
        <v>52.127800000000001</v>
      </c>
      <c r="R474" s="1" t="s">
        <v>27</v>
      </c>
      <c r="S474" s="1">
        <v>599.26350000000002</v>
      </c>
      <c r="T474" s="1" t="s">
        <v>28</v>
      </c>
      <c r="U474" s="1" t="s">
        <v>36</v>
      </c>
    </row>
    <row r="475" spans="1:21" x14ac:dyDescent="0.3">
      <c r="A475" s="1" t="s">
        <v>274</v>
      </c>
      <c r="B475" s="2">
        <v>37466</v>
      </c>
      <c r="C475" s="1">
        <v>22</v>
      </c>
      <c r="D475" s="1">
        <v>162</v>
      </c>
      <c r="E475" s="1" t="s">
        <v>76</v>
      </c>
      <c r="F475" s="1" t="s">
        <v>109</v>
      </c>
      <c r="G475" s="1" t="s">
        <v>63</v>
      </c>
      <c r="H475" s="1" t="s">
        <v>25</v>
      </c>
      <c r="I475" s="1" t="s">
        <v>73</v>
      </c>
      <c r="J475" s="1">
        <v>139</v>
      </c>
      <c r="K475" s="1">
        <v>32</v>
      </c>
      <c r="L475" s="1">
        <v>96</v>
      </c>
      <c r="M475" s="1">
        <v>59</v>
      </c>
      <c r="N475" s="17">
        <v>0.74139999999999995</v>
      </c>
      <c r="O475" s="1">
        <v>301</v>
      </c>
      <c r="P475" s="15">
        <v>0.57920000000000005</v>
      </c>
      <c r="Q475" s="1">
        <v>55.9512</v>
      </c>
      <c r="R475" s="1" t="s">
        <v>27</v>
      </c>
      <c r="S475" s="1">
        <v>629.30060000000003</v>
      </c>
      <c r="T475" s="1" t="s">
        <v>35</v>
      </c>
      <c r="U475" s="1" t="s">
        <v>36</v>
      </c>
    </row>
    <row r="476" spans="1:21" x14ac:dyDescent="0.3">
      <c r="A476" s="1" t="s">
        <v>275</v>
      </c>
      <c r="B476" s="2">
        <v>37571</v>
      </c>
      <c r="C476" s="1">
        <v>22</v>
      </c>
      <c r="D476" s="1">
        <v>181</v>
      </c>
      <c r="E476" s="1" t="s">
        <v>32</v>
      </c>
      <c r="F476" s="1" t="s">
        <v>69</v>
      </c>
      <c r="G476" s="1" t="s">
        <v>43</v>
      </c>
      <c r="H476" s="1" t="s">
        <v>54</v>
      </c>
      <c r="I476" s="1" t="s">
        <v>64</v>
      </c>
      <c r="J476" s="1">
        <v>119</v>
      </c>
      <c r="K476" s="1">
        <v>69</v>
      </c>
      <c r="L476" s="1">
        <v>9</v>
      </c>
      <c r="M476" s="1">
        <v>75</v>
      </c>
      <c r="N476" s="17">
        <v>0.18790000000000001</v>
      </c>
      <c r="O476" s="1">
        <v>139</v>
      </c>
      <c r="P476" s="15">
        <v>0.50449999999999995</v>
      </c>
      <c r="Q476" s="1">
        <v>82.250200000000007</v>
      </c>
      <c r="R476" s="1" t="s">
        <v>27</v>
      </c>
      <c r="S476" s="1">
        <v>411.2724</v>
      </c>
      <c r="T476" s="1" t="s">
        <v>35</v>
      </c>
      <c r="U476" s="1" t="s">
        <v>65</v>
      </c>
    </row>
    <row r="477" spans="1:21" x14ac:dyDescent="0.3">
      <c r="A477" s="1" t="s">
        <v>276</v>
      </c>
      <c r="B477" s="2">
        <v>37451</v>
      </c>
      <c r="C477" s="1">
        <v>22</v>
      </c>
      <c r="D477" s="1">
        <v>180</v>
      </c>
      <c r="E477" s="1" t="s">
        <v>32</v>
      </c>
      <c r="F477" s="1" t="s">
        <v>87</v>
      </c>
      <c r="G477" s="1" t="s">
        <v>63</v>
      </c>
      <c r="H477" s="1" t="s">
        <v>54</v>
      </c>
      <c r="I477" s="1" t="s">
        <v>123</v>
      </c>
      <c r="J477" s="1">
        <v>35</v>
      </c>
      <c r="K477" s="1">
        <v>56</v>
      </c>
      <c r="L477" s="1">
        <v>38</v>
      </c>
      <c r="M477" s="1">
        <v>19</v>
      </c>
      <c r="N477" s="17">
        <v>0.44209999999999999</v>
      </c>
      <c r="O477" s="1">
        <v>235</v>
      </c>
      <c r="P477" s="15">
        <v>0.74750000000000005</v>
      </c>
      <c r="Q477" s="1">
        <v>80.397099999999995</v>
      </c>
      <c r="R477" s="1" t="s">
        <v>40</v>
      </c>
      <c r="S477" s="1">
        <v>384.24959999999999</v>
      </c>
      <c r="T477" s="1" t="s">
        <v>28</v>
      </c>
      <c r="U477" s="1" t="s">
        <v>102</v>
      </c>
    </row>
    <row r="478" spans="1:21" x14ac:dyDescent="0.3">
      <c r="A478" s="1" t="s">
        <v>277</v>
      </c>
      <c r="B478" s="2">
        <v>37670</v>
      </c>
      <c r="C478" s="1">
        <v>21</v>
      </c>
      <c r="D478" s="1">
        <v>164</v>
      </c>
      <c r="E478" s="1" t="s">
        <v>76</v>
      </c>
      <c r="F478" s="1" t="s">
        <v>38</v>
      </c>
      <c r="G478" s="1" t="s">
        <v>23</v>
      </c>
      <c r="H478" s="1" t="s">
        <v>25</v>
      </c>
      <c r="I478" s="1" t="s">
        <v>107</v>
      </c>
      <c r="J478" s="1">
        <v>48</v>
      </c>
      <c r="K478" s="1">
        <v>12</v>
      </c>
      <c r="L478" s="1">
        <v>2</v>
      </c>
      <c r="M478" s="1">
        <v>32</v>
      </c>
      <c r="N478" s="17">
        <v>0.34279999999999999</v>
      </c>
      <c r="O478" s="1">
        <v>145</v>
      </c>
      <c r="P478" s="15">
        <v>0.45960000000000001</v>
      </c>
      <c r="Q478" s="1">
        <v>15.5093</v>
      </c>
      <c r="R478" s="1" t="s">
        <v>34</v>
      </c>
      <c r="S478" s="1">
        <v>238.1824</v>
      </c>
      <c r="T478" s="1" t="s">
        <v>35</v>
      </c>
      <c r="U478" s="1" t="s">
        <v>56</v>
      </c>
    </row>
    <row r="479" spans="1:21" x14ac:dyDescent="0.3">
      <c r="A479" s="1" t="s">
        <v>278</v>
      </c>
      <c r="B479" s="2">
        <v>37616</v>
      </c>
      <c r="C479" s="1">
        <v>22</v>
      </c>
      <c r="D479" s="1">
        <v>162</v>
      </c>
      <c r="E479" s="1" t="s">
        <v>76</v>
      </c>
      <c r="F479" s="1" t="s">
        <v>98</v>
      </c>
      <c r="G479" s="1" t="s">
        <v>23</v>
      </c>
      <c r="H479" s="1" t="s">
        <v>25</v>
      </c>
      <c r="I479" s="1" t="s">
        <v>96</v>
      </c>
      <c r="J479" s="1">
        <v>130</v>
      </c>
      <c r="K479" s="1">
        <v>2</v>
      </c>
      <c r="L479" s="1">
        <v>42</v>
      </c>
      <c r="M479" s="1">
        <v>78</v>
      </c>
      <c r="N479" s="17">
        <v>0.60360000000000003</v>
      </c>
      <c r="O479" s="1">
        <v>290</v>
      </c>
      <c r="P479" s="15">
        <v>0.84670000000000001</v>
      </c>
      <c r="Q479" s="1">
        <v>3.56</v>
      </c>
      <c r="R479" s="1" t="s">
        <v>34</v>
      </c>
      <c r="S479" s="1">
        <v>543.68029999999999</v>
      </c>
      <c r="T479" s="1" t="s">
        <v>46</v>
      </c>
      <c r="U479" s="1" t="s">
        <v>65</v>
      </c>
    </row>
    <row r="480" spans="1:21" x14ac:dyDescent="0.3">
      <c r="A480" s="1" t="s">
        <v>279</v>
      </c>
      <c r="B480" s="2">
        <v>37176</v>
      </c>
      <c r="C480" s="1">
        <v>23</v>
      </c>
      <c r="D480" s="1">
        <v>165</v>
      </c>
      <c r="E480" s="1" t="s">
        <v>76</v>
      </c>
      <c r="F480" s="1" t="s">
        <v>52</v>
      </c>
      <c r="G480" s="1" t="s">
        <v>53</v>
      </c>
      <c r="H480" s="1" t="s">
        <v>54</v>
      </c>
      <c r="I480" s="1" t="s">
        <v>94</v>
      </c>
      <c r="J480" s="1">
        <v>41</v>
      </c>
      <c r="K480" s="1">
        <v>15</v>
      </c>
      <c r="L480" s="1">
        <v>18</v>
      </c>
      <c r="M480" s="1">
        <v>28</v>
      </c>
      <c r="N480" s="17">
        <v>0.8044</v>
      </c>
      <c r="O480" s="1">
        <v>121</v>
      </c>
      <c r="P480" s="15">
        <v>0.5625</v>
      </c>
      <c r="Q480" s="1">
        <v>27.878</v>
      </c>
      <c r="R480" s="1" t="s">
        <v>34</v>
      </c>
      <c r="S480" s="1">
        <v>224.27690000000001</v>
      </c>
      <c r="T480" s="1" t="s">
        <v>46</v>
      </c>
      <c r="U480" s="1" t="s">
        <v>102</v>
      </c>
    </row>
    <row r="481" spans="1:21" x14ac:dyDescent="0.3">
      <c r="A481" s="1" t="s">
        <v>280</v>
      </c>
      <c r="B481" s="2">
        <v>37111</v>
      </c>
      <c r="C481" s="1">
        <v>23</v>
      </c>
      <c r="D481" s="1">
        <v>174</v>
      </c>
      <c r="E481" s="1" t="s">
        <v>24</v>
      </c>
      <c r="F481" s="1" t="s">
        <v>109</v>
      </c>
      <c r="G481" s="1" t="s">
        <v>63</v>
      </c>
      <c r="H481" s="1" t="s">
        <v>25</v>
      </c>
      <c r="I481" s="1" t="s">
        <v>94</v>
      </c>
      <c r="J481" s="1">
        <v>2</v>
      </c>
      <c r="K481" s="1">
        <v>40</v>
      </c>
      <c r="L481" s="1">
        <v>84</v>
      </c>
      <c r="M481" s="1">
        <v>39</v>
      </c>
      <c r="N481" s="17">
        <v>0.49619999999999997</v>
      </c>
      <c r="O481" s="1">
        <v>345</v>
      </c>
      <c r="P481" s="15">
        <v>0.59379999999999999</v>
      </c>
      <c r="Q481" s="1">
        <v>60.102400000000003</v>
      </c>
      <c r="R481" s="1" t="s">
        <v>34</v>
      </c>
      <c r="S481" s="1">
        <v>511.22</v>
      </c>
      <c r="T481" s="1" t="s">
        <v>35</v>
      </c>
      <c r="U481" s="1" t="s">
        <v>47</v>
      </c>
    </row>
    <row r="482" spans="1:21" x14ac:dyDescent="0.3">
      <c r="A482" s="1" t="s">
        <v>281</v>
      </c>
      <c r="B482" s="2">
        <v>37707</v>
      </c>
      <c r="C482" s="1">
        <v>21</v>
      </c>
      <c r="D482" s="1">
        <v>165</v>
      </c>
      <c r="E482" s="1" t="s">
        <v>76</v>
      </c>
      <c r="F482" s="1" t="s">
        <v>62</v>
      </c>
      <c r="G482" s="1" t="s">
        <v>63</v>
      </c>
      <c r="H482" s="1" t="s">
        <v>54</v>
      </c>
      <c r="I482" s="1" t="s">
        <v>92</v>
      </c>
      <c r="J482" s="1">
        <v>110</v>
      </c>
      <c r="K482" s="1">
        <v>64</v>
      </c>
      <c r="L482" s="1">
        <v>97</v>
      </c>
      <c r="M482" s="1">
        <v>78</v>
      </c>
      <c r="N482" s="17">
        <v>0.3523</v>
      </c>
      <c r="O482" s="1">
        <v>131</v>
      </c>
      <c r="P482" s="15">
        <v>0.75360000000000005</v>
      </c>
      <c r="Q482" s="1">
        <v>86.087400000000002</v>
      </c>
      <c r="R482" s="1" t="s">
        <v>40</v>
      </c>
      <c r="S482" s="1">
        <v>481.52589999999998</v>
      </c>
      <c r="T482" s="1" t="s">
        <v>28</v>
      </c>
      <c r="U482" s="1" t="s">
        <v>65</v>
      </c>
    </row>
    <row r="483" spans="1:21" x14ac:dyDescent="0.3">
      <c r="A483" s="1" t="s">
        <v>282</v>
      </c>
      <c r="B483" s="2">
        <v>36947</v>
      </c>
      <c r="C483" s="1">
        <v>23</v>
      </c>
      <c r="D483" s="1">
        <v>181</v>
      </c>
      <c r="E483" s="1" t="s">
        <v>32</v>
      </c>
      <c r="F483" s="1" t="s">
        <v>62</v>
      </c>
      <c r="G483" s="1" t="s">
        <v>63</v>
      </c>
      <c r="H483" s="1" t="s">
        <v>54</v>
      </c>
      <c r="I483" s="1" t="s">
        <v>80</v>
      </c>
      <c r="J483" s="1">
        <v>66</v>
      </c>
      <c r="K483" s="1">
        <v>30</v>
      </c>
      <c r="L483" s="1">
        <v>70</v>
      </c>
      <c r="M483" s="1">
        <v>82</v>
      </c>
      <c r="N483" s="17">
        <v>0.46820000000000001</v>
      </c>
      <c r="O483" s="1">
        <v>318</v>
      </c>
      <c r="P483" s="15">
        <v>0.62470000000000003</v>
      </c>
      <c r="Q483" s="1">
        <v>43.811100000000003</v>
      </c>
      <c r="R483" s="1" t="s">
        <v>40</v>
      </c>
      <c r="S483" s="1">
        <v>567.40290000000005</v>
      </c>
      <c r="T483" s="1" t="s">
        <v>28</v>
      </c>
      <c r="U483" s="1" t="s">
        <v>47</v>
      </c>
    </row>
    <row r="484" spans="1:21" x14ac:dyDescent="0.3">
      <c r="A484" s="1" t="s">
        <v>283</v>
      </c>
      <c r="B484" s="2">
        <v>37811</v>
      </c>
      <c r="C484" s="1">
        <v>21</v>
      </c>
      <c r="D484" s="1">
        <v>162</v>
      </c>
      <c r="E484" s="1" t="s">
        <v>76</v>
      </c>
      <c r="F484" s="1" t="s">
        <v>49</v>
      </c>
      <c r="G484" s="1" t="s">
        <v>43</v>
      </c>
      <c r="H484" s="1" t="s">
        <v>54</v>
      </c>
      <c r="I484" s="1" t="s">
        <v>110</v>
      </c>
      <c r="J484" s="1">
        <v>81</v>
      </c>
      <c r="K484" s="1">
        <v>92</v>
      </c>
      <c r="L484" s="1">
        <v>87</v>
      </c>
      <c r="M484" s="1">
        <v>42</v>
      </c>
      <c r="N484" s="17">
        <v>0.97160000000000002</v>
      </c>
      <c r="O484" s="1">
        <v>16</v>
      </c>
      <c r="P484" s="15">
        <v>0.7157</v>
      </c>
      <c r="Q484" s="1">
        <v>182.23500000000001</v>
      </c>
      <c r="R484" s="1" t="s">
        <v>27</v>
      </c>
      <c r="S484" s="1">
        <v>319.90730000000002</v>
      </c>
      <c r="T484" s="1" t="s">
        <v>28</v>
      </c>
      <c r="U484" s="1" t="s">
        <v>113</v>
      </c>
    </row>
    <row r="485" spans="1:21" x14ac:dyDescent="0.3">
      <c r="A485" s="1" t="s">
        <v>284</v>
      </c>
      <c r="B485" s="2">
        <v>36982</v>
      </c>
      <c r="C485" s="1">
        <v>23</v>
      </c>
      <c r="D485" s="1">
        <v>165</v>
      </c>
      <c r="E485" s="1" t="s">
        <v>76</v>
      </c>
      <c r="F485" s="1" t="s">
        <v>69</v>
      </c>
      <c r="G485" s="1" t="s">
        <v>43</v>
      </c>
      <c r="H485" s="1" t="s">
        <v>54</v>
      </c>
      <c r="I485" s="1" t="s">
        <v>99</v>
      </c>
      <c r="J485" s="1">
        <v>145</v>
      </c>
      <c r="K485" s="1">
        <v>44</v>
      </c>
      <c r="L485" s="1">
        <v>2</v>
      </c>
      <c r="M485" s="1">
        <v>27</v>
      </c>
      <c r="N485" s="17">
        <v>0.56689999999999996</v>
      </c>
      <c r="O485" s="1">
        <v>205</v>
      </c>
      <c r="P485" s="15">
        <v>0.66120000000000001</v>
      </c>
      <c r="Q485" s="1">
        <v>68.348200000000006</v>
      </c>
      <c r="R485" s="1" t="s">
        <v>34</v>
      </c>
      <c r="S485" s="1">
        <v>423.15809999999999</v>
      </c>
      <c r="T485" s="1" t="s">
        <v>35</v>
      </c>
      <c r="U485" s="1" t="s">
        <v>47</v>
      </c>
    </row>
    <row r="486" spans="1:21" x14ac:dyDescent="0.3">
      <c r="A486" s="1" t="s">
        <v>285</v>
      </c>
      <c r="B486" s="2">
        <v>37598</v>
      </c>
      <c r="C486" s="1">
        <v>22</v>
      </c>
      <c r="D486" s="1">
        <v>164</v>
      </c>
      <c r="E486" s="1" t="s">
        <v>76</v>
      </c>
      <c r="F486" s="1" t="s">
        <v>87</v>
      </c>
      <c r="G486" s="1" t="s">
        <v>63</v>
      </c>
      <c r="H486" s="1" t="s">
        <v>25</v>
      </c>
      <c r="I486" s="1" t="s">
        <v>121</v>
      </c>
      <c r="J486" s="1">
        <v>17</v>
      </c>
      <c r="K486" s="1">
        <v>42</v>
      </c>
      <c r="L486" s="1">
        <v>96</v>
      </c>
      <c r="M486" s="1">
        <v>12</v>
      </c>
      <c r="N486" s="17">
        <v>0.22750000000000001</v>
      </c>
      <c r="O486" s="1">
        <v>376</v>
      </c>
      <c r="P486" s="15">
        <v>0.54039999999999999</v>
      </c>
      <c r="Q486" s="1">
        <v>51.776000000000003</v>
      </c>
      <c r="R486" s="1" t="s">
        <v>45</v>
      </c>
      <c r="S486" s="1">
        <v>544.55790000000002</v>
      </c>
      <c r="T486" s="1" t="s">
        <v>28</v>
      </c>
      <c r="U486" s="1" t="s">
        <v>65</v>
      </c>
    </row>
    <row r="487" spans="1:21" x14ac:dyDescent="0.3">
      <c r="A487" s="1" t="s">
        <v>286</v>
      </c>
      <c r="B487" s="2">
        <v>37789</v>
      </c>
      <c r="C487" s="1">
        <v>21</v>
      </c>
      <c r="D487" s="1">
        <v>163</v>
      </c>
      <c r="E487" s="1" t="s">
        <v>76</v>
      </c>
      <c r="F487" s="1" t="s">
        <v>109</v>
      </c>
      <c r="G487" s="1" t="s">
        <v>63</v>
      </c>
      <c r="H487" s="1" t="s">
        <v>54</v>
      </c>
      <c r="I487" s="1" t="s">
        <v>96</v>
      </c>
      <c r="J487" s="1">
        <v>11</v>
      </c>
      <c r="K487" s="1">
        <v>5</v>
      </c>
      <c r="L487" s="1">
        <v>71</v>
      </c>
      <c r="M487" s="1">
        <v>3</v>
      </c>
      <c r="N487" s="17">
        <v>0.19839999999999999</v>
      </c>
      <c r="O487" s="1">
        <v>138</v>
      </c>
      <c r="P487" s="15">
        <v>0.76</v>
      </c>
      <c r="Q487" s="1">
        <v>6.4953000000000003</v>
      </c>
      <c r="R487" s="1" t="s">
        <v>34</v>
      </c>
      <c r="S487" s="1">
        <v>229.88839999999999</v>
      </c>
      <c r="T487" s="1" t="s">
        <v>46</v>
      </c>
      <c r="U487" s="1" t="s">
        <v>36</v>
      </c>
    </row>
    <row r="488" spans="1:21" x14ac:dyDescent="0.3">
      <c r="A488" s="1" t="s">
        <v>287</v>
      </c>
      <c r="B488" s="2">
        <v>37366</v>
      </c>
      <c r="C488" s="1">
        <v>22</v>
      </c>
      <c r="D488" s="1">
        <v>174</v>
      </c>
      <c r="E488" s="1" t="s">
        <v>24</v>
      </c>
      <c r="F488" s="1" t="s">
        <v>52</v>
      </c>
      <c r="G488" s="1" t="s">
        <v>53</v>
      </c>
      <c r="H488" s="1" t="s">
        <v>54</v>
      </c>
      <c r="I488" s="1" t="s">
        <v>73</v>
      </c>
      <c r="J488" s="1">
        <v>29</v>
      </c>
      <c r="K488" s="1">
        <v>66</v>
      </c>
      <c r="L488" s="1">
        <v>40</v>
      </c>
      <c r="M488" s="1">
        <v>74</v>
      </c>
      <c r="N488" s="17">
        <v>0.50460000000000005</v>
      </c>
      <c r="O488" s="1">
        <v>353</v>
      </c>
      <c r="P488" s="15">
        <v>0.59330000000000005</v>
      </c>
      <c r="Q488" s="1">
        <v>99.408900000000003</v>
      </c>
      <c r="R488" s="1" t="s">
        <v>27</v>
      </c>
      <c r="S488" s="1">
        <v>563.4579</v>
      </c>
      <c r="T488" s="1" t="s">
        <v>46</v>
      </c>
      <c r="U488" s="1" t="s">
        <v>36</v>
      </c>
    </row>
    <row r="489" spans="1:21" x14ac:dyDescent="0.3">
      <c r="A489" s="1" t="s">
        <v>288</v>
      </c>
      <c r="B489" s="2">
        <v>37100</v>
      </c>
      <c r="C489" s="1">
        <v>23</v>
      </c>
      <c r="D489" s="1">
        <v>178</v>
      </c>
      <c r="E489" s="1" t="s">
        <v>32</v>
      </c>
      <c r="F489" s="1" t="s">
        <v>62</v>
      </c>
      <c r="G489" s="1" t="s">
        <v>63</v>
      </c>
      <c r="H489" s="1" t="s">
        <v>25</v>
      </c>
      <c r="I489" s="1" t="s">
        <v>105</v>
      </c>
      <c r="J489" s="1">
        <v>50</v>
      </c>
      <c r="K489" s="1">
        <v>46</v>
      </c>
      <c r="L489" s="1">
        <v>27</v>
      </c>
      <c r="M489" s="1">
        <v>86</v>
      </c>
      <c r="N489" s="17">
        <v>0.67520000000000002</v>
      </c>
      <c r="O489" s="1">
        <v>212</v>
      </c>
      <c r="P489" s="15">
        <v>0.66859999999999997</v>
      </c>
      <c r="Q489" s="1">
        <v>77.561800000000005</v>
      </c>
      <c r="R489" s="1" t="s">
        <v>45</v>
      </c>
      <c r="S489" s="1">
        <v>422.1438</v>
      </c>
      <c r="T489" s="1" t="s">
        <v>46</v>
      </c>
      <c r="U489" s="1" t="s">
        <v>29</v>
      </c>
    </row>
    <row r="490" spans="1:21" x14ac:dyDescent="0.3">
      <c r="A490" s="1" t="s">
        <v>289</v>
      </c>
      <c r="B490" s="2">
        <v>37501</v>
      </c>
      <c r="C490" s="1">
        <v>22</v>
      </c>
      <c r="D490" s="1">
        <v>181</v>
      </c>
      <c r="E490" s="1" t="s">
        <v>32</v>
      </c>
      <c r="F490" s="1" t="s">
        <v>84</v>
      </c>
      <c r="G490" s="1" t="s">
        <v>63</v>
      </c>
      <c r="H490" s="1" t="s">
        <v>25</v>
      </c>
      <c r="I490" s="1" t="s">
        <v>64</v>
      </c>
      <c r="J490" s="1">
        <v>48</v>
      </c>
      <c r="K490" s="1">
        <v>25</v>
      </c>
      <c r="L490" s="1">
        <v>13</v>
      </c>
      <c r="M490" s="1">
        <v>38</v>
      </c>
      <c r="N490" s="17">
        <v>0.4496</v>
      </c>
      <c r="O490" s="1">
        <v>57</v>
      </c>
      <c r="P490" s="15">
        <v>0.66839999999999999</v>
      </c>
      <c r="Q490" s="1">
        <v>35.6892</v>
      </c>
      <c r="R490" s="1" t="s">
        <v>45</v>
      </c>
      <c r="S490" s="1">
        <v>181.33799999999999</v>
      </c>
      <c r="T490" s="1" t="s">
        <v>35</v>
      </c>
      <c r="U490" s="1" t="s">
        <v>36</v>
      </c>
    </row>
    <row r="491" spans="1:21" x14ac:dyDescent="0.3">
      <c r="A491" s="1" t="s">
        <v>290</v>
      </c>
      <c r="B491" s="2">
        <v>37233</v>
      </c>
      <c r="C491" s="1">
        <v>23</v>
      </c>
      <c r="D491" s="1">
        <v>177</v>
      </c>
      <c r="E491" s="1" t="s">
        <v>32</v>
      </c>
      <c r="F491" s="1" t="s">
        <v>109</v>
      </c>
      <c r="G491" s="1" t="s">
        <v>63</v>
      </c>
      <c r="H491" s="1" t="s">
        <v>54</v>
      </c>
      <c r="I491" s="1" t="s">
        <v>92</v>
      </c>
      <c r="J491" s="1">
        <v>22</v>
      </c>
      <c r="K491" s="1">
        <v>32</v>
      </c>
      <c r="L491" s="1">
        <v>46</v>
      </c>
      <c r="M491" s="1">
        <v>6</v>
      </c>
      <c r="N491" s="17">
        <v>0.1086</v>
      </c>
      <c r="O491" s="1">
        <v>144</v>
      </c>
      <c r="P491" s="15">
        <v>0.46139999999999998</v>
      </c>
      <c r="Q491" s="1">
        <v>35.630400000000002</v>
      </c>
      <c r="R491" s="1" t="s">
        <v>45</v>
      </c>
      <c r="S491" s="1">
        <v>250.83</v>
      </c>
      <c r="T491" s="1" t="s">
        <v>46</v>
      </c>
      <c r="U491" s="1" t="s">
        <v>65</v>
      </c>
    </row>
    <row r="492" spans="1:21" x14ac:dyDescent="0.3">
      <c r="A492" s="1" t="s">
        <v>291</v>
      </c>
      <c r="B492" s="2">
        <v>37801</v>
      </c>
      <c r="C492" s="1">
        <v>21</v>
      </c>
      <c r="D492" s="1">
        <v>173</v>
      </c>
      <c r="E492" s="1" t="s">
        <v>24</v>
      </c>
      <c r="F492" s="1" t="s">
        <v>109</v>
      </c>
      <c r="G492" s="1" t="s">
        <v>63</v>
      </c>
      <c r="H492" s="1" t="s">
        <v>54</v>
      </c>
      <c r="I492" s="1" t="s">
        <v>70</v>
      </c>
      <c r="J492" s="1">
        <v>13</v>
      </c>
      <c r="K492" s="1">
        <v>4</v>
      </c>
      <c r="L492" s="1">
        <v>76</v>
      </c>
      <c r="M492" s="1">
        <v>30</v>
      </c>
      <c r="N492" s="17">
        <v>0.58379999999999999</v>
      </c>
      <c r="O492" s="1">
        <v>111</v>
      </c>
      <c r="P492" s="15">
        <v>0.47570000000000001</v>
      </c>
      <c r="Q492" s="1">
        <v>6.4302000000000001</v>
      </c>
      <c r="R492" s="1" t="s">
        <v>45</v>
      </c>
      <c r="S492" s="1">
        <v>235.36949999999999</v>
      </c>
      <c r="T492" s="1" t="s">
        <v>46</v>
      </c>
      <c r="U492" s="1" t="s">
        <v>102</v>
      </c>
    </row>
    <row r="493" spans="1:21" x14ac:dyDescent="0.3">
      <c r="A493" s="1" t="s">
        <v>292</v>
      </c>
      <c r="B493" s="2">
        <v>37125</v>
      </c>
      <c r="C493" s="1">
        <v>23</v>
      </c>
      <c r="D493" s="1">
        <v>178</v>
      </c>
      <c r="E493" s="1" t="s">
        <v>32</v>
      </c>
      <c r="F493" s="1" t="s">
        <v>109</v>
      </c>
      <c r="G493" s="1" t="s">
        <v>63</v>
      </c>
      <c r="H493" s="1" t="s">
        <v>54</v>
      </c>
      <c r="I493" s="1" t="s">
        <v>105</v>
      </c>
      <c r="J493" s="1">
        <v>82</v>
      </c>
      <c r="K493" s="1">
        <v>76</v>
      </c>
      <c r="L493" s="1">
        <v>76</v>
      </c>
      <c r="M493" s="1">
        <v>45</v>
      </c>
      <c r="N493" s="17">
        <v>0.48259999999999997</v>
      </c>
      <c r="O493" s="1">
        <v>88</v>
      </c>
      <c r="P493" s="15">
        <v>0.73119999999999996</v>
      </c>
      <c r="Q493" s="1">
        <v>112.559</v>
      </c>
      <c r="R493" s="1" t="s">
        <v>34</v>
      </c>
      <c r="S493" s="1">
        <v>368.03379999999999</v>
      </c>
      <c r="T493" s="1" t="s">
        <v>35</v>
      </c>
      <c r="U493" s="1" t="s">
        <v>113</v>
      </c>
    </row>
    <row r="494" spans="1:21" x14ac:dyDescent="0.3">
      <c r="A494" s="1" t="s">
        <v>293</v>
      </c>
      <c r="B494" s="2">
        <v>37070</v>
      </c>
      <c r="C494" s="1">
        <v>23</v>
      </c>
      <c r="D494" s="1">
        <v>171</v>
      </c>
      <c r="E494" s="1" t="s">
        <v>24</v>
      </c>
      <c r="F494" s="1" t="s">
        <v>31</v>
      </c>
      <c r="G494" s="1" t="s">
        <v>23</v>
      </c>
      <c r="H494" s="1" t="s">
        <v>54</v>
      </c>
      <c r="I494" s="1" t="s">
        <v>60</v>
      </c>
      <c r="J494" s="1">
        <v>117</v>
      </c>
      <c r="K494" s="1">
        <v>24</v>
      </c>
      <c r="L494" s="1">
        <v>81</v>
      </c>
      <c r="M494" s="1">
        <v>59</v>
      </c>
      <c r="N494" s="17">
        <v>0.73970000000000002</v>
      </c>
      <c r="O494" s="1">
        <v>141</v>
      </c>
      <c r="P494" s="15">
        <v>0.68469999999999998</v>
      </c>
      <c r="Q494" s="1">
        <v>42.553100000000001</v>
      </c>
      <c r="R494" s="1" t="s">
        <v>34</v>
      </c>
      <c r="S494" s="1">
        <v>423.81439999999998</v>
      </c>
      <c r="T494" s="1" t="s">
        <v>46</v>
      </c>
      <c r="U494" s="1" t="s">
        <v>36</v>
      </c>
    </row>
    <row r="495" spans="1:21" x14ac:dyDescent="0.3">
      <c r="A495" s="1" t="s">
        <v>294</v>
      </c>
      <c r="B495" s="2">
        <v>37610</v>
      </c>
      <c r="C495" s="1">
        <v>22</v>
      </c>
      <c r="D495" s="1">
        <v>178</v>
      </c>
      <c r="E495" s="1" t="s">
        <v>32</v>
      </c>
      <c r="F495" s="1" t="s">
        <v>62</v>
      </c>
      <c r="G495" s="1" t="s">
        <v>63</v>
      </c>
      <c r="H495" s="1" t="s">
        <v>54</v>
      </c>
      <c r="I495" s="1" t="s">
        <v>70</v>
      </c>
      <c r="J495" s="1">
        <v>49</v>
      </c>
      <c r="K495" s="1">
        <v>71</v>
      </c>
      <c r="L495" s="1">
        <v>30</v>
      </c>
      <c r="M495" s="1">
        <v>27</v>
      </c>
      <c r="N495" s="17">
        <v>0.9869</v>
      </c>
      <c r="O495" s="1">
        <v>343</v>
      </c>
      <c r="P495" s="15">
        <v>0.70569999999999999</v>
      </c>
      <c r="Q495" s="1">
        <v>140.47380000000001</v>
      </c>
      <c r="R495" s="1" t="s">
        <v>27</v>
      </c>
      <c r="S495" s="1">
        <v>522.07259999999997</v>
      </c>
      <c r="T495" s="1" t="s">
        <v>28</v>
      </c>
      <c r="U495" s="1" t="s">
        <v>113</v>
      </c>
    </row>
    <row r="496" spans="1:21" x14ac:dyDescent="0.3">
      <c r="A496" s="1" t="s">
        <v>295</v>
      </c>
      <c r="B496" s="2">
        <v>37151</v>
      </c>
      <c r="C496" s="1">
        <v>23</v>
      </c>
      <c r="D496" s="1">
        <v>180</v>
      </c>
      <c r="E496" s="1" t="s">
        <v>32</v>
      </c>
      <c r="F496" s="1" t="s">
        <v>98</v>
      </c>
      <c r="G496" s="1" t="s">
        <v>23</v>
      </c>
      <c r="H496" s="1" t="s">
        <v>25</v>
      </c>
      <c r="I496" s="1" t="s">
        <v>85</v>
      </c>
      <c r="J496" s="1">
        <v>23</v>
      </c>
      <c r="K496" s="1">
        <v>33</v>
      </c>
      <c r="L496" s="1">
        <v>26</v>
      </c>
      <c r="M496" s="1">
        <v>85</v>
      </c>
      <c r="N496" s="17">
        <v>0.22800000000000001</v>
      </c>
      <c r="O496" s="1">
        <v>158</v>
      </c>
      <c r="P496" s="15">
        <v>0.68459999999999999</v>
      </c>
      <c r="Q496" s="1">
        <v>40.3889</v>
      </c>
      <c r="R496" s="1" t="s">
        <v>45</v>
      </c>
      <c r="S496" s="1">
        <v>324.30259999999998</v>
      </c>
      <c r="T496" s="1" t="s">
        <v>35</v>
      </c>
      <c r="U496" s="1" t="s">
        <v>56</v>
      </c>
    </row>
    <row r="497" spans="1:21" x14ac:dyDescent="0.3">
      <c r="A497" s="1" t="s">
        <v>296</v>
      </c>
      <c r="B497" s="2">
        <v>37947</v>
      </c>
      <c r="C497" s="1">
        <v>21</v>
      </c>
      <c r="D497" s="1">
        <v>172</v>
      </c>
      <c r="E497" s="1" t="s">
        <v>24</v>
      </c>
      <c r="F497" s="1" t="s">
        <v>38</v>
      </c>
      <c r="G497" s="1" t="s">
        <v>23</v>
      </c>
      <c r="H497" s="1" t="s">
        <v>54</v>
      </c>
      <c r="I497" s="1" t="s">
        <v>105</v>
      </c>
      <c r="J497" s="1">
        <v>69</v>
      </c>
      <c r="K497" s="1">
        <v>49</v>
      </c>
      <c r="L497" s="1">
        <v>59</v>
      </c>
      <c r="M497" s="1">
        <v>87</v>
      </c>
      <c r="N497" s="17">
        <v>0.18379999999999999</v>
      </c>
      <c r="O497" s="1">
        <v>339</v>
      </c>
      <c r="P497" s="15">
        <v>0.83750000000000002</v>
      </c>
      <c r="Q497" s="1">
        <v>58.384999999999998</v>
      </c>
      <c r="R497" s="1" t="s">
        <v>40</v>
      </c>
      <c r="S497" s="1">
        <v>603.74130000000002</v>
      </c>
      <c r="T497" s="1" t="s">
        <v>28</v>
      </c>
      <c r="U497" s="1" t="s">
        <v>113</v>
      </c>
    </row>
    <row r="498" spans="1:21" x14ac:dyDescent="0.3">
      <c r="A498" s="1" t="s">
        <v>297</v>
      </c>
      <c r="B498" s="2">
        <v>37905</v>
      </c>
      <c r="C498" s="1">
        <v>21</v>
      </c>
      <c r="D498" s="1">
        <v>166</v>
      </c>
      <c r="E498" s="1" t="s">
        <v>76</v>
      </c>
      <c r="F498" s="1" t="s">
        <v>87</v>
      </c>
      <c r="G498" s="1" t="s">
        <v>63</v>
      </c>
      <c r="H498" s="1" t="s">
        <v>54</v>
      </c>
      <c r="I498" s="1" t="s">
        <v>96</v>
      </c>
      <c r="J498" s="1">
        <v>124</v>
      </c>
      <c r="K498" s="1">
        <v>34</v>
      </c>
      <c r="L498" s="1">
        <v>58</v>
      </c>
      <c r="M498" s="1">
        <v>57</v>
      </c>
      <c r="N498" s="17">
        <v>0.40939999999999999</v>
      </c>
      <c r="O498" s="1">
        <v>195</v>
      </c>
      <c r="P498" s="15">
        <v>0.70709999999999995</v>
      </c>
      <c r="Q498" s="1">
        <v>48.539700000000003</v>
      </c>
      <c r="R498" s="1" t="s">
        <v>27</v>
      </c>
      <c r="S498" s="1">
        <v>469.8965</v>
      </c>
      <c r="T498" s="1" t="s">
        <v>28</v>
      </c>
      <c r="U498" s="1" t="s">
        <v>29</v>
      </c>
    </row>
    <row r="499" spans="1:21" x14ac:dyDescent="0.3">
      <c r="A499" s="1" t="s">
        <v>298</v>
      </c>
      <c r="B499" s="2">
        <v>37795</v>
      </c>
      <c r="C499" s="1">
        <v>21</v>
      </c>
      <c r="D499" s="1">
        <v>165</v>
      </c>
      <c r="E499" s="1" t="s">
        <v>76</v>
      </c>
      <c r="F499" s="1" t="s">
        <v>104</v>
      </c>
      <c r="G499" s="1" t="s">
        <v>53</v>
      </c>
      <c r="H499" s="1" t="s">
        <v>54</v>
      </c>
      <c r="I499" s="1" t="s">
        <v>26</v>
      </c>
      <c r="J499" s="1">
        <v>149</v>
      </c>
      <c r="K499" s="1">
        <v>43</v>
      </c>
      <c r="L499" s="1">
        <v>100</v>
      </c>
      <c r="M499" s="1">
        <v>91</v>
      </c>
      <c r="N499" s="17">
        <v>0.37169999999999997</v>
      </c>
      <c r="O499" s="1">
        <v>353</v>
      </c>
      <c r="P499" s="15">
        <v>0.79349999999999998</v>
      </c>
      <c r="Q499" s="1">
        <v>59.463200000000001</v>
      </c>
      <c r="R499" s="1" t="s">
        <v>40</v>
      </c>
      <c r="S499" s="1">
        <v>736.87519999999995</v>
      </c>
      <c r="T499" s="1" t="s">
        <v>28</v>
      </c>
      <c r="U499" s="1" t="s">
        <v>102</v>
      </c>
    </row>
    <row r="500" spans="1:21" x14ac:dyDescent="0.3">
      <c r="A500" s="1" t="s">
        <v>299</v>
      </c>
      <c r="B500" s="2">
        <v>37230</v>
      </c>
      <c r="C500" s="1">
        <v>23</v>
      </c>
      <c r="D500" s="1">
        <v>171</v>
      </c>
      <c r="E500" s="1" t="s">
        <v>24</v>
      </c>
      <c r="F500" s="1" t="s">
        <v>84</v>
      </c>
      <c r="G500" s="1" t="s">
        <v>63</v>
      </c>
      <c r="H500" s="1" t="s">
        <v>25</v>
      </c>
      <c r="I500" s="1" t="s">
        <v>110</v>
      </c>
      <c r="J500" s="1">
        <v>94</v>
      </c>
      <c r="K500" s="1">
        <v>73</v>
      </c>
      <c r="L500" s="1">
        <v>76</v>
      </c>
      <c r="M500" s="1">
        <v>43</v>
      </c>
      <c r="N500" s="17">
        <v>0.1857</v>
      </c>
      <c r="O500" s="1">
        <v>37</v>
      </c>
      <c r="P500" s="15">
        <v>0.496</v>
      </c>
      <c r="Q500" s="1">
        <v>86.402000000000001</v>
      </c>
      <c r="R500" s="1" t="s">
        <v>27</v>
      </c>
      <c r="S500" s="1">
        <v>324.42169999999999</v>
      </c>
      <c r="T500" s="1" t="s">
        <v>28</v>
      </c>
      <c r="U500" s="1" t="s">
        <v>65</v>
      </c>
    </row>
    <row r="501" spans="1:21" x14ac:dyDescent="0.3">
      <c r="A501" s="1" t="s">
        <v>300</v>
      </c>
      <c r="B501" s="2">
        <v>36908</v>
      </c>
      <c r="C501" s="1">
        <v>23</v>
      </c>
      <c r="D501" s="1">
        <v>160</v>
      </c>
      <c r="E501" s="1" t="s">
        <v>76</v>
      </c>
      <c r="F501" s="1" t="s">
        <v>69</v>
      </c>
      <c r="G501" s="1" t="s">
        <v>43</v>
      </c>
      <c r="H501" s="1" t="s">
        <v>54</v>
      </c>
      <c r="I501" s="1" t="s">
        <v>60</v>
      </c>
      <c r="J501" s="1">
        <v>148</v>
      </c>
      <c r="K501" s="1">
        <v>43</v>
      </c>
      <c r="L501" s="1">
        <v>14</v>
      </c>
      <c r="M501" s="1">
        <v>8</v>
      </c>
      <c r="N501" s="17">
        <v>0.75770000000000004</v>
      </c>
      <c r="O501" s="1">
        <v>154</v>
      </c>
      <c r="P501" s="15">
        <v>0.4461</v>
      </c>
      <c r="Q501" s="1">
        <v>75.247100000000003</v>
      </c>
      <c r="R501" s="1" t="s">
        <v>40</v>
      </c>
      <c r="S501" s="1">
        <v>368.19380000000001</v>
      </c>
      <c r="T501" s="1" t="s">
        <v>35</v>
      </c>
      <c r="U501" s="1" t="s">
        <v>47</v>
      </c>
    </row>
    <row r="502" spans="1:21" x14ac:dyDescent="0.3">
      <c r="A502" s="1" t="s">
        <v>301</v>
      </c>
      <c r="B502" s="2">
        <v>37184</v>
      </c>
      <c r="C502" s="1">
        <v>23</v>
      </c>
      <c r="D502" s="1">
        <v>180</v>
      </c>
      <c r="E502" s="1" t="s">
        <v>32</v>
      </c>
      <c r="F502" s="1" t="s">
        <v>49</v>
      </c>
      <c r="G502" s="1" t="s">
        <v>43</v>
      </c>
      <c r="H502" s="1" t="s">
        <v>25</v>
      </c>
      <c r="I502" s="1" t="s">
        <v>26</v>
      </c>
      <c r="J502" s="1">
        <v>92</v>
      </c>
      <c r="K502" s="1">
        <v>17</v>
      </c>
      <c r="L502" s="1">
        <v>36</v>
      </c>
      <c r="M502" s="1">
        <v>22</v>
      </c>
      <c r="N502" s="17">
        <v>0.92789999999999995</v>
      </c>
      <c r="O502" s="1">
        <v>300</v>
      </c>
      <c r="P502" s="15">
        <v>0.67720000000000002</v>
      </c>
      <c r="Q502" s="1">
        <v>33.256300000000003</v>
      </c>
      <c r="R502" s="1" t="s">
        <v>45</v>
      </c>
      <c r="S502" s="1">
        <v>468.21510000000001</v>
      </c>
      <c r="T502" s="1" t="s">
        <v>28</v>
      </c>
      <c r="U502" s="1" t="s">
        <v>29</v>
      </c>
    </row>
    <row r="503" spans="1:21" x14ac:dyDescent="0.3">
      <c r="A503" s="1" t="s">
        <v>302</v>
      </c>
      <c r="B503" s="2">
        <v>37678</v>
      </c>
      <c r="C503" s="1">
        <v>21</v>
      </c>
      <c r="D503" s="1">
        <v>178</v>
      </c>
      <c r="E503" s="1" t="s">
        <v>32</v>
      </c>
      <c r="F503" s="1" t="s">
        <v>42</v>
      </c>
      <c r="G503" s="1" t="s">
        <v>43</v>
      </c>
      <c r="H503" s="1" t="s">
        <v>54</v>
      </c>
      <c r="I503" s="1" t="s">
        <v>115</v>
      </c>
      <c r="J503" s="1">
        <v>48</v>
      </c>
      <c r="K503" s="1">
        <v>15</v>
      </c>
      <c r="L503" s="1">
        <v>28</v>
      </c>
      <c r="M503" s="1">
        <v>9</v>
      </c>
      <c r="N503" s="17">
        <v>0.64</v>
      </c>
      <c r="O503" s="1">
        <v>222</v>
      </c>
      <c r="P503" s="15">
        <v>0.6734</v>
      </c>
      <c r="Q503" s="1">
        <v>24.337599999999998</v>
      </c>
      <c r="R503" s="1" t="s">
        <v>27</v>
      </c>
      <c r="S503" s="1">
        <v>323.58339999999998</v>
      </c>
      <c r="T503" s="1" t="s">
        <v>46</v>
      </c>
      <c r="U503" s="1" t="s">
        <v>47</v>
      </c>
    </row>
    <row r="504" spans="1:21" x14ac:dyDescent="0.3">
      <c r="A504" s="1" t="s">
        <v>303</v>
      </c>
      <c r="B504" s="2">
        <v>37694</v>
      </c>
      <c r="C504" s="1">
        <v>21</v>
      </c>
      <c r="D504" s="1">
        <v>183</v>
      </c>
      <c r="E504" s="1" t="s">
        <v>32</v>
      </c>
      <c r="F504" s="1" t="s">
        <v>62</v>
      </c>
      <c r="G504" s="1" t="s">
        <v>63</v>
      </c>
      <c r="H504" s="1" t="s">
        <v>54</v>
      </c>
      <c r="I504" s="1" t="s">
        <v>44</v>
      </c>
      <c r="J504" s="1">
        <v>118</v>
      </c>
      <c r="K504" s="1">
        <v>80</v>
      </c>
      <c r="L504" s="1">
        <v>25</v>
      </c>
      <c r="M504" s="1">
        <v>39</v>
      </c>
      <c r="N504" s="17">
        <v>0.67430000000000001</v>
      </c>
      <c r="O504" s="1">
        <v>97</v>
      </c>
      <c r="P504" s="15">
        <v>0.432</v>
      </c>
      <c r="Q504" s="1">
        <v>133.24080000000001</v>
      </c>
      <c r="R504" s="1" t="s">
        <v>27</v>
      </c>
      <c r="S504" s="1">
        <v>359.55630000000002</v>
      </c>
      <c r="T504" s="1" t="s">
        <v>35</v>
      </c>
      <c r="U504" s="1" t="s">
        <v>47</v>
      </c>
    </row>
    <row r="505" spans="1:21" x14ac:dyDescent="0.3">
      <c r="A505" s="1" t="s">
        <v>304</v>
      </c>
      <c r="B505" s="2">
        <v>37245</v>
      </c>
      <c r="C505" s="1">
        <v>23</v>
      </c>
      <c r="D505" s="1">
        <v>171</v>
      </c>
      <c r="E505" s="1" t="s">
        <v>24</v>
      </c>
      <c r="F505" s="1" t="s">
        <v>49</v>
      </c>
      <c r="G505" s="1" t="s">
        <v>43</v>
      </c>
      <c r="H505" s="1" t="s">
        <v>54</v>
      </c>
      <c r="I505" s="1" t="s">
        <v>50</v>
      </c>
      <c r="J505" s="1">
        <v>3</v>
      </c>
      <c r="K505" s="1">
        <v>8</v>
      </c>
      <c r="L505" s="1">
        <v>27</v>
      </c>
      <c r="M505" s="1">
        <v>5</v>
      </c>
      <c r="N505" s="17">
        <v>0.81040000000000001</v>
      </c>
      <c r="O505" s="1">
        <v>25</v>
      </c>
      <c r="P505" s="15">
        <v>0.628</v>
      </c>
      <c r="Q505" s="1">
        <v>13.922000000000001</v>
      </c>
      <c r="R505" s="1" t="s">
        <v>45</v>
      </c>
      <c r="S505" s="1">
        <v>69.648399999999995</v>
      </c>
      <c r="T505" s="1" t="s">
        <v>35</v>
      </c>
      <c r="U505" s="1" t="s">
        <v>102</v>
      </c>
    </row>
    <row r="506" spans="1:21" x14ac:dyDescent="0.3">
      <c r="A506" s="1" t="s">
        <v>305</v>
      </c>
      <c r="B506" s="2">
        <v>37063</v>
      </c>
      <c r="C506" s="1">
        <v>23</v>
      </c>
      <c r="D506" s="1">
        <v>168</v>
      </c>
      <c r="E506" s="1" t="s">
        <v>24</v>
      </c>
      <c r="F506" s="1" t="s">
        <v>87</v>
      </c>
      <c r="G506" s="1" t="s">
        <v>63</v>
      </c>
      <c r="H506" s="1" t="s">
        <v>54</v>
      </c>
      <c r="I506" s="1" t="s">
        <v>55</v>
      </c>
      <c r="J506" s="1">
        <v>77</v>
      </c>
      <c r="K506" s="1">
        <v>21</v>
      </c>
      <c r="L506" s="1">
        <v>81</v>
      </c>
      <c r="M506" s="1">
        <v>54</v>
      </c>
      <c r="N506" s="17">
        <v>0.67090000000000005</v>
      </c>
      <c r="O506" s="1">
        <v>157</v>
      </c>
      <c r="P506" s="15">
        <v>0.77549999999999997</v>
      </c>
      <c r="Q506" s="1">
        <v>35.289400000000001</v>
      </c>
      <c r="R506" s="1" t="s">
        <v>27</v>
      </c>
      <c r="S506" s="1">
        <v>391.74639999999999</v>
      </c>
      <c r="T506" s="1" t="s">
        <v>35</v>
      </c>
      <c r="U506" s="1" t="s">
        <v>102</v>
      </c>
    </row>
    <row r="507" spans="1:21" x14ac:dyDescent="0.3">
      <c r="A507" s="1" t="s">
        <v>306</v>
      </c>
      <c r="B507" s="2">
        <v>37068</v>
      </c>
      <c r="C507" s="1">
        <v>23</v>
      </c>
      <c r="D507" s="1">
        <v>167</v>
      </c>
      <c r="E507" s="1" t="s">
        <v>76</v>
      </c>
      <c r="F507" s="1" t="s">
        <v>98</v>
      </c>
      <c r="G507" s="1" t="s">
        <v>23</v>
      </c>
      <c r="H507" s="1" t="s">
        <v>54</v>
      </c>
      <c r="I507" s="1" t="s">
        <v>60</v>
      </c>
      <c r="J507" s="1">
        <v>69</v>
      </c>
      <c r="K507" s="1">
        <v>61</v>
      </c>
      <c r="L507" s="1">
        <v>32</v>
      </c>
      <c r="M507" s="1">
        <v>74</v>
      </c>
      <c r="N507" s="17">
        <v>0.20749999999999999</v>
      </c>
      <c r="O507" s="1">
        <v>297</v>
      </c>
      <c r="P507" s="15">
        <v>0.71860000000000002</v>
      </c>
      <c r="Q507" s="1">
        <v>73.983500000000006</v>
      </c>
      <c r="R507" s="1" t="s">
        <v>27</v>
      </c>
      <c r="S507" s="1">
        <v>533.31610000000001</v>
      </c>
      <c r="T507" s="1" t="s">
        <v>28</v>
      </c>
      <c r="U507" s="1" t="s">
        <v>56</v>
      </c>
    </row>
    <row r="508" spans="1:21" x14ac:dyDescent="0.3">
      <c r="A508" s="1" t="s">
        <v>307</v>
      </c>
      <c r="B508" s="2">
        <v>37653</v>
      </c>
      <c r="C508" s="1">
        <v>21</v>
      </c>
      <c r="D508" s="1">
        <v>165</v>
      </c>
      <c r="E508" s="1" t="s">
        <v>76</v>
      </c>
      <c r="F508" s="1" t="s">
        <v>84</v>
      </c>
      <c r="G508" s="1" t="s">
        <v>63</v>
      </c>
      <c r="H508" s="1" t="s">
        <v>25</v>
      </c>
      <c r="I508" s="1" t="s">
        <v>90</v>
      </c>
      <c r="J508" s="1">
        <v>110</v>
      </c>
      <c r="K508" s="1">
        <v>13</v>
      </c>
      <c r="L508" s="1">
        <v>90</v>
      </c>
      <c r="M508" s="1">
        <v>34</v>
      </c>
      <c r="N508" s="17">
        <v>0.57150000000000001</v>
      </c>
      <c r="O508" s="1">
        <v>172</v>
      </c>
      <c r="P508" s="15">
        <v>0.51829999999999998</v>
      </c>
      <c r="Q508" s="1">
        <v>19.942299999999999</v>
      </c>
      <c r="R508" s="1" t="s">
        <v>27</v>
      </c>
      <c r="S508" s="1">
        <v>420.5498</v>
      </c>
      <c r="T508" s="1" t="s">
        <v>35</v>
      </c>
      <c r="U508" s="1" t="s">
        <v>56</v>
      </c>
    </row>
    <row r="509" spans="1:21" x14ac:dyDescent="0.3">
      <c r="A509" s="1" t="s">
        <v>308</v>
      </c>
      <c r="B509" s="2">
        <v>37233</v>
      </c>
      <c r="C509" s="1">
        <v>23</v>
      </c>
      <c r="D509" s="1">
        <v>178</v>
      </c>
      <c r="E509" s="1" t="s">
        <v>32</v>
      </c>
      <c r="F509" s="1" t="s">
        <v>84</v>
      </c>
      <c r="G509" s="1" t="s">
        <v>63</v>
      </c>
      <c r="H509" s="1" t="s">
        <v>54</v>
      </c>
      <c r="I509" s="1" t="s">
        <v>70</v>
      </c>
      <c r="J509" s="1">
        <v>39</v>
      </c>
      <c r="K509" s="1">
        <v>11</v>
      </c>
      <c r="L509" s="1">
        <v>58</v>
      </c>
      <c r="M509" s="1">
        <v>73</v>
      </c>
      <c r="N509" s="17">
        <v>0.55789999999999995</v>
      </c>
      <c r="O509" s="1">
        <v>92</v>
      </c>
      <c r="P509" s="15">
        <v>0.41980000000000001</v>
      </c>
      <c r="Q509" s="1">
        <v>17.4329</v>
      </c>
      <c r="R509" s="1" t="s">
        <v>27</v>
      </c>
      <c r="S509" s="1">
        <v>273.68770000000001</v>
      </c>
      <c r="T509" s="1" t="s">
        <v>28</v>
      </c>
      <c r="U509" s="1" t="s">
        <v>29</v>
      </c>
    </row>
    <row r="510" spans="1:21" x14ac:dyDescent="0.3">
      <c r="A510" s="1" t="s">
        <v>309</v>
      </c>
      <c r="B510" s="2">
        <v>37258</v>
      </c>
      <c r="C510" s="1">
        <v>22</v>
      </c>
      <c r="D510" s="1">
        <v>164</v>
      </c>
      <c r="E510" s="1" t="s">
        <v>76</v>
      </c>
      <c r="F510" s="1" t="s">
        <v>109</v>
      </c>
      <c r="G510" s="1" t="s">
        <v>63</v>
      </c>
      <c r="H510" s="1" t="s">
        <v>25</v>
      </c>
      <c r="I510" s="1" t="s">
        <v>112</v>
      </c>
      <c r="J510" s="1">
        <v>34</v>
      </c>
      <c r="K510" s="1">
        <v>26</v>
      </c>
      <c r="L510" s="1">
        <v>92</v>
      </c>
      <c r="M510" s="1">
        <v>33</v>
      </c>
      <c r="N510" s="17">
        <v>0.61439999999999995</v>
      </c>
      <c r="O510" s="1">
        <v>331</v>
      </c>
      <c r="P510" s="15">
        <v>0.45369999999999999</v>
      </c>
      <c r="Q510" s="1">
        <v>41.296399999999998</v>
      </c>
      <c r="R510" s="1" t="s">
        <v>27</v>
      </c>
      <c r="S510" s="1">
        <v>516.00810000000001</v>
      </c>
      <c r="T510" s="1" t="s">
        <v>28</v>
      </c>
      <c r="U510" s="1" t="s">
        <v>36</v>
      </c>
    </row>
    <row r="511" spans="1:21" x14ac:dyDescent="0.3">
      <c r="A511" s="1" t="s">
        <v>310</v>
      </c>
      <c r="B511" s="2">
        <v>37470</v>
      </c>
      <c r="C511" s="1">
        <v>22</v>
      </c>
      <c r="D511" s="1">
        <v>174</v>
      </c>
      <c r="E511" s="1" t="s">
        <v>24</v>
      </c>
      <c r="F511" s="1" t="s">
        <v>31</v>
      </c>
      <c r="G511" s="1" t="s">
        <v>23</v>
      </c>
      <c r="H511" s="1" t="s">
        <v>54</v>
      </c>
      <c r="I511" s="1" t="s">
        <v>96</v>
      </c>
      <c r="J511" s="1">
        <v>14</v>
      </c>
      <c r="K511" s="1">
        <v>46</v>
      </c>
      <c r="L511" s="1">
        <v>38</v>
      </c>
      <c r="M511" s="1">
        <v>30</v>
      </c>
      <c r="N511" s="17">
        <v>0.76559999999999995</v>
      </c>
      <c r="O511" s="1">
        <v>314</v>
      </c>
      <c r="P511" s="15">
        <v>0.50919999999999999</v>
      </c>
      <c r="Q511" s="1">
        <v>81.605999999999995</v>
      </c>
      <c r="R511" s="1" t="s">
        <v>40</v>
      </c>
      <c r="S511" s="1">
        <v>442.77480000000003</v>
      </c>
      <c r="T511" s="1" t="s">
        <v>46</v>
      </c>
      <c r="U511" s="1" t="s">
        <v>56</v>
      </c>
    </row>
    <row r="512" spans="1:21" x14ac:dyDescent="0.3">
      <c r="A512" s="1" t="s">
        <v>311</v>
      </c>
      <c r="B512" s="2">
        <v>36905</v>
      </c>
      <c r="C512" s="1">
        <v>23</v>
      </c>
      <c r="D512" s="1">
        <v>164</v>
      </c>
      <c r="E512" s="1" t="s">
        <v>76</v>
      </c>
      <c r="F512" s="1" t="s">
        <v>62</v>
      </c>
      <c r="G512" s="1" t="s">
        <v>63</v>
      </c>
      <c r="H512" s="1" t="s">
        <v>54</v>
      </c>
      <c r="I512" s="1" t="s">
        <v>33</v>
      </c>
      <c r="J512" s="1">
        <v>36</v>
      </c>
      <c r="K512" s="1">
        <v>35</v>
      </c>
      <c r="L512" s="1">
        <v>84</v>
      </c>
      <c r="M512" s="1">
        <v>88</v>
      </c>
      <c r="N512" s="17">
        <v>0.1013</v>
      </c>
      <c r="O512" s="1">
        <v>380</v>
      </c>
      <c r="P512" s="15">
        <v>0.69579999999999997</v>
      </c>
      <c r="Q512" s="1">
        <v>38.875900000000001</v>
      </c>
      <c r="R512" s="1" t="s">
        <v>40</v>
      </c>
      <c r="S512" s="1">
        <v>624.22709999999995</v>
      </c>
      <c r="T512" s="1" t="s">
        <v>28</v>
      </c>
      <c r="U512" s="1" t="s">
        <v>36</v>
      </c>
    </row>
    <row r="513" spans="1:21" x14ac:dyDescent="0.3">
      <c r="A513" s="1" t="s">
        <v>312</v>
      </c>
      <c r="B513" s="2">
        <v>37183</v>
      </c>
      <c r="C513" s="1">
        <v>23</v>
      </c>
      <c r="D513" s="1">
        <v>161</v>
      </c>
      <c r="E513" s="1" t="s">
        <v>76</v>
      </c>
      <c r="F513" s="1" t="s">
        <v>69</v>
      </c>
      <c r="G513" s="1" t="s">
        <v>43</v>
      </c>
      <c r="H513" s="1" t="s">
        <v>54</v>
      </c>
      <c r="I513" s="1" t="s">
        <v>55</v>
      </c>
      <c r="J513" s="1">
        <v>8</v>
      </c>
      <c r="K513" s="1">
        <v>24</v>
      </c>
      <c r="L513" s="1">
        <v>85</v>
      </c>
      <c r="M513" s="1">
        <v>42</v>
      </c>
      <c r="N513" s="17">
        <v>0.51259999999999994</v>
      </c>
      <c r="O513" s="1">
        <v>358</v>
      </c>
      <c r="P513" s="15">
        <v>0.73660000000000003</v>
      </c>
      <c r="Q513" s="1">
        <v>36.181399999999996</v>
      </c>
      <c r="R513" s="1" t="s">
        <v>27</v>
      </c>
      <c r="S513" s="1">
        <v>517.63919999999996</v>
      </c>
      <c r="T513" s="1" t="s">
        <v>46</v>
      </c>
      <c r="U513" s="1" t="s">
        <v>36</v>
      </c>
    </row>
    <row r="514" spans="1:21" x14ac:dyDescent="0.3">
      <c r="A514" s="1" t="s">
        <v>313</v>
      </c>
      <c r="B514" s="2">
        <v>37159</v>
      </c>
      <c r="C514" s="1">
        <v>23</v>
      </c>
      <c r="D514" s="1">
        <v>173</v>
      </c>
      <c r="E514" s="1" t="s">
        <v>24</v>
      </c>
      <c r="F514" s="1" t="s">
        <v>87</v>
      </c>
      <c r="G514" s="1" t="s">
        <v>63</v>
      </c>
      <c r="H514" s="1" t="s">
        <v>25</v>
      </c>
      <c r="I514" s="1" t="s">
        <v>92</v>
      </c>
      <c r="J514" s="1">
        <v>40</v>
      </c>
      <c r="K514" s="1">
        <v>32</v>
      </c>
      <c r="L514" s="1">
        <v>80</v>
      </c>
      <c r="M514" s="1">
        <v>70</v>
      </c>
      <c r="N514" s="17">
        <v>0.38629999999999998</v>
      </c>
      <c r="O514" s="1">
        <v>294</v>
      </c>
      <c r="P514" s="15">
        <v>0.52239999999999998</v>
      </c>
      <c r="Q514" s="1">
        <v>44.625</v>
      </c>
      <c r="R514" s="1" t="s">
        <v>27</v>
      </c>
      <c r="S514" s="1">
        <v>518.04870000000005</v>
      </c>
      <c r="T514" s="1" t="s">
        <v>28</v>
      </c>
      <c r="U514" s="1" t="s">
        <v>36</v>
      </c>
    </row>
    <row r="515" spans="1:21" x14ac:dyDescent="0.3">
      <c r="A515" s="1" t="s">
        <v>314</v>
      </c>
      <c r="B515" s="2">
        <v>37812</v>
      </c>
      <c r="C515" s="1">
        <v>21</v>
      </c>
      <c r="D515" s="1">
        <v>165</v>
      </c>
      <c r="E515" s="1" t="s">
        <v>76</v>
      </c>
      <c r="F515" s="1" t="s">
        <v>42</v>
      </c>
      <c r="G515" s="1" t="s">
        <v>43</v>
      </c>
      <c r="H515" s="1" t="s">
        <v>54</v>
      </c>
      <c r="I515" s="1" t="s">
        <v>96</v>
      </c>
      <c r="J515" s="1">
        <v>62</v>
      </c>
      <c r="K515" s="1">
        <v>54</v>
      </c>
      <c r="L515" s="1">
        <v>96</v>
      </c>
      <c r="M515" s="1">
        <v>22</v>
      </c>
      <c r="N515" s="17">
        <v>0.33850000000000002</v>
      </c>
      <c r="O515" s="1">
        <v>124</v>
      </c>
      <c r="P515" s="15">
        <v>0.45400000000000001</v>
      </c>
      <c r="Q515" s="1">
        <v>72.359300000000005</v>
      </c>
      <c r="R515" s="1" t="s">
        <v>34</v>
      </c>
      <c r="S515" s="1">
        <v>358.49250000000001</v>
      </c>
      <c r="T515" s="1" t="s">
        <v>46</v>
      </c>
      <c r="U515" s="1" t="s">
        <v>47</v>
      </c>
    </row>
    <row r="516" spans="1:21" x14ac:dyDescent="0.3">
      <c r="A516" s="1" t="s">
        <v>315</v>
      </c>
      <c r="B516" s="2">
        <v>37078</v>
      </c>
      <c r="C516" s="1">
        <v>23</v>
      </c>
      <c r="D516" s="1">
        <v>164</v>
      </c>
      <c r="E516" s="1" t="s">
        <v>76</v>
      </c>
      <c r="F516" s="1" t="s">
        <v>31</v>
      </c>
      <c r="G516" s="1" t="s">
        <v>23</v>
      </c>
      <c r="H516" s="1" t="s">
        <v>25</v>
      </c>
      <c r="I516" s="1" t="s">
        <v>101</v>
      </c>
      <c r="J516" s="1">
        <v>60</v>
      </c>
      <c r="K516" s="1">
        <v>6</v>
      </c>
      <c r="L516" s="1">
        <v>31</v>
      </c>
      <c r="M516" s="1">
        <v>82</v>
      </c>
      <c r="N516" s="17">
        <v>0.95689999999999997</v>
      </c>
      <c r="O516" s="1">
        <v>70</v>
      </c>
      <c r="P516" s="15">
        <v>0.78459999999999996</v>
      </c>
      <c r="Q516" s="1">
        <v>11.447900000000001</v>
      </c>
      <c r="R516" s="1" t="s">
        <v>34</v>
      </c>
      <c r="S516" s="1">
        <v>250.78149999999999</v>
      </c>
      <c r="T516" s="1" t="s">
        <v>28</v>
      </c>
      <c r="U516" s="1" t="s">
        <v>56</v>
      </c>
    </row>
    <row r="517" spans="1:21" x14ac:dyDescent="0.3">
      <c r="A517" s="1" t="s">
        <v>316</v>
      </c>
      <c r="B517" s="2">
        <v>37347</v>
      </c>
      <c r="C517" s="1">
        <v>22</v>
      </c>
      <c r="D517" s="1">
        <v>184</v>
      </c>
      <c r="E517" s="1" t="s">
        <v>32</v>
      </c>
      <c r="F517" s="1" t="s">
        <v>42</v>
      </c>
      <c r="G517" s="1" t="s">
        <v>43</v>
      </c>
      <c r="H517" s="1" t="s">
        <v>25</v>
      </c>
      <c r="I517" s="1" t="s">
        <v>77</v>
      </c>
      <c r="J517" s="1">
        <v>124</v>
      </c>
      <c r="K517" s="1">
        <v>38</v>
      </c>
      <c r="L517" s="1">
        <v>63</v>
      </c>
      <c r="M517" s="1">
        <v>65</v>
      </c>
      <c r="N517" s="17">
        <v>0.33289999999999997</v>
      </c>
      <c r="O517" s="1">
        <v>233</v>
      </c>
      <c r="P517" s="15">
        <v>0.76570000000000005</v>
      </c>
      <c r="Q517" s="1">
        <v>50.450299999999999</v>
      </c>
      <c r="R517" s="1" t="s">
        <v>27</v>
      </c>
      <c r="S517" s="1">
        <v>524.24860000000001</v>
      </c>
      <c r="T517" s="1" t="s">
        <v>28</v>
      </c>
      <c r="U517" s="1" t="s">
        <v>36</v>
      </c>
    </row>
    <row r="518" spans="1:21" x14ac:dyDescent="0.3">
      <c r="A518" s="1" t="s">
        <v>317</v>
      </c>
      <c r="B518" s="2">
        <v>37571</v>
      </c>
      <c r="C518" s="1">
        <v>22</v>
      </c>
      <c r="D518" s="1">
        <v>185</v>
      </c>
      <c r="E518" s="1" t="s">
        <v>32</v>
      </c>
      <c r="F518" s="1" t="s">
        <v>104</v>
      </c>
      <c r="G518" s="1" t="s">
        <v>53</v>
      </c>
      <c r="H518" s="1" t="s">
        <v>25</v>
      </c>
      <c r="I518" s="1" t="s">
        <v>39</v>
      </c>
      <c r="J518" s="1">
        <v>141</v>
      </c>
      <c r="K518" s="1">
        <v>6</v>
      </c>
      <c r="L518" s="1">
        <v>92</v>
      </c>
      <c r="M518" s="1">
        <v>44</v>
      </c>
      <c r="N518" s="17">
        <v>0.54649999999999999</v>
      </c>
      <c r="O518" s="1">
        <v>290</v>
      </c>
      <c r="P518" s="15">
        <v>0.57220000000000004</v>
      </c>
      <c r="Q518" s="1">
        <v>9.2944999999999993</v>
      </c>
      <c r="R518" s="1" t="s">
        <v>45</v>
      </c>
      <c r="S518" s="1">
        <v>574.94870000000003</v>
      </c>
      <c r="T518" s="1" t="s">
        <v>28</v>
      </c>
      <c r="U518" s="1" t="s">
        <v>47</v>
      </c>
    </row>
    <row r="519" spans="1:21" x14ac:dyDescent="0.3">
      <c r="A519" s="1" t="s">
        <v>318</v>
      </c>
      <c r="B519" s="2">
        <v>37805</v>
      </c>
      <c r="C519" s="1">
        <v>21</v>
      </c>
      <c r="D519" s="1">
        <v>168</v>
      </c>
      <c r="E519" s="1" t="s">
        <v>24</v>
      </c>
      <c r="F519" s="1" t="s">
        <v>62</v>
      </c>
      <c r="G519" s="1" t="s">
        <v>63</v>
      </c>
      <c r="H519" s="1" t="s">
        <v>25</v>
      </c>
      <c r="I519" s="1" t="s">
        <v>39</v>
      </c>
      <c r="J519" s="1">
        <v>92</v>
      </c>
      <c r="K519" s="1">
        <v>62</v>
      </c>
      <c r="L519" s="1">
        <v>65</v>
      </c>
      <c r="M519" s="1">
        <v>50</v>
      </c>
      <c r="N519" s="17">
        <v>0.53110000000000002</v>
      </c>
      <c r="O519" s="1">
        <v>353</v>
      </c>
      <c r="P519" s="15">
        <v>0.4395</v>
      </c>
      <c r="Q519" s="1">
        <v>95.050700000000006</v>
      </c>
      <c r="R519" s="1" t="s">
        <v>45</v>
      </c>
      <c r="S519" s="1">
        <v>624.25059999999996</v>
      </c>
      <c r="T519" s="1" t="s">
        <v>28</v>
      </c>
      <c r="U519" s="1" t="s">
        <v>56</v>
      </c>
    </row>
    <row r="520" spans="1:21" x14ac:dyDescent="0.3">
      <c r="A520" s="1" t="s">
        <v>319</v>
      </c>
      <c r="B520" s="2">
        <v>36931</v>
      </c>
      <c r="C520" s="1">
        <v>23</v>
      </c>
      <c r="D520" s="1">
        <v>180</v>
      </c>
      <c r="E520" s="1" t="s">
        <v>32</v>
      </c>
      <c r="F520" s="1" t="s">
        <v>62</v>
      </c>
      <c r="G520" s="1" t="s">
        <v>63</v>
      </c>
      <c r="H520" s="1" t="s">
        <v>54</v>
      </c>
      <c r="I520" s="1" t="s">
        <v>101</v>
      </c>
      <c r="J520" s="1">
        <v>72</v>
      </c>
      <c r="K520" s="1">
        <v>78</v>
      </c>
      <c r="L520" s="1">
        <v>35</v>
      </c>
      <c r="M520" s="1">
        <v>57</v>
      </c>
      <c r="N520" s="17">
        <v>0.34339999999999998</v>
      </c>
      <c r="O520" s="1">
        <v>129</v>
      </c>
      <c r="P520" s="15">
        <v>0.41170000000000001</v>
      </c>
      <c r="Q520" s="1">
        <v>105.2688</v>
      </c>
      <c r="R520" s="1" t="s">
        <v>34</v>
      </c>
      <c r="S520" s="1">
        <v>372.96510000000001</v>
      </c>
      <c r="T520" s="1" t="s">
        <v>28</v>
      </c>
      <c r="U520" s="1" t="s">
        <v>113</v>
      </c>
    </row>
    <row r="521" spans="1:21" x14ac:dyDescent="0.3">
      <c r="A521" s="1" t="s">
        <v>320</v>
      </c>
      <c r="B521" s="2">
        <v>37624</v>
      </c>
      <c r="C521" s="1">
        <v>21</v>
      </c>
      <c r="D521" s="1">
        <v>176</v>
      </c>
      <c r="E521" s="1" t="s">
        <v>32</v>
      </c>
      <c r="F521" s="1" t="s">
        <v>72</v>
      </c>
      <c r="G521" s="1" t="s">
        <v>53</v>
      </c>
      <c r="H521" s="1" t="s">
        <v>25</v>
      </c>
      <c r="I521" s="1" t="s">
        <v>70</v>
      </c>
      <c r="J521" s="1">
        <v>16</v>
      </c>
      <c r="K521" s="1">
        <v>66</v>
      </c>
      <c r="L521" s="1">
        <v>27</v>
      </c>
      <c r="M521" s="1">
        <v>82</v>
      </c>
      <c r="N521" s="17">
        <v>0.15029999999999999</v>
      </c>
      <c r="O521" s="1">
        <v>367</v>
      </c>
      <c r="P521" s="15">
        <v>0.84840000000000004</v>
      </c>
      <c r="Q521" s="1">
        <v>75.954300000000003</v>
      </c>
      <c r="R521" s="1" t="s">
        <v>34</v>
      </c>
      <c r="S521" s="1">
        <v>559.13869999999997</v>
      </c>
      <c r="T521" s="1" t="s">
        <v>46</v>
      </c>
      <c r="U521" s="1" t="s">
        <v>113</v>
      </c>
    </row>
    <row r="522" spans="1:21" x14ac:dyDescent="0.3">
      <c r="A522" s="1" t="s">
        <v>321</v>
      </c>
      <c r="B522" s="2">
        <v>37376</v>
      </c>
      <c r="C522" s="1">
        <v>22</v>
      </c>
      <c r="D522" s="1">
        <v>165</v>
      </c>
      <c r="E522" s="1" t="s">
        <v>76</v>
      </c>
      <c r="F522" s="1" t="s">
        <v>87</v>
      </c>
      <c r="G522" s="1" t="s">
        <v>63</v>
      </c>
      <c r="H522" s="1" t="s">
        <v>54</v>
      </c>
      <c r="I522" s="1" t="s">
        <v>101</v>
      </c>
      <c r="J522" s="1">
        <v>137</v>
      </c>
      <c r="K522" s="1">
        <v>4</v>
      </c>
      <c r="L522" s="1">
        <v>70</v>
      </c>
      <c r="M522" s="1">
        <v>95</v>
      </c>
      <c r="N522" s="17">
        <v>0.60680000000000001</v>
      </c>
      <c r="O522" s="1">
        <v>226</v>
      </c>
      <c r="P522" s="15">
        <v>0.48470000000000002</v>
      </c>
      <c r="Q522" s="1">
        <v>6.0898000000000003</v>
      </c>
      <c r="R522" s="1" t="s">
        <v>45</v>
      </c>
      <c r="S522" s="1">
        <v>533.11149999999998</v>
      </c>
      <c r="T522" s="1" t="s">
        <v>46</v>
      </c>
      <c r="U522" s="1" t="s">
        <v>47</v>
      </c>
    </row>
    <row r="523" spans="1:21" x14ac:dyDescent="0.3">
      <c r="A523" s="1" t="s">
        <v>322</v>
      </c>
      <c r="B523" s="2">
        <v>37007</v>
      </c>
      <c r="C523" s="1">
        <v>23</v>
      </c>
      <c r="D523" s="1">
        <v>162</v>
      </c>
      <c r="E523" s="1" t="s">
        <v>76</v>
      </c>
      <c r="F523" s="1" t="s">
        <v>52</v>
      </c>
      <c r="G523" s="1" t="s">
        <v>53</v>
      </c>
      <c r="H523" s="1" t="s">
        <v>25</v>
      </c>
      <c r="I523" s="1" t="s">
        <v>82</v>
      </c>
      <c r="J523" s="1">
        <v>4</v>
      </c>
      <c r="K523" s="1">
        <v>48</v>
      </c>
      <c r="L523" s="1">
        <v>34</v>
      </c>
      <c r="M523" s="1">
        <v>62</v>
      </c>
      <c r="N523" s="17">
        <v>0.40670000000000001</v>
      </c>
      <c r="O523" s="1">
        <v>323</v>
      </c>
      <c r="P523" s="15">
        <v>0.47989999999999999</v>
      </c>
      <c r="Q523" s="1">
        <v>67.971699999999998</v>
      </c>
      <c r="R523" s="1" t="s">
        <v>40</v>
      </c>
      <c r="S523" s="1">
        <v>471.58659999999998</v>
      </c>
      <c r="T523" s="1" t="s">
        <v>28</v>
      </c>
      <c r="U523" s="1" t="s">
        <v>29</v>
      </c>
    </row>
    <row r="524" spans="1:21" x14ac:dyDescent="0.3">
      <c r="A524" s="1" t="s">
        <v>323</v>
      </c>
      <c r="B524" s="2">
        <v>37119</v>
      </c>
      <c r="C524" s="1">
        <v>23</v>
      </c>
      <c r="D524" s="1">
        <v>184</v>
      </c>
      <c r="E524" s="1" t="s">
        <v>32</v>
      </c>
      <c r="F524" s="1" t="s">
        <v>49</v>
      </c>
      <c r="G524" s="1" t="s">
        <v>43</v>
      </c>
      <c r="H524" s="1" t="s">
        <v>54</v>
      </c>
      <c r="I524" s="1" t="s">
        <v>50</v>
      </c>
      <c r="J524" s="1">
        <v>57</v>
      </c>
      <c r="K524" s="1">
        <v>94</v>
      </c>
      <c r="L524" s="1">
        <v>40</v>
      </c>
      <c r="M524" s="1">
        <v>11</v>
      </c>
      <c r="N524" s="17">
        <v>0.2228</v>
      </c>
      <c r="O524" s="1">
        <v>121</v>
      </c>
      <c r="P524" s="15">
        <v>0.47089999999999999</v>
      </c>
      <c r="Q524" s="1">
        <v>115.24890000000001</v>
      </c>
      <c r="R524" s="1" t="s">
        <v>45</v>
      </c>
      <c r="S524" s="1">
        <v>324.1737</v>
      </c>
      <c r="T524" s="1" t="s">
        <v>46</v>
      </c>
      <c r="U524" s="1" t="s">
        <v>56</v>
      </c>
    </row>
    <row r="525" spans="1:21" x14ac:dyDescent="0.3">
      <c r="A525" s="1" t="s">
        <v>324</v>
      </c>
      <c r="B525" s="2">
        <v>37251</v>
      </c>
      <c r="C525" s="1">
        <v>23</v>
      </c>
      <c r="D525" s="1">
        <v>167</v>
      </c>
      <c r="E525" s="1" t="s">
        <v>76</v>
      </c>
      <c r="F525" s="1" t="s">
        <v>79</v>
      </c>
      <c r="G525" s="1" t="s">
        <v>43</v>
      </c>
      <c r="H525" s="1" t="s">
        <v>54</v>
      </c>
      <c r="I525" s="1" t="s">
        <v>94</v>
      </c>
      <c r="J525" s="1">
        <v>110</v>
      </c>
      <c r="K525" s="1">
        <v>30</v>
      </c>
      <c r="L525" s="1">
        <v>19</v>
      </c>
      <c r="M525" s="1">
        <v>1</v>
      </c>
      <c r="N525" s="17">
        <v>0.61560000000000004</v>
      </c>
      <c r="O525" s="1">
        <v>281</v>
      </c>
      <c r="P525" s="15">
        <v>0.78280000000000005</v>
      </c>
      <c r="Q525" s="1">
        <v>48.726500000000001</v>
      </c>
      <c r="R525" s="1" t="s">
        <v>27</v>
      </c>
      <c r="S525" s="1">
        <v>442.79840000000002</v>
      </c>
      <c r="T525" s="1" t="s">
        <v>28</v>
      </c>
      <c r="U525" s="1" t="s">
        <v>65</v>
      </c>
    </row>
    <row r="526" spans="1:21" x14ac:dyDescent="0.3">
      <c r="A526" s="1" t="s">
        <v>325</v>
      </c>
      <c r="B526" s="2">
        <v>37180</v>
      </c>
      <c r="C526" s="1">
        <v>23</v>
      </c>
      <c r="D526" s="1">
        <v>175</v>
      </c>
      <c r="E526" s="1" t="s">
        <v>32</v>
      </c>
      <c r="F526" s="1" t="s">
        <v>79</v>
      </c>
      <c r="G526" s="1" t="s">
        <v>43</v>
      </c>
      <c r="H526" s="1" t="s">
        <v>54</v>
      </c>
      <c r="I526" s="1" t="s">
        <v>50</v>
      </c>
      <c r="J526" s="1">
        <v>36</v>
      </c>
      <c r="K526" s="1">
        <v>98</v>
      </c>
      <c r="L526" s="1">
        <v>18</v>
      </c>
      <c r="M526" s="1">
        <v>89</v>
      </c>
      <c r="N526" s="17">
        <v>0.73809999999999998</v>
      </c>
      <c r="O526" s="1">
        <v>36</v>
      </c>
      <c r="P526" s="15">
        <v>0.68759999999999999</v>
      </c>
      <c r="Q526" s="1">
        <v>170.78569999999999</v>
      </c>
      <c r="R526" s="1" t="s">
        <v>40</v>
      </c>
      <c r="S526" s="1">
        <v>278.81569999999999</v>
      </c>
      <c r="T526" s="1" t="s">
        <v>35</v>
      </c>
      <c r="U526" s="1" t="s">
        <v>29</v>
      </c>
    </row>
    <row r="527" spans="1:21" x14ac:dyDescent="0.3">
      <c r="A527" s="1" t="s">
        <v>326</v>
      </c>
      <c r="B527" s="2">
        <v>37030</v>
      </c>
      <c r="C527" s="1">
        <v>23</v>
      </c>
      <c r="D527" s="1">
        <v>182</v>
      </c>
      <c r="E527" s="1" t="s">
        <v>32</v>
      </c>
      <c r="F527" s="1" t="s">
        <v>72</v>
      </c>
      <c r="G527" s="1" t="s">
        <v>53</v>
      </c>
      <c r="H527" s="1" t="s">
        <v>54</v>
      </c>
      <c r="I527" s="1" t="s">
        <v>88</v>
      </c>
      <c r="J527" s="1">
        <v>118</v>
      </c>
      <c r="K527" s="1">
        <v>72</v>
      </c>
      <c r="L527" s="1">
        <v>6</v>
      </c>
      <c r="M527" s="1">
        <v>44</v>
      </c>
      <c r="N527" s="17">
        <v>0.24970000000000001</v>
      </c>
      <c r="O527" s="1">
        <v>168</v>
      </c>
      <c r="P527" s="15">
        <v>0.58630000000000004</v>
      </c>
      <c r="Q527" s="1">
        <v>90.378299999999996</v>
      </c>
      <c r="R527" s="1" t="s">
        <v>45</v>
      </c>
      <c r="S527" s="1">
        <v>410.01600000000002</v>
      </c>
      <c r="T527" s="1" t="s">
        <v>35</v>
      </c>
      <c r="U527" s="1" t="s">
        <v>65</v>
      </c>
    </row>
    <row r="528" spans="1:21" x14ac:dyDescent="0.3">
      <c r="A528" s="1" t="s">
        <v>327</v>
      </c>
      <c r="B528" s="2">
        <v>37353</v>
      </c>
      <c r="C528" s="1">
        <v>22</v>
      </c>
      <c r="D528" s="1">
        <v>185</v>
      </c>
      <c r="E528" s="1" t="s">
        <v>32</v>
      </c>
      <c r="F528" s="1" t="s">
        <v>87</v>
      </c>
      <c r="G528" s="1" t="s">
        <v>63</v>
      </c>
      <c r="H528" s="1" t="s">
        <v>25</v>
      </c>
      <c r="I528" s="1" t="s">
        <v>117</v>
      </c>
      <c r="J528" s="1">
        <v>12</v>
      </c>
      <c r="K528" s="1">
        <v>85</v>
      </c>
      <c r="L528" s="1">
        <v>30</v>
      </c>
      <c r="M528" s="1">
        <v>33</v>
      </c>
      <c r="N528" s="17">
        <v>0.1668</v>
      </c>
      <c r="O528" s="1">
        <v>381</v>
      </c>
      <c r="P528" s="15">
        <v>0.47649999999999998</v>
      </c>
      <c r="Q528" s="1">
        <v>98.863</v>
      </c>
      <c r="R528" s="1" t="s">
        <v>45</v>
      </c>
      <c r="S528" s="1">
        <v>540.81330000000003</v>
      </c>
      <c r="T528" s="1" t="s">
        <v>28</v>
      </c>
      <c r="U528" s="1" t="s">
        <v>102</v>
      </c>
    </row>
    <row r="529" spans="1:21" x14ac:dyDescent="0.3">
      <c r="A529" s="1" t="s">
        <v>328</v>
      </c>
      <c r="B529" s="2">
        <v>37880</v>
      </c>
      <c r="C529" s="1">
        <v>21</v>
      </c>
      <c r="D529" s="1">
        <v>170</v>
      </c>
      <c r="E529" s="1" t="s">
        <v>24</v>
      </c>
      <c r="F529" s="1" t="s">
        <v>38</v>
      </c>
      <c r="G529" s="1" t="s">
        <v>23</v>
      </c>
      <c r="H529" s="1" t="s">
        <v>25</v>
      </c>
      <c r="I529" s="1" t="s">
        <v>115</v>
      </c>
      <c r="J529" s="1">
        <v>141</v>
      </c>
      <c r="K529" s="1">
        <v>17</v>
      </c>
      <c r="L529" s="1">
        <v>89</v>
      </c>
      <c r="M529" s="1">
        <v>17</v>
      </c>
      <c r="N529" s="17">
        <v>0.28499999999999998</v>
      </c>
      <c r="O529" s="1">
        <v>41</v>
      </c>
      <c r="P529" s="15">
        <v>0.48549999999999999</v>
      </c>
      <c r="Q529" s="1">
        <v>22.268999999999998</v>
      </c>
      <c r="R529" s="1" t="s">
        <v>40</v>
      </c>
      <c r="S529" s="1">
        <v>306.56049999999999</v>
      </c>
      <c r="T529" s="1" t="s">
        <v>46</v>
      </c>
      <c r="U529" s="1" t="s">
        <v>47</v>
      </c>
    </row>
    <row r="530" spans="1:21" x14ac:dyDescent="0.3">
      <c r="A530" s="1" t="s">
        <v>329</v>
      </c>
      <c r="B530" s="2">
        <v>37696</v>
      </c>
      <c r="C530" s="1">
        <v>21</v>
      </c>
      <c r="D530" s="1">
        <v>161</v>
      </c>
      <c r="E530" s="1" t="s">
        <v>76</v>
      </c>
      <c r="F530" s="1" t="s">
        <v>75</v>
      </c>
      <c r="G530" s="1" t="s">
        <v>53</v>
      </c>
      <c r="H530" s="1" t="s">
        <v>54</v>
      </c>
      <c r="I530" s="1" t="s">
        <v>67</v>
      </c>
      <c r="J530" s="1">
        <v>9</v>
      </c>
      <c r="K530" s="1">
        <v>1</v>
      </c>
      <c r="L530" s="1">
        <v>10</v>
      </c>
      <c r="M530" s="1">
        <v>83</v>
      </c>
      <c r="N530" s="17">
        <v>0.5323</v>
      </c>
      <c r="O530" s="1">
        <v>250</v>
      </c>
      <c r="P530" s="15">
        <v>0.44359999999999999</v>
      </c>
      <c r="Q530" s="1">
        <v>2.1145999999999998</v>
      </c>
      <c r="R530" s="1" t="s">
        <v>34</v>
      </c>
      <c r="S530" s="1">
        <v>354.13589999999999</v>
      </c>
      <c r="T530" s="1" t="s">
        <v>28</v>
      </c>
      <c r="U530" s="1" t="s">
        <v>102</v>
      </c>
    </row>
    <row r="531" spans="1:21" x14ac:dyDescent="0.3">
      <c r="A531" s="1" t="s">
        <v>330</v>
      </c>
      <c r="B531" s="2">
        <v>37523</v>
      </c>
      <c r="C531" s="1">
        <v>22</v>
      </c>
      <c r="D531" s="1">
        <v>163</v>
      </c>
      <c r="E531" s="1" t="s">
        <v>76</v>
      </c>
      <c r="F531" s="1" t="s">
        <v>75</v>
      </c>
      <c r="G531" s="1" t="s">
        <v>53</v>
      </c>
      <c r="H531" s="1" t="s">
        <v>54</v>
      </c>
      <c r="I531" s="1" t="s">
        <v>121</v>
      </c>
      <c r="J531" s="1">
        <v>74</v>
      </c>
      <c r="K531" s="1">
        <v>66</v>
      </c>
      <c r="L531" s="1">
        <v>10</v>
      </c>
      <c r="M531" s="1">
        <v>55</v>
      </c>
      <c r="N531" s="17">
        <v>0.89690000000000003</v>
      </c>
      <c r="O531" s="1">
        <v>75</v>
      </c>
      <c r="P531" s="15">
        <v>0.56620000000000004</v>
      </c>
      <c r="Q531" s="1">
        <v>126.03</v>
      </c>
      <c r="R531" s="1" t="s">
        <v>45</v>
      </c>
      <c r="S531" s="1">
        <v>281.44310000000002</v>
      </c>
      <c r="T531" s="1" t="s">
        <v>28</v>
      </c>
      <c r="U531" s="1" t="s">
        <v>47</v>
      </c>
    </row>
    <row r="532" spans="1:21" x14ac:dyDescent="0.3">
      <c r="A532" s="1" t="s">
        <v>331</v>
      </c>
      <c r="B532" s="2">
        <v>37442</v>
      </c>
      <c r="C532" s="1">
        <v>22</v>
      </c>
      <c r="D532" s="1">
        <v>167</v>
      </c>
      <c r="E532" s="1" t="s">
        <v>76</v>
      </c>
      <c r="F532" s="1" t="s">
        <v>104</v>
      </c>
      <c r="G532" s="1" t="s">
        <v>53</v>
      </c>
      <c r="H532" s="1" t="s">
        <v>25</v>
      </c>
      <c r="I532" s="1" t="s">
        <v>67</v>
      </c>
      <c r="J532" s="1">
        <v>113</v>
      </c>
      <c r="K532" s="1">
        <v>67</v>
      </c>
      <c r="L532" s="1">
        <v>9</v>
      </c>
      <c r="M532" s="1">
        <v>35</v>
      </c>
      <c r="N532" s="17">
        <v>0.97360000000000002</v>
      </c>
      <c r="O532" s="1">
        <v>217</v>
      </c>
      <c r="P532" s="15">
        <v>0.66539999999999999</v>
      </c>
      <c r="Q532" s="1">
        <v>132.38910000000001</v>
      </c>
      <c r="R532" s="1" t="s">
        <v>27</v>
      </c>
      <c r="S532" s="1">
        <v>443.36900000000003</v>
      </c>
      <c r="T532" s="1" t="s">
        <v>35</v>
      </c>
      <c r="U532" s="1" t="s">
        <v>113</v>
      </c>
    </row>
    <row r="533" spans="1:21" x14ac:dyDescent="0.3">
      <c r="A533" s="1" t="s">
        <v>332</v>
      </c>
      <c r="B533" s="2">
        <v>37374</v>
      </c>
      <c r="C533" s="1">
        <v>22</v>
      </c>
      <c r="D533" s="1">
        <v>178</v>
      </c>
      <c r="E533" s="1" t="s">
        <v>32</v>
      </c>
      <c r="F533" s="1" t="s">
        <v>98</v>
      </c>
      <c r="G533" s="1" t="s">
        <v>23</v>
      </c>
      <c r="H533" s="1" t="s">
        <v>54</v>
      </c>
      <c r="I533" s="1" t="s">
        <v>94</v>
      </c>
      <c r="J533" s="1">
        <v>13</v>
      </c>
      <c r="K533" s="1">
        <v>90</v>
      </c>
      <c r="L533" s="1">
        <v>72</v>
      </c>
      <c r="M533" s="1">
        <v>51</v>
      </c>
      <c r="N533" s="17">
        <v>0.82040000000000002</v>
      </c>
      <c r="O533" s="1">
        <v>360</v>
      </c>
      <c r="P533" s="15">
        <v>0.70489999999999997</v>
      </c>
      <c r="Q533" s="1">
        <v>164.5095</v>
      </c>
      <c r="R533" s="1" t="s">
        <v>34</v>
      </c>
      <c r="S533" s="1">
        <v>587.36530000000005</v>
      </c>
      <c r="T533" s="1" t="s">
        <v>28</v>
      </c>
      <c r="U533" s="1" t="s">
        <v>113</v>
      </c>
    </row>
    <row r="534" spans="1:21" x14ac:dyDescent="0.3">
      <c r="A534" s="1" t="s">
        <v>333</v>
      </c>
      <c r="B534" s="2">
        <v>37286</v>
      </c>
      <c r="C534" s="1">
        <v>22</v>
      </c>
      <c r="D534" s="1">
        <v>166</v>
      </c>
      <c r="E534" s="1" t="s">
        <v>76</v>
      </c>
      <c r="F534" s="1" t="s">
        <v>104</v>
      </c>
      <c r="G534" s="1" t="s">
        <v>53</v>
      </c>
      <c r="H534" s="1" t="s">
        <v>25</v>
      </c>
      <c r="I534" s="1" t="s">
        <v>39</v>
      </c>
      <c r="J534" s="1">
        <v>64</v>
      </c>
      <c r="K534" s="1">
        <v>99</v>
      </c>
      <c r="L534" s="1">
        <v>44</v>
      </c>
      <c r="M534" s="1">
        <v>100</v>
      </c>
      <c r="N534" s="17">
        <v>0.85070000000000001</v>
      </c>
      <c r="O534" s="1">
        <v>251</v>
      </c>
      <c r="P534" s="15">
        <v>0.51600000000000001</v>
      </c>
      <c r="Q534" s="1">
        <v>182.92320000000001</v>
      </c>
      <c r="R534" s="1" t="s">
        <v>27</v>
      </c>
      <c r="S534" s="1">
        <v>559.37670000000003</v>
      </c>
      <c r="T534" s="1" t="s">
        <v>28</v>
      </c>
      <c r="U534" s="1" t="s">
        <v>56</v>
      </c>
    </row>
    <row r="535" spans="1:21" x14ac:dyDescent="0.3">
      <c r="A535" s="1" t="s">
        <v>334</v>
      </c>
      <c r="B535" s="2">
        <v>37956</v>
      </c>
      <c r="C535" s="1">
        <v>21</v>
      </c>
      <c r="D535" s="1">
        <v>168</v>
      </c>
      <c r="E535" s="1" t="s">
        <v>24</v>
      </c>
      <c r="F535" s="1" t="s">
        <v>87</v>
      </c>
      <c r="G535" s="1" t="s">
        <v>63</v>
      </c>
      <c r="H535" s="1" t="s">
        <v>54</v>
      </c>
      <c r="I535" s="1" t="s">
        <v>26</v>
      </c>
      <c r="J535" s="1">
        <v>118</v>
      </c>
      <c r="K535" s="1">
        <v>63</v>
      </c>
      <c r="L535" s="1">
        <v>53</v>
      </c>
      <c r="M535" s="1">
        <v>43</v>
      </c>
      <c r="N535" s="17">
        <v>0.2334</v>
      </c>
      <c r="O535" s="1">
        <v>166</v>
      </c>
      <c r="P535" s="15">
        <v>0.66459999999999997</v>
      </c>
      <c r="Q535" s="1">
        <v>77.3095</v>
      </c>
      <c r="R535" s="1" t="s">
        <v>27</v>
      </c>
      <c r="S535" s="1">
        <v>443.40800000000002</v>
      </c>
      <c r="T535" s="1" t="s">
        <v>28</v>
      </c>
      <c r="U535" s="1" t="s">
        <v>65</v>
      </c>
    </row>
    <row r="536" spans="1:21" x14ac:dyDescent="0.3">
      <c r="A536" s="1" t="s">
        <v>335</v>
      </c>
      <c r="B536" s="2">
        <v>37432</v>
      </c>
      <c r="C536" s="1">
        <v>22</v>
      </c>
      <c r="D536" s="1">
        <v>173</v>
      </c>
      <c r="E536" s="1" t="s">
        <v>24</v>
      </c>
      <c r="F536" s="1" t="s">
        <v>42</v>
      </c>
      <c r="G536" s="1" t="s">
        <v>43</v>
      </c>
      <c r="H536" s="1" t="s">
        <v>54</v>
      </c>
      <c r="I536" s="1" t="s">
        <v>123</v>
      </c>
      <c r="J536" s="1">
        <v>86</v>
      </c>
      <c r="K536" s="1">
        <v>48</v>
      </c>
      <c r="L536" s="1">
        <v>18</v>
      </c>
      <c r="M536" s="1">
        <v>41</v>
      </c>
      <c r="N536" s="17">
        <v>0.7127</v>
      </c>
      <c r="O536" s="1">
        <v>248</v>
      </c>
      <c r="P536" s="15">
        <v>0.58079999999999998</v>
      </c>
      <c r="Q536" s="1">
        <v>81.918400000000005</v>
      </c>
      <c r="R536" s="1" t="s">
        <v>45</v>
      </c>
      <c r="S536" s="1">
        <v>441.9735</v>
      </c>
      <c r="T536" s="1" t="s">
        <v>35</v>
      </c>
      <c r="U536" s="1" t="s">
        <v>102</v>
      </c>
    </row>
    <row r="537" spans="1:21" x14ac:dyDescent="0.3">
      <c r="A537" s="1" t="s">
        <v>336</v>
      </c>
      <c r="B537" s="2">
        <v>37654</v>
      </c>
      <c r="C537" s="1">
        <v>21</v>
      </c>
      <c r="D537" s="1">
        <v>168</v>
      </c>
      <c r="E537" s="1" t="s">
        <v>24</v>
      </c>
      <c r="F537" s="1" t="s">
        <v>69</v>
      </c>
      <c r="G537" s="1" t="s">
        <v>43</v>
      </c>
      <c r="H537" s="1" t="s">
        <v>25</v>
      </c>
      <c r="I537" s="1" t="s">
        <v>99</v>
      </c>
      <c r="J537" s="1">
        <v>123</v>
      </c>
      <c r="K537" s="1">
        <v>31</v>
      </c>
      <c r="L537" s="1">
        <v>29</v>
      </c>
      <c r="M537" s="1">
        <v>50</v>
      </c>
      <c r="N537" s="17">
        <v>0.18840000000000001</v>
      </c>
      <c r="O537" s="1">
        <v>279</v>
      </c>
      <c r="P537" s="15">
        <v>0.79100000000000004</v>
      </c>
      <c r="Q537" s="1">
        <v>36.840400000000002</v>
      </c>
      <c r="R537" s="1" t="s">
        <v>34</v>
      </c>
      <c r="S537" s="1">
        <v>511.96940000000001</v>
      </c>
      <c r="T537" s="1" t="s">
        <v>35</v>
      </c>
      <c r="U537" s="1" t="s">
        <v>102</v>
      </c>
    </row>
    <row r="538" spans="1:21" x14ac:dyDescent="0.3">
      <c r="A538" s="1" t="s">
        <v>337</v>
      </c>
      <c r="B538" s="2">
        <v>37745</v>
      </c>
      <c r="C538" s="1">
        <v>21</v>
      </c>
      <c r="D538" s="1">
        <v>183</v>
      </c>
      <c r="E538" s="1" t="s">
        <v>32</v>
      </c>
      <c r="F538" s="1" t="s">
        <v>104</v>
      </c>
      <c r="G538" s="1" t="s">
        <v>53</v>
      </c>
      <c r="H538" s="1" t="s">
        <v>25</v>
      </c>
      <c r="I538" s="1" t="s">
        <v>77</v>
      </c>
      <c r="J538" s="1">
        <v>67</v>
      </c>
      <c r="K538" s="1">
        <v>91</v>
      </c>
      <c r="L538" s="1">
        <v>41</v>
      </c>
      <c r="M538" s="1">
        <v>49</v>
      </c>
      <c r="N538" s="17">
        <v>0.4365</v>
      </c>
      <c r="O538" s="1">
        <v>207</v>
      </c>
      <c r="P538" s="15">
        <v>0.42530000000000001</v>
      </c>
      <c r="Q538" s="1">
        <v>131.33920000000001</v>
      </c>
      <c r="R538" s="1" t="s">
        <v>34</v>
      </c>
      <c r="S538" s="1">
        <v>456.46179999999998</v>
      </c>
      <c r="T538" s="1" t="s">
        <v>28</v>
      </c>
      <c r="U538" s="1" t="s">
        <v>47</v>
      </c>
    </row>
    <row r="539" spans="1:21" x14ac:dyDescent="0.3">
      <c r="A539" s="1" t="s">
        <v>338</v>
      </c>
      <c r="B539" s="2">
        <v>37286</v>
      </c>
      <c r="C539" s="1">
        <v>22</v>
      </c>
      <c r="D539" s="1">
        <v>165</v>
      </c>
      <c r="E539" s="1" t="s">
        <v>76</v>
      </c>
      <c r="F539" s="1" t="s">
        <v>87</v>
      </c>
      <c r="G539" s="1" t="s">
        <v>63</v>
      </c>
      <c r="H539" s="1" t="s">
        <v>25</v>
      </c>
      <c r="I539" s="1" t="s">
        <v>44</v>
      </c>
      <c r="J539" s="1">
        <v>38</v>
      </c>
      <c r="K539" s="1">
        <v>46</v>
      </c>
      <c r="L539" s="1">
        <v>92</v>
      </c>
      <c r="M539" s="1">
        <v>71</v>
      </c>
      <c r="N539" s="17">
        <v>0.84119999999999995</v>
      </c>
      <c r="O539" s="1">
        <v>110</v>
      </c>
      <c r="P539" s="15">
        <v>0.62729999999999997</v>
      </c>
      <c r="Q539" s="1">
        <v>85.045000000000002</v>
      </c>
      <c r="R539" s="1" t="s">
        <v>27</v>
      </c>
      <c r="S539" s="1">
        <v>358.79849999999999</v>
      </c>
      <c r="T539" s="1" t="s">
        <v>46</v>
      </c>
      <c r="U539" s="1" t="s">
        <v>29</v>
      </c>
    </row>
    <row r="540" spans="1:21" x14ac:dyDescent="0.3">
      <c r="A540" s="1" t="s">
        <v>339</v>
      </c>
      <c r="B540" s="2">
        <v>37805</v>
      </c>
      <c r="C540" s="1">
        <v>21</v>
      </c>
      <c r="D540" s="1">
        <v>179</v>
      </c>
      <c r="E540" s="1" t="s">
        <v>32</v>
      </c>
      <c r="F540" s="1" t="s">
        <v>69</v>
      </c>
      <c r="G540" s="1" t="s">
        <v>43</v>
      </c>
      <c r="H540" s="1" t="s">
        <v>25</v>
      </c>
      <c r="I540" s="1" t="s">
        <v>121</v>
      </c>
      <c r="J540" s="1">
        <v>88</v>
      </c>
      <c r="K540" s="1">
        <v>36</v>
      </c>
      <c r="L540" s="1">
        <v>17</v>
      </c>
      <c r="M540" s="1">
        <v>90</v>
      </c>
      <c r="N540" s="17">
        <v>0.72</v>
      </c>
      <c r="O540" s="1">
        <v>300</v>
      </c>
      <c r="P540" s="15">
        <v>0.52829999999999999</v>
      </c>
      <c r="Q540" s="1">
        <v>61.2836</v>
      </c>
      <c r="R540" s="1" t="s">
        <v>45</v>
      </c>
      <c r="S540" s="1">
        <v>531.90830000000005</v>
      </c>
      <c r="T540" s="1" t="s">
        <v>28</v>
      </c>
      <c r="U540" s="1" t="s">
        <v>36</v>
      </c>
    </row>
    <row r="541" spans="1:21" x14ac:dyDescent="0.3">
      <c r="A541" s="1" t="s">
        <v>340</v>
      </c>
      <c r="B541" s="2">
        <v>37315</v>
      </c>
      <c r="C541" s="1">
        <v>22</v>
      </c>
      <c r="D541" s="1">
        <v>181</v>
      </c>
      <c r="E541" s="1" t="s">
        <v>32</v>
      </c>
      <c r="F541" s="1" t="s">
        <v>62</v>
      </c>
      <c r="G541" s="1" t="s">
        <v>63</v>
      </c>
      <c r="H541" s="1" t="s">
        <v>54</v>
      </c>
      <c r="I541" s="1" t="s">
        <v>112</v>
      </c>
      <c r="J541" s="1">
        <v>77</v>
      </c>
      <c r="K541" s="1">
        <v>87</v>
      </c>
      <c r="L541" s="1">
        <v>97</v>
      </c>
      <c r="M541" s="1">
        <v>69</v>
      </c>
      <c r="N541" s="17">
        <v>0.21909999999999999</v>
      </c>
      <c r="O541" s="1">
        <v>190</v>
      </c>
      <c r="P541" s="15">
        <v>0.47789999999999999</v>
      </c>
      <c r="Q541" s="1">
        <v>105.5741</v>
      </c>
      <c r="R541" s="1" t="s">
        <v>27</v>
      </c>
      <c r="S541" s="1">
        <v>520.22699999999998</v>
      </c>
      <c r="T541" s="1" t="s">
        <v>28</v>
      </c>
      <c r="U541" s="1" t="s">
        <v>47</v>
      </c>
    </row>
    <row r="542" spans="1:21" x14ac:dyDescent="0.3">
      <c r="A542" s="1" t="s">
        <v>341</v>
      </c>
      <c r="B542" s="2">
        <v>37663</v>
      </c>
      <c r="C542" s="1">
        <v>21</v>
      </c>
      <c r="D542" s="1">
        <v>173</v>
      </c>
      <c r="E542" s="1" t="s">
        <v>24</v>
      </c>
      <c r="F542" s="1" t="s">
        <v>75</v>
      </c>
      <c r="G542" s="1" t="s">
        <v>53</v>
      </c>
      <c r="H542" s="1" t="s">
        <v>54</v>
      </c>
      <c r="I542" s="1" t="s">
        <v>119</v>
      </c>
      <c r="J542" s="1">
        <v>39</v>
      </c>
      <c r="K542" s="1">
        <v>47</v>
      </c>
      <c r="L542" s="1">
        <v>68</v>
      </c>
      <c r="M542" s="1">
        <v>83</v>
      </c>
      <c r="N542" s="17">
        <v>0.19209999999999999</v>
      </c>
      <c r="O542" s="1">
        <v>159</v>
      </c>
      <c r="P542" s="15">
        <v>0.63019999999999998</v>
      </c>
      <c r="Q542" s="1">
        <v>56.267099999999999</v>
      </c>
      <c r="R542" s="1" t="s">
        <v>40</v>
      </c>
      <c r="S542" s="1">
        <v>396.6823</v>
      </c>
      <c r="T542" s="1" t="s">
        <v>46</v>
      </c>
      <c r="U542" s="1" t="s">
        <v>102</v>
      </c>
    </row>
    <row r="543" spans="1:21" x14ac:dyDescent="0.3">
      <c r="A543" s="1" t="s">
        <v>342</v>
      </c>
      <c r="B543" s="2">
        <v>37022</v>
      </c>
      <c r="C543" s="1">
        <v>23</v>
      </c>
      <c r="D543" s="1">
        <v>175</v>
      </c>
      <c r="E543" s="1" t="s">
        <v>32</v>
      </c>
      <c r="F543" s="1" t="s">
        <v>75</v>
      </c>
      <c r="G543" s="1" t="s">
        <v>53</v>
      </c>
      <c r="H543" s="1" t="s">
        <v>54</v>
      </c>
      <c r="I543" s="1" t="s">
        <v>90</v>
      </c>
      <c r="J543" s="1">
        <v>96</v>
      </c>
      <c r="K543" s="1">
        <v>86</v>
      </c>
      <c r="L543" s="1">
        <v>27</v>
      </c>
      <c r="M543" s="1">
        <v>71</v>
      </c>
      <c r="N543" s="17">
        <v>0.36890000000000001</v>
      </c>
      <c r="O543" s="1">
        <v>357</v>
      </c>
      <c r="P543" s="15">
        <v>0.46750000000000003</v>
      </c>
      <c r="Q543" s="1">
        <v>118.1224</v>
      </c>
      <c r="R543" s="1" t="s">
        <v>34</v>
      </c>
      <c r="S543" s="1">
        <v>638.88639999999998</v>
      </c>
      <c r="T543" s="1" t="s">
        <v>28</v>
      </c>
      <c r="U543" s="1" t="s">
        <v>113</v>
      </c>
    </row>
    <row r="544" spans="1:21" x14ac:dyDescent="0.3">
      <c r="A544" s="1" t="s">
        <v>343</v>
      </c>
      <c r="B544" s="2">
        <v>37178</v>
      </c>
      <c r="C544" s="1">
        <v>23</v>
      </c>
      <c r="D544" s="1">
        <v>181</v>
      </c>
      <c r="E544" s="1" t="s">
        <v>32</v>
      </c>
      <c r="F544" s="1" t="s">
        <v>87</v>
      </c>
      <c r="G544" s="1" t="s">
        <v>63</v>
      </c>
      <c r="H544" s="1" t="s">
        <v>25</v>
      </c>
      <c r="I544" s="1" t="s">
        <v>123</v>
      </c>
      <c r="J544" s="1">
        <v>150</v>
      </c>
      <c r="K544" s="1">
        <v>27</v>
      </c>
      <c r="L544" s="1">
        <v>42</v>
      </c>
      <c r="M544" s="1">
        <v>39</v>
      </c>
      <c r="N544" s="17">
        <v>0.73729999999999996</v>
      </c>
      <c r="O544" s="1">
        <v>15</v>
      </c>
      <c r="P544" s="15">
        <v>0.65739999999999998</v>
      </c>
      <c r="Q544" s="1">
        <v>46.351199999999999</v>
      </c>
      <c r="R544" s="1" t="s">
        <v>34</v>
      </c>
      <c r="S544" s="1">
        <v>274.66469999999998</v>
      </c>
      <c r="T544" s="1" t="s">
        <v>35</v>
      </c>
      <c r="U544" s="1" t="s">
        <v>102</v>
      </c>
    </row>
    <row r="545" spans="1:21" x14ac:dyDescent="0.3">
      <c r="A545" s="1" t="s">
        <v>344</v>
      </c>
      <c r="B545" s="2">
        <v>37626</v>
      </c>
      <c r="C545" s="1">
        <v>21</v>
      </c>
      <c r="D545" s="1">
        <v>181</v>
      </c>
      <c r="E545" s="1" t="s">
        <v>32</v>
      </c>
      <c r="F545" s="1" t="s">
        <v>69</v>
      </c>
      <c r="G545" s="1" t="s">
        <v>43</v>
      </c>
      <c r="H545" s="1" t="s">
        <v>54</v>
      </c>
      <c r="I545" s="1" t="s">
        <v>70</v>
      </c>
      <c r="J545" s="1">
        <v>126</v>
      </c>
      <c r="K545" s="1">
        <v>88</v>
      </c>
      <c r="L545" s="1">
        <v>19</v>
      </c>
      <c r="M545" s="1">
        <v>11</v>
      </c>
      <c r="N545" s="17">
        <v>0.33279999999999998</v>
      </c>
      <c r="O545" s="1">
        <v>52</v>
      </c>
      <c r="P545" s="15">
        <v>0.76380000000000003</v>
      </c>
      <c r="Q545" s="1">
        <v>116.9799</v>
      </c>
      <c r="R545" s="1" t="s">
        <v>34</v>
      </c>
      <c r="S545" s="1">
        <v>296.76659999999998</v>
      </c>
      <c r="T545" s="1" t="s">
        <v>46</v>
      </c>
      <c r="U545" s="1" t="s">
        <v>47</v>
      </c>
    </row>
    <row r="546" spans="1:21" x14ac:dyDescent="0.3">
      <c r="A546" s="1" t="s">
        <v>345</v>
      </c>
      <c r="B546" s="2">
        <v>37520</v>
      </c>
      <c r="C546" s="1">
        <v>22</v>
      </c>
      <c r="D546" s="1">
        <v>167</v>
      </c>
      <c r="E546" s="1" t="s">
        <v>76</v>
      </c>
      <c r="F546" s="1" t="s">
        <v>38</v>
      </c>
      <c r="G546" s="1" t="s">
        <v>23</v>
      </c>
      <c r="H546" s="1" t="s">
        <v>54</v>
      </c>
      <c r="I546" s="1" t="s">
        <v>99</v>
      </c>
      <c r="J546" s="1">
        <v>56</v>
      </c>
      <c r="K546" s="1">
        <v>59</v>
      </c>
      <c r="L546" s="1">
        <v>47</v>
      </c>
      <c r="M546" s="1">
        <v>13</v>
      </c>
      <c r="N546" s="17">
        <v>0.67100000000000004</v>
      </c>
      <c r="O546" s="1">
        <v>22</v>
      </c>
      <c r="P546" s="15">
        <v>0.66110000000000002</v>
      </c>
      <c r="Q546" s="1">
        <v>98.538899999999998</v>
      </c>
      <c r="R546" s="1" t="s">
        <v>27</v>
      </c>
      <c r="S546" s="1">
        <v>198.6721</v>
      </c>
      <c r="T546" s="1" t="s">
        <v>35</v>
      </c>
      <c r="U546" s="1" t="s">
        <v>36</v>
      </c>
    </row>
    <row r="547" spans="1:21" x14ac:dyDescent="0.3">
      <c r="A547" s="1" t="s">
        <v>346</v>
      </c>
      <c r="B547" s="2">
        <v>37002</v>
      </c>
      <c r="C547" s="1">
        <v>23</v>
      </c>
      <c r="D547" s="1">
        <v>173</v>
      </c>
      <c r="E547" s="1" t="s">
        <v>24</v>
      </c>
      <c r="F547" s="1" t="s">
        <v>42</v>
      </c>
      <c r="G547" s="1" t="s">
        <v>43</v>
      </c>
      <c r="H547" s="1" t="s">
        <v>25</v>
      </c>
      <c r="I547" s="1" t="s">
        <v>64</v>
      </c>
      <c r="J547" s="1">
        <v>149</v>
      </c>
      <c r="K547" s="1">
        <v>35</v>
      </c>
      <c r="L547" s="1">
        <v>99</v>
      </c>
      <c r="M547" s="1">
        <v>89</v>
      </c>
      <c r="N547" s="17">
        <v>0.22889999999999999</v>
      </c>
      <c r="O547" s="1">
        <v>395</v>
      </c>
      <c r="P547" s="15">
        <v>0.78810000000000002</v>
      </c>
      <c r="Q547" s="1">
        <v>42.913200000000003</v>
      </c>
      <c r="R547" s="1" t="s">
        <v>34</v>
      </c>
      <c r="S547" s="1">
        <v>767.58699999999999</v>
      </c>
      <c r="T547" s="1" t="s">
        <v>28</v>
      </c>
      <c r="U547" s="1" t="s">
        <v>56</v>
      </c>
    </row>
    <row r="548" spans="1:21" x14ac:dyDescent="0.3">
      <c r="A548" s="1" t="s">
        <v>347</v>
      </c>
      <c r="B548" s="2">
        <v>37010</v>
      </c>
      <c r="C548" s="1">
        <v>23</v>
      </c>
      <c r="D548" s="1">
        <v>170</v>
      </c>
      <c r="E548" s="1" t="s">
        <v>24</v>
      </c>
      <c r="F548" s="1" t="s">
        <v>79</v>
      </c>
      <c r="G548" s="1" t="s">
        <v>43</v>
      </c>
      <c r="H548" s="1" t="s">
        <v>25</v>
      </c>
      <c r="I548" s="1" t="s">
        <v>117</v>
      </c>
      <c r="J548" s="1">
        <v>42</v>
      </c>
      <c r="K548" s="1">
        <v>76</v>
      </c>
      <c r="L548" s="1">
        <v>18</v>
      </c>
      <c r="M548" s="1">
        <v>77</v>
      </c>
      <c r="N548" s="17">
        <v>0.78720000000000001</v>
      </c>
      <c r="O548" s="1">
        <v>196</v>
      </c>
      <c r="P548" s="15">
        <v>0.43959999999999999</v>
      </c>
      <c r="Q548" s="1">
        <v>136.47059999999999</v>
      </c>
      <c r="R548" s="1" t="s">
        <v>45</v>
      </c>
      <c r="S548" s="1">
        <v>410.05680000000001</v>
      </c>
      <c r="T548" s="1" t="s">
        <v>46</v>
      </c>
      <c r="U548" s="1" t="s">
        <v>56</v>
      </c>
    </row>
    <row r="549" spans="1:21" x14ac:dyDescent="0.3">
      <c r="A549" s="1" t="s">
        <v>348</v>
      </c>
      <c r="B549" s="2">
        <v>36901</v>
      </c>
      <c r="C549" s="1">
        <v>23</v>
      </c>
      <c r="D549" s="1">
        <v>172</v>
      </c>
      <c r="E549" s="1" t="s">
        <v>24</v>
      </c>
      <c r="F549" s="1" t="s">
        <v>87</v>
      </c>
      <c r="G549" s="1" t="s">
        <v>63</v>
      </c>
      <c r="H549" s="1" t="s">
        <v>25</v>
      </c>
      <c r="I549" s="1" t="s">
        <v>77</v>
      </c>
      <c r="J549" s="1">
        <v>110</v>
      </c>
      <c r="K549" s="1">
        <v>95</v>
      </c>
      <c r="L549" s="1">
        <v>89</v>
      </c>
      <c r="M549" s="1">
        <v>76</v>
      </c>
      <c r="N549" s="17">
        <v>0.11609999999999999</v>
      </c>
      <c r="O549" s="1">
        <v>213</v>
      </c>
      <c r="P549" s="15">
        <v>0.40189999999999998</v>
      </c>
      <c r="Q549" s="1">
        <v>106.09650000000001</v>
      </c>
      <c r="R549" s="1" t="s">
        <v>34</v>
      </c>
      <c r="S549" s="1">
        <v>583.56799999999998</v>
      </c>
      <c r="T549" s="1" t="s">
        <v>28</v>
      </c>
      <c r="U549" s="1" t="s">
        <v>102</v>
      </c>
    </row>
    <row r="550" spans="1:21" x14ac:dyDescent="0.3">
      <c r="A550" s="1" t="s">
        <v>349</v>
      </c>
      <c r="B550" s="2">
        <v>37677</v>
      </c>
      <c r="C550" s="1">
        <v>21</v>
      </c>
      <c r="D550" s="1">
        <v>163</v>
      </c>
      <c r="E550" s="1" t="s">
        <v>76</v>
      </c>
      <c r="F550" s="1" t="s">
        <v>84</v>
      </c>
      <c r="G550" s="1" t="s">
        <v>63</v>
      </c>
      <c r="H550" s="1" t="s">
        <v>54</v>
      </c>
      <c r="I550" s="1" t="s">
        <v>70</v>
      </c>
      <c r="J550" s="1">
        <v>11</v>
      </c>
      <c r="K550" s="1">
        <v>6</v>
      </c>
      <c r="L550" s="1">
        <v>95</v>
      </c>
      <c r="M550" s="1">
        <v>46</v>
      </c>
      <c r="N550" s="17">
        <v>0.57169999999999999</v>
      </c>
      <c r="O550" s="1">
        <v>209</v>
      </c>
      <c r="P550" s="15">
        <v>0.59509999999999996</v>
      </c>
      <c r="Q550" s="1">
        <v>8.6914999999999996</v>
      </c>
      <c r="R550" s="1" t="s">
        <v>34</v>
      </c>
      <c r="S550" s="1">
        <v>367.0668</v>
      </c>
      <c r="T550" s="1" t="s">
        <v>35</v>
      </c>
      <c r="U550" s="1" t="s">
        <v>56</v>
      </c>
    </row>
    <row r="551" spans="1:21" x14ac:dyDescent="0.3">
      <c r="A551" s="1" t="s">
        <v>350</v>
      </c>
      <c r="B551" s="2">
        <v>37718</v>
      </c>
      <c r="C551" s="1">
        <v>21</v>
      </c>
      <c r="D551" s="1">
        <v>185</v>
      </c>
      <c r="E551" s="1" t="s">
        <v>32</v>
      </c>
      <c r="F551" s="1" t="s">
        <v>84</v>
      </c>
      <c r="G551" s="1" t="s">
        <v>63</v>
      </c>
      <c r="H551" s="1" t="s">
        <v>25</v>
      </c>
      <c r="I551" s="1" t="s">
        <v>82</v>
      </c>
      <c r="J551" s="1">
        <v>34</v>
      </c>
      <c r="K551" s="1">
        <v>98</v>
      </c>
      <c r="L551" s="1">
        <v>22</v>
      </c>
      <c r="M551" s="1">
        <v>3</v>
      </c>
      <c r="N551" s="17">
        <v>0.21079999999999999</v>
      </c>
      <c r="O551" s="1">
        <v>202</v>
      </c>
      <c r="P551" s="15">
        <v>0.72</v>
      </c>
      <c r="Q551" s="1">
        <v>119.2638</v>
      </c>
      <c r="R551" s="1" t="s">
        <v>27</v>
      </c>
      <c r="S551" s="1">
        <v>361.2808</v>
      </c>
      <c r="T551" s="1" t="s">
        <v>35</v>
      </c>
      <c r="U551" s="1" t="s">
        <v>102</v>
      </c>
    </row>
    <row r="552" spans="1:21" x14ac:dyDescent="0.3">
      <c r="A552" s="1" t="s">
        <v>351</v>
      </c>
      <c r="B552" s="2">
        <v>36990</v>
      </c>
      <c r="C552" s="1">
        <v>23</v>
      </c>
      <c r="D552" s="1">
        <v>179</v>
      </c>
      <c r="E552" s="1" t="s">
        <v>32</v>
      </c>
      <c r="F552" s="1" t="s">
        <v>72</v>
      </c>
      <c r="G552" s="1" t="s">
        <v>53</v>
      </c>
      <c r="H552" s="1" t="s">
        <v>25</v>
      </c>
      <c r="I552" s="1" t="s">
        <v>33</v>
      </c>
      <c r="J552" s="1">
        <v>8</v>
      </c>
      <c r="K552" s="1">
        <v>12</v>
      </c>
      <c r="L552" s="1">
        <v>45</v>
      </c>
      <c r="M552" s="1">
        <v>13</v>
      </c>
      <c r="N552" s="17">
        <v>0.73170000000000002</v>
      </c>
      <c r="O552" s="1">
        <v>102</v>
      </c>
      <c r="P552" s="15">
        <v>0.49249999999999999</v>
      </c>
      <c r="Q552" s="1">
        <v>21.577000000000002</v>
      </c>
      <c r="R552" s="1" t="s">
        <v>27</v>
      </c>
      <c r="S552" s="1">
        <v>181.9442</v>
      </c>
      <c r="T552" s="1" t="s">
        <v>35</v>
      </c>
      <c r="U552" s="1" t="s">
        <v>56</v>
      </c>
    </row>
    <row r="553" spans="1:21" x14ac:dyDescent="0.3">
      <c r="A553" s="1" t="s">
        <v>352</v>
      </c>
      <c r="B553" s="2">
        <v>37172</v>
      </c>
      <c r="C553" s="1">
        <v>23</v>
      </c>
      <c r="D553" s="1">
        <v>179</v>
      </c>
      <c r="E553" s="1" t="s">
        <v>32</v>
      </c>
      <c r="F553" s="1" t="s">
        <v>42</v>
      </c>
      <c r="G553" s="1" t="s">
        <v>43</v>
      </c>
      <c r="H553" s="1" t="s">
        <v>54</v>
      </c>
      <c r="I553" s="1" t="s">
        <v>58</v>
      </c>
      <c r="J553" s="1">
        <v>77</v>
      </c>
      <c r="K553" s="1">
        <v>62</v>
      </c>
      <c r="L553" s="1">
        <v>29</v>
      </c>
      <c r="M553" s="1">
        <v>79</v>
      </c>
      <c r="N553" s="17">
        <v>0.64810000000000001</v>
      </c>
      <c r="O553" s="1">
        <v>200</v>
      </c>
      <c r="P553" s="15">
        <v>0.75009999999999999</v>
      </c>
      <c r="Q553" s="1">
        <v>102.4294</v>
      </c>
      <c r="R553" s="1" t="s">
        <v>34</v>
      </c>
      <c r="S553" s="1">
        <v>448.0582</v>
      </c>
      <c r="T553" s="1" t="s">
        <v>35</v>
      </c>
      <c r="U553" s="1" t="s">
        <v>102</v>
      </c>
    </row>
    <row r="554" spans="1:21" x14ac:dyDescent="0.3">
      <c r="A554" s="1" t="s">
        <v>353</v>
      </c>
      <c r="B554" s="2">
        <v>37908</v>
      </c>
      <c r="C554" s="1">
        <v>21</v>
      </c>
      <c r="D554" s="1">
        <v>161</v>
      </c>
      <c r="E554" s="1" t="s">
        <v>76</v>
      </c>
      <c r="F554" s="1" t="s">
        <v>98</v>
      </c>
      <c r="G554" s="1" t="s">
        <v>23</v>
      </c>
      <c r="H554" s="1" t="s">
        <v>25</v>
      </c>
      <c r="I554" s="1" t="s">
        <v>121</v>
      </c>
      <c r="J554" s="1">
        <v>50</v>
      </c>
      <c r="K554" s="1">
        <v>1</v>
      </c>
      <c r="L554" s="1">
        <v>67</v>
      </c>
      <c r="M554" s="1">
        <v>91</v>
      </c>
      <c r="N554" s="17">
        <v>0.70209999999999995</v>
      </c>
      <c r="O554" s="1">
        <v>334</v>
      </c>
      <c r="P554" s="15">
        <v>0.46710000000000002</v>
      </c>
      <c r="Q554" s="1">
        <v>2.1617000000000002</v>
      </c>
      <c r="R554" s="1" t="s">
        <v>27</v>
      </c>
      <c r="S554" s="1">
        <v>545.22919999999999</v>
      </c>
      <c r="T554" s="1" t="s">
        <v>46</v>
      </c>
      <c r="U554" s="1" t="s">
        <v>29</v>
      </c>
    </row>
    <row r="555" spans="1:21" x14ac:dyDescent="0.3">
      <c r="A555" s="1" t="s">
        <v>354</v>
      </c>
      <c r="B555" s="2">
        <v>37498</v>
      </c>
      <c r="C555" s="1">
        <v>22</v>
      </c>
      <c r="D555" s="1">
        <v>174</v>
      </c>
      <c r="E555" s="1" t="s">
        <v>24</v>
      </c>
      <c r="F555" s="1" t="s">
        <v>42</v>
      </c>
      <c r="G555" s="1" t="s">
        <v>43</v>
      </c>
      <c r="H555" s="1" t="s">
        <v>54</v>
      </c>
      <c r="I555" s="1" t="s">
        <v>119</v>
      </c>
      <c r="J555" s="1">
        <v>8</v>
      </c>
      <c r="K555" s="1">
        <v>82</v>
      </c>
      <c r="L555" s="1">
        <v>88</v>
      </c>
      <c r="M555" s="1">
        <v>85</v>
      </c>
      <c r="N555" s="17">
        <v>0.70909999999999995</v>
      </c>
      <c r="O555" s="1">
        <v>145</v>
      </c>
      <c r="P555" s="15">
        <v>0.5917</v>
      </c>
      <c r="Q555" s="1">
        <v>139.29159999999999</v>
      </c>
      <c r="R555" s="1" t="s">
        <v>27</v>
      </c>
      <c r="S555" s="1">
        <v>408.9008</v>
      </c>
      <c r="T555" s="1" t="s">
        <v>28</v>
      </c>
      <c r="U555" s="1" t="s">
        <v>113</v>
      </c>
    </row>
    <row r="556" spans="1:21" x14ac:dyDescent="0.3">
      <c r="A556" s="1" t="s">
        <v>355</v>
      </c>
      <c r="B556" s="2">
        <v>37241</v>
      </c>
      <c r="C556" s="1">
        <v>23</v>
      </c>
      <c r="D556" s="1">
        <v>181</v>
      </c>
      <c r="E556" s="1" t="s">
        <v>32</v>
      </c>
      <c r="F556" s="1" t="s">
        <v>31</v>
      </c>
      <c r="G556" s="1" t="s">
        <v>23</v>
      </c>
      <c r="H556" s="1" t="s">
        <v>54</v>
      </c>
      <c r="I556" s="1" t="s">
        <v>101</v>
      </c>
      <c r="J556" s="1">
        <v>134</v>
      </c>
      <c r="K556" s="1">
        <v>96</v>
      </c>
      <c r="L556" s="1">
        <v>28</v>
      </c>
      <c r="M556" s="1">
        <v>74</v>
      </c>
      <c r="N556" s="17">
        <v>0.40849999999999997</v>
      </c>
      <c r="O556" s="1">
        <v>150</v>
      </c>
      <c r="P556" s="15">
        <v>0.45119999999999999</v>
      </c>
      <c r="Q556" s="1">
        <v>134.5822</v>
      </c>
      <c r="R556" s="1" t="s">
        <v>45</v>
      </c>
      <c r="S556" s="1">
        <v>481.49970000000002</v>
      </c>
      <c r="T556" s="1" t="s">
        <v>35</v>
      </c>
      <c r="U556" s="1" t="s">
        <v>47</v>
      </c>
    </row>
    <row r="557" spans="1:21" x14ac:dyDescent="0.3">
      <c r="A557" s="1" t="s">
        <v>356</v>
      </c>
      <c r="B557" s="2">
        <v>37755</v>
      </c>
      <c r="C557" s="1">
        <v>21</v>
      </c>
      <c r="D557" s="1">
        <v>185</v>
      </c>
      <c r="E557" s="1" t="s">
        <v>32</v>
      </c>
      <c r="F557" s="1" t="s">
        <v>87</v>
      </c>
      <c r="G557" s="1" t="s">
        <v>63</v>
      </c>
      <c r="H557" s="1" t="s">
        <v>25</v>
      </c>
      <c r="I557" s="1" t="s">
        <v>60</v>
      </c>
      <c r="J557" s="1">
        <v>21</v>
      </c>
      <c r="K557" s="1">
        <v>73</v>
      </c>
      <c r="L557" s="1">
        <v>98</v>
      </c>
      <c r="M557" s="1">
        <v>85</v>
      </c>
      <c r="N557" s="17">
        <v>0.92010000000000003</v>
      </c>
      <c r="O557" s="1">
        <v>42</v>
      </c>
      <c r="P557" s="15">
        <v>0.61719999999999997</v>
      </c>
      <c r="Q557" s="1">
        <v>139.99449999999999</v>
      </c>
      <c r="R557" s="1" t="s">
        <v>45</v>
      </c>
      <c r="S557" s="1">
        <v>320.33730000000003</v>
      </c>
      <c r="T557" s="1" t="s">
        <v>28</v>
      </c>
      <c r="U557" s="1" t="s">
        <v>65</v>
      </c>
    </row>
    <row r="558" spans="1:21" x14ac:dyDescent="0.3">
      <c r="A558" s="1" t="s">
        <v>357</v>
      </c>
      <c r="B558" s="2">
        <v>37159</v>
      </c>
      <c r="C558" s="1">
        <v>23</v>
      </c>
      <c r="D558" s="1">
        <v>181</v>
      </c>
      <c r="E558" s="1" t="s">
        <v>32</v>
      </c>
      <c r="F558" s="1" t="s">
        <v>87</v>
      </c>
      <c r="G558" s="1" t="s">
        <v>63</v>
      </c>
      <c r="H558" s="1" t="s">
        <v>54</v>
      </c>
      <c r="I558" s="1" t="s">
        <v>123</v>
      </c>
      <c r="J558" s="1">
        <v>18</v>
      </c>
      <c r="K558" s="1">
        <v>42</v>
      </c>
      <c r="L558" s="1">
        <v>6</v>
      </c>
      <c r="M558" s="1">
        <v>27</v>
      </c>
      <c r="N558" s="17">
        <v>0.73409999999999997</v>
      </c>
      <c r="O558" s="1">
        <v>126</v>
      </c>
      <c r="P558" s="15">
        <v>0.70509999999999995</v>
      </c>
      <c r="Q558" s="1">
        <v>72.346699999999998</v>
      </c>
      <c r="R558" s="1" t="s">
        <v>34</v>
      </c>
      <c r="S558" s="1">
        <v>219.8192</v>
      </c>
      <c r="T558" s="1" t="s">
        <v>46</v>
      </c>
      <c r="U558" s="1" t="s">
        <v>113</v>
      </c>
    </row>
    <row r="559" spans="1:21" x14ac:dyDescent="0.3">
      <c r="A559" s="1" t="s">
        <v>358</v>
      </c>
      <c r="B559" s="2">
        <v>37401</v>
      </c>
      <c r="C559" s="1">
        <v>22</v>
      </c>
      <c r="D559" s="1">
        <v>173</v>
      </c>
      <c r="E559" s="1" t="s">
        <v>24</v>
      </c>
      <c r="F559" s="1" t="s">
        <v>79</v>
      </c>
      <c r="G559" s="1" t="s">
        <v>43</v>
      </c>
      <c r="H559" s="1" t="s">
        <v>54</v>
      </c>
      <c r="I559" s="1" t="s">
        <v>101</v>
      </c>
      <c r="J559" s="1">
        <v>100</v>
      </c>
      <c r="K559" s="1">
        <v>64</v>
      </c>
      <c r="L559" s="1">
        <v>16</v>
      </c>
      <c r="M559" s="1">
        <v>83</v>
      </c>
      <c r="N559" s="17">
        <v>0.65159999999999996</v>
      </c>
      <c r="O559" s="1">
        <v>357</v>
      </c>
      <c r="P559" s="15">
        <v>0.4052</v>
      </c>
      <c r="Q559" s="1">
        <v>106.5282</v>
      </c>
      <c r="R559" s="1" t="s">
        <v>34</v>
      </c>
      <c r="S559" s="1">
        <v>620.91679999999997</v>
      </c>
      <c r="T559" s="1" t="s">
        <v>46</v>
      </c>
      <c r="U559" s="1" t="s">
        <v>113</v>
      </c>
    </row>
    <row r="560" spans="1:21" x14ac:dyDescent="0.3">
      <c r="A560" s="1" t="s">
        <v>359</v>
      </c>
      <c r="B560" s="2">
        <v>37898</v>
      </c>
      <c r="C560" s="1">
        <v>21</v>
      </c>
      <c r="D560" s="1">
        <v>162</v>
      </c>
      <c r="E560" s="1" t="s">
        <v>76</v>
      </c>
      <c r="F560" s="1" t="s">
        <v>109</v>
      </c>
      <c r="G560" s="1" t="s">
        <v>63</v>
      </c>
      <c r="H560" s="1" t="s">
        <v>54</v>
      </c>
      <c r="I560" s="1" t="s">
        <v>85</v>
      </c>
      <c r="J560" s="1">
        <v>50</v>
      </c>
      <c r="K560" s="1">
        <v>29</v>
      </c>
      <c r="L560" s="1">
        <v>51</v>
      </c>
      <c r="M560" s="1">
        <v>56</v>
      </c>
      <c r="N560" s="17">
        <v>0.83540000000000003</v>
      </c>
      <c r="O560" s="1">
        <v>152</v>
      </c>
      <c r="P560" s="15">
        <v>0.4355</v>
      </c>
      <c r="Q560" s="1">
        <v>52.382300000000001</v>
      </c>
      <c r="R560" s="1" t="s">
        <v>45</v>
      </c>
      <c r="S560" s="1">
        <v>338.8809</v>
      </c>
      <c r="T560" s="1" t="s">
        <v>46</v>
      </c>
      <c r="U560" s="1" t="s">
        <v>56</v>
      </c>
    </row>
    <row r="561" spans="1:21" x14ac:dyDescent="0.3">
      <c r="A561" s="1" t="s">
        <v>360</v>
      </c>
      <c r="B561" s="2">
        <v>37135</v>
      </c>
      <c r="C561" s="1">
        <v>23</v>
      </c>
      <c r="D561" s="1">
        <v>170</v>
      </c>
      <c r="E561" s="1" t="s">
        <v>24</v>
      </c>
      <c r="F561" s="1" t="s">
        <v>38</v>
      </c>
      <c r="G561" s="1" t="s">
        <v>23</v>
      </c>
      <c r="H561" s="1" t="s">
        <v>54</v>
      </c>
      <c r="I561" s="1" t="s">
        <v>33</v>
      </c>
      <c r="J561" s="1">
        <v>16</v>
      </c>
      <c r="K561" s="1">
        <v>42</v>
      </c>
      <c r="L561" s="1">
        <v>56</v>
      </c>
      <c r="M561" s="1">
        <v>1</v>
      </c>
      <c r="N561" s="17">
        <v>0.64380000000000004</v>
      </c>
      <c r="O561" s="1">
        <v>37</v>
      </c>
      <c r="P561" s="15">
        <v>0.67859999999999998</v>
      </c>
      <c r="Q561" s="1">
        <v>68.743700000000004</v>
      </c>
      <c r="R561" s="1" t="s">
        <v>40</v>
      </c>
      <c r="S561" s="1">
        <v>153.88239999999999</v>
      </c>
      <c r="T561" s="1" t="s">
        <v>46</v>
      </c>
      <c r="U561" s="1" t="s">
        <v>65</v>
      </c>
    </row>
    <row r="562" spans="1:21" x14ac:dyDescent="0.3">
      <c r="A562" s="1" t="s">
        <v>361</v>
      </c>
      <c r="B562" s="2">
        <v>37636</v>
      </c>
      <c r="C562" s="1">
        <v>21</v>
      </c>
      <c r="D562" s="1">
        <v>170</v>
      </c>
      <c r="E562" s="1" t="s">
        <v>24</v>
      </c>
      <c r="F562" s="1" t="s">
        <v>62</v>
      </c>
      <c r="G562" s="1" t="s">
        <v>63</v>
      </c>
      <c r="H562" s="1" t="s">
        <v>25</v>
      </c>
      <c r="I562" s="1" t="s">
        <v>82</v>
      </c>
      <c r="J562" s="1">
        <v>127</v>
      </c>
      <c r="K562" s="1">
        <v>34</v>
      </c>
      <c r="L562" s="1">
        <v>77</v>
      </c>
      <c r="M562" s="1">
        <v>60</v>
      </c>
      <c r="N562" s="17">
        <v>0.42699999999999999</v>
      </c>
      <c r="O562" s="1">
        <v>287</v>
      </c>
      <c r="P562" s="15">
        <v>0.60360000000000003</v>
      </c>
      <c r="Q562" s="1">
        <v>48.332500000000003</v>
      </c>
      <c r="R562" s="1" t="s">
        <v>27</v>
      </c>
      <c r="S562" s="1">
        <v>586.02059999999994</v>
      </c>
      <c r="T562" s="1" t="s">
        <v>46</v>
      </c>
      <c r="U562" s="1" t="s">
        <v>36</v>
      </c>
    </row>
    <row r="563" spans="1:21" x14ac:dyDescent="0.3">
      <c r="A563" s="1" t="s">
        <v>362</v>
      </c>
      <c r="B563" s="2">
        <v>37489</v>
      </c>
      <c r="C563" s="1">
        <v>22</v>
      </c>
      <c r="D563" s="1">
        <v>180</v>
      </c>
      <c r="E563" s="1" t="s">
        <v>32</v>
      </c>
      <c r="F563" s="1" t="s">
        <v>22</v>
      </c>
      <c r="G563" s="1" t="s">
        <v>23</v>
      </c>
      <c r="H563" s="1" t="s">
        <v>54</v>
      </c>
      <c r="I563" s="1" t="s">
        <v>58</v>
      </c>
      <c r="J563" s="1">
        <v>8</v>
      </c>
      <c r="K563" s="1">
        <v>17</v>
      </c>
      <c r="L563" s="1">
        <v>15</v>
      </c>
      <c r="M563" s="1">
        <v>72</v>
      </c>
      <c r="N563" s="17">
        <v>0.1963</v>
      </c>
      <c r="O563" s="1">
        <v>289</v>
      </c>
      <c r="P563" s="15">
        <v>0.67490000000000006</v>
      </c>
      <c r="Q563" s="1">
        <v>20.636199999999999</v>
      </c>
      <c r="R563" s="1" t="s">
        <v>34</v>
      </c>
      <c r="S563" s="1">
        <v>401.71120000000002</v>
      </c>
      <c r="T563" s="1" t="s">
        <v>28</v>
      </c>
      <c r="U563" s="1" t="s">
        <v>113</v>
      </c>
    </row>
    <row r="564" spans="1:21" x14ac:dyDescent="0.3">
      <c r="A564" s="1" t="s">
        <v>363</v>
      </c>
      <c r="B564" s="2">
        <v>37282</v>
      </c>
      <c r="C564" s="1">
        <v>22</v>
      </c>
      <c r="D564" s="1">
        <v>185</v>
      </c>
      <c r="E564" s="1" t="s">
        <v>32</v>
      </c>
      <c r="F564" s="1" t="s">
        <v>87</v>
      </c>
      <c r="G564" s="1" t="s">
        <v>63</v>
      </c>
      <c r="H564" s="1" t="s">
        <v>54</v>
      </c>
      <c r="I564" s="1" t="s">
        <v>58</v>
      </c>
      <c r="J564" s="1">
        <v>114</v>
      </c>
      <c r="K564" s="1">
        <v>6</v>
      </c>
      <c r="L564" s="1">
        <v>64</v>
      </c>
      <c r="M564" s="1">
        <v>68</v>
      </c>
      <c r="N564" s="17">
        <v>0.90259999999999996</v>
      </c>
      <c r="O564" s="1">
        <v>50</v>
      </c>
      <c r="P564" s="15">
        <v>0.60580000000000001</v>
      </c>
      <c r="Q564" s="1">
        <v>10.6546</v>
      </c>
      <c r="R564" s="1" t="s">
        <v>34</v>
      </c>
      <c r="S564" s="1">
        <v>302.3184</v>
      </c>
      <c r="T564" s="1" t="s">
        <v>35</v>
      </c>
      <c r="U564" s="1" t="s">
        <v>29</v>
      </c>
    </row>
    <row r="565" spans="1:21" x14ac:dyDescent="0.3">
      <c r="A565" s="1" t="s">
        <v>364</v>
      </c>
      <c r="B565" s="2">
        <v>37881</v>
      </c>
      <c r="C565" s="1">
        <v>21</v>
      </c>
      <c r="D565" s="1">
        <v>178</v>
      </c>
      <c r="E565" s="1" t="s">
        <v>32</v>
      </c>
      <c r="F565" s="1" t="s">
        <v>31</v>
      </c>
      <c r="G565" s="1" t="s">
        <v>23</v>
      </c>
      <c r="H565" s="1" t="s">
        <v>25</v>
      </c>
      <c r="I565" s="1" t="s">
        <v>73</v>
      </c>
      <c r="J565" s="1">
        <v>110</v>
      </c>
      <c r="K565" s="1">
        <v>14</v>
      </c>
      <c r="L565" s="1">
        <v>39</v>
      </c>
      <c r="M565" s="1">
        <v>60</v>
      </c>
      <c r="N565" s="17">
        <v>0.55369999999999997</v>
      </c>
      <c r="O565" s="1">
        <v>353</v>
      </c>
      <c r="P565" s="15">
        <v>0.57310000000000005</v>
      </c>
      <c r="Q565" s="1">
        <v>21.301200000000001</v>
      </c>
      <c r="R565" s="1" t="s">
        <v>34</v>
      </c>
      <c r="S565" s="1">
        <v>577.67679999999996</v>
      </c>
      <c r="T565" s="1" t="s">
        <v>35</v>
      </c>
      <c r="U565" s="1" t="s">
        <v>56</v>
      </c>
    </row>
    <row r="566" spans="1:21" x14ac:dyDescent="0.3">
      <c r="A566" s="1" t="s">
        <v>365</v>
      </c>
      <c r="B566" s="2">
        <v>37165</v>
      </c>
      <c r="C566" s="1">
        <v>23</v>
      </c>
      <c r="D566" s="1">
        <v>185</v>
      </c>
      <c r="E566" s="1" t="s">
        <v>32</v>
      </c>
      <c r="F566" s="1" t="s">
        <v>79</v>
      </c>
      <c r="G566" s="1" t="s">
        <v>43</v>
      </c>
      <c r="H566" s="1" t="s">
        <v>25</v>
      </c>
      <c r="I566" s="1" t="s">
        <v>112</v>
      </c>
      <c r="J566" s="1">
        <v>91</v>
      </c>
      <c r="K566" s="1">
        <v>89</v>
      </c>
      <c r="L566" s="1">
        <v>52</v>
      </c>
      <c r="M566" s="1">
        <v>84</v>
      </c>
      <c r="N566" s="17">
        <v>0.38250000000000001</v>
      </c>
      <c r="O566" s="1">
        <v>220</v>
      </c>
      <c r="P566" s="15">
        <v>0.73160000000000003</v>
      </c>
      <c r="Q566" s="1">
        <v>122.7107</v>
      </c>
      <c r="R566" s="1" t="s">
        <v>34</v>
      </c>
      <c r="S566" s="1">
        <v>536.40409999999997</v>
      </c>
      <c r="T566" s="1" t="s">
        <v>28</v>
      </c>
      <c r="U566" s="1" t="s">
        <v>36</v>
      </c>
    </row>
    <row r="567" spans="1:21" x14ac:dyDescent="0.3">
      <c r="A567" s="1" t="s">
        <v>366</v>
      </c>
      <c r="B567" s="2">
        <v>37163</v>
      </c>
      <c r="C567" s="1">
        <v>23</v>
      </c>
      <c r="D567" s="1">
        <v>181</v>
      </c>
      <c r="E567" s="1" t="s">
        <v>32</v>
      </c>
      <c r="F567" s="1" t="s">
        <v>75</v>
      </c>
      <c r="G567" s="1" t="s">
        <v>53</v>
      </c>
      <c r="H567" s="1" t="s">
        <v>25</v>
      </c>
      <c r="I567" s="1" t="s">
        <v>96</v>
      </c>
      <c r="J567" s="1">
        <v>107</v>
      </c>
      <c r="K567" s="1">
        <v>76</v>
      </c>
      <c r="L567" s="1">
        <v>57</v>
      </c>
      <c r="M567" s="1">
        <v>59</v>
      </c>
      <c r="N567" s="17">
        <v>0.73909999999999998</v>
      </c>
      <c r="O567" s="1">
        <v>377</v>
      </c>
      <c r="P567" s="15">
        <v>0.70340000000000003</v>
      </c>
      <c r="Q567" s="1">
        <v>132.72810000000001</v>
      </c>
      <c r="R567" s="1" t="s">
        <v>40</v>
      </c>
      <c r="S567" s="1">
        <v>677.10249999999996</v>
      </c>
      <c r="T567" s="1" t="s">
        <v>35</v>
      </c>
      <c r="U567" s="1" t="s">
        <v>113</v>
      </c>
    </row>
    <row r="568" spans="1:21" x14ac:dyDescent="0.3">
      <c r="A568" s="1" t="s">
        <v>367</v>
      </c>
      <c r="B568" s="2">
        <v>37672</v>
      </c>
      <c r="C568" s="1">
        <v>21</v>
      </c>
      <c r="D568" s="1">
        <v>160</v>
      </c>
      <c r="E568" s="1" t="s">
        <v>76</v>
      </c>
      <c r="F568" s="1" t="s">
        <v>22</v>
      </c>
      <c r="G568" s="1" t="s">
        <v>23</v>
      </c>
      <c r="H568" s="1" t="s">
        <v>25</v>
      </c>
      <c r="I568" s="1" t="s">
        <v>44</v>
      </c>
      <c r="J568" s="1">
        <v>101</v>
      </c>
      <c r="K568" s="1">
        <v>21</v>
      </c>
      <c r="L568" s="1">
        <v>75</v>
      </c>
      <c r="M568" s="1">
        <v>17</v>
      </c>
      <c r="N568" s="17">
        <v>0.32550000000000001</v>
      </c>
      <c r="O568" s="1">
        <v>115</v>
      </c>
      <c r="P568" s="15">
        <v>0.77769999999999995</v>
      </c>
      <c r="Q568" s="1">
        <v>27.557099999999998</v>
      </c>
      <c r="R568" s="1" t="s">
        <v>40</v>
      </c>
      <c r="S568" s="1">
        <v>330.32319999999999</v>
      </c>
      <c r="T568" s="1" t="s">
        <v>28</v>
      </c>
      <c r="U568" s="1" t="s">
        <v>113</v>
      </c>
    </row>
    <row r="569" spans="1:21" x14ac:dyDescent="0.3">
      <c r="A569" s="1" t="s">
        <v>368</v>
      </c>
      <c r="B569" s="2">
        <v>37351</v>
      </c>
      <c r="C569" s="1">
        <v>22</v>
      </c>
      <c r="D569" s="1">
        <v>163</v>
      </c>
      <c r="E569" s="1" t="s">
        <v>76</v>
      </c>
      <c r="F569" s="1" t="s">
        <v>31</v>
      </c>
      <c r="G569" s="1" t="s">
        <v>23</v>
      </c>
      <c r="H569" s="1" t="s">
        <v>54</v>
      </c>
      <c r="I569" s="1" t="s">
        <v>85</v>
      </c>
      <c r="J569" s="1">
        <v>77</v>
      </c>
      <c r="K569" s="1">
        <v>80</v>
      </c>
      <c r="L569" s="1">
        <v>70</v>
      </c>
      <c r="M569" s="1">
        <v>70</v>
      </c>
      <c r="N569" s="17">
        <v>0.44340000000000002</v>
      </c>
      <c r="O569" s="1">
        <v>20</v>
      </c>
      <c r="P569" s="15">
        <v>0.58750000000000002</v>
      </c>
      <c r="Q569" s="1">
        <v>115.31319999999999</v>
      </c>
      <c r="R569" s="1" t="s">
        <v>40</v>
      </c>
      <c r="S569" s="1">
        <v>317.3109</v>
      </c>
      <c r="T569" s="1" t="s">
        <v>46</v>
      </c>
      <c r="U569" s="1" t="s">
        <v>29</v>
      </c>
    </row>
    <row r="570" spans="1:21" x14ac:dyDescent="0.3">
      <c r="A570" s="1" t="s">
        <v>369</v>
      </c>
      <c r="B570" s="2">
        <v>37799</v>
      </c>
      <c r="C570" s="1">
        <v>21</v>
      </c>
      <c r="D570" s="1">
        <v>179</v>
      </c>
      <c r="E570" s="1" t="s">
        <v>32</v>
      </c>
      <c r="F570" s="1" t="s">
        <v>22</v>
      </c>
      <c r="G570" s="1" t="s">
        <v>23</v>
      </c>
      <c r="H570" s="1" t="s">
        <v>25</v>
      </c>
      <c r="I570" s="1" t="s">
        <v>105</v>
      </c>
      <c r="J570" s="1">
        <v>114</v>
      </c>
      <c r="K570" s="1">
        <v>55</v>
      </c>
      <c r="L570" s="1">
        <v>61</v>
      </c>
      <c r="M570" s="1">
        <v>78</v>
      </c>
      <c r="N570" s="17">
        <v>0.36480000000000001</v>
      </c>
      <c r="O570" s="1">
        <v>386</v>
      </c>
      <c r="P570" s="15">
        <v>0.4798</v>
      </c>
      <c r="Q570" s="1">
        <v>75.214100000000002</v>
      </c>
      <c r="R570" s="1" t="s">
        <v>27</v>
      </c>
      <c r="S570" s="1">
        <v>693.79459999999995</v>
      </c>
      <c r="T570" s="1" t="s">
        <v>28</v>
      </c>
      <c r="U570" s="1" t="s">
        <v>36</v>
      </c>
    </row>
    <row r="571" spans="1:21" x14ac:dyDescent="0.3">
      <c r="A571" s="1" t="s">
        <v>370</v>
      </c>
      <c r="B571" s="2">
        <v>37463</v>
      </c>
      <c r="C571" s="1">
        <v>22</v>
      </c>
      <c r="D571" s="1">
        <v>173</v>
      </c>
      <c r="E571" s="1" t="s">
        <v>24</v>
      </c>
      <c r="F571" s="1" t="s">
        <v>42</v>
      </c>
      <c r="G571" s="1" t="s">
        <v>43</v>
      </c>
      <c r="H571" s="1" t="s">
        <v>54</v>
      </c>
      <c r="I571" s="1" t="s">
        <v>64</v>
      </c>
      <c r="J571" s="1">
        <v>25</v>
      </c>
      <c r="K571" s="1">
        <v>85</v>
      </c>
      <c r="L571" s="1">
        <v>2</v>
      </c>
      <c r="M571" s="1">
        <v>47</v>
      </c>
      <c r="N571" s="17">
        <v>0.13589999999999999</v>
      </c>
      <c r="O571" s="1">
        <v>375</v>
      </c>
      <c r="P571" s="15">
        <v>0.81789999999999996</v>
      </c>
      <c r="Q571" s="1">
        <v>96.278899999999993</v>
      </c>
      <c r="R571" s="1" t="s">
        <v>27</v>
      </c>
      <c r="S571" s="1">
        <v>534.48379999999997</v>
      </c>
      <c r="T571" s="1" t="s">
        <v>46</v>
      </c>
      <c r="U571" s="1" t="s">
        <v>65</v>
      </c>
    </row>
    <row r="572" spans="1:21" x14ac:dyDescent="0.3">
      <c r="A572" s="1" t="s">
        <v>371</v>
      </c>
      <c r="B572" s="2">
        <v>37542</v>
      </c>
      <c r="C572" s="1">
        <v>22</v>
      </c>
      <c r="D572" s="1">
        <v>162</v>
      </c>
      <c r="E572" s="1" t="s">
        <v>76</v>
      </c>
      <c r="F572" s="1" t="s">
        <v>75</v>
      </c>
      <c r="G572" s="1" t="s">
        <v>53</v>
      </c>
      <c r="H572" s="1" t="s">
        <v>25</v>
      </c>
      <c r="I572" s="1" t="s">
        <v>73</v>
      </c>
      <c r="J572" s="1">
        <v>79</v>
      </c>
      <c r="K572" s="1">
        <v>79</v>
      </c>
      <c r="L572" s="1">
        <v>17</v>
      </c>
      <c r="M572" s="1">
        <v>55</v>
      </c>
      <c r="N572" s="17">
        <v>0.41449999999999998</v>
      </c>
      <c r="O572" s="1">
        <v>162</v>
      </c>
      <c r="P572" s="15">
        <v>0.79749999999999999</v>
      </c>
      <c r="Q572" s="1">
        <v>111.5192</v>
      </c>
      <c r="R572" s="1" t="s">
        <v>40</v>
      </c>
      <c r="S572" s="1">
        <v>392.12200000000001</v>
      </c>
      <c r="T572" s="1" t="s">
        <v>35</v>
      </c>
      <c r="U572" s="1" t="s">
        <v>47</v>
      </c>
    </row>
    <row r="573" spans="1:21" x14ac:dyDescent="0.3">
      <c r="A573" s="1" t="s">
        <v>372</v>
      </c>
      <c r="B573" s="2">
        <v>36910</v>
      </c>
      <c r="C573" s="1">
        <v>23</v>
      </c>
      <c r="D573" s="1">
        <v>177</v>
      </c>
      <c r="E573" s="1" t="s">
        <v>32</v>
      </c>
      <c r="F573" s="1" t="s">
        <v>75</v>
      </c>
      <c r="G573" s="1" t="s">
        <v>53</v>
      </c>
      <c r="H573" s="1" t="s">
        <v>25</v>
      </c>
      <c r="I573" s="1" t="s">
        <v>101</v>
      </c>
      <c r="J573" s="1">
        <v>67</v>
      </c>
      <c r="K573" s="1">
        <v>91</v>
      </c>
      <c r="L573" s="1">
        <v>62</v>
      </c>
      <c r="M573" s="1">
        <v>62</v>
      </c>
      <c r="N573" s="17">
        <v>0.71430000000000005</v>
      </c>
      <c r="O573" s="1">
        <v>384</v>
      </c>
      <c r="P573" s="15">
        <v>0.5444</v>
      </c>
      <c r="Q573" s="1">
        <v>155.22989999999999</v>
      </c>
      <c r="R573" s="1" t="s">
        <v>27</v>
      </c>
      <c r="S573" s="1">
        <v>667.05870000000004</v>
      </c>
      <c r="T573" s="1" t="s">
        <v>35</v>
      </c>
      <c r="U573" s="1" t="s">
        <v>47</v>
      </c>
    </row>
    <row r="574" spans="1:21" x14ac:dyDescent="0.3">
      <c r="A574" s="1" t="s">
        <v>373</v>
      </c>
      <c r="B574" s="2">
        <v>37933</v>
      </c>
      <c r="C574" s="1">
        <v>21</v>
      </c>
      <c r="D574" s="1">
        <v>176</v>
      </c>
      <c r="E574" s="1" t="s">
        <v>32</v>
      </c>
      <c r="F574" s="1" t="s">
        <v>75</v>
      </c>
      <c r="G574" s="1" t="s">
        <v>53</v>
      </c>
      <c r="H574" s="1" t="s">
        <v>54</v>
      </c>
      <c r="I574" s="1" t="s">
        <v>123</v>
      </c>
      <c r="J574" s="1">
        <v>8</v>
      </c>
      <c r="K574" s="1">
        <v>90</v>
      </c>
      <c r="L574" s="1">
        <v>20</v>
      </c>
      <c r="M574" s="1">
        <v>52</v>
      </c>
      <c r="N574" s="17">
        <v>0.25069999999999998</v>
      </c>
      <c r="O574" s="1">
        <v>379</v>
      </c>
      <c r="P574" s="15">
        <v>0.83030000000000004</v>
      </c>
      <c r="Q574" s="1">
        <v>112.4755</v>
      </c>
      <c r="R574" s="1" t="s">
        <v>27</v>
      </c>
      <c r="S574" s="1">
        <v>549.82100000000003</v>
      </c>
      <c r="T574" s="1" t="s">
        <v>46</v>
      </c>
      <c r="U574" s="1" t="s">
        <v>29</v>
      </c>
    </row>
    <row r="575" spans="1:21" x14ac:dyDescent="0.3">
      <c r="A575" s="1" t="s">
        <v>374</v>
      </c>
      <c r="B575" s="2">
        <v>37760</v>
      </c>
      <c r="C575" s="1">
        <v>21</v>
      </c>
      <c r="D575" s="1">
        <v>181</v>
      </c>
      <c r="E575" s="1" t="s">
        <v>32</v>
      </c>
      <c r="F575" s="1" t="s">
        <v>62</v>
      </c>
      <c r="G575" s="1" t="s">
        <v>63</v>
      </c>
      <c r="H575" s="1" t="s">
        <v>25</v>
      </c>
      <c r="I575" s="1" t="s">
        <v>80</v>
      </c>
      <c r="J575" s="1">
        <v>81</v>
      </c>
      <c r="K575" s="1">
        <v>71</v>
      </c>
      <c r="L575" s="1">
        <v>98</v>
      </c>
      <c r="M575" s="1">
        <v>78</v>
      </c>
      <c r="N575" s="17">
        <v>0.94579999999999997</v>
      </c>
      <c r="O575" s="1">
        <v>259</v>
      </c>
      <c r="P575" s="15">
        <v>0.73609999999999998</v>
      </c>
      <c r="Q575" s="1">
        <v>137.3151</v>
      </c>
      <c r="R575" s="1" t="s">
        <v>34</v>
      </c>
      <c r="S575" s="1">
        <v>587.76189999999997</v>
      </c>
      <c r="T575" s="1" t="s">
        <v>28</v>
      </c>
      <c r="U575" s="1" t="s">
        <v>56</v>
      </c>
    </row>
    <row r="576" spans="1:21" x14ac:dyDescent="0.3">
      <c r="A576" s="1" t="s">
        <v>375</v>
      </c>
      <c r="B576" s="2">
        <v>37003</v>
      </c>
      <c r="C576" s="1">
        <v>23</v>
      </c>
      <c r="D576" s="1">
        <v>162</v>
      </c>
      <c r="E576" s="1" t="s">
        <v>76</v>
      </c>
      <c r="F576" s="1" t="s">
        <v>79</v>
      </c>
      <c r="G576" s="1" t="s">
        <v>43</v>
      </c>
      <c r="H576" s="1" t="s">
        <v>25</v>
      </c>
      <c r="I576" s="1" t="s">
        <v>88</v>
      </c>
      <c r="J576" s="1">
        <v>84</v>
      </c>
      <c r="K576" s="1">
        <v>58</v>
      </c>
      <c r="L576" s="1">
        <v>24</v>
      </c>
      <c r="M576" s="1">
        <v>27</v>
      </c>
      <c r="N576" s="17">
        <v>0.66720000000000002</v>
      </c>
      <c r="O576" s="1">
        <v>156</v>
      </c>
      <c r="P576" s="15">
        <v>0.59489999999999998</v>
      </c>
      <c r="Q576" s="1">
        <v>96.5642</v>
      </c>
      <c r="R576" s="1" t="s">
        <v>27</v>
      </c>
      <c r="S576" s="1">
        <v>349.31209999999999</v>
      </c>
      <c r="T576" s="1" t="s">
        <v>35</v>
      </c>
      <c r="U576" s="1" t="s">
        <v>102</v>
      </c>
    </row>
    <row r="577" spans="1:21" x14ac:dyDescent="0.3">
      <c r="A577" s="1" t="s">
        <v>376</v>
      </c>
      <c r="B577" s="2">
        <v>37021</v>
      </c>
      <c r="C577" s="1">
        <v>23</v>
      </c>
      <c r="D577" s="1">
        <v>180</v>
      </c>
      <c r="E577" s="1" t="s">
        <v>32</v>
      </c>
      <c r="F577" s="1" t="s">
        <v>42</v>
      </c>
      <c r="G577" s="1" t="s">
        <v>43</v>
      </c>
      <c r="H577" s="1" t="s">
        <v>25</v>
      </c>
      <c r="I577" s="1" t="s">
        <v>50</v>
      </c>
      <c r="J577" s="1">
        <v>54</v>
      </c>
      <c r="K577" s="1">
        <v>51</v>
      </c>
      <c r="L577" s="1">
        <v>30</v>
      </c>
      <c r="M577" s="1">
        <v>69</v>
      </c>
      <c r="N577" s="17">
        <v>0.35339999999999999</v>
      </c>
      <c r="O577" s="1">
        <v>243</v>
      </c>
      <c r="P577" s="15">
        <v>0.81699999999999995</v>
      </c>
      <c r="Q577" s="1">
        <v>68.725700000000003</v>
      </c>
      <c r="R577" s="1" t="s">
        <v>45</v>
      </c>
      <c r="S577" s="1">
        <v>447.86040000000003</v>
      </c>
      <c r="T577" s="1" t="s">
        <v>35</v>
      </c>
      <c r="U577" s="1" t="s">
        <v>113</v>
      </c>
    </row>
    <row r="578" spans="1:21" x14ac:dyDescent="0.3">
      <c r="A578" s="1" t="s">
        <v>377</v>
      </c>
      <c r="B578" s="2">
        <v>37342</v>
      </c>
      <c r="C578" s="1">
        <v>22</v>
      </c>
      <c r="D578" s="1">
        <v>177</v>
      </c>
      <c r="E578" s="1" t="s">
        <v>32</v>
      </c>
      <c r="F578" s="1" t="s">
        <v>22</v>
      </c>
      <c r="G578" s="1" t="s">
        <v>23</v>
      </c>
      <c r="H578" s="1" t="s">
        <v>25</v>
      </c>
      <c r="I578" s="1" t="s">
        <v>110</v>
      </c>
      <c r="J578" s="1">
        <v>120</v>
      </c>
      <c r="K578" s="1">
        <v>85</v>
      </c>
      <c r="L578" s="1">
        <v>30</v>
      </c>
      <c r="M578" s="1">
        <v>64</v>
      </c>
      <c r="N578" s="17">
        <v>0.89829999999999999</v>
      </c>
      <c r="O578" s="1">
        <v>120</v>
      </c>
      <c r="P578" s="15">
        <v>0.83440000000000003</v>
      </c>
      <c r="Q578" s="1">
        <v>161.5453</v>
      </c>
      <c r="R578" s="1" t="s">
        <v>40</v>
      </c>
      <c r="S578" s="1">
        <v>420.4427</v>
      </c>
      <c r="T578" s="1" t="s">
        <v>28</v>
      </c>
      <c r="U578" s="1" t="s">
        <v>65</v>
      </c>
    </row>
    <row r="579" spans="1:21" x14ac:dyDescent="0.3">
      <c r="A579" s="1" t="s">
        <v>378</v>
      </c>
      <c r="B579" s="2">
        <v>37699</v>
      </c>
      <c r="C579" s="1">
        <v>21</v>
      </c>
      <c r="D579" s="1">
        <v>160</v>
      </c>
      <c r="E579" s="1" t="s">
        <v>76</v>
      </c>
      <c r="F579" s="1" t="s">
        <v>49</v>
      </c>
      <c r="G579" s="1" t="s">
        <v>43</v>
      </c>
      <c r="H579" s="1" t="s">
        <v>25</v>
      </c>
      <c r="I579" s="1" t="s">
        <v>94</v>
      </c>
      <c r="J579" s="1">
        <v>32</v>
      </c>
      <c r="K579" s="1">
        <v>74</v>
      </c>
      <c r="L579" s="1">
        <v>73</v>
      </c>
      <c r="M579" s="1">
        <v>22</v>
      </c>
      <c r="N579" s="17">
        <v>0.86629999999999996</v>
      </c>
      <c r="O579" s="1">
        <v>362</v>
      </c>
      <c r="P579" s="15">
        <v>0.46410000000000001</v>
      </c>
      <c r="Q579" s="1">
        <v>138.8527</v>
      </c>
      <c r="R579" s="1" t="s">
        <v>34</v>
      </c>
      <c r="S579" s="1">
        <v>565.21040000000005</v>
      </c>
      <c r="T579" s="1" t="s">
        <v>28</v>
      </c>
      <c r="U579" s="1" t="s">
        <v>65</v>
      </c>
    </row>
    <row r="580" spans="1:21" x14ac:dyDescent="0.3">
      <c r="A580" s="1" t="s">
        <v>379</v>
      </c>
      <c r="B580" s="2">
        <v>37003</v>
      </c>
      <c r="C580" s="1">
        <v>23</v>
      </c>
      <c r="D580" s="1">
        <v>165</v>
      </c>
      <c r="E580" s="1" t="s">
        <v>76</v>
      </c>
      <c r="F580" s="1" t="s">
        <v>72</v>
      </c>
      <c r="G580" s="1" t="s">
        <v>53</v>
      </c>
      <c r="H580" s="1" t="s">
        <v>54</v>
      </c>
      <c r="I580" s="1" t="s">
        <v>50</v>
      </c>
      <c r="J580" s="1">
        <v>44</v>
      </c>
      <c r="K580" s="1">
        <v>8</v>
      </c>
      <c r="L580" s="1">
        <v>11</v>
      </c>
      <c r="M580" s="1">
        <v>73</v>
      </c>
      <c r="N580" s="17">
        <v>0.39779999999999999</v>
      </c>
      <c r="O580" s="1">
        <v>195</v>
      </c>
      <c r="P580" s="15">
        <v>0.4577</v>
      </c>
      <c r="Q580" s="1">
        <v>10.7211</v>
      </c>
      <c r="R580" s="1" t="s">
        <v>34</v>
      </c>
      <c r="S580" s="1">
        <v>331.77550000000002</v>
      </c>
      <c r="T580" s="1" t="s">
        <v>28</v>
      </c>
      <c r="U580" s="1" t="s">
        <v>47</v>
      </c>
    </row>
    <row r="581" spans="1:21" x14ac:dyDescent="0.3">
      <c r="A581" s="1" t="s">
        <v>380</v>
      </c>
      <c r="B581" s="2">
        <v>37814</v>
      </c>
      <c r="C581" s="1">
        <v>21</v>
      </c>
      <c r="D581" s="1">
        <v>175</v>
      </c>
      <c r="E581" s="1" t="s">
        <v>32</v>
      </c>
      <c r="F581" s="1" t="s">
        <v>38</v>
      </c>
      <c r="G581" s="1" t="s">
        <v>23</v>
      </c>
      <c r="H581" s="1" t="s">
        <v>54</v>
      </c>
      <c r="I581" s="1" t="s">
        <v>94</v>
      </c>
      <c r="J581" s="1">
        <v>104</v>
      </c>
      <c r="K581" s="1">
        <v>16</v>
      </c>
      <c r="L581" s="1">
        <v>57</v>
      </c>
      <c r="M581" s="1">
        <v>81</v>
      </c>
      <c r="N581" s="17">
        <v>0.25180000000000002</v>
      </c>
      <c r="O581" s="1">
        <v>384</v>
      </c>
      <c r="P581" s="15">
        <v>0.54090000000000005</v>
      </c>
      <c r="Q581" s="1">
        <v>20.141500000000001</v>
      </c>
      <c r="R581" s="1" t="s">
        <v>34</v>
      </c>
      <c r="S581" s="1">
        <v>642.79269999999997</v>
      </c>
      <c r="T581" s="1" t="s">
        <v>46</v>
      </c>
      <c r="U581" s="1" t="s">
        <v>102</v>
      </c>
    </row>
    <row r="582" spans="1:21" x14ac:dyDescent="0.3">
      <c r="A582" s="1" t="s">
        <v>381</v>
      </c>
      <c r="B582" s="2">
        <v>37571</v>
      </c>
      <c r="C582" s="1">
        <v>22</v>
      </c>
      <c r="D582" s="1">
        <v>164</v>
      </c>
      <c r="E582" s="1" t="s">
        <v>76</v>
      </c>
      <c r="F582" s="1" t="s">
        <v>98</v>
      </c>
      <c r="G582" s="1" t="s">
        <v>23</v>
      </c>
      <c r="H582" s="1" t="s">
        <v>54</v>
      </c>
      <c r="I582" s="1" t="s">
        <v>119</v>
      </c>
      <c r="J582" s="1">
        <v>67</v>
      </c>
      <c r="K582" s="1">
        <v>78</v>
      </c>
      <c r="L582" s="1">
        <v>49</v>
      </c>
      <c r="M582" s="1">
        <v>12</v>
      </c>
      <c r="N582" s="17">
        <v>0.17380000000000001</v>
      </c>
      <c r="O582" s="1">
        <v>259</v>
      </c>
      <c r="P582" s="15">
        <v>0.52629999999999999</v>
      </c>
      <c r="Q582" s="1">
        <v>91.204300000000003</v>
      </c>
      <c r="R582" s="1" t="s">
        <v>34</v>
      </c>
      <c r="S582" s="1">
        <v>465.32010000000002</v>
      </c>
      <c r="T582" s="1" t="s">
        <v>46</v>
      </c>
      <c r="U582" s="1" t="s">
        <v>36</v>
      </c>
    </row>
    <row r="583" spans="1:21" x14ac:dyDescent="0.3">
      <c r="A583" s="1" t="s">
        <v>382</v>
      </c>
      <c r="B583" s="2">
        <v>37046</v>
      </c>
      <c r="C583" s="1">
        <v>23</v>
      </c>
      <c r="D583" s="1">
        <v>183</v>
      </c>
      <c r="E583" s="1" t="s">
        <v>32</v>
      </c>
      <c r="F583" s="1" t="s">
        <v>72</v>
      </c>
      <c r="G583" s="1" t="s">
        <v>53</v>
      </c>
      <c r="H583" s="1" t="s">
        <v>25</v>
      </c>
      <c r="I583" s="1" t="s">
        <v>33</v>
      </c>
      <c r="J583" s="1">
        <v>122</v>
      </c>
      <c r="K583" s="1">
        <v>58</v>
      </c>
      <c r="L583" s="1">
        <v>77</v>
      </c>
      <c r="M583" s="1">
        <v>22</v>
      </c>
      <c r="N583" s="17">
        <v>0.33460000000000001</v>
      </c>
      <c r="O583" s="1">
        <v>16</v>
      </c>
      <c r="P583" s="15">
        <v>0.80230000000000001</v>
      </c>
      <c r="Q583" s="1">
        <v>77.820499999999996</v>
      </c>
      <c r="R583" s="1" t="s">
        <v>45</v>
      </c>
      <c r="S583" s="1">
        <v>296.36689999999999</v>
      </c>
      <c r="T583" s="1" t="s">
        <v>46</v>
      </c>
      <c r="U583" s="1" t="s">
        <v>113</v>
      </c>
    </row>
    <row r="584" spans="1:21" x14ac:dyDescent="0.3">
      <c r="A584" s="1" t="s">
        <v>383</v>
      </c>
      <c r="B584" s="2">
        <v>37487</v>
      </c>
      <c r="C584" s="1">
        <v>22</v>
      </c>
      <c r="D584" s="1">
        <v>167</v>
      </c>
      <c r="E584" s="1" t="s">
        <v>76</v>
      </c>
      <c r="F584" s="1" t="s">
        <v>49</v>
      </c>
      <c r="G584" s="1" t="s">
        <v>43</v>
      </c>
      <c r="H584" s="1" t="s">
        <v>25</v>
      </c>
      <c r="I584" s="1" t="s">
        <v>119</v>
      </c>
      <c r="J584" s="1">
        <v>76</v>
      </c>
      <c r="K584" s="1">
        <v>10</v>
      </c>
      <c r="L584" s="1">
        <v>37</v>
      </c>
      <c r="M584" s="1">
        <v>2</v>
      </c>
      <c r="N584" s="17">
        <v>0.96760000000000002</v>
      </c>
      <c r="O584" s="1">
        <v>96</v>
      </c>
      <c r="P584" s="15">
        <v>0.84179999999999999</v>
      </c>
      <c r="Q584" s="1">
        <v>19.597300000000001</v>
      </c>
      <c r="R584" s="1" t="s">
        <v>34</v>
      </c>
      <c r="S584" s="1">
        <v>222.8194</v>
      </c>
      <c r="T584" s="1" t="s">
        <v>46</v>
      </c>
      <c r="U584" s="1" t="s">
        <v>36</v>
      </c>
    </row>
    <row r="585" spans="1:21" x14ac:dyDescent="0.3">
      <c r="A585" s="1" t="s">
        <v>384</v>
      </c>
      <c r="B585" s="2">
        <v>37191</v>
      </c>
      <c r="C585" s="1">
        <v>23</v>
      </c>
      <c r="D585" s="1">
        <v>178</v>
      </c>
      <c r="E585" s="1" t="s">
        <v>32</v>
      </c>
      <c r="F585" s="1" t="s">
        <v>104</v>
      </c>
      <c r="G585" s="1" t="s">
        <v>53</v>
      </c>
      <c r="H585" s="1" t="s">
        <v>54</v>
      </c>
      <c r="I585" s="1" t="s">
        <v>101</v>
      </c>
      <c r="J585" s="1">
        <v>7</v>
      </c>
      <c r="K585" s="1">
        <v>76</v>
      </c>
      <c r="L585" s="1">
        <v>24</v>
      </c>
      <c r="M585" s="1">
        <v>27</v>
      </c>
      <c r="N585" s="17">
        <v>0.70169999999999999</v>
      </c>
      <c r="O585" s="1">
        <v>94</v>
      </c>
      <c r="P585" s="15">
        <v>0.63300000000000001</v>
      </c>
      <c r="Q585" s="1">
        <v>129.99289999999999</v>
      </c>
      <c r="R585" s="1" t="s">
        <v>40</v>
      </c>
      <c r="S585" s="1">
        <v>230.22470000000001</v>
      </c>
      <c r="T585" s="1" t="s">
        <v>35</v>
      </c>
      <c r="U585" s="1" t="s">
        <v>56</v>
      </c>
    </row>
    <row r="586" spans="1:21" x14ac:dyDescent="0.3">
      <c r="A586" s="1" t="s">
        <v>385</v>
      </c>
      <c r="B586" s="2">
        <v>37555</v>
      </c>
      <c r="C586" s="1">
        <v>22</v>
      </c>
      <c r="D586" s="1">
        <v>180</v>
      </c>
      <c r="E586" s="1" t="s">
        <v>32</v>
      </c>
      <c r="F586" s="1" t="s">
        <v>104</v>
      </c>
      <c r="G586" s="1" t="s">
        <v>53</v>
      </c>
      <c r="H586" s="1" t="s">
        <v>25</v>
      </c>
      <c r="I586" s="1" t="s">
        <v>90</v>
      </c>
      <c r="J586" s="1">
        <v>125</v>
      </c>
      <c r="K586" s="1">
        <v>27</v>
      </c>
      <c r="L586" s="1">
        <v>55</v>
      </c>
      <c r="M586" s="1">
        <v>18</v>
      </c>
      <c r="N586" s="17">
        <v>0.42880000000000001</v>
      </c>
      <c r="O586" s="1">
        <v>262</v>
      </c>
      <c r="P586" s="15">
        <v>0.69399999999999995</v>
      </c>
      <c r="Q586" s="1">
        <v>38.677599999999998</v>
      </c>
      <c r="R586" s="1" t="s">
        <v>27</v>
      </c>
      <c r="S586" s="1">
        <v>488.51280000000003</v>
      </c>
      <c r="T586" s="1" t="s">
        <v>46</v>
      </c>
      <c r="U586" s="1" t="s">
        <v>47</v>
      </c>
    </row>
    <row r="587" spans="1:21" x14ac:dyDescent="0.3">
      <c r="A587" s="1" t="s">
        <v>386</v>
      </c>
      <c r="B587" s="2">
        <v>37598</v>
      </c>
      <c r="C587" s="1">
        <v>22</v>
      </c>
      <c r="D587" s="1">
        <v>171</v>
      </c>
      <c r="E587" s="1" t="s">
        <v>24</v>
      </c>
      <c r="F587" s="1" t="s">
        <v>87</v>
      </c>
      <c r="G587" s="1" t="s">
        <v>63</v>
      </c>
      <c r="H587" s="1" t="s">
        <v>54</v>
      </c>
      <c r="I587" s="1" t="s">
        <v>121</v>
      </c>
      <c r="J587" s="1">
        <v>133</v>
      </c>
      <c r="K587" s="1">
        <v>2</v>
      </c>
      <c r="L587" s="1">
        <v>88</v>
      </c>
      <c r="M587" s="1">
        <v>45</v>
      </c>
      <c r="N587" s="17">
        <v>0.56310000000000004</v>
      </c>
      <c r="O587" s="1">
        <v>93</v>
      </c>
      <c r="P587" s="15">
        <v>0.52639999999999998</v>
      </c>
      <c r="Q587" s="1">
        <v>2.5790999999999999</v>
      </c>
      <c r="R587" s="1" t="s">
        <v>34</v>
      </c>
      <c r="S587" s="1">
        <v>361.56950000000001</v>
      </c>
      <c r="T587" s="1" t="s">
        <v>28</v>
      </c>
      <c r="U587" s="1" t="s">
        <v>36</v>
      </c>
    </row>
    <row r="588" spans="1:21" x14ac:dyDescent="0.3">
      <c r="A588" s="1" t="s">
        <v>387</v>
      </c>
      <c r="B588" s="2">
        <v>37363</v>
      </c>
      <c r="C588" s="1">
        <v>22</v>
      </c>
      <c r="D588" s="1">
        <v>181</v>
      </c>
      <c r="E588" s="1" t="s">
        <v>32</v>
      </c>
      <c r="F588" s="1" t="s">
        <v>84</v>
      </c>
      <c r="G588" s="1" t="s">
        <v>63</v>
      </c>
      <c r="H588" s="1" t="s">
        <v>54</v>
      </c>
      <c r="I588" s="1" t="s">
        <v>99</v>
      </c>
      <c r="J588" s="1">
        <v>108</v>
      </c>
      <c r="K588" s="1">
        <v>49</v>
      </c>
      <c r="L588" s="1">
        <v>48</v>
      </c>
      <c r="M588" s="1">
        <v>22</v>
      </c>
      <c r="N588" s="17">
        <v>0.85</v>
      </c>
      <c r="O588" s="1">
        <v>65</v>
      </c>
      <c r="P588" s="15">
        <v>0.41010000000000002</v>
      </c>
      <c r="Q588" s="1">
        <v>90.039500000000004</v>
      </c>
      <c r="R588" s="1" t="s">
        <v>27</v>
      </c>
      <c r="S588" s="1">
        <v>293.8501</v>
      </c>
      <c r="T588" s="1" t="s">
        <v>28</v>
      </c>
      <c r="U588" s="1" t="s">
        <v>65</v>
      </c>
    </row>
    <row r="589" spans="1:21" x14ac:dyDescent="0.3">
      <c r="A589" s="1" t="s">
        <v>388</v>
      </c>
      <c r="B589" s="2">
        <v>37192</v>
      </c>
      <c r="C589" s="1">
        <v>23</v>
      </c>
      <c r="D589" s="1">
        <v>178</v>
      </c>
      <c r="E589" s="1" t="s">
        <v>32</v>
      </c>
      <c r="F589" s="1" t="s">
        <v>52</v>
      </c>
      <c r="G589" s="1" t="s">
        <v>53</v>
      </c>
      <c r="H589" s="1" t="s">
        <v>25</v>
      </c>
      <c r="I589" s="1" t="s">
        <v>70</v>
      </c>
      <c r="J589" s="1">
        <v>39</v>
      </c>
      <c r="K589" s="1">
        <v>19</v>
      </c>
      <c r="L589" s="1">
        <v>96</v>
      </c>
      <c r="M589" s="1">
        <v>60</v>
      </c>
      <c r="N589" s="17">
        <v>0.1168</v>
      </c>
      <c r="O589" s="1">
        <v>226</v>
      </c>
      <c r="P589" s="15">
        <v>0.7238</v>
      </c>
      <c r="Q589" s="1">
        <v>21.0182</v>
      </c>
      <c r="R589" s="1" t="s">
        <v>40</v>
      </c>
      <c r="S589" s="1">
        <v>441.23059999999998</v>
      </c>
      <c r="T589" s="1" t="s">
        <v>28</v>
      </c>
      <c r="U589" s="1" t="s">
        <v>36</v>
      </c>
    </row>
    <row r="590" spans="1:21" x14ac:dyDescent="0.3">
      <c r="A590" s="1" t="s">
        <v>389</v>
      </c>
      <c r="B590" s="2">
        <v>37241</v>
      </c>
      <c r="C590" s="1">
        <v>23</v>
      </c>
      <c r="D590" s="1">
        <v>175</v>
      </c>
      <c r="E590" s="1" t="s">
        <v>32</v>
      </c>
      <c r="F590" s="1" t="s">
        <v>104</v>
      </c>
      <c r="G590" s="1" t="s">
        <v>53</v>
      </c>
      <c r="H590" s="1" t="s">
        <v>25</v>
      </c>
      <c r="I590" s="1" t="s">
        <v>112</v>
      </c>
      <c r="J590" s="1">
        <v>91</v>
      </c>
      <c r="K590" s="1">
        <v>80</v>
      </c>
      <c r="L590" s="1">
        <v>82</v>
      </c>
      <c r="M590" s="1">
        <v>19</v>
      </c>
      <c r="N590" s="17">
        <v>0.33810000000000001</v>
      </c>
      <c r="O590" s="1">
        <v>264</v>
      </c>
      <c r="P590" s="15">
        <v>0.72589999999999999</v>
      </c>
      <c r="Q590" s="1">
        <v>106.60639999999999</v>
      </c>
      <c r="R590" s="1" t="s">
        <v>40</v>
      </c>
      <c r="S590" s="1">
        <v>536.68399999999997</v>
      </c>
      <c r="T590" s="1" t="s">
        <v>35</v>
      </c>
      <c r="U590" s="1" t="s">
        <v>65</v>
      </c>
    </row>
    <row r="591" spans="1:21" x14ac:dyDescent="0.3">
      <c r="A591" s="1" t="s">
        <v>390</v>
      </c>
      <c r="B591" s="2">
        <v>37162</v>
      </c>
      <c r="C591" s="1">
        <v>23</v>
      </c>
      <c r="D591" s="1">
        <v>172</v>
      </c>
      <c r="E591" s="1" t="s">
        <v>24</v>
      </c>
      <c r="F591" s="1" t="s">
        <v>38</v>
      </c>
      <c r="G591" s="1" t="s">
        <v>23</v>
      </c>
      <c r="H591" s="1" t="s">
        <v>25</v>
      </c>
      <c r="I591" s="1" t="s">
        <v>33</v>
      </c>
      <c r="J591" s="1">
        <v>31</v>
      </c>
      <c r="K591" s="1">
        <v>86</v>
      </c>
      <c r="L591" s="1">
        <v>51</v>
      </c>
      <c r="M591" s="1">
        <v>43</v>
      </c>
      <c r="N591" s="17">
        <v>0.1867</v>
      </c>
      <c r="O591" s="1">
        <v>61</v>
      </c>
      <c r="P591" s="15">
        <v>0.61409999999999998</v>
      </c>
      <c r="Q591" s="1">
        <v>102.17489999999999</v>
      </c>
      <c r="R591" s="1" t="s">
        <v>27</v>
      </c>
      <c r="S591" s="1">
        <v>272.21080000000001</v>
      </c>
      <c r="T591" s="1" t="s">
        <v>46</v>
      </c>
      <c r="U591" s="1" t="s">
        <v>65</v>
      </c>
    </row>
    <row r="592" spans="1:21" x14ac:dyDescent="0.3">
      <c r="A592" s="1" t="s">
        <v>391</v>
      </c>
      <c r="B592" s="2">
        <v>37158</v>
      </c>
      <c r="C592" s="1">
        <v>23</v>
      </c>
      <c r="D592" s="1">
        <v>181</v>
      </c>
      <c r="E592" s="1" t="s">
        <v>32</v>
      </c>
      <c r="F592" s="1" t="s">
        <v>42</v>
      </c>
      <c r="G592" s="1" t="s">
        <v>43</v>
      </c>
      <c r="H592" s="1" t="s">
        <v>25</v>
      </c>
      <c r="I592" s="1" t="s">
        <v>115</v>
      </c>
      <c r="J592" s="1">
        <v>79</v>
      </c>
      <c r="K592" s="1">
        <v>38</v>
      </c>
      <c r="L592" s="1">
        <v>5</v>
      </c>
      <c r="M592" s="1">
        <v>53</v>
      </c>
      <c r="N592" s="17">
        <v>0.82210000000000005</v>
      </c>
      <c r="O592" s="1">
        <v>93</v>
      </c>
      <c r="P592" s="15">
        <v>0.75529999999999997</v>
      </c>
      <c r="Q592" s="1">
        <v>68.638499999999993</v>
      </c>
      <c r="R592" s="1" t="s">
        <v>45</v>
      </c>
      <c r="S592" s="1">
        <v>269.34739999999999</v>
      </c>
      <c r="T592" s="1" t="s">
        <v>35</v>
      </c>
      <c r="U592" s="1" t="s">
        <v>65</v>
      </c>
    </row>
    <row r="593" spans="1:21" x14ac:dyDescent="0.3">
      <c r="A593" s="1" t="s">
        <v>392</v>
      </c>
      <c r="B593" s="2">
        <v>37869</v>
      </c>
      <c r="C593" s="1">
        <v>21</v>
      </c>
      <c r="D593" s="1">
        <v>168</v>
      </c>
      <c r="E593" s="1" t="s">
        <v>24</v>
      </c>
      <c r="F593" s="1" t="s">
        <v>42</v>
      </c>
      <c r="G593" s="1" t="s">
        <v>43</v>
      </c>
      <c r="H593" s="1" t="s">
        <v>25</v>
      </c>
      <c r="I593" s="1" t="s">
        <v>55</v>
      </c>
      <c r="J593" s="1">
        <v>43</v>
      </c>
      <c r="K593" s="1">
        <v>88</v>
      </c>
      <c r="L593" s="1">
        <v>41</v>
      </c>
      <c r="M593" s="1">
        <v>20</v>
      </c>
      <c r="N593" s="17">
        <v>0.8105</v>
      </c>
      <c r="O593" s="1">
        <v>284</v>
      </c>
      <c r="P593" s="15">
        <v>0.66010000000000002</v>
      </c>
      <c r="Q593" s="1">
        <v>158.96190000000001</v>
      </c>
      <c r="R593" s="1" t="s">
        <v>27</v>
      </c>
      <c r="S593" s="1">
        <v>477.60059999999999</v>
      </c>
      <c r="T593" s="1" t="s">
        <v>46</v>
      </c>
      <c r="U593" s="1" t="s">
        <v>29</v>
      </c>
    </row>
    <row r="594" spans="1:21" x14ac:dyDescent="0.3">
      <c r="A594" s="1" t="s">
        <v>393</v>
      </c>
      <c r="B594" s="2">
        <v>37633</v>
      </c>
      <c r="C594" s="1">
        <v>21</v>
      </c>
      <c r="D594" s="1">
        <v>173</v>
      </c>
      <c r="E594" s="1" t="s">
        <v>24</v>
      </c>
      <c r="F594" s="1" t="s">
        <v>87</v>
      </c>
      <c r="G594" s="1" t="s">
        <v>63</v>
      </c>
      <c r="H594" s="1" t="s">
        <v>25</v>
      </c>
      <c r="I594" s="1" t="s">
        <v>67</v>
      </c>
      <c r="J594" s="1">
        <v>64</v>
      </c>
      <c r="K594" s="1">
        <v>59</v>
      </c>
      <c r="L594" s="1">
        <v>27</v>
      </c>
      <c r="M594" s="1">
        <v>54</v>
      </c>
      <c r="N594" s="17">
        <v>0.65069999999999995</v>
      </c>
      <c r="O594" s="1">
        <v>226</v>
      </c>
      <c r="P594" s="15">
        <v>0.84630000000000005</v>
      </c>
      <c r="Q594" s="1">
        <v>97.308800000000005</v>
      </c>
      <c r="R594" s="1" t="s">
        <v>45</v>
      </c>
      <c r="S594" s="1">
        <v>432.16699999999997</v>
      </c>
      <c r="T594" s="1" t="s">
        <v>28</v>
      </c>
      <c r="U594" s="1" t="s">
        <v>56</v>
      </c>
    </row>
    <row r="595" spans="1:21" x14ac:dyDescent="0.3">
      <c r="A595" s="1" t="s">
        <v>394</v>
      </c>
      <c r="B595" s="2">
        <v>37882</v>
      </c>
      <c r="C595" s="1">
        <v>21</v>
      </c>
      <c r="D595" s="1">
        <v>177</v>
      </c>
      <c r="E595" s="1" t="s">
        <v>32</v>
      </c>
      <c r="F595" s="1" t="s">
        <v>109</v>
      </c>
      <c r="G595" s="1" t="s">
        <v>63</v>
      </c>
      <c r="H595" s="1" t="s">
        <v>54</v>
      </c>
      <c r="I595" s="1" t="s">
        <v>94</v>
      </c>
      <c r="J595" s="1">
        <v>87</v>
      </c>
      <c r="K595" s="1">
        <v>78</v>
      </c>
      <c r="L595" s="1">
        <v>40</v>
      </c>
      <c r="M595" s="1">
        <v>15</v>
      </c>
      <c r="N595" s="17">
        <v>0.2072</v>
      </c>
      <c r="O595" s="1">
        <v>346</v>
      </c>
      <c r="P595" s="15">
        <v>0.50339999999999996</v>
      </c>
      <c r="Q595" s="1">
        <v>93.739099999999993</v>
      </c>
      <c r="R595" s="1" t="s">
        <v>34</v>
      </c>
      <c r="S595" s="1">
        <v>566.18060000000003</v>
      </c>
      <c r="T595" s="1" t="s">
        <v>28</v>
      </c>
      <c r="U595" s="1" t="s">
        <v>36</v>
      </c>
    </row>
    <row r="596" spans="1:21" x14ac:dyDescent="0.3">
      <c r="A596" s="1" t="s">
        <v>395</v>
      </c>
      <c r="B596" s="2">
        <v>37688</v>
      </c>
      <c r="C596" s="1">
        <v>21</v>
      </c>
      <c r="D596" s="1">
        <v>165</v>
      </c>
      <c r="E596" s="1" t="s">
        <v>76</v>
      </c>
      <c r="F596" s="1" t="s">
        <v>87</v>
      </c>
      <c r="G596" s="1" t="s">
        <v>63</v>
      </c>
      <c r="H596" s="1" t="s">
        <v>25</v>
      </c>
      <c r="I596" s="1" t="s">
        <v>55</v>
      </c>
      <c r="J596" s="1">
        <v>124</v>
      </c>
      <c r="K596" s="1">
        <v>48</v>
      </c>
      <c r="L596" s="1">
        <v>60</v>
      </c>
      <c r="M596" s="1">
        <v>10</v>
      </c>
      <c r="N596" s="17">
        <v>0.43380000000000002</v>
      </c>
      <c r="O596" s="1">
        <v>106</v>
      </c>
      <c r="P596" s="15">
        <v>0.67410000000000003</v>
      </c>
      <c r="Q596" s="1">
        <v>68.392300000000006</v>
      </c>
      <c r="R596" s="1" t="s">
        <v>45</v>
      </c>
      <c r="S596" s="1">
        <v>348.59789999999998</v>
      </c>
      <c r="T596" s="1" t="s">
        <v>35</v>
      </c>
      <c r="U596" s="1" t="s">
        <v>65</v>
      </c>
    </row>
    <row r="597" spans="1:21" x14ac:dyDescent="0.3">
      <c r="A597" s="1" t="s">
        <v>396</v>
      </c>
      <c r="B597" s="2">
        <v>37250</v>
      </c>
      <c r="C597" s="1">
        <v>23</v>
      </c>
      <c r="D597" s="1">
        <v>184</v>
      </c>
      <c r="E597" s="1" t="s">
        <v>32</v>
      </c>
      <c r="F597" s="1" t="s">
        <v>75</v>
      </c>
      <c r="G597" s="1" t="s">
        <v>53</v>
      </c>
      <c r="H597" s="1" t="s">
        <v>54</v>
      </c>
      <c r="I597" s="1" t="s">
        <v>117</v>
      </c>
      <c r="J597" s="1">
        <v>3</v>
      </c>
      <c r="K597" s="1">
        <v>85</v>
      </c>
      <c r="L597" s="1">
        <v>93</v>
      </c>
      <c r="M597" s="1">
        <v>52</v>
      </c>
      <c r="N597" s="17">
        <v>0.80559999999999998</v>
      </c>
      <c r="O597" s="1">
        <v>79</v>
      </c>
      <c r="P597" s="15">
        <v>0.62970000000000004</v>
      </c>
      <c r="Q597" s="1">
        <v>153.8552</v>
      </c>
      <c r="R597" s="1" t="s">
        <v>34</v>
      </c>
      <c r="S597" s="1">
        <v>313.39530000000002</v>
      </c>
      <c r="T597" s="1" t="s">
        <v>46</v>
      </c>
      <c r="U597" s="1" t="s">
        <v>36</v>
      </c>
    </row>
    <row r="598" spans="1:21" x14ac:dyDescent="0.3">
      <c r="A598" s="1" t="s">
        <v>397</v>
      </c>
      <c r="B598" s="2">
        <v>36892</v>
      </c>
      <c r="C598" s="1">
        <v>24</v>
      </c>
      <c r="D598" s="1">
        <v>180</v>
      </c>
      <c r="E598" s="1" t="s">
        <v>32</v>
      </c>
      <c r="F598" s="1" t="s">
        <v>31</v>
      </c>
      <c r="G598" s="1" t="s">
        <v>23</v>
      </c>
      <c r="H598" s="1" t="s">
        <v>25</v>
      </c>
      <c r="I598" s="1" t="s">
        <v>55</v>
      </c>
      <c r="J598" s="1">
        <v>150</v>
      </c>
      <c r="K598" s="1">
        <v>78</v>
      </c>
      <c r="L598" s="1">
        <v>36</v>
      </c>
      <c r="M598" s="1">
        <v>40</v>
      </c>
      <c r="N598" s="17">
        <v>0.56599999999999995</v>
      </c>
      <c r="O598" s="1">
        <v>235</v>
      </c>
      <c r="P598" s="15">
        <v>0.73160000000000003</v>
      </c>
      <c r="Q598" s="1">
        <v>122.4455</v>
      </c>
      <c r="R598" s="1" t="s">
        <v>27</v>
      </c>
      <c r="S598" s="1">
        <v>539.94759999999997</v>
      </c>
      <c r="T598" s="1" t="s">
        <v>28</v>
      </c>
      <c r="U598" s="1" t="s">
        <v>65</v>
      </c>
    </row>
    <row r="599" spans="1:21" x14ac:dyDescent="0.3">
      <c r="A599" s="1" t="s">
        <v>398</v>
      </c>
      <c r="B599" s="2">
        <v>37458</v>
      </c>
      <c r="C599" s="1">
        <v>22</v>
      </c>
      <c r="D599" s="1">
        <v>171</v>
      </c>
      <c r="E599" s="1" t="s">
        <v>24</v>
      </c>
      <c r="F599" s="1" t="s">
        <v>75</v>
      </c>
      <c r="G599" s="1" t="s">
        <v>53</v>
      </c>
      <c r="H599" s="1" t="s">
        <v>25</v>
      </c>
      <c r="I599" s="1" t="s">
        <v>77</v>
      </c>
      <c r="J599" s="1">
        <v>69</v>
      </c>
      <c r="K599" s="1">
        <v>41</v>
      </c>
      <c r="L599" s="1">
        <v>1</v>
      </c>
      <c r="M599" s="1">
        <v>18</v>
      </c>
      <c r="N599" s="17">
        <v>0.6028</v>
      </c>
      <c r="O599" s="1">
        <v>203</v>
      </c>
      <c r="P599" s="15">
        <v>0.62639999999999996</v>
      </c>
      <c r="Q599" s="1">
        <v>65.698800000000006</v>
      </c>
      <c r="R599" s="1" t="s">
        <v>40</v>
      </c>
      <c r="S599" s="1">
        <v>333.75920000000002</v>
      </c>
      <c r="T599" s="1" t="s">
        <v>28</v>
      </c>
      <c r="U599" s="1" t="s">
        <v>113</v>
      </c>
    </row>
    <row r="600" spans="1:21" x14ac:dyDescent="0.3">
      <c r="A600" s="1" t="s">
        <v>399</v>
      </c>
      <c r="B600" s="2">
        <v>37798</v>
      </c>
      <c r="C600" s="1">
        <v>21</v>
      </c>
      <c r="D600" s="1">
        <v>182</v>
      </c>
      <c r="E600" s="1" t="s">
        <v>32</v>
      </c>
      <c r="F600" s="1" t="s">
        <v>72</v>
      </c>
      <c r="G600" s="1" t="s">
        <v>53</v>
      </c>
      <c r="H600" s="1" t="s">
        <v>54</v>
      </c>
      <c r="I600" s="1" t="s">
        <v>121</v>
      </c>
      <c r="J600" s="1">
        <v>116</v>
      </c>
      <c r="K600" s="1">
        <v>76</v>
      </c>
      <c r="L600" s="1">
        <v>96</v>
      </c>
      <c r="M600" s="1">
        <v>46</v>
      </c>
      <c r="N600" s="17">
        <v>0.62809999999999999</v>
      </c>
      <c r="O600" s="1">
        <v>185</v>
      </c>
      <c r="P600" s="15">
        <v>0.4123</v>
      </c>
      <c r="Q600" s="1">
        <v>123.7193</v>
      </c>
      <c r="R600" s="1" t="s">
        <v>27</v>
      </c>
      <c r="S600" s="1">
        <v>520.18039999999996</v>
      </c>
      <c r="T600" s="1" t="s">
        <v>35</v>
      </c>
      <c r="U600" s="1" t="s">
        <v>29</v>
      </c>
    </row>
    <row r="601" spans="1:21" x14ac:dyDescent="0.3">
      <c r="A601" s="1" t="s">
        <v>400</v>
      </c>
      <c r="B601" s="2">
        <v>37362</v>
      </c>
      <c r="C601" s="1">
        <v>22</v>
      </c>
      <c r="D601" s="1">
        <v>181</v>
      </c>
      <c r="E601" s="1" t="s">
        <v>32</v>
      </c>
      <c r="F601" s="1" t="s">
        <v>87</v>
      </c>
      <c r="G601" s="1" t="s">
        <v>63</v>
      </c>
      <c r="H601" s="1" t="s">
        <v>54</v>
      </c>
      <c r="I601" s="1" t="s">
        <v>112</v>
      </c>
      <c r="J601" s="1">
        <v>143</v>
      </c>
      <c r="K601" s="1">
        <v>52</v>
      </c>
      <c r="L601" s="1">
        <v>2</v>
      </c>
      <c r="M601" s="1">
        <v>83</v>
      </c>
      <c r="N601" s="17">
        <v>0.1837</v>
      </c>
      <c r="O601" s="1">
        <v>100</v>
      </c>
      <c r="P601" s="15">
        <v>0.70320000000000005</v>
      </c>
      <c r="Q601" s="1">
        <v>61.706299999999999</v>
      </c>
      <c r="R601" s="1" t="s">
        <v>40</v>
      </c>
      <c r="S601" s="1">
        <v>381.77690000000001</v>
      </c>
      <c r="T601" s="1" t="s">
        <v>28</v>
      </c>
      <c r="U601" s="1" t="s">
        <v>65</v>
      </c>
    </row>
    <row r="602" spans="1:21" x14ac:dyDescent="0.3">
      <c r="A602" s="1" t="s">
        <v>401</v>
      </c>
      <c r="B602" s="2">
        <v>37339</v>
      </c>
      <c r="C602" s="1">
        <v>22</v>
      </c>
      <c r="D602" s="1">
        <v>171</v>
      </c>
      <c r="E602" s="1" t="s">
        <v>24</v>
      </c>
      <c r="F602" s="1" t="s">
        <v>52</v>
      </c>
      <c r="G602" s="1" t="s">
        <v>53</v>
      </c>
      <c r="H602" s="1" t="s">
        <v>54</v>
      </c>
      <c r="I602" s="1" t="s">
        <v>73</v>
      </c>
      <c r="J602" s="1">
        <v>142</v>
      </c>
      <c r="K602" s="1">
        <v>69</v>
      </c>
      <c r="L602" s="1">
        <v>91</v>
      </c>
      <c r="M602" s="1">
        <v>50</v>
      </c>
      <c r="N602" s="17">
        <v>0.76190000000000002</v>
      </c>
      <c r="O602" s="1">
        <v>81</v>
      </c>
      <c r="P602" s="15">
        <v>0.79269999999999996</v>
      </c>
      <c r="Q602" s="1">
        <v>120.9192</v>
      </c>
      <c r="R602" s="1" t="s">
        <v>34</v>
      </c>
      <c r="S602" s="1">
        <v>434.45460000000003</v>
      </c>
      <c r="T602" s="1" t="s">
        <v>28</v>
      </c>
      <c r="U602" s="1" t="s">
        <v>36</v>
      </c>
    </row>
    <row r="603" spans="1:21" x14ac:dyDescent="0.3">
      <c r="A603" s="1" t="s">
        <v>402</v>
      </c>
      <c r="B603" s="2">
        <v>37110</v>
      </c>
      <c r="C603" s="1">
        <v>23</v>
      </c>
      <c r="D603" s="1">
        <v>164</v>
      </c>
      <c r="E603" s="1" t="s">
        <v>76</v>
      </c>
      <c r="F603" s="1" t="s">
        <v>69</v>
      </c>
      <c r="G603" s="1" t="s">
        <v>43</v>
      </c>
      <c r="H603" s="1" t="s">
        <v>25</v>
      </c>
      <c r="I603" s="1" t="s">
        <v>55</v>
      </c>
      <c r="J603" s="1">
        <v>102</v>
      </c>
      <c r="K603" s="1">
        <v>67</v>
      </c>
      <c r="L603" s="1">
        <v>62</v>
      </c>
      <c r="M603" s="1">
        <v>77</v>
      </c>
      <c r="N603" s="17">
        <v>0.13800000000000001</v>
      </c>
      <c r="O603" s="1">
        <v>217</v>
      </c>
      <c r="P603" s="15">
        <v>0.61699999999999999</v>
      </c>
      <c r="Q603" s="1">
        <v>75.881799999999998</v>
      </c>
      <c r="R603" s="1" t="s">
        <v>40</v>
      </c>
      <c r="S603" s="1">
        <v>524.61500000000001</v>
      </c>
      <c r="T603" s="1" t="s">
        <v>35</v>
      </c>
      <c r="U603" s="1" t="s">
        <v>65</v>
      </c>
    </row>
    <row r="604" spans="1:21" x14ac:dyDescent="0.3">
      <c r="A604" s="1" t="s">
        <v>403</v>
      </c>
      <c r="B604" s="2">
        <v>37938</v>
      </c>
      <c r="C604" s="1">
        <v>21</v>
      </c>
      <c r="D604" s="1">
        <v>184</v>
      </c>
      <c r="E604" s="1" t="s">
        <v>32</v>
      </c>
      <c r="F604" s="1" t="s">
        <v>72</v>
      </c>
      <c r="G604" s="1" t="s">
        <v>53</v>
      </c>
      <c r="H604" s="1" t="s">
        <v>54</v>
      </c>
      <c r="I604" s="1" t="s">
        <v>110</v>
      </c>
      <c r="J604" s="1">
        <v>34</v>
      </c>
      <c r="K604" s="1">
        <v>58</v>
      </c>
      <c r="L604" s="1">
        <v>6</v>
      </c>
      <c r="M604" s="1">
        <v>80</v>
      </c>
      <c r="N604" s="17">
        <v>0.5867</v>
      </c>
      <c r="O604" s="1">
        <v>192</v>
      </c>
      <c r="P604" s="15">
        <v>0.62609999999999999</v>
      </c>
      <c r="Q604" s="1">
        <v>92.171400000000006</v>
      </c>
      <c r="R604" s="1" t="s">
        <v>45</v>
      </c>
      <c r="S604" s="1">
        <v>371.7328</v>
      </c>
      <c r="T604" s="1" t="s">
        <v>46</v>
      </c>
      <c r="U604" s="1" t="s">
        <v>113</v>
      </c>
    </row>
    <row r="605" spans="1:21" x14ac:dyDescent="0.3">
      <c r="A605" s="1" t="s">
        <v>404</v>
      </c>
      <c r="B605" s="2">
        <v>36909</v>
      </c>
      <c r="C605" s="1">
        <v>23</v>
      </c>
      <c r="D605" s="1">
        <v>170</v>
      </c>
      <c r="E605" s="1" t="s">
        <v>24</v>
      </c>
      <c r="F605" s="1" t="s">
        <v>52</v>
      </c>
      <c r="G605" s="1" t="s">
        <v>53</v>
      </c>
      <c r="H605" s="1" t="s">
        <v>25</v>
      </c>
      <c r="I605" s="1" t="s">
        <v>80</v>
      </c>
      <c r="J605" s="1">
        <v>58</v>
      </c>
      <c r="K605" s="1">
        <v>11</v>
      </c>
      <c r="L605" s="1">
        <v>37</v>
      </c>
      <c r="M605" s="1">
        <v>86</v>
      </c>
      <c r="N605" s="17">
        <v>0.33660000000000001</v>
      </c>
      <c r="O605" s="1">
        <v>76</v>
      </c>
      <c r="P605" s="15">
        <v>0.5212</v>
      </c>
      <c r="Q605" s="1">
        <v>14.6625</v>
      </c>
      <c r="R605" s="1" t="s">
        <v>40</v>
      </c>
      <c r="S605" s="1">
        <v>268.14780000000002</v>
      </c>
      <c r="T605" s="1" t="s">
        <v>35</v>
      </c>
      <c r="U605" s="1" t="s">
        <v>36</v>
      </c>
    </row>
    <row r="606" spans="1:21" x14ac:dyDescent="0.3">
      <c r="A606" s="1" t="s">
        <v>405</v>
      </c>
      <c r="B606" s="2">
        <v>37654</v>
      </c>
      <c r="C606" s="1">
        <v>21</v>
      </c>
      <c r="D606" s="1">
        <v>173</v>
      </c>
      <c r="E606" s="1" t="s">
        <v>24</v>
      </c>
      <c r="F606" s="1" t="s">
        <v>109</v>
      </c>
      <c r="G606" s="1" t="s">
        <v>63</v>
      </c>
      <c r="H606" s="1" t="s">
        <v>54</v>
      </c>
      <c r="I606" s="1" t="s">
        <v>110</v>
      </c>
      <c r="J606" s="1">
        <v>43</v>
      </c>
      <c r="K606" s="1">
        <v>19</v>
      </c>
      <c r="L606" s="1">
        <v>14</v>
      </c>
      <c r="M606" s="1">
        <v>58</v>
      </c>
      <c r="N606" s="17">
        <v>0.18990000000000001</v>
      </c>
      <c r="O606" s="1">
        <v>92</v>
      </c>
      <c r="P606" s="15">
        <v>0.52149999999999996</v>
      </c>
      <c r="Q606" s="1">
        <v>22.382000000000001</v>
      </c>
      <c r="R606" s="1" t="s">
        <v>34</v>
      </c>
      <c r="S606" s="1">
        <v>226.37139999999999</v>
      </c>
      <c r="T606" s="1" t="s">
        <v>46</v>
      </c>
      <c r="U606" s="1" t="s">
        <v>56</v>
      </c>
    </row>
    <row r="607" spans="1:21" x14ac:dyDescent="0.3">
      <c r="A607" s="1" t="s">
        <v>406</v>
      </c>
      <c r="B607" s="2">
        <v>37198</v>
      </c>
      <c r="C607" s="1">
        <v>23</v>
      </c>
      <c r="D607" s="1">
        <v>185</v>
      </c>
      <c r="E607" s="1" t="s">
        <v>32</v>
      </c>
      <c r="F607" s="1" t="s">
        <v>87</v>
      </c>
      <c r="G607" s="1" t="s">
        <v>63</v>
      </c>
      <c r="H607" s="1" t="s">
        <v>54</v>
      </c>
      <c r="I607" s="1" t="s">
        <v>26</v>
      </c>
      <c r="J607" s="1">
        <v>27</v>
      </c>
      <c r="K607" s="1">
        <v>50</v>
      </c>
      <c r="L607" s="1">
        <v>100</v>
      </c>
      <c r="M607" s="1">
        <v>85</v>
      </c>
      <c r="N607" s="17">
        <v>0.74850000000000005</v>
      </c>
      <c r="O607" s="1">
        <v>207</v>
      </c>
      <c r="P607" s="15">
        <v>0.75339999999999996</v>
      </c>
      <c r="Q607" s="1">
        <v>88.229299999999995</v>
      </c>
      <c r="R607" s="1" t="s">
        <v>40</v>
      </c>
      <c r="S607" s="1">
        <v>471.21190000000001</v>
      </c>
      <c r="T607" s="1" t="s">
        <v>35</v>
      </c>
      <c r="U607" s="1" t="s">
        <v>65</v>
      </c>
    </row>
    <row r="608" spans="1:21" x14ac:dyDescent="0.3">
      <c r="A608" s="1" t="s">
        <v>407</v>
      </c>
      <c r="B608" s="2">
        <v>37226</v>
      </c>
      <c r="C608" s="1">
        <v>23</v>
      </c>
      <c r="D608" s="1">
        <v>182</v>
      </c>
      <c r="E608" s="1" t="s">
        <v>32</v>
      </c>
      <c r="F608" s="1" t="s">
        <v>31</v>
      </c>
      <c r="G608" s="1" t="s">
        <v>23</v>
      </c>
      <c r="H608" s="1" t="s">
        <v>25</v>
      </c>
      <c r="I608" s="1" t="s">
        <v>80</v>
      </c>
      <c r="J608" s="1">
        <v>122</v>
      </c>
      <c r="K608" s="1">
        <v>48</v>
      </c>
      <c r="L608" s="1">
        <v>63</v>
      </c>
      <c r="M608" s="1">
        <v>46</v>
      </c>
      <c r="N608" s="17">
        <v>0.4249</v>
      </c>
      <c r="O608" s="1">
        <v>135</v>
      </c>
      <c r="P608" s="15">
        <v>0.6522</v>
      </c>
      <c r="Q608" s="1">
        <v>68.651700000000005</v>
      </c>
      <c r="R608" s="1" t="s">
        <v>40</v>
      </c>
      <c r="S608" s="1">
        <v>414.94709999999998</v>
      </c>
      <c r="T608" s="1" t="s">
        <v>35</v>
      </c>
      <c r="U608" s="1" t="s">
        <v>29</v>
      </c>
    </row>
    <row r="609" spans="1:21" x14ac:dyDescent="0.3">
      <c r="A609" s="1" t="s">
        <v>408</v>
      </c>
      <c r="B609" s="2">
        <v>37299</v>
      </c>
      <c r="C609" s="1">
        <v>22</v>
      </c>
      <c r="D609" s="1">
        <v>181</v>
      </c>
      <c r="E609" s="1" t="s">
        <v>32</v>
      </c>
      <c r="F609" s="1" t="s">
        <v>98</v>
      </c>
      <c r="G609" s="1" t="s">
        <v>23</v>
      </c>
      <c r="H609" s="1" t="s">
        <v>25</v>
      </c>
      <c r="I609" s="1" t="s">
        <v>92</v>
      </c>
      <c r="J609" s="1">
        <v>54</v>
      </c>
      <c r="K609" s="1">
        <v>68</v>
      </c>
      <c r="L609" s="1">
        <v>49</v>
      </c>
      <c r="M609" s="1">
        <v>74</v>
      </c>
      <c r="N609" s="17">
        <v>0.443</v>
      </c>
      <c r="O609" s="1">
        <v>356</v>
      </c>
      <c r="P609" s="15">
        <v>0.52890000000000004</v>
      </c>
      <c r="Q609" s="1">
        <v>97.619</v>
      </c>
      <c r="R609" s="1" t="s">
        <v>34</v>
      </c>
      <c r="S609" s="1">
        <v>601.67190000000005</v>
      </c>
      <c r="T609" s="1" t="s">
        <v>28</v>
      </c>
      <c r="U609" s="1" t="s">
        <v>102</v>
      </c>
    </row>
    <row r="610" spans="1:21" x14ac:dyDescent="0.3">
      <c r="A610" s="1" t="s">
        <v>409</v>
      </c>
      <c r="B610" s="2">
        <v>37054</v>
      </c>
      <c r="C610" s="1">
        <v>23</v>
      </c>
      <c r="D610" s="1">
        <v>162</v>
      </c>
      <c r="E610" s="1" t="s">
        <v>76</v>
      </c>
      <c r="F610" s="1" t="s">
        <v>79</v>
      </c>
      <c r="G610" s="1" t="s">
        <v>43</v>
      </c>
      <c r="H610" s="1" t="s">
        <v>25</v>
      </c>
      <c r="I610" s="1" t="s">
        <v>99</v>
      </c>
      <c r="J610" s="1">
        <v>35</v>
      </c>
      <c r="K610" s="1">
        <v>32</v>
      </c>
      <c r="L610" s="1">
        <v>30</v>
      </c>
      <c r="M610" s="1">
        <v>27</v>
      </c>
      <c r="N610" s="17">
        <v>0.34410000000000002</v>
      </c>
      <c r="O610" s="1">
        <v>258</v>
      </c>
      <c r="P610" s="15">
        <v>0.60019999999999996</v>
      </c>
      <c r="Q610" s="1">
        <v>43.508499999999998</v>
      </c>
      <c r="R610" s="1" t="s">
        <v>40</v>
      </c>
      <c r="S610" s="1">
        <v>383.84429999999998</v>
      </c>
      <c r="T610" s="1" t="s">
        <v>46</v>
      </c>
      <c r="U610" s="1" t="s">
        <v>65</v>
      </c>
    </row>
    <row r="611" spans="1:21" x14ac:dyDescent="0.3">
      <c r="A611" s="1" t="s">
        <v>410</v>
      </c>
      <c r="B611" s="2">
        <v>36939</v>
      </c>
      <c r="C611" s="1">
        <v>23</v>
      </c>
      <c r="D611" s="1">
        <v>165</v>
      </c>
      <c r="E611" s="1" t="s">
        <v>76</v>
      </c>
      <c r="F611" s="1" t="s">
        <v>104</v>
      </c>
      <c r="G611" s="1" t="s">
        <v>53</v>
      </c>
      <c r="H611" s="1" t="s">
        <v>25</v>
      </c>
      <c r="I611" s="1" t="s">
        <v>85</v>
      </c>
      <c r="J611" s="1">
        <v>100</v>
      </c>
      <c r="K611" s="1">
        <v>94</v>
      </c>
      <c r="L611" s="1">
        <v>70</v>
      </c>
      <c r="M611" s="1">
        <v>9</v>
      </c>
      <c r="N611" s="17">
        <v>0.19270000000000001</v>
      </c>
      <c r="O611" s="1">
        <v>68</v>
      </c>
      <c r="P611" s="15">
        <v>0.42870000000000003</v>
      </c>
      <c r="Q611" s="1">
        <v>112.23309999999999</v>
      </c>
      <c r="R611" s="1" t="s">
        <v>45</v>
      </c>
      <c r="S611" s="1">
        <v>341.26139999999998</v>
      </c>
      <c r="T611" s="1" t="s">
        <v>46</v>
      </c>
      <c r="U611" s="1" t="s">
        <v>29</v>
      </c>
    </row>
    <row r="612" spans="1:21" x14ac:dyDescent="0.3">
      <c r="A612" s="1" t="s">
        <v>411</v>
      </c>
      <c r="B612" s="2">
        <v>37429</v>
      </c>
      <c r="C612" s="1">
        <v>22</v>
      </c>
      <c r="D612" s="1">
        <v>163</v>
      </c>
      <c r="E612" s="1" t="s">
        <v>76</v>
      </c>
      <c r="F612" s="1" t="s">
        <v>22</v>
      </c>
      <c r="G612" s="1" t="s">
        <v>23</v>
      </c>
      <c r="H612" s="1" t="s">
        <v>25</v>
      </c>
      <c r="I612" s="1" t="s">
        <v>55</v>
      </c>
      <c r="J612" s="1">
        <v>99</v>
      </c>
      <c r="K612" s="1">
        <v>89</v>
      </c>
      <c r="L612" s="1">
        <v>32</v>
      </c>
      <c r="M612" s="1">
        <v>25</v>
      </c>
      <c r="N612" s="17">
        <v>0.66379999999999995</v>
      </c>
      <c r="O612" s="1">
        <v>114</v>
      </c>
      <c r="P612" s="15">
        <v>0.45910000000000001</v>
      </c>
      <c r="Q612" s="1">
        <v>147.51249999999999</v>
      </c>
      <c r="R612" s="1" t="s">
        <v>34</v>
      </c>
      <c r="S612" s="1">
        <v>359.86290000000002</v>
      </c>
      <c r="T612" s="1" t="s">
        <v>28</v>
      </c>
      <c r="U612" s="1" t="s">
        <v>29</v>
      </c>
    </row>
    <row r="613" spans="1:21" x14ac:dyDescent="0.3">
      <c r="A613" s="1" t="s">
        <v>412</v>
      </c>
      <c r="B613" s="2">
        <v>37449</v>
      </c>
      <c r="C613" s="1">
        <v>22</v>
      </c>
      <c r="D613" s="1">
        <v>174</v>
      </c>
      <c r="E613" s="1" t="s">
        <v>24</v>
      </c>
      <c r="F613" s="1" t="s">
        <v>84</v>
      </c>
      <c r="G613" s="1" t="s">
        <v>63</v>
      </c>
      <c r="H613" s="1" t="s">
        <v>54</v>
      </c>
      <c r="I613" s="1" t="s">
        <v>64</v>
      </c>
      <c r="J613" s="1">
        <v>145</v>
      </c>
      <c r="K613" s="1">
        <v>70</v>
      </c>
      <c r="L613" s="1">
        <v>19</v>
      </c>
      <c r="M613" s="1">
        <v>60</v>
      </c>
      <c r="N613" s="17">
        <v>0.67230000000000001</v>
      </c>
      <c r="O613" s="1">
        <v>253</v>
      </c>
      <c r="P613" s="15">
        <v>0.65380000000000005</v>
      </c>
      <c r="Q613" s="1">
        <v>117.1613</v>
      </c>
      <c r="R613" s="1" t="s">
        <v>40</v>
      </c>
      <c r="S613" s="1">
        <v>548.3261</v>
      </c>
      <c r="T613" s="1" t="s">
        <v>35</v>
      </c>
      <c r="U613" s="1" t="s">
        <v>56</v>
      </c>
    </row>
    <row r="614" spans="1:21" x14ac:dyDescent="0.3">
      <c r="A614" s="1" t="s">
        <v>413</v>
      </c>
      <c r="B614" s="2">
        <v>37641</v>
      </c>
      <c r="C614" s="1">
        <v>21</v>
      </c>
      <c r="D614" s="1">
        <v>169</v>
      </c>
      <c r="E614" s="1" t="s">
        <v>24</v>
      </c>
      <c r="F614" s="1" t="s">
        <v>69</v>
      </c>
      <c r="G614" s="1" t="s">
        <v>43</v>
      </c>
      <c r="H614" s="1" t="s">
        <v>54</v>
      </c>
      <c r="I614" s="1" t="s">
        <v>88</v>
      </c>
      <c r="J614" s="1">
        <v>24</v>
      </c>
      <c r="K614" s="1">
        <v>2</v>
      </c>
      <c r="L614" s="1">
        <v>53</v>
      </c>
      <c r="M614" s="1">
        <v>76</v>
      </c>
      <c r="N614" s="17">
        <v>0.35809999999999997</v>
      </c>
      <c r="O614" s="1">
        <v>55</v>
      </c>
      <c r="P614" s="15">
        <v>0.64080000000000004</v>
      </c>
      <c r="Q614" s="1">
        <v>2.7841</v>
      </c>
      <c r="R614" s="1" t="s">
        <v>45</v>
      </c>
      <c r="S614" s="1">
        <v>211.50890000000001</v>
      </c>
      <c r="T614" s="1" t="s">
        <v>35</v>
      </c>
      <c r="U614" s="1" t="s">
        <v>47</v>
      </c>
    </row>
    <row r="615" spans="1:21" x14ac:dyDescent="0.3">
      <c r="A615" s="1" t="s">
        <v>414</v>
      </c>
      <c r="B615" s="2">
        <v>37365</v>
      </c>
      <c r="C615" s="1">
        <v>22</v>
      </c>
      <c r="D615" s="1">
        <v>179</v>
      </c>
      <c r="E615" s="1" t="s">
        <v>32</v>
      </c>
      <c r="F615" s="1" t="s">
        <v>22</v>
      </c>
      <c r="G615" s="1" t="s">
        <v>23</v>
      </c>
      <c r="H615" s="1" t="s">
        <v>25</v>
      </c>
      <c r="I615" s="1" t="s">
        <v>105</v>
      </c>
      <c r="J615" s="1">
        <v>29</v>
      </c>
      <c r="K615" s="1">
        <v>88</v>
      </c>
      <c r="L615" s="1">
        <v>44</v>
      </c>
      <c r="M615" s="1">
        <v>26</v>
      </c>
      <c r="N615" s="17">
        <v>0.68140000000000001</v>
      </c>
      <c r="O615" s="1">
        <v>286</v>
      </c>
      <c r="P615" s="15">
        <v>0.77280000000000004</v>
      </c>
      <c r="Q615" s="1">
        <v>148.5181</v>
      </c>
      <c r="R615" s="1" t="s">
        <v>34</v>
      </c>
      <c r="S615" s="1">
        <v>475.1542</v>
      </c>
      <c r="T615" s="1" t="s">
        <v>35</v>
      </c>
      <c r="U615" s="1" t="s">
        <v>29</v>
      </c>
    </row>
    <row r="616" spans="1:21" x14ac:dyDescent="0.3">
      <c r="A616" s="1" t="s">
        <v>415</v>
      </c>
      <c r="B616" s="2">
        <v>37448</v>
      </c>
      <c r="C616" s="1">
        <v>22</v>
      </c>
      <c r="D616" s="1">
        <v>176</v>
      </c>
      <c r="E616" s="1" t="s">
        <v>32</v>
      </c>
      <c r="F616" s="1" t="s">
        <v>98</v>
      </c>
      <c r="G616" s="1" t="s">
        <v>23</v>
      </c>
      <c r="H616" s="1" t="s">
        <v>54</v>
      </c>
      <c r="I616" s="1" t="s">
        <v>90</v>
      </c>
      <c r="J616" s="1">
        <v>63</v>
      </c>
      <c r="K616" s="1">
        <v>85</v>
      </c>
      <c r="L616" s="1">
        <v>19</v>
      </c>
      <c r="M616" s="1">
        <v>30</v>
      </c>
      <c r="N616" s="17">
        <v>0.65600000000000003</v>
      </c>
      <c r="O616" s="1">
        <v>255</v>
      </c>
      <c r="P616" s="15">
        <v>0.52249999999999996</v>
      </c>
      <c r="Q616" s="1">
        <v>141.57140000000001</v>
      </c>
      <c r="R616" s="1" t="s">
        <v>45</v>
      </c>
      <c r="S616" s="1">
        <v>453.0385</v>
      </c>
      <c r="T616" s="1" t="s">
        <v>28</v>
      </c>
      <c r="U616" s="1" t="s">
        <v>47</v>
      </c>
    </row>
    <row r="617" spans="1:21" x14ac:dyDescent="0.3">
      <c r="A617" s="1" t="s">
        <v>416</v>
      </c>
      <c r="B617" s="2">
        <v>36937</v>
      </c>
      <c r="C617" s="1">
        <v>23</v>
      </c>
      <c r="D617" s="1">
        <v>177</v>
      </c>
      <c r="E617" s="1" t="s">
        <v>32</v>
      </c>
      <c r="F617" s="1" t="s">
        <v>22</v>
      </c>
      <c r="G617" s="1" t="s">
        <v>23</v>
      </c>
      <c r="H617" s="1" t="s">
        <v>25</v>
      </c>
      <c r="I617" s="1" t="s">
        <v>58</v>
      </c>
      <c r="J617" s="1">
        <v>43</v>
      </c>
      <c r="K617" s="1">
        <v>13</v>
      </c>
      <c r="L617" s="1">
        <v>44</v>
      </c>
      <c r="M617" s="1">
        <v>2</v>
      </c>
      <c r="N617" s="17">
        <v>0.1133</v>
      </c>
      <c r="O617" s="1">
        <v>37</v>
      </c>
      <c r="P617" s="15">
        <v>0.49769999999999998</v>
      </c>
      <c r="Q617" s="1">
        <v>14.896000000000001</v>
      </c>
      <c r="R617" s="1" t="s">
        <v>45</v>
      </c>
      <c r="S617" s="1">
        <v>140.23099999999999</v>
      </c>
      <c r="T617" s="1" t="s">
        <v>35</v>
      </c>
      <c r="U617" s="1" t="s">
        <v>113</v>
      </c>
    </row>
    <row r="618" spans="1:21" x14ac:dyDescent="0.3">
      <c r="A618" s="1" t="s">
        <v>417</v>
      </c>
      <c r="B618" s="2">
        <v>36956</v>
      </c>
      <c r="C618" s="1">
        <v>23</v>
      </c>
      <c r="D618" s="1">
        <v>182</v>
      </c>
      <c r="E618" s="1" t="s">
        <v>32</v>
      </c>
      <c r="F618" s="1" t="s">
        <v>109</v>
      </c>
      <c r="G618" s="1" t="s">
        <v>63</v>
      </c>
      <c r="H618" s="1" t="s">
        <v>54</v>
      </c>
      <c r="I618" s="1" t="s">
        <v>55</v>
      </c>
      <c r="J618" s="1">
        <v>127</v>
      </c>
      <c r="K618" s="1">
        <v>95</v>
      </c>
      <c r="L618" s="1">
        <v>7</v>
      </c>
      <c r="M618" s="1">
        <v>78</v>
      </c>
      <c r="N618" s="17">
        <v>0.52310000000000001</v>
      </c>
      <c r="O618" s="1">
        <v>29</v>
      </c>
      <c r="P618" s="15">
        <v>0.48649999999999999</v>
      </c>
      <c r="Q618" s="1">
        <v>145.01439999999999</v>
      </c>
      <c r="R618" s="1" t="s">
        <v>40</v>
      </c>
      <c r="S618" s="1">
        <v>336.7296</v>
      </c>
      <c r="T618" s="1" t="s">
        <v>35</v>
      </c>
      <c r="U618" s="1" t="s">
        <v>113</v>
      </c>
    </row>
    <row r="619" spans="1:21" x14ac:dyDescent="0.3">
      <c r="A619" s="1" t="s">
        <v>418</v>
      </c>
      <c r="B619" s="2">
        <v>37799</v>
      </c>
      <c r="C619" s="1">
        <v>21</v>
      </c>
      <c r="D619" s="1">
        <v>172</v>
      </c>
      <c r="E619" s="1" t="s">
        <v>24</v>
      </c>
      <c r="F619" s="1" t="s">
        <v>22</v>
      </c>
      <c r="G619" s="1" t="s">
        <v>23</v>
      </c>
      <c r="H619" s="1" t="s">
        <v>25</v>
      </c>
      <c r="I619" s="1" t="s">
        <v>39</v>
      </c>
      <c r="J619" s="1">
        <v>31</v>
      </c>
      <c r="K619" s="1">
        <v>74</v>
      </c>
      <c r="L619" s="1">
        <v>10</v>
      </c>
      <c r="M619" s="1">
        <v>67</v>
      </c>
      <c r="N619" s="17">
        <v>0.45019999999999999</v>
      </c>
      <c r="O619" s="1">
        <v>84</v>
      </c>
      <c r="P619" s="15">
        <v>0.83250000000000002</v>
      </c>
      <c r="Q619" s="1">
        <v>107.0248</v>
      </c>
      <c r="R619" s="1" t="s">
        <v>40</v>
      </c>
      <c r="S619" s="1">
        <v>267.16269999999997</v>
      </c>
      <c r="T619" s="1" t="s">
        <v>28</v>
      </c>
      <c r="U619" s="1" t="s">
        <v>102</v>
      </c>
    </row>
    <row r="620" spans="1:21" x14ac:dyDescent="0.3">
      <c r="A620" s="1" t="s">
        <v>419</v>
      </c>
      <c r="B620" s="2">
        <v>37877</v>
      </c>
      <c r="C620" s="1">
        <v>21</v>
      </c>
      <c r="D620" s="1">
        <v>168</v>
      </c>
      <c r="E620" s="1" t="s">
        <v>24</v>
      </c>
      <c r="F620" s="1" t="s">
        <v>31</v>
      </c>
      <c r="G620" s="1" t="s">
        <v>23</v>
      </c>
      <c r="H620" s="1" t="s">
        <v>54</v>
      </c>
      <c r="I620" s="1" t="s">
        <v>77</v>
      </c>
      <c r="J620" s="1">
        <v>55</v>
      </c>
      <c r="K620" s="1">
        <v>6</v>
      </c>
      <c r="L620" s="1">
        <v>67</v>
      </c>
      <c r="M620" s="1">
        <v>97</v>
      </c>
      <c r="N620" s="17">
        <v>0.49070000000000003</v>
      </c>
      <c r="O620" s="1">
        <v>95</v>
      </c>
      <c r="P620" s="15">
        <v>0.40679999999999999</v>
      </c>
      <c r="Q620" s="1">
        <v>9.1827000000000005</v>
      </c>
      <c r="R620" s="1" t="s">
        <v>40</v>
      </c>
      <c r="S620" s="1">
        <v>321.25749999999999</v>
      </c>
      <c r="T620" s="1" t="s">
        <v>46</v>
      </c>
      <c r="U620" s="1" t="s">
        <v>29</v>
      </c>
    </row>
    <row r="621" spans="1:21" x14ac:dyDescent="0.3">
      <c r="A621" s="1" t="s">
        <v>420</v>
      </c>
      <c r="B621" s="2">
        <v>37865</v>
      </c>
      <c r="C621" s="1">
        <v>21</v>
      </c>
      <c r="D621" s="1">
        <v>161</v>
      </c>
      <c r="E621" s="1" t="s">
        <v>76</v>
      </c>
      <c r="F621" s="1" t="s">
        <v>87</v>
      </c>
      <c r="G621" s="1" t="s">
        <v>63</v>
      </c>
      <c r="H621" s="1" t="s">
        <v>25</v>
      </c>
      <c r="I621" s="1" t="s">
        <v>105</v>
      </c>
      <c r="J621" s="1">
        <v>116</v>
      </c>
      <c r="K621" s="1">
        <v>26</v>
      </c>
      <c r="L621" s="1">
        <v>50</v>
      </c>
      <c r="M621" s="1">
        <v>69</v>
      </c>
      <c r="N621" s="17">
        <v>0.97270000000000001</v>
      </c>
      <c r="O621" s="1">
        <v>136</v>
      </c>
      <c r="P621" s="15">
        <v>0.74180000000000001</v>
      </c>
      <c r="Q621" s="1">
        <v>50.540599999999998</v>
      </c>
      <c r="R621" s="1" t="s">
        <v>27</v>
      </c>
      <c r="S621" s="1">
        <v>398.61450000000002</v>
      </c>
      <c r="T621" s="1" t="s">
        <v>28</v>
      </c>
      <c r="U621" s="1" t="s">
        <v>47</v>
      </c>
    </row>
    <row r="622" spans="1:21" x14ac:dyDescent="0.3">
      <c r="A622" s="1" t="s">
        <v>421</v>
      </c>
      <c r="B622" s="2">
        <v>37891</v>
      </c>
      <c r="C622" s="1">
        <v>21</v>
      </c>
      <c r="D622" s="1">
        <v>164</v>
      </c>
      <c r="E622" s="1" t="s">
        <v>76</v>
      </c>
      <c r="F622" s="1" t="s">
        <v>49</v>
      </c>
      <c r="G622" s="1" t="s">
        <v>43</v>
      </c>
      <c r="H622" s="1" t="s">
        <v>25</v>
      </c>
      <c r="I622" s="1" t="s">
        <v>96</v>
      </c>
      <c r="J622" s="1">
        <v>147</v>
      </c>
      <c r="K622" s="1">
        <v>79</v>
      </c>
      <c r="L622" s="1">
        <v>76</v>
      </c>
      <c r="M622" s="1">
        <v>81</v>
      </c>
      <c r="N622" s="17">
        <v>0.2737</v>
      </c>
      <c r="O622" s="1">
        <v>176</v>
      </c>
      <c r="P622" s="15">
        <v>0.71020000000000005</v>
      </c>
      <c r="Q622" s="1">
        <v>100.7115</v>
      </c>
      <c r="R622" s="1" t="s">
        <v>40</v>
      </c>
      <c r="S622" s="1">
        <v>560.03390000000002</v>
      </c>
      <c r="T622" s="1" t="s">
        <v>46</v>
      </c>
      <c r="U622" s="1" t="s">
        <v>36</v>
      </c>
    </row>
    <row r="623" spans="1:21" x14ac:dyDescent="0.3">
      <c r="A623" s="1" t="s">
        <v>422</v>
      </c>
      <c r="B623" s="2">
        <v>37788</v>
      </c>
      <c r="C623" s="1">
        <v>21</v>
      </c>
      <c r="D623" s="1">
        <v>182</v>
      </c>
      <c r="E623" s="1" t="s">
        <v>32</v>
      </c>
      <c r="F623" s="1" t="s">
        <v>72</v>
      </c>
      <c r="G623" s="1" t="s">
        <v>53</v>
      </c>
      <c r="H623" s="1" t="s">
        <v>54</v>
      </c>
      <c r="I623" s="1" t="s">
        <v>123</v>
      </c>
      <c r="J623" s="1">
        <v>29</v>
      </c>
      <c r="K623" s="1">
        <v>19</v>
      </c>
      <c r="L623" s="1">
        <v>35</v>
      </c>
      <c r="M623" s="1">
        <v>74</v>
      </c>
      <c r="N623" s="17">
        <v>0.84819999999999995</v>
      </c>
      <c r="O623" s="1">
        <v>111</v>
      </c>
      <c r="P623" s="15">
        <v>0.8115</v>
      </c>
      <c r="Q623" s="1">
        <v>36.002899999999997</v>
      </c>
      <c r="R623" s="1" t="s">
        <v>34</v>
      </c>
      <c r="S623" s="1">
        <v>270.19970000000001</v>
      </c>
      <c r="T623" s="1" t="s">
        <v>28</v>
      </c>
      <c r="U623" s="1" t="s">
        <v>65</v>
      </c>
    </row>
    <row r="624" spans="1:21" x14ac:dyDescent="0.3">
      <c r="A624" s="1" t="s">
        <v>423</v>
      </c>
      <c r="B624" s="2">
        <v>37643</v>
      </c>
      <c r="C624" s="1">
        <v>21</v>
      </c>
      <c r="D624" s="1">
        <v>168</v>
      </c>
      <c r="E624" s="1" t="s">
        <v>24</v>
      </c>
      <c r="F624" s="1" t="s">
        <v>49</v>
      </c>
      <c r="G624" s="1" t="s">
        <v>43</v>
      </c>
      <c r="H624" s="1" t="s">
        <v>54</v>
      </c>
      <c r="I624" s="1" t="s">
        <v>26</v>
      </c>
      <c r="J624" s="1">
        <v>117</v>
      </c>
      <c r="K624" s="1">
        <v>51</v>
      </c>
      <c r="L624" s="1">
        <v>74</v>
      </c>
      <c r="M624" s="1">
        <v>88</v>
      </c>
      <c r="N624" s="17">
        <v>0.42770000000000002</v>
      </c>
      <c r="O624" s="1">
        <v>248</v>
      </c>
      <c r="P624" s="15">
        <v>0.67910000000000004</v>
      </c>
      <c r="Q624" s="1">
        <v>72.941199999999995</v>
      </c>
      <c r="R624" s="1" t="s">
        <v>40</v>
      </c>
      <c r="S624" s="1">
        <v>579.11680000000001</v>
      </c>
      <c r="T624" s="1" t="s">
        <v>46</v>
      </c>
      <c r="U624" s="1" t="s">
        <v>29</v>
      </c>
    </row>
    <row r="625" spans="1:21" x14ac:dyDescent="0.3">
      <c r="A625" s="1" t="s">
        <v>424</v>
      </c>
      <c r="B625" s="2">
        <v>37207</v>
      </c>
      <c r="C625" s="1">
        <v>23</v>
      </c>
      <c r="D625" s="1">
        <v>184</v>
      </c>
      <c r="E625" s="1" t="s">
        <v>32</v>
      </c>
      <c r="F625" s="1" t="s">
        <v>87</v>
      </c>
      <c r="G625" s="1" t="s">
        <v>63</v>
      </c>
      <c r="H625" s="1" t="s">
        <v>54</v>
      </c>
      <c r="I625" s="1" t="s">
        <v>96</v>
      </c>
      <c r="J625" s="1">
        <v>62</v>
      </c>
      <c r="K625" s="1">
        <v>33</v>
      </c>
      <c r="L625" s="1">
        <v>11</v>
      </c>
      <c r="M625" s="1">
        <v>66</v>
      </c>
      <c r="N625" s="17">
        <v>0.94399999999999995</v>
      </c>
      <c r="O625" s="1">
        <v>18</v>
      </c>
      <c r="P625" s="15">
        <v>0.48039999999999999</v>
      </c>
      <c r="Q625" s="1">
        <v>63.918700000000001</v>
      </c>
      <c r="R625" s="1" t="s">
        <v>27</v>
      </c>
      <c r="S625" s="1">
        <v>191.59440000000001</v>
      </c>
      <c r="T625" s="1" t="s">
        <v>28</v>
      </c>
      <c r="U625" s="1" t="s">
        <v>29</v>
      </c>
    </row>
    <row r="626" spans="1:21" x14ac:dyDescent="0.3">
      <c r="A626" s="1" t="s">
        <v>425</v>
      </c>
      <c r="B626" s="2">
        <v>37687</v>
      </c>
      <c r="C626" s="1">
        <v>21</v>
      </c>
      <c r="D626" s="1">
        <v>161</v>
      </c>
      <c r="E626" s="1" t="s">
        <v>76</v>
      </c>
      <c r="F626" s="1" t="s">
        <v>109</v>
      </c>
      <c r="G626" s="1" t="s">
        <v>63</v>
      </c>
      <c r="H626" s="1" t="s">
        <v>54</v>
      </c>
      <c r="I626" s="1" t="s">
        <v>88</v>
      </c>
      <c r="J626" s="1">
        <v>8</v>
      </c>
      <c r="K626" s="1">
        <v>23</v>
      </c>
      <c r="L626" s="1">
        <v>72</v>
      </c>
      <c r="M626" s="1">
        <v>2</v>
      </c>
      <c r="N626" s="17">
        <v>0.69020000000000004</v>
      </c>
      <c r="O626" s="1">
        <v>368</v>
      </c>
      <c r="P626" s="15">
        <v>0.81779999999999997</v>
      </c>
      <c r="Q626" s="1">
        <v>38.621099999999998</v>
      </c>
      <c r="R626" s="1" t="s">
        <v>27</v>
      </c>
      <c r="S626" s="1">
        <v>475.52800000000002</v>
      </c>
      <c r="T626" s="1" t="s">
        <v>35</v>
      </c>
      <c r="U626" s="1" t="s">
        <v>113</v>
      </c>
    </row>
    <row r="627" spans="1:21" x14ac:dyDescent="0.3">
      <c r="A627" s="1" t="s">
        <v>426</v>
      </c>
      <c r="B627" s="2">
        <v>37011</v>
      </c>
      <c r="C627" s="1">
        <v>23</v>
      </c>
      <c r="D627" s="1">
        <v>171</v>
      </c>
      <c r="E627" s="1" t="s">
        <v>24</v>
      </c>
      <c r="F627" s="1" t="s">
        <v>31</v>
      </c>
      <c r="G627" s="1" t="s">
        <v>23</v>
      </c>
      <c r="H627" s="1" t="s">
        <v>54</v>
      </c>
      <c r="I627" s="1" t="s">
        <v>39</v>
      </c>
      <c r="J627" s="1">
        <v>110</v>
      </c>
      <c r="K627" s="1">
        <v>84</v>
      </c>
      <c r="L627" s="1">
        <v>9</v>
      </c>
      <c r="M627" s="1">
        <v>22</v>
      </c>
      <c r="N627" s="17">
        <v>0.19109999999999999</v>
      </c>
      <c r="O627" s="1">
        <v>208</v>
      </c>
      <c r="P627" s="15">
        <v>0.504</v>
      </c>
      <c r="Q627" s="1">
        <v>99.587900000000005</v>
      </c>
      <c r="R627" s="1" t="s">
        <v>45</v>
      </c>
      <c r="S627" s="1">
        <v>434.07510000000002</v>
      </c>
      <c r="T627" s="1" t="s">
        <v>28</v>
      </c>
      <c r="U627" s="1" t="s">
        <v>36</v>
      </c>
    </row>
    <row r="628" spans="1:21" x14ac:dyDescent="0.3">
      <c r="A628" s="1" t="s">
        <v>427</v>
      </c>
      <c r="B628" s="2">
        <v>37742</v>
      </c>
      <c r="C628" s="1">
        <v>21</v>
      </c>
      <c r="D628" s="1">
        <v>177</v>
      </c>
      <c r="E628" s="1" t="s">
        <v>32</v>
      </c>
      <c r="F628" s="1" t="s">
        <v>69</v>
      </c>
      <c r="G628" s="1" t="s">
        <v>43</v>
      </c>
      <c r="H628" s="1" t="s">
        <v>25</v>
      </c>
      <c r="I628" s="1" t="s">
        <v>101</v>
      </c>
      <c r="J628" s="1">
        <v>102</v>
      </c>
      <c r="K628" s="1">
        <v>71</v>
      </c>
      <c r="L628" s="1">
        <v>43</v>
      </c>
      <c r="M628" s="1">
        <v>11</v>
      </c>
      <c r="N628" s="17">
        <v>0.59499999999999997</v>
      </c>
      <c r="O628" s="1">
        <v>317</v>
      </c>
      <c r="P628" s="15">
        <v>0.62709999999999999</v>
      </c>
      <c r="Q628" s="1">
        <v>112.52719999999999</v>
      </c>
      <c r="R628" s="1" t="s">
        <v>34</v>
      </c>
      <c r="S628" s="1">
        <v>545.0521</v>
      </c>
      <c r="T628" s="1" t="s">
        <v>46</v>
      </c>
      <c r="U628" s="1" t="s">
        <v>65</v>
      </c>
    </row>
    <row r="629" spans="1:21" x14ac:dyDescent="0.3">
      <c r="A629" s="1" t="s">
        <v>428</v>
      </c>
      <c r="B629" s="2">
        <v>37556</v>
      </c>
      <c r="C629" s="1">
        <v>22</v>
      </c>
      <c r="D629" s="1">
        <v>177</v>
      </c>
      <c r="E629" s="1" t="s">
        <v>32</v>
      </c>
      <c r="F629" s="1" t="s">
        <v>104</v>
      </c>
      <c r="G629" s="1" t="s">
        <v>53</v>
      </c>
      <c r="H629" s="1" t="s">
        <v>54</v>
      </c>
      <c r="I629" s="1" t="s">
        <v>112</v>
      </c>
      <c r="J629" s="1">
        <v>115</v>
      </c>
      <c r="K629" s="1">
        <v>44</v>
      </c>
      <c r="L629" s="1">
        <v>73</v>
      </c>
      <c r="M629" s="1">
        <v>61</v>
      </c>
      <c r="N629" s="17">
        <v>0.29249999999999998</v>
      </c>
      <c r="O629" s="1">
        <v>226</v>
      </c>
      <c r="P629" s="15">
        <v>0.74460000000000004</v>
      </c>
      <c r="Q629" s="1">
        <v>56.391800000000003</v>
      </c>
      <c r="R629" s="1" t="s">
        <v>40</v>
      </c>
      <c r="S629" s="1">
        <v>519.30709999999999</v>
      </c>
      <c r="T629" s="1" t="s">
        <v>35</v>
      </c>
      <c r="U629" s="1" t="s">
        <v>56</v>
      </c>
    </row>
    <row r="630" spans="1:21" x14ac:dyDescent="0.3">
      <c r="A630" s="1" t="s">
        <v>429</v>
      </c>
      <c r="B630" s="2">
        <v>36962</v>
      </c>
      <c r="C630" s="1">
        <v>23</v>
      </c>
      <c r="D630" s="1">
        <v>183</v>
      </c>
      <c r="E630" s="1" t="s">
        <v>32</v>
      </c>
      <c r="F630" s="1" t="s">
        <v>104</v>
      </c>
      <c r="G630" s="1" t="s">
        <v>53</v>
      </c>
      <c r="H630" s="1" t="s">
        <v>54</v>
      </c>
      <c r="I630" s="1" t="s">
        <v>33</v>
      </c>
      <c r="J630" s="1">
        <v>78</v>
      </c>
      <c r="K630" s="1">
        <v>99</v>
      </c>
      <c r="L630" s="1">
        <v>31</v>
      </c>
      <c r="M630" s="1">
        <v>31</v>
      </c>
      <c r="N630" s="17">
        <v>0.87009999999999998</v>
      </c>
      <c r="O630" s="1">
        <v>90</v>
      </c>
      <c r="P630" s="15">
        <v>0.4098</v>
      </c>
      <c r="Q630" s="1">
        <v>185.7944</v>
      </c>
      <c r="R630" s="1" t="s">
        <v>40</v>
      </c>
      <c r="S630" s="1">
        <v>329.88990000000001</v>
      </c>
      <c r="T630" s="1" t="s">
        <v>46</v>
      </c>
      <c r="U630" s="1" t="s">
        <v>65</v>
      </c>
    </row>
    <row r="631" spans="1:21" x14ac:dyDescent="0.3">
      <c r="A631" s="1" t="s">
        <v>430</v>
      </c>
      <c r="B631" s="2">
        <v>37620</v>
      </c>
      <c r="C631" s="1">
        <v>22</v>
      </c>
      <c r="D631" s="1">
        <v>174</v>
      </c>
      <c r="E631" s="1" t="s">
        <v>24</v>
      </c>
      <c r="F631" s="1" t="s">
        <v>49</v>
      </c>
      <c r="G631" s="1" t="s">
        <v>43</v>
      </c>
      <c r="H631" s="1" t="s">
        <v>25</v>
      </c>
      <c r="I631" s="1" t="s">
        <v>64</v>
      </c>
      <c r="J631" s="1">
        <v>40</v>
      </c>
      <c r="K631" s="1">
        <v>89</v>
      </c>
      <c r="L631" s="1">
        <v>26</v>
      </c>
      <c r="M631" s="1">
        <v>26</v>
      </c>
      <c r="N631" s="17">
        <v>0.61339999999999995</v>
      </c>
      <c r="O631" s="1">
        <v>121</v>
      </c>
      <c r="P631" s="15">
        <v>0.65610000000000002</v>
      </c>
      <c r="Q631" s="1">
        <v>143.7055</v>
      </c>
      <c r="R631" s="1" t="s">
        <v>34</v>
      </c>
      <c r="S631" s="1">
        <v>303.74950000000001</v>
      </c>
      <c r="T631" s="1" t="s">
        <v>46</v>
      </c>
      <c r="U631" s="1" t="s">
        <v>29</v>
      </c>
    </row>
    <row r="632" spans="1:21" x14ac:dyDescent="0.3">
      <c r="A632" s="1" t="s">
        <v>431</v>
      </c>
      <c r="B632" s="2">
        <v>37087</v>
      </c>
      <c r="C632" s="1">
        <v>23</v>
      </c>
      <c r="D632" s="1">
        <v>175</v>
      </c>
      <c r="E632" s="1" t="s">
        <v>32</v>
      </c>
      <c r="F632" s="1" t="s">
        <v>79</v>
      </c>
      <c r="G632" s="1" t="s">
        <v>43</v>
      </c>
      <c r="H632" s="1" t="s">
        <v>54</v>
      </c>
      <c r="I632" s="1" t="s">
        <v>39</v>
      </c>
      <c r="J632" s="1">
        <v>110</v>
      </c>
      <c r="K632" s="1">
        <v>58</v>
      </c>
      <c r="L632" s="1">
        <v>9</v>
      </c>
      <c r="M632" s="1">
        <v>7</v>
      </c>
      <c r="N632" s="17">
        <v>0.41310000000000002</v>
      </c>
      <c r="O632" s="1">
        <v>309</v>
      </c>
      <c r="P632" s="15">
        <v>0.76770000000000005</v>
      </c>
      <c r="Q632" s="1">
        <v>82.030500000000004</v>
      </c>
      <c r="R632" s="1" t="s">
        <v>45</v>
      </c>
      <c r="S632" s="1">
        <v>493.02080000000001</v>
      </c>
      <c r="T632" s="1" t="s">
        <v>28</v>
      </c>
      <c r="U632" s="1" t="s">
        <v>113</v>
      </c>
    </row>
    <row r="633" spans="1:21" x14ac:dyDescent="0.3">
      <c r="A633" s="1" t="s">
        <v>432</v>
      </c>
      <c r="B633" s="2">
        <v>37675</v>
      </c>
      <c r="C633" s="1">
        <v>21</v>
      </c>
      <c r="D633" s="1">
        <v>180</v>
      </c>
      <c r="E633" s="1" t="s">
        <v>32</v>
      </c>
      <c r="F633" s="1" t="s">
        <v>69</v>
      </c>
      <c r="G633" s="1" t="s">
        <v>43</v>
      </c>
      <c r="H633" s="1" t="s">
        <v>25</v>
      </c>
      <c r="I633" s="1" t="s">
        <v>94</v>
      </c>
      <c r="J633" s="1">
        <v>79</v>
      </c>
      <c r="K633" s="1">
        <v>33</v>
      </c>
      <c r="L633" s="1">
        <v>57</v>
      </c>
      <c r="M633" s="1">
        <v>33</v>
      </c>
      <c r="N633" s="17">
        <v>0.2379</v>
      </c>
      <c r="O633" s="1">
        <v>279</v>
      </c>
      <c r="P633" s="15">
        <v>0.70309999999999995</v>
      </c>
      <c r="Q633" s="1">
        <v>40.367899999999999</v>
      </c>
      <c r="R633" s="1" t="s">
        <v>45</v>
      </c>
      <c r="S633" s="1">
        <v>482.38099999999997</v>
      </c>
      <c r="T633" s="1" t="s">
        <v>35</v>
      </c>
      <c r="U633" s="1" t="s">
        <v>113</v>
      </c>
    </row>
    <row r="634" spans="1:21" x14ac:dyDescent="0.3">
      <c r="A634" s="1" t="s">
        <v>433</v>
      </c>
      <c r="B634" s="2">
        <v>37699</v>
      </c>
      <c r="C634" s="1">
        <v>21</v>
      </c>
      <c r="D634" s="1">
        <v>169</v>
      </c>
      <c r="E634" s="1" t="s">
        <v>24</v>
      </c>
      <c r="F634" s="1" t="s">
        <v>38</v>
      </c>
      <c r="G634" s="1" t="s">
        <v>23</v>
      </c>
      <c r="H634" s="1" t="s">
        <v>25</v>
      </c>
      <c r="I634" s="1" t="s">
        <v>64</v>
      </c>
      <c r="J634" s="1">
        <v>51</v>
      </c>
      <c r="K634" s="1">
        <v>48</v>
      </c>
      <c r="L634" s="1">
        <v>75</v>
      </c>
      <c r="M634" s="1">
        <v>55</v>
      </c>
      <c r="N634" s="17">
        <v>0.4587</v>
      </c>
      <c r="O634" s="1">
        <v>106</v>
      </c>
      <c r="P634" s="15">
        <v>0.59550000000000003</v>
      </c>
      <c r="Q634" s="1">
        <v>70.178100000000001</v>
      </c>
      <c r="R634" s="1" t="s">
        <v>34</v>
      </c>
      <c r="S634" s="1">
        <v>336.07420000000002</v>
      </c>
      <c r="T634" s="1" t="s">
        <v>28</v>
      </c>
      <c r="U634" s="1" t="s">
        <v>56</v>
      </c>
    </row>
    <row r="635" spans="1:21" x14ac:dyDescent="0.3">
      <c r="A635" s="1" t="s">
        <v>434</v>
      </c>
      <c r="B635" s="2">
        <v>37293</v>
      </c>
      <c r="C635" s="1">
        <v>22</v>
      </c>
      <c r="D635" s="1">
        <v>180</v>
      </c>
      <c r="E635" s="1" t="s">
        <v>32</v>
      </c>
      <c r="F635" s="1" t="s">
        <v>62</v>
      </c>
      <c r="G635" s="1" t="s">
        <v>63</v>
      </c>
      <c r="H635" s="1" t="s">
        <v>25</v>
      </c>
      <c r="I635" s="1" t="s">
        <v>85</v>
      </c>
      <c r="J635" s="1">
        <v>12</v>
      </c>
      <c r="K635" s="1">
        <v>78</v>
      </c>
      <c r="L635" s="1">
        <v>33</v>
      </c>
      <c r="M635" s="1">
        <v>92</v>
      </c>
      <c r="N635" s="17">
        <v>0.7046</v>
      </c>
      <c r="O635" s="1">
        <v>37</v>
      </c>
      <c r="P635" s="15">
        <v>0.59060000000000001</v>
      </c>
      <c r="Q635" s="1">
        <v>132.78829999999999</v>
      </c>
      <c r="R635" s="1" t="s">
        <v>40</v>
      </c>
      <c r="S635" s="1">
        <v>253.12520000000001</v>
      </c>
      <c r="T635" s="1" t="s">
        <v>28</v>
      </c>
      <c r="U635" s="1" t="s">
        <v>47</v>
      </c>
    </row>
    <row r="636" spans="1:21" x14ac:dyDescent="0.3">
      <c r="A636" s="1" t="s">
        <v>435</v>
      </c>
      <c r="B636" s="2">
        <v>37516</v>
      </c>
      <c r="C636" s="1">
        <v>22</v>
      </c>
      <c r="D636" s="1">
        <v>184</v>
      </c>
      <c r="E636" s="1" t="s">
        <v>32</v>
      </c>
      <c r="F636" s="1" t="s">
        <v>84</v>
      </c>
      <c r="G636" s="1" t="s">
        <v>63</v>
      </c>
      <c r="H636" s="1" t="s">
        <v>25</v>
      </c>
      <c r="I636" s="1" t="s">
        <v>101</v>
      </c>
      <c r="J636" s="1">
        <v>93</v>
      </c>
      <c r="K636" s="1">
        <v>99</v>
      </c>
      <c r="L636" s="1">
        <v>45</v>
      </c>
      <c r="M636" s="1">
        <v>15</v>
      </c>
      <c r="N636" s="17">
        <v>0.83640000000000003</v>
      </c>
      <c r="O636" s="1">
        <v>19</v>
      </c>
      <c r="P636" s="15">
        <v>0.4899</v>
      </c>
      <c r="Q636" s="1">
        <v>181.8587</v>
      </c>
      <c r="R636" s="1" t="s">
        <v>40</v>
      </c>
      <c r="S636" s="1">
        <v>272.30630000000002</v>
      </c>
      <c r="T636" s="1" t="s">
        <v>28</v>
      </c>
      <c r="U636" s="1" t="s">
        <v>113</v>
      </c>
    </row>
    <row r="637" spans="1:21" x14ac:dyDescent="0.3">
      <c r="A637" s="1" t="s">
        <v>436</v>
      </c>
      <c r="B637" s="2">
        <v>37194</v>
      </c>
      <c r="C637" s="1">
        <v>23</v>
      </c>
      <c r="D637" s="1">
        <v>167</v>
      </c>
      <c r="E637" s="1" t="s">
        <v>76</v>
      </c>
      <c r="F637" s="1" t="s">
        <v>38</v>
      </c>
      <c r="G637" s="1" t="s">
        <v>23</v>
      </c>
      <c r="H637" s="1" t="s">
        <v>54</v>
      </c>
      <c r="I637" s="1" t="s">
        <v>26</v>
      </c>
      <c r="J637" s="1">
        <v>52</v>
      </c>
      <c r="K637" s="1">
        <v>81</v>
      </c>
      <c r="L637" s="1">
        <v>31</v>
      </c>
      <c r="M637" s="1">
        <v>48</v>
      </c>
      <c r="N637" s="17">
        <v>0.76600000000000001</v>
      </c>
      <c r="O637" s="1">
        <v>133</v>
      </c>
      <c r="P637" s="15">
        <v>0.49530000000000002</v>
      </c>
      <c r="Q637" s="1">
        <v>142.3749</v>
      </c>
      <c r="R637" s="1" t="s">
        <v>40</v>
      </c>
      <c r="S637" s="1">
        <v>346.31130000000002</v>
      </c>
      <c r="T637" s="1" t="s">
        <v>46</v>
      </c>
      <c r="U637" s="1" t="s">
        <v>56</v>
      </c>
    </row>
    <row r="638" spans="1:21" x14ac:dyDescent="0.3">
      <c r="A638" s="1" t="s">
        <v>437</v>
      </c>
      <c r="B638" s="2">
        <v>37970</v>
      </c>
      <c r="C638" s="1">
        <v>21</v>
      </c>
      <c r="D638" s="1">
        <v>172</v>
      </c>
      <c r="E638" s="1" t="s">
        <v>24</v>
      </c>
      <c r="F638" s="1" t="s">
        <v>49</v>
      </c>
      <c r="G638" s="1" t="s">
        <v>43</v>
      </c>
      <c r="H638" s="1" t="s">
        <v>25</v>
      </c>
      <c r="I638" s="1" t="s">
        <v>88</v>
      </c>
      <c r="J638" s="1">
        <v>26</v>
      </c>
      <c r="K638" s="1">
        <v>29</v>
      </c>
      <c r="L638" s="1">
        <v>79</v>
      </c>
      <c r="M638" s="1">
        <v>62</v>
      </c>
      <c r="N638" s="17">
        <v>0.68930000000000002</v>
      </c>
      <c r="O638" s="1">
        <v>22</v>
      </c>
      <c r="P638" s="15">
        <v>0.40379999999999999</v>
      </c>
      <c r="Q638" s="1">
        <v>49.192399999999999</v>
      </c>
      <c r="R638" s="1" t="s">
        <v>45</v>
      </c>
      <c r="S638" s="1">
        <v>220.0831</v>
      </c>
      <c r="T638" s="1" t="s">
        <v>46</v>
      </c>
      <c r="U638" s="1" t="s">
        <v>47</v>
      </c>
    </row>
    <row r="639" spans="1:21" x14ac:dyDescent="0.3">
      <c r="A639" s="1" t="s">
        <v>438</v>
      </c>
      <c r="B639" s="2">
        <v>37683</v>
      </c>
      <c r="C639" s="1">
        <v>21</v>
      </c>
      <c r="D639" s="1">
        <v>169</v>
      </c>
      <c r="E639" s="1" t="s">
        <v>24</v>
      </c>
      <c r="F639" s="1" t="s">
        <v>84</v>
      </c>
      <c r="G639" s="1" t="s">
        <v>63</v>
      </c>
      <c r="H639" s="1" t="s">
        <v>25</v>
      </c>
      <c r="I639" s="1" t="s">
        <v>107</v>
      </c>
      <c r="J639" s="1">
        <v>77</v>
      </c>
      <c r="K639" s="1">
        <v>71</v>
      </c>
      <c r="L639" s="1">
        <v>90</v>
      </c>
      <c r="M639" s="1">
        <v>49</v>
      </c>
      <c r="N639" s="17">
        <v>0.1792</v>
      </c>
      <c r="O639" s="1">
        <v>239</v>
      </c>
      <c r="P639" s="15">
        <v>0.48949999999999999</v>
      </c>
      <c r="Q639" s="1">
        <v>84.029799999999994</v>
      </c>
      <c r="R639" s="1" t="s">
        <v>45</v>
      </c>
      <c r="S639" s="1">
        <v>527.40869999999995</v>
      </c>
      <c r="T639" s="1" t="s">
        <v>46</v>
      </c>
      <c r="U639" s="1" t="s">
        <v>102</v>
      </c>
    </row>
    <row r="640" spans="1:21" x14ac:dyDescent="0.3">
      <c r="A640" s="1" t="s">
        <v>439</v>
      </c>
      <c r="B640" s="2">
        <v>37516</v>
      </c>
      <c r="C640" s="1">
        <v>22</v>
      </c>
      <c r="D640" s="1">
        <v>176</v>
      </c>
      <c r="E640" s="1" t="s">
        <v>32</v>
      </c>
      <c r="F640" s="1" t="s">
        <v>22</v>
      </c>
      <c r="G640" s="1" t="s">
        <v>23</v>
      </c>
      <c r="H640" s="1" t="s">
        <v>54</v>
      </c>
      <c r="I640" s="1" t="s">
        <v>123</v>
      </c>
      <c r="J640" s="1">
        <v>60</v>
      </c>
      <c r="K640" s="1">
        <v>17</v>
      </c>
      <c r="L640" s="1">
        <v>35</v>
      </c>
      <c r="M640" s="1">
        <v>36</v>
      </c>
      <c r="N640" s="17">
        <v>0.31259999999999999</v>
      </c>
      <c r="O640" s="1">
        <v>250</v>
      </c>
      <c r="P640" s="15">
        <v>0.84019999999999995</v>
      </c>
      <c r="Q640" s="1">
        <v>21.7104</v>
      </c>
      <c r="R640" s="1" t="s">
        <v>40</v>
      </c>
      <c r="S640" s="1">
        <v>398.95280000000002</v>
      </c>
      <c r="T640" s="1" t="s">
        <v>28</v>
      </c>
      <c r="U640" s="1" t="s">
        <v>102</v>
      </c>
    </row>
    <row r="641" spans="1:21" x14ac:dyDescent="0.3">
      <c r="A641" s="1" t="s">
        <v>440</v>
      </c>
      <c r="B641" s="2">
        <v>37465</v>
      </c>
      <c r="C641" s="1">
        <v>22</v>
      </c>
      <c r="D641" s="1">
        <v>177</v>
      </c>
      <c r="E641" s="1" t="s">
        <v>32</v>
      </c>
      <c r="F641" s="1" t="s">
        <v>72</v>
      </c>
      <c r="G641" s="1" t="s">
        <v>53</v>
      </c>
      <c r="H641" s="1" t="s">
        <v>25</v>
      </c>
      <c r="I641" s="1" t="s">
        <v>67</v>
      </c>
      <c r="J641" s="1">
        <v>52</v>
      </c>
      <c r="K641" s="1">
        <v>40</v>
      </c>
      <c r="L641" s="1">
        <v>15</v>
      </c>
      <c r="M641" s="1">
        <v>73</v>
      </c>
      <c r="N641" s="17">
        <v>0.71020000000000005</v>
      </c>
      <c r="O641" s="1">
        <v>209</v>
      </c>
      <c r="P641" s="15">
        <v>0.79269999999999996</v>
      </c>
      <c r="Q641" s="1">
        <v>68.219899999999996</v>
      </c>
      <c r="R641" s="1" t="s">
        <v>34</v>
      </c>
      <c r="S641" s="1">
        <v>389.94290000000001</v>
      </c>
      <c r="T641" s="1" t="s">
        <v>35</v>
      </c>
      <c r="U641" s="1" t="s">
        <v>36</v>
      </c>
    </row>
    <row r="642" spans="1:21" x14ac:dyDescent="0.3">
      <c r="A642" s="1" t="s">
        <v>441</v>
      </c>
      <c r="B642" s="2">
        <v>37566</v>
      </c>
      <c r="C642" s="1">
        <v>22</v>
      </c>
      <c r="D642" s="1">
        <v>179</v>
      </c>
      <c r="E642" s="1" t="s">
        <v>32</v>
      </c>
      <c r="F642" s="1" t="s">
        <v>49</v>
      </c>
      <c r="G642" s="1" t="s">
        <v>43</v>
      </c>
      <c r="H642" s="1" t="s">
        <v>54</v>
      </c>
      <c r="I642" s="1" t="s">
        <v>64</v>
      </c>
      <c r="J642" s="1">
        <v>32</v>
      </c>
      <c r="K642" s="1">
        <v>15</v>
      </c>
      <c r="L642" s="1">
        <v>55</v>
      </c>
      <c r="M642" s="1">
        <v>80</v>
      </c>
      <c r="N642" s="17">
        <v>0.37809999999999999</v>
      </c>
      <c r="O642" s="1">
        <v>345</v>
      </c>
      <c r="P642" s="15">
        <v>0.71730000000000005</v>
      </c>
      <c r="Q642" s="1">
        <v>20.285599999999999</v>
      </c>
      <c r="R642" s="1" t="s">
        <v>34</v>
      </c>
      <c r="S642" s="1">
        <v>527.59540000000004</v>
      </c>
      <c r="T642" s="1" t="s">
        <v>35</v>
      </c>
      <c r="U642" s="1" t="s">
        <v>113</v>
      </c>
    </row>
    <row r="643" spans="1:21" x14ac:dyDescent="0.3">
      <c r="A643" s="1" t="s">
        <v>442</v>
      </c>
      <c r="B643" s="2">
        <v>37030</v>
      </c>
      <c r="C643" s="1">
        <v>23</v>
      </c>
      <c r="D643" s="1">
        <v>170</v>
      </c>
      <c r="E643" s="1" t="s">
        <v>24</v>
      </c>
      <c r="F643" s="1" t="s">
        <v>49</v>
      </c>
      <c r="G643" s="1" t="s">
        <v>43</v>
      </c>
      <c r="H643" s="1" t="s">
        <v>25</v>
      </c>
      <c r="I643" s="1" t="s">
        <v>73</v>
      </c>
      <c r="J643" s="1">
        <v>48</v>
      </c>
      <c r="K643" s="1">
        <v>88</v>
      </c>
      <c r="L643" s="1">
        <v>73</v>
      </c>
      <c r="M643" s="1">
        <v>77</v>
      </c>
      <c r="N643" s="17">
        <v>0.47260000000000002</v>
      </c>
      <c r="O643" s="1">
        <v>352</v>
      </c>
      <c r="P643" s="15">
        <v>0.58509999999999995</v>
      </c>
      <c r="Q643" s="1">
        <v>129.70660000000001</v>
      </c>
      <c r="R643" s="1" t="s">
        <v>45</v>
      </c>
      <c r="S643" s="1">
        <v>639.3877</v>
      </c>
      <c r="T643" s="1" t="s">
        <v>46</v>
      </c>
      <c r="U643" s="1" t="s">
        <v>113</v>
      </c>
    </row>
    <row r="644" spans="1:21" x14ac:dyDescent="0.3">
      <c r="A644" s="1" t="s">
        <v>443</v>
      </c>
      <c r="B644" s="2">
        <v>36945</v>
      </c>
      <c r="C644" s="1">
        <v>23</v>
      </c>
      <c r="D644" s="1">
        <v>165</v>
      </c>
      <c r="E644" s="1" t="s">
        <v>76</v>
      </c>
      <c r="F644" s="1" t="s">
        <v>72</v>
      </c>
      <c r="G644" s="1" t="s">
        <v>53</v>
      </c>
      <c r="H644" s="1" t="s">
        <v>54</v>
      </c>
      <c r="I644" s="1" t="s">
        <v>82</v>
      </c>
      <c r="J644" s="1">
        <v>90</v>
      </c>
      <c r="K644" s="1">
        <v>24</v>
      </c>
      <c r="L644" s="1">
        <v>4</v>
      </c>
      <c r="M644" s="1">
        <v>9</v>
      </c>
      <c r="N644" s="17">
        <v>0.22070000000000001</v>
      </c>
      <c r="O644" s="1">
        <v>312</v>
      </c>
      <c r="P644" s="15">
        <v>0.78080000000000005</v>
      </c>
      <c r="Q644" s="1">
        <v>29.125900000000001</v>
      </c>
      <c r="R644" s="1" t="s">
        <v>45</v>
      </c>
      <c r="S644" s="1">
        <v>439.32150000000001</v>
      </c>
      <c r="T644" s="1" t="s">
        <v>46</v>
      </c>
      <c r="U644" s="1" t="s">
        <v>102</v>
      </c>
    </row>
    <row r="645" spans="1:21" x14ac:dyDescent="0.3">
      <c r="A645" s="1" t="s">
        <v>444</v>
      </c>
      <c r="B645" s="2">
        <v>37862</v>
      </c>
      <c r="C645" s="1">
        <v>21</v>
      </c>
      <c r="D645" s="1">
        <v>175</v>
      </c>
      <c r="E645" s="1" t="s">
        <v>32</v>
      </c>
      <c r="F645" s="1" t="s">
        <v>84</v>
      </c>
      <c r="G645" s="1" t="s">
        <v>63</v>
      </c>
      <c r="H645" s="1" t="s">
        <v>25</v>
      </c>
      <c r="I645" s="1" t="s">
        <v>70</v>
      </c>
      <c r="J645" s="1">
        <v>30</v>
      </c>
      <c r="K645" s="1">
        <v>4</v>
      </c>
      <c r="L645" s="1">
        <v>77</v>
      </c>
      <c r="M645" s="1">
        <v>2</v>
      </c>
      <c r="N645" s="17">
        <v>0.47170000000000001</v>
      </c>
      <c r="O645" s="1">
        <v>109</v>
      </c>
      <c r="P645" s="15">
        <v>0.73409999999999997</v>
      </c>
      <c r="Q645" s="1">
        <v>6.1664000000000003</v>
      </c>
      <c r="R645" s="1" t="s">
        <v>34</v>
      </c>
      <c r="S645" s="1">
        <v>223.04580000000001</v>
      </c>
      <c r="T645" s="1" t="s">
        <v>28</v>
      </c>
      <c r="U645" s="1" t="s">
        <v>29</v>
      </c>
    </row>
    <row r="646" spans="1:21" x14ac:dyDescent="0.3">
      <c r="A646" s="1" t="s">
        <v>445</v>
      </c>
      <c r="B646" s="2">
        <v>37557</v>
      </c>
      <c r="C646" s="1">
        <v>22</v>
      </c>
      <c r="D646" s="1">
        <v>182</v>
      </c>
      <c r="E646" s="1" t="s">
        <v>32</v>
      </c>
      <c r="F646" s="1" t="s">
        <v>52</v>
      </c>
      <c r="G646" s="1" t="s">
        <v>53</v>
      </c>
      <c r="H646" s="1" t="s">
        <v>54</v>
      </c>
      <c r="I646" s="1" t="s">
        <v>85</v>
      </c>
      <c r="J646" s="1">
        <v>65</v>
      </c>
      <c r="K646" s="1">
        <v>78</v>
      </c>
      <c r="L646" s="1">
        <v>61</v>
      </c>
      <c r="M646" s="1">
        <v>83</v>
      </c>
      <c r="N646" s="17">
        <v>0.45469999999999999</v>
      </c>
      <c r="O646" s="1">
        <v>288</v>
      </c>
      <c r="P646" s="15">
        <v>0.8226</v>
      </c>
      <c r="Q646" s="1">
        <v>113.2484</v>
      </c>
      <c r="R646" s="1" t="s">
        <v>27</v>
      </c>
      <c r="S646" s="1">
        <v>575.9973</v>
      </c>
      <c r="T646" s="1" t="s">
        <v>46</v>
      </c>
      <c r="U646" s="1" t="s">
        <v>29</v>
      </c>
    </row>
    <row r="647" spans="1:21" x14ac:dyDescent="0.3">
      <c r="A647" s="1" t="s">
        <v>446</v>
      </c>
      <c r="B647" s="2">
        <v>37954</v>
      </c>
      <c r="C647" s="1">
        <v>21</v>
      </c>
      <c r="D647" s="1">
        <v>167</v>
      </c>
      <c r="E647" s="1" t="s">
        <v>76</v>
      </c>
      <c r="F647" s="1" t="s">
        <v>104</v>
      </c>
      <c r="G647" s="1" t="s">
        <v>53</v>
      </c>
      <c r="H647" s="1" t="s">
        <v>54</v>
      </c>
      <c r="I647" s="1" t="s">
        <v>39</v>
      </c>
      <c r="J647" s="1">
        <v>84</v>
      </c>
      <c r="K647" s="1">
        <v>52</v>
      </c>
      <c r="L647" s="1">
        <v>63</v>
      </c>
      <c r="M647" s="1">
        <v>6</v>
      </c>
      <c r="N647" s="17">
        <v>0.4582</v>
      </c>
      <c r="O647" s="1">
        <v>117</v>
      </c>
      <c r="P647" s="15">
        <v>0.53700000000000003</v>
      </c>
      <c r="Q647" s="1">
        <v>75.972200000000001</v>
      </c>
      <c r="R647" s="1" t="s">
        <v>40</v>
      </c>
      <c r="S647" s="1">
        <v>323.68520000000001</v>
      </c>
      <c r="T647" s="1" t="s">
        <v>35</v>
      </c>
      <c r="U647" s="1" t="s">
        <v>36</v>
      </c>
    </row>
    <row r="648" spans="1:21" x14ac:dyDescent="0.3">
      <c r="A648" s="1" t="s">
        <v>447</v>
      </c>
      <c r="B648" s="2">
        <v>37950</v>
      </c>
      <c r="C648" s="1">
        <v>21</v>
      </c>
      <c r="D648" s="1">
        <v>182</v>
      </c>
      <c r="E648" s="1" t="s">
        <v>32</v>
      </c>
      <c r="F648" s="1" t="s">
        <v>98</v>
      </c>
      <c r="G648" s="1" t="s">
        <v>23</v>
      </c>
      <c r="H648" s="1" t="s">
        <v>25</v>
      </c>
      <c r="I648" s="1" t="s">
        <v>119</v>
      </c>
      <c r="J648" s="1">
        <v>125</v>
      </c>
      <c r="K648" s="1">
        <v>46</v>
      </c>
      <c r="L648" s="1">
        <v>73</v>
      </c>
      <c r="M648" s="1">
        <v>12</v>
      </c>
      <c r="N648" s="17">
        <v>0.94410000000000005</v>
      </c>
      <c r="O648" s="1">
        <v>312</v>
      </c>
      <c r="P648" s="15">
        <v>0.71330000000000005</v>
      </c>
      <c r="Q648" s="1">
        <v>88.884299999999996</v>
      </c>
      <c r="R648" s="1" t="s">
        <v>34</v>
      </c>
      <c r="S648" s="1">
        <v>568.47739999999999</v>
      </c>
      <c r="T648" s="1" t="s">
        <v>35</v>
      </c>
      <c r="U648" s="1" t="s">
        <v>56</v>
      </c>
    </row>
    <row r="649" spans="1:21" x14ac:dyDescent="0.3">
      <c r="A649" s="1" t="s">
        <v>448</v>
      </c>
      <c r="B649" s="2">
        <v>37821</v>
      </c>
      <c r="C649" s="1">
        <v>21</v>
      </c>
      <c r="D649" s="1">
        <v>165</v>
      </c>
      <c r="E649" s="1" t="s">
        <v>76</v>
      </c>
      <c r="F649" s="1" t="s">
        <v>79</v>
      </c>
      <c r="G649" s="1" t="s">
        <v>43</v>
      </c>
      <c r="H649" s="1" t="s">
        <v>25</v>
      </c>
      <c r="I649" s="1" t="s">
        <v>119</v>
      </c>
      <c r="J649" s="1">
        <v>14</v>
      </c>
      <c r="K649" s="1">
        <v>33</v>
      </c>
      <c r="L649" s="1">
        <v>65</v>
      </c>
      <c r="M649" s="1">
        <v>71</v>
      </c>
      <c r="N649" s="17">
        <v>0.75990000000000002</v>
      </c>
      <c r="O649" s="1">
        <v>66</v>
      </c>
      <c r="P649" s="15">
        <v>0.441</v>
      </c>
      <c r="Q649" s="1">
        <v>58.217500000000001</v>
      </c>
      <c r="R649" s="1" t="s">
        <v>45</v>
      </c>
      <c r="S649" s="1">
        <v>251.80090000000001</v>
      </c>
      <c r="T649" s="1" t="s">
        <v>46</v>
      </c>
      <c r="U649" s="1" t="s">
        <v>47</v>
      </c>
    </row>
    <row r="650" spans="1:21" x14ac:dyDescent="0.3">
      <c r="A650" s="1" t="s">
        <v>449</v>
      </c>
      <c r="B650" s="2">
        <v>37939</v>
      </c>
      <c r="C650" s="1">
        <v>21</v>
      </c>
      <c r="D650" s="1">
        <v>183</v>
      </c>
      <c r="E650" s="1" t="s">
        <v>32</v>
      </c>
      <c r="F650" s="1" t="s">
        <v>38</v>
      </c>
      <c r="G650" s="1" t="s">
        <v>23</v>
      </c>
      <c r="H650" s="1" t="s">
        <v>25</v>
      </c>
      <c r="I650" s="1" t="s">
        <v>107</v>
      </c>
      <c r="J650" s="1">
        <v>83</v>
      </c>
      <c r="K650" s="1">
        <v>5</v>
      </c>
      <c r="L650" s="1">
        <v>18</v>
      </c>
      <c r="M650" s="1">
        <v>34</v>
      </c>
      <c r="N650" s="17">
        <v>0.87639999999999996</v>
      </c>
      <c r="O650" s="1">
        <v>349</v>
      </c>
      <c r="P650" s="15">
        <v>0.47299999999999998</v>
      </c>
      <c r="Q650" s="1">
        <v>10.0387</v>
      </c>
      <c r="R650" s="1" t="s">
        <v>34</v>
      </c>
      <c r="S650" s="1">
        <v>490.44940000000003</v>
      </c>
      <c r="T650" s="1" t="s">
        <v>28</v>
      </c>
      <c r="U650" s="1" t="s">
        <v>113</v>
      </c>
    </row>
    <row r="651" spans="1:21" x14ac:dyDescent="0.3">
      <c r="A651" s="1" t="s">
        <v>450</v>
      </c>
      <c r="B651" s="2">
        <v>37805</v>
      </c>
      <c r="C651" s="1">
        <v>21</v>
      </c>
      <c r="D651" s="1">
        <v>169</v>
      </c>
      <c r="E651" s="1" t="s">
        <v>24</v>
      </c>
      <c r="F651" s="1" t="s">
        <v>31</v>
      </c>
      <c r="G651" s="1" t="s">
        <v>23</v>
      </c>
      <c r="H651" s="1" t="s">
        <v>54</v>
      </c>
      <c r="I651" s="1" t="s">
        <v>73</v>
      </c>
      <c r="J651" s="1">
        <v>19</v>
      </c>
      <c r="K651" s="1">
        <v>14</v>
      </c>
      <c r="L651" s="1">
        <v>21</v>
      </c>
      <c r="M651" s="1">
        <v>63</v>
      </c>
      <c r="N651" s="17">
        <v>0.51280000000000003</v>
      </c>
      <c r="O651" s="1">
        <v>102</v>
      </c>
      <c r="P651" s="15">
        <v>0.78490000000000004</v>
      </c>
      <c r="Q651" s="1">
        <v>21.224599999999999</v>
      </c>
      <c r="R651" s="1" t="s">
        <v>27</v>
      </c>
      <c r="S651" s="1">
        <v>219.54769999999999</v>
      </c>
      <c r="T651" s="1" t="s">
        <v>46</v>
      </c>
      <c r="U651" s="1" t="s">
        <v>56</v>
      </c>
    </row>
    <row r="652" spans="1:21" x14ac:dyDescent="0.3">
      <c r="A652" s="1" t="s">
        <v>451</v>
      </c>
      <c r="B652" s="2">
        <v>37054</v>
      </c>
      <c r="C652" s="1">
        <v>23</v>
      </c>
      <c r="D652" s="1">
        <v>174</v>
      </c>
      <c r="E652" s="1" t="s">
        <v>24</v>
      </c>
      <c r="F652" s="1" t="s">
        <v>69</v>
      </c>
      <c r="G652" s="1" t="s">
        <v>43</v>
      </c>
      <c r="H652" s="1" t="s">
        <v>25</v>
      </c>
      <c r="I652" s="1" t="s">
        <v>85</v>
      </c>
      <c r="J652" s="1">
        <v>132</v>
      </c>
      <c r="K652" s="1">
        <v>29</v>
      </c>
      <c r="L652" s="1">
        <v>63</v>
      </c>
      <c r="M652" s="1">
        <v>82</v>
      </c>
      <c r="N652" s="17">
        <v>0.26640000000000003</v>
      </c>
      <c r="O652" s="1">
        <v>84</v>
      </c>
      <c r="P652" s="15">
        <v>0.42480000000000001</v>
      </c>
      <c r="Q652" s="1">
        <v>36.130400000000002</v>
      </c>
      <c r="R652" s="1" t="s">
        <v>40</v>
      </c>
      <c r="S652" s="1">
        <v>390.93119999999999</v>
      </c>
      <c r="T652" s="1" t="s">
        <v>28</v>
      </c>
      <c r="U652" s="1" t="s">
        <v>36</v>
      </c>
    </row>
    <row r="653" spans="1:21" x14ac:dyDescent="0.3">
      <c r="A653" s="1" t="s">
        <v>452</v>
      </c>
      <c r="B653" s="2">
        <v>37115</v>
      </c>
      <c r="C653" s="1">
        <v>23</v>
      </c>
      <c r="D653" s="1">
        <v>161</v>
      </c>
      <c r="E653" s="1" t="s">
        <v>76</v>
      </c>
      <c r="F653" s="1" t="s">
        <v>31</v>
      </c>
      <c r="G653" s="1" t="s">
        <v>23</v>
      </c>
      <c r="H653" s="1" t="s">
        <v>54</v>
      </c>
      <c r="I653" s="1" t="s">
        <v>73</v>
      </c>
      <c r="J653" s="1">
        <v>25</v>
      </c>
      <c r="K653" s="1">
        <v>29</v>
      </c>
      <c r="L653" s="1">
        <v>66</v>
      </c>
      <c r="M653" s="1">
        <v>70</v>
      </c>
      <c r="N653" s="17">
        <v>0.60599999999999998</v>
      </c>
      <c r="O653" s="1">
        <v>229</v>
      </c>
      <c r="P653" s="15">
        <v>0.83479999999999999</v>
      </c>
      <c r="Q653" s="1">
        <v>46.814900000000002</v>
      </c>
      <c r="R653" s="1" t="s">
        <v>40</v>
      </c>
      <c r="S653" s="1">
        <v>421.68079999999998</v>
      </c>
      <c r="T653" s="1" t="s">
        <v>28</v>
      </c>
      <c r="U653" s="1" t="s">
        <v>29</v>
      </c>
    </row>
    <row r="654" spans="1:21" x14ac:dyDescent="0.3">
      <c r="A654" s="1" t="s">
        <v>453</v>
      </c>
      <c r="B654" s="2">
        <v>37030</v>
      </c>
      <c r="C654" s="1">
        <v>23</v>
      </c>
      <c r="D654" s="1">
        <v>172</v>
      </c>
      <c r="E654" s="1" t="s">
        <v>24</v>
      </c>
      <c r="F654" s="1" t="s">
        <v>75</v>
      </c>
      <c r="G654" s="1" t="s">
        <v>53</v>
      </c>
      <c r="H654" s="1" t="s">
        <v>54</v>
      </c>
      <c r="I654" s="1" t="s">
        <v>50</v>
      </c>
      <c r="J654" s="1">
        <v>45</v>
      </c>
      <c r="K654" s="1">
        <v>14</v>
      </c>
      <c r="L654" s="1">
        <v>70</v>
      </c>
      <c r="M654" s="1">
        <v>28</v>
      </c>
      <c r="N654" s="17">
        <v>0.57220000000000004</v>
      </c>
      <c r="O654" s="1">
        <v>211</v>
      </c>
      <c r="P654" s="15">
        <v>0.71309999999999996</v>
      </c>
      <c r="Q654" s="1">
        <v>22.5139</v>
      </c>
      <c r="R654" s="1" t="s">
        <v>27</v>
      </c>
      <c r="S654" s="1">
        <v>369.46530000000001</v>
      </c>
      <c r="T654" s="1" t="s">
        <v>28</v>
      </c>
      <c r="U654" s="1" t="s">
        <v>65</v>
      </c>
    </row>
    <row r="655" spans="1:21" x14ac:dyDescent="0.3">
      <c r="A655" s="1" t="s">
        <v>454</v>
      </c>
      <c r="B655" s="2">
        <v>37540</v>
      </c>
      <c r="C655" s="1">
        <v>22</v>
      </c>
      <c r="D655" s="1">
        <v>173</v>
      </c>
      <c r="E655" s="1" t="s">
        <v>24</v>
      </c>
      <c r="F655" s="1" t="s">
        <v>38</v>
      </c>
      <c r="G655" s="1" t="s">
        <v>23</v>
      </c>
      <c r="H655" s="1" t="s">
        <v>54</v>
      </c>
      <c r="I655" s="1" t="s">
        <v>101</v>
      </c>
      <c r="J655" s="1">
        <v>139</v>
      </c>
      <c r="K655" s="1">
        <v>62</v>
      </c>
      <c r="L655" s="1">
        <v>50</v>
      </c>
      <c r="M655" s="1">
        <v>73</v>
      </c>
      <c r="N655" s="17">
        <v>0.82720000000000005</v>
      </c>
      <c r="O655" s="1">
        <v>200</v>
      </c>
      <c r="P655" s="15">
        <v>0.79759999999999998</v>
      </c>
      <c r="Q655" s="1">
        <v>112.9392</v>
      </c>
      <c r="R655" s="1" t="s">
        <v>34</v>
      </c>
      <c r="S655" s="1">
        <v>525.50480000000005</v>
      </c>
      <c r="T655" s="1" t="s">
        <v>46</v>
      </c>
      <c r="U655" s="1" t="s">
        <v>47</v>
      </c>
    </row>
    <row r="656" spans="1:21" x14ac:dyDescent="0.3">
      <c r="A656" s="1" t="s">
        <v>455</v>
      </c>
      <c r="B656" s="2">
        <v>37844</v>
      </c>
      <c r="C656" s="1">
        <v>21</v>
      </c>
      <c r="D656" s="1">
        <v>160</v>
      </c>
      <c r="E656" s="1" t="s">
        <v>76</v>
      </c>
      <c r="F656" s="1" t="s">
        <v>62</v>
      </c>
      <c r="G656" s="1" t="s">
        <v>63</v>
      </c>
      <c r="H656" s="1" t="s">
        <v>25</v>
      </c>
      <c r="I656" s="1" t="s">
        <v>80</v>
      </c>
      <c r="J656" s="1">
        <v>120</v>
      </c>
      <c r="K656" s="1">
        <v>100</v>
      </c>
      <c r="L656" s="1">
        <v>42</v>
      </c>
      <c r="M656" s="1">
        <v>34</v>
      </c>
      <c r="N656" s="17">
        <v>0.67379999999999995</v>
      </c>
      <c r="O656" s="1">
        <v>225</v>
      </c>
      <c r="P656" s="15">
        <v>0.40510000000000002</v>
      </c>
      <c r="Q656" s="1">
        <v>167.21260000000001</v>
      </c>
      <c r="R656" s="1" t="s">
        <v>34</v>
      </c>
      <c r="S656" s="1">
        <v>521.76890000000003</v>
      </c>
      <c r="T656" s="1" t="s">
        <v>46</v>
      </c>
      <c r="U656" s="1" t="s">
        <v>47</v>
      </c>
    </row>
    <row r="657" spans="1:21" x14ac:dyDescent="0.3">
      <c r="A657" s="1" t="s">
        <v>456</v>
      </c>
      <c r="B657" s="2">
        <v>37929</v>
      </c>
      <c r="C657" s="1">
        <v>21</v>
      </c>
      <c r="D657" s="1">
        <v>169</v>
      </c>
      <c r="E657" s="1" t="s">
        <v>24</v>
      </c>
      <c r="F657" s="1" t="s">
        <v>72</v>
      </c>
      <c r="G657" s="1" t="s">
        <v>53</v>
      </c>
      <c r="H657" s="1" t="s">
        <v>54</v>
      </c>
      <c r="I657" s="1" t="s">
        <v>26</v>
      </c>
      <c r="J657" s="1">
        <v>18</v>
      </c>
      <c r="K657" s="1">
        <v>34</v>
      </c>
      <c r="L657" s="1">
        <v>40</v>
      </c>
      <c r="M657" s="1">
        <v>57</v>
      </c>
      <c r="N657" s="17">
        <v>0.8488</v>
      </c>
      <c r="O657" s="1">
        <v>384</v>
      </c>
      <c r="P657" s="15">
        <v>0.48730000000000001</v>
      </c>
      <c r="Q657" s="1">
        <v>62.859200000000001</v>
      </c>
      <c r="R657" s="1" t="s">
        <v>40</v>
      </c>
      <c r="S657" s="1">
        <v>534.91610000000003</v>
      </c>
      <c r="T657" s="1" t="s">
        <v>46</v>
      </c>
      <c r="U657" s="1" t="s">
        <v>56</v>
      </c>
    </row>
    <row r="658" spans="1:21" x14ac:dyDescent="0.3">
      <c r="A658" s="1" t="s">
        <v>457</v>
      </c>
      <c r="B658" s="2">
        <v>37210</v>
      </c>
      <c r="C658" s="1">
        <v>23</v>
      </c>
      <c r="D658" s="1">
        <v>175</v>
      </c>
      <c r="E658" s="1" t="s">
        <v>32</v>
      </c>
      <c r="F658" s="1" t="s">
        <v>109</v>
      </c>
      <c r="G658" s="1" t="s">
        <v>63</v>
      </c>
      <c r="H658" s="1" t="s">
        <v>54</v>
      </c>
      <c r="I658" s="1" t="s">
        <v>99</v>
      </c>
      <c r="J658" s="1">
        <v>70</v>
      </c>
      <c r="K658" s="1">
        <v>82</v>
      </c>
      <c r="L658" s="1">
        <v>93</v>
      </c>
      <c r="M658" s="1">
        <v>7</v>
      </c>
      <c r="N658" s="17">
        <v>0.60840000000000005</v>
      </c>
      <c r="O658" s="1">
        <v>209</v>
      </c>
      <c r="P658" s="15">
        <v>0.70520000000000005</v>
      </c>
      <c r="Q658" s="1">
        <v>131.24539999999999</v>
      </c>
      <c r="R658" s="1" t="s">
        <v>27</v>
      </c>
      <c r="S658" s="1">
        <v>461.1336</v>
      </c>
      <c r="T658" s="1" t="s">
        <v>28</v>
      </c>
      <c r="U658" s="1" t="s">
        <v>65</v>
      </c>
    </row>
    <row r="659" spans="1:21" x14ac:dyDescent="0.3">
      <c r="A659" s="1" t="s">
        <v>458</v>
      </c>
      <c r="B659" s="2">
        <v>37466</v>
      </c>
      <c r="C659" s="1">
        <v>22</v>
      </c>
      <c r="D659" s="1">
        <v>164</v>
      </c>
      <c r="E659" s="1" t="s">
        <v>76</v>
      </c>
      <c r="F659" s="1" t="s">
        <v>79</v>
      </c>
      <c r="G659" s="1" t="s">
        <v>43</v>
      </c>
      <c r="H659" s="1" t="s">
        <v>25</v>
      </c>
      <c r="I659" s="1" t="s">
        <v>99</v>
      </c>
      <c r="J659" s="1">
        <v>148</v>
      </c>
      <c r="K659" s="1">
        <v>63</v>
      </c>
      <c r="L659" s="1">
        <v>84</v>
      </c>
      <c r="M659" s="1">
        <v>58</v>
      </c>
      <c r="N659" s="17">
        <v>0.63570000000000004</v>
      </c>
      <c r="O659" s="1">
        <v>156</v>
      </c>
      <c r="P659" s="15">
        <v>0.78910000000000002</v>
      </c>
      <c r="Q659" s="1">
        <v>103.0818</v>
      </c>
      <c r="R659" s="1" t="s">
        <v>40</v>
      </c>
      <c r="S659" s="1">
        <v>510.37479999999999</v>
      </c>
      <c r="T659" s="1" t="s">
        <v>46</v>
      </c>
      <c r="U659" s="1" t="s">
        <v>113</v>
      </c>
    </row>
    <row r="660" spans="1:21" x14ac:dyDescent="0.3">
      <c r="A660" s="1" t="s">
        <v>459</v>
      </c>
      <c r="B660" s="2">
        <v>37069</v>
      </c>
      <c r="C660" s="1">
        <v>23</v>
      </c>
      <c r="D660" s="1">
        <v>173</v>
      </c>
      <c r="E660" s="1" t="s">
        <v>24</v>
      </c>
      <c r="F660" s="1" t="s">
        <v>79</v>
      </c>
      <c r="G660" s="1" t="s">
        <v>43</v>
      </c>
      <c r="H660" s="1" t="s">
        <v>54</v>
      </c>
      <c r="I660" s="1" t="s">
        <v>85</v>
      </c>
      <c r="J660" s="1">
        <v>56</v>
      </c>
      <c r="K660" s="1">
        <v>83</v>
      </c>
      <c r="L660" s="1">
        <v>31</v>
      </c>
      <c r="M660" s="1">
        <v>53</v>
      </c>
      <c r="N660" s="17">
        <v>0.43680000000000002</v>
      </c>
      <c r="O660" s="1">
        <v>71</v>
      </c>
      <c r="P660" s="15">
        <v>0.4168</v>
      </c>
      <c r="Q660" s="1">
        <v>119.4268</v>
      </c>
      <c r="R660" s="1" t="s">
        <v>34</v>
      </c>
      <c r="S660" s="1">
        <v>295.11360000000002</v>
      </c>
      <c r="T660" s="1" t="s">
        <v>28</v>
      </c>
      <c r="U660" s="1" t="s">
        <v>56</v>
      </c>
    </row>
    <row r="661" spans="1:21" x14ac:dyDescent="0.3">
      <c r="A661" s="1" t="s">
        <v>460</v>
      </c>
      <c r="B661" s="2">
        <v>37281</v>
      </c>
      <c r="C661" s="1">
        <v>22</v>
      </c>
      <c r="D661" s="1">
        <v>164</v>
      </c>
      <c r="E661" s="1" t="s">
        <v>76</v>
      </c>
      <c r="F661" s="1" t="s">
        <v>22</v>
      </c>
      <c r="G661" s="1" t="s">
        <v>23</v>
      </c>
      <c r="H661" s="1" t="s">
        <v>54</v>
      </c>
      <c r="I661" s="1" t="s">
        <v>121</v>
      </c>
      <c r="J661" s="1">
        <v>110</v>
      </c>
      <c r="K661" s="1">
        <v>53</v>
      </c>
      <c r="L661" s="1">
        <v>78</v>
      </c>
      <c r="M661" s="1">
        <v>15</v>
      </c>
      <c r="N661" s="17">
        <v>0.83989999999999998</v>
      </c>
      <c r="O661" s="1">
        <v>349</v>
      </c>
      <c r="P661" s="15">
        <v>0.82210000000000005</v>
      </c>
      <c r="Q661" s="1">
        <v>97.220299999999995</v>
      </c>
      <c r="R661" s="1" t="s">
        <v>34</v>
      </c>
      <c r="S661" s="1">
        <v>606.452</v>
      </c>
      <c r="T661" s="1" t="s">
        <v>28</v>
      </c>
      <c r="U661" s="1" t="s">
        <v>102</v>
      </c>
    </row>
    <row r="662" spans="1:21" x14ac:dyDescent="0.3">
      <c r="A662" s="1" t="s">
        <v>461</v>
      </c>
      <c r="B662" s="2">
        <v>37961</v>
      </c>
      <c r="C662" s="1">
        <v>21</v>
      </c>
      <c r="D662" s="1">
        <v>182</v>
      </c>
      <c r="E662" s="1" t="s">
        <v>32</v>
      </c>
      <c r="F662" s="1" t="s">
        <v>31</v>
      </c>
      <c r="G662" s="1" t="s">
        <v>23</v>
      </c>
      <c r="H662" s="1" t="s">
        <v>25</v>
      </c>
      <c r="I662" s="1" t="s">
        <v>26</v>
      </c>
      <c r="J662" s="1">
        <v>47</v>
      </c>
      <c r="K662" s="1">
        <v>5</v>
      </c>
      <c r="L662" s="1">
        <v>85</v>
      </c>
      <c r="M662" s="1">
        <v>87</v>
      </c>
      <c r="N662" s="17">
        <v>0.90029999999999999</v>
      </c>
      <c r="O662" s="1">
        <v>134</v>
      </c>
      <c r="P662" s="15">
        <v>0.44640000000000002</v>
      </c>
      <c r="Q662" s="1">
        <v>10.185600000000001</v>
      </c>
      <c r="R662" s="1" t="s">
        <v>40</v>
      </c>
      <c r="S662" s="1">
        <v>360.30669999999998</v>
      </c>
      <c r="T662" s="1" t="s">
        <v>28</v>
      </c>
      <c r="U662" s="1" t="s">
        <v>65</v>
      </c>
    </row>
    <row r="663" spans="1:21" x14ac:dyDescent="0.3">
      <c r="A663" s="1" t="s">
        <v>462</v>
      </c>
      <c r="B663" s="2">
        <v>37302</v>
      </c>
      <c r="C663" s="1">
        <v>22</v>
      </c>
      <c r="D663" s="1">
        <v>170</v>
      </c>
      <c r="E663" s="1" t="s">
        <v>24</v>
      </c>
      <c r="F663" s="1" t="s">
        <v>75</v>
      </c>
      <c r="G663" s="1" t="s">
        <v>53</v>
      </c>
      <c r="H663" s="1" t="s">
        <v>25</v>
      </c>
      <c r="I663" s="1" t="s">
        <v>92</v>
      </c>
      <c r="J663" s="1">
        <v>42</v>
      </c>
      <c r="K663" s="1">
        <v>33</v>
      </c>
      <c r="L663" s="1">
        <v>45</v>
      </c>
      <c r="M663" s="1">
        <v>13</v>
      </c>
      <c r="N663" s="17">
        <v>0.3463</v>
      </c>
      <c r="O663" s="1">
        <v>61</v>
      </c>
      <c r="P663" s="15">
        <v>0.40689999999999998</v>
      </c>
      <c r="Q663" s="1">
        <v>43.889400000000002</v>
      </c>
      <c r="R663" s="1" t="s">
        <v>27</v>
      </c>
      <c r="S663" s="1">
        <v>193.47319999999999</v>
      </c>
      <c r="T663" s="1" t="s">
        <v>28</v>
      </c>
      <c r="U663" s="1" t="s">
        <v>65</v>
      </c>
    </row>
    <row r="664" spans="1:21" x14ac:dyDescent="0.3">
      <c r="A664" s="1" t="s">
        <v>463</v>
      </c>
      <c r="B664" s="2">
        <v>37181</v>
      </c>
      <c r="C664" s="1">
        <v>23</v>
      </c>
      <c r="D664" s="1">
        <v>168</v>
      </c>
      <c r="E664" s="1" t="s">
        <v>24</v>
      </c>
      <c r="F664" s="1" t="s">
        <v>84</v>
      </c>
      <c r="G664" s="1" t="s">
        <v>63</v>
      </c>
      <c r="H664" s="1" t="s">
        <v>54</v>
      </c>
      <c r="I664" s="1" t="s">
        <v>85</v>
      </c>
      <c r="J664" s="1">
        <v>27</v>
      </c>
      <c r="K664" s="1">
        <v>32</v>
      </c>
      <c r="L664" s="1">
        <v>89</v>
      </c>
      <c r="M664" s="1">
        <v>55</v>
      </c>
      <c r="N664" s="17">
        <v>0.12609999999999999</v>
      </c>
      <c r="O664" s="1">
        <v>21</v>
      </c>
      <c r="P664" s="15">
        <v>0.80649999999999999</v>
      </c>
      <c r="Q664" s="1">
        <v>35.843800000000002</v>
      </c>
      <c r="R664" s="1" t="s">
        <v>27</v>
      </c>
      <c r="S664" s="1">
        <v>224.37260000000001</v>
      </c>
      <c r="T664" s="1" t="s">
        <v>28</v>
      </c>
      <c r="U664" s="1" t="s">
        <v>56</v>
      </c>
    </row>
    <row r="665" spans="1:21" x14ac:dyDescent="0.3">
      <c r="A665" s="1" t="s">
        <v>464</v>
      </c>
      <c r="B665" s="2">
        <v>37258</v>
      </c>
      <c r="C665" s="1">
        <v>22</v>
      </c>
      <c r="D665" s="1">
        <v>172</v>
      </c>
      <c r="E665" s="1" t="s">
        <v>24</v>
      </c>
      <c r="F665" s="1" t="s">
        <v>31</v>
      </c>
      <c r="G665" s="1" t="s">
        <v>23</v>
      </c>
      <c r="H665" s="1" t="s">
        <v>54</v>
      </c>
      <c r="I665" s="1" t="s">
        <v>101</v>
      </c>
      <c r="J665" s="1">
        <v>48</v>
      </c>
      <c r="K665" s="1">
        <v>82</v>
      </c>
      <c r="L665" s="1">
        <v>72</v>
      </c>
      <c r="M665" s="1">
        <v>67</v>
      </c>
      <c r="N665" s="17">
        <v>0.97629999999999995</v>
      </c>
      <c r="O665" s="1">
        <v>214</v>
      </c>
      <c r="P665" s="15">
        <v>0.74009999999999998</v>
      </c>
      <c r="Q665" s="1">
        <v>161.91829999999999</v>
      </c>
      <c r="R665" s="1" t="s">
        <v>45</v>
      </c>
      <c r="S665" s="1">
        <v>484.0564</v>
      </c>
      <c r="T665" s="1" t="s">
        <v>46</v>
      </c>
      <c r="U665" s="1" t="s">
        <v>36</v>
      </c>
    </row>
    <row r="666" spans="1:21" x14ac:dyDescent="0.3">
      <c r="A666" s="1" t="s">
        <v>465</v>
      </c>
      <c r="B666" s="2">
        <v>37825</v>
      </c>
      <c r="C666" s="1">
        <v>21</v>
      </c>
      <c r="D666" s="1">
        <v>163</v>
      </c>
      <c r="E666" s="1" t="s">
        <v>76</v>
      </c>
      <c r="F666" s="1" t="s">
        <v>38</v>
      </c>
      <c r="G666" s="1" t="s">
        <v>23</v>
      </c>
      <c r="H666" s="1" t="s">
        <v>54</v>
      </c>
      <c r="I666" s="1" t="s">
        <v>119</v>
      </c>
      <c r="J666" s="1">
        <v>71</v>
      </c>
      <c r="K666" s="1">
        <v>95</v>
      </c>
      <c r="L666" s="1">
        <v>15</v>
      </c>
      <c r="M666" s="1">
        <v>90</v>
      </c>
      <c r="N666" s="17">
        <v>0.42709999999999998</v>
      </c>
      <c r="O666" s="1">
        <v>104</v>
      </c>
      <c r="P666" s="15">
        <v>0.48249999999999998</v>
      </c>
      <c r="Q666" s="1">
        <v>135.28909999999999</v>
      </c>
      <c r="R666" s="1" t="s">
        <v>40</v>
      </c>
      <c r="S666" s="1">
        <v>375.67959999999999</v>
      </c>
      <c r="T666" s="1" t="s">
        <v>35</v>
      </c>
      <c r="U666" s="1" t="s">
        <v>56</v>
      </c>
    </row>
    <row r="667" spans="1:21" x14ac:dyDescent="0.3">
      <c r="A667" s="1" t="s">
        <v>466</v>
      </c>
      <c r="B667" s="2">
        <v>37123</v>
      </c>
      <c r="C667" s="1">
        <v>23</v>
      </c>
      <c r="D667" s="1">
        <v>175</v>
      </c>
      <c r="E667" s="1" t="s">
        <v>32</v>
      </c>
      <c r="F667" s="1" t="s">
        <v>109</v>
      </c>
      <c r="G667" s="1" t="s">
        <v>63</v>
      </c>
      <c r="H667" s="1" t="s">
        <v>54</v>
      </c>
      <c r="I667" s="1" t="s">
        <v>121</v>
      </c>
      <c r="J667" s="1">
        <v>70</v>
      </c>
      <c r="K667" s="1">
        <v>18</v>
      </c>
      <c r="L667" s="1">
        <v>77</v>
      </c>
      <c r="M667" s="1">
        <v>61</v>
      </c>
      <c r="N667" s="17">
        <v>0.19259999999999999</v>
      </c>
      <c r="O667" s="1">
        <v>52</v>
      </c>
      <c r="P667" s="15">
        <v>0.76790000000000003</v>
      </c>
      <c r="Q667" s="1">
        <v>21.359500000000001</v>
      </c>
      <c r="R667" s="1" t="s">
        <v>27</v>
      </c>
      <c r="S667" s="1">
        <v>278.3005</v>
      </c>
      <c r="T667" s="1" t="s">
        <v>35</v>
      </c>
      <c r="U667" s="1" t="s">
        <v>65</v>
      </c>
    </row>
    <row r="668" spans="1:21" x14ac:dyDescent="0.3">
      <c r="A668" s="1" t="s">
        <v>467</v>
      </c>
      <c r="B668" s="2">
        <v>37738</v>
      </c>
      <c r="C668" s="1">
        <v>21</v>
      </c>
      <c r="D668" s="1">
        <v>172</v>
      </c>
      <c r="E668" s="1" t="s">
        <v>24</v>
      </c>
      <c r="F668" s="1" t="s">
        <v>38</v>
      </c>
      <c r="G668" s="1" t="s">
        <v>23</v>
      </c>
      <c r="H668" s="1" t="s">
        <v>25</v>
      </c>
      <c r="I668" s="1" t="s">
        <v>85</v>
      </c>
      <c r="J668" s="1">
        <v>83</v>
      </c>
      <c r="K668" s="1">
        <v>97</v>
      </c>
      <c r="L668" s="1">
        <v>39</v>
      </c>
      <c r="M668" s="1">
        <v>35</v>
      </c>
      <c r="N668" s="17">
        <v>0.63190000000000002</v>
      </c>
      <c r="O668" s="1">
        <v>326</v>
      </c>
      <c r="P668" s="15">
        <v>0.75290000000000001</v>
      </c>
      <c r="Q668" s="1">
        <v>158.97970000000001</v>
      </c>
      <c r="R668" s="1" t="s">
        <v>45</v>
      </c>
      <c r="S668" s="1">
        <v>580.9248</v>
      </c>
      <c r="T668" s="1" t="s">
        <v>46</v>
      </c>
      <c r="U668" s="1" t="s">
        <v>113</v>
      </c>
    </row>
    <row r="669" spans="1:21" x14ac:dyDescent="0.3">
      <c r="A669" s="1" t="s">
        <v>468</v>
      </c>
      <c r="B669" s="2">
        <v>37051</v>
      </c>
      <c r="C669" s="1">
        <v>23</v>
      </c>
      <c r="D669" s="1">
        <v>165</v>
      </c>
      <c r="E669" s="1" t="s">
        <v>76</v>
      </c>
      <c r="F669" s="1" t="s">
        <v>79</v>
      </c>
      <c r="G669" s="1" t="s">
        <v>43</v>
      </c>
      <c r="H669" s="1" t="s">
        <v>54</v>
      </c>
      <c r="I669" s="1" t="s">
        <v>60</v>
      </c>
      <c r="J669" s="1">
        <v>89</v>
      </c>
      <c r="K669" s="1">
        <v>47</v>
      </c>
      <c r="L669" s="1">
        <v>56</v>
      </c>
      <c r="M669" s="1">
        <v>82</v>
      </c>
      <c r="N669" s="17">
        <v>0.96030000000000004</v>
      </c>
      <c r="O669" s="1">
        <v>71</v>
      </c>
      <c r="P669" s="15">
        <v>0.43130000000000002</v>
      </c>
      <c r="Q669" s="1">
        <v>91.800799999999995</v>
      </c>
      <c r="R669" s="1" t="s">
        <v>27</v>
      </c>
      <c r="S669" s="1">
        <v>347.07159999999999</v>
      </c>
      <c r="T669" s="1" t="s">
        <v>46</v>
      </c>
      <c r="U669" s="1" t="s">
        <v>113</v>
      </c>
    </row>
    <row r="670" spans="1:21" x14ac:dyDescent="0.3">
      <c r="A670" s="1" t="s">
        <v>469</v>
      </c>
      <c r="B670" s="2">
        <v>37017</v>
      </c>
      <c r="C670" s="1">
        <v>23</v>
      </c>
      <c r="D670" s="1">
        <v>180</v>
      </c>
      <c r="E670" s="1" t="s">
        <v>32</v>
      </c>
      <c r="F670" s="1" t="s">
        <v>87</v>
      </c>
      <c r="G670" s="1" t="s">
        <v>63</v>
      </c>
      <c r="H670" s="1" t="s">
        <v>25</v>
      </c>
      <c r="I670" s="1" t="s">
        <v>80</v>
      </c>
      <c r="J670" s="1">
        <v>123</v>
      </c>
      <c r="K670" s="1">
        <v>89</v>
      </c>
      <c r="L670" s="1">
        <v>90</v>
      </c>
      <c r="M670" s="1">
        <v>64</v>
      </c>
      <c r="N670" s="17">
        <v>0.2321</v>
      </c>
      <c r="O670" s="1">
        <v>1</v>
      </c>
      <c r="P670" s="15">
        <v>0.46710000000000002</v>
      </c>
      <c r="Q670" s="1">
        <v>109.4598</v>
      </c>
      <c r="R670" s="1" t="s">
        <v>40</v>
      </c>
      <c r="S670" s="1">
        <v>367.74919999999997</v>
      </c>
      <c r="T670" s="1" t="s">
        <v>35</v>
      </c>
      <c r="U670" s="1" t="s">
        <v>65</v>
      </c>
    </row>
    <row r="671" spans="1:21" x14ac:dyDescent="0.3">
      <c r="A671" s="1" t="s">
        <v>470</v>
      </c>
      <c r="B671" s="2">
        <v>37540</v>
      </c>
      <c r="C671" s="1">
        <v>22</v>
      </c>
      <c r="D671" s="1">
        <v>181</v>
      </c>
      <c r="E671" s="1" t="s">
        <v>32</v>
      </c>
      <c r="F671" s="1" t="s">
        <v>104</v>
      </c>
      <c r="G671" s="1" t="s">
        <v>53</v>
      </c>
      <c r="H671" s="1" t="s">
        <v>54</v>
      </c>
      <c r="I671" s="1" t="s">
        <v>94</v>
      </c>
      <c r="J671" s="1">
        <v>138</v>
      </c>
      <c r="K671" s="1">
        <v>94</v>
      </c>
      <c r="L671" s="1">
        <v>72</v>
      </c>
      <c r="M671" s="1">
        <v>92</v>
      </c>
      <c r="N671" s="17">
        <v>0.62450000000000006</v>
      </c>
      <c r="O671" s="1">
        <v>396</v>
      </c>
      <c r="P671" s="15">
        <v>0.67520000000000002</v>
      </c>
      <c r="Q671" s="1">
        <v>152.26439999999999</v>
      </c>
      <c r="R671" s="1" t="s">
        <v>45</v>
      </c>
      <c r="S671" s="1">
        <v>792.67970000000003</v>
      </c>
      <c r="T671" s="1" t="s">
        <v>28</v>
      </c>
      <c r="U671" s="1" t="s">
        <v>113</v>
      </c>
    </row>
    <row r="672" spans="1:21" x14ac:dyDescent="0.3">
      <c r="A672" s="1" t="s">
        <v>471</v>
      </c>
      <c r="B672" s="2">
        <v>37000</v>
      </c>
      <c r="C672" s="1">
        <v>23</v>
      </c>
      <c r="D672" s="1">
        <v>177</v>
      </c>
      <c r="E672" s="1" t="s">
        <v>32</v>
      </c>
      <c r="F672" s="1" t="s">
        <v>75</v>
      </c>
      <c r="G672" s="1" t="s">
        <v>53</v>
      </c>
      <c r="H672" s="1" t="s">
        <v>25</v>
      </c>
      <c r="I672" s="1" t="s">
        <v>101</v>
      </c>
      <c r="J672" s="1">
        <v>17</v>
      </c>
      <c r="K672" s="1">
        <v>29</v>
      </c>
      <c r="L672" s="1">
        <v>4</v>
      </c>
      <c r="M672" s="1">
        <v>44</v>
      </c>
      <c r="N672" s="17">
        <v>0.66269999999999996</v>
      </c>
      <c r="O672" s="1">
        <v>236</v>
      </c>
      <c r="P672" s="15">
        <v>0.72030000000000005</v>
      </c>
      <c r="Q672" s="1">
        <v>48.118499999999997</v>
      </c>
      <c r="R672" s="1" t="s">
        <v>45</v>
      </c>
      <c r="S672" s="1">
        <v>331.983</v>
      </c>
      <c r="T672" s="1" t="s">
        <v>35</v>
      </c>
      <c r="U672" s="1" t="s">
        <v>56</v>
      </c>
    </row>
    <row r="673" spans="1:21" x14ac:dyDescent="0.3">
      <c r="A673" s="1" t="s">
        <v>472</v>
      </c>
      <c r="B673" s="2">
        <v>37176</v>
      </c>
      <c r="C673" s="1">
        <v>23</v>
      </c>
      <c r="D673" s="1">
        <v>175</v>
      </c>
      <c r="E673" s="1" t="s">
        <v>32</v>
      </c>
      <c r="F673" s="1" t="s">
        <v>62</v>
      </c>
      <c r="G673" s="1" t="s">
        <v>63</v>
      </c>
      <c r="H673" s="1" t="s">
        <v>25</v>
      </c>
      <c r="I673" s="1" t="s">
        <v>107</v>
      </c>
      <c r="J673" s="1">
        <v>127</v>
      </c>
      <c r="K673" s="1">
        <v>37</v>
      </c>
      <c r="L673" s="1">
        <v>42</v>
      </c>
      <c r="M673" s="1">
        <v>30</v>
      </c>
      <c r="N673" s="17">
        <v>0.21299999999999999</v>
      </c>
      <c r="O673" s="1">
        <v>349</v>
      </c>
      <c r="P673" s="15">
        <v>0.4052</v>
      </c>
      <c r="Q673" s="1">
        <v>44.480699999999999</v>
      </c>
      <c r="R673" s="1" t="s">
        <v>27</v>
      </c>
      <c r="S673" s="1">
        <v>585.03819999999996</v>
      </c>
      <c r="T673" s="1" t="s">
        <v>28</v>
      </c>
      <c r="U673" s="1" t="s">
        <v>102</v>
      </c>
    </row>
    <row r="674" spans="1:21" x14ac:dyDescent="0.3">
      <c r="A674" s="1" t="s">
        <v>473</v>
      </c>
      <c r="B674" s="2">
        <v>37065</v>
      </c>
      <c r="C674" s="1">
        <v>23</v>
      </c>
      <c r="D674" s="1">
        <v>164</v>
      </c>
      <c r="E674" s="1" t="s">
        <v>76</v>
      </c>
      <c r="F674" s="1" t="s">
        <v>109</v>
      </c>
      <c r="G674" s="1" t="s">
        <v>63</v>
      </c>
      <c r="H674" s="1" t="s">
        <v>25</v>
      </c>
      <c r="I674" s="1" t="s">
        <v>112</v>
      </c>
      <c r="J674" s="1">
        <v>129</v>
      </c>
      <c r="K674" s="1">
        <v>89</v>
      </c>
      <c r="L674" s="1">
        <v>70</v>
      </c>
      <c r="M674" s="1">
        <v>93</v>
      </c>
      <c r="N674" s="17">
        <v>0.50900000000000001</v>
      </c>
      <c r="O674" s="1">
        <v>250</v>
      </c>
      <c r="P674" s="15">
        <v>0.59089999999999998</v>
      </c>
      <c r="Q674" s="1">
        <v>134.99510000000001</v>
      </c>
      <c r="R674" s="1" t="s">
        <v>45</v>
      </c>
      <c r="S674" s="1">
        <v>632.33989999999994</v>
      </c>
      <c r="T674" s="1" t="s">
        <v>35</v>
      </c>
      <c r="U674" s="1" t="s">
        <v>47</v>
      </c>
    </row>
    <row r="675" spans="1:21" x14ac:dyDescent="0.3">
      <c r="A675" s="1" t="s">
        <v>474</v>
      </c>
      <c r="B675" s="2">
        <v>36907</v>
      </c>
      <c r="C675" s="1">
        <v>23</v>
      </c>
      <c r="D675" s="1">
        <v>179</v>
      </c>
      <c r="E675" s="1" t="s">
        <v>32</v>
      </c>
      <c r="F675" s="1" t="s">
        <v>69</v>
      </c>
      <c r="G675" s="1" t="s">
        <v>43</v>
      </c>
      <c r="H675" s="1" t="s">
        <v>54</v>
      </c>
      <c r="I675" s="1" t="s">
        <v>85</v>
      </c>
      <c r="J675" s="1">
        <v>107</v>
      </c>
      <c r="K675" s="1">
        <v>28</v>
      </c>
      <c r="L675" s="1">
        <v>93</v>
      </c>
      <c r="M675" s="1">
        <v>58</v>
      </c>
      <c r="N675" s="17">
        <v>0.1341</v>
      </c>
      <c r="O675" s="1">
        <v>14</v>
      </c>
      <c r="P675" s="15">
        <v>0.61750000000000005</v>
      </c>
      <c r="Q675" s="1">
        <v>31.369199999999999</v>
      </c>
      <c r="R675" s="1" t="s">
        <v>40</v>
      </c>
      <c r="S675" s="1">
        <v>300.66160000000002</v>
      </c>
      <c r="T675" s="1" t="s">
        <v>28</v>
      </c>
      <c r="U675" s="1" t="s">
        <v>65</v>
      </c>
    </row>
    <row r="676" spans="1:21" x14ac:dyDescent="0.3">
      <c r="A676" s="1" t="s">
        <v>475</v>
      </c>
      <c r="B676" s="2">
        <v>37970</v>
      </c>
      <c r="C676" s="1">
        <v>21</v>
      </c>
      <c r="D676" s="1">
        <v>164</v>
      </c>
      <c r="E676" s="1" t="s">
        <v>76</v>
      </c>
      <c r="F676" s="1" t="s">
        <v>109</v>
      </c>
      <c r="G676" s="1" t="s">
        <v>63</v>
      </c>
      <c r="H676" s="1" t="s">
        <v>54</v>
      </c>
      <c r="I676" s="1" t="s">
        <v>119</v>
      </c>
      <c r="J676" s="1">
        <v>78</v>
      </c>
      <c r="K676" s="1">
        <v>53</v>
      </c>
      <c r="L676" s="1">
        <v>61</v>
      </c>
      <c r="M676" s="1">
        <v>25</v>
      </c>
      <c r="N676" s="17">
        <v>0.69740000000000002</v>
      </c>
      <c r="O676" s="1">
        <v>253</v>
      </c>
      <c r="P676" s="15">
        <v>0.70089999999999997</v>
      </c>
      <c r="Q676" s="1">
        <v>89.639700000000005</v>
      </c>
      <c r="R676" s="1" t="s">
        <v>40</v>
      </c>
      <c r="S676" s="1">
        <v>471.54829999999998</v>
      </c>
      <c r="T676" s="1" t="s">
        <v>46</v>
      </c>
      <c r="U676" s="1" t="s">
        <v>29</v>
      </c>
    </row>
    <row r="677" spans="1:21" x14ac:dyDescent="0.3">
      <c r="A677" s="1" t="s">
        <v>476</v>
      </c>
      <c r="B677" s="2">
        <v>37821</v>
      </c>
      <c r="C677" s="1">
        <v>21</v>
      </c>
      <c r="D677" s="1">
        <v>175</v>
      </c>
      <c r="E677" s="1" t="s">
        <v>32</v>
      </c>
      <c r="F677" s="1" t="s">
        <v>79</v>
      </c>
      <c r="G677" s="1" t="s">
        <v>43</v>
      </c>
      <c r="H677" s="1" t="s">
        <v>54</v>
      </c>
      <c r="I677" s="1" t="s">
        <v>99</v>
      </c>
      <c r="J677" s="1">
        <v>64</v>
      </c>
      <c r="K677" s="1">
        <v>96</v>
      </c>
      <c r="L677" s="1">
        <v>80</v>
      </c>
      <c r="M677" s="1">
        <v>30</v>
      </c>
      <c r="N677" s="17">
        <v>0.93059999999999998</v>
      </c>
      <c r="O677" s="1">
        <v>15</v>
      </c>
      <c r="P677" s="15">
        <v>0.73719999999999997</v>
      </c>
      <c r="Q677" s="1">
        <v>185.5307</v>
      </c>
      <c r="R677" s="1" t="s">
        <v>40</v>
      </c>
      <c r="S677" s="1">
        <v>286.24779999999998</v>
      </c>
      <c r="T677" s="1" t="s">
        <v>28</v>
      </c>
      <c r="U677" s="1" t="s">
        <v>102</v>
      </c>
    </row>
    <row r="678" spans="1:21" x14ac:dyDescent="0.3">
      <c r="A678" s="1" t="s">
        <v>477</v>
      </c>
      <c r="B678" s="2">
        <v>36997</v>
      </c>
      <c r="C678" s="1">
        <v>23</v>
      </c>
      <c r="D678" s="1">
        <v>178</v>
      </c>
      <c r="E678" s="1" t="s">
        <v>32</v>
      </c>
      <c r="F678" s="1" t="s">
        <v>109</v>
      </c>
      <c r="G678" s="1" t="s">
        <v>63</v>
      </c>
      <c r="H678" s="1" t="s">
        <v>54</v>
      </c>
      <c r="I678" s="1" t="s">
        <v>33</v>
      </c>
      <c r="J678" s="1">
        <v>44</v>
      </c>
      <c r="K678" s="1">
        <v>9</v>
      </c>
      <c r="L678" s="1">
        <v>51</v>
      </c>
      <c r="M678" s="1">
        <v>85</v>
      </c>
      <c r="N678" s="17">
        <v>0.21929999999999999</v>
      </c>
      <c r="O678" s="1">
        <v>112</v>
      </c>
      <c r="P678" s="15">
        <v>0.52639999999999998</v>
      </c>
      <c r="Q678" s="1">
        <v>11.180999999999999</v>
      </c>
      <c r="R678" s="1" t="s">
        <v>40</v>
      </c>
      <c r="S678" s="1">
        <v>301.85570000000001</v>
      </c>
      <c r="T678" s="1" t="s">
        <v>28</v>
      </c>
      <c r="U678" s="1" t="s">
        <v>102</v>
      </c>
    </row>
    <row r="679" spans="1:21" x14ac:dyDescent="0.3">
      <c r="A679" s="1" t="s">
        <v>478</v>
      </c>
      <c r="B679" s="2">
        <v>37201</v>
      </c>
      <c r="C679" s="1">
        <v>23</v>
      </c>
      <c r="D679" s="1">
        <v>178</v>
      </c>
      <c r="E679" s="1" t="s">
        <v>32</v>
      </c>
      <c r="F679" s="1" t="s">
        <v>42</v>
      </c>
      <c r="G679" s="1" t="s">
        <v>43</v>
      </c>
      <c r="H679" s="1" t="s">
        <v>54</v>
      </c>
      <c r="I679" s="1" t="s">
        <v>105</v>
      </c>
      <c r="J679" s="1">
        <v>121</v>
      </c>
      <c r="K679" s="1">
        <v>27</v>
      </c>
      <c r="L679" s="1">
        <v>70</v>
      </c>
      <c r="M679" s="1">
        <v>49</v>
      </c>
      <c r="N679" s="17">
        <v>0.87580000000000002</v>
      </c>
      <c r="O679" s="1">
        <v>320</v>
      </c>
      <c r="P679" s="15">
        <v>0.55430000000000001</v>
      </c>
      <c r="Q679" s="1">
        <v>50.384</v>
      </c>
      <c r="R679" s="1" t="s">
        <v>27</v>
      </c>
      <c r="S679" s="1">
        <v>589.00009999999997</v>
      </c>
      <c r="T679" s="1" t="s">
        <v>28</v>
      </c>
      <c r="U679" s="1" t="s">
        <v>65</v>
      </c>
    </row>
    <row r="680" spans="1:21" x14ac:dyDescent="0.3">
      <c r="A680" s="1" t="s">
        <v>479</v>
      </c>
      <c r="B680" s="2">
        <v>37676</v>
      </c>
      <c r="C680" s="1">
        <v>21</v>
      </c>
      <c r="D680" s="1">
        <v>184</v>
      </c>
      <c r="E680" s="1" t="s">
        <v>32</v>
      </c>
      <c r="F680" s="1" t="s">
        <v>49</v>
      </c>
      <c r="G680" s="1" t="s">
        <v>43</v>
      </c>
      <c r="H680" s="1" t="s">
        <v>25</v>
      </c>
      <c r="I680" s="1" t="s">
        <v>117</v>
      </c>
      <c r="J680" s="1">
        <v>109</v>
      </c>
      <c r="K680" s="1">
        <v>18</v>
      </c>
      <c r="L680" s="1">
        <v>58</v>
      </c>
      <c r="M680" s="1">
        <v>84</v>
      </c>
      <c r="N680" s="17">
        <v>0.33800000000000002</v>
      </c>
      <c r="O680" s="1">
        <v>23</v>
      </c>
      <c r="P680" s="15">
        <v>0.76880000000000004</v>
      </c>
      <c r="Q680" s="1">
        <v>23.4953</v>
      </c>
      <c r="R680" s="1" t="s">
        <v>27</v>
      </c>
      <c r="S680" s="1">
        <v>293.05680000000001</v>
      </c>
      <c r="T680" s="1" t="s">
        <v>28</v>
      </c>
      <c r="U680" s="1" t="s">
        <v>56</v>
      </c>
    </row>
    <row r="681" spans="1:21" x14ac:dyDescent="0.3">
      <c r="A681" s="1" t="s">
        <v>480</v>
      </c>
      <c r="B681" s="2">
        <v>37982</v>
      </c>
      <c r="C681" s="1">
        <v>21</v>
      </c>
      <c r="D681" s="1">
        <v>175</v>
      </c>
      <c r="E681" s="1" t="s">
        <v>32</v>
      </c>
      <c r="F681" s="1" t="s">
        <v>87</v>
      </c>
      <c r="G681" s="1" t="s">
        <v>63</v>
      </c>
      <c r="H681" s="1" t="s">
        <v>25</v>
      </c>
      <c r="I681" s="1" t="s">
        <v>107</v>
      </c>
      <c r="J681" s="1">
        <v>103</v>
      </c>
      <c r="K681" s="1">
        <v>40</v>
      </c>
      <c r="L681" s="1">
        <v>27</v>
      </c>
      <c r="M681" s="1">
        <v>54</v>
      </c>
      <c r="N681" s="17">
        <v>0.3599</v>
      </c>
      <c r="O681" s="1">
        <v>174</v>
      </c>
      <c r="P681" s="15">
        <v>0.75880000000000003</v>
      </c>
      <c r="Q681" s="1">
        <v>53.879199999999997</v>
      </c>
      <c r="R681" s="1" t="s">
        <v>45</v>
      </c>
      <c r="S681" s="1">
        <v>398.5487</v>
      </c>
      <c r="T681" s="1" t="s">
        <v>46</v>
      </c>
      <c r="U681" s="1" t="s">
        <v>47</v>
      </c>
    </row>
    <row r="682" spans="1:21" x14ac:dyDescent="0.3">
      <c r="A682" s="1" t="s">
        <v>481</v>
      </c>
      <c r="B682" s="2">
        <v>37450</v>
      </c>
      <c r="C682" s="1">
        <v>22</v>
      </c>
      <c r="D682" s="1">
        <v>173</v>
      </c>
      <c r="E682" s="1" t="s">
        <v>24</v>
      </c>
      <c r="F682" s="1" t="s">
        <v>31</v>
      </c>
      <c r="G682" s="1" t="s">
        <v>23</v>
      </c>
      <c r="H682" s="1" t="s">
        <v>54</v>
      </c>
      <c r="I682" s="1" t="s">
        <v>90</v>
      </c>
      <c r="J682" s="1">
        <v>41</v>
      </c>
      <c r="K682" s="1">
        <v>11</v>
      </c>
      <c r="L682" s="1">
        <v>66</v>
      </c>
      <c r="M682" s="1">
        <v>40</v>
      </c>
      <c r="N682" s="17">
        <v>0.7742</v>
      </c>
      <c r="O682" s="1">
        <v>309</v>
      </c>
      <c r="P682" s="15">
        <v>0.73040000000000005</v>
      </c>
      <c r="Q682" s="1">
        <v>19.037199999999999</v>
      </c>
      <c r="R682" s="1" t="s">
        <v>34</v>
      </c>
      <c r="S682" s="1">
        <v>468.02460000000002</v>
      </c>
      <c r="T682" s="1" t="s">
        <v>46</v>
      </c>
      <c r="U682" s="1" t="s">
        <v>47</v>
      </c>
    </row>
    <row r="683" spans="1:21" x14ac:dyDescent="0.3">
      <c r="A683" s="1" t="s">
        <v>482</v>
      </c>
      <c r="B683" s="2">
        <v>36909</v>
      </c>
      <c r="C683" s="1">
        <v>23</v>
      </c>
      <c r="D683" s="1">
        <v>181</v>
      </c>
      <c r="E683" s="1" t="s">
        <v>32</v>
      </c>
      <c r="F683" s="1" t="s">
        <v>52</v>
      </c>
      <c r="G683" s="1" t="s">
        <v>53</v>
      </c>
      <c r="H683" s="1" t="s">
        <v>25</v>
      </c>
      <c r="I683" s="1" t="s">
        <v>26</v>
      </c>
      <c r="J683" s="1">
        <v>62</v>
      </c>
      <c r="K683" s="1">
        <v>53</v>
      </c>
      <c r="L683" s="1">
        <v>69</v>
      </c>
      <c r="M683" s="1">
        <v>36</v>
      </c>
      <c r="N683" s="17">
        <v>0.32669999999999999</v>
      </c>
      <c r="O683" s="1">
        <v>290</v>
      </c>
      <c r="P683" s="15">
        <v>0.4153</v>
      </c>
      <c r="Q683" s="1">
        <v>70.315100000000001</v>
      </c>
      <c r="R683" s="1" t="s">
        <v>27</v>
      </c>
      <c r="S683" s="1">
        <v>511.06200000000001</v>
      </c>
      <c r="T683" s="1" t="s">
        <v>28</v>
      </c>
      <c r="U683" s="1" t="s">
        <v>65</v>
      </c>
    </row>
    <row r="684" spans="1:21" x14ac:dyDescent="0.3">
      <c r="A684" s="1" t="s">
        <v>483</v>
      </c>
      <c r="B684" s="2">
        <v>37137</v>
      </c>
      <c r="C684" s="1">
        <v>23</v>
      </c>
      <c r="D684" s="1">
        <v>182</v>
      </c>
      <c r="E684" s="1" t="s">
        <v>32</v>
      </c>
      <c r="F684" s="1" t="s">
        <v>62</v>
      </c>
      <c r="G684" s="1" t="s">
        <v>63</v>
      </c>
      <c r="H684" s="1" t="s">
        <v>25</v>
      </c>
      <c r="I684" s="1" t="s">
        <v>64</v>
      </c>
      <c r="J684" s="1">
        <v>57</v>
      </c>
      <c r="K684" s="1">
        <v>77</v>
      </c>
      <c r="L684" s="1">
        <v>65</v>
      </c>
      <c r="M684" s="1">
        <v>81</v>
      </c>
      <c r="N684" s="17">
        <v>0.19980000000000001</v>
      </c>
      <c r="O684" s="1">
        <v>75</v>
      </c>
      <c r="P684" s="15">
        <v>0.4829</v>
      </c>
      <c r="Q684" s="1">
        <v>91.928700000000006</v>
      </c>
      <c r="R684" s="1" t="s">
        <v>40</v>
      </c>
      <c r="S684" s="1">
        <v>354.70269999999999</v>
      </c>
      <c r="T684" s="1" t="s">
        <v>35</v>
      </c>
      <c r="U684" s="1" t="s">
        <v>102</v>
      </c>
    </row>
    <row r="685" spans="1:21" x14ac:dyDescent="0.3">
      <c r="A685" s="1" t="s">
        <v>484</v>
      </c>
      <c r="B685" s="2">
        <v>37766</v>
      </c>
      <c r="C685" s="1">
        <v>21</v>
      </c>
      <c r="D685" s="1">
        <v>168</v>
      </c>
      <c r="E685" s="1" t="s">
        <v>24</v>
      </c>
      <c r="F685" s="1" t="s">
        <v>38</v>
      </c>
      <c r="G685" s="1" t="s">
        <v>23</v>
      </c>
      <c r="H685" s="1" t="s">
        <v>54</v>
      </c>
      <c r="I685" s="1" t="s">
        <v>88</v>
      </c>
      <c r="J685" s="1">
        <v>25</v>
      </c>
      <c r="K685" s="1">
        <v>8</v>
      </c>
      <c r="L685" s="1">
        <v>78</v>
      </c>
      <c r="M685" s="1">
        <v>39</v>
      </c>
      <c r="N685" s="17">
        <v>0.15409999999999999</v>
      </c>
      <c r="O685" s="1">
        <v>134</v>
      </c>
      <c r="P685" s="15">
        <v>0.83</v>
      </c>
      <c r="Q685" s="1">
        <v>9.6136999999999997</v>
      </c>
      <c r="R685" s="1" t="s">
        <v>40</v>
      </c>
      <c r="S685" s="1">
        <v>285.00409999999999</v>
      </c>
      <c r="T685" s="1" t="s">
        <v>28</v>
      </c>
      <c r="U685" s="1" t="s">
        <v>56</v>
      </c>
    </row>
    <row r="686" spans="1:21" x14ac:dyDescent="0.3">
      <c r="A686" s="1" t="s">
        <v>485</v>
      </c>
      <c r="B686" s="2">
        <v>37696</v>
      </c>
      <c r="C686" s="1">
        <v>21</v>
      </c>
      <c r="D686" s="1">
        <v>179</v>
      </c>
      <c r="E686" s="1" t="s">
        <v>32</v>
      </c>
      <c r="F686" s="1" t="s">
        <v>38</v>
      </c>
      <c r="G686" s="1" t="s">
        <v>23</v>
      </c>
      <c r="H686" s="1" t="s">
        <v>25</v>
      </c>
      <c r="I686" s="1" t="s">
        <v>123</v>
      </c>
      <c r="J686" s="1">
        <v>17</v>
      </c>
      <c r="K686" s="1">
        <v>55</v>
      </c>
      <c r="L686" s="1">
        <v>44</v>
      </c>
      <c r="M686" s="1">
        <v>62</v>
      </c>
      <c r="N686" s="17">
        <v>0.49740000000000001</v>
      </c>
      <c r="O686" s="1">
        <v>43</v>
      </c>
      <c r="P686" s="15">
        <v>0.51649999999999996</v>
      </c>
      <c r="Q686" s="1">
        <v>81.638199999999998</v>
      </c>
      <c r="R686" s="1" t="s">
        <v>27</v>
      </c>
      <c r="S686" s="1">
        <v>221.5539</v>
      </c>
      <c r="T686" s="1" t="s">
        <v>28</v>
      </c>
      <c r="U686" s="1" t="s">
        <v>29</v>
      </c>
    </row>
    <row r="687" spans="1:21" x14ac:dyDescent="0.3">
      <c r="A687" s="1" t="s">
        <v>486</v>
      </c>
      <c r="B687" s="2">
        <v>37196</v>
      </c>
      <c r="C687" s="1">
        <v>23</v>
      </c>
      <c r="D687" s="1">
        <v>175</v>
      </c>
      <c r="E687" s="1" t="s">
        <v>32</v>
      </c>
      <c r="F687" s="1" t="s">
        <v>72</v>
      </c>
      <c r="G687" s="1" t="s">
        <v>53</v>
      </c>
      <c r="H687" s="1" t="s">
        <v>25</v>
      </c>
      <c r="I687" s="1" t="s">
        <v>39</v>
      </c>
      <c r="J687" s="1">
        <v>100</v>
      </c>
      <c r="K687" s="1">
        <v>27</v>
      </c>
      <c r="L687" s="1">
        <v>70</v>
      </c>
      <c r="M687" s="1">
        <v>91</v>
      </c>
      <c r="N687" s="17">
        <v>0.56379999999999997</v>
      </c>
      <c r="O687" s="1">
        <v>230</v>
      </c>
      <c r="P687" s="15">
        <v>0.82299999999999995</v>
      </c>
      <c r="Q687" s="1">
        <v>42.816800000000001</v>
      </c>
      <c r="R687" s="1" t="s">
        <v>45</v>
      </c>
      <c r="S687" s="1">
        <v>519.94680000000005</v>
      </c>
      <c r="T687" s="1" t="s">
        <v>35</v>
      </c>
      <c r="U687" s="1" t="s">
        <v>56</v>
      </c>
    </row>
    <row r="688" spans="1:21" x14ac:dyDescent="0.3">
      <c r="A688" s="1" t="s">
        <v>487</v>
      </c>
      <c r="B688" s="2">
        <v>37679</v>
      </c>
      <c r="C688" s="1">
        <v>21</v>
      </c>
      <c r="D688" s="1">
        <v>160</v>
      </c>
      <c r="E688" s="1" t="s">
        <v>76</v>
      </c>
      <c r="F688" s="1" t="s">
        <v>87</v>
      </c>
      <c r="G688" s="1" t="s">
        <v>63</v>
      </c>
      <c r="H688" s="1" t="s">
        <v>54</v>
      </c>
      <c r="I688" s="1" t="s">
        <v>60</v>
      </c>
      <c r="J688" s="1">
        <v>86</v>
      </c>
      <c r="K688" s="1">
        <v>94</v>
      </c>
      <c r="L688" s="1">
        <v>37</v>
      </c>
      <c r="M688" s="1">
        <v>68</v>
      </c>
      <c r="N688" s="17">
        <v>0.66900000000000004</v>
      </c>
      <c r="O688" s="1">
        <v>161</v>
      </c>
      <c r="P688" s="15">
        <v>0.83150000000000002</v>
      </c>
      <c r="Q688" s="1">
        <v>156.16829999999999</v>
      </c>
      <c r="R688" s="1" t="s">
        <v>27</v>
      </c>
      <c r="S688" s="1">
        <v>446.47050000000002</v>
      </c>
      <c r="T688" s="1" t="s">
        <v>35</v>
      </c>
      <c r="U688" s="1" t="s">
        <v>65</v>
      </c>
    </row>
    <row r="689" spans="1:21" x14ac:dyDescent="0.3">
      <c r="A689" s="1" t="s">
        <v>488</v>
      </c>
      <c r="B689" s="2">
        <v>37485</v>
      </c>
      <c r="C689" s="1">
        <v>22</v>
      </c>
      <c r="D689" s="1">
        <v>184</v>
      </c>
      <c r="E689" s="1" t="s">
        <v>32</v>
      </c>
      <c r="F689" s="1" t="s">
        <v>79</v>
      </c>
      <c r="G689" s="1" t="s">
        <v>43</v>
      </c>
      <c r="H689" s="1" t="s">
        <v>25</v>
      </c>
      <c r="I689" s="1" t="s">
        <v>73</v>
      </c>
      <c r="J689" s="1">
        <v>84</v>
      </c>
      <c r="K689" s="1">
        <v>97</v>
      </c>
      <c r="L689" s="1">
        <v>66</v>
      </c>
      <c r="M689" s="1">
        <v>31</v>
      </c>
      <c r="N689" s="17">
        <v>0.1961</v>
      </c>
      <c r="O689" s="1">
        <v>157</v>
      </c>
      <c r="P689" s="15">
        <v>0.71</v>
      </c>
      <c r="Q689" s="1">
        <v>115.7586</v>
      </c>
      <c r="R689" s="1" t="s">
        <v>45</v>
      </c>
      <c r="S689" s="1">
        <v>434.95609999999999</v>
      </c>
      <c r="T689" s="1" t="s">
        <v>28</v>
      </c>
      <c r="U689" s="1" t="s">
        <v>102</v>
      </c>
    </row>
    <row r="690" spans="1:21" x14ac:dyDescent="0.3">
      <c r="A690" s="1" t="s">
        <v>489</v>
      </c>
      <c r="B690" s="2">
        <v>37287</v>
      </c>
      <c r="C690" s="1">
        <v>22</v>
      </c>
      <c r="D690" s="1">
        <v>161</v>
      </c>
      <c r="E690" s="1" t="s">
        <v>76</v>
      </c>
      <c r="F690" s="1" t="s">
        <v>104</v>
      </c>
      <c r="G690" s="1" t="s">
        <v>53</v>
      </c>
      <c r="H690" s="1" t="s">
        <v>25</v>
      </c>
      <c r="I690" s="1" t="s">
        <v>85</v>
      </c>
      <c r="J690" s="1">
        <v>74</v>
      </c>
      <c r="K690" s="1">
        <v>7</v>
      </c>
      <c r="L690" s="1">
        <v>55</v>
      </c>
      <c r="M690" s="1">
        <v>31</v>
      </c>
      <c r="N690" s="17">
        <v>0.8508</v>
      </c>
      <c r="O690" s="1">
        <v>214</v>
      </c>
      <c r="P690" s="15">
        <v>0.60219999999999996</v>
      </c>
      <c r="Q690" s="1">
        <v>13.399800000000001</v>
      </c>
      <c r="R690" s="1" t="s">
        <v>27</v>
      </c>
      <c r="S690" s="1">
        <v>382.613</v>
      </c>
      <c r="T690" s="1" t="s">
        <v>28</v>
      </c>
      <c r="U690" s="1" t="s">
        <v>47</v>
      </c>
    </row>
    <row r="691" spans="1:21" x14ac:dyDescent="0.3">
      <c r="A691" s="1" t="s">
        <v>490</v>
      </c>
      <c r="B691" s="2">
        <v>37134</v>
      </c>
      <c r="C691" s="1">
        <v>23</v>
      </c>
      <c r="D691" s="1">
        <v>172</v>
      </c>
      <c r="E691" s="1" t="s">
        <v>24</v>
      </c>
      <c r="F691" s="1" t="s">
        <v>31</v>
      </c>
      <c r="G691" s="1" t="s">
        <v>23</v>
      </c>
      <c r="H691" s="1" t="s">
        <v>25</v>
      </c>
      <c r="I691" s="1" t="s">
        <v>119</v>
      </c>
      <c r="J691" s="1">
        <v>141</v>
      </c>
      <c r="K691" s="1">
        <v>87</v>
      </c>
      <c r="L691" s="1">
        <v>54</v>
      </c>
      <c r="M691" s="1">
        <v>74</v>
      </c>
      <c r="N691" s="17">
        <v>0.1648</v>
      </c>
      <c r="O691" s="1">
        <v>94</v>
      </c>
      <c r="P691" s="15">
        <v>0.73099999999999998</v>
      </c>
      <c r="Q691" s="1">
        <v>101.5123</v>
      </c>
      <c r="R691" s="1" t="s">
        <v>45</v>
      </c>
      <c r="S691" s="1">
        <v>451.55579999999998</v>
      </c>
      <c r="T691" s="1" t="s">
        <v>46</v>
      </c>
      <c r="U691" s="1" t="s">
        <v>29</v>
      </c>
    </row>
    <row r="692" spans="1:21" x14ac:dyDescent="0.3">
      <c r="A692" s="1" t="s">
        <v>491</v>
      </c>
      <c r="B692" s="2">
        <v>37159</v>
      </c>
      <c r="C692" s="1">
        <v>23</v>
      </c>
      <c r="D692" s="1">
        <v>167</v>
      </c>
      <c r="E692" s="1" t="s">
        <v>76</v>
      </c>
      <c r="F692" s="1" t="s">
        <v>109</v>
      </c>
      <c r="G692" s="1" t="s">
        <v>63</v>
      </c>
      <c r="H692" s="1" t="s">
        <v>25</v>
      </c>
      <c r="I692" s="1" t="s">
        <v>73</v>
      </c>
      <c r="J692" s="1">
        <v>95</v>
      </c>
      <c r="K692" s="1">
        <v>91</v>
      </c>
      <c r="L692" s="1">
        <v>82</v>
      </c>
      <c r="M692" s="1">
        <v>11</v>
      </c>
      <c r="N692" s="17">
        <v>0.8518</v>
      </c>
      <c r="O692" s="1">
        <v>245</v>
      </c>
      <c r="P692" s="15">
        <v>0.42880000000000001</v>
      </c>
      <c r="Q692" s="1">
        <v>167.69900000000001</v>
      </c>
      <c r="R692" s="1" t="s">
        <v>27</v>
      </c>
      <c r="S692" s="1">
        <v>524.87059999999997</v>
      </c>
      <c r="T692" s="1" t="s">
        <v>28</v>
      </c>
      <c r="U692" s="1" t="s">
        <v>56</v>
      </c>
    </row>
    <row r="693" spans="1:21" x14ac:dyDescent="0.3">
      <c r="A693" s="1" t="s">
        <v>492</v>
      </c>
      <c r="B693" s="2">
        <v>37582</v>
      </c>
      <c r="C693" s="1">
        <v>22</v>
      </c>
      <c r="D693" s="1">
        <v>173</v>
      </c>
      <c r="E693" s="1" t="s">
        <v>24</v>
      </c>
      <c r="F693" s="1" t="s">
        <v>69</v>
      </c>
      <c r="G693" s="1" t="s">
        <v>43</v>
      </c>
      <c r="H693" s="1" t="s">
        <v>54</v>
      </c>
      <c r="I693" s="1" t="s">
        <v>96</v>
      </c>
      <c r="J693" s="1">
        <v>19</v>
      </c>
      <c r="K693" s="1">
        <v>69</v>
      </c>
      <c r="L693" s="1">
        <v>55</v>
      </c>
      <c r="M693" s="1">
        <v>33</v>
      </c>
      <c r="N693" s="17">
        <v>0.29189999999999999</v>
      </c>
      <c r="O693" s="1">
        <v>386</v>
      </c>
      <c r="P693" s="15">
        <v>0.42049999999999998</v>
      </c>
      <c r="Q693" s="1">
        <v>88.779399999999995</v>
      </c>
      <c r="R693" s="1" t="s">
        <v>34</v>
      </c>
      <c r="S693" s="1">
        <v>562.22239999999999</v>
      </c>
      <c r="T693" s="1" t="s">
        <v>35</v>
      </c>
      <c r="U693" s="1" t="s">
        <v>29</v>
      </c>
    </row>
    <row r="694" spans="1:21" x14ac:dyDescent="0.3">
      <c r="A694" s="1" t="s">
        <v>493</v>
      </c>
      <c r="B694" s="2">
        <v>37742</v>
      </c>
      <c r="C694" s="1">
        <v>21</v>
      </c>
      <c r="D694" s="1">
        <v>184</v>
      </c>
      <c r="E694" s="1" t="s">
        <v>32</v>
      </c>
      <c r="F694" s="1" t="s">
        <v>42</v>
      </c>
      <c r="G694" s="1" t="s">
        <v>43</v>
      </c>
      <c r="H694" s="1" t="s">
        <v>25</v>
      </c>
      <c r="I694" s="1" t="s">
        <v>105</v>
      </c>
      <c r="J694" s="1">
        <v>83</v>
      </c>
      <c r="K694" s="1">
        <v>44</v>
      </c>
      <c r="L694" s="1">
        <v>93</v>
      </c>
      <c r="M694" s="1">
        <v>5</v>
      </c>
      <c r="N694" s="17">
        <v>0.86260000000000003</v>
      </c>
      <c r="O694" s="1">
        <v>41</v>
      </c>
      <c r="P694" s="15">
        <v>0.67559999999999998</v>
      </c>
      <c r="Q694" s="1">
        <v>82.755300000000005</v>
      </c>
      <c r="R694" s="1" t="s">
        <v>34</v>
      </c>
      <c r="S694" s="1">
        <v>267.98820000000001</v>
      </c>
      <c r="T694" s="1" t="s">
        <v>28</v>
      </c>
      <c r="U694" s="1" t="s">
        <v>56</v>
      </c>
    </row>
    <row r="695" spans="1:21" x14ac:dyDescent="0.3">
      <c r="A695" s="1" t="s">
        <v>494</v>
      </c>
      <c r="B695" s="2">
        <v>37074</v>
      </c>
      <c r="C695" s="1">
        <v>23</v>
      </c>
      <c r="D695" s="1">
        <v>165</v>
      </c>
      <c r="E695" s="1" t="s">
        <v>76</v>
      </c>
      <c r="F695" s="1" t="s">
        <v>38</v>
      </c>
      <c r="G695" s="1" t="s">
        <v>23</v>
      </c>
      <c r="H695" s="1" t="s">
        <v>54</v>
      </c>
      <c r="I695" s="1" t="s">
        <v>112</v>
      </c>
      <c r="J695" s="1">
        <v>104</v>
      </c>
      <c r="K695" s="1">
        <v>79</v>
      </c>
      <c r="L695" s="1">
        <v>48</v>
      </c>
      <c r="M695" s="1">
        <v>14</v>
      </c>
      <c r="N695" s="17">
        <v>0.34389999999999998</v>
      </c>
      <c r="O695" s="1">
        <v>58</v>
      </c>
      <c r="P695" s="15">
        <v>0.60270000000000001</v>
      </c>
      <c r="Q695" s="1">
        <v>106.746</v>
      </c>
      <c r="R695" s="1" t="s">
        <v>34</v>
      </c>
      <c r="S695" s="1">
        <v>304.48660000000001</v>
      </c>
      <c r="T695" s="1" t="s">
        <v>28</v>
      </c>
      <c r="U695" s="1" t="s">
        <v>65</v>
      </c>
    </row>
    <row r="696" spans="1:21" x14ac:dyDescent="0.3">
      <c r="A696" s="1" t="s">
        <v>495</v>
      </c>
      <c r="B696" s="2">
        <v>37915</v>
      </c>
      <c r="C696" s="1">
        <v>21</v>
      </c>
      <c r="D696" s="1">
        <v>182</v>
      </c>
      <c r="E696" s="1" t="s">
        <v>32</v>
      </c>
      <c r="F696" s="1" t="s">
        <v>31</v>
      </c>
      <c r="G696" s="1" t="s">
        <v>23</v>
      </c>
      <c r="H696" s="1" t="s">
        <v>25</v>
      </c>
      <c r="I696" s="1" t="s">
        <v>94</v>
      </c>
      <c r="J696" s="1">
        <v>53</v>
      </c>
      <c r="K696" s="1">
        <v>1</v>
      </c>
      <c r="L696" s="1">
        <v>24</v>
      </c>
      <c r="M696" s="1">
        <v>13</v>
      </c>
      <c r="N696" s="17">
        <v>0.18609999999999999</v>
      </c>
      <c r="O696" s="1">
        <v>213</v>
      </c>
      <c r="P696" s="15">
        <v>0.56289999999999996</v>
      </c>
      <c r="Q696" s="1">
        <v>1.7198</v>
      </c>
      <c r="R696" s="1" t="s">
        <v>34</v>
      </c>
      <c r="S696" s="1">
        <v>304.53899999999999</v>
      </c>
      <c r="T696" s="1" t="s">
        <v>35</v>
      </c>
      <c r="U696" s="1" t="s">
        <v>113</v>
      </c>
    </row>
    <row r="697" spans="1:21" x14ac:dyDescent="0.3">
      <c r="A697" s="1" t="s">
        <v>496</v>
      </c>
      <c r="B697" s="2">
        <v>37122</v>
      </c>
      <c r="C697" s="1">
        <v>23</v>
      </c>
      <c r="D697" s="1">
        <v>166</v>
      </c>
      <c r="E697" s="1" t="s">
        <v>76</v>
      </c>
      <c r="F697" s="1" t="s">
        <v>62</v>
      </c>
      <c r="G697" s="1" t="s">
        <v>63</v>
      </c>
      <c r="H697" s="1" t="s">
        <v>25</v>
      </c>
      <c r="I697" s="1" t="s">
        <v>121</v>
      </c>
      <c r="J697" s="1">
        <v>75</v>
      </c>
      <c r="K697" s="1">
        <v>17</v>
      </c>
      <c r="L697" s="1">
        <v>92</v>
      </c>
      <c r="M697" s="1">
        <v>6</v>
      </c>
      <c r="N697" s="17">
        <v>0.28860000000000002</v>
      </c>
      <c r="O697" s="1">
        <v>146</v>
      </c>
      <c r="P697" s="15">
        <v>0.5131</v>
      </c>
      <c r="Q697" s="1">
        <v>21.674299999999999</v>
      </c>
      <c r="R697" s="1" t="s">
        <v>45</v>
      </c>
      <c r="S697" s="1">
        <v>337.75170000000003</v>
      </c>
      <c r="T697" s="1" t="s">
        <v>28</v>
      </c>
      <c r="U697" s="1" t="s">
        <v>29</v>
      </c>
    </row>
    <row r="698" spans="1:21" x14ac:dyDescent="0.3">
      <c r="A698" s="1" t="s">
        <v>497</v>
      </c>
      <c r="B698" s="2">
        <v>36951</v>
      </c>
      <c r="C698" s="1">
        <v>23</v>
      </c>
      <c r="D698" s="1">
        <v>165</v>
      </c>
      <c r="E698" s="1" t="s">
        <v>76</v>
      </c>
      <c r="F698" s="1" t="s">
        <v>31</v>
      </c>
      <c r="G698" s="1" t="s">
        <v>23</v>
      </c>
      <c r="H698" s="1" t="s">
        <v>54</v>
      </c>
      <c r="I698" s="1" t="s">
        <v>60</v>
      </c>
      <c r="J698" s="1">
        <v>12</v>
      </c>
      <c r="K698" s="1">
        <v>24</v>
      </c>
      <c r="L698" s="1">
        <v>45</v>
      </c>
      <c r="M698" s="1">
        <v>58</v>
      </c>
      <c r="N698" s="17">
        <v>0.77239999999999998</v>
      </c>
      <c r="O698" s="1">
        <v>168</v>
      </c>
      <c r="P698" s="15">
        <v>0.80430000000000001</v>
      </c>
      <c r="Q698" s="1">
        <v>43.051600000000001</v>
      </c>
      <c r="R698" s="1" t="s">
        <v>34</v>
      </c>
      <c r="S698" s="1">
        <v>309.07670000000002</v>
      </c>
      <c r="T698" s="1" t="s">
        <v>28</v>
      </c>
      <c r="U698" s="1" t="s">
        <v>47</v>
      </c>
    </row>
    <row r="699" spans="1:21" x14ac:dyDescent="0.3">
      <c r="A699" s="1" t="s">
        <v>498</v>
      </c>
      <c r="B699" s="2">
        <v>37736</v>
      </c>
      <c r="C699" s="1">
        <v>21</v>
      </c>
      <c r="D699" s="1">
        <v>183</v>
      </c>
      <c r="E699" s="1" t="s">
        <v>32</v>
      </c>
      <c r="F699" s="1" t="s">
        <v>69</v>
      </c>
      <c r="G699" s="1" t="s">
        <v>43</v>
      </c>
      <c r="H699" s="1" t="s">
        <v>25</v>
      </c>
      <c r="I699" s="1" t="s">
        <v>107</v>
      </c>
      <c r="J699" s="1">
        <v>134</v>
      </c>
      <c r="K699" s="1">
        <v>8</v>
      </c>
      <c r="L699" s="1">
        <v>59</v>
      </c>
      <c r="M699" s="1">
        <v>6</v>
      </c>
      <c r="N699" s="17">
        <v>0.29449999999999998</v>
      </c>
      <c r="O699" s="1">
        <v>175</v>
      </c>
      <c r="P699" s="15">
        <v>0.67420000000000002</v>
      </c>
      <c r="Q699" s="1">
        <v>10.718500000000001</v>
      </c>
      <c r="R699" s="1" t="s">
        <v>34</v>
      </c>
      <c r="S699" s="1">
        <v>383.26870000000002</v>
      </c>
      <c r="T699" s="1" t="s">
        <v>35</v>
      </c>
      <c r="U699" s="1" t="s">
        <v>47</v>
      </c>
    </row>
    <row r="700" spans="1:21" x14ac:dyDescent="0.3">
      <c r="A700" s="1" t="s">
        <v>499</v>
      </c>
      <c r="B700" s="2">
        <v>37626</v>
      </c>
      <c r="C700" s="1">
        <v>21</v>
      </c>
      <c r="D700" s="1">
        <v>180</v>
      </c>
      <c r="E700" s="1" t="s">
        <v>32</v>
      </c>
      <c r="F700" s="1" t="s">
        <v>49</v>
      </c>
      <c r="G700" s="1" t="s">
        <v>43</v>
      </c>
      <c r="H700" s="1" t="s">
        <v>54</v>
      </c>
      <c r="I700" s="1" t="s">
        <v>77</v>
      </c>
      <c r="J700" s="1">
        <v>51</v>
      </c>
      <c r="K700" s="1">
        <v>4</v>
      </c>
      <c r="L700" s="1">
        <v>57</v>
      </c>
      <c r="M700" s="1">
        <v>29</v>
      </c>
      <c r="N700" s="17">
        <v>0.51900000000000002</v>
      </c>
      <c r="O700" s="1">
        <v>45</v>
      </c>
      <c r="P700" s="15">
        <v>0.58819999999999995</v>
      </c>
      <c r="Q700" s="1">
        <v>6.3494000000000002</v>
      </c>
      <c r="R700" s="1" t="s">
        <v>40</v>
      </c>
      <c r="S700" s="1">
        <v>187.74719999999999</v>
      </c>
      <c r="T700" s="1" t="s">
        <v>28</v>
      </c>
      <c r="U700" s="1" t="s">
        <v>47</v>
      </c>
    </row>
    <row r="701" spans="1:21" x14ac:dyDescent="0.3">
      <c r="A701" s="1" t="s">
        <v>500</v>
      </c>
      <c r="B701" s="2">
        <v>37362</v>
      </c>
      <c r="C701" s="1">
        <v>22</v>
      </c>
      <c r="D701" s="1">
        <v>178</v>
      </c>
      <c r="E701" s="1" t="s">
        <v>32</v>
      </c>
      <c r="F701" s="1" t="s">
        <v>52</v>
      </c>
      <c r="G701" s="1" t="s">
        <v>53</v>
      </c>
      <c r="H701" s="1" t="s">
        <v>25</v>
      </c>
      <c r="I701" s="1" t="s">
        <v>112</v>
      </c>
      <c r="J701" s="1">
        <v>129</v>
      </c>
      <c r="K701" s="1">
        <v>49</v>
      </c>
      <c r="L701" s="1">
        <v>100</v>
      </c>
      <c r="M701" s="1">
        <v>60</v>
      </c>
      <c r="N701" s="17">
        <v>0.3513</v>
      </c>
      <c r="O701" s="1">
        <v>335</v>
      </c>
      <c r="P701" s="15">
        <v>0.72850000000000004</v>
      </c>
      <c r="Q701" s="1">
        <v>66.794799999999995</v>
      </c>
      <c r="R701" s="1" t="s">
        <v>34</v>
      </c>
      <c r="S701" s="1">
        <v>673.2998</v>
      </c>
      <c r="T701" s="1" t="s">
        <v>28</v>
      </c>
      <c r="U701" s="1" t="s">
        <v>47</v>
      </c>
    </row>
    <row r="702" spans="1:21" x14ac:dyDescent="0.3">
      <c r="A702" s="1" t="s">
        <v>501</v>
      </c>
      <c r="B702" s="2">
        <v>37197</v>
      </c>
      <c r="C702" s="1">
        <v>23</v>
      </c>
      <c r="D702" s="1">
        <v>178</v>
      </c>
      <c r="E702" s="1" t="s">
        <v>32</v>
      </c>
      <c r="F702" s="1" t="s">
        <v>98</v>
      </c>
      <c r="G702" s="1" t="s">
        <v>23</v>
      </c>
      <c r="H702" s="1" t="s">
        <v>25</v>
      </c>
      <c r="I702" s="1" t="s">
        <v>112</v>
      </c>
      <c r="J702" s="1">
        <v>147</v>
      </c>
      <c r="K702" s="1">
        <v>5</v>
      </c>
      <c r="L702" s="1">
        <v>48</v>
      </c>
      <c r="M702" s="1">
        <v>77</v>
      </c>
      <c r="N702" s="17">
        <v>0.57799999999999996</v>
      </c>
      <c r="O702" s="1">
        <v>14</v>
      </c>
      <c r="P702" s="15">
        <v>0.61570000000000003</v>
      </c>
      <c r="Q702" s="1">
        <v>7.8426999999999998</v>
      </c>
      <c r="R702" s="1" t="s">
        <v>27</v>
      </c>
      <c r="S702" s="1">
        <v>292.30369999999999</v>
      </c>
      <c r="T702" s="1" t="s">
        <v>35</v>
      </c>
      <c r="U702" s="1" t="s">
        <v>56</v>
      </c>
    </row>
    <row r="703" spans="1:21" x14ac:dyDescent="0.3">
      <c r="A703" s="1" t="s">
        <v>502</v>
      </c>
      <c r="B703" s="2">
        <v>37724</v>
      </c>
      <c r="C703" s="1">
        <v>21</v>
      </c>
      <c r="D703" s="1">
        <v>182</v>
      </c>
      <c r="E703" s="1" t="s">
        <v>32</v>
      </c>
      <c r="F703" s="1" t="s">
        <v>69</v>
      </c>
      <c r="G703" s="1" t="s">
        <v>43</v>
      </c>
      <c r="H703" s="1" t="s">
        <v>25</v>
      </c>
      <c r="I703" s="1" t="s">
        <v>64</v>
      </c>
      <c r="J703" s="1">
        <v>54</v>
      </c>
      <c r="K703" s="1">
        <v>25</v>
      </c>
      <c r="L703" s="1">
        <v>100</v>
      </c>
      <c r="M703" s="1">
        <v>3</v>
      </c>
      <c r="N703" s="17">
        <v>0.24560000000000001</v>
      </c>
      <c r="O703" s="1">
        <v>268</v>
      </c>
      <c r="P703" s="15">
        <v>0.60670000000000002</v>
      </c>
      <c r="Q703" s="1">
        <v>30.728999999999999</v>
      </c>
      <c r="R703" s="1" t="s">
        <v>27</v>
      </c>
      <c r="S703" s="1">
        <v>450.35230000000001</v>
      </c>
      <c r="T703" s="1" t="s">
        <v>35</v>
      </c>
      <c r="U703" s="1" t="s">
        <v>56</v>
      </c>
    </row>
    <row r="704" spans="1:21" x14ac:dyDescent="0.3">
      <c r="A704" s="1" t="s">
        <v>503</v>
      </c>
      <c r="B704" s="2">
        <v>37650</v>
      </c>
      <c r="C704" s="1">
        <v>21</v>
      </c>
      <c r="D704" s="1">
        <v>185</v>
      </c>
      <c r="E704" s="1" t="s">
        <v>32</v>
      </c>
      <c r="F704" s="1" t="s">
        <v>49</v>
      </c>
      <c r="G704" s="1" t="s">
        <v>43</v>
      </c>
      <c r="H704" s="1" t="s">
        <v>54</v>
      </c>
      <c r="I704" s="1" t="s">
        <v>26</v>
      </c>
      <c r="J704" s="1">
        <v>129</v>
      </c>
      <c r="K704" s="1">
        <v>8</v>
      </c>
      <c r="L704" s="1">
        <v>89</v>
      </c>
      <c r="M704" s="1">
        <v>34</v>
      </c>
      <c r="N704" s="17">
        <v>0.48330000000000001</v>
      </c>
      <c r="O704" s="1">
        <v>14</v>
      </c>
      <c r="P704" s="15">
        <v>0.52139999999999997</v>
      </c>
      <c r="Q704" s="1">
        <v>11.866400000000001</v>
      </c>
      <c r="R704" s="1" t="s">
        <v>34</v>
      </c>
      <c r="S704" s="1">
        <v>275.66469999999998</v>
      </c>
      <c r="T704" s="1" t="s">
        <v>46</v>
      </c>
      <c r="U704" s="1" t="s">
        <v>29</v>
      </c>
    </row>
    <row r="705" spans="1:21" x14ac:dyDescent="0.3">
      <c r="A705" s="1" t="s">
        <v>504</v>
      </c>
      <c r="B705" s="2">
        <v>37119</v>
      </c>
      <c r="C705" s="1">
        <v>23</v>
      </c>
      <c r="D705" s="1">
        <v>161</v>
      </c>
      <c r="E705" s="1" t="s">
        <v>76</v>
      </c>
      <c r="F705" s="1" t="s">
        <v>79</v>
      </c>
      <c r="G705" s="1" t="s">
        <v>43</v>
      </c>
      <c r="H705" s="1" t="s">
        <v>54</v>
      </c>
      <c r="I705" s="1" t="s">
        <v>105</v>
      </c>
      <c r="J705" s="1">
        <v>70</v>
      </c>
      <c r="K705" s="1">
        <v>5</v>
      </c>
      <c r="L705" s="1">
        <v>37</v>
      </c>
      <c r="M705" s="1">
        <v>65</v>
      </c>
      <c r="N705" s="17">
        <v>0.60470000000000002</v>
      </c>
      <c r="O705" s="1">
        <v>282</v>
      </c>
      <c r="P705" s="15">
        <v>0.74809999999999999</v>
      </c>
      <c r="Q705" s="1">
        <v>8.1036999999999999</v>
      </c>
      <c r="R705" s="1" t="s">
        <v>34</v>
      </c>
      <c r="S705" s="1">
        <v>461.43279999999999</v>
      </c>
      <c r="T705" s="1" t="s">
        <v>35</v>
      </c>
      <c r="U705" s="1" t="s">
        <v>36</v>
      </c>
    </row>
    <row r="706" spans="1:21" x14ac:dyDescent="0.3">
      <c r="A706" s="1" t="s">
        <v>505</v>
      </c>
      <c r="B706" s="2">
        <v>37321</v>
      </c>
      <c r="C706" s="1">
        <v>22</v>
      </c>
      <c r="D706" s="1">
        <v>183</v>
      </c>
      <c r="E706" s="1" t="s">
        <v>32</v>
      </c>
      <c r="F706" s="1" t="s">
        <v>42</v>
      </c>
      <c r="G706" s="1" t="s">
        <v>43</v>
      </c>
      <c r="H706" s="1" t="s">
        <v>25</v>
      </c>
      <c r="I706" s="1" t="s">
        <v>96</v>
      </c>
      <c r="J706" s="1">
        <v>54</v>
      </c>
      <c r="K706" s="1">
        <v>27</v>
      </c>
      <c r="L706" s="1">
        <v>68</v>
      </c>
      <c r="M706" s="1">
        <v>28</v>
      </c>
      <c r="N706" s="17">
        <v>0.41070000000000001</v>
      </c>
      <c r="O706" s="1">
        <v>26</v>
      </c>
      <c r="P706" s="15">
        <v>0.61880000000000002</v>
      </c>
      <c r="Q706" s="1">
        <v>38.751899999999999</v>
      </c>
      <c r="R706" s="1" t="s">
        <v>27</v>
      </c>
      <c r="S706" s="1">
        <v>205.1095</v>
      </c>
      <c r="T706" s="1" t="s">
        <v>35</v>
      </c>
      <c r="U706" s="1" t="s">
        <v>102</v>
      </c>
    </row>
    <row r="707" spans="1:21" x14ac:dyDescent="0.3">
      <c r="A707" s="1" t="s">
        <v>506</v>
      </c>
      <c r="B707" s="2">
        <v>37026</v>
      </c>
      <c r="C707" s="1">
        <v>23</v>
      </c>
      <c r="D707" s="1">
        <v>185</v>
      </c>
      <c r="E707" s="1" t="s">
        <v>32</v>
      </c>
      <c r="F707" s="1" t="s">
        <v>75</v>
      </c>
      <c r="G707" s="1" t="s">
        <v>53</v>
      </c>
      <c r="H707" s="1" t="s">
        <v>25</v>
      </c>
      <c r="I707" s="1" t="s">
        <v>119</v>
      </c>
      <c r="J707" s="1">
        <v>14</v>
      </c>
      <c r="K707" s="1">
        <v>40</v>
      </c>
      <c r="L707" s="1">
        <v>19</v>
      </c>
      <c r="M707" s="1">
        <v>96</v>
      </c>
      <c r="N707" s="17">
        <v>0.24829999999999999</v>
      </c>
      <c r="O707" s="1">
        <v>32</v>
      </c>
      <c r="P707" s="15">
        <v>0.45040000000000002</v>
      </c>
      <c r="Q707" s="1">
        <v>49.532499999999999</v>
      </c>
      <c r="R707" s="1" t="s">
        <v>34</v>
      </c>
      <c r="S707" s="1">
        <v>200.65870000000001</v>
      </c>
      <c r="T707" s="1" t="s">
        <v>35</v>
      </c>
      <c r="U707" s="1" t="s">
        <v>36</v>
      </c>
    </row>
    <row r="708" spans="1:21" x14ac:dyDescent="0.3">
      <c r="A708" s="1" t="s">
        <v>507</v>
      </c>
      <c r="B708" s="2">
        <v>37745</v>
      </c>
      <c r="C708" s="1">
        <v>21</v>
      </c>
      <c r="D708" s="1">
        <v>169</v>
      </c>
      <c r="E708" s="1" t="s">
        <v>24</v>
      </c>
      <c r="F708" s="1" t="s">
        <v>62</v>
      </c>
      <c r="G708" s="1" t="s">
        <v>63</v>
      </c>
      <c r="H708" s="1" t="s">
        <v>25</v>
      </c>
      <c r="I708" s="1" t="s">
        <v>121</v>
      </c>
      <c r="J708" s="1">
        <v>53</v>
      </c>
      <c r="K708" s="1">
        <v>45</v>
      </c>
      <c r="L708" s="1">
        <v>65</v>
      </c>
      <c r="M708" s="1">
        <v>30</v>
      </c>
      <c r="N708" s="17">
        <v>0.88460000000000005</v>
      </c>
      <c r="O708" s="1">
        <v>26</v>
      </c>
      <c r="P708" s="15">
        <v>0.50449999999999995</v>
      </c>
      <c r="Q708" s="1">
        <v>84.693899999999999</v>
      </c>
      <c r="R708" s="1" t="s">
        <v>40</v>
      </c>
      <c r="S708" s="1">
        <v>219.78909999999999</v>
      </c>
      <c r="T708" s="1" t="s">
        <v>35</v>
      </c>
      <c r="U708" s="1" t="s">
        <v>65</v>
      </c>
    </row>
    <row r="709" spans="1:21" x14ac:dyDescent="0.3">
      <c r="A709" s="1" t="s">
        <v>508</v>
      </c>
      <c r="B709" s="2">
        <v>37977</v>
      </c>
      <c r="C709" s="1">
        <v>21</v>
      </c>
      <c r="D709" s="1">
        <v>175</v>
      </c>
      <c r="E709" s="1" t="s">
        <v>32</v>
      </c>
      <c r="F709" s="1" t="s">
        <v>79</v>
      </c>
      <c r="G709" s="1" t="s">
        <v>43</v>
      </c>
      <c r="H709" s="1" t="s">
        <v>54</v>
      </c>
      <c r="I709" s="1" t="s">
        <v>119</v>
      </c>
      <c r="J709" s="1">
        <v>46</v>
      </c>
      <c r="K709" s="1">
        <v>14</v>
      </c>
      <c r="L709" s="1">
        <v>79</v>
      </c>
      <c r="M709" s="1">
        <v>18</v>
      </c>
      <c r="N709" s="17">
        <v>0.53580000000000005</v>
      </c>
      <c r="O709" s="1">
        <v>105</v>
      </c>
      <c r="P709" s="15">
        <v>0.83679999999999999</v>
      </c>
      <c r="Q709" s="1">
        <v>21.593299999999999</v>
      </c>
      <c r="R709" s="1" t="s">
        <v>27</v>
      </c>
      <c r="S709" s="1">
        <v>263.63260000000002</v>
      </c>
      <c r="T709" s="1" t="s">
        <v>28</v>
      </c>
      <c r="U709" s="1" t="s">
        <v>47</v>
      </c>
    </row>
    <row r="710" spans="1:21" x14ac:dyDescent="0.3">
      <c r="A710" s="1" t="s">
        <v>509</v>
      </c>
      <c r="B710" s="2">
        <v>37221</v>
      </c>
      <c r="C710" s="1">
        <v>23</v>
      </c>
      <c r="D710" s="1">
        <v>179</v>
      </c>
      <c r="E710" s="1" t="s">
        <v>32</v>
      </c>
      <c r="F710" s="1" t="s">
        <v>75</v>
      </c>
      <c r="G710" s="1" t="s">
        <v>53</v>
      </c>
      <c r="H710" s="1" t="s">
        <v>54</v>
      </c>
      <c r="I710" s="1" t="s">
        <v>73</v>
      </c>
      <c r="J710" s="1">
        <v>146</v>
      </c>
      <c r="K710" s="1">
        <v>84</v>
      </c>
      <c r="L710" s="1">
        <v>70</v>
      </c>
      <c r="M710" s="1">
        <v>67</v>
      </c>
      <c r="N710" s="17">
        <v>0.31409999999999999</v>
      </c>
      <c r="O710" s="1">
        <v>62</v>
      </c>
      <c r="P710" s="15">
        <v>0.41849999999999998</v>
      </c>
      <c r="Q710" s="1">
        <v>110.5027</v>
      </c>
      <c r="R710" s="1" t="s">
        <v>40</v>
      </c>
      <c r="S710" s="1">
        <v>429.63260000000002</v>
      </c>
      <c r="T710" s="1" t="s">
        <v>46</v>
      </c>
      <c r="U710" s="1" t="s">
        <v>36</v>
      </c>
    </row>
    <row r="711" spans="1:21" x14ac:dyDescent="0.3">
      <c r="A711" s="1" t="s">
        <v>510</v>
      </c>
      <c r="B711" s="2">
        <v>37312</v>
      </c>
      <c r="C711" s="1">
        <v>22</v>
      </c>
      <c r="D711" s="1">
        <v>165</v>
      </c>
      <c r="E711" s="1" t="s">
        <v>76</v>
      </c>
      <c r="F711" s="1" t="s">
        <v>104</v>
      </c>
      <c r="G711" s="1" t="s">
        <v>53</v>
      </c>
      <c r="H711" s="1" t="s">
        <v>25</v>
      </c>
      <c r="I711" s="1" t="s">
        <v>96</v>
      </c>
      <c r="J711" s="1">
        <v>147</v>
      </c>
      <c r="K711" s="1">
        <v>16</v>
      </c>
      <c r="L711" s="1">
        <v>45</v>
      </c>
      <c r="M711" s="1">
        <v>98</v>
      </c>
      <c r="N711" s="17">
        <v>0.20930000000000001</v>
      </c>
      <c r="O711" s="1">
        <v>214</v>
      </c>
      <c r="P711" s="15">
        <v>0.41120000000000001</v>
      </c>
      <c r="Q711" s="1">
        <v>18.9255</v>
      </c>
      <c r="R711" s="1" t="s">
        <v>45</v>
      </c>
      <c r="S711" s="1">
        <v>519.88049999999998</v>
      </c>
      <c r="T711" s="1" t="s">
        <v>28</v>
      </c>
      <c r="U711" s="1" t="s">
        <v>56</v>
      </c>
    </row>
    <row r="712" spans="1:21" x14ac:dyDescent="0.3">
      <c r="A712" s="1" t="s">
        <v>511</v>
      </c>
      <c r="B712" s="2">
        <v>37931</v>
      </c>
      <c r="C712" s="1">
        <v>21</v>
      </c>
      <c r="D712" s="1">
        <v>183</v>
      </c>
      <c r="E712" s="1" t="s">
        <v>32</v>
      </c>
      <c r="F712" s="1" t="s">
        <v>79</v>
      </c>
      <c r="G712" s="1" t="s">
        <v>43</v>
      </c>
      <c r="H712" s="1" t="s">
        <v>54</v>
      </c>
      <c r="I712" s="1" t="s">
        <v>92</v>
      </c>
      <c r="J712" s="1">
        <v>72</v>
      </c>
      <c r="K712" s="1">
        <v>30</v>
      </c>
      <c r="L712" s="1">
        <v>94</v>
      </c>
      <c r="M712" s="1">
        <v>98</v>
      </c>
      <c r="N712" s="17">
        <v>0.2324</v>
      </c>
      <c r="O712" s="1">
        <v>230</v>
      </c>
      <c r="P712" s="15">
        <v>0.65439999999999998</v>
      </c>
      <c r="Q712" s="1">
        <v>36.590000000000003</v>
      </c>
      <c r="R712" s="1" t="s">
        <v>45</v>
      </c>
      <c r="S712" s="1">
        <v>524.65679999999998</v>
      </c>
      <c r="T712" s="1" t="s">
        <v>35</v>
      </c>
      <c r="U712" s="1" t="s">
        <v>102</v>
      </c>
    </row>
    <row r="713" spans="1:21" x14ac:dyDescent="0.3">
      <c r="A713" s="1" t="s">
        <v>512</v>
      </c>
      <c r="B713" s="2">
        <v>37131</v>
      </c>
      <c r="C713" s="1">
        <v>23</v>
      </c>
      <c r="D713" s="1">
        <v>164</v>
      </c>
      <c r="E713" s="1" t="s">
        <v>76</v>
      </c>
      <c r="F713" s="1" t="s">
        <v>42</v>
      </c>
      <c r="G713" s="1" t="s">
        <v>43</v>
      </c>
      <c r="H713" s="1" t="s">
        <v>54</v>
      </c>
      <c r="I713" s="1" t="s">
        <v>33</v>
      </c>
      <c r="J713" s="1">
        <v>61</v>
      </c>
      <c r="K713" s="1">
        <v>84</v>
      </c>
      <c r="L713" s="1">
        <v>45</v>
      </c>
      <c r="M713" s="1">
        <v>10</v>
      </c>
      <c r="N713" s="17">
        <v>0.67720000000000002</v>
      </c>
      <c r="O713" s="1">
        <v>23</v>
      </c>
      <c r="P713" s="15">
        <v>0.66249999999999998</v>
      </c>
      <c r="Q713" s="1">
        <v>141.30410000000001</v>
      </c>
      <c r="R713" s="1" t="s">
        <v>34</v>
      </c>
      <c r="S713" s="1">
        <v>224.69970000000001</v>
      </c>
      <c r="T713" s="1" t="s">
        <v>35</v>
      </c>
      <c r="U713" s="1" t="s">
        <v>36</v>
      </c>
    </row>
    <row r="714" spans="1:21" x14ac:dyDescent="0.3">
      <c r="A714" s="1" t="s">
        <v>513</v>
      </c>
      <c r="B714" s="2">
        <v>37070</v>
      </c>
      <c r="C714" s="1">
        <v>23</v>
      </c>
      <c r="D714" s="1">
        <v>181</v>
      </c>
      <c r="E714" s="1" t="s">
        <v>32</v>
      </c>
      <c r="F714" s="1" t="s">
        <v>22</v>
      </c>
      <c r="G714" s="1" t="s">
        <v>23</v>
      </c>
      <c r="H714" s="1" t="s">
        <v>54</v>
      </c>
      <c r="I714" s="1" t="s">
        <v>77</v>
      </c>
      <c r="J714" s="1">
        <v>74</v>
      </c>
      <c r="K714" s="1">
        <v>61</v>
      </c>
      <c r="L714" s="1">
        <v>52</v>
      </c>
      <c r="M714" s="1">
        <v>7</v>
      </c>
      <c r="N714" s="17">
        <v>0.45779999999999998</v>
      </c>
      <c r="O714" s="1">
        <v>267</v>
      </c>
      <c r="P714" s="15">
        <v>0.72219999999999995</v>
      </c>
      <c r="Q714" s="1">
        <v>88.503</v>
      </c>
      <c r="R714" s="1" t="s">
        <v>45</v>
      </c>
      <c r="S714" s="1">
        <v>461.2</v>
      </c>
      <c r="T714" s="1" t="s">
        <v>35</v>
      </c>
      <c r="U714" s="1" t="s">
        <v>56</v>
      </c>
    </row>
    <row r="715" spans="1:21" x14ac:dyDescent="0.3">
      <c r="A715" s="1" t="s">
        <v>514</v>
      </c>
      <c r="B715" s="2">
        <v>37611</v>
      </c>
      <c r="C715" s="1">
        <v>22</v>
      </c>
      <c r="D715" s="1">
        <v>171</v>
      </c>
      <c r="E715" s="1" t="s">
        <v>24</v>
      </c>
      <c r="F715" s="1" t="s">
        <v>84</v>
      </c>
      <c r="G715" s="1" t="s">
        <v>63</v>
      </c>
      <c r="H715" s="1" t="s">
        <v>54</v>
      </c>
      <c r="I715" s="1" t="s">
        <v>117</v>
      </c>
      <c r="J715" s="1">
        <v>131</v>
      </c>
      <c r="K715" s="1">
        <v>10</v>
      </c>
      <c r="L715" s="1">
        <v>73</v>
      </c>
      <c r="M715" s="1">
        <v>45</v>
      </c>
      <c r="N715" s="17">
        <v>0.82330000000000003</v>
      </c>
      <c r="O715" s="1">
        <v>397</v>
      </c>
      <c r="P715" s="15">
        <v>0.52990000000000004</v>
      </c>
      <c r="Q715" s="1">
        <v>17.6313</v>
      </c>
      <c r="R715" s="1" t="s">
        <v>45</v>
      </c>
      <c r="S715" s="1">
        <v>657.38319999999999</v>
      </c>
      <c r="T715" s="1" t="s">
        <v>46</v>
      </c>
      <c r="U715" s="1" t="s">
        <v>56</v>
      </c>
    </row>
    <row r="716" spans="1:21" x14ac:dyDescent="0.3">
      <c r="A716" s="1" t="s">
        <v>515</v>
      </c>
      <c r="B716" s="2">
        <v>37317</v>
      </c>
      <c r="C716" s="1">
        <v>22</v>
      </c>
      <c r="D716" s="1">
        <v>164</v>
      </c>
      <c r="E716" s="1" t="s">
        <v>76</v>
      </c>
      <c r="F716" s="1" t="s">
        <v>49</v>
      </c>
      <c r="G716" s="1" t="s">
        <v>43</v>
      </c>
      <c r="H716" s="1" t="s">
        <v>54</v>
      </c>
      <c r="I716" s="1" t="s">
        <v>121</v>
      </c>
      <c r="J716" s="1">
        <v>148</v>
      </c>
      <c r="K716" s="1">
        <v>53</v>
      </c>
      <c r="L716" s="1">
        <v>34</v>
      </c>
      <c r="M716" s="1">
        <v>93</v>
      </c>
      <c r="N716" s="17">
        <v>0.43819999999999998</v>
      </c>
      <c r="O716" s="1">
        <v>237</v>
      </c>
      <c r="P716" s="15">
        <v>0.40300000000000002</v>
      </c>
      <c r="Q716" s="1">
        <v>76.224599999999995</v>
      </c>
      <c r="R716" s="1" t="s">
        <v>40</v>
      </c>
      <c r="S716" s="1">
        <v>566.38120000000004</v>
      </c>
      <c r="T716" s="1" t="s">
        <v>35</v>
      </c>
      <c r="U716" s="1" t="s">
        <v>36</v>
      </c>
    </row>
    <row r="717" spans="1:21" x14ac:dyDescent="0.3">
      <c r="A717" s="1" t="s">
        <v>516</v>
      </c>
      <c r="B717" s="2">
        <v>37272</v>
      </c>
      <c r="C717" s="1">
        <v>22</v>
      </c>
      <c r="D717" s="1">
        <v>166</v>
      </c>
      <c r="E717" s="1" t="s">
        <v>76</v>
      </c>
      <c r="F717" s="1" t="s">
        <v>104</v>
      </c>
      <c r="G717" s="1" t="s">
        <v>53</v>
      </c>
      <c r="H717" s="1" t="s">
        <v>54</v>
      </c>
      <c r="I717" s="1" t="s">
        <v>92</v>
      </c>
      <c r="J717" s="1">
        <v>84</v>
      </c>
      <c r="K717" s="1">
        <v>5</v>
      </c>
      <c r="L717" s="1">
        <v>83</v>
      </c>
      <c r="M717" s="1">
        <v>84</v>
      </c>
      <c r="N717" s="17">
        <v>0.60340000000000005</v>
      </c>
      <c r="O717" s="1">
        <v>122</v>
      </c>
      <c r="P717" s="15">
        <v>0.60860000000000003</v>
      </c>
      <c r="Q717" s="1">
        <v>8.3056000000000001</v>
      </c>
      <c r="R717" s="1" t="s">
        <v>27</v>
      </c>
      <c r="S717" s="1">
        <v>378.60199999999998</v>
      </c>
      <c r="T717" s="1" t="s">
        <v>28</v>
      </c>
      <c r="U717" s="1" t="s">
        <v>36</v>
      </c>
    </row>
    <row r="718" spans="1:21" x14ac:dyDescent="0.3">
      <c r="A718" s="1" t="s">
        <v>517</v>
      </c>
      <c r="B718" s="2">
        <v>37481</v>
      </c>
      <c r="C718" s="1">
        <v>22</v>
      </c>
      <c r="D718" s="1">
        <v>163</v>
      </c>
      <c r="E718" s="1" t="s">
        <v>76</v>
      </c>
      <c r="F718" s="1" t="s">
        <v>72</v>
      </c>
      <c r="G718" s="1" t="s">
        <v>53</v>
      </c>
      <c r="H718" s="1" t="s">
        <v>54</v>
      </c>
      <c r="I718" s="1" t="s">
        <v>73</v>
      </c>
      <c r="J718" s="1">
        <v>74</v>
      </c>
      <c r="K718" s="1">
        <v>69</v>
      </c>
      <c r="L718" s="1">
        <v>25</v>
      </c>
      <c r="M718" s="1">
        <v>13</v>
      </c>
      <c r="N718" s="17">
        <v>0.99490000000000001</v>
      </c>
      <c r="O718" s="1">
        <v>112</v>
      </c>
      <c r="P718" s="15">
        <v>0.43</v>
      </c>
      <c r="Q718" s="1">
        <v>137.8476</v>
      </c>
      <c r="R718" s="1" t="s">
        <v>40</v>
      </c>
      <c r="S718" s="1">
        <v>294.47489999999999</v>
      </c>
      <c r="T718" s="1" t="s">
        <v>46</v>
      </c>
      <c r="U718" s="1" t="s">
        <v>56</v>
      </c>
    </row>
    <row r="719" spans="1:21" x14ac:dyDescent="0.3">
      <c r="A719" s="1" t="s">
        <v>518</v>
      </c>
      <c r="B719" s="2">
        <v>37136</v>
      </c>
      <c r="C719" s="1">
        <v>23</v>
      </c>
      <c r="D719" s="1">
        <v>182</v>
      </c>
      <c r="E719" s="1" t="s">
        <v>32</v>
      </c>
      <c r="F719" s="1" t="s">
        <v>98</v>
      </c>
      <c r="G719" s="1" t="s">
        <v>23</v>
      </c>
      <c r="H719" s="1" t="s">
        <v>54</v>
      </c>
      <c r="I719" s="1" t="s">
        <v>33</v>
      </c>
      <c r="J719" s="1">
        <v>127</v>
      </c>
      <c r="K719" s="1">
        <v>17</v>
      </c>
      <c r="L719" s="1">
        <v>7</v>
      </c>
      <c r="M719" s="1">
        <v>33</v>
      </c>
      <c r="N719" s="17">
        <v>0.22189999999999999</v>
      </c>
      <c r="O719" s="1">
        <v>351</v>
      </c>
      <c r="P719" s="15">
        <v>0.47349999999999998</v>
      </c>
      <c r="Q719" s="1">
        <v>20.918900000000001</v>
      </c>
      <c r="R719" s="1" t="s">
        <v>40</v>
      </c>
      <c r="S719" s="1">
        <v>535.65539999999999</v>
      </c>
      <c r="T719" s="1" t="s">
        <v>35</v>
      </c>
      <c r="U719" s="1" t="s">
        <v>56</v>
      </c>
    </row>
    <row r="720" spans="1:21" x14ac:dyDescent="0.3">
      <c r="A720" s="1" t="s">
        <v>519</v>
      </c>
      <c r="B720" s="2">
        <v>37976</v>
      </c>
      <c r="C720" s="1">
        <v>21</v>
      </c>
      <c r="D720" s="1">
        <v>169</v>
      </c>
      <c r="E720" s="1" t="s">
        <v>24</v>
      </c>
      <c r="F720" s="1" t="s">
        <v>84</v>
      </c>
      <c r="G720" s="1" t="s">
        <v>63</v>
      </c>
      <c r="H720" s="1" t="s">
        <v>25</v>
      </c>
      <c r="I720" s="1" t="s">
        <v>77</v>
      </c>
      <c r="J720" s="1">
        <v>115</v>
      </c>
      <c r="K720" s="1">
        <v>19</v>
      </c>
      <c r="L720" s="1">
        <v>10</v>
      </c>
      <c r="M720" s="1">
        <v>76</v>
      </c>
      <c r="N720" s="17">
        <v>0.88519999999999999</v>
      </c>
      <c r="O720" s="1">
        <v>218</v>
      </c>
      <c r="P720" s="15">
        <v>0.77210000000000001</v>
      </c>
      <c r="Q720" s="1">
        <v>36.082700000000003</v>
      </c>
      <c r="R720" s="1" t="s">
        <v>40</v>
      </c>
      <c r="S720" s="1">
        <v>439.8073</v>
      </c>
      <c r="T720" s="1" t="s">
        <v>35</v>
      </c>
      <c r="U720" s="1" t="s">
        <v>102</v>
      </c>
    </row>
    <row r="721" spans="1:21" x14ac:dyDescent="0.3">
      <c r="A721" s="1" t="s">
        <v>520</v>
      </c>
      <c r="B721" s="2">
        <v>37953</v>
      </c>
      <c r="C721" s="1">
        <v>21</v>
      </c>
      <c r="D721" s="1">
        <v>164</v>
      </c>
      <c r="E721" s="1" t="s">
        <v>76</v>
      </c>
      <c r="F721" s="1" t="s">
        <v>84</v>
      </c>
      <c r="G721" s="1" t="s">
        <v>63</v>
      </c>
      <c r="H721" s="1" t="s">
        <v>54</v>
      </c>
      <c r="I721" s="1" t="s">
        <v>105</v>
      </c>
      <c r="J721" s="1">
        <v>117</v>
      </c>
      <c r="K721" s="1">
        <v>42</v>
      </c>
      <c r="L721" s="1">
        <v>92</v>
      </c>
      <c r="M721" s="1">
        <v>17</v>
      </c>
      <c r="N721" s="17">
        <v>0.55300000000000005</v>
      </c>
      <c r="O721" s="1">
        <v>88</v>
      </c>
      <c r="P721" s="15">
        <v>0.7742</v>
      </c>
      <c r="Q721" s="1">
        <v>64.899900000000002</v>
      </c>
      <c r="R721" s="1" t="s">
        <v>27</v>
      </c>
      <c r="S721" s="1">
        <v>357.3972</v>
      </c>
      <c r="T721" s="1" t="s">
        <v>35</v>
      </c>
      <c r="U721" s="1" t="s">
        <v>56</v>
      </c>
    </row>
    <row r="722" spans="1:21" x14ac:dyDescent="0.3">
      <c r="A722" s="1" t="s">
        <v>521</v>
      </c>
      <c r="B722" s="2">
        <v>37874</v>
      </c>
      <c r="C722" s="1">
        <v>21</v>
      </c>
      <c r="D722" s="1">
        <v>160</v>
      </c>
      <c r="E722" s="1" t="s">
        <v>76</v>
      </c>
      <c r="F722" s="1" t="s">
        <v>38</v>
      </c>
      <c r="G722" s="1" t="s">
        <v>23</v>
      </c>
      <c r="H722" s="1" t="s">
        <v>54</v>
      </c>
      <c r="I722" s="1" t="s">
        <v>94</v>
      </c>
      <c r="J722" s="1">
        <v>104</v>
      </c>
      <c r="K722" s="1">
        <v>15</v>
      </c>
      <c r="L722" s="1">
        <v>45</v>
      </c>
      <c r="M722" s="1">
        <v>99</v>
      </c>
      <c r="N722" s="17">
        <v>0.97309999999999997</v>
      </c>
      <c r="O722" s="1">
        <v>210</v>
      </c>
      <c r="P722" s="15">
        <v>0.47749999999999998</v>
      </c>
      <c r="Q722" s="1">
        <v>29.123000000000001</v>
      </c>
      <c r="R722" s="1" t="s">
        <v>40</v>
      </c>
      <c r="S722" s="1">
        <v>473.43060000000003</v>
      </c>
      <c r="T722" s="1" t="s">
        <v>28</v>
      </c>
      <c r="U722" s="1" t="s">
        <v>102</v>
      </c>
    </row>
    <row r="723" spans="1:21" x14ac:dyDescent="0.3">
      <c r="A723" s="1" t="s">
        <v>522</v>
      </c>
      <c r="B723" s="2">
        <v>37183</v>
      </c>
      <c r="C723" s="1">
        <v>23</v>
      </c>
      <c r="D723" s="1">
        <v>182</v>
      </c>
      <c r="E723" s="1" t="s">
        <v>32</v>
      </c>
      <c r="F723" s="1" t="s">
        <v>42</v>
      </c>
      <c r="G723" s="1" t="s">
        <v>43</v>
      </c>
      <c r="H723" s="1" t="s">
        <v>25</v>
      </c>
      <c r="I723" s="1" t="s">
        <v>94</v>
      </c>
      <c r="J723" s="1">
        <v>20</v>
      </c>
      <c r="K723" s="1">
        <v>14</v>
      </c>
      <c r="L723" s="1">
        <v>9</v>
      </c>
      <c r="M723" s="1">
        <v>69</v>
      </c>
      <c r="N723" s="17">
        <v>0.17</v>
      </c>
      <c r="O723" s="1">
        <v>314</v>
      </c>
      <c r="P723" s="15">
        <v>0.74860000000000004</v>
      </c>
      <c r="Q723" s="1">
        <v>16.251300000000001</v>
      </c>
      <c r="R723" s="1" t="s">
        <v>45</v>
      </c>
      <c r="S723" s="1">
        <v>426.48860000000002</v>
      </c>
      <c r="T723" s="1" t="s">
        <v>28</v>
      </c>
      <c r="U723" s="1" t="s">
        <v>36</v>
      </c>
    </row>
    <row r="724" spans="1:21" x14ac:dyDescent="0.3">
      <c r="A724" s="1" t="s">
        <v>523</v>
      </c>
      <c r="B724" s="2">
        <v>37135</v>
      </c>
      <c r="C724" s="1">
        <v>23</v>
      </c>
      <c r="D724" s="1">
        <v>175</v>
      </c>
      <c r="E724" s="1" t="s">
        <v>32</v>
      </c>
      <c r="F724" s="1" t="s">
        <v>42</v>
      </c>
      <c r="G724" s="1" t="s">
        <v>43</v>
      </c>
      <c r="H724" s="1" t="s">
        <v>54</v>
      </c>
      <c r="I724" s="1" t="s">
        <v>39</v>
      </c>
      <c r="J724" s="1">
        <v>11</v>
      </c>
      <c r="K724" s="1">
        <v>67</v>
      </c>
      <c r="L724" s="1">
        <v>76</v>
      </c>
      <c r="M724" s="1">
        <v>78</v>
      </c>
      <c r="N724" s="17">
        <v>0.28489999999999999</v>
      </c>
      <c r="O724" s="1">
        <v>368</v>
      </c>
      <c r="P724" s="15">
        <v>0.80549999999999999</v>
      </c>
      <c r="Q724" s="1">
        <v>86.203900000000004</v>
      </c>
      <c r="R724" s="1" t="s">
        <v>34</v>
      </c>
      <c r="S724" s="1">
        <v>601.32039999999995</v>
      </c>
      <c r="T724" s="1" t="s">
        <v>46</v>
      </c>
      <c r="U724" s="1" t="s">
        <v>47</v>
      </c>
    </row>
    <row r="725" spans="1:21" x14ac:dyDescent="0.3">
      <c r="A725" s="1" t="s">
        <v>524</v>
      </c>
      <c r="B725" s="2">
        <v>37460</v>
      </c>
      <c r="C725" s="1">
        <v>22</v>
      </c>
      <c r="D725" s="1">
        <v>183</v>
      </c>
      <c r="E725" s="1" t="s">
        <v>32</v>
      </c>
      <c r="F725" s="1" t="s">
        <v>22</v>
      </c>
      <c r="G725" s="1" t="s">
        <v>23</v>
      </c>
      <c r="H725" s="1" t="s">
        <v>54</v>
      </c>
      <c r="I725" s="1" t="s">
        <v>101</v>
      </c>
      <c r="J725" s="1">
        <v>25</v>
      </c>
      <c r="K725" s="1">
        <v>51</v>
      </c>
      <c r="L725" s="1">
        <v>73</v>
      </c>
      <c r="M725" s="1">
        <v>25</v>
      </c>
      <c r="N725" s="17">
        <v>0.18920000000000001</v>
      </c>
      <c r="O725" s="1">
        <v>229</v>
      </c>
      <c r="P725" s="15">
        <v>0.66020000000000001</v>
      </c>
      <c r="Q725" s="1">
        <v>60.125999999999998</v>
      </c>
      <c r="R725" s="1" t="s">
        <v>27</v>
      </c>
      <c r="S725" s="1">
        <v>402.9194</v>
      </c>
      <c r="T725" s="1" t="s">
        <v>46</v>
      </c>
      <c r="U725" s="1" t="s">
        <v>36</v>
      </c>
    </row>
    <row r="726" spans="1:21" x14ac:dyDescent="0.3">
      <c r="A726" s="1" t="s">
        <v>525</v>
      </c>
      <c r="B726" s="2">
        <v>36900</v>
      </c>
      <c r="C726" s="1">
        <v>23</v>
      </c>
      <c r="D726" s="1">
        <v>184</v>
      </c>
      <c r="E726" s="1" t="s">
        <v>32</v>
      </c>
      <c r="F726" s="1" t="s">
        <v>62</v>
      </c>
      <c r="G726" s="1" t="s">
        <v>63</v>
      </c>
      <c r="H726" s="1" t="s">
        <v>25</v>
      </c>
      <c r="I726" s="1" t="s">
        <v>80</v>
      </c>
      <c r="J726" s="1">
        <v>138</v>
      </c>
      <c r="K726" s="1">
        <v>85</v>
      </c>
      <c r="L726" s="1">
        <v>48</v>
      </c>
      <c r="M726" s="1">
        <v>70</v>
      </c>
      <c r="N726" s="17">
        <v>0.70620000000000005</v>
      </c>
      <c r="O726" s="1">
        <v>75</v>
      </c>
      <c r="P726" s="15">
        <v>0.44829999999999998</v>
      </c>
      <c r="Q726" s="1">
        <v>145.50470000000001</v>
      </c>
      <c r="R726" s="1" t="s">
        <v>40</v>
      </c>
      <c r="S726" s="1">
        <v>417.5745</v>
      </c>
      <c r="T726" s="1" t="s">
        <v>35</v>
      </c>
      <c r="U726" s="1" t="s">
        <v>56</v>
      </c>
    </row>
    <row r="727" spans="1:21" x14ac:dyDescent="0.3">
      <c r="A727" s="1" t="s">
        <v>526</v>
      </c>
      <c r="B727" s="2">
        <v>37123</v>
      </c>
      <c r="C727" s="1">
        <v>23</v>
      </c>
      <c r="D727" s="1">
        <v>173</v>
      </c>
      <c r="E727" s="1" t="s">
        <v>24</v>
      </c>
      <c r="F727" s="1" t="s">
        <v>62</v>
      </c>
      <c r="G727" s="1" t="s">
        <v>63</v>
      </c>
      <c r="H727" s="1" t="s">
        <v>54</v>
      </c>
      <c r="I727" s="1" t="s">
        <v>60</v>
      </c>
      <c r="J727" s="1">
        <v>70</v>
      </c>
      <c r="K727" s="1">
        <v>52</v>
      </c>
      <c r="L727" s="1">
        <v>50</v>
      </c>
      <c r="M727" s="1">
        <v>37</v>
      </c>
      <c r="N727" s="17">
        <v>0.74990000000000001</v>
      </c>
      <c r="O727" s="1">
        <v>116</v>
      </c>
      <c r="P727" s="15">
        <v>0.437</v>
      </c>
      <c r="Q727" s="1">
        <v>91.782300000000006</v>
      </c>
      <c r="R727" s="1" t="s">
        <v>45</v>
      </c>
      <c r="S727" s="1">
        <v>326.92689999999999</v>
      </c>
      <c r="T727" s="1" t="s">
        <v>28</v>
      </c>
      <c r="U727" s="1" t="s">
        <v>56</v>
      </c>
    </row>
    <row r="728" spans="1:21" x14ac:dyDescent="0.3">
      <c r="A728" s="1" t="s">
        <v>527</v>
      </c>
      <c r="B728" s="2">
        <v>37801</v>
      </c>
      <c r="C728" s="1">
        <v>21</v>
      </c>
      <c r="D728" s="1">
        <v>181</v>
      </c>
      <c r="E728" s="1" t="s">
        <v>32</v>
      </c>
      <c r="F728" s="1" t="s">
        <v>75</v>
      </c>
      <c r="G728" s="1" t="s">
        <v>53</v>
      </c>
      <c r="H728" s="1" t="s">
        <v>25</v>
      </c>
      <c r="I728" s="1" t="s">
        <v>112</v>
      </c>
      <c r="J728" s="1">
        <v>44</v>
      </c>
      <c r="K728" s="1">
        <v>86</v>
      </c>
      <c r="L728" s="1">
        <v>20</v>
      </c>
      <c r="M728" s="1">
        <v>8</v>
      </c>
      <c r="N728" s="17">
        <v>0.52810000000000001</v>
      </c>
      <c r="O728" s="1">
        <v>337</v>
      </c>
      <c r="P728" s="15">
        <v>0.7056</v>
      </c>
      <c r="Q728" s="1">
        <v>130.92760000000001</v>
      </c>
      <c r="R728" s="1" t="s">
        <v>34</v>
      </c>
      <c r="S728" s="1">
        <v>495.37369999999999</v>
      </c>
      <c r="T728" s="1" t="s">
        <v>28</v>
      </c>
      <c r="U728" s="1" t="s">
        <v>102</v>
      </c>
    </row>
    <row r="729" spans="1:21" x14ac:dyDescent="0.3">
      <c r="A729" s="1" t="s">
        <v>528</v>
      </c>
      <c r="B729" s="2">
        <v>37789</v>
      </c>
      <c r="C729" s="1">
        <v>21</v>
      </c>
      <c r="D729" s="1">
        <v>172</v>
      </c>
      <c r="E729" s="1" t="s">
        <v>24</v>
      </c>
      <c r="F729" s="1" t="s">
        <v>109</v>
      </c>
      <c r="G729" s="1" t="s">
        <v>63</v>
      </c>
      <c r="H729" s="1" t="s">
        <v>25</v>
      </c>
      <c r="I729" s="1" t="s">
        <v>60</v>
      </c>
      <c r="J729" s="1">
        <v>22</v>
      </c>
      <c r="K729" s="1">
        <v>41</v>
      </c>
      <c r="L729" s="1">
        <v>59</v>
      </c>
      <c r="M729" s="1">
        <v>11</v>
      </c>
      <c r="N729" s="17">
        <v>0.98009999999999997</v>
      </c>
      <c r="O729" s="1">
        <v>370</v>
      </c>
      <c r="P729" s="15">
        <v>0.42909999999999998</v>
      </c>
      <c r="Q729" s="1">
        <v>80.510900000000007</v>
      </c>
      <c r="R729" s="1" t="s">
        <v>34</v>
      </c>
      <c r="S729" s="1">
        <v>505.1592</v>
      </c>
      <c r="T729" s="1" t="s">
        <v>35</v>
      </c>
      <c r="U729" s="1" t="s">
        <v>36</v>
      </c>
    </row>
    <row r="730" spans="1:21" x14ac:dyDescent="0.3">
      <c r="A730" s="1" t="s">
        <v>529</v>
      </c>
      <c r="B730" s="2">
        <v>37914</v>
      </c>
      <c r="C730" s="1">
        <v>21</v>
      </c>
      <c r="D730" s="1">
        <v>173</v>
      </c>
      <c r="E730" s="1" t="s">
        <v>24</v>
      </c>
      <c r="F730" s="1" t="s">
        <v>87</v>
      </c>
      <c r="G730" s="1" t="s">
        <v>63</v>
      </c>
      <c r="H730" s="1" t="s">
        <v>54</v>
      </c>
      <c r="I730" s="1" t="s">
        <v>90</v>
      </c>
      <c r="J730" s="1">
        <v>114</v>
      </c>
      <c r="K730" s="1">
        <v>80</v>
      </c>
      <c r="L730" s="1">
        <v>94</v>
      </c>
      <c r="M730" s="1">
        <v>36</v>
      </c>
      <c r="N730" s="17">
        <v>0.95509999999999995</v>
      </c>
      <c r="O730" s="1">
        <v>267</v>
      </c>
      <c r="P730" s="15">
        <v>0.84440000000000004</v>
      </c>
      <c r="Q730" s="1">
        <v>156.99449999999999</v>
      </c>
      <c r="R730" s="1" t="s">
        <v>40</v>
      </c>
      <c r="S730" s="1">
        <v>593.41949999999997</v>
      </c>
      <c r="T730" s="1" t="s">
        <v>28</v>
      </c>
      <c r="U730" s="1" t="s">
        <v>113</v>
      </c>
    </row>
    <row r="731" spans="1:21" x14ac:dyDescent="0.3">
      <c r="A731" s="1" t="s">
        <v>530</v>
      </c>
      <c r="B731" s="2">
        <v>37894</v>
      </c>
      <c r="C731" s="1">
        <v>21</v>
      </c>
      <c r="D731" s="1">
        <v>168</v>
      </c>
      <c r="E731" s="1" t="s">
        <v>24</v>
      </c>
      <c r="F731" s="1" t="s">
        <v>104</v>
      </c>
      <c r="G731" s="1" t="s">
        <v>53</v>
      </c>
      <c r="H731" s="1" t="s">
        <v>54</v>
      </c>
      <c r="I731" s="1" t="s">
        <v>82</v>
      </c>
      <c r="J731" s="1">
        <v>95</v>
      </c>
      <c r="K731" s="1">
        <v>14</v>
      </c>
      <c r="L731" s="1">
        <v>11</v>
      </c>
      <c r="M731" s="1">
        <v>6</v>
      </c>
      <c r="N731" s="17">
        <v>0.71030000000000004</v>
      </c>
      <c r="O731" s="1">
        <v>28</v>
      </c>
      <c r="P731" s="15">
        <v>0.83740000000000003</v>
      </c>
      <c r="Q731" s="1">
        <v>24.508600000000001</v>
      </c>
      <c r="R731" s="1" t="s">
        <v>45</v>
      </c>
      <c r="S731" s="1">
        <v>155.8177</v>
      </c>
      <c r="T731" s="1" t="s">
        <v>46</v>
      </c>
      <c r="U731" s="1" t="s">
        <v>102</v>
      </c>
    </row>
    <row r="732" spans="1:21" x14ac:dyDescent="0.3">
      <c r="A732" s="1" t="s">
        <v>531</v>
      </c>
      <c r="B732" s="2">
        <v>37089</v>
      </c>
      <c r="C732" s="1">
        <v>23</v>
      </c>
      <c r="D732" s="1">
        <v>179</v>
      </c>
      <c r="E732" s="1" t="s">
        <v>32</v>
      </c>
      <c r="F732" s="1" t="s">
        <v>79</v>
      </c>
      <c r="G732" s="1" t="s">
        <v>43</v>
      </c>
      <c r="H732" s="1" t="s">
        <v>25</v>
      </c>
      <c r="I732" s="1" t="s">
        <v>123</v>
      </c>
      <c r="J732" s="1">
        <v>119</v>
      </c>
      <c r="K732" s="1">
        <v>21</v>
      </c>
      <c r="L732" s="1">
        <v>67</v>
      </c>
      <c r="M732" s="1">
        <v>50</v>
      </c>
      <c r="N732" s="17">
        <v>0.4093</v>
      </c>
      <c r="O732" s="1">
        <v>105</v>
      </c>
      <c r="P732" s="15">
        <v>0.78690000000000004</v>
      </c>
      <c r="Q732" s="1">
        <v>29.581199999999999</v>
      </c>
      <c r="R732" s="1" t="s">
        <v>27</v>
      </c>
      <c r="S732" s="1">
        <v>362.78620000000001</v>
      </c>
      <c r="T732" s="1" t="s">
        <v>28</v>
      </c>
      <c r="U732" s="1" t="s">
        <v>56</v>
      </c>
    </row>
    <row r="733" spans="1:21" x14ac:dyDescent="0.3">
      <c r="A733" s="1" t="s">
        <v>532</v>
      </c>
      <c r="B733" s="2">
        <v>37662</v>
      </c>
      <c r="C733" s="1">
        <v>21</v>
      </c>
      <c r="D733" s="1">
        <v>170</v>
      </c>
      <c r="E733" s="1" t="s">
        <v>24</v>
      </c>
      <c r="F733" s="1" t="s">
        <v>42</v>
      </c>
      <c r="G733" s="1" t="s">
        <v>43</v>
      </c>
      <c r="H733" s="1" t="s">
        <v>54</v>
      </c>
      <c r="I733" s="1" t="s">
        <v>119</v>
      </c>
      <c r="J733" s="1">
        <v>6</v>
      </c>
      <c r="K733" s="1">
        <v>19</v>
      </c>
      <c r="L733" s="1">
        <v>66</v>
      </c>
      <c r="M733" s="1">
        <v>78</v>
      </c>
      <c r="N733" s="17">
        <v>0.2477</v>
      </c>
      <c r="O733" s="1">
        <v>354</v>
      </c>
      <c r="P733" s="15">
        <v>0.59379999999999999</v>
      </c>
      <c r="Q733" s="1">
        <v>23.094899999999999</v>
      </c>
      <c r="R733" s="1" t="s">
        <v>40</v>
      </c>
      <c r="S733" s="1">
        <v>524.15150000000006</v>
      </c>
      <c r="T733" s="1" t="s">
        <v>46</v>
      </c>
      <c r="U733" s="1" t="s">
        <v>56</v>
      </c>
    </row>
    <row r="734" spans="1:21" x14ac:dyDescent="0.3">
      <c r="A734" s="1" t="s">
        <v>533</v>
      </c>
      <c r="B734" s="2">
        <v>37854</v>
      </c>
      <c r="C734" s="1">
        <v>21</v>
      </c>
      <c r="D734" s="1">
        <v>181</v>
      </c>
      <c r="E734" s="1" t="s">
        <v>32</v>
      </c>
      <c r="F734" s="1" t="s">
        <v>109</v>
      </c>
      <c r="G734" s="1" t="s">
        <v>63</v>
      </c>
      <c r="H734" s="1" t="s">
        <v>54</v>
      </c>
      <c r="I734" s="1" t="s">
        <v>70</v>
      </c>
      <c r="J734" s="1">
        <v>76</v>
      </c>
      <c r="K734" s="1">
        <v>40</v>
      </c>
      <c r="L734" s="1">
        <v>50</v>
      </c>
      <c r="M734" s="1">
        <v>97</v>
      </c>
      <c r="N734" s="17">
        <v>0.41749999999999998</v>
      </c>
      <c r="O734" s="1">
        <v>247</v>
      </c>
      <c r="P734" s="15">
        <v>0.84</v>
      </c>
      <c r="Q734" s="1">
        <v>56.345599999999997</v>
      </c>
      <c r="R734" s="1" t="s">
        <v>40</v>
      </c>
      <c r="S734" s="1">
        <v>511.75749999999999</v>
      </c>
      <c r="T734" s="1" t="s">
        <v>28</v>
      </c>
      <c r="U734" s="1" t="s">
        <v>29</v>
      </c>
    </row>
    <row r="735" spans="1:21" x14ac:dyDescent="0.3">
      <c r="A735" s="1" t="s">
        <v>534</v>
      </c>
      <c r="B735" s="2">
        <v>36947</v>
      </c>
      <c r="C735" s="1">
        <v>23</v>
      </c>
      <c r="D735" s="1">
        <v>171</v>
      </c>
      <c r="E735" s="1" t="s">
        <v>24</v>
      </c>
      <c r="F735" s="1" t="s">
        <v>31</v>
      </c>
      <c r="G735" s="1" t="s">
        <v>23</v>
      </c>
      <c r="H735" s="1" t="s">
        <v>54</v>
      </c>
      <c r="I735" s="1" t="s">
        <v>107</v>
      </c>
      <c r="J735" s="1">
        <v>16</v>
      </c>
      <c r="K735" s="1">
        <v>35</v>
      </c>
      <c r="L735" s="1">
        <v>36</v>
      </c>
      <c r="M735" s="1">
        <v>36</v>
      </c>
      <c r="N735" s="17">
        <v>0.32290000000000002</v>
      </c>
      <c r="O735" s="1">
        <v>265</v>
      </c>
      <c r="P735" s="15">
        <v>0.69159999999999999</v>
      </c>
      <c r="Q735" s="1">
        <v>46.526400000000002</v>
      </c>
      <c r="R735" s="1" t="s">
        <v>27</v>
      </c>
      <c r="S735" s="1">
        <v>388.68450000000001</v>
      </c>
      <c r="T735" s="1" t="s">
        <v>46</v>
      </c>
      <c r="U735" s="1" t="s">
        <v>29</v>
      </c>
    </row>
    <row r="736" spans="1:21" x14ac:dyDescent="0.3">
      <c r="A736" s="1" t="s">
        <v>535</v>
      </c>
      <c r="B736" s="2">
        <v>36932</v>
      </c>
      <c r="C736" s="1">
        <v>23</v>
      </c>
      <c r="D736" s="1">
        <v>165</v>
      </c>
      <c r="E736" s="1" t="s">
        <v>76</v>
      </c>
      <c r="F736" s="1" t="s">
        <v>75</v>
      </c>
      <c r="G736" s="1" t="s">
        <v>53</v>
      </c>
      <c r="H736" s="1" t="s">
        <v>54</v>
      </c>
      <c r="I736" s="1" t="s">
        <v>39</v>
      </c>
      <c r="J736" s="1">
        <v>70</v>
      </c>
      <c r="K736" s="1">
        <v>86</v>
      </c>
      <c r="L736" s="1">
        <v>57</v>
      </c>
      <c r="M736" s="1">
        <v>90</v>
      </c>
      <c r="N736" s="17">
        <v>0.72640000000000005</v>
      </c>
      <c r="O736" s="1">
        <v>107</v>
      </c>
      <c r="P736" s="15">
        <v>0.66459999999999997</v>
      </c>
      <c r="Q736" s="1">
        <v>149.2818</v>
      </c>
      <c r="R736" s="1" t="s">
        <v>40</v>
      </c>
      <c r="S736" s="1">
        <v>412.40100000000001</v>
      </c>
      <c r="T736" s="1" t="s">
        <v>35</v>
      </c>
      <c r="U736" s="1" t="s">
        <v>65</v>
      </c>
    </row>
    <row r="737" spans="1:21" x14ac:dyDescent="0.3">
      <c r="A737" s="1" t="s">
        <v>536</v>
      </c>
      <c r="B737" s="2">
        <v>37892</v>
      </c>
      <c r="C737" s="1">
        <v>21</v>
      </c>
      <c r="D737" s="1">
        <v>185</v>
      </c>
      <c r="E737" s="1" t="s">
        <v>32</v>
      </c>
      <c r="F737" s="1" t="s">
        <v>87</v>
      </c>
      <c r="G737" s="1" t="s">
        <v>63</v>
      </c>
      <c r="H737" s="1" t="s">
        <v>25</v>
      </c>
      <c r="I737" s="1" t="s">
        <v>80</v>
      </c>
      <c r="J737" s="1">
        <v>51</v>
      </c>
      <c r="K737" s="1">
        <v>51</v>
      </c>
      <c r="L737" s="1">
        <v>77</v>
      </c>
      <c r="M737" s="1">
        <v>35</v>
      </c>
      <c r="N737" s="17">
        <v>0.42699999999999999</v>
      </c>
      <c r="O737" s="1">
        <v>246</v>
      </c>
      <c r="P737" s="15">
        <v>0.59619999999999995</v>
      </c>
      <c r="Q737" s="1">
        <v>72.448800000000006</v>
      </c>
      <c r="R737" s="1" t="s">
        <v>45</v>
      </c>
      <c r="S737" s="1">
        <v>460.51319999999998</v>
      </c>
      <c r="T737" s="1" t="s">
        <v>46</v>
      </c>
      <c r="U737" s="1" t="s">
        <v>113</v>
      </c>
    </row>
    <row r="738" spans="1:21" x14ac:dyDescent="0.3">
      <c r="A738" s="1" t="s">
        <v>537</v>
      </c>
      <c r="B738" s="2">
        <v>37435</v>
      </c>
      <c r="C738" s="1">
        <v>22</v>
      </c>
      <c r="D738" s="1">
        <v>169</v>
      </c>
      <c r="E738" s="1" t="s">
        <v>24</v>
      </c>
      <c r="F738" s="1" t="s">
        <v>38</v>
      </c>
      <c r="G738" s="1" t="s">
        <v>23</v>
      </c>
      <c r="H738" s="1" t="s">
        <v>25</v>
      </c>
      <c r="I738" s="1" t="s">
        <v>94</v>
      </c>
      <c r="J738" s="1">
        <v>149</v>
      </c>
      <c r="K738" s="1">
        <v>41</v>
      </c>
      <c r="L738" s="1">
        <v>23</v>
      </c>
      <c r="M738" s="1">
        <v>75</v>
      </c>
      <c r="N738" s="17">
        <v>0.85980000000000001</v>
      </c>
      <c r="O738" s="1">
        <v>38</v>
      </c>
      <c r="P738" s="15">
        <v>0.44259999999999999</v>
      </c>
      <c r="Q738" s="1">
        <v>75.879800000000003</v>
      </c>
      <c r="R738" s="1" t="s">
        <v>40</v>
      </c>
      <c r="S738" s="1">
        <v>327.14240000000001</v>
      </c>
      <c r="T738" s="1" t="s">
        <v>35</v>
      </c>
      <c r="U738" s="1" t="s">
        <v>29</v>
      </c>
    </row>
    <row r="739" spans="1:21" x14ac:dyDescent="0.3">
      <c r="A739" s="1" t="s">
        <v>538</v>
      </c>
      <c r="B739" s="2">
        <v>37510</v>
      </c>
      <c r="C739" s="1">
        <v>22</v>
      </c>
      <c r="D739" s="1">
        <v>180</v>
      </c>
      <c r="E739" s="1" t="s">
        <v>32</v>
      </c>
      <c r="F739" s="1" t="s">
        <v>109</v>
      </c>
      <c r="G739" s="1" t="s">
        <v>63</v>
      </c>
      <c r="H739" s="1" t="s">
        <v>54</v>
      </c>
      <c r="I739" s="1" t="s">
        <v>115</v>
      </c>
      <c r="J739" s="1">
        <v>100</v>
      </c>
      <c r="K739" s="1">
        <v>32</v>
      </c>
      <c r="L739" s="1">
        <v>42</v>
      </c>
      <c r="M739" s="1">
        <v>26</v>
      </c>
      <c r="N739" s="17">
        <v>0.70440000000000003</v>
      </c>
      <c r="O739" s="1">
        <v>207</v>
      </c>
      <c r="P739" s="15">
        <v>0.64639999999999997</v>
      </c>
      <c r="Q739" s="1">
        <v>54.5749</v>
      </c>
      <c r="R739" s="1" t="s">
        <v>27</v>
      </c>
      <c r="S739" s="1">
        <v>407.76080000000002</v>
      </c>
      <c r="T739" s="1" t="s">
        <v>46</v>
      </c>
      <c r="U739" s="1" t="s">
        <v>102</v>
      </c>
    </row>
    <row r="740" spans="1:21" x14ac:dyDescent="0.3">
      <c r="A740" s="1" t="s">
        <v>539</v>
      </c>
      <c r="B740" s="2">
        <v>37849</v>
      </c>
      <c r="C740" s="1">
        <v>21</v>
      </c>
      <c r="D740" s="1">
        <v>166</v>
      </c>
      <c r="E740" s="1" t="s">
        <v>76</v>
      </c>
      <c r="F740" s="1" t="s">
        <v>52</v>
      </c>
      <c r="G740" s="1" t="s">
        <v>53</v>
      </c>
      <c r="H740" s="1" t="s">
        <v>54</v>
      </c>
      <c r="I740" s="1" t="s">
        <v>115</v>
      </c>
      <c r="J740" s="1">
        <v>140</v>
      </c>
      <c r="K740" s="1">
        <v>73</v>
      </c>
      <c r="L740" s="1">
        <v>7</v>
      </c>
      <c r="M740" s="1">
        <v>21</v>
      </c>
      <c r="N740" s="17">
        <v>0.31630000000000003</v>
      </c>
      <c r="O740" s="1">
        <v>186</v>
      </c>
      <c r="P740" s="15">
        <v>0.7359</v>
      </c>
      <c r="Q740" s="1">
        <v>95.997799999999998</v>
      </c>
      <c r="R740" s="1" t="s">
        <v>40</v>
      </c>
      <c r="S740" s="1">
        <v>427.56220000000002</v>
      </c>
      <c r="T740" s="1" t="s">
        <v>35</v>
      </c>
      <c r="U740" s="1" t="s">
        <v>56</v>
      </c>
    </row>
    <row r="741" spans="1:21" x14ac:dyDescent="0.3">
      <c r="A741" s="1" t="s">
        <v>540</v>
      </c>
      <c r="B741" s="2">
        <v>37438</v>
      </c>
      <c r="C741" s="1">
        <v>22</v>
      </c>
      <c r="D741" s="1">
        <v>173</v>
      </c>
      <c r="E741" s="1" t="s">
        <v>24</v>
      </c>
      <c r="F741" s="1" t="s">
        <v>79</v>
      </c>
      <c r="G741" s="1" t="s">
        <v>43</v>
      </c>
      <c r="H741" s="1" t="s">
        <v>54</v>
      </c>
      <c r="I741" s="1" t="s">
        <v>70</v>
      </c>
      <c r="J741" s="1">
        <v>39</v>
      </c>
      <c r="K741" s="1">
        <v>61</v>
      </c>
      <c r="L741" s="1">
        <v>41</v>
      </c>
      <c r="M741" s="1">
        <v>12</v>
      </c>
      <c r="N741" s="17">
        <v>0.32100000000000001</v>
      </c>
      <c r="O741" s="1">
        <v>78</v>
      </c>
      <c r="P741" s="15">
        <v>0.77229999999999999</v>
      </c>
      <c r="Q741" s="1">
        <v>79.946899999999999</v>
      </c>
      <c r="R741" s="1" t="s">
        <v>45</v>
      </c>
      <c r="S741" s="1">
        <v>231.8133</v>
      </c>
      <c r="T741" s="1" t="s">
        <v>35</v>
      </c>
      <c r="U741" s="1" t="s">
        <v>65</v>
      </c>
    </row>
    <row r="742" spans="1:21" x14ac:dyDescent="0.3">
      <c r="A742" s="1" t="s">
        <v>541</v>
      </c>
      <c r="B742" s="2">
        <v>37218</v>
      </c>
      <c r="C742" s="1">
        <v>23</v>
      </c>
      <c r="D742" s="1">
        <v>166</v>
      </c>
      <c r="E742" s="1" t="s">
        <v>76</v>
      </c>
      <c r="F742" s="1" t="s">
        <v>98</v>
      </c>
      <c r="G742" s="1" t="s">
        <v>23</v>
      </c>
      <c r="H742" s="1" t="s">
        <v>54</v>
      </c>
      <c r="I742" s="1" t="s">
        <v>64</v>
      </c>
      <c r="J742" s="1">
        <v>5</v>
      </c>
      <c r="K742" s="1">
        <v>79</v>
      </c>
      <c r="L742" s="1">
        <v>28</v>
      </c>
      <c r="M742" s="1">
        <v>56</v>
      </c>
      <c r="N742" s="17">
        <v>0.13800000000000001</v>
      </c>
      <c r="O742" s="1">
        <v>258</v>
      </c>
      <c r="P742" s="15">
        <v>0.72509999999999997</v>
      </c>
      <c r="Q742" s="1">
        <v>90.106800000000007</v>
      </c>
      <c r="R742" s="1" t="s">
        <v>27</v>
      </c>
      <c r="S742" s="1">
        <v>427.47309999999999</v>
      </c>
      <c r="T742" s="1" t="s">
        <v>28</v>
      </c>
      <c r="U742" s="1" t="s">
        <v>113</v>
      </c>
    </row>
    <row r="743" spans="1:21" x14ac:dyDescent="0.3">
      <c r="A743" s="1" t="s">
        <v>542</v>
      </c>
      <c r="B743" s="2">
        <v>37725</v>
      </c>
      <c r="C743" s="1">
        <v>21</v>
      </c>
      <c r="D743" s="1">
        <v>162</v>
      </c>
      <c r="E743" s="1" t="s">
        <v>76</v>
      </c>
      <c r="F743" s="1" t="s">
        <v>38</v>
      </c>
      <c r="G743" s="1" t="s">
        <v>23</v>
      </c>
      <c r="H743" s="1" t="s">
        <v>54</v>
      </c>
      <c r="I743" s="1" t="s">
        <v>55</v>
      </c>
      <c r="J743" s="1">
        <v>60</v>
      </c>
      <c r="K743" s="1">
        <v>84</v>
      </c>
      <c r="L743" s="1">
        <v>84</v>
      </c>
      <c r="M743" s="1">
        <v>24</v>
      </c>
      <c r="N743" s="17">
        <v>0.55020000000000002</v>
      </c>
      <c r="O743" s="1">
        <v>229</v>
      </c>
      <c r="P743" s="15">
        <v>0.45429999999999998</v>
      </c>
      <c r="Q743" s="1">
        <v>130.43379999999999</v>
      </c>
      <c r="R743" s="1" t="s">
        <v>40</v>
      </c>
      <c r="S743" s="1">
        <v>482.90449999999998</v>
      </c>
      <c r="T743" s="1" t="s">
        <v>35</v>
      </c>
      <c r="U743" s="1" t="s">
        <v>29</v>
      </c>
    </row>
    <row r="744" spans="1:21" x14ac:dyDescent="0.3">
      <c r="A744" s="1" t="s">
        <v>543</v>
      </c>
      <c r="B744" s="2">
        <v>37690</v>
      </c>
      <c r="C744" s="1">
        <v>21</v>
      </c>
      <c r="D744" s="1">
        <v>178</v>
      </c>
      <c r="E744" s="1" t="s">
        <v>32</v>
      </c>
      <c r="F744" s="1" t="s">
        <v>69</v>
      </c>
      <c r="G744" s="1" t="s">
        <v>43</v>
      </c>
      <c r="H744" s="1" t="s">
        <v>25</v>
      </c>
      <c r="I744" s="1" t="s">
        <v>115</v>
      </c>
      <c r="J744" s="1">
        <v>33</v>
      </c>
      <c r="K744" s="1">
        <v>12</v>
      </c>
      <c r="L744" s="1">
        <v>22</v>
      </c>
      <c r="M744" s="1">
        <v>28</v>
      </c>
      <c r="N744" s="17">
        <v>0.87660000000000005</v>
      </c>
      <c r="O744" s="1">
        <v>164</v>
      </c>
      <c r="P744" s="15">
        <v>0.42520000000000002</v>
      </c>
      <c r="Q744" s="1">
        <v>21.712299999999999</v>
      </c>
      <c r="R744" s="1" t="s">
        <v>40</v>
      </c>
      <c r="S744" s="1">
        <v>260.67180000000002</v>
      </c>
      <c r="T744" s="1" t="s">
        <v>46</v>
      </c>
      <c r="U744" s="1" t="s">
        <v>29</v>
      </c>
    </row>
    <row r="745" spans="1:21" x14ac:dyDescent="0.3">
      <c r="A745" s="1" t="s">
        <v>544</v>
      </c>
      <c r="B745" s="2">
        <v>37396</v>
      </c>
      <c r="C745" s="1">
        <v>22</v>
      </c>
      <c r="D745" s="1">
        <v>175</v>
      </c>
      <c r="E745" s="1" t="s">
        <v>32</v>
      </c>
      <c r="F745" s="1" t="s">
        <v>79</v>
      </c>
      <c r="G745" s="1" t="s">
        <v>43</v>
      </c>
      <c r="H745" s="1" t="s">
        <v>54</v>
      </c>
      <c r="I745" s="1" t="s">
        <v>67</v>
      </c>
      <c r="J745" s="1">
        <v>55</v>
      </c>
      <c r="K745" s="1">
        <v>72</v>
      </c>
      <c r="L745" s="1">
        <v>82</v>
      </c>
      <c r="M745" s="1">
        <v>3</v>
      </c>
      <c r="N745" s="17">
        <v>0.6452</v>
      </c>
      <c r="O745" s="1">
        <v>387</v>
      </c>
      <c r="P745" s="15">
        <v>0.77869999999999995</v>
      </c>
      <c r="Q745" s="1">
        <v>118.2076</v>
      </c>
      <c r="R745" s="1" t="s">
        <v>27</v>
      </c>
      <c r="S745" s="1">
        <v>600.53390000000002</v>
      </c>
      <c r="T745" s="1" t="s">
        <v>46</v>
      </c>
      <c r="U745" s="1" t="s">
        <v>113</v>
      </c>
    </row>
    <row r="746" spans="1:21" x14ac:dyDescent="0.3">
      <c r="A746" s="1" t="s">
        <v>545</v>
      </c>
      <c r="B746" s="2">
        <v>37635</v>
      </c>
      <c r="C746" s="1">
        <v>21</v>
      </c>
      <c r="D746" s="1">
        <v>169</v>
      </c>
      <c r="E746" s="1" t="s">
        <v>24</v>
      </c>
      <c r="F746" s="1" t="s">
        <v>69</v>
      </c>
      <c r="G746" s="1" t="s">
        <v>43</v>
      </c>
      <c r="H746" s="1" t="s">
        <v>25</v>
      </c>
      <c r="I746" s="1" t="s">
        <v>85</v>
      </c>
      <c r="J746" s="1">
        <v>129</v>
      </c>
      <c r="K746" s="1">
        <v>39</v>
      </c>
      <c r="L746" s="1">
        <v>91</v>
      </c>
      <c r="M746" s="1">
        <v>40</v>
      </c>
      <c r="N746" s="17">
        <v>0.33</v>
      </c>
      <c r="O746" s="1">
        <v>391</v>
      </c>
      <c r="P746" s="15">
        <v>0.44059999999999999</v>
      </c>
      <c r="Q746" s="1">
        <v>52.4818</v>
      </c>
      <c r="R746" s="1" t="s">
        <v>34</v>
      </c>
      <c r="S746" s="1">
        <v>691.2106</v>
      </c>
      <c r="T746" s="1" t="s">
        <v>35</v>
      </c>
      <c r="U746" s="1" t="s">
        <v>36</v>
      </c>
    </row>
    <row r="747" spans="1:21" x14ac:dyDescent="0.3">
      <c r="A747" s="1" t="s">
        <v>546</v>
      </c>
      <c r="B747" s="2">
        <v>37724</v>
      </c>
      <c r="C747" s="1">
        <v>21</v>
      </c>
      <c r="D747" s="1">
        <v>185</v>
      </c>
      <c r="E747" s="1" t="s">
        <v>32</v>
      </c>
      <c r="F747" s="1" t="s">
        <v>52</v>
      </c>
      <c r="G747" s="1" t="s">
        <v>53</v>
      </c>
      <c r="H747" s="1" t="s">
        <v>25</v>
      </c>
      <c r="I747" s="1" t="s">
        <v>90</v>
      </c>
      <c r="J747" s="1">
        <v>130</v>
      </c>
      <c r="K747" s="1">
        <v>82</v>
      </c>
      <c r="L747" s="1">
        <v>94</v>
      </c>
      <c r="M747" s="1">
        <v>48</v>
      </c>
      <c r="N747" s="17">
        <v>0.85699999999999998</v>
      </c>
      <c r="O747" s="1">
        <v>166</v>
      </c>
      <c r="P747" s="15">
        <v>0.7228</v>
      </c>
      <c r="Q747" s="1">
        <v>153.20249999999999</v>
      </c>
      <c r="R747" s="1" t="s">
        <v>27</v>
      </c>
      <c r="S747" s="1">
        <v>521.69979999999998</v>
      </c>
      <c r="T747" s="1" t="s">
        <v>28</v>
      </c>
      <c r="U747" s="1" t="s">
        <v>102</v>
      </c>
    </row>
    <row r="748" spans="1:21" x14ac:dyDescent="0.3">
      <c r="A748" s="1" t="s">
        <v>547</v>
      </c>
      <c r="B748" s="2">
        <v>37753</v>
      </c>
      <c r="C748" s="1">
        <v>21</v>
      </c>
      <c r="D748" s="1">
        <v>171</v>
      </c>
      <c r="E748" s="1" t="s">
        <v>24</v>
      </c>
      <c r="F748" s="1" t="s">
        <v>72</v>
      </c>
      <c r="G748" s="1" t="s">
        <v>53</v>
      </c>
      <c r="H748" s="1" t="s">
        <v>54</v>
      </c>
      <c r="I748" s="1" t="s">
        <v>119</v>
      </c>
      <c r="J748" s="1">
        <v>105</v>
      </c>
      <c r="K748" s="1">
        <v>76</v>
      </c>
      <c r="L748" s="1">
        <v>64</v>
      </c>
      <c r="M748" s="1">
        <v>19</v>
      </c>
      <c r="N748" s="17">
        <v>0.67700000000000005</v>
      </c>
      <c r="O748" s="1">
        <v>178</v>
      </c>
      <c r="P748" s="15">
        <v>0.40139999999999998</v>
      </c>
      <c r="Q748" s="1">
        <v>128.18989999999999</v>
      </c>
      <c r="R748" s="1" t="s">
        <v>34</v>
      </c>
      <c r="S748" s="1">
        <v>443.71839999999997</v>
      </c>
      <c r="T748" s="1" t="s">
        <v>46</v>
      </c>
      <c r="U748" s="1" t="s">
        <v>47</v>
      </c>
    </row>
    <row r="749" spans="1:21" x14ac:dyDescent="0.3">
      <c r="A749" s="1" t="s">
        <v>548</v>
      </c>
      <c r="B749" s="2">
        <v>37215</v>
      </c>
      <c r="C749" s="1">
        <v>23</v>
      </c>
      <c r="D749" s="1">
        <v>163</v>
      </c>
      <c r="E749" s="1" t="s">
        <v>76</v>
      </c>
      <c r="F749" s="1" t="s">
        <v>79</v>
      </c>
      <c r="G749" s="1" t="s">
        <v>43</v>
      </c>
      <c r="H749" s="1" t="s">
        <v>25</v>
      </c>
      <c r="I749" s="1" t="s">
        <v>64</v>
      </c>
      <c r="J749" s="1">
        <v>127</v>
      </c>
      <c r="K749" s="1">
        <v>69</v>
      </c>
      <c r="L749" s="1">
        <v>79</v>
      </c>
      <c r="M749" s="1">
        <v>33</v>
      </c>
      <c r="N749" s="17">
        <v>0.76170000000000004</v>
      </c>
      <c r="O749" s="1">
        <v>192</v>
      </c>
      <c r="P749" s="15">
        <v>0.51729999999999998</v>
      </c>
      <c r="Q749" s="1">
        <v>121.3635</v>
      </c>
      <c r="R749" s="1" t="s">
        <v>40</v>
      </c>
      <c r="S749" s="1">
        <v>501.32900000000001</v>
      </c>
      <c r="T749" s="1" t="s">
        <v>35</v>
      </c>
      <c r="U749" s="1" t="s">
        <v>36</v>
      </c>
    </row>
    <row r="750" spans="1:21" x14ac:dyDescent="0.3">
      <c r="A750" s="1" t="s">
        <v>549</v>
      </c>
      <c r="B750" s="2">
        <v>37697</v>
      </c>
      <c r="C750" s="1">
        <v>21</v>
      </c>
      <c r="D750" s="1">
        <v>165</v>
      </c>
      <c r="E750" s="1" t="s">
        <v>76</v>
      </c>
      <c r="F750" s="1" t="s">
        <v>38</v>
      </c>
      <c r="G750" s="1" t="s">
        <v>23</v>
      </c>
      <c r="H750" s="1" t="s">
        <v>54</v>
      </c>
      <c r="I750" s="1" t="s">
        <v>82</v>
      </c>
      <c r="J750" s="1">
        <v>4</v>
      </c>
      <c r="K750" s="1">
        <v>3</v>
      </c>
      <c r="L750" s="1">
        <v>56</v>
      </c>
      <c r="M750" s="1">
        <v>62</v>
      </c>
      <c r="N750" s="17">
        <v>0.18010000000000001</v>
      </c>
      <c r="O750" s="1">
        <v>92</v>
      </c>
      <c r="P750" s="15">
        <v>0.60809999999999997</v>
      </c>
      <c r="Q750" s="1">
        <v>3.8589000000000002</v>
      </c>
      <c r="R750" s="1" t="s">
        <v>40</v>
      </c>
      <c r="S750" s="1">
        <v>218.2782</v>
      </c>
      <c r="T750" s="1" t="s">
        <v>46</v>
      </c>
      <c r="U750" s="1" t="s">
        <v>113</v>
      </c>
    </row>
    <row r="751" spans="1:21" x14ac:dyDescent="0.3">
      <c r="A751" s="1" t="s">
        <v>550</v>
      </c>
      <c r="B751" s="2">
        <v>37770</v>
      </c>
      <c r="C751" s="1">
        <v>21</v>
      </c>
      <c r="D751" s="1">
        <v>179</v>
      </c>
      <c r="E751" s="1" t="s">
        <v>32</v>
      </c>
      <c r="F751" s="1" t="s">
        <v>52</v>
      </c>
      <c r="G751" s="1" t="s">
        <v>53</v>
      </c>
      <c r="H751" s="1" t="s">
        <v>54</v>
      </c>
      <c r="I751" s="1" t="s">
        <v>67</v>
      </c>
      <c r="J751" s="1">
        <v>14</v>
      </c>
      <c r="K751" s="1">
        <v>37</v>
      </c>
      <c r="L751" s="1">
        <v>95</v>
      </c>
      <c r="M751" s="1">
        <v>13</v>
      </c>
      <c r="N751" s="17">
        <v>0.49159999999999998</v>
      </c>
      <c r="O751" s="1">
        <v>288</v>
      </c>
      <c r="P751" s="15">
        <v>0.81399999999999995</v>
      </c>
      <c r="Q751" s="1">
        <v>55.8157</v>
      </c>
      <c r="R751" s="1" t="s">
        <v>45</v>
      </c>
      <c r="S751" s="1">
        <v>448.10559999999998</v>
      </c>
      <c r="T751" s="1" t="s">
        <v>46</v>
      </c>
      <c r="U751" s="1" t="s">
        <v>56</v>
      </c>
    </row>
    <row r="752" spans="1:21" x14ac:dyDescent="0.3">
      <c r="A752" s="1" t="s">
        <v>551</v>
      </c>
      <c r="B752" s="2">
        <v>37437</v>
      </c>
      <c r="C752" s="1">
        <v>22</v>
      </c>
      <c r="D752" s="1">
        <v>166</v>
      </c>
      <c r="E752" s="1" t="s">
        <v>76</v>
      </c>
      <c r="F752" s="1" t="s">
        <v>42</v>
      </c>
      <c r="G752" s="1" t="s">
        <v>43</v>
      </c>
      <c r="H752" s="1" t="s">
        <v>54</v>
      </c>
      <c r="I752" s="1" t="s">
        <v>123</v>
      </c>
      <c r="J752" s="1">
        <v>58</v>
      </c>
      <c r="K752" s="1">
        <v>44</v>
      </c>
      <c r="L752" s="1">
        <v>21</v>
      </c>
      <c r="M752" s="1">
        <v>22</v>
      </c>
      <c r="N752" s="17">
        <v>0.754</v>
      </c>
      <c r="O752" s="1">
        <v>330</v>
      </c>
      <c r="P752" s="15">
        <v>0.48520000000000002</v>
      </c>
      <c r="Q752" s="1">
        <v>76.649799999999999</v>
      </c>
      <c r="R752" s="1" t="s">
        <v>34</v>
      </c>
      <c r="S752" s="1">
        <v>476.4692</v>
      </c>
      <c r="T752" s="1" t="s">
        <v>35</v>
      </c>
      <c r="U752" s="1" t="s">
        <v>113</v>
      </c>
    </row>
    <row r="753" spans="1:21" x14ac:dyDescent="0.3">
      <c r="A753" s="1" t="s">
        <v>552</v>
      </c>
      <c r="B753" s="2">
        <v>37374</v>
      </c>
      <c r="C753" s="1">
        <v>22</v>
      </c>
      <c r="D753" s="1">
        <v>168</v>
      </c>
      <c r="E753" s="1" t="s">
        <v>24</v>
      </c>
      <c r="F753" s="1" t="s">
        <v>49</v>
      </c>
      <c r="G753" s="1" t="s">
        <v>43</v>
      </c>
      <c r="H753" s="1" t="s">
        <v>54</v>
      </c>
      <c r="I753" s="1" t="s">
        <v>85</v>
      </c>
      <c r="J753" s="1">
        <v>56</v>
      </c>
      <c r="K753" s="1">
        <v>69</v>
      </c>
      <c r="L753" s="1">
        <v>46</v>
      </c>
      <c r="M753" s="1">
        <v>2</v>
      </c>
      <c r="N753" s="17">
        <v>0.39090000000000003</v>
      </c>
      <c r="O753" s="1">
        <v>54</v>
      </c>
      <c r="P753" s="15">
        <v>0.71189999999999998</v>
      </c>
      <c r="Q753" s="1">
        <v>95.610500000000002</v>
      </c>
      <c r="R753" s="1" t="s">
        <v>34</v>
      </c>
      <c r="S753" s="1">
        <v>228.4528</v>
      </c>
      <c r="T753" s="1" t="s">
        <v>46</v>
      </c>
      <c r="U753" s="1" t="s">
        <v>56</v>
      </c>
    </row>
    <row r="754" spans="1:21" x14ac:dyDescent="0.3">
      <c r="A754" s="1" t="s">
        <v>553</v>
      </c>
      <c r="B754" s="2">
        <v>37087</v>
      </c>
      <c r="C754" s="1">
        <v>23</v>
      </c>
      <c r="D754" s="1">
        <v>162</v>
      </c>
      <c r="E754" s="1" t="s">
        <v>76</v>
      </c>
      <c r="F754" s="1" t="s">
        <v>98</v>
      </c>
      <c r="G754" s="1" t="s">
        <v>23</v>
      </c>
      <c r="H754" s="1" t="s">
        <v>25</v>
      </c>
      <c r="I754" s="1" t="s">
        <v>44</v>
      </c>
      <c r="J754" s="1">
        <v>51</v>
      </c>
      <c r="K754" s="1">
        <v>24</v>
      </c>
      <c r="L754" s="1">
        <v>91</v>
      </c>
      <c r="M754" s="1">
        <v>100</v>
      </c>
      <c r="N754" s="17">
        <v>0.97050000000000003</v>
      </c>
      <c r="O754" s="1">
        <v>376</v>
      </c>
      <c r="P754" s="15">
        <v>0.66920000000000002</v>
      </c>
      <c r="Q754" s="1">
        <v>47.784599999999998</v>
      </c>
      <c r="R754" s="1" t="s">
        <v>27</v>
      </c>
      <c r="S754" s="1">
        <v>642.86969999999997</v>
      </c>
      <c r="T754" s="1" t="s">
        <v>28</v>
      </c>
      <c r="U754" s="1" t="s">
        <v>47</v>
      </c>
    </row>
    <row r="755" spans="1:21" x14ac:dyDescent="0.3">
      <c r="A755" s="1" t="s">
        <v>554</v>
      </c>
      <c r="B755" s="2">
        <v>37651</v>
      </c>
      <c r="C755" s="1">
        <v>21</v>
      </c>
      <c r="D755" s="1">
        <v>181</v>
      </c>
      <c r="E755" s="1" t="s">
        <v>32</v>
      </c>
      <c r="F755" s="1" t="s">
        <v>87</v>
      </c>
      <c r="G755" s="1" t="s">
        <v>63</v>
      </c>
      <c r="H755" s="1" t="s">
        <v>25</v>
      </c>
      <c r="I755" s="1" t="s">
        <v>39</v>
      </c>
      <c r="J755" s="1">
        <v>87</v>
      </c>
      <c r="K755" s="1">
        <v>27</v>
      </c>
      <c r="L755" s="1">
        <v>51</v>
      </c>
      <c r="M755" s="1">
        <v>93</v>
      </c>
      <c r="N755" s="17">
        <v>0.21870000000000001</v>
      </c>
      <c r="O755" s="1">
        <v>351</v>
      </c>
      <c r="P755" s="15">
        <v>0.54279999999999995</v>
      </c>
      <c r="Q755" s="1">
        <v>32.624600000000001</v>
      </c>
      <c r="R755" s="1" t="s">
        <v>45</v>
      </c>
      <c r="S755" s="1">
        <v>610.27149999999995</v>
      </c>
      <c r="T755" s="1" t="s">
        <v>28</v>
      </c>
      <c r="U755" s="1" t="s">
        <v>47</v>
      </c>
    </row>
    <row r="756" spans="1:21" x14ac:dyDescent="0.3">
      <c r="A756" s="1" t="s">
        <v>555</v>
      </c>
      <c r="B756" s="2">
        <v>37914</v>
      </c>
      <c r="C756" s="1">
        <v>21</v>
      </c>
      <c r="D756" s="1">
        <v>164</v>
      </c>
      <c r="E756" s="1" t="s">
        <v>76</v>
      </c>
      <c r="F756" s="1" t="s">
        <v>42</v>
      </c>
      <c r="G756" s="1" t="s">
        <v>43</v>
      </c>
      <c r="H756" s="1" t="s">
        <v>54</v>
      </c>
      <c r="I756" s="1" t="s">
        <v>105</v>
      </c>
      <c r="J756" s="1">
        <v>139</v>
      </c>
      <c r="K756" s="1">
        <v>29</v>
      </c>
      <c r="L756" s="1">
        <v>88</v>
      </c>
      <c r="M756" s="1">
        <v>62</v>
      </c>
      <c r="N756" s="17">
        <v>0.33739999999999998</v>
      </c>
      <c r="O756" s="1">
        <v>305</v>
      </c>
      <c r="P756" s="15">
        <v>0.54090000000000005</v>
      </c>
      <c r="Q756" s="1">
        <v>38.798000000000002</v>
      </c>
      <c r="R756" s="1" t="s">
        <v>34</v>
      </c>
      <c r="S756" s="1">
        <v>623.25829999999996</v>
      </c>
      <c r="T756" s="1" t="s">
        <v>35</v>
      </c>
      <c r="U756" s="1" t="s">
        <v>102</v>
      </c>
    </row>
    <row r="757" spans="1:21" x14ac:dyDescent="0.3">
      <c r="A757" s="1" t="s">
        <v>556</v>
      </c>
      <c r="B757" s="2">
        <v>37278</v>
      </c>
      <c r="C757" s="1">
        <v>22</v>
      </c>
      <c r="D757" s="1">
        <v>161</v>
      </c>
      <c r="E757" s="1" t="s">
        <v>76</v>
      </c>
      <c r="F757" s="1" t="s">
        <v>109</v>
      </c>
      <c r="G757" s="1" t="s">
        <v>63</v>
      </c>
      <c r="H757" s="1" t="s">
        <v>25</v>
      </c>
      <c r="I757" s="1" t="s">
        <v>44</v>
      </c>
      <c r="J757" s="1">
        <v>35</v>
      </c>
      <c r="K757" s="1">
        <v>5</v>
      </c>
      <c r="L757" s="1">
        <v>27</v>
      </c>
      <c r="M757" s="1">
        <v>71</v>
      </c>
      <c r="N757" s="17">
        <v>0.99570000000000003</v>
      </c>
      <c r="O757" s="1">
        <v>175</v>
      </c>
      <c r="P757" s="15">
        <v>0.81720000000000004</v>
      </c>
      <c r="Q757" s="1">
        <v>9.0803999999999991</v>
      </c>
      <c r="R757" s="1" t="s">
        <v>27</v>
      </c>
      <c r="S757" s="1">
        <v>314.40289999999999</v>
      </c>
      <c r="T757" s="1" t="s">
        <v>35</v>
      </c>
      <c r="U757" s="1" t="s">
        <v>47</v>
      </c>
    </row>
    <row r="758" spans="1:21" x14ac:dyDescent="0.3">
      <c r="A758" s="1" t="s">
        <v>557</v>
      </c>
      <c r="B758" s="2">
        <v>37195</v>
      </c>
      <c r="C758" s="1">
        <v>23</v>
      </c>
      <c r="D758" s="1">
        <v>163</v>
      </c>
      <c r="E758" s="1" t="s">
        <v>76</v>
      </c>
      <c r="F758" s="1" t="s">
        <v>109</v>
      </c>
      <c r="G758" s="1" t="s">
        <v>63</v>
      </c>
      <c r="H758" s="1" t="s">
        <v>25</v>
      </c>
      <c r="I758" s="1" t="s">
        <v>101</v>
      </c>
      <c r="J758" s="1">
        <v>15</v>
      </c>
      <c r="K758" s="1">
        <v>87</v>
      </c>
      <c r="L758" s="1">
        <v>19</v>
      </c>
      <c r="M758" s="1">
        <v>18</v>
      </c>
      <c r="N758" s="17">
        <v>0.34549999999999997</v>
      </c>
      <c r="O758" s="1">
        <v>204</v>
      </c>
      <c r="P758" s="15">
        <v>0.80089999999999995</v>
      </c>
      <c r="Q758" s="1">
        <v>116.99120000000001</v>
      </c>
      <c r="R758" s="1" t="s">
        <v>34</v>
      </c>
      <c r="S758" s="1">
        <v>343.56639999999999</v>
      </c>
      <c r="T758" s="1" t="s">
        <v>46</v>
      </c>
      <c r="U758" s="1" t="s">
        <v>29</v>
      </c>
    </row>
    <row r="759" spans="1:21" x14ac:dyDescent="0.3">
      <c r="A759" s="1" t="s">
        <v>558</v>
      </c>
      <c r="B759" s="2">
        <v>37912</v>
      </c>
      <c r="C759" s="1">
        <v>21</v>
      </c>
      <c r="D759" s="1">
        <v>167</v>
      </c>
      <c r="E759" s="1" t="s">
        <v>76</v>
      </c>
      <c r="F759" s="1" t="s">
        <v>52</v>
      </c>
      <c r="G759" s="1" t="s">
        <v>53</v>
      </c>
      <c r="H759" s="1" t="s">
        <v>25</v>
      </c>
      <c r="I759" s="1" t="s">
        <v>99</v>
      </c>
      <c r="J759" s="1">
        <v>5</v>
      </c>
      <c r="K759" s="1">
        <v>68</v>
      </c>
      <c r="L759" s="1">
        <v>68</v>
      </c>
      <c r="M759" s="1">
        <v>40</v>
      </c>
      <c r="N759" s="17">
        <v>0.95609999999999995</v>
      </c>
      <c r="O759" s="1">
        <v>237</v>
      </c>
      <c r="P759" s="15">
        <v>0.77659999999999996</v>
      </c>
      <c r="Q759" s="1">
        <v>133.89500000000001</v>
      </c>
      <c r="R759" s="1" t="s">
        <v>34</v>
      </c>
      <c r="S759" s="1">
        <v>420.0027</v>
      </c>
      <c r="T759" s="1" t="s">
        <v>28</v>
      </c>
      <c r="U759" s="1" t="s">
        <v>29</v>
      </c>
    </row>
    <row r="760" spans="1:21" x14ac:dyDescent="0.3">
      <c r="A760" s="1" t="s">
        <v>559</v>
      </c>
      <c r="B760" s="2">
        <v>36903</v>
      </c>
      <c r="C760" s="1">
        <v>23</v>
      </c>
      <c r="D760" s="1">
        <v>179</v>
      </c>
      <c r="E760" s="1" t="s">
        <v>32</v>
      </c>
      <c r="F760" s="1" t="s">
        <v>104</v>
      </c>
      <c r="G760" s="1" t="s">
        <v>53</v>
      </c>
      <c r="H760" s="1" t="s">
        <v>54</v>
      </c>
      <c r="I760" s="1" t="s">
        <v>39</v>
      </c>
      <c r="J760" s="1">
        <v>99</v>
      </c>
      <c r="K760" s="1">
        <v>95</v>
      </c>
      <c r="L760" s="1">
        <v>33</v>
      </c>
      <c r="M760" s="1">
        <v>73</v>
      </c>
      <c r="N760" s="17">
        <v>0.9617</v>
      </c>
      <c r="O760" s="1">
        <v>294</v>
      </c>
      <c r="P760" s="15">
        <v>0.65610000000000002</v>
      </c>
      <c r="Q760" s="1">
        <v>186.6361</v>
      </c>
      <c r="R760" s="1" t="s">
        <v>34</v>
      </c>
      <c r="S760" s="1">
        <v>596.1078</v>
      </c>
      <c r="T760" s="1" t="s">
        <v>28</v>
      </c>
      <c r="U760" s="1" t="s">
        <v>113</v>
      </c>
    </row>
    <row r="761" spans="1:21" x14ac:dyDescent="0.3">
      <c r="A761" s="1" t="s">
        <v>560</v>
      </c>
      <c r="B761" s="2">
        <v>37036</v>
      </c>
      <c r="C761" s="1">
        <v>23</v>
      </c>
      <c r="D761" s="1">
        <v>183</v>
      </c>
      <c r="E761" s="1" t="s">
        <v>32</v>
      </c>
      <c r="F761" s="1" t="s">
        <v>75</v>
      </c>
      <c r="G761" s="1" t="s">
        <v>53</v>
      </c>
      <c r="H761" s="1" t="s">
        <v>54</v>
      </c>
      <c r="I761" s="1" t="s">
        <v>55</v>
      </c>
      <c r="J761" s="1">
        <v>60</v>
      </c>
      <c r="K761" s="1">
        <v>19</v>
      </c>
      <c r="L761" s="1">
        <v>97</v>
      </c>
      <c r="M761" s="1">
        <v>87</v>
      </c>
      <c r="N761" s="17">
        <v>0.86709999999999998</v>
      </c>
      <c r="O761" s="1">
        <v>37</v>
      </c>
      <c r="P761" s="15">
        <v>0.4733</v>
      </c>
      <c r="Q761" s="1">
        <v>34.7654</v>
      </c>
      <c r="R761" s="1" t="s">
        <v>45</v>
      </c>
      <c r="S761" s="1">
        <v>300.21039999999999</v>
      </c>
      <c r="T761" s="1" t="s">
        <v>35</v>
      </c>
      <c r="U761" s="1" t="s">
        <v>102</v>
      </c>
    </row>
    <row r="762" spans="1:21" x14ac:dyDescent="0.3">
      <c r="A762" s="1" t="s">
        <v>561</v>
      </c>
      <c r="B762" s="2">
        <v>37777</v>
      </c>
      <c r="C762" s="1">
        <v>21</v>
      </c>
      <c r="D762" s="1">
        <v>175</v>
      </c>
      <c r="E762" s="1" t="s">
        <v>32</v>
      </c>
      <c r="F762" s="1" t="s">
        <v>49</v>
      </c>
      <c r="G762" s="1" t="s">
        <v>43</v>
      </c>
      <c r="H762" s="1" t="s">
        <v>54</v>
      </c>
      <c r="I762" s="1" t="s">
        <v>64</v>
      </c>
      <c r="J762" s="1">
        <v>54</v>
      </c>
      <c r="K762" s="1">
        <v>11</v>
      </c>
      <c r="L762" s="1">
        <v>37</v>
      </c>
      <c r="M762" s="1">
        <v>21</v>
      </c>
      <c r="N762" s="17">
        <v>0.44929999999999998</v>
      </c>
      <c r="O762" s="1">
        <v>179</v>
      </c>
      <c r="P762" s="15">
        <v>0.52080000000000004</v>
      </c>
      <c r="Q762" s="1">
        <v>15.246600000000001</v>
      </c>
      <c r="R762" s="1" t="s">
        <v>45</v>
      </c>
      <c r="S762" s="1">
        <v>302.89010000000002</v>
      </c>
      <c r="T762" s="1" t="s">
        <v>28</v>
      </c>
      <c r="U762" s="1" t="s">
        <v>113</v>
      </c>
    </row>
    <row r="763" spans="1:21" x14ac:dyDescent="0.3">
      <c r="A763" s="1" t="s">
        <v>562</v>
      </c>
      <c r="B763" s="2">
        <v>37764</v>
      </c>
      <c r="C763" s="1">
        <v>21</v>
      </c>
      <c r="D763" s="1">
        <v>173</v>
      </c>
      <c r="E763" s="1" t="s">
        <v>24</v>
      </c>
      <c r="F763" s="1" t="s">
        <v>98</v>
      </c>
      <c r="G763" s="1" t="s">
        <v>23</v>
      </c>
      <c r="H763" s="1" t="s">
        <v>25</v>
      </c>
      <c r="I763" s="1" t="s">
        <v>39</v>
      </c>
      <c r="J763" s="1">
        <v>77</v>
      </c>
      <c r="K763" s="1">
        <v>97</v>
      </c>
      <c r="L763" s="1">
        <v>68</v>
      </c>
      <c r="M763" s="1">
        <v>65</v>
      </c>
      <c r="N763" s="17">
        <v>0.93759999999999999</v>
      </c>
      <c r="O763" s="1">
        <v>286</v>
      </c>
      <c r="P763" s="15">
        <v>0.63729999999999998</v>
      </c>
      <c r="Q763" s="1">
        <v>188.62540000000001</v>
      </c>
      <c r="R763" s="1" t="s">
        <v>27</v>
      </c>
      <c r="S763" s="1">
        <v>595.23490000000004</v>
      </c>
      <c r="T763" s="1" t="s">
        <v>35</v>
      </c>
      <c r="U763" s="1" t="s">
        <v>56</v>
      </c>
    </row>
    <row r="764" spans="1:21" x14ac:dyDescent="0.3">
      <c r="A764" s="1" t="s">
        <v>563</v>
      </c>
      <c r="B764" s="2">
        <v>37196</v>
      </c>
      <c r="C764" s="1">
        <v>23</v>
      </c>
      <c r="D764" s="1">
        <v>169</v>
      </c>
      <c r="E764" s="1" t="s">
        <v>24</v>
      </c>
      <c r="F764" s="1" t="s">
        <v>98</v>
      </c>
      <c r="G764" s="1" t="s">
        <v>23</v>
      </c>
      <c r="H764" s="1" t="s">
        <v>25</v>
      </c>
      <c r="I764" s="1" t="s">
        <v>94</v>
      </c>
      <c r="J764" s="1">
        <v>126</v>
      </c>
      <c r="K764" s="1">
        <v>53</v>
      </c>
      <c r="L764" s="1">
        <v>30</v>
      </c>
      <c r="M764" s="1">
        <v>6</v>
      </c>
      <c r="N764" s="17">
        <v>0.1406</v>
      </c>
      <c r="O764" s="1">
        <v>32</v>
      </c>
      <c r="P764" s="15">
        <v>0.44840000000000002</v>
      </c>
      <c r="Q764" s="1">
        <v>60.212299999999999</v>
      </c>
      <c r="R764" s="1" t="s">
        <v>45</v>
      </c>
      <c r="S764" s="1">
        <v>247.28899999999999</v>
      </c>
      <c r="T764" s="1" t="s">
        <v>35</v>
      </c>
      <c r="U764" s="1" t="s">
        <v>29</v>
      </c>
    </row>
    <row r="765" spans="1:21" x14ac:dyDescent="0.3">
      <c r="A765" s="1" t="s">
        <v>564</v>
      </c>
      <c r="B765" s="2">
        <v>37413</v>
      </c>
      <c r="C765" s="1">
        <v>22</v>
      </c>
      <c r="D765" s="1">
        <v>171</v>
      </c>
      <c r="E765" s="1" t="s">
        <v>24</v>
      </c>
      <c r="F765" s="1" t="s">
        <v>104</v>
      </c>
      <c r="G765" s="1" t="s">
        <v>53</v>
      </c>
      <c r="H765" s="1" t="s">
        <v>25</v>
      </c>
      <c r="I765" s="1" t="s">
        <v>33</v>
      </c>
      <c r="J765" s="1">
        <v>18</v>
      </c>
      <c r="K765" s="1">
        <v>66</v>
      </c>
      <c r="L765" s="1">
        <v>19</v>
      </c>
      <c r="M765" s="1">
        <v>19</v>
      </c>
      <c r="N765" s="17">
        <v>0.17499999999999999</v>
      </c>
      <c r="O765" s="1">
        <v>158</v>
      </c>
      <c r="P765" s="15">
        <v>0.79449999999999998</v>
      </c>
      <c r="Q765" s="1">
        <v>78.137500000000003</v>
      </c>
      <c r="R765" s="1" t="s">
        <v>40</v>
      </c>
      <c r="S765" s="1">
        <v>281.05950000000001</v>
      </c>
      <c r="T765" s="1" t="s">
        <v>35</v>
      </c>
      <c r="U765" s="1" t="s">
        <v>65</v>
      </c>
    </row>
    <row r="766" spans="1:21" x14ac:dyDescent="0.3">
      <c r="A766" s="1" t="s">
        <v>565</v>
      </c>
      <c r="B766" s="2">
        <v>37434</v>
      </c>
      <c r="C766" s="1">
        <v>22</v>
      </c>
      <c r="D766" s="1">
        <v>179</v>
      </c>
      <c r="E766" s="1" t="s">
        <v>32</v>
      </c>
      <c r="F766" s="1" t="s">
        <v>104</v>
      </c>
      <c r="G766" s="1" t="s">
        <v>53</v>
      </c>
      <c r="H766" s="1" t="s">
        <v>54</v>
      </c>
      <c r="I766" s="1" t="s">
        <v>73</v>
      </c>
      <c r="J766" s="1">
        <v>32</v>
      </c>
      <c r="K766" s="1">
        <v>9</v>
      </c>
      <c r="L766" s="1">
        <v>98</v>
      </c>
      <c r="M766" s="1">
        <v>27</v>
      </c>
      <c r="N766" s="17">
        <v>0.4904</v>
      </c>
      <c r="O766" s="1">
        <v>270</v>
      </c>
      <c r="P766" s="15">
        <v>0.40810000000000002</v>
      </c>
      <c r="Q766" s="1">
        <v>13.0261</v>
      </c>
      <c r="R766" s="1" t="s">
        <v>45</v>
      </c>
      <c r="S766" s="1">
        <v>436.68849999999998</v>
      </c>
      <c r="T766" s="1" t="s">
        <v>28</v>
      </c>
      <c r="U766" s="1" t="s">
        <v>29</v>
      </c>
    </row>
    <row r="767" spans="1:21" x14ac:dyDescent="0.3">
      <c r="A767" s="1" t="s">
        <v>566</v>
      </c>
      <c r="B767" s="2">
        <v>37888</v>
      </c>
      <c r="C767" s="1">
        <v>21</v>
      </c>
      <c r="D767" s="1">
        <v>181</v>
      </c>
      <c r="E767" s="1" t="s">
        <v>32</v>
      </c>
      <c r="F767" s="1" t="s">
        <v>52</v>
      </c>
      <c r="G767" s="1" t="s">
        <v>53</v>
      </c>
      <c r="H767" s="1" t="s">
        <v>54</v>
      </c>
      <c r="I767" s="1" t="s">
        <v>105</v>
      </c>
      <c r="J767" s="1">
        <v>104</v>
      </c>
      <c r="K767" s="1">
        <v>96</v>
      </c>
      <c r="L767" s="1">
        <v>68</v>
      </c>
      <c r="M767" s="1">
        <v>81</v>
      </c>
      <c r="N767" s="17">
        <v>0.22159999999999999</v>
      </c>
      <c r="O767" s="1">
        <v>36</v>
      </c>
      <c r="P767" s="15">
        <v>0.4859</v>
      </c>
      <c r="Q767" s="1">
        <v>117.7012</v>
      </c>
      <c r="R767" s="1" t="s">
        <v>27</v>
      </c>
      <c r="S767" s="1">
        <v>385.4375</v>
      </c>
      <c r="T767" s="1" t="s">
        <v>46</v>
      </c>
      <c r="U767" s="1" t="s">
        <v>36</v>
      </c>
    </row>
    <row r="768" spans="1:21" x14ac:dyDescent="0.3">
      <c r="A768" s="1" t="s">
        <v>567</v>
      </c>
      <c r="B768" s="2">
        <v>37189</v>
      </c>
      <c r="C768" s="1">
        <v>23</v>
      </c>
      <c r="D768" s="1">
        <v>180</v>
      </c>
      <c r="E768" s="1" t="s">
        <v>32</v>
      </c>
      <c r="F768" s="1" t="s">
        <v>22</v>
      </c>
      <c r="G768" s="1" t="s">
        <v>23</v>
      </c>
      <c r="H768" s="1" t="s">
        <v>25</v>
      </c>
      <c r="I768" s="1" t="s">
        <v>115</v>
      </c>
      <c r="J768" s="1">
        <v>126</v>
      </c>
      <c r="K768" s="1">
        <v>86</v>
      </c>
      <c r="L768" s="1">
        <v>54</v>
      </c>
      <c r="M768" s="1">
        <v>10</v>
      </c>
      <c r="N768" s="17">
        <v>0.23330000000000001</v>
      </c>
      <c r="O768" s="1">
        <v>308</v>
      </c>
      <c r="P768" s="15">
        <v>0.58979999999999999</v>
      </c>
      <c r="Q768" s="1">
        <v>106.0145</v>
      </c>
      <c r="R768" s="1" t="s">
        <v>27</v>
      </c>
      <c r="S768" s="1">
        <v>585.21310000000005</v>
      </c>
      <c r="T768" s="1" t="s">
        <v>28</v>
      </c>
      <c r="U768" s="1" t="s">
        <v>36</v>
      </c>
    </row>
    <row r="769" spans="1:21" x14ac:dyDescent="0.3">
      <c r="A769" s="1" t="s">
        <v>568</v>
      </c>
      <c r="B769" s="2">
        <v>37812</v>
      </c>
      <c r="C769" s="1">
        <v>21</v>
      </c>
      <c r="D769" s="1">
        <v>160</v>
      </c>
      <c r="E769" s="1" t="s">
        <v>76</v>
      </c>
      <c r="F769" s="1" t="s">
        <v>104</v>
      </c>
      <c r="G769" s="1" t="s">
        <v>53</v>
      </c>
      <c r="H769" s="1" t="s">
        <v>25</v>
      </c>
      <c r="I769" s="1" t="s">
        <v>77</v>
      </c>
      <c r="J769" s="1">
        <v>45</v>
      </c>
      <c r="K769" s="1">
        <v>83</v>
      </c>
      <c r="L769" s="1">
        <v>40</v>
      </c>
      <c r="M769" s="1">
        <v>34</v>
      </c>
      <c r="N769" s="17">
        <v>0.8629</v>
      </c>
      <c r="O769" s="1">
        <v>42</v>
      </c>
      <c r="P769" s="15">
        <v>0.59430000000000005</v>
      </c>
      <c r="Q769" s="1">
        <v>154.8442</v>
      </c>
      <c r="R769" s="1" t="s">
        <v>45</v>
      </c>
      <c r="S769" s="1">
        <v>245.2972</v>
      </c>
      <c r="T769" s="1" t="s">
        <v>35</v>
      </c>
      <c r="U769" s="1" t="s">
        <v>102</v>
      </c>
    </row>
    <row r="770" spans="1:21" x14ac:dyDescent="0.3">
      <c r="A770" s="1" t="s">
        <v>569</v>
      </c>
      <c r="B770" s="2">
        <v>37887</v>
      </c>
      <c r="C770" s="1">
        <v>21</v>
      </c>
      <c r="D770" s="1">
        <v>172</v>
      </c>
      <c r="E770" s="1" t="s">
        <v>24</v>
      </c>
      <c r="F770" s="1" t="s">
        <v>75</v>
      </c>
      <c r="G770" s="1" t="s">
        <v>53</v>
      </c>
      <c r="H770" s="1" t="s">
        <v>54</v>
      </c>
      <c r="I770" s="1" t="s">
        <v>82</v>
      </c>
      <c r="J770" s="1">
        <v>107</v>
      </c>
      <c r="K770" s="1">
        <v>53</v>
      </c>
      <c r="L770" s="1">
        <v>43</v>
      </c>
      <c r="M770" s="1">
        <v>32</v>
      </c>
      <c r="N770" s="17">
        <v>0.90359999999999996</v>
      </c>
      <c r="O770" s="1">
        <v>26</v>
      </c>
      <c r="P770" s="15">
        <v>0.5877</v>
      </c>
      <c r="Q770" s="1">
        <v>101.4619</v>
      </c>
      <c r="R770" s="1" t="s">
        <v>45</v>
      </c>
      <c r="S770" s="1">
        <v>263.61130000000003</v>
      </c>
      <c r="T770" s="1" t="s">
        <v>28</v>
      </c>
      <c r="U770" s="1" t="s">
        <v>56</v>
      </c>
    </row>
    <row r="771" spans="1:21" x14ac:dyDescent="0.3">
      <c r="A771" s="1" t="s">
        <v>570</v>
      </c>
      <c r="B771" s="2">
        <v>37222</v>
      </c>
      <c r="C771" s="1">
        <v>23</v>
      </c>
      <c r="D771" s="1">
        <v>160</v>
      </c>
      <c r="E771" s="1" t="s">
        <v>76</v>
      </c>
      <c r="F771" s="1" t="s">
        <v>84</v>
      </c>
      <c r="G771" s="1" t="s">
        <v>63</v>
      </c>
      <c r="H771" s="1" t="s">
        <v>54</v>
      </c>
      <c r="I771" s="1" t="s">
        <v>77</v>
      </c>
      <c r="J771" s="1">
        <v>71</v>
      </c>
      <c r="K771" s="1">
        <v>44</v>
      </c>
      <c r="L771" s="1">
        <v>51</v>
      </c>
      <c r="M771" s="1">
        <v>59</v>
      </c>
      <c r="N771" s="17">
        <v>0.92959999999999998</v>
      </c>
      <c r="O771" s="1">
        <v>274</v>
      </c>
      <c r="P771" s="15">
        <v>0.78410000000000002</v>
      </c>
      <c r="Q771" s="1">
        <v>85.616399999999999</v>
      </c>
      <c r="R771" s="1" t="s">
        <v>45</v>
      </c>
      <c r="S771" s="1">
        <v>501.74369999999999</v>
      </c>
      <c r="T771" s="1" t="s">
        <v>28</v>
      </c>
      <c r="U771" s="1" t="s">
        <v>47</v>
      </c>
    </row>
    <row r="772" spans="1:21" x14ac:dyDescent="0.3">
      <c r="A772" s="1" t="s">
        <v>571</v>
      </c>
      <c r="B772" s="2">
        <v>37859</v>
      </c>
      <c r="C772" s="1">
        <v>21</v>
      </c>
      <c r="D772" s="1">
        <v>185</v>
      </c>
      <c r="E772" s="1" t="s">
        <v>32</v>
      </c>
      <c r="F772" s="1" t="s">
        <v>87</v>
      </c>
      <c r="G772" s="1" t="s">
        <v>63</v>
      </c>
      <c r="H772" s="1" t="s">
        <v>25</v>
      </c>
      <c r="I772" s="1" t="s">
        <v>80</v>
      </c>
      <c r="J772" s="1">
        <v>43</v>
      </c>
      <c r="K772" s="1">
        <v>75</v>
      </c>
      <c r="L772" s="1">
        <v>67</v>
      </c>
      <c r="M772" s="1">
        <v>14</v>
      </c>
      <c r="N772" s="17">
        <v>0.6452</v>
      </c>
      <c r="O772" s="1">
        <v>81</v>
      </c>
      <c r="P772" s="15">
        <v>0.44540000000000002</v>
      </c>
      <c r="Q772" s="1">
        <v>123.6861</v>
      </c>
      <c r="R772" s="1" t="s">
        <v>45</v>
      </c>
      <c r="S772" s="1">
        <v>280.7706</v>
      </c>
      <c r="T772" s="1" t="s">
        <v>35</v>
      </c>
      <c r="U772" s="1" t="s">
        <v>47</v>
      </c>
    </row>
    <row r="773" spans="1:21" x14ac:dyDescent="0.3">
      <c r="A773" s="1" t="s">
        <v>572</v>
      </c>
      <c r="B773" s="2">
        <v>37626</v>
      </c>
      <c r="C773" s="1">
        <v>21</v>
      </c>
      <c r="D773" s="1">
        <v>160</v>
      </c>
      <c r="E773" s="1" t="s">
        <v>76</v>
      </c>
      <c r="F773" s="1" t="s">
        <v>69</v>
      </c>
      <c r="G773" s="1" t="s">
        <v>43</v>
      </c>
      <c r="H773" s="1" t="s">
        <v>54</v>
      </c>
      <c r="I773" s="1" t="s">
        <v>101</v>
      </c>
      <c r="J773" s="1">
        <v>102</v>
      </c>
      <c r="K773" s="1">
        <v>18</v>
      </c>
      <c r="L773" s="1">
        <v>86</v>
      </c>
      <c r="M773" s="1">
        <v>51</v>
      </c>
      <c r="N773" s="17">
        <v>0.40400000000000003</v>
      </c>
      <c r="O773" s="1">
        <v>323</v>
      </c>
      <c r="P773" s="15">
        <v>0.45129999999999998</v>
      </c>
      <c r="Q773" s="1">
        <v>25.693200000000001</v>
      </c>
      <c r="R773" s="1" t="s">
        <v>34</v>
      </c>
      <c r="S773" s="1">
        <v>580.86530000000005</v>
      </c>
      <c r="T773" s="1" t="s">
        <v>28</v>
      </c>
      <c r="U773" s="1" t="s">
        <v>65</v>
      </c>
    </row>
    <row r="774" spans="1:21" x14ac:dyDescent="0.3">
      <c r="A774" s="1" t="s">
        <v>573</v>
      </c>
      <c r="B774" s="2">
        <v>37619</v>
      </c>
      <c r="C774" s="1">
        <v>22</v>
      </c>
      <c r="D774" s="1">
        <v>170</v>
      </c>
      <c r="E774" s="1" t="s">
        <v>24</v>
      </c>
      <c r="F774" s="1" t="s">
        <v>69</v>
      </c>
      <c r="G774" s="1" t="s">
        <v>43</v>
      </c>
      <c r="H774" s="1" t="s">
        <v>25</v>
      </c>
      <c r="I774" s="1" t="s">
        <v>90</v>
      </c>
      <c r="J774" s="1">
        <v>135</v>
      </c>
      <c r="K774" s="1">
        <v>85</v>
      </c>
      <c r="L774" s="1">
        <v>88</v>
      </c>
      <c r="M774" s="1">
        <v>61</v>
      </c>
      <c r="N774" s="17">
        <v>0.1454</v>
      </c>
      <c r="O774" s="1">
        <v>43</v>
      </c>
      <c r="P774" s="15">
        <v>0.82579999999999998</v>
      </c>
      <c r="Q774" s="1">
        <v>97.920199999999994</v>
      </c>
      <c r="R774" s="1" t="s">
        <v>45</v>
      </c>
      <c r="S774" s="1">
        <v>411.88119999999998</v>
      </c>
      <c r="T774" s="1" t="s">
        <v>28</v>
      </c>
      <c r="U774" s="1" t="s">
        <v>29</v>
      </c>
    </row>
    <row r="775" spans="1:21" x14ac:dyDescent="0.3">
      <c r="A775" s="1" t="s">
        <v>574</v>
      </c>
      <c r="B775" s="2">
        <v>37107</v>
      </c>
      <c r="C775" s="1">
        <v>23</v>
      </c>
      <c r="D775" s="1">
        <v>176</v>
      </c>
      <c r="E775" s="1" t="s">
        <v>32</v>
      </c>
      <c r="F775" s="1" t="s">
        <v>42</v>
      </c>
      <c r="G775" s="1" t="s">
        <v>43</v>
      </c>
      <c r="H775" s="1" t="s">
        <v>25</v>
      </c>
      <c r="I775" s="1" t="s">
        <v>60</v>
      </c>
      <c r="J775" s="1">
        <v>131</v>
      </c>
      <c r="K775" s="1">
        <v>91</v>
      </c>
      <c r="L775" s="1">
        <v>17</v>
      </c>
      <c r="M775" s="1">
        <v>30</v>
      </c>
      <c r="N775" s="17">
        <v>0.55530000000000002</v>
      </c>
      <c r="O775" s="1">
        <v>177</v>
      </c>
      <c r="P775" s="15">
        <v>0.72960000000000003</v>
      </c>
      <c r="Q775" s="1">
        <v>141.8278</v>
      </c>
      <c r="R775" s="1" t="s">
        <v>27</v>
      </c>
      <c r="S775" s="1">
        <v>446.87490000000003</v>
      </c>
      <c r="T775" s="1" t="s">
        <v>28</v>
      </c>
      <c r="U775" s="1" t="s">
        <v>102</v>
      </c>
    </row>
    <row r="776" spans="1:21" x14ac:dyDescent="0.3">
      <c r="A776" s="1" t="s">
        <v>575</v>
      </c>
      <c r="B776" s="2">
        <v>37305</v>
      </c>
      <c r="C776" s="1">
        <v>22</v>
      </c>
      <c r="D776" s="1">
        <v>163</v>
      </c>
      <c r="E776" s="1" t="s">
        <v>76</v>
      </c>
      <c r="F776" s="1" t="s">
        <v>84</v>
      </c>
      <c r="G776" s="1" t="s">
        <v>63</v>
      </c>
      <c r="H776" s="1" t="s">
        <v>54</v>
      </c>
      <c r="I776" s="1" t="s">
        <v>112</v>
      </c>
      <c r="J776" s="1">
        <v>116</v>
      </c>
      <c r="K776" s="1">
        <v>2</v>
      </c>
      <c r="L776" s="1">
        <v>84</v>
      </c>
      <c r="M776" s="1">
        <v>48</v>
      </c>
      <c r="N776" s="17">
        <v>0.25409999999999999</v>
      </c>
      <c r="O776" s="1">
        <v>115</v>
      </c>
      <c r="P776" s="15">
        <v>0.51970000000000005</v>
      </c>
      <c r="Q776" s="1">
        <v>2.0693000000000001</v>
      </c>
      <c r="R776" s="1" t="s">
        <v>45</v>
      </c>
      <c r="S776" s="1">
        <v>364.99380000000002</v>
      </c>
      <c r="T776" s="1" t="s">
        <v>35</v>
      </c>
      <c r="U776" s="1" t="s">
        <v>102</v>
      </c>
    </row>
    <row r="777" spans="1:21" x14ac:dyDescent="0.3">
      <c r="A777" s="1" t="s">
        <v>576</v>
      </c>
      <c r="B777" s="2">
        <v>37359</v>
      </c>
      <c r="C777" s="1">
        <v>22</v>
      </c>
      <c r="D777" s="1">
        <v>185</v>
      </c>
      <c r="E777" s="1" t="s">
        <v>32</v>
      </c>
      <c r="F777" s="1" t="s">
        <v>69</v>
      </c>
      <c r="G777" s="1" t="s">
        <v>43</v>
      </c>
      <c r="H777" s="1" t="s">
        <v>25</v>
      </c>
      <c r="I777" s="1" t="s">
        <v>115</v>
      </c>
      <c r="J777" s="1">
        <v>63</v>
      </c>
      <c r="K777" s="1">
        <v>42</v>
      </c>
      <c r="L777" s="1">
        <v>46</v>
      </c>
      <c r="M777" s="1">
        <v>85</v>
      </c>
      <c r="N777" s="17">
        <v>0.42559999999999998</v>
      </c>
      <c r="O777" s="1">
        <v>318</v>
      </c>
      <c r="P777" s="15">
        <v>0.41339999999999999</v>
      </c>
      <c r="Q777" s="1">
        <v>59.190899999999999</v>
      </c>
      <c r="R777" s="1" t="s">
        <v>34</v>
      </c>
      <c r="S777" s="1">
        <v>554.81899999999996</v>
      </c>
      <c r="T777" s="1" t="s">
        <v>28</v>
      </c>
      <c r="U777" s="1" t="s">
        <v>102</v>
      </c>
    </row>
    <row r="778" spans="1:21" x14ac:dyDescent="0.3">
      <c r="A778" s="1" t="s">
        <v>577</v>
      </c>
      <c r="B778" s="2">
        <v>37714</v>
      </c>
      <c r="C778" s="1">
        <v>21</v>
      </c>
      <c r="D778" s="1">
        <v>170</v>
      </c>
      <c r="E778" s="1" t="s">
        <v>24</v>
      </c>
      <c r="F778" s="1" t="s">
        <v>38</v>
      </c>
      <c r="G778" s="1" t="s">
        <v>23</v>
      </c>
      <c r="H778" s="1" t="s">
        <v>25</v>
      </c>
      <c r="I778" s="1" t="s">
        <v>115</v>
      </c>
      <c r="J778" s="1">
        <v>10</v>
      </c>
      <c r="K778" s="1">
        <v>76</v>
      </c>
      <c r="L778" s="1">
        <v>66</v>
      </c>
      <c r="M778" s="1">
        <v>65</v>
      </c>
      <c r="N778" s="17">
        <v>0.152</v>
      </c>
      <c r="O778" s="1">
        <v>361</v>
      </c>
      <c r="P778" s="15">
        <v>0.68420000000000003</v>
      </c>
      <c r="Q778" s="1">
        <v>87.7363</v>
      </c>
      <c r="R778" s="1" t="s">
        <v>40</v>
      </c>
      <c r="S778" s="1">
        <v>579.12620000000004</v>
      </c>
      <c r="T778" s="1" t="s">
        <v>35</v>
      </c>
      <c r="U778" s="1" t="s">
        <v>56</v>
      </c>
    </row>
    <row r="779" spans="1:21" x14ac:dyDescent="0.3">
      <c r="A779" s="1" t="s">
        <v>578</v>
      </c>
      <c r="B779" s="2">
        <v>37464</v>
      </c>
      <c r="C779" s="1">
        <v>22</v>
      </c>
      <c r="D779" s="1">
        <v>160</v>
      </c>
      <c r="E779" s="1" t="s">
        <v>76</v>
      </c>
      <c r="F779" s="1" t="s">
        <v>75</v>
      </c>
      <c r="G779" s="1" t="s">
        <v>53</v>
      </c>
      <c r="H779" s="1" t="s">
        <v>25</v>
      </c>
      <c r="I779" s="1" t="s">
        <v>110</v>
      </c>
      <c r="J779" s="1">
        <v>67</v>
      </c>
      <c r="K779" s="1">
        <v>21</v>
      </c>
      <c r="L779" s="1">
        <v>55</v>
      </c>
      <c r="M779" s="1">
        <v>79</v>
      </c>
      <c r="N779" s="17">
        <v>0.72770000000000001</v>
      </c>
      <c r="O779" s="1">
        <v>261</v>
      </c>
      <c r="P779" s="15">
        <v>0.79949999999999999</v>
      </c>
      <c r="Q779" s="1">
        <v>36.817300000000003</v>
      </c>
      <c r="R779" s="1" t="s">
        <v>45</v>
      </c>
      <c r="S779" s="1">
        <v>485.42720000000003</v>
      </c>
      <c r="T779" s="1" t="s">
        <v>28</v>
      </c>
      <c r="U779" s="1" t="s">
        <v>47</v>
      </c>
    </row>
    <row r="780" spans="1:21" x14ac:dyDescent="0.3">
      <c r="A780" s="1" t="s">
        <v>579</v>
      </c>
      <c r="B780" s="2">
        <v>37150</v>
      </c>
      <c r="C780" s="1">
        <v>23</v>
      </c>
      <c r="D780" s="1">
        <v>172</v>
      </c>
      <c r="E780" s="1" t="s">
        <v>24</v>
      </c>
      <c r="F780" s="1" t="s">
        <v>38</v>
      </c>
      <c r="G780" s="1" t="s">
        <v>23</v>
      </c>
      <c r="H780" s="1" t="s">
        <v>54</v>
      </c>
      <c r="I780" s="1" t="s">
        <v>80</v>
      </c>
      <c r="J780" s="1">
        <v>15</v>
      </c>
      <c r="K780" s="1">
        <v>56</v>
      </c>
      <c r="L780" s="1">
        <v>53</v>
      </c>
      <c r="M780" s="1">
        <v>76</v>
      </c>
      <c r="N780" s="17">
        <v>0.12509999999999999</v>
      </c>
      <c r="O780" s="1">
        <v>65</v>
      </c>
      <c r="P780" s="15">
        <v>0.75849999999999995</v>
      </c>
      <c r="Q780" s="1">
        <v>62.589300000000001</v>
      </c>
      <c r="R780" s="1" t="s">
        <v>40</v>
      </c>
      <c r="S780" s="1">
        <v>264.75360000000001</v>
      </c>
      <c r="T780" s="1" t="s">
        <v>28</v>
      </c>
      <c r="U780" s="1" t="s">
        <v>113</v>
      </c>
    </row>
    <row r="781" spans="1:21" x14ac:dyDescent="0.3">
      <c r="A781" s="1" t="s">
        <v>580</v>
      </c>
      <c r="B781" s="2">
        <v>37014</v>
      </c>
      <c r="C781" s="1">
        <v>23</v>
      </c>
      <c r="D781" s="1">
        <v>163</v>
      </c>
      <c r="E781" s="1" t="s">
        <v>76</v>
      </c>
      <c r="F781" s="1" t="s">
        <v>75</v>
      </c>
      <c r="G781" s="1" t="s">
        <v>53</v>
      </c>
      <c r="H781" s="1" t="s">
        <v>54</v>
      </c>
      <c r="I781" s="1" t="s">
        <v>88</v>
      </c>
      <c r="J781" s="1">
        <v>94</v>
      </c>
      <c r="K781" s="1">
        <v>36</v>
      </c>
      <c r="L781" s="1">
        <v>6</v>
      </c>
      <c r="M781" s="1">
        <v>65</v>
      </c>
      <c r="N781" s="17">
        <v>0.36820000000000003</v>
      </c>
      <c r="O781" s="1">
        <v>51</v>
      </c>
      <c r="P781" s="15">
        <v>0.73160000000000003</v>
      </c>
      <c r="Q781" s="1">
        <v>49.378300000000003</v>
      </c>
      <c r="R781" s="1" t="s">
        <v>45</v>
      </c>
      <c r="S781" s="1">
        <v>253.56979999999999</v>
      </c>
      <c r="T781" s="1" t="s">
        <v>35</v>
      </c>
      <c r="U781" s="1" t="s">
        <v>36</v>
      </c>
    </row>
    <row r="782" spans="1:21" x14ac:dyDescent="0.3">
      <c r="A782" s="1" t="s">
        <v>581</v>
      </c>
      <c r="B782" s="2">
        <v>37178</v>
      </c>
      <c r="C782" s="1">
        <v>23</v>
      </c>
      <c r="D782" s="1">
        <v>169</v>
      </c>
      <c r="E782" s="1" t="s">
        <v>24</v>
      </c>
      <c r="F782" s="1" t="s">
        <v>69</v>
      </c>
      <c r="G782" s="1" t="s">
        <v>43</v>
      </c>
      <c r="H782" s="1" t="s">
        <v>54</v>
      </c>
      <c r="I782" s="1" t="s">
        <v>85</v>
      </c>
      <c r="J782" s="1">
        <v>17</v>
      </c>
      <c r="K782" s="1">
        <v>52</v>
      </c>
      <c r="L782" s="1">
        <v>20</v>
      </c>
      <c r="M782" s="1">
        <v>78</v>
      </c>
      <c r="N782" s="17">
        <v>0.2319</v>
      </c>
      <c r="O782" s="1">
        <v>182</v>
      </c>
      <c r="P782" s="15">
        <v>0.59160000000000001</v>
      </c>
      <c r="Q782" s="1">
        <v>64.218900000000005</v>
      </c>
      <c r="R782" s="1" t="s">
        <v>45</v>
      </c>
      <c r="S782" s="1">
        <v>350.04349999999999</v>
      </c>
      <c r="T782" s="1" t="s">
        <v>28</v>
      </c>
      <c r="U782" s="1" t="s">
        <v>29</v>
      </c>
    </row>
    <row r="783" spans="1:21" x14ac:dyDescent="0.3">
      <c r="A783" s="1" t="s">
        <v>582</v>
      </c>
      <c r="B783" s="2">
        <v>37331</v>
      </c>
      <c r="C783" s="1">
        <v>22</v>
      </c>
      <c r="D783" s="1">
        <v>175</v>
      </c>
      <c r="E783" s="1" t="s">
        <v>32</v>
      </c>
      <c r="F783" s="1" t="s">
        <v>31</v>
      </c>
      <c r="G783" s="1" t="s">
        <v>23</v>
      </c>
      <c r="H783" s="1" t="s">
        <v>54</v>
      </c>
      <c r="I783" s="1" t="s">
        <v>50</v>
      </c>
      <c r="J783" s="1">
        <v>56</v>
      </c>
      <c r="K783" s="1">
        <v>53</v>
      </c>
      <c r="L783" s="1">
        <v>59</v>
      </c>
      <c r="M783" s="1">
        <v>52</v>
      </c>
      <c r="N783" s="17">
        <v>0.33729999999999999</v>
      </c>
      <c r="O783" s="1">
        <v>159</v>
      </c>
      <c r="P783" s="15">
        <v>0.62450000000000006</v>
      </c>
      <c r="Q783" s="1">
        <v>71.010599999999997</v>
      </c>
      <c r="R783" s="1" t="s">
        <v>45</v>
      </c>
      <c r="S783" s="1">
        <v>380.22179999999997</v>
      </c>
      <c r="T783" s="1" t="s">
        <v>35</v>
      </c>
      <c r="U783" s="1" t="s">
        <v>102</v>
      </c>
    </row>
    <row r="784" spans="1:21" x14ac:dyDescent="0.3">
      <c r="A784" s="1" t="s">
        <v>583</v>
      </c>
      <c r="B784" s="2">
        <v>37927</v>
      </c>
      <c r="C784" s="1">
        <v>21</v>
      </c>
      <c r="D784" s="1">
        <v>164</v>
      </c>
      <c r="E784" s="1" t="s">
        <v>76</v>
      </c>
      <c r="F784" s="1" t="s">
        <v>109</v>
      </c>
      <c r="G784" s="1" t="s">
        <v>63</v>
      </c>
      <c r="H784" s="1" t="s">
        <v>25</v>
      </c>
      <c r="I784" s="1" t="s">
        <v>123</v>
      </c>
      <c r="J784" s="1">
        <v>107</v>
      </c>
      <c r="K784" s="1">
        <v>14</v>
      </c>
      <c r="L784" s="1">
        <v>71</v>
      </c>
      <c r="M784" s="1">
        <v>86</v>
      </c>
      <c r="N784" s="17">
        <v>0.29139999999999999</v>
      </c>
      <c r="O784" s="1">
        <v>48</v>
      </c>
      <c r="P784" s="15">
        <v>0.61299999999999999</v>
      </c>
      <c r="Q784" s="1">
        <v>17.834199999999999</v>
      </c>
      <c r="R784" s="1" t="s">
        <v>34</v>
      </c>
      <c r="S784" s="1">
        <v>326.99439999999998</v>
      </c>
      <c r="T784" s="1" t="s">
        <v>46</v>
      </c>
      <c r="U784" s="1" t="s">
        <v>47</v>
      </c>
    </row>
    <row r="785" spans="1:21" x14ac:dyDescent="0.3">
      <c r="A785" s="1" t="s">
        <v>584</v>
      </c>
      <c r="B785" s="2">
        <v>37139</v>
      </c>
      <c r="C785" s="1">
        <v>23</v>
      </c>
      <c r="D785" s="1">
        <v>163</v>
      </c>
      <c r="E785" s="1" t="s">
        <v>76</v>
      </c>
      <c r="F785" s="1" t="s">
        <v>42</v>
      </c>
      <c r="G785" s="1" t="s">
        <v>43</v>
      </c>
      <c r="H785" s="1" t="s">
        <v>54</v>
      </c>
      <c r="I785" s="1" t="s">
        <v>92</v>
      </c>
      <c r="J785" s="1">
        <v>7</v>
      </c>
      <c r="K785" s="1">
        <v>16</v>
      </c>
      <c r="L785" s="1">
        <v>38</v>
      </c>
      <c r="M785" s="1">
        <v>99</v>
      </c>
      <c r="N785" s="17">
        <v>0.5373</v>
      </c>
      <c r="O785" s="1">
        <v>122</v>
      </c>
      <c r="P785" s="15">
        <v>0.75600000000000001</v>
      </c>
      <c r="Q785" s="1">
        <v>24.8735</v>
      </c>
      <c r="R785" s="1" t="s">
        <v>34</v>
      </c>
      <c r="S785" s="1">
        <v>283.36329999999998</v>
      </c>
      <c r="T785" s="1" t="s">
        <v>46</v>
      </c>
      <c r="U785" s="1" t="s">
        <v>56</v>
      </c>
    </row>
    <row r="786" spans="1:21" x14ac:dyDescent="0.3">
      <c r="A786" s="1" t="s">
        <v>585</v>
      </c>
      <c r="B786" s="2">
        <v>37266</v>
      </c>
      <c r="C786" s="1">
        <v>22</v>
      </c>
      <c r="D786" s="1">
        <v>166</v>
      </c>
      <c r="E786" s="1" t="s">
        <v>76</v>
      </c>
      <c r="F786" s="1" t="s">
        <v>31</v>
      </c>
      <c r="G786" s="1" t="s">
        <v>23</v>
      </c>
      <c r="H786" s="1" t="s">
        <v>54</v>
      </c>
      <c r="I786" s="1" t="s">
        <v>26</v>
      </c>
      <c r="J786" s="1">
        <v>19</v>
      </c>
      <c r="K786" s="1">
        <v>36</v>
      </c>
      <c r="L786" s="1">
        <v>87</v>
      </c>
      <c r="M786" s="1">
        <v>42</v>
      </c>
      <c r="N786" s="17">
        <v>0.60919999999999996</v>
      </c>
      <c r="O786" s="1">
        <v>230</v>
      </c>
      <c r="P786" s="15">
        <v>0.80510000000000004</v>
      </c>
      <c r="Q786" s="1">
        <v>57.158799999999999</v>
      </c>
      <c r="R786" s="1" t="s">
        <v>45</v>
      </c>
      <c r="S786" s="1">
        <v>415.32429999999999</v>
      </c>
      <c r="T786" s="1" t="s">
        <v>35</v>
      </c>
      <c r="U786" s="1" t="s">
        <v>113</v>
      </c>
    </row>
    <row r="787" spans="1:21" x14ac:dyDescent="0.3">
      <c r="A787" s="1" t="s">
        <v>586</v>
      </c>
      <c r="B787" s="2">
        <v>37835</v>
      </c>
      <c r="C787" s="1">
        <v>21</v>
      </c>
      <c r="D787" s="1">
        <v>180</v>
      </c>
      <c r="E787" s="1" t="s">
        <v>32</v>
      </c>
      <c r="F787" s="1" t="s">
        <v>49</v>
      </c>
      <c r="G787" s="1" t="s">
        <v>43</v>
      </c>
      <c r="H787" s="1" t="s">
        <v>54</v>
      </c>
      <c r="I787" s="1" t="s">
        <v>117</v>
      </c>
      <c r="J787" s="1">
        <v>23</v>
      </c>
      <c r="K787" s="1">
        <v>73</v>
      </c>
      <c r="L787" s="1">
        <v>10</v>
      </c>
      <c r="M787" s="1">
        <v>63</v>
      </c>
      <c r="N787" s="17">
        <v>0.44850000000000001</v>
      </c>
      <c r="O787" s="1">
        <v>250</v>
      </c>
      <c r="P787" s="15">
        <v>0.80510000000000004</v>
      </c>
      <c r="Q787" s="1">
        <v>105.8274</v>
      </c>
      <c r="R787" s="1" t="s">
        <v>40</v>
      </c>
      <c r="S787" s="1">
        <v>420.0136</v>
      </c>
      <c r="T787" s="1" t="s">
        <v>46</v>
      </c>
      <c r="U787" s="1" t="s">
        <v>29</v>
      </c>
    </row>
    <row r="788" spans="1:21" x14ac:dyDescent="0.3">
      <c r="A788" s="1" t="s">
        <v>587</v>
      </c>
      <c r="B788" s="2">
        <v>36942</v>
      </c>
      <c r="C788" s="1">
        <v>23</v>
      </c>
      <c r="D788" s="1">
        <v>165</v>
      </c>
      <c r="E788" s="1" t="s">
        <v>76</v>
      </c>
      <c r="F788" s="1" t="s">
        <v>104</v>
      </c>
      <c r="G788" s="1" t="s">
        <v>53</v>
      </c>
      <c r="H788" s="1" t="s">
        <v>54</v>
      </c>
      <c r="I788" s="1" t="s">
        <v>60</v>
      </c>
      <c r="J788" s="1">
        <v>97</v>
      </c>
      <c r="K788" s="1">
        <v>9</v>
      </c>
      <c r="L788" s="1">
        <v>96</v>
      </c>
      <c r="M788" s="1">
        <v>55</v>
      </c>
      <c r="N788" s="17">
        <v>0.96160000000000001</v>
      </c>
      <c r="O788" s="1">
        <v>303</v>
      </c>
      <c r="P788" s="15">
        <v>0.63480000000000003</v>
      </c>
      <c r="Q788" s="1">
        <v>18.497900000000001</v>
      </c>
      <c r="R788" s="1" t="s">
        <v>45</v>
      </c>
      <c r="S788" s="1">
        <v>561.45640000000003</v>
      </c>
      <c r="T788" s="1" t="s">
        <v>46</v>
      </c>
      <c r="U788" s="1" t="s">
        <v>29</v>
      </c>
    </row>
    <row r="789" spans="1:21" x14ac:dyDescent="0.3">
      <c r="A789" s="1" t="s">
        <v>588</v>
      </c>
      <c r="B789" s="2">
        <v>37455</v>
      </c>
      <c r="C789" s="1">
        <v>22</v>
      </c>
      <c r="D789" s="1">
        <v>160</v>
      </c>
      <c r="E789" s="1" t="s">
        <v>76</v>
      </c>
      <c r="F789" s="1" t="s">
        <v>42</v>
      </c>
      <c r="G789" s="1" t="s">
        <v>43</v>
      </c>
      <c r="H789" s="1" t="s">
        <v>25</v>
      </c>
      <c r="I789" s="1" t="s">
        <v>85</v>
      </c>
      <c r="J789" s="1">
        <v>125</v>
      </c>
      <c r="K789" s="1">
        <v>84</v>
      </c>
      <c r="L789" s="1">
        <v>58</v>
      </c>
      <c r="M789" s="1">
        <v>9</v>
      </c>
      <c r="N789" s="17">
        <v>0.38840000000000002</v>
      </c>
      <c r="O789" s="1">
        <v>214</v>
      </c>
      <c r="P789" s="15">
        <v>0.66500000000000004</v>
      </c>
      <c r="Q789" s="1">
        <v>116.69499999999999</v>
      </c>
      <c r="R789" s="1" t="s">
        <v>45</v>
      </c>
      <c r="S789" s="1">
        <v>491.36340000000001</v>
      </c>
      <c r="T789" s="1" t="s">
        <v>28</v>
      </c>
      <c r="U789" s="1" t="s">
        <v>47</v>
      </c>
    </row>
    <row r="790" spans="1:21" x14ac:dyDescent="0.3">
      <c r="A790" s="1" t="s">
        <v>589</v>
      </c>
      <c r="B790" s="2">
        <v>37973</v>
      </c>
      <c r="C790" s="1">
        <v>21</v>
      </c>
      <c r="D790" s="1">
        <v>160</v>
      </c>
      <c r="E790" s="1" t="s">
        <v>76</v>
      </c>
      <c r="F790" s="1" t="s">
        <v>98</v>
      </c>
      <c r="G790" s="1" t="s">
        <v>23</v>
      </c>
      <c r="H790" s="1" t="s">
        <v>54</v>
      </c>
      <c r="I790" s="1" t="s">
        <v>107</v>
      </c>
      <c r="J790" s="1">
        <v>39</v>
      </c>
      <c r="K790" s="1">
        <v>12</v>
      </c>
      <c r="L790" s="1">
        <v>11</v>
      </c>
      <c r="M790" s="1">
        <v>18</v>
      </c>
      <c r="N790" s="17">
        <v>0.33</v>
      </c>
      <c r="O790" s="1">
        <v>58</v>
      </c>
      <c r="P790" s="15">
        <v>0.44030000000000002</v>
      </c>
      <c r="Q790" s="1">
        <v>16.4255</v>
      </c>
      <c r="R790" s="1" t="s">
        <v>40</v>
      </c>
      <c r="S790" s="1">
        <v>139.3903</v>
      </c>
      <c r="T790" s="1" t="s">
        <v>35</v>
      </c>
      <c r="U790" s="1" t="s">
        <v>102</v>
      </c>
    </row>
    <row r="791" spans="1:21" x14ac:dyDescent="0.3">
      <c r="A791" s="1" t="s">
        <v>590</v>
      </c>
      <c r="B791" s="2">
        <v>36947</v>
      </c>
      <c r="C791" s="1">
        <v>23</v>
      </c>
      <c r="D791" s="1">
        <v>165</v>
      </c>
      <c r="E791" s="1" t="s">
        <v>76</v>
      </c>
      <c r="F791" s="1" t="s">
        <v>52</v>
      </c>
      <c r="G791" s="1" t="s">
        <v>53</v>
      </c>
      <c r="H791" s="1" t="s">
        <v>25</v>
      </c>
      <c r="I791" s="1" t="s">
        <v>94</v>
      </c>
      <c r="J791" s="1">
        <v>59</v>
      </c>
      <c r="K791" s="1">
        <v>33</v>
      </c>
      <c r="L791" s="1">
        <v>42</v>
      </c>
      <c r="M791" s="1">
        <v>33</v>
      </c>
      <c r="N791" s="17">
        <v>0.84499999999999997</v>
      </c>
      <c r="O791" s="1">
        <v>151</v>
      </c>
      <c r="P791" s="15">
        <v>0.45440000000000003</v>
      </c>
      <c r="Q791" s="1">
        <v>60.294600000000003</v>
      </c>
      <c r="R791" s="1" t="s">
        <v>34</v>
      </c>
      <c r="S791" s="1">
        <v>318.87939999999998</v>
      </c>
      <c r="T791" s="1" t="s">
        <v>28</v>
      </c>
      <c r="U791" s="1" t="s">
        <v>113</v>
      </c>
    </row>
    <row r="792" spans="1:21" x14ac:dyDescent="0.3">
      <c r="A792" s="1" t="s">
        <v>591</v>
      </c>
      <c r="B792" s="2">
        <v>37127</v>
      </c>
      <c r="C792" s="1">
        <v>23</v>
      </c>
      <c r="D792" s="1">
        <v>172</v>
      </c>
      <c r="E792" s="1" t="s">
        <v>24</v>
      </c>
      <c r="F792" s="1" t="s">
        <v>69</v>
      </c>
      <c r="G792" s="1" t="s">
        <v>43</v>
      </c>
      <c r="H792" s="1" t="s">
        <v>54</v>
      </c>
      <c r="I792" s="1" t="s">
        <v>44</v>
      </c>
      <c r="J792" s="1">
        <v>48</v>
      </c>
      <c r="K792" s="1">
        <v>56</v>
      </c>
      <c r="L792" s="1">
        <v>7</v>
      </c>
      <c r="M792" s="1">
        <v>4</v>
      </c>
      <c r="N792" s="17">
        <v>0.9224</v>
      </c>
      <c r="O792" s="1">
        <v>254</v>
      </c>
      <c r="P792" s="15">
        <v>0.40839999999999999</v>
      </c>
      <c r="Q792" s="1">
        <v>107.193</v>
      </c>
      <c r="R792" s="1" t="s">
        <v>27</v>
      </c>
      <c r="S792" s="1">
        <v>370.64080000000001</v>
      </c>
      <c r="T792" s="1" t="s">
        <v>28</v>
      </c>
      <c r="U792" s="1" t="s">
        <v>113</v>
      </c>
    </row>
    <row r="793" spans="1:21" x14ac:dyDescent="0.3">
      <c r="A793" s="1" t="s">
        <v>592</v>
      </c>
      <c r="B793" s="2">
        <v>37063</v>
      </c>
      <c r="C793" s="1">
        <v>23</v>
      </c>
      <c r="D793" s="1">
        <v>174</v>
      </c>
      <c r="E793" s="1" t="s">
        <v>24</v>
      </c>
      <c r="F793" s="1" t="s">
        <v>49</v>
      </c>
      <c r="G793" s="1" t="s">
        <v>43</v>
      </c>
      <c r="H793" s="1" t="s">
        <v>25</v>
      </c>
      <c r="I793" s="1" t="s">
        <v>67</v>
      </c>
      <c r="J793" s="1">
        <v>57</v>
      </c>
      <c r="K793" s="1">
        <v>99</v>
      </c>
      <c r="L793" s="1">
        <v>78</v>
      </c>
      <c r="M793" s="1">
        <v>54</v>
      </c>
      <c r="N793" s="17">
        <v>0.92030000000000001</v>
      </c>
      <c r="O793" s="1">
        <v>170</v>
      </c>
      <c r="P793" s="15">
        <v>0.60329999999999995</v>
      </c>
      <c r="Q793" s="1">
        <v>189.2456</v>
      </c>
      <c r="R793" s="1" t="s">
        <v>27</v>
      </c>
      <c r="S793" s="1">
        <v>459.41359999999997</v>
      </c>
      <c r="T793" s="1" t="s">
        <v>35</v>
      </c>
      <c r="U793" s="1" t="s">
        <v>113</v>
      </c>
    </row>
    <row r="794" spans="1:21" x14ac:dyDescent="0.3">
      <c r="A794" s="1" t="s">
        <v>593</v>
      </c>
      <c r="B794" s="2">
        <v>37015</v>
      </c>
      <c r="C794" s="1">
        <v>23</v>
      </c>
      <c r="D794" s="1">
        <v>160</v>
      </c>
      <c r="E794" s="1" t="s">
        <v>76</v>
      </c>
      <c r="F794" s="1" t="s">
        <v>75</v>
      </c>
      <c r="G794" s="1" t="s">
        <v>53</v>
      </c>
      <c r="H794" s="1" t="s">
        <v>54</v>
      </c>
      <c r="I794" s="1" t="s">
        <v>90</v>
      </c>
      <c r="J794" s="1">
        <v>90</v>
      </c>
      <c r="K794" s="1">
        <v>84</v>
      </c>
      <c r="L794" s="1">
        <v>39</v>
      </c>
      <c r="M794" s="1">
        <v>36</v>
      </c>
      <c r="N794" s="17">
        <v>0.62660000000000005</v>
      </c>
      <c r="O794" s="1">
        <v>253</v>
      </c>
      <c r="P794" s="15">
        <v>0.62960000000000005</v>
      </c>
      <c r="Q794" s="1">
        <v>136.8133</v>
      </c>
      <c r="R794" s="1" t="s">
        <v>27</v>
      </c>
      <c r="S794" s="1">
        <v>503.12619999999998</v>
      </c>
      <c r="T794" s="1" t="s">
        <v>28</v>
      </c>
      <c r="U794" s="1" t="s">
        <v>102</v>
      </c>
    </row>
    <row r="795" spans="1:21" x14ac:dyDescent="0.3">
      <c r="A795" s="1" t="s">
        <v>594</v>
      </c>
      <c r="B795" s="2">
        <v>37143</v>
      </c>
      <c r="C795" s="1">
        <v>23</v>
      </c>
      <c r="D795" s="1">
        <v>172</v>
      </c>
      <c r="E795" s="1" t="s">
        <v>24</v>
      </c>
      <c r="F795" s="1" t="s">
        <v>38</v>
      </c>
      <c r="G795" s="1" t="s">
        <v>23</v>
      </c>
      <c r="H795" s="1" t="s">
        <v>25</v>
      </c>
      <c r="I795" s="1" t="s">
        <v>90</v>
      </c>
      <c r="J795" s="1">
        <v>132</v>
      </c>
      <c r="K795" s="1">
        <v>22</v>
      </c>
      <c r="L795" s="1">
        <v>51</v>
      </c>
      <c r="M795" s="1">
        <v>80</v>
      </c>
      <c r="N795" s="17">
        <v>0.95089999999999997</v>
      </c>
      <c r="O795" s="1">
        <v>354</v>
      </c>
      <c r="P795" s="15">
        <v>0.68579999999999997</v>
      </c>
      <c r="Q795" s="1">
        <v>42.666200000000003</v>
      </c>
      <c r="R795" s="1" t="s">
        <v>45</v>
      </c>
      <c r="S795" s="1">
        <v>640.43669999999997</v>
      </c>
      <c r="T795" s="1" t="s">
        <v>35</v>
      </c>
      <c r="U795" s="1" t="s">
        <v>36</v>
      </c>
    </row>
    <row r="796" spans="1:21" x14ac:dyDescent="0.3">
      <c r="A796" s="1" t="s">
        <v>595</v>
      </c>
      <c r="B796" s="2">
        <v>37564</v>
      </c>
      <c r="C796" s="1">
        <v>22</v>
      </c>
      <c r="D796" s="1">
        <v>174</v>
      </c>
      <c r="E796" s="1" t="s">
        <v>24</v>
      </c>
      <c r="F796" s="1" t="s">
        <v>79</v>
      </c>
      <c r="G796" s="1" t="s">
        <v>43</v>
      </c>
      <c r="H796" s="1" t="s">
        <v>25</v>
      </c>
      <c r="I796" s="1" t="s">
        <v>64</v>
      </c>
      <c r="J796" s="1">
        <v>97</v>
      </c>
      <c r="K796" s="1">
        <v>1</v>
      </c>
      <c r="L796" s="1">
        <v>48</v>
      </c>
      <c r="M796" s="1">
        <v>90</v>
      </c>
      <c r="N796" s="17">
        <v>0.4718</v>
      </c>
      <c r="O796" s="1">
        <v>269</v>
      </c>
      <c r="P796" s="15">
        <v>0.80289999999999995</v>
      </c>
      <c r="Q796" s="1">
        <v>1.7662</v>
      </c>
      <c r="R796" s="1" t="s">
        <v>45</v>
      </c>
      <c r="S796" s="1">
        <v>507.62470000000002</v>
      </c>
      <c r="T796" s="1" t="s">
        <v>35</v>
      </c>
      <c r="U796" s="1" t="s">
        <v>65</v>
      </c>
    </row>
    <row r="797" spans="1:21" x14ac:dyDescent="0.3">
      <c r="A797" s="1" t="s">
        <v>596</v>
      </c>
      <c r="B797" s="2">
        <v>36955</v>
      </c>
      <c r="C797" s="1">
        <v>23</v>
      </c>
      <c r="D797" s="1">
        <v>177</v>
      </c>
      <c r="E797" s="1" t="s">
        <v>32</v>
      </c>
      <c r="F797" s="1" t="s">
        <v>38</v>
      </c>
      <c r="G797" s="1" t="s">
        <v>23</v>
      </c>
      <c r="H797" s="1" t="s">
        <v>54</v>
      </c>
      <c r="I797" s="1" t="s">
        <v>60</v>
      </c>
      <c r="J797" s="1">
        <v>54</v>
      </c>
      <c r="K797" s="1">
        <v>81</v>
      </c>
      <c r="L797" s="1">
        <v>83</v>
      </c>
      <c r="M797" s="1">
        <v>36</v>
      </c>
      <c r="N797" s="17">
        <v>0.79120000000000001</v>
      </c>
      <c r="O797" s="1">
        <v>72</v>
      </c>
      <c r="P797" s="15">
        <v>0.7137</v>
      </c>
      <c r="Q797" s="1">
        <v>145.92910000000001</v>
      </c>
      <c r="R797" s="1" t="s">
        <v>27</v>
      </c>
      <c r="S797" s="1">
        <v>327.63490000000002</v>
      </c>
      <c r="T797" s="1" t="s">
        <v>28</v>
      </c>
      <c r="U797" s="1" t="s">
        <v>56</v>
      </c>
    </row>
    <row r="798" spans="1:21" x14ac:dyDescent="0.3">
      <c r="A798" s="1" t="s">
        <v>597</v>
      </c>
      <c r="B798" s="2">
        <v>37345</v>
      </c>
      <c r="C798" s="1">
        <v>22</v>
      </c>
      <c r="D798" s="1">
        <v>160</v>
      </c>
      <c r="E798" s="1" t="s">
        <v>76</v>
      </c>
      <c r="F798" s="1" t="s">
        <v>84</v>
      </c>
      <c r="G798" s="1" t="s">
        <v>63</v>
      </c>
      <c r="H798" s="1" t="s">
        <v>25</v>
      </c>
      <c r="I798" s="1" t="s">
        <v>90</v>
      </c>
      <c r="J798" s="1">
        <v>102</v>
      </c>
      <c r="K798" s="1">
        <v>71</v>
      </c>
      <c r="L798" s="1">
        <v>20</v>
      </c>
      <c r="M798" s="1">
        <v>82</v>
      </c>
      <c r="N798" s="17">
        <v>0.8276</v>
      </c>
      <c r="O798" s="1">
        <v>250</v>
      </c>
      <c r="P798" s="15">
        <v>0.4995</v>
      </c>
      <c r="Q798" s="1">
        <v>130.14340000000001</v>
      </c>
      <c r="R798" s="1" t="s">
        <v>45</v>
      </c>
      <c r="S798" s="1">
        <v>527.1771</v>
      </c>
      <c r="T798" s="1" t="s">
        <v>35</v>
      </c>
      <c r="U798" s="1" t="s">
        <v>29</v>
      </c>
    </row>
    <row r="799" spans="1:21" x14ac:dyDescent="0.3">
      <c r="A799" s="1" t="s">
        <v>598</v>
      </c>
      <c r="B799" s="2">
        <v>37293</v>
      </c>
      <c r="C799" s="1">
        <v>22</v>
      </c>
      <c r="D799" s="1">
        <v>160</v>
      </c>
      <c r="E799" s="1" t="s">
        <v>76</v>
      </c>
      <c r="F799" s="1" t="s">
        <v>72</v>
      </c>
      <c r="G799" s="1" t="s">
        <v>53</v>
      </c>
      <c r="H799" s="1" t="s">
        <v>54</v>
      </c>
      <c r="I799" s="1" t="s">
        <v>60</v>
      </c>
      <c r="J799" s="1">
        <v>131</v>
      </c>
      <c r="K799" s="1">
        <v>57</v>
      </c>
      <c r="L799" s="1">
        <v>50</v>
      </c>
      <c r="M799" s="1">
        <v>56</v>
      </c>
      <c r="N799" s="17">
        <v>0.60909999999999997</v>
      </c>
      <c r="O799" s="1">
        <v>264</v>
      </c>
      <c r="P799" s="15">
        <v>0.70709999999999995</v>
      </c>
      <c r="Q799" s="1">
        <v>92.265799999999999</v>
      </c>
      <c r="R799" s="1" t="s">
        <v>34</v>
      </c>
      <c r="S799" s="1">
        <v>559.09619999999995</v>
      </c>
      <c r="T799" s="1" t="s">
        <v>28</v>
      </c>
      <c r="U799" s="1" t="s">
        <v>65</v>
      </c>
    </row>
    <row r="800" spans="1:21" x14ac:dyDescent="0.3">
      <c r="A800" s="1" t="s">
        <v>599</v>
      </c>
      <c r="B800" s="2">
        <v>37453</v>
      </c>
      <c r="C800" s="1">
        <v>22</v>
      </c>
      <c r="D800" s="1">
        <v>176</v>
      </c>
      <c r="E800" s="1" t="s">
        <v>32</v>
      </c>
      <c r="F800" s="1" t="s">
        <v>49</v>
      </c>
      <c r="G800" s="1" t="s">
        <v>43</v>
      </c>
      <c r="H800" s="1" t="s">
        <v>25</v>
      </c>
      <c r="I800" s="1" t="s">
        <v>33</v>
      </c>
      <c r="J800" s="1">
        <v>149</v>
      </c>
      <c r="K800" s="1">
        <v>70</v>
      </c>
      <c r="L800" s="1">
        <v>54</v>
      </c>
      <c r="M800" s="1">
        <v>26</v>
      </c>
      <c r="N800" s="17">
        <v>0.50849999999999995</v>
      </c>
      <c r="O800" s="1">
        <v>224</v>
      </c>
      <c r="P800" s="15">
        <v>0.82210000000000005</v>
      </c>
      <c r="Q800" s="1">
        <v>105.0067</v>
      </c>
      <c r="R800" s="1" t="s">
        <v>27</v>
      </c>
      <c r="S800" s="1">
        <v>524.03060000000005</v>
      </c>
      <c r="T800" s="1" t="s">
        <v>35</v>
      </c>
      <c r="U800" s="1" t="s">
        <v>56</v>
      </c>
    </row>
    <row r="801" spans="1:21" x14ac:dyDescent="0.3">
      <c r="A801" s="1" t="s">
        <v>600</v>
      </c>
      <c r="B801" s="2">
        <v>37953</v>
      </c>
      <c r="C801" s="1">
        <v>21</v>
      </c>
      <c r="D801" s="1">
        <v>181</v>
      </c>
      <c r="E801" s="1" t="s">
        <v>32</v>
      </c>
      <c r="F801" s="1" t="s">
        <v>98</v>
      </c>
      <c r="G801" s="1" t="s">
        <v>23</v>
      </c>
      <c r="H801" s="1" t="s">
        <v>54</v>
      </c>
      <c r="I801" s="1" t="s">
        <v>123</v>
      </c>
      <c r="J801" s="1">
        <v>55</v>
      </c>
      <c r="K801" s="1">
        <v>76</v>
      </c>
      <c r="L801" s="1">
        <v>88</v>
      </c>
      <c r="M801" s="1">
        <v>23</v>
      </c>
      <c r="N801" s="17">
        <v>0.47810000000000002</v>
      </c>
      <c r="O801" s="1">
        <v>112</v>
      </c>
      <c r="P801" s="15">
        <v>0.60199999999999998</v>
      </c>
      <c r="Q801" s="1">
        <v>112.5425</v>
      </c>
      <c r="R801" s="1" t="s">
        <v>27</v>
      </c>
      <c r="S801" s="1">
        <v>355.71010000000001</v>
      </c>
      <c r="T801" s="1" t="s">
        <v>35</v>
      </c>
      <c r="U801" s="1" t="s">
        <v>36</v>
      </c>
    </row>
    <row r="802" spans="1:21" x14ac:dyDescent="0.3">
      <c r="A802" s="1" t="s">
        <v>601</v>
      </c>
      <c r="B802" s="2">
        <v>37354</v>
      </c>
      <c r="C802" s="1">
        <v>22</v>
      </c>
      <c r="D802" s="1">
        <v>183</v>
      </c>
      <c r="E802" s="1" t="s">
        <v>32</v>
      </c>
      <c r="F802" s="1" t="s">
        <v>79</v>
      </c>
      <c r="G802" s="1" t="s">
        <v>43</v>
      </c>
      <c r="H802" s="1" t="s">
        <v>54</v>
      </c>
      <c r="I802" s="1" t="s">
        <v>50</v>
      </c>
      <c r="J802" s="1">
        <v>138</v>
      </c>
      <c r="K802" s="1">
        <v>20</v>
      </c>
      <c r="L802" s="1">
        <v>34</v>
      </c>
      <c r="M802" s="1">
        <v>7</v>
      </c>
      <c r="N802" s="17">
        <v>0.12509999999999999</v>
      </c>
      <c r="O802" s="1">
        <v>250</v>
      </c>
      <c r="P802" s="15">
        <v>0.59440000000000004</v>
      </c>
      <c r="Q802" s="1">
        <v>23.0533</v>
      </c>
      <c r="R802" s="1" t="s">
        <v>27</v>
      </c>
      <c r="S802" s="1">
        <v>450.1395</v>
      </c>
      <c r="T802" s="1" t="s">
        <v>46</v>
      </c>
      <c r="U802" s="1" t="s">
        <v>113</v>
      </c>
    </row>
    <row r="803" spans="1:21" x14ac:dyDescent="0.3">
      <c r="A803" s="1" t="s">
        <v>602</v>
      </c>
      <c r="B803" s="2">
        <v>37861</v>
      </c>
      <c r="C803" s="1">
        <v>21</v>
      </c>
      <c r="D803" s="1">
        <v>163</v>
      </c>
      <c r="E803" s="1" t="s">
        <v>76</v>
      </c>
      <c r="F803" s="1" t="s">
        <v>79</v>
      </c>
      <c r="G803" s="1" t="s">
        <v>43</v>
      </c>
      <c r="H803" s="1" t="s">
        <v>25</v>
      </c>
      <c r="I803" s="1" t="s">
        <v>99</v>
      </c>
      <c r="J803" s="1">
        <v>125</v>
      </c>
      <c r="K803" s="1">
        <v>82</v>
      </c>
      <c r="L803" s="1">
        <v>52</v>
      </c>
      <c r="M803" s="1">
        <v>24</v>
      </c>
      <c r="N803" s="17">
        <v>0.64</v>
      </c>
      <c r="O803" s="1">
        <v>30</v>
      </c>
      <c r="P803" s="15">
        <v>0.59730000000000005</v>
      </c>
      <c r="Q803" s="1">
        <v>135.0376</v>
      </c>
      <c r="R803" s="1" t="s">
        <v>27</v>
      </c>
      <c r="S803" s="1">
        <v>315.60730000000001</v>
      </c>
      <c r="T803" s="1" t="s">
        <v>46</v>
      </c>
      <c r="U803" s="1" t="s">
        <v>56</v>
      </c>
    </row>
    <row r="804" spans="1:21" x14ac:dyDescent="0.3">
      <c r="A804" s="1" t="s">
        <v>603</v>
      </c>
      <c r="B804" s="2">
        <v>37664</v>
      </c>
      <c r="C804" s="1">
        <v>21</v>
      </c>
      <c r="D804" s="1">
        <v>161</v>
      </c>
      <c r="E804" s="1" t="s">
        <v>76</v>
      </c>
      <c r="F804" s="1" t="s">
        <v>42</v>
      </c>
      <c r="G804" s="1" t="s">
        <v>43</v>
      </c>
      <c r="H804" s="1" t="s">
        <v>54</v>
      </c>
      <c r="I804" s="1" t="s">
        <v>50</v>
      </c>
      <c r="J804" s="1">
        <v>118</v>
      </c>
      <c r="K804" s="1">
        <v>7</v>
      </c>
      <c r="L804" s="1">
        <v>80</v>
      </c>
      <c r="M804" s="1">
        <v>6</v>
      </c>
      <c r="N804" s="17">
        <v>0.48870000000000002</v>
      </c>
      <c r="O804" s="1">
        <v>245</v>
      </c>
      <c r="P804" s="15">
        <v>0.44579999999999997</v>
      </c>
      <c r="Q804" s="1">
        <v>10.629300000000001</v>
      </c>
      <c r="R804" s="1" t="s">
        <v>27</v>
      </c>
      <c r="S804" s="1">
        <v>457.22449999999998</v>
      </c>
      <c r="T804" s="1" t="s">
        <v>46</v>
      </c>
      <c r="U804" s="1" t="s">
        <v>29</v>
      </c>
    </row>
    <row r="805" spans="1:21" x14ac:dyDescent="0.3">
      <c r="A805" s="1" t="s">
        <v>604</v>
      </c>
      <c r="B805" s="2">
        <v>37733</v>
      </c>
      <c r="C805" s="1">
        <v>21</v>
      </c>
      <c r="D805" s="1">
        <v>163</v>
      </c>
      <c r="E805" s="1" t="s">
        <v>76</v>
      </c>
      <c r="F805" s="1" t="s">
        <v>75</v>
      </c>
      <c r="G805" s="1" t="s">
        <v>53</v>
      </c>
      <c r="H805" s="1" t="s">
        <v>25</v>
      </c>
      <c r="I805" s="1" t="s">
        <v>26</v>
      </c>
      <c r="J805" s="1">
        <v>69</v>
      </c>
      <c r="K805" s="1">
        <v>47</v>
      </c>
      <c r="L805" s="1">
        <v>43</v>
      </c>
      <c r="M805" s="1">
        <v>62</v>
      </c>
      <c r="N805" s="17">
        <v>0.68579999999999997</v>
      </c>
      <c r="O805" s="1">
        <v>41</v>
      </c>
      <c r="P805" s="15">
        <v>0.70409999999999995</v>
      </c>
      <c r="Q805" s="1">
        <v>79.165199999999999</v>
      </c>
      <c r="R805" s="1" t="s">
        <v>27</v>
      </c>
      <c r="S805" s="1">
        <v>264.09989999999999</v>
      </c>
      <c r="T805" s="1" t="s">
        <v>35</v>
      </c>
      <c r="U805" s="1" t="s">
        <v>65</v>
      </c>
    </row>
    <row r="806" spans="1:21" x14ac:dyDescent="0.3">
      <c r="A806" s="1" t="s">
        <v>605</v>
      </c>
      <c r="B806" s="2">
        <v>37102</v>
      </c>
      <c r="C806" s="1">
        <v>23</v>
      </c>
      <c r="D806" s="1">
        <v>163</v>
      </c>
      <c r="E806" s="1" t="s">
        <v>76</v>
      </c>
      <c r="F806" s="1" t="s">
        <v>79</v>
      </c>
      <c r="G806" s="1" t="s">
        <v>43</v>
      </c>
      <c r="H806" s="1" t="s">
        <v>25</v>
      </c>
      <c r="I806" s="1" t="s">
        <v>50</v>
      </c>
      <c r="J806" s="1">
        <v>89</v>
      </c>
      <c r="K806" s="1">
        <v>84</v>
      </c>
      <c r="L806" s="1">
        <v>91</v>
      </c>
      <c r="M806" s="1">
        <v>13</v>
      </c>
      <c r="N806" s="17">
        <v>0.4199</v>
      </c>
      <c r="O806" s="1">
        <v>204</v>
      </c>
      <c r="P806" s="15">
        <v>0.61660000000000004</v>
      </c>
      <c r="Q806" s="1">
        <v>119.61239999999999</v>
      </c>
      <c r="R806" s="1" t="s">
        <v>45</v>
      </c>
      <c r="S806" s="1">
        <v>482.66649999999998</v>
      </c>
      <c r="T806" s="1" t="s">
        <v>28</v>
      </c>
      <c r="U806" s="1" t="s">
        <v>36</v>
      </c>
    </row>
    <row r="807" spans="1:21" x14ac:dyDescent="0.3">
      <c r="A807" s="1" t="s">
        <v>606</v>
      </c>
      <c r="B807" s="2">
        <v>37530</v>
      </c>
      <c r="C807" s="1">
        <v>22</v>
      </c>
      <c r="D807" s="1">
        <v>164</v>
      </c>
      <c r="E807" s="1" t="s">
        <v>76</v>
      </c>
      <c r="F807" s="1" t="s">
        <v>49</v>
      </c>
      <c r="G807" s="1" t="s">
        <v>43</v>
      </c>
      <c r="H807" s="1" t="s">
        <v>54</v>
      </c>
      <c r="I807" s="1" t="s">
        <v>101</v>
      </c>
      <c r="J807" s="1">
        <v>47</v>
      </c>
      <c r="K807" s="1">
        <v>89</v>
      </c>
      <c r="L807" s="1">
        <v>78</v>
      </c>
      <c r="M807" s="1">
        <v>16</v>
      </c>
      <c r="N807" s="17">
        <v>0.40860000000000002</v>
      </c>
      <c r="O807" s="1">
        <v>124</v>
      </c>
      <c r="P807" s="15">
        <v>0.56599999999999995</v>
      </c>
      <c r="Q807" s="1">
        <v>124.8583</v>
      </c>
      <c r="R807" s="1" t="s">
        <v>27</v>
      </c>
      <c r="S807" s="1">
        <v>354.50459999999998</v>
      </c>
      <c r="T807" s="1" t="s">
        <v>46</v>
      </c>
      <c r="U807" s="1" t="s">
        <v>65</v>
      </c>
    </row>
    <row r="808" spans="1:21" x14ac:dyDescent="0.3">
      <c r="A808" s="1" t="s">
        <v>607</v>
      </c>
      <c r="B808" s="2">
        <v>37003</v>
      </c>
      <c r="C808" s="1">
        <v>23</v>
      </c>
      <c r="D808" s="1">
        <v>176</v>
      </c>
      <c r="E808" s="1" t="s">
        <v>32</v>
      </c>
      <c r="F808" s="1" t="s">
        <v>49</v>
      </c>
      <c r="G808" s="1" t="s">
        <v>43</v>
      </c>
      <c r="H808" s="1" t="s">
        <v>54</v>
      </c>
      <c r="I808" s="1" t="s">
        <v>101</v>
      </c>
      <c r="J808" s="1">
        <v>30</v>
      </c>
      <c r="K808" s="1">
        <v>21</v>
      </c>
      <c r="L808" s="1">
        <v>91</v>
      </c>
      <c r="M808" s="1">
        <v>79</v>
      </c>
      <c r="N808" s="17">
        <v>0.70109999999999995</v>
      </c>
      <c r="O808" s="1">
        <v>137</v>
      </c>
      <c r="P808" s="15">
        <v>0.7127</v>
      </c>
      <c r="Q808" s="1">
        <v>35.450899999999997</v>
      </c>
      <c r="R808" s="1" t="s">
        <v>45</v>
      </c>
      <c r="S808" s="1">
        <v>359.3338</v>
      </c>
      <c r="T808" s="1" t="s">
        <v>46</v>
      </c>
      <c r="U808" s="1" t="s">
        <v>102</v>
      </c>
    </row>
    <row r="809" spans="1:21" x14ac:dyDescent="0.3">
      <c r="A809" s="1" t="s">
        <v>608</v>
      </c>
      <c r="B809" s="2">
        <v>37505</v>
      </c>
      <c r="C809" s="1">
        <v>22</v>
      </c>
      <c r="D809" s="1">
        <v>179</v>
      </c>
      <c r="E809" s="1" t="s">
        <v>32</v>
      </c>
      <c r="F809" s="1" t="s">
        <v>79</v>
      </c>
      <c r="G809" s="1" t="s">
        <v>43</v>
      </c>
      <c r="H809" s="1" t="s">
        <v>54</v>
      </c>
      <c r="I809" s="1" t="s">
        <v>99</v>
      </c>
      <c r="J809" s="1">
        <v>25</v>
      </c>
      <c r="K809" s="1">
        <v>46</v>
      </c>
      <c r="L809" s="1">
        <v>79</v>
      </c>
      <c r="M809" s="1">
        <v>5</v>
      </c>
      <c r="N809" s="17">
        <v>0.1033</v>
      </c>
      <c r="O809" s="1">
        <v>89</v>
      </c>
      <c r="P809" s="15">
        <v>0.50039999999999996</v>
      </c>
      <c r="Q809" s="1">
        <v>50.729700000000001</v>
      </c>
      <c r="R809" s="1" t="s">
        <v>34</v>
      </c>
      <c r="S809" s="1">
        <v>244.61369999999999</v>
      </c>
      <c r="T809" s="1" t="s">
        <v>35</v>
      </c>
      <c r="U809" s="1" t="s">
        <v>65</v>
      </c>
    </row>
    <row r="810" spans="1:21" x14ac:dyDescent="0.3">
      <c r="A810" s="1" t="s">
        <v>609</v>
      </c>
      <c r="B810" s="2">
        <v>37570</v>
      </c>
      <c r="C810" s="1">
        <v>22</v>
      </c>
      <c r="D810" s="1">
        <v>183</v>
      </c>
      <c r="E810" s="1" t="s">
        <v>32</v>
      </c>
      <c r="F810" s="1" t="s">
        <v>62</v>
      </c>
      <c r="G810" s="1" t="s">
        <v>63</v>
      </c>
      <c r="H810" s="1" t="s">
        <v>54</v>
      </c>
      <c r="I810" s="1" t="s">
        <v>80</v>
      </c>
      <c r="J810" s="1">
        <v>61</v>
      </c>
      <c r="K810" s="1">
        <v>83</v>
      </c>
      <c r="L810" s="1">
        <v>2</v>
      </c>
      <c r="M810" s="1">
        <v>2</v>
      </c>
      <c r="N810" s="17">
        <v>0.59919999999999995</v>
      </c>
      <c r="O810" s="1">
        <v>144</v>
      </c>
      <c r="P810" s="15">
        <v>0.46410000000000001</v>
      </c>
      <c r="Q810" s="1">
        <v>132.3818</v>
      </c>
      <c r="R810" s="1" t="s">
        <v>45</v>
      </c>
      <c r="S810" s="1">
        <v>291.94330000000002</v>
      </c>
      <c r="T810" s="1" t="s">
        <v>28</v>
      </c>
      <c r="U810" s="1" t="s">
        <v>102</v>
      </c>
    </row>
    <row r="811" spans="1:21" x14ac:dyDescent="0.3">
      <c r="A811" s="1" t="s">
        <v>610</v>
      </c>
      <c r="B811" s="2">
        <v>37297</v>
      </c>
      <c r="C811" s="1">
        <v>22</v>
      </c>
      <c r="D811" s="1">
        <v>166</v>
      </c>
      <c r="E811" s="1" t="s">
        <v>76</v>
      </c>
      <c r="F811" s="1" t="s">
        <v>84</v>
      </c>
      <c r="G811" s="1" t="s">
        <v>63</v>
      </c>
      <c r="H811" s="1" t="s">
        <v>54</v>
      </c>
      <c r="I811" s="1" t="s">
        <v>73</v>
      </c>
      <c r="J811" s="1">
        <v>34</v>
      </c>
      <c r="K811" s="1">
        <v>27</v>
      </c>
      <c r="L811" s="1">
        <v>18</v>
      </c>
      <c r="M811" s="1">
        <v>85</v>
      </c>
      <c r="N811" s="17">
        <v>0.27639999999999998</v>
      </c>
      <c r="O811" s="1">
        <v>99</v>
      </c>
      <c r="P811" s="15">
        <v>0.47920000000000001</v>
      </c>
      <c r="Q811" s="1">
        <v>34.386200000000002</v>
      </c>
      <c r="R811" s="1" t="s">
        <v>40</v>
      </c>
      <c r="S811" s="1">
        <v>263.61559999999997</v>
      </c>
      <c r="T811" s="1" t="s">
        <v>28</v>
      </c>
      <c r="U811" s="1" t="s">
        <v>29</v>
      </c>
    </row>
    <row r="812" spans="1:21" x14ac:dyDescent="0.3">
      <c r="A812" s="1" t="s">
        <v>611</v>
      </c>
      <c r="B812" s="2">
        <v>37322</v>
      </c>
      <c r="C812" s="1">
        <v>22</v>
      </c>
      <c r="D812" s="1">
        <v>170</v>
      </c>
      <c r="E812" s="1" t="s">
        <v>24</v>
      </c>
      <c r="F812" s="1" t="s">
        <v>49</v>
      </c>
      <c r="G812" s="1" t="s">
        <v>43</v>
      </c>
      <c r="H812" s="1" t="s">
        <v>54</v>
      </c>
      <c r="I812" s="1" t="s">
        <v>119</v>
      </c>
      <c r="J812" s="1">
        <v>37</v>
      </c>
      <c r="K812" s="1">
        <v>81</v>
      </c>
      <c r="L812" s="1">
        <v>66</v>
      </c>
      <c r="M812" s="1">
        <v>94</v>
      </c>
      <c r="N812" s="17">
        <v>0.99790000000000001</v>
      </c>
      <c r="O812" s="1">
        <v>391</v>
      </c>
      <c r="P812" s="15">
        <v>0.79669999999999996</v>
      </c>
      <c r="Q812" s="1">
        <v>162.1096</v>
      </c>
      <c r="R812" s="1" t="s">
        <v>27</v>
      </c>
      <c r="S812" s="1">
        <v>671.18460000000005</v>
      </c>
      <c r="T812" s="1" t="s">
        <v>28</v>
      </c>
      <c r="U812" s="1" t="s">
        <v>36</v>
      </c>
    </row>
    <row r="813" spans="1:21" x14ac:dyDescent="0.3">
      <c r="A813" s="1" t="s">
        <v>612</v>
      </c>
      <c r="B813" s="2">
        <v>37666</v>
      </c>
      <c r="C813" s="1">
        <v>21</v>
      </c>
      <c r="D813" s="1">
        <v>177</v>
      </c>
      <c r="E813" s="1" t="s">
        <v>32</v>
      </c>
      <c r="F813" s="1" t="s">
        <v>49</v>
      </c>
      <c r="G813" s="1" t="s">
        <v>43</v>
      </c>
      <c r="H813" s="1" t="s">
        <v>54</v>
      </c>
      <c r="I813" s="1" t="s">
        <v>96</v>
      </c>
      <c r="J813" s="1">
        <v>90</v>
      </c>
      <c r="K813" s="1">
        <v>98</v>
      </c>
      <c r="L813" s="1">
        <v>25</v>
      </c>
      <c r="M813" s="1">
        <v>6</v>
      </c>
      <c r="N813" s="17">
        <v>0.2702</v>
      </c>
      <c r="O813" s="1">
        <v>247</v>
      </c>
      <c r="P813" s="15">
        <v>0.64100000000000001</v>
      </c>
      <c r="Q813" s="1">
        <v>124.12390000000001</v>
      </c>
      <c r="R813" s="1" t="s">
        <v>34</v>
      </c>
      <c r="S813" s="1">
        <v>466.5412</v>
      </c>
      <c r="T813" s="1" t="s">
        <v>35</v>
      </c>
      <c r="U813" s="1" t="s">
        <v>36</v>
      </c>
    </row>
    <row r="814" spans="1:21" x14ac:dyDescent="0.3">
      <c r="A814" s="1" t="s">
        <v>613</v>
      </c>
      <c r="B814" s="2">
        <v>37932</v>
      </c>
      <c r="C814" s="1">
        <v>21</v>
      </c>
      <c r="D814" s="1">
        <v>164</v>
      </c>
      <c r="E814" s="1" t="s">
        <v>76</v>
      </c>
      <c r="F814" s="1" t="s">
        <v>31</v>
      </c>
      <c r="G814" s="1" t="s">
        <v>23</v>
      </c>
      <c r="H814" s="1" t="s">
        <v>54</v>
      </c>
      <c r="I814" s="1" t="s">
        <v>80</v>
      </c>
      <c r="J814" s="1">
        <v>109</v>
      </c>
      <c r="K814" s="1">
        <v>79</v>
      </c>
      <c r="L814" s="1">
        <v>79</v>
      </c>
      <c r="M814" s="1">
        <v>62</v>
      </c>
      <c r="N814" s="17">
        <v>0.44929999999999998</v>
      </c>
      <c r="O814" s="1">
        <v>68</v>
      </c>
      <c r="P814" s="15">
        <v>0.79710000000000003</v>
      </c>
      <c r="Q814" s="1">
        <v>114.0309</v>
      </c>
      <c r="R814" s="1" t="s">
        <v>40</v>
      </c>
      <c r="S814" s="1">
        <v>398.28640000000001</v>
      </c>
      <c r="T814" s="1" t="s">
        <v>35</v>
      </c>
      <c r="U814" s="1" t="s">
        <v>65</v>
      </c>
    </row>
    <row r="815" spans="1:21" x14ac:dyDescent="0.3">
      <c r="A815" s="1" t="s">
        <v>614</v>
      </c>
      <c r="B815" s="2">
        <v>37657</v>
      </c>
      <c r="C815" s="1">
        <v>21</v>
      </c>
      <c r="D815" s="1">
        <v>182</v>
      </c>
      <c r="E815" s="1" t="s">
        <v>32</v>
      </c>
      <c r="F815" s="1" t="s">
        <v>104</v>
      </c>
      <c r="G815" s="1" t="s">
        <v>53</v>
      </c>
      <c r="H815" s="1" t="s">
        <v>54</v>
      </c>
      <c r="I815" s="1" t="s">
        <v>123</v>
      </c>
      <c r="J815" s="1">
        <v>72</v>
      </c>
      <c r="K815" s="1">
        <v>59</v>
      </c>
      <c r="L815" s="1">
        <v>64</v>
      </c>
      <c r="M815" s="1">
        <v>79</v>
      </c>
      <c r="N815" s="17">
        <v>0.28649999999999998</v>
      </c>
      <c r="O815" s="1">
        <v>260</v>
      </c>
      <c r="P815" s="15">
        <v>0.80269999999999997</v>
      </c>
      <c r="Q815" s="1">
        <v>75.311700000000002</v>
      </c>
      <c r="R815" s="1" t="s">
        <v>45</v>
      </c>
      <c r="S815" s="1">
        <v>534.90920000000006</v>
      </c>
      <c r="T815" s="1" t="s">
        <v>28</v>
      </c>
      <c r="U815" s="1" t="s">
        <v>56</v>
      </c>
    </row>
    <row r="816" spans="1:21" x14ac:dyDescent="0.3">
      <c r="A816" s="1" t="s">
        <v>615</v>
      </c>
      <c r="B816" s="2">
        <v>37213</v>
      </c>
      <c r="C816" s="1">
        <v>23</v>
      </c>
      <c r="D816" s="1">
        <v>172</v>
      </c>
      <c r="E816" s="1" t="s">
        <v>24</v>
      </c>
      <c r="F816" s="1" t="s">
        <v>62</v>
      </c>
      <c r="G816" s="1" t="s">
        <v>63</v>
      </c>
      <c r="H816" s="1" t="s">
        <v>54</v>
      </c>
      <c r="I816" s="1" t="s">
        <v>88</v>
      </c>
      <c r="J816" s="1">
        <v>83</v>
      </c>
      <c r="K816" s="1">
        <v>14</v>
      </c>
      <c r="L816" s="1">
        <v>9</v>
      </c>
      <c r="M816" s="1">
        <v>45</v>
      </c>
      <c r="N816" s="17">
        <v>0.62560000000000004</v>
      </c>
      <c r="O816" s="1">
        <v>141</v>
      </c>
      <c r="P816" s="15">
        <v>0.60940000000000005</v>
      </c>
      <c r="Q816" s="1">
        <v>23.246099999999998</v>
      </c>
      <c r="R816" s="1" t="s">
        <v>40</v>
      </c>
      <c r="S816" s="1">
        <v>294.17500000000001</v>
      </c>
      <c r="T816" s="1" t="s">
        <v>35</v>
      </c>
      <c r="U816" s="1" t="s">
        <v>56</v>
      </c>
    </row>
    <row r="817" spans="1:21" x14ac:dyDescent="0.3">
      <c r="A817" s="1" t="s">
        <v>616</v>
      </c>
      <c r="B817" s="2">
        <v>37910</v>
      </c>
      <c r="C817" s="1">
        <v>21</v>
      </c>
      <c r="D817" s="1">
        <v>171</v>
      </c>
      <c r="E817" s="1" t="s">
        <v>24</v>
      </c>
      <c r="F817" s="1" t="s">
        <v>104</v>
      </c>
      <c r="G817" s="1" t="s">
        <v>53</v>
      </c>
      <c r="H817" s="1" t="s">
        <v>54</v>
      </c>
      <c r="I817" s="1" t="s">
        <v>90</v>
      </c>
      <c r="J817" s="1">
        <v>58</v>
      </c>
      <c r="K817" s="1">
        <v>19</v>
      </c>
      <c r="L817" s="1">
        <v>24</v>
      </c>
      <c r="M817" s="1">
        <v>65</v>
      </c>
      <c r="N817" s="17">
        <v>0.17419999999999999</v>
      </c>
      <c r="O817" s="1">
        <v>144</v>
      </c>
      <c r="P817" s="15">
        <v>0.7792</v>
      </c>
      <c r="Q817" s="1">
        <v>22.051500000000001</v>
      </c>
      <c r="R817" s="1" t="s">
        <v>27</v>
      </c>
      <c r="S817" s="1">
        <v>311.02339999999998</v>
      </c>
      <c r="T817" s="1" t="s">
        <v>35</v>
      </c>
      <c r="U817" s="1" t="s">
        <v>36</v>
      </c>
    </row>
    <row r="818" spans="1:21" x14ac:dyDescent="0.3">
      <c r="A818" s="1" t="s">
        <v>617</v>
      </c>
      <c r="B818" s="2">
        <v>36970</v>
      </c>
      <c r="C818" s="1">
        <v>23</v>
      </c>
      <c r="D818" s="1">
        <v>171</v>
      </c>
      <c r="E818" s="1" t="s">
        <v>24</v>
      </c>
      <c r="F818" s="1" t="s">
        <v>42</v>
      </c>
      <c r="G818" s="1" t="s">
        <v>43</v>
      </c>
      <c r="H818" s="1" t="s">
        <v>25</v>
      </c>
      <c r="I818" s="1" t="s">
        <v>99</v>
      </c>
      <c r="J818" s="1">
        <v>30</v>
      </c>
      <c r="K818" s="1">
        <v>34</v>
      </c>
      <c r="L818" s="1">
        <v>31</v>
      </c>
      <c r="M818" s="1">
        <v>82</v>
      </c>
      <c r="N818" s="17">
        <v>0.34699999999999998</v>
      </c>
      <c r="O818" s="1">
        <v>274</v>
      </c>
      <c r="P818" s="15">
        <v>0.71750000000000003</v>
      </c>
      <c r="Q818" s="1">
        <v>45.245699999999999</v>
      </c>
      <c r="R818" s="1" t="s">
        <v>34</v>
      </c>
      <c r="S818" s="1">
        <v>451.39449999999999</v>
      </c>
      <c r="T818" s="1" t="s">
        <v>46</v>
      </c>
      <c r="U818" s="1" t="s">
        <v>102</v>
      </c>
    </row>
    <row r="819" spans="1:21" x14ac:dyDescent="0.3">
      <c r="A819" s="1" t="s">
        <v>618</v>
      </c>
      <c r="B819" s="2">
        <v>37601</v>
      </c>
      <c r="C819" s="1">
        <v>22</v>
      </c>
      <c r="D819" s="1">
        <v>169</v>
      </c>
      <c r="E819" s="1" t="s">
        <v>24</v>
      </c>
      <c r="F819" s="1" t="s">
        <v>72</v>
      </c>
      <c r="G819" s="1" t="s">
        <v>53</v>
      </c>
      <c r="H819" s="1" t="s">
        <v>54</v>
      </c>
      <c r="I819" s="1" t="s">
        <v>110</v>
      </c>
      <c r="J819" s="1">
        <v>123</v>
      </c>
      <c r="K819" s="1">
        <v>76</v>
      </c>
      <c r="L819" s="1">
        <v>2</v>
      </c>
      <c r="M819" s="1">
        <v>66</v>
      </c>
      <c r="N819" s="17">
        <v>0.95630000000000004</v>
      </c>
      <c r="O819" s="1">
        <v>396</v>
      </c>
      <c r="P819" s="15">
        <v>0.78949999999999998</v>
      </c>
      <c r="Q819" s="1">
        <v>148.71789999999999</v>
      </c>
      <c r="R819" s="1" t="s">
        <v>34</v>
      </c>
      <c r="S819" s="1">
        <v>664.88580000000002</v>
      </c>
      <c r="T819" s="1" t="s">
        <v>28</v>
      </c>
      <c r="U819" s="1" t="s">
        <v>102</v>
      </c>
    </row>
    <row r="820" spans="1:21" x14ac:dyDescent="0.3">
      <c r="A820" s="1" t="s">
        <v>619</v>
      </c>
      <c r="B820" s="2">
        <v>37851</v>
      </c>
      <c r="C820" s="1">
        <v>21</v>
      </c>
      <c r="D820" s="1">
        <v>176</v>
      </c>
      <c r="E820" s="1" t="s">
        <v>32</v>
      </c>
      <c r="F820" s="1" t="s">
        <v>62</v>
      </c>
      <c r="G820" s="1" t="s">
        <v>63</v>
      </c>
      <c r="H820" s="1" t="s">
        <v>54</v>
      </c>
      <c r="I820" s="1" t="s">
        <v>99</v>
      </c>
      <c r="J820" s="1">
        <v>119</v>
      </c>
      <c r="K820" s="1">
        <v>32</v>
      </c>
      <c r="L820" s="1">
        <v>20</v>
      </c>
      <c r="M820" s="1">
        <v>77</v>
      </c>
      <c r="N820" s="17">
        <v>0.28860000000000002</v>
      </c>
      <c r="O820" s="1">
        <v>279</v>
      </c>
      <c r="P820" s="15">
        <v>0.60250000000000004</v>
      </c>
      <c r="Q820" s="1">
        <v>41.222299999999997</v>
      </c>
      <c r="R820" s="1" t="s">
        <v>27</v>
      </c>
      <c r="S820" s="1">
        <v>528.2011</v>
      </c>
      <c r="T820" s="1" t="s">
        <v>35</v>
      </c>
      <c r="U820" s="1" t="s">
        <v>36</v>
      </c>
    </row>
    <row r="821" spans="1:21" x14ac:dyDescent="0.3">
      <c r="A821" s="1" t="s">
        <v>620</v>
      </c>
      <c r="B821" s="2">
        <v>37618</v>
      </c>
      <c r="C821" s="1">
        <v>22</v>
      </c>
      <c r="D821" s="1">
        <v>175</v>
      </c>
      <c r="E821" s="1" t="s">
        <v>32</v>
      </c>
      <c r="F821" s="1" t="s">
        <v>49</v>
      </c>
      <c r="G821" s="1" t="s">
        <v>43</v>
      </c>
      <c r="H821" s="1" t="s">
        <v>54</v>
      </c>
      <c r="I821" s="1" t="s">
        <v>82</v>
      </c>
      <c r="J821" s="1">
        <v>63</v>
      </c>
      <c r="K821" s="1">
        <v>69</v>
      </c>
      <c r="L821" s="1">
        <v>41</v>
      </c>
      <c r="M821" s="1">
        <v>78</v>
      </c>
      <c r="N821" s="17">
        <v>0.39350000000000002</v>
      </c>
      <c r="O821" s="1">
        <v>216</v>
      </c>
      <c r="P821" s="15">
        <v>0.41049999999999998</v>
      </c>
      <c r="Q821" s="1">
        <v>95.998199999999997</v>
      </c>
      <c r="R821" s="1" t="s">
        <v>27</v>
      </c>
      <c r="S821" s="1">
        <v>467.66399999999999</v>
      </c>
      <c r="T821" s="1" t="s">
        <v>28</v>
      </c>
      <c r="U821" s="1" t="s">
        <v>36</v>
      </c>
    </row>
    <row r="822" spans="1:21" x14ac:dyDescent="0.3">
      <c r="A822" s="1" t="s">
        <v>621</v>
      </c>
      <c r="B822" s="2">
        <v>37310</v>
      </c>
      <c r="C822" s="1">
        <v>22</v>
      </c>
      <c r="D822" s="1">
        <v>172</v>
      </c>
      <c r="E822" s="1" t="s">
        <v>24</v>
      </c>
      <c r="F822" s="1" t="s">
        <v>79</v>
      </c>
      <c r="G822" s="1" t="s">
        <v>43</v>
      </c>
      <c r="H822" s="1" t="s">
        <v>54</v>
      </c>
      <c r="I822" s="1" t="s">
        <v>50</v>
      </c>
      <c r="J822" s="1">
        <v>81</v>
      </c>
      <c r="K822" s="1">
        <v>20</v>
      </c>
      <c r="L822" s="1">
        <v>12</v>
      </c>
      <c r="M822" s="1">
        <v>57</v>
      </c>
      <c r="N822" s="17">
        <v>0.90529999999999999</v>
      </c>
      <c r="O822" s="1">
        <v>181</v>
      </c>
      <c r="P822" s="15">
        <v>0.442</v>
      </c>
      <c r="Q822" s="1">
        <v>37.439100000000003</v>
      </c>
      <c r="R822" s="1" t="s">
        <v>27</v>
      </c>
      <c r="S822" s="1">
        <v>351.93729999999999</v>
      </c>
      <c r="T822" s="1" t="s">
        <v>46</v>
      </c>
      <c r="U822" s="1" t="s">
        <v>65</v>
      </c>
    </row>
    <row r="823" spans="1:21" x14ac:dyDescent="0.3">
      <c r="A823" s="1" t="s">
        <v>622</v>
      </c>
      <c r="B823" s="2">
        <v>37473</v>
      </c>
      <c r="C823" s="1">
        <v>22</v>
      </c>
      <c r="D823" s="1">
        <v>172</v>
      </c>
      <c r="E823" s="1" t="s">
        <v>24</v>
      </c>
      <c r="F823" s="1" t="s">
        <v>52</v>
      </c>
      <c r="G823" s="1" t="s">
        <v>53</v>
      </c>
      <c r="H823" s="1" t="s">
        <v>25</v>
      </c>
      <c r="I823" s="1" t="s">
        <v>82</v>
      </c>
      <c r="J823" s="1">
        <v>44</v>
      </c>
      <c r="K823" s="1">
        <v>53</v>
      </c>
      <c r="L823" s="1">
        <v>46</v>
      </c>
      <c r="M823" s="1">
        <v>38</v>
      </c>
      <c r="N823" s="17">
        <v>0.39410000000000001</v>
      </c>
      <c r="O823" s="1">
        <v>5</v>
      </c>
      <c r="P823" s="15">
        <v>0.80940000000000001</v>
      </c>
      <c r="Q823" s="1">
        <v>73.775800000000004</v>
      </c>
      <c r="R823" s="1" t="s">
        <v>45</v>
      </c>
      <c r="S823" s="1">
        <v>187.4135</v>
      </c>
      <c r="T823" s="1" t="s">
        <v>28</v>
      </c>
      <c r="U823" s="1" t="s">
        <v>29</v>
      </c>
    </row>
    <row r="824" spans="1:21" x14ac:dyDescent="0.3">
      <c r="A824" s="1" t="s">
        <v>623</v>
      </c>
      <c r="B824" s="2">
        <v>37032</v>
      </c>
      <c r="C824" s="1">
        <v>23</v>
      </c>
      <c r="D824" s="1">
        <v>175</v>
      </c>
      <c r="E824" s="1" t="s">
        <v>32</v>
      </c>
      <c r="F824" s="1" t="s">
        <v>49</v>
      </c>
      <c r="G824" s="1" t="s">
        <v>43</v>
      </c>
      <c r="H824" s="1" t="s">
        <v>54</v>
      </c>
      <c r="I824" s="1" t="s">
        <v>80</v>
      </c>
      <c r="J824" s="1">
        <v>20</v>
      </c>
      <c r="K824" s="1">
        <v>21</v>
      </c>
      <c r="L824" s="1">
        <v>44</v>
      </c>
      <c r="M824" s="1">
        <v>71</v>
      </c>
      <c r="N824" s="17">
        <v>0.64329999999999998</v>
      </c>
      <c r="O824" s="1">
        <v>190</v>
      </c>
      <c r="P824" s="15">
        <v>0.8226</v>
      </c>
      <c r="Q824" s="1">
        <v>35.100900000000003</v>
      </c>
      <c r="R824" s="1" t="s">
        <v>34</v>
      </c>
      <c r="S824" s="1">
        <v>348.67590000000001</v>
      </c>
      <c r="T824" s="1" t="s">
        <v>46</v>
      </c>
      <c r="U824" s="1" t="s">
        <v>102</v>
      </c>
    </row>
    <row r="825" spans="1:21" x14ac:dyDescent="0.3">
      <c r="A825" s="1" t="s">
        <v>624</v>
      </c>
      <c r="B825" s="2">
        <v>37184</v>
      </c>
      <c r="C825" s="1">
        <v>23</v>
      </c>
      <c r="D825" s="1">
        <v>160</v>
      </c>
      <c r="E825" s="1" t="s">
        <v>76</v>
      </c>
      <c r="F825" s="1" t="s">
        <v>104</v>
      </c>
      <c r="G825" s="1" t="s">
        <v>53</v>
      </c>
      <c r="H825" s="1" t="s">
        <v>54</v>
      </c>
      <c r="I825" s="1" t="s">
        <v>50</v>
      </c>
      <c r="J825" s="1">
        <v>124</v>
      </c>
      <c r="K825" s="1">
        <v>61</v>
      </c>
      <c r="L825" s="1">
        <v>25</v>
      </c>
      <c r="M825" s="1">
        <v>34</v>
      </c>
      <c r="N825" s="17">
        <v>0.54190000000000005</v>
      </c>
      <c r="O825" s="1">
        <v>228</v>
      </c>
      <c r="P825" s="15">
        <v>0.60819999999999996</v>
      </c>
      <c r="Q825" s="1">
        <v>93.870900000000006</v>
      </c>
      <c r="R825" s="1" t="s">
        <v>27</v>
      </c>
      <c r="S825" s="1">
        <v>473.01010000000002</v>
      </c>
      <c r="T825" s="1" t="s">
        <v>46</v>
      </c>
      <c r="U825" s="1" t="s">
        <v>29</v>
      </c>
    </row>
    <row r="826" spans="1:21" x14ac:dyDescent="0.3">
      <c r="A826" s="1" t="s">
        <v>625</v>
      </c>
      <c r="B826" s="2">
        <v>37501</v>
      </c>
      <c r="C826" s="1">
        <v>22</v>
      </c>
      <c r="D826" s="1">
        <v>171</v>
      </c>
      <c r="E826" s="1" t="s">
        <v>24</v>
      </c>
      <c r="F826" s="1" t="s">
        <v>75</v>
      </c>
      <c r="G826" s="1" t="s">
        <v>53</v>
      </c>
      <c r="H826" s="1" t="s">
        <v>54</v>
      </c>
      <c r="I826" s="1" t="s">
        <v>73</v>
      </c>
      <c r="J826" s="1">
        <v>63</v>
      </c>
      <c r="K826" s="1">
        <v>19</v>
      </c>
      <c r="L826" s="1">
        <v>62</v>
      </c>
      <c r="M826" s="1">
        <v>44</v>
      </c>
      <c r="N826" s="17">
        <v>0.69320000000000004</v>
      </c>
      <c r="O826" s="1">
        <v>154</v>
      </c>
      <c r="P826" s="15">
        <v>0.71430000000000005</v>
      </c>
      <c r="Q826" s="1">
        <v>31.798300000000001</v>
      </c>
      <c r="R826" s="1" t="s">
        <v>27</v>
      </c>
      <c r="S826" s="1">
        <v>343.44749999999999</v>
      </c>
      <c r="T826" s="1" t="s">
        <v>35</v>
      </c>
      <c r="U826" s="1" t="s">
        <v>102</v>
      </c>
    </row>
    <row r="827" spans="1:21" x14ac:dyDescent="0.3">
      <c r="A827" s="1" t="s">
        <v>626</v>
      </c>
      <c r="B827" s="2">
        <v>37489</v>
      </c>
      <c r="C827" s="1">
        <v>22</v>
      </c>
      <c r="D827" s="1">
        <v>168</v>
      </c>
      <c r="E827" s="1" t="s">
        <v>24</v>
      </c>
      <c r="F827" s="1" t="s">
        <v>31</v>
      </c>
      <c r="G827" s="1" t="s">
        <v>23</v>
      </c>
      <c r="H827" s="1" t="s">
        <v>25</v>
      </c>
      <c r="I827" s="1" t="s">
        <v>80</v>
      </c>
      <c r="J827" s="1">
        <v>136</v>
      </c>
      <c r="K827" s="1">
        <v>42</v>
      </c>
      <c r="L827" s="1">
        <v>76</v>
      </c>
      <c r="M827" s="1">
        <v>13</v>
      </c>
      <c r="N827" s="17">
        <v>0.77990000000000004</v>
      </c>
      <c r="O827" s="1">
        <v>148</v>
      </c>
      <c r="P827" s="15">
        <v>0.627</v>
      </c>
      <c r="Q827" s="1">
        <v>74.257400000000004</v>
      </c>
      <c r="R827" s="1" t="s">
        <v>40</v>
      </c>
      <c r="S827" s="1">
        <v>417.06689999999998</v>
      </c>
      <c r="T827" s="1" t="s">
        <v>35</v>
      </c>
      <c r="U827" s="1" t="s">
        <v>56</v>
      </c>
    </row>
    <row r="828" spans="1:21" x14ac:dyDescent="0.3">
      <c r="A828" s="1" t="s">
        <v>627</v>
      </c>
      <c r="B828" s="2">
        <v>36983</v>
      </c>
      <c r="C828" s="1">
        <v>23</v>
      </c>
      <c r="D828" s="1">
        <v>176</v>
      </c>
      <c r="E828" s="1" t="s">
        <v>32</v>
      </c>
      <c r="F828" s="1" t="s">
        <v>52</v>
      </c>
      <c r="G828" s="1" t="s">
        <v>53</v>
      </c>
      <c r="H828" s="1" t="s">
        <v>54</v>
      </c>
      <c r="I828" s="1" t="s">
        <v>33</v>
      </c>
      <c r="J828" s="1">
        <v>12</v>
      </c>
      <c r="K828" s="1">
        <v>70</v>
      </c>
      <c r="L828" s="1">
        <v>75</v>
      </c>
      <c r="M828" s="1">
        <v>39</v>
      </c>
      <c r="N828" s="17">
        <v>0.87019999999999997</v>
      </c>
      <c r="O828" s="1">
        <v>299</v>
      </c>
      <c r="P828" s="15">
        <v>0.57850000000000001</v>
      </c>
      <c r="Q828" s="1">
        <v>130.44640000000001</v>
      </c>
      <c r="R828" s="1" t="s">
        <v>27</v>
      </c>
      <c r="S828" s="1">
        <v>495.69869999999997</v>
      </c>
      <c r="T828" s="1" t="s">
        <v>35</v>
      </c>
      <c r="U828" s="1" t="s">
        <v>29</v>
      </c>
    </row>
    <row r="829" spans="1:21" x14ac:dyDescent="0.3">
      <c r="A829" s="1" t="s">
        <v>628</v>
      </c>
      <c r="B829" s="2">
        <v>37836</v>
      </c>
      <c r="C829" s="1">
        <v>21</v>
      </c>
      <c r="D829" s="1">
        <v>175</v>
      </c>
      <c r="E829" s="1" t="s">
        <v>32</v>
      </c>
      <c r="F829" s="1" t="s">
        <v>49</v>
      </c>
      <c r="G829" s="1" t="s">
        <v>43</v>
      </c>
      <c r="H829" s="1" t="s">
        <v>25</v>
      </c>
      <c r="I829" s="1" t="s">
        <v>55</v>
      </c>
      <c r="J829" s="1">
        <v>83</v>
      </c>
      <c r="K829" s="1">
        <v>25</v>
      </c>
      <c r="L829" s="1">
        <v>95</v>
      </c>
      <c r="M829" s="1">
        <v>15</v>
      </c>
      <c r="N829" s="17">
        <v>0.85740000000000005</v>
      </c>
      <c r="O829" s="1">
        <v>328</v>
      </c>
      <c r="P829" s="15">
        <v>0.4768</v>
      </c>
      <c r="Q829" s="1">
        <v>46.416400000000003</v>
      </c>
      <c r="R829" s="1" t="s">
        <v>27</v>
      </c>
      <c r="S829" s="1">
        <v>547.33420000000001</v>
      </c>
      <c r="T829" s="1" t="s">
        <v>46</v>
      </c>
      <c r="U829" s="1" t="s">
        <v>29</v>
      </c>
    </row>
    <row r="830" spans="1:21" x14ac:dyDescent="0.3">
      <c r="A830" s="1" t="s">
        <v>629</v>
      </c>
      <c r="B830" s="2">
        <v>37692</v>
      </c>
      <c r="C830" s="1">
        <v>21</v>
      </c>
      <c r="D830" s="1">
        <v>177</v>
      </c>
      <c r="E830" s="1" t="s">
        <v>32</v>
      </c>
      <c r="F830" s="1" t="s">
        <v>52</v>
      </c>
      <c r="G830" s="1" t="s">
        <v>53</v>
      </c>
      <c r="H830" s="1" t="s">
        <v>25</v>
      </c>
      <c r="I830" s="1" t="s">
        <v>50</v>
      </c>
      <c r="J830" s="1">
        <v>101</v>
      </c>
      <c r="K830" s="1">
        <v>2</v>
      </c>
      <c r="L830" s="1">
        <v>28</v>
      </c>
      <c r="M830" s="1">
        <v>45</v>
      </c>
      <c r="N830" s="17">
        <v>0.74299999999999999</v>
      </c>
      <c r="O830" s="1">
        <v>72</v>
      </c>
      <c r="P830" s="15">
        <v>0.80169999999999997</v>
      </c>
      <c r="Q830" s="1">
        <v>3.6777000000000002</v>
      </c>
      <c r="R830" s="1" t="s">
        <v>34</v>
      </c>
      <c r="S830" s="1">
        <v>249.37469999999999</v>
      </c>
      <c r="T830" s="1" t="s">
        <v>35</v>
      </c>
      <c r="U830" s="1" t="s">
        <v>102</v>
      </c>
    </row>
    <row r="831" spans="1:21" x14ac:dyDescent="0.3">
      <c r="A831" s="1" t="s">
        <v>630</v>
      </c>
      <c r="B831" s="2">
        <v>36999</v>
      </c>
      <c r="C831" s="1">
        <v>23</v>
      </c>
      <c r="D831" s="1">
        <v>174</v>
      </c>
      <c r="E831" s="1" t="s">
        <v>24</v>
      </c>
      <c r="F831" s="1" t="s">
        <v>31</v>
      </c>
      <c r="G831" s="1" t="s">
        <v>23</v>
      </c>
      <c r="H831" s="1" t="s">
        <v>25</v>
      </c>
      <c r="I831" s="1" t="s">
        <v>44</v>
      </c>
      <c r="J831" s="1">
        <v>116</v>
      </c>
      <c r="K831" s="1">
        <v>77</v>
      </c>
      <c r="L831" s="1">
        <v>93</v>
      </c>
      <c r="M831" s="1">
        <v>38</v>
      </c>
      <c r="N831" s="17">
        <v>0.1822</v>
      </c>
      <c r="O831" s="1">
        <v>96</v>
      </c>
      <c r="P831" s="15">
        <v>0.58979999999999999</v>
      </c>
      <c r="Q831" s="1">
        <v>90.958500000000001</v>
      </c>
      <c r="R831" s="1" t="s">
        <v>27</v>
      </c>
      <c r="S831" s="1">
        <v>421.02199999999999</v>
      </c>
      <c r="T831" s="1" t="s">
        <v>35</v>
      </c>
      <c r="U831" s="1" t="s">
        <v>113</v>
      </c>
    </row>
    <row r="832" spans="1:21" x14ac:dyDescent="0.3">
      <c r="A832" s="1" t="s">
        <v>631</v>
      </c>
      <c r="B832" s="2">
        <v>37089</v>
      </c>
      <c r="C832" s="1">
        <v>23</v>
      </c>
      <c r="D832" s="1">
        <v>167</v>
      </c>
      <c r="E832" s="1" t="s">
        <v>76</v>
      </c>
      <c r="F832" s="1" t="s">
        <v>62</v>
      </c>
      <c r="G832" s="1" t="s">
        <v>63</v>
      </c>
      <c r="H832" s="1" t="s">
        <v>25</v>
      </c>
      <c r="I832" s="1" t="s">
        <v>70</v>
      </c>
      <c r="J832" s="1">
        <v>8</v>
      </c>
      <c r="K832" s="1">
        <v>52</v>
      </c>
      <c r="L832" s="1">
        <v>82</v>
      </c>
      <c r="M832" s="1">
        <v>33</v>
      </c>
      <c r="N832" s="17">
        <v>0.66220000000000001</v>
      </c>
      <c r="O832" s="1">
        <v>251</v>
      </c>
      <c r="P832" s="15">
        <v>0.82040000000000002</v>
      </c>
      <c r="Q832" s="1">
        <v>86.002200000000002</v>
      </c>
      <c r="R832" s="1" t="s">
        <v>45</v>
      </c>
      <c r="S832" s="1">
        <v>426.57260000000002</v>
      </c>
      <c r="T832" s="1" t="s">
        <v>35</v>
      </c>
      <c r="U832" s="1" t="s">
        <v>29</v>
      </c>
    </row>
    <row r="833" spans="1:21" x14ac:dyDescent="0.3">
      <c r="A833" s="1" t="s">
        <v>632</v>
      </c>
      <c r="B833" s="2">
        <v>37554</v>
      </c>
      <c r="C833" s="1">
        <v>22</v>
      </c>
      <c r="D833" s="1">
        <v>171</v>
      </c>
      <c r="E833" s="1" t="s">
        <v>24</v>
      </c>
      <c r="F833" s="1" t="s">
        <v>69</v>
      </c>
      <c r="G833" s="1" t="s">
        <v>43</v>
      </c>
      <c r="H833" s="1" t="s">
        <v>25</v>
      </c>
      <c r="I833" s="1" t="s">
        <v>26</v>
      </c>
      <c r="J833" s="1">
        <v>61</v>
      </c>
      <c r="K833" s="1">
        <v>32</v>
      </c>
      <c r="L833" s="1">
        <v>40</v>
      </c>
      <c r="M833" s="1">
        <v>46</v>
      </c>
      <c r="N833" s="17">
        <v>0.83360000000000001</v>
      </c>
      <c r="O833" s="1">
        <v>27</v>
      </c>
      <c r="P833" s="15">
        <v>0.6925</v>
      </c>
      <c r="Q833" s="1">
        <v>59.243600000000001</v>
      </c>
      <c r="R833" s="1" t="s">
        <v>40</v>
      </c>
      <c r="S833" s="1">
        <v>208.0461</v>
      </c>
      <c r="T833" s="1" t="s">
        <v>28</v>
      </c>
      <c r="U833" s="1" t="s">
        <v>29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DD2A0-E2F4-41E1-982E-846D638D56FC}">
  <dimension ref="B1:R10"/>
  <sheetViews>
    <sheetView showRowColHeaders="0" tabSelected="1" zoomScale="72" zoomScaleNormal="68" workbookViewId="0">
      <selection activeCell="Y19" sqref="Y19"/>
    </sheetView>
  </sheetViews>
  <sheetFormatPr defaultRowHeight="14.4" x14ac:dyDescent="0.3"/>
  <cols>
    <col min="1" max="16384" width="8.88671875" style="6"/>
  </cols>
  <sheetData>
    <row r="1" spans="2:18" s="5" customFormat="1" x14ac:dyDescent="0.3"/>
    <row r="2" spans="2:18" s="5" customFormat="1" ht="38.4" x14ac:dyDescent="0.7">
      <c r="B2" s="7" t="s">
        <v>132</v>
      </c>
    </row>
    <row r="3" spans="2:18" s="5" customFormat="1" x14ac:dyDescent="0.3"/>
    <row r="4" spans="2:18" ht="15" thickBot="1" x14ac:dyDescent="0.35"/>
    <row r="5" spans="2:18" ht="14.4" customHeight="1" x14ac:dyDescent="0.3">
      <c r="C5" s="19" t="s">
        <v>633</v>
      </c>
      <c r="D5" s="20"/>
      <c r="E5" s="20"/>
      <c r="F5" s="21"/>
      <c r="I5" s="19" t="s">
        <v>634</v>
      </c>
      <c r="J5" s="20"/>
      <c r="K5" s="20"/>
      <c r="L5" s="21"/>
      <c r="O5" s="19" t="s">
        <v>635</v>
      </c>
      <c r="P5" s="20"/>
      <c r="Q5" s="20"/>
      <c r="R5" s="21"/>
    </row>
    <row r="6" spans="2:18" ht="14.4" customHeight="1" x14ac:dyDescent="0.3">
      <c r="C6" s="22"/>
      <c r="D6" s="23"/>
      <c r="E6" s="23"/>
      <c r="F6" s="24"/>
      <c r="I6" s="22"/>
      <c r="J6" s="23"/>
      <c r="K6" s="23"/>
      <c r="L6" s="24"/>
      <c r="O6" s="22"/>
      <c r="P6" s="23"/>
      <c r="Q6" s="23"/>
      <c r="R6" s="24"/>
    </row>
    <row r="7" spans="2:18" ht="14.4" customHeight="1" x14ac:dyDescent="0.3">
      <c r="C7" s="22"/>
      <c r="D7" s="23"/>
      <c r="E7" s="23"/>
      <c r="F7" s="24"/>
      <c r="I7" s="22"/>
      <c r="J7" s="23"/>
      <c r="K7" s="23"/>
      <c r="L7" s="24"/>
      <c r="O7" s="22"/>
      <c r="P7" s="23"/>
      <c r="Q7" s="23"/>
      <c r="R7" s="24"/>
    </row>
    <row r="8" spans="2:18" ht="14.4" customHeight="1" x14ac:dyDescent="0.3">
      <c r="C8" s="22">
        <f>COUNTA(OC[Nama Karakter])</f>
        <v>832</v>
      </c>
      <c r="D8" s="23"/>
      <c r="E8" s="23"/>
      <c r="F8" s="24"/>
      <c r="I8" s="22">
        <f>MAX(OC[Total Stat])</f>
        <v>792.67970000000003</v>
      </c>
      <c r="J8" s="23"/>
      <c r="K8" s="23"/>
      <c r="L8" s="24"/>
      <c r="O8" s="25">
        <f>AVERAGE(OC[Win Rate])</f>
        <v>0.6267239182692308</v>
      </c>
      <c r="P8" s="26"/>
      <c r="Q8" s="26"/>
      <c r="R8" s="27"/>
    </row>
    <row r="9" spans="2:18" ht="14.4" customHeight="1" x14ac:dyDescent="0.3">
      <c r="B9" s="8"/>
      <c r="C9" s="22"/>
      <c r="D9" s="23"/>
      <c r="E9" s="23"/>
      <c r="F9" s="24"/>
      <c r="I9" s="22"/>
      <c r="J9" s="23"/>
      <c r="K9" s="23"/>
      <c r="L9" s="24"/>
      <c r="O9" s="25"/>
      <c r="P9" s="26"/>
      <c r="Q9" s="26"/>
      <c r="R9" s="27"/>
    </row>
    <row r="10" spans="2:18" ht="14.4" customHeight="1" thickBot="1" x14ac:dyDescent="0.35">
      <c r="B10" s="8"/>
      <c r="C10" s="31"/>
      <c r="D10" s="32"/>
      <c r="E10" s="32"/>
      <c r="F10" s="33"/>
      <c r="I10" s="31"/>
      <c r="J10" s="32"/>
      <c r="K10" s="32"/>
      <c r="L10" s="33"/>
      <c r="O10" s="28"/>
      <c r="P10" s="29"/>
      <c r="Q10" s="29"/>
      <c r="R10" s="30"/>
    </row>
  </sheetData>
  <mergeCells count="6">
    <mergeCell ref="O5:R7"/>
    <mergeCell ref="O8:R10"/>
    <mergeCell ref="I5:L7"/>
    <mergeCell ref="I8:L10"/>
    <mergeCell ref="C5:F7"/>
    <mergeCell ref="C8:F10"/>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9A91C-E558-4727-ADCA-94FE14A48345}">
  <dimension ref="A1:K216"/>
  <sheetViews>
    <sheetView topLeftCell="C1" workbookViewId="0">
      <selection activeCell="M3" sqref="M3"/>
    </sheetView>
  </sheetViews>
  <sheetFormatPr defaultRowHeight="14.4" x14ac:dyDescent="0.3"/>
  <cols>
    <col min="4" max="4" width="8.88671875" customWidth="1"/>
  </cols>
  <sheetData>
    <row r="1" spans="1:11" x14ac:dyDescent="0.3">
      <c r="A1" s="9" t="s">
        <v>34</v>
      </c>
      <c r="B1" s="10"/>
      <c r="D1" s="9" t="s">
        <v>27</v>
      </c>
      <c r="E1" s="10"/>
      <c r="G1" s="9" t="s">
        <v>40</v>
      </c>
      <c r="H1" s="10"/>
      <c r="J1" s="9" t="s">
        <v>45</v>
      </c>
      <c r="K1" s="10"/>
    </row>
    <row r="2" spans="1:11" x14ac:dyDescent="0.3">
      <c r="A2" s="11" t="s">
        <v>9</v>
      </c>
      <c r="B2" s="12" t="s">
        <v>10</v>
      </c>
      <c r="D2" s="11" t="s">
        <v>9</v>
      </c>
      <c r="E2" s="12" t="s">
        <v>10</v>
      </c>
      <c r="G2" s="11" t="s">
        <v>9</v>
      </c>
      <c r="H2" s="12" t="s">
        <v>10</v>
      </c>
      <c r="J2" s="11" t="s">
        <v>9</v>
      </c>
      <c r="K2" s="12" t="s">
        <v>10</v>
      </c>
    </row>
    <row r="3" spans="1:11" x14ac:dyDescent="0.3">
      <c r="A3" s="11" cm="1">
        <f t="array" ref="A3:A209">_xlfn._xlws.FILTER(OC[ATK], OC[Faction]="Eastern Sunrise")</f>
        <v>90</v>
      </c>
      <c r="B3" s="12" cm="1">
        <f t="array" ref="B3:B209">_xlfn._xlws.FILTER(OC[DEF], OC[Faction]="Eastern Sunrise")</f>
        <v>75</v>
      </c>
      <c r="D3" s="11" cm="1">
        <f t="array" ref="D3:D214">_xlfn._xlws.FILTER(OC[ATK], OC[Faction]="Northern Tundra")</f>
        <v>85</v>
      </c>
      <c r="E3" s="12" cm="1">
        <f t="array" ref="E3:E214">_xlfn._xlws.FILTER(OC[DEF], OC[Faction]="Northern Tundra")</f>
        <v>65</v>
      </c>
      <c r="G3" s="11" cm="1">
        <f t="array" ref="G3:G201">_xlfn._xlws.FILTER(OC[ATK], OC[Faction]="Southern Isles")</f>
        <v>88</v>
      </c>
      <c r="H3" s="12" cm="1">
        <f t="array" ref="H3:H201">_xlfn._xlws.FILTER(OC[DEF], OC[Faction]="Southern Isles")</f>
        <v>80</v>
      </c>
      <c r="J3" s="11" cm="1">
        <f t="array" ref="J3:J216">_xlfn._xlws.FILTER(OC[ATK], OC[Faction]="Western Citadel")</f>
        <v>65</v>
      </c>
      <c r="K3" s="12" cm="1">
        <f t="array" ref="K3:K216">_xlfn._xlws.FILTER(OC[DEF], OC[Faction]="Western Citadel")</f>
        <v>90</v>
      </c>
    </row>
    <row r="4" spans="1:11" x14ac:dyDescent="0.3">
      <c r="A4" s="11">
        <v>84</v>
      </c>
      <c r="B4" s="12">
        <v>65</v>
      </c>
      <c r="D4" s="11">
        <v>88</v>
      </c>
      <c r="E4" s="12">
        <v>80</v>
      </c>
      <c r="G4" s="11">
        <v>60</v>
      </c>
      <c r="H4" s="12">
        <v>80</v>
      </c>
      <c r="J4" s="11">
        <v>80</v>
      </c>
      <c r="K4" s="12">
        <v>85</v>
      </c>
    </row>
    <row r="5" spans="1:11" x14ac:dyDescent="0.3">
      <c r="A5" s="11">
        <v>92</v>
      </c>
      <c r="B5" s="12">
        <v>58</v>
      </c>
      <c r="D5" s="11">
        <v>80</v>
      </c>
      <c r="E5" s="12">
        <v>75</v>
      </c>
      <c r="G5" s="11">
        <v>80</v>
      </c>
      <c r="H5" s="12">
        <v>50</v>
      </c>
      <c r="J5" s="11">
        <v>55</v>
      </c>
      <c r="K5" s="12">
        <v>95</v>
      </c>
    </row>
    <row r="6" spans="1:11" x14ac:dyDescent="0.3">
      <c r="A6" s="11">
        <v>80</v>
      </c>
      <c r="B6" s="12">
        <v>78</v>
      </c>
      <c r="D6" s="11">
        <v>70</v>
      </c>
      <c r="E6" s="12">
        <v>70</v>
      </c>
      <c r="G6" s="11">
        <v>88</v>
      </c>
      <c r="H6" s="12">
        <v>55</v>
      </c>
      <c r="J6" s="11">
        <v>78</v>
      </c>
      <c r="K6" s="12">
        <v>70</v>
      </c>
    </row>
    <row r="7" spans="1:11" x14ac:dyDescent="0.3">
      <c r="A7" s="11">
        <v>75</v>
      </c>
      <c r="B7" s="12">
        <v>70</v>
      </c>
      <c r="D7" s="11">
        <v>82</v>
      </c>
      <c r="E7" s="12">
        <v>82</v>
      </c>
      <c r="G7" s="11">
        <v>75</v>
      </c>
      <c r="H7" s="12">
        <v>60</v>
      </c>
      <c r="J7" s="11">
        <v>72</v>
      </c>
      <c r="K7" s="12">
        <v>75</v>
      </c>
    </row>
    <row r="8" spans="1:11" x14ac:dyDescent="0.3">
      <c r="A8" s="11">
        <v>87</v>
      </c>
      <c r="B8" s="12">
        <v>65</v>
      </c>
      <c r="D8" s="11">
        <v>98</v>
      </c>
      <c r="E8" s="12">
        <v>82</v>
      </c>
      <c r="G8" s="11">
        <v>75</v>
      </c>
      <c r="H8" s="12">
        <v>65</v>
      </c>
      <c r="J8" s="11">
        <v>65</v>
      </c>
      <c r="K8" s="12">
        <v>85</v>
      </c>
    </row>
    <row r="9" spans="1:11" x14ac:dyDescent="0.3">
      <c r="A9" s="11">
        <v>70</v>
      </c>
      <c r="B9" s="12">
        <v>60</v>
      </c>
      <c r="D9" s="11">
        <v>95</v>
      </c>
      <c r="E9" s="12">
        <v>85</v>
      </c>
      <c r="G9" s="11">
        <v>83</v>
      </c>
      <c r="H9" s="12">
        <v>67</v>
      </c>
      <c r="J9" s="11">
        <v>70</v>
      </c>
      <c r="K9" s="12">
        <v>55</v>
      </c>
    </row>
    <row r="10" spans="1:11" x14ac:dyDescent="0.3">
      <c r="A10" s="11">
        <v>85</v>
      </c>
      <c r="B10" s="12">
        <v>70</v>
      </c>
      <c r="D10" s="11">
        <v>60</v>
      </c>
      <c r="E10" s="12">
        <v>65</v>
      </c>
      <c r="G10" s="11">
        <v>55</v>
      </c>
      <c r="H10" s="12">
        <v>85</v>
      </c>
      <c r="J10" s="11">
        <v>76</v>
      </c>
      <c r="K10" s="12">
        <v>62</v>
      </c>
    </row>
    <row r="11" spans="1:11" x14ac:dyDescent="0.3">
      <c r="A11" s="11">
        <v>21</v>
      </c>
      <c r="B11" s="12">
        <v>47</v>
      </c>
      <c r="D11" s="11">
        <v>80</v>
      </c>
      <c r="E11" s="12">
        <v>85</v>
      </c>
      <c r="G11" s="11">
        <v>82</v>
      </c>
      <c r="H11" s="12">
        <v>54</v>
      </c>
      <c r="J11" s="11">
        <v>14</v>
      </c>
      <c r="K11" s="12">
        <v>10</v>
      </c>
    </row>
    <row r="12" spans="1:11" x14ac:dyDescent="0.3">
      <c r="A12" s="11">
        <v>43</v>
      </c>
      <c r="B12" s="12">
        <v>10</v>
      </c>
      <c r="D12" s="11">
        <v>75</v>
      </c>
      <c r="E12" s="12">
        <v>87</v>
      </c>
      <c r="G12" s="11">
        <v>61</v>
      </c>
      <c r="H12" s="12">
        <v>99</v>
      </c>
      <c r="J12" s="11">
        <v>66</v>
      </c>
      <c r="K12" s="12">
        <v>85</v>
      </c>
    </row>
    <row r="13" spans="1:11" x14ac:dyDescent="0.3">
      <c r="A13" s="11">
        <v>14</v>
      </c>
      <c r="B13" s="12">
        <v>87</v>
      </c>
      <c r="D13" s="11">
        <v>74</v>
      </c>
      <c r="E13" s="12">
        <v>47</v>
      </c>
      <c r="G13" s="11">
        <v>12</v>
      </c>
      <c r="H13" s="12">
        <v>80</v>
      </c>
      <c r="J13" s="11">
        <v>44</v>
      </c>
      <c r="K13" s="12">
        <v>96</v>
      </c>
    </row>
    <row r="14" spans="1:11" x14ac:dyDescent="0.3">
      <c r="A14" s="11">
        <v>38</v>
      </c>
      <c r="B14" s="12">
        <v>56</v>
      </c>
      <c r="D14" s="11">
        <v>52</v>
      </c>
      <c r="E14" s="12">
        <v>56</v>
      </c>
      <c r="G14" s="11">
        <v>14</v>
      </c>
      <c r="H14" s="12">
        <v>2</v>
      </c>
      <c r="J14" s="11">
        <v>95</v>
      </c>
      <c r="K14" s="12">
        <v>19</v>
      </c>
    </row>
    <row r="15" spans="1:11" x14ac:dyDescent="0.3">
      <c r="A15" s="11">
        <v>76</v>
      </c>
      <c r="B15" s="12">
        <v>62</v>
      </c>
      <c r="D15" s="11">
        <v>66</v>
      </c>
      <c r="E15" s="12">
        <v>82</v>
      </c>
      <c r="G15" s="11">
        <v>33</v>
      </c>
      <c r="H15" s="12">
        <v>57</v>
      </c>
      <c r="J15" s="11">
        <v>54</v>
      </c>
      <c r="K15" s="12">
        <v>20</v>
      </c>
    </row>
    <row r="16" spans="1:11" x14ac:dyDescent="0.3">
      <c r="A16" s="11">
        <v>92</v>
      </c>
      <c r="B16" s="12">
        <v>80</v>
      </c>
      <c r="D16" s="11">
        <v>57</v>
      </c>
      <c r="E16" s="12">
        <v>44</v>
      </c>
      <c r="G16" s="11">
        <v>44</v>
      </c>
      <c r="H16" s="12">
        <v>66</v>
      </c>
      <c r="J16" s="11">
        <v>26</v>
      </c>
      <c r="K16" s="12">
        <v>55</v>
      </c>
    </row>
    <row r="17" spans="1:11" x14ac:dyDescent="0.3">
      <c r="A17" s="11">
        <v>28</v>
      </c>
      <c r="B17" s="12">
        <v>23</v>
      </c>
      <c r="D17" s="11">
        <v>23</v>
      </c>
      <c r="E17" s="12">
        <v>33</v>
      </c>
      <c r="G17" s="11">
        <v>77</v>
      </c>
      <c r="H17" s="12">
        <v>90</v>
      </c>
      <c r="J17" s="11">
        <v>96</v>
      </c>
      <c r="K17" s="12">
        <v>27</v>
      </c>
    </row>
    <row r="18" spans="1:11" x14ac:dyDescent="0.3">
      <c r="A18" s="11">
        <v>98</v>
      </c>
      <c r="B18" s="12">
        <v>8</v>
      </c>
      <c r="D18" s="11">
        <v>60</v>
      </c>
      <c r="E18" s="12">
        <v>70</v>
      </c>
      <c r="G18" s="11">
        <v>95</v>
      </c>
      <c r="H18" s="12">
        <v>31</v>
      </c>
      <c r="J18" s="11">
        <v>91</v>
      </c>
      <c r="K18" s="12">
        <v>88</v>
      </c>
    </row>
    <row r="19" spans="1:11" x14ac:dyDescent="0.3">
      <c r="A19" s="11">
        <v>18</v>
      </c>
      <c r="B19" s="12">
        <v>48</v>
      </c>
      <c r="D19" s="11">
        <v>44</v>
      </c>
      <c r="E19" s="12">
        <v>94</v>
      </c>
      <c r="G19" s="11">
        <v>45</v>
      </c>
      <c r="H19" s="12">
        <v>51</v>
      </c>
      <c r="J19" s="11">
        <v>10</v>
      </c>
      <c r="K19" s="12">
        <v>48</v>
      </c>
    </row>
    <row r="20" spans="1:11" x14ac:dyDescent="0.3">
      <c r="A20" s="11">
        <v>39</v>
      </c>
      <c r="B20" s="12">
        <v>37</v>
      </c>
      <c r="D20" s="11">
        <v>34</v>
      </c>
      <c r="E20" s="12">
        <v>79</v>
      </c>
      <c r="G20" s="11">
        <v>85</v>
      </c>
      <c r="H20" s="12">
        <v>54</v>
      </c>
      <c r="J20" s="11">
        <v>14</v>
      </c>
      <c r="K20" s="12">
        <v>49</v>
      </c>
    </row>
    <row r="21" spans="1:11" x14ac:dyDescent="0.3">
      <c r="A21" s="11">
        <v>78</v>
      </c>
      <c r="B21" s="12">
        <v>11</v>
      </c>
      <c r="D21" s="11">
        <v>73</v>
      </c>
      <c r="E21" s="12">
        <v>71</v>
      </c>
      <c r="G21" s="11">
        <v>63</v>
      </c>
      <c r="H21" s="12">
        <v>69</v>
      </c>
      <c r="J21" s="11">
        <v>43</v>
      </c>
      <c r="K21" s="12">
        <v>9</v>
      </c>
    </row>
    <row r="22" spans="1:11" x14ac:dyDescent="0.3">
      <c r="A22" s="11">
        <v>50</v>
      </c>
      <c r="B22" s="12">
        <v>72</v>
      </c>
      <c r="D22" s="11">
        <v>65</v>
      </c>
      <c r="E22" s="12">
        <v>92</v>
      </c>
      <c r="G22" s="11">
        <v>34</v>
      </c>
      <c r="H22" s="12">
        <v>30</v>
      </c>
      <c r="J22" s="11">
        <v>69</v>
      </c>
      <c r="K22" s="12">
        <v>3</v>
      </c>
    </row>
    <row r="23" spans="1:11" x14ac:dyDescent="0.3">
      <c r="A23" s="11">
        <v>74</v>
      </c>
      <c r="B23" s="12">
        <v>49</v>
      </c>
      <c r="D23" s="11">
        <v>98</v>
      </c>
      <c r="E23" s="12">
        <v>99</v>
      </c>
      <c r="G23" s="11">
        <v>49</v>
      </c>
      <c r="H23" s="12">
        <v>50</v>
      </c>
      <c r="J23" s="11">
        <v>38</v>
      </c>
      <c r="K23" s="12">
        <v>39</v>
      </c>
    </row>
    <row r="24" spans="1:11" x14ac:dyDescent="0.3">
      <c r="A24" s="11">
        <v>34</v>
      </c>
      <c r="B24" s="12">
        <v>22</v>
      </c>
      <c r="D24" s="11">
        <v>27</v>
      </c>
      <c r="E24" s="12">
        <v>44</v>
      </c>
      <c r="G24" s="11">
        <v>30</v>
      </c>
      <c r="H24" s="12">
        <v>3</v>
      </c>
      <c r="J24" s="11">
        <v>8</v>
      </c>
      <c r="K24" s="12">
        <v>54</v>
      </c>
    </row>
    <row r="25" spans="1:11" x14ac:dyDescent="0.3">
      <c r="A25" s="11">
        <v>71</v>
      </c>
      <c r="B25" s="12">
        <v>79</v>
      </c>
      <c r="D25" s="11">
        <v>79</v>
      </c>
      <c r="E25" s="12">
        <v>92</v>
      </c>
      <c r="G25" s="11">
        <v>62</v>
      </c>
      <c r="H25" s="12">
        <v>44</v>
      </c>
      <c r="J25" s="11">
        <v>23</v>
      </c>
      <c r="K25" s="12">
        <v>90</v>
      </c>
    </row>
    <row r="26" spans="1:11" x14ac:dyDescent="0.3">
      <c r="A26" s="11">
        <v>93</v>
      </c>
      <c r="B26" s="12">
        <v>7</v>
      </c>
      <c r="D26" s="11">
        <v>2</v>
      </c>
      <c r="E26" s="12">
        <v>44</v>
      </c>
      <c r="G26" s="11">
        <v>45</v>
      </c>
      <c r="H26" s="12">
        <v>22</v>
      </c>
      <c r="J26" s="11">
        <v>23</v>
      </c>
      <c r="K26" s="12">
        <v>81</v>
      </c>
    </row>
    <row r="27" spans="1:11" x14ac:dyDescent="0.3">
      <c r="A27" s="11">
        <v>18</v>
      </c>
      <c r="B27" s="12">
        <v>39</v>
      </c>
      <c r="D27" s="11">
        <v>71</v>
      </c>
      <c r="E27" s="12">
        <v>7</v>
      </c>
      <c r="G27" s="11">
        <v>1</v>
      </c>
      <c r="H27" s="12">
        <v>4</v>
      </c>
      <c r="J27" s="11">
        <v>67</v>
      </c>
      <c r="K27" s="12">
        <v>19</v>
      </c>
    </row>
    <row r="28" spans="1:11" x14ac:dyDescent="0.3">
      <c r="A28" s="11">
        <v>35</v>
      </c>
      <c r="B28" s="12">
        <v>68</v>
      </c>
      <c r="D28" s="11">
        <v>96</v>
      </c>
      <c r="E28" s="12">
        <v>92</v>
      </c>
      <c r="G28" s="11">
        <v>54</v>
      </c>
      <c r="H28" s="12">
        <v>64</v>
      </c>
      <c r="J28" s="11">
        <v>86</v>
      </c>
      <c r="K28" s="12">
        <v>36</v>
      </c>
    </row>
    <row r="29" spans="1:11" x14ac:dyDescent="0.3">
      <c r="A29" s="11">
        <v>53</v>
      </c>
      <c r="B29" s="12">
        <v>29</v>
      </c>
      <c r="D29" s="11">
        <v>39</v>
      </c>
      <c r="E29" s="12">
        <v>33</v>
      </c>
      <c r="G29" s="11">
        <v>27</v>
      </c>
      <c r="H29" s="12">
        <v>100</v>
      </c>
      <c r="J29" s="11">
        <v>49</v>
      </c>
      <c r="K29" s="12">
        <v>13</v>
      </c>
    </row>
    <row r="30" spans="1:11" x14ac:dyDescent="0.3">
      <c r="A30" s="11">
        <v>8</v>
      </c>
      <c r="B30" s="12">
        <v>25</v>
      </c>
      <c r="D30" s="11">
        <v>43</v>
      </c>
      <c r="E30" s="12">
        <v>51</v>
      </c>
      <c r="G30" s="11">
        <v>14</v>
      </c>
      <c r="H30" s="12">
        <v>44</v>
      </c>
      <c r="J30" s="11">
        <v>7</v>
      </c>
      <c r="K30" s="12">
        <v>97</v>
      </c>
    </row>
    <row r="31" spans="1:11" x14ac:dyDescent="0.3">
      <c r="A31" s="11">
        <v>85</v>
      </c>
      <c r="B31" s="12">
        <v>74</v>
      </c>
      <c r="D31" s="11">
        <v>99</v>
      </c>
      <c r="E31" s="12">
        <v>28</v>
      </c>
      <c r="G31" s="11">
        <v>20</v>
      </c>
      <c r="H31" s="12">
        <v>22</v>
      </c>
      <c r="J31" s="11">
        <v>49</v>
      </c>
      <c r="K31" s="12">
        <v>73</v>
      </c>
    </row>
    <row r="32" spans="1:11" x14ac:dyDescent="0.3">
      <c r="A32" s="11">
        <v>15</v>
      </c>
      <c r="B32" s="12">
        <v>12</v>
      </c>
      <c r="D32" s="11">
        <v>5</v>
      </c>
      <c r="E32" s="12">
        <v>56</v>
      </c>
      <c r="G32" s="11">
        <v>75</v>
      </c>
      <c r="H32" s="12">
        <v>45</v>
      </c>
      <c r="J32" s="11">
        <v>9</v>
      </c>
      <c r="K32" s="12">
        <v>85</v>
      </c>
    </row>
    <row r="33" spans="1:11" x14ac:dyDescent="0.3">
      <c r="A33" s="11">
        <v>26</v>
      </c>
      <c r="B33" s="12">
        <v>25</v>
      </c>
      <c r="D33" s="11">
        <v>93</v>
      </c>
      <c r="E33" s="12">
        <v>75</v>
      </c>
      <c r="G33" s="11">
        <v>92</v>
      </c>
      <c r="H33" s="12">
        <v>75</v>
      </c>
      <c r="J33" s="11">
        <v>98</v>
      </c>
      <c r="K33" s="12">
        <v>39</v>
      </c>
    </row>
    <row r="34" spans="1:11" x14ac:dyDescent="0.3">
      <c r="A34" s="11">
        <v>46</v>
      </c>
      <c r="B34" s="12">
        <v>81</v>
      </c>
      <c r="D34" s="11">
        <v>80</v>
      </c>
      <c r="E34" s="12">
        <v>11</v>
      </c>
      <c r="G34" s="11">
        <v>69</v>
      </c>
      <c r="H34" s="12">
        <v>29</v>
      </c>
      <c r="J34" s="11">
        <v>45</v>
      </c>
      <c r="K34" s="12">
        <v>61</v>
      </c>
    </row>
    <row r="35" spans="1:11" x14ac:dyDescent="0.3">
      <c r="A35" s="11">
        <v>50</v>
      </c>
      <c r="B35" s="12">
        <v>55</v>
      </c>
      <c r="D35" s="11">
        <v>59</v>
      </c>
      <c r="E35" s="12">
        <v>9</v>
      </c>
      <c r="G35" s="11">
        <v>40</v>
      </c>
      <c r="H35" s="12">
        <v>82</v>
      </c>
      <c r="J35" s="11">
        <v>74</v>
      </c>
      <c r="K35" s="12">
        <v>6</v>
      </c>
    </row>
    <row r="36" spans="1:11" x14ac:dyDescent="0.3">
      <c r="A36" s="11">
        <v>89</v>
      </c>
      <c r="B36" s="12">
        <v>56</v>
      </c>
      <c r="D36" s="11">
        <v>32</v>
      </c>
      <c r="E36" s="12">
        <v>33</v>
      </c>
      <c r="G36" s="11">
        <v>26</v>
      </c>
      <c r="H36" s="12">
        <v>35</v>
      </c>
      <c r="J36" s="11">
        <v>96</v>
      </c>
      <c r="K36" s="12">
        <v>93</v>
      </c>
    </row>
    <row r="37" spans="1:11" x14ac:dyDescent="0.3">
      <c r="A37" s="11">
        <v>56</v>
      </c>
      <c r="B37" s="12">
        <v>11</v>
      </c>
      <c r="D37" s="11">
        <v>60</v>
      </c>
      <c r="E37" s="12">
        <v>10</v>
      </c>
      <c r="G37" s="11">
        <v>87</v>
      </c>
      <c r="H37" s="12">
        <v>32</v>
      </c>
      <c r="J37" s="11">
        <v>45</v>
      </c>
      <c r="K37" s="12">
        <v>98</v>
      </c>
    </row>
    <row r="38" spans="1:11" x14ac:dyDescent="0.3">
      <c r="A38" s="11">
        <v>88</v>
      </c>
      <c r="B38" s="12">
        <v>90</v>
      </c>
      <c r="D38" s="11">
        <v>83</v>
      </c>
      <c r="E38" s="12">
        <v>59</v>
      </c>
      <c r="G38" s="11">
        <v>5</v>
      </c>
      <c r="H38" s="12">
        <v>22</v>
      </c>
      <c r="J38" s="11">
        <v>63</v>
      </c>
      <c r="K38" s="12">
        <v>9</v>
      </c>
    </row>
    <row r="39" spans="1:11" x14ac:dyDescent="0.3">
      <c r="A39" s="11">
        <v>91</v>
      </c>
      <c r="B39" s="12">
        <v>42</v>
      </c>
      <c r="D39" s="11">
        <v>58</v>
      </c>
      <c r="E39" s="12">
        <v>6</v>
      </c>
      <c r="G39" s="11">
        <v>98</v>
      </c>
      <c r="H39" s="12">
        <v>80</v>
      </c>
      <c r="J39" s="11">
        <v>16</v>
      </c>
      <c r="K39" s="12">
        <v>46</v>
      </c>
    </row>
    <row r="40" spans="1:11" x14ac:dyDescent="0.3">
      <c r="A40" s="11">
        <v>91</v>
      </c>
      <c r="B40" s="12">
        <v>84</v>
      </c>
      <c r="D40" s="11">
        <v>63</v>
      </c>
      <c r="E40" s="12">
        <v>64</v>
      </c>
      <c r="G40" s="11">
        <v>2</v>
      </c>
      <c r="H40" s="12">
        <v>3</v>
      </c>
      <c r="J40" s="11">
        <v>7</v>
      </c>
      <c r="K40" s="12">
        <v>97</v>
      </c>
    </row>
    <row r="41" spans="1:11" x14ac:dyDescent="0.3">
      <c r="A41" s="11">
        <v>33</v>
      </c>
      <c r="B41" s="12">
        <v>97</v>
      </c>
      <c r="D41" s="11">
        <v>51</v>
      </c>
      <c r="E41" s="12">
        <v>6</v>
      </c>
      <c r="G41" s="11">
        <v>85</v>
      </c>
      <c r="H41" s="12">
        <v>6</v>
      </c>
      <c r="J41" s="11">
        <v>31</v>
      </c>
      <c r="K41" s="12">
        <v>84</v>
      </c>
    </row>
    <row r="42" spans="1:11" x14ac:dyDescent="0.3">
      <c r="A42" s="11">
        <v>48</v>
      </c>
      <c r="B42" s="12">
        <v>58</v>
      </c>
      <c r="D42" s="11">
        <v>30</v>
      </c>
      <c r="E42" s="12">
        <v>61</v>
      </c>
      <c r="G42" s="11">
        <v>24</v>
      </c>
      <c r="H42" s="12">
        <v>1</v>
      </c>
      <c r="J42" s="11">
        <v>69</v>
      </c>
      <c r="K42" s="12">
        <v>52</v>
      </c>
    </row>
    <row r="43" spans="1:11" x14ac:dyDescent="0.3">
      <c r="A43" s="11">
        <v>62</v>
      </c>
      <c r="B43" s="12">
        <v>41</v>
      </c>
      <c r="D43" s="11">
        <v>91</v>
      </c>
      <c r="E43" s="12">
        <v>5</v>
      </c>
      <c r="G43" s="11">
        <v>39</v>
      </c>
      <c r="H43" s="12">
        <v>82</v>
      </c>
      <c r="J43" s="11">
        <v>64</v>
      </c>
      <c r="K43" s="12">
        <v>32</v>
      </c>
    </row>
    <row r="44" spans="1:11" x14ac:dyDescent="0.3">
      <c r="A44" s="11">
        <v>10</v>
      </c>
      <c r="B44" s="12">
        <v>6</v>
      </c>
      <c r="D44" s="11">
        <v>66</v>
      </c>
      <c r="E44" s="12">
        <v>66</v>
      </c>
      <c r="G44" s="11">
        <v>35</v>
      </c>
      <c r="H44" s="12">
        <v>54</v>
      </c>
      <c r="J44" s="11">
        <v>8</v>
      </c>
      <c r="K44" s="12">
        <v>74</v>
      </c>
    </row>
    <row r="45" spans="1:11" x14ac:dyDescent="0.3">
      <c r="A45" s="11">
        <v>87</v>
      </c>
      <c r="B45" s="12">
        <v>49</v>
      </c>
      <c r="D45" s="11">
        <v>30</v>
      </c>
      <c r="E45" s="12">
        <v>98</v>
      </c>
      <c r="G45" s="11">
        <v>8</v>
      </c>
      <c r="H45" s="12">
        <v>72</v>
      </c>
      <c r="J45" s="11">
        <v>13</v>
      </c>
      <c r="K45" s="12">
        <v>13</v>
      </c>
    </row>
    <row r="46" spans="1:11" x14ac:dyDescent="0.3">
      <c r="A46" s="11">
        <v>38</v>
      </c>
      <c r="B46" s="12">
        <v>34</v>
      </c>
      <c r="D46" s="11">
        <v>57</v>
      </c>
      <c r="E46" s="12">
        <v>34</v>
      </c>
      <c r="G46" s="11">
        <v>38</v>
      </c>
      <c r="H46" s="12">
        <v>57</v>
      </c>
      <c r="J46" s="11">
        <v>67</v>
      </c>
      <c r="K46" s="12">
        <v>97</v>
      </c>
    </row>
    <row r="47" spans="1:11" x14ac:dyDescent="0.3">
      <c r="A47" s="11">
        <v>19</v>
      </c>
      <c r="B47" s="12">
        <v>19</v>
      </c>
      <c r="D47" s="11">
        <v>36</v>
      </c>
      <c r="E47" s="12">
        <v>53</v>
      </c>
      <c r="G47" s="11">
        <v>5</v>
      </c>
      <c r="H47" s="12">
        <v>18</v>
      </c>
      <c r="J47" s="11">
        <v>96</v>
      </c>
      <c r="K47" s="12">
        <v>54</v>
      </c>
    </row>
    <row r="48" spans="1:11" x14ac:dyDescent="0.3">
      <c r="A48" s="11">
        <v>82</v>
      </c>
      <c r="B48" s="12">
        <v>96</v>
      </c>
      <c r="D48" s="11">
        <v>47</v>
      </c>
      <c r="E48" s="12">
        <v>48</v>
      </c>
      <c r="G48" s="11">
        <v>9</v>
      </c>
      <c r="H48" s="12">
        <v>58</v>
      </c>
      <c r="J48" s="11">
        <v>71</v>
      </c>
      <c r="K48" s="12">
        <v>42</v>
      </c>
    </row>
    <row r="49" spans="1:11" x14ac:dyDescent="0.3">
      <c r="A49" s="11">
        <v>86</v>
      </c>
      <c r="B49" s="12">
        <v>7</v>
      </c>
      <c r="D49" s="11">
        <v>53</v>
      </c>
      <c r="E49" s="12">
        <v>14</v>
      </c>
      <c r="G49" s="11">
        <v>59</v>
      </c>
      <c r="H49" s="12">
        <v>62</v>
      </c>
      <c r="J49" s="11">
        <v>78</v>
      </c>
      <c r="K49" s="12">
        <v>79</v>
      </c>
    </row>
    <row r="50" spans="1:11" x14ac:dyDescent="0.3">
      <c r="A50" s="11">
        <v>36</v>
      </c>
      <c r="B50" s="12">
        <v>37</v>
      </c>
      <c r="D50" s="11">
        <v>2</v>
      </c>
      <c r="E50" s="12">
        <v>38</v>
      </c>
      <c r="G50" s="11">
        <v>67</v>
      </c>
      <c r="H50" s="12">
        <v>85</v>
      </c>
      <c r="J50" s="11">
        <v>17</v>
      </c>
      <c r="K50" s="12">
        <v>75</v>
      </c>
    </row>
    <row r="51" spans="1:11" x14ac:dyDescent="0.3">
      <c r="A51" s="11">
        <v>34</v>
      </c>
      <c r="B51" s="12">
        <v>23</v>
      </c>
      <c r="D51" s="11">
        <v>12</v>
      </c>
      <c r="E51" s="12">
        <v>99</v>
      </c>
      <c r="G51" s="11">
        <v>88</v>
      </c>
      <c r="H51" s="12">
        <v>68</v>
      </c>
      <c r="J51" s="11">
        <v>96</v>
      </c>
      <c r="K51" s="12">
        <v>97</v>
      </c>
    </row>
    <row r="52" spans="1:11" x14ac:dyDescent="0.3">
      <c r="A52" s="11">
        <v>62</v>
      </c>
      <c r="B52" s="12">
        <v>35</v>
      </c>
      <c r="D52" s="11">
        <v>17</v>
      </c>
      <c r="E52" s="12">
        <v>93</v>
      </c>
      <c r="G52" s="11">
        <v>26</v>
      </c>
      <c r="H52" s="12">
        <v>40</v>
      </c>
      <c r="J52" s="11">
        <v>18</v>
      </c>
      <c r="K52" s="12">
        <v>46</v>
      </c>
    </row>
    <row r="53" spans="1:11" x14ac:dyDescent="0.3">
      <c r="A53" s="11">
        <v>20</v>
      </c>
      <c r="B53" s="12">
        <v>77</v>
      </c>
      <c r="D53" s="11">
        <v>40</v>
      </c>
      <c r="E53" s="12">
        <v>80</v>
      </c>
      <c r="G53" s="11">
        <v>76</v>
      </c>
      <c r="H53" s="12">
        <v>9</v>
      </c>
      <c r="J53" s="11">
        <v>6</v>
      </c>
      <c r="K53" s="12">
        <v>39</v>
      </c>
    </row>
    <row r="54" spans="1:11" x14ac:dyDescent="0.3">
      <c r="A54" s="11">
        <v>16</v>
      </c>
      <c r="B54" s="12">
        <v>3</v>
      </c>
      <c r="D54" s="11">
        <v>23</v>
      </c>
      <c r="E54" s="12">
        <v>4</v>
      </c>
      <c r="G54" s="11">
        <v>78</v>
      </c>
      <c r="H54" s="12">
        <v>84</v>
      </c>
      <c r="J54" s="11">
        <v>79</v>
      </c>
      <c r="K54" s="12">
        <v>46</v>
      </c>
    </row>
    <row r="55" spans="1:11" x14ac:dyDescent="0.3">
      <c r="A55" s="11">
        <v>72</v>
      </c>
      <c r="B55" s="12">
        <v>72</v>
      </c>
      <c r="D55" s="11">
        <v>47</v>
      </c>
      <c r="E55" s="12">
        <v>5</v>
      </c>
      <c r="G55" s="11">
        <v>49</v>
      </c>
      <c r="H55" s="12">
        <v>91</v>
      </c>
      <c r="J55" s="11">
        <v>34</v>
      </c>
      <c r="K55" s="12">
        <v>79</v>
      </c>
    </row>
    <row r="56" spans="1:11" x14ac:dyDescent="0.3">
      <c r="A56" s="11">
        <v>71</v>
      </c>
      <c r="B56" s="12">
        <v>91</v>
      </c>
      <c r="D56" s="11">
        <v>30</v>
      </c>
      <c r="E56" s="12">
        <v>90</v>
      </c>
      <c r="G56" s="11">
        <v>16</v>
      </c>
      <c r="H56" s="12">
        <v>75</v>
      </c>
      <c r="J56" s="11">
        <v>90</v>
      </c>
      <c r="K56" s="12">
        <v>22</v>
      </c>
    </row>
    <row r="57" spans="1:11" x14ac:dyDescent="0.3">
      <c r="A57" s="11">
        <v>89</v>
      </c>
      <c r="B57" s="12">
        <v>65</v>
      </c>
      <c r="D57" s="11">
        <v>34</v>
      </c>
      <c r="E57" s="12">
        <v>92</v>
      </c>
      <c r="G57" s="11">
        <v>59</v>
      </c>
      <c r="H57" s="12">
        <v>79</v>
      </c>
      <c r="J57" s="11">
        <v>99</v>
      </c>
      <c r="K57" s="12">
        <v>46</v>
      </c>
    </row>
    <row r="58" spans="1:11" x14ac:dyDescent="0.3">
      <c r="A58" s="11">
        <v>23</v>
      </c>
      <c r="B58" s="12">
        <v>57</v>
      </c>
      <c r="D58" s="11">
        <v>87</v>
      </c>
      <c r="E58" s="12">
        <v>94</v>
      </c>
      <c r="G58" s="11">
        <v>29</v>
      </c>
      <c r="H58" s="12">
        <v>86</v>
      </c>
      <c r="J58" s="11">
        <v>54</v>
      </c>
      <c r="K58" s="12">
        <v>84</v>
      </c>
    </row>
    <row r="59" spans="1:11" x14ac:dyDescent="0.3">
      <c r="A59" s="11">
        <v>93</v>
      </c>
      <c r="B59" s="12">
        <v>57</v>
      </c>
      <c r="D59" s="11">
        <v>94</v>
      </c>
      <c r="E59" s="12">
        <v>58</v>
      </c>
      <c r="G59" s="11">
        <v>99</v>
      </c>
      <c r="H59" s="12">
        <v>70</v>
      </c>
      <c r="J59" s="11">
        <v>62</v>
      </c>
      <c r="K59" s="12">
        <v>31</v>
      </c>
    </row>
    <row r="60" spans="1:11" x14ac:dyDescent="0.3">
      <c r="A60" s="11">
        <v>43</v>
      </c>
      <c r="B60" s="12">
        <v>96</v>
      </c>
      <c r="D60" s="11">
        <v>6</v>
      </c>
      <c r="E60" s="12">
        <v>16</v>
      </c>
      <c r="G60" s="11">
        <v>77</v>
      </c>
      <c r="H60" s="12">
        <v>2</v>
      </c>
      <c r="J60" s="11">
        <v>94</v>
      </c>
      <c r="K60" s="12">
        <v>28</v>
      </c>
    </row>
    <row r="61" spans="1:11" x14ac:dyDescent="0.3">
      <c r="A61" s="11">
        <v>64</v>
      </c>
      <c r="B61" s="12">
        <v>69</v>
      </c>
      <c r="D61" s="11">
        <v>89</v>
      </c>
      <c r="E61" s="12">
        <v>71</v>
      </c>
      <c r="G61" s="11">
        <v>34</v>
      </c>
      <c r="H61" s="12">
        <v>17</v>
      </c>
      <c r="J61" s="11">
        <v>87</v>
      </c>
      <c r="K61" s="12">
        <v>9</v>
      </c>
    </row>
    <row r="62" spans="1:11" x14ac:dyDescent="0.3">
      <c r="A62" s="11">
        <v>55</v>
      </c>
      <c r="B62" s="12">
        <v>52</v>
      </c>
      <c r="D62" s="11">
        <v>27</v>
      </c>
      <c r="E62" s="12">
        <v>50</v>
      </c>
      <c r="G62" s="11">
        <v>42</v>
      </c>
      <c r="H62" s="12">
        <v>19</v>
      </c>
      <c r="J62" s="11">
        <v>27</v>
      </c>
      <c r="K62" s="12">
        <v>44</v>
      </c>
    </row>
    <row r="63" spans="1:11" x14ac:dyDescent="0.3">
      <c r="A63" s="11">
        <v>48</v>
      </c>
      <c r="B63" s="12">
        <v>77</v>
      </c>
      <c r="D63" s="11">
        <v>79</v>
      </c>
      <c r="E63" s="12">
        <v>34</v>
      </c>
      <c r="G63" s="11">
        <v>41</v>
      </c>
      <c r="H63" s="12">
        <v>18</v>
      </c>
      <c r="J63" s="11">
        <v>89</v>
      </c>
      <c r="K63" s="12">
        <v>95</v>
      </c>
    </row>
    <row r="64" spans="1:11" x14ac:dyDescent="0.3">
      <c r="A64" s="11">
        <v>86</v>
      </c>
      <c r="B64" s="12">
        <v>89</v>
      </c>
      <c r="D64" s="11">
        <v>35</v>
      </c>
      <c r="E64" s="12">
        <v>49</v>
      </c>
      <c r="G64" s="11">
        <v>92</v>
      </c>
      <c r="H64" s="12">
        <v>94</v>
      </c>
      <c r="J64" s="11">
        <v>16</v>
      </c>
      <c r="K64" s="12">
        <v>26</v>
      </c>
    </row>
    <row r="65" spans="1:11" x14ac:dyDescent="0.3">
      <c r="A65" s="11">
        <v>61</v>
      </c>
      <c r="B65" s="12">
        <v>47</v>
      </c>
      <c r="D65" s="11">
        <v>83</v>
      </c>
      <c r="E65" s="12">
        <v>9</v>
      </c>
      <c r="G65" s="11">
        <v>30</v>
      </c>
      <c r="H65" s="12">
        <v>40</v>
      </c>
      <c r="J65" s="11">
        <v>37</v>
      </c>
      <c r="K65" s="12">
        <v>53</v>
      </c>
    </row>
    <row r="66" spans="1:11" x14ac:dyDescent="0.3">
      <c r="A66" s="11">
        <v>42</v>
      </c>
      <c r="B66" s="12">
        <v>71</v>
      </c>
      <c r="D66" s="11">
        <v>59</v>
      </c>
      <c r="E66" s="12">
        <v>46</v>
      </c>
      <c r="G66" s="11">
        <v>99</v>
      </c>
      <c r="H66" s="12">
        <v>23</v>
      </c>
      <c r="J66" s="11">
        <v>56</v>
      </c>
      <c r="K66" s="12">
        <v>45</v>
      </c>
    </row>
    <row r="67" spans="1:11" x14ac:dyDescent="0.3">
      <c r="A67" s="11">
        <v>24</v>
      </c>
      <c r="B67" s="12">
        <v>15</v>
      </c>
      <c r="D67" s="11">
        <v>93</v>
      </c>
      <c r="E67" s="12">
        <v>24</v>
      </c>
      <c r="G67" s="11">
        <v>99</v>
      </c>
      <c r="H67" s="12">
        <v>46</v>
      </c>
      <c r="J67" s="11">
        <v>62</v>
      </c>
      <c r="K67" s="12">
        <v>95</v>
      </c>
    </row>
    <row r="68" spans="1:11" x14ac:dyDescent="0.3">
      <c r="A68" s="11">
        <v>33</v>
      </c>
      <c r="B68" s="12">
        <v>93</v>
      </c>
      <c r="D68" s="11">
        <v>32</v>
      </c>
      <c r="E68" s="12">
        <v>22</v>
      </c>
      <c r="G68" s="11">
        <v>86</v>
      </c>
      <c r="H68" s="12">
        <v>43</v>
      </c>
      <c r="J68" s="11">
        <v>93</v>
      </c>
      <c r="K68" s="12">
        <v>99</v>
      </c>
    </row>
    <row r="69" spans="1:11" x14ac:dyDescent="0.3">
      <c r="A69" s="11">
        <v>9</v>
      </c>
      <c r="B69" s="12">
        <v>22</v>
      </c>
      <c r="D69" s="11">
        <v>34</v>
      </c>
      <c r="E69" s="12">
        <v>77</v>
      </c>
      <c r="G69" s="11">
        <v>46</v>
      </c>
      <c r="H69" s="12">
        <v>91</v>
      </c>
      <c r="J69" s="11">
        <v>52</v>
      </c>
      <c r="K69" s="12">
        <v>12</v>
      </c>
    </row>
    <row r="70" spans="1:11" x14ac:dyDescent="0.3">
      <c r="A70" s="11">
        <v>31</v>
      </c>
      <c r="B70" s="12">
        <v>54</v>
      </c>
      <c r="D70" s="11">
        <v>52</v>
      </c>
      <c r="E70" s="12">
        <v>34</v>
      </c>
      <c r="G70" s="11">
        <v>32</v>
      </c>
      <c r="H70" s="12">
        <v>64</v>
      </c>
      <c r="J70" s="11">
        <v>48</v>
      </c>
      <c r="K70" s="12">
        <v>34</v>
      </c>
    </row>
    <row r="71" spans="1:11" x14ac:dyDescent="0.3">
      <c r="A71" s="11">
        <v>11</v>
      </c>
      <c r="B71" s="12">
        <v>96</v>
      </c>
      <c r="D71" s="11">
        <v>19</v>
      </c>
      <c r="E71" s="12">
        <v>85</v>
      </c>
      <c r="G71" s="11">
        <v>33</v>
      </c>
      <c r="H71" s="12">
        <v>32</v>
      </c>
      <c r="J71" s="11">
        <v>93</v>
      </c>
      <c r="K71" s="12">
        <v>76</v>
      </c>
    </row>
    <row r="72" spans="1:11" x14ac:dyDescent="0.3">
      <c r="A72" s="11">
        <v>95</v>
      </c>
      <c r="B72" s="12">
        <v>34</v>
      </c>
      <c r="D72" s="11">
        <v>89</v>
      </c>
      <c r="E72" s="12">
        <v>82</v>
      </c>
      <c r="G72" s="11">
        <v>57</v>
      </c>
      <c r="H72" s="12">
        <v>93</v>
      </c>
      <c r="J72" s="11">
        <v>71</v>
      </c>
      <c r="K72" s="12">
        <v>79</v>
      </c>
    </row>
    <row r="73" spans="1:11" x14ac:dyDescent="0.3">
      <c r="A73" s="11">
        <v>30</v>
      </c>
      <c r="B73" s="12">
        <v>30</v>
      </c>
      <c r="D73" s="11">
        <v>74</v>
      </c>
      <c r="E73" s="12">
        <v>30</v>
      </c>
      <c r="G73" s="11">
        <v>14</v>
      </c>
      <c r="H73" s="12">
        <v>16</v>
      </c>
      <c r="J73" s="11">
        <v>71</v>
      </c>
      <c r="K73" s="12">
        <v>61</v>
      </c>
    </row>
    <row r="74" spans="1:11" x14ac:dyDescent="0.3">
      <c r="A74" s="11">
        <v>19</v>
      </c>
      <c r="B74" s="12">
        <v>68</v>
      </c>
      <c r="D74" s="11">
        <v>89</v>
      </c>
      <c r="E74" s="12">
        <v>10</v>
      </c>
      <c r="G74" s="11">
        <v>71</v>
      </c>
      <c r="H74" s="12">
        <v>8</v>
      </c>
      <c r="J74" s="11">
        <v>81</v>
      </c>
      <c r="K74" s="12">
        <v>48</v>
      </c>
    </row>
    <row r="75" spans="1:11" x14ac:dyDescent="0.3">
      <c r="A75" s="11">
        <v>94</v>
      </c>
      <c r="B75" s="12">
        <v>8</v>
      </c>
      <c r="D75" s="11">
        <v>71</v>
      </c>
      <c r="E75" s="12">
        <v>6</v>
      </c>
      <c r="G75" s="11">
        <v>4</v>
      </c>
      <c r="H75" s="12">
        <v>18</v>
      </c>
      <c r="J75" s="11">
        <v>64</v>
      </c>
      <c r="K75" s="12">
        <v>37</v>
      </c>
    </row>
    <row r="76" spans="1:11" x14ac:dyDescent="0.3">
      <c r="A76" s="11">
        <v>39</v>
      </c>
      <c r="B76" s="12">
        <v>11</v>
      </c>
      <c r="D76" s="11">
        <v>41</v>
      </c>
      <c r="E76" s="12">
        <v>23</v>
      </c>
      <c r="G76" s="11">
        <v>100</v>
      </c>
      <c r="H76" s="12">
        <v>16</v>
      </c>
      <c r="J76" s="11">
        <v>48</v>
      </c>
      <c r="K76" s="12">
        <v>71</v>
      </c>
    </row>
    <row r="77" spans="1:11" x14ac:dyDescent="0.3">
      <c r="A77" s="11">
        <v>80</v>
      </c>
      <c r="B77" s="12">
        <v>30</v>
      </c>
      <c r="D77" s="11">
        <v>37</v>
      </c>
      <c r="E77" s="12">
        <v>99</v>
      </c>
      <c r="G77" s="11">
        <v>87</v>
      </c>
      <c r="H77" s="12">
        <v>67</v>
      </c>
      <c r="J77" s="11">
        <v>76</v>
      </c>
      <c r="K77" s="12">
        <v>81</v>
      </c>
    </row>
    <row r="78" spans="1:11" x14ac:dyDescent="0.3">
      <c r="A78" s="11">
        <v>17</v>
      </c>
      <c r="B78" s="12">
        <v>13</v>
      </c>
      <c r="D78" s="11">
        <v>59</v>
      </c>
      <c r="E78" s="12">
        <v>24</v>
      </c>
      <c r="G78" s="11">
        <v>67</v>
      </c>
      <c r="H78" s="12">
        <v>60</v>
      </c>
      <c r="J78" s="11">
        <v>23</v>
      </c>
      <c r="K78" s="12">
        <v>27</v>
      </c>
    </row>
    <row r="79" spans="1:11" x14ac:dyDescent="0.3">
      <c r="A79" s="11">
        <v>25</v>
      </c>
      <c r="B79" s="12">
        <v>75</v>
      </c>
      <c r="D79" s="11">
        <v>81</v>
      </c>
      <c r="E79" s="12">
        <v>20</v>
      </c>
      <c r="G79" s="11">
        <v>4</v>
      </c>
      <c r="H79" s="12">
        <v>91</v>
      </c>
      <c r="J79" s="11">
        <v>40</v>
      </c>
      <c r="K79" s="12">
        <v>54</v>
      </c>
    </row>
    <row r="80" spans="1:11" x14ac:dyDescent="0.3">
      <c r="A80" s="11">
        <v>42</v>
      </c>
      <c r="B80" s="12">
        <v>20</v>
      </c>
      <c r="D80" s="11">
        <v>54</v>
      </c>
      <c r="E80" s="12">
        <v>15</v>
      </c>
      <c r="G80" s="11">
        <v>44</v>
      </c>
      <c r="H80" s="12">
        <v>30</v>
      </c>
      <c r="J80" s="11">
        <v>36</v>
      </c>
      <c r="K80" s="12">
        <v>20</v>
      </c>
    </row>
    <row r="81" spans="1:11" x14ac:dyDescent="0.3">
      <c r="A81" s="11">
        <v>30</v>
      </c>
      <c r="B81" s="12">
        <v>45</v>
      </c>
      <c r="D81" s="11">
        <v>7</v>
      </c>
      <c r="E81" s="12">
        <v>59</v>
      </c>
      <c r="G81" s="11">
        <v>31</v>
      </c>
      <c r="H81" s="12">
        <v>16</v>
      </c>
      <c r="J81" s="11">
        <v>38</v>
      </c>
      <c r="K81" s="12">
        <v>60</v>
      </c>
    </row>
    <row r="82" spans="1:11" x14ac:dyDescent="0.3">
      <c r="A82" s="11">
        <v>42</v>
      </c>
      <c r="B82" s="12">
        <v>10</v>
      </c>
      <c r="D82" s="11">
        <v>100</v>
      </c>
      <c r="E82" s="12">
        <v>100</v>
      </c>
      <c r="G82" s="11">
        <v>56</v>
      </c>
      <c r="H82" s="12">
        <v>43</v>
      </c>
      <c r="J82" s="11">
        <v>28</v>
      </c>
      <c r="K82" s="12">
        <v>32</v>
      </c>
    </row>
    <row r="83" spans="1:11" x14ac:dyDescent="0.3">
      <c r="A83" s="11">
        <v>34</v>
      </c>
      <c r="B83" s="12">
        <v>15</v>
      </c>
      <c r="D83" s="11">
        <v>59</v>
      </c>
      <c r="E83" s="12">
        <v>16</v>
      </c>
      <c r="G83" s="11">
        <v>78</v>
      </c>
      <c r="H83" s="12">
        <v>8</v>
      </c>
      <c r="J83" s="11">
        <v>98</v>
      </c>
      <c r="K83" s="12">
        <v>80</v>
      </c>
    </row>
    <row r="84" spans="1:11" x14ac:dyDescent="0.3">
      <c r="A84" s="11">
        <v>53</v>
      </c>
      <c r="B84" s="12">
        <v>10</v>
      </c>
      <c r="D84" s="11">
        <v>23</v>
      </c>
      <c r="E84" s="12">
        <v>82</v>
      </c>
      <c r="G84" s="11">
        <v>90</v>
      </c>
      <c r="H84" s="12">
        <v>25</v>
      </c>
      <c r="J84" s="11">
        <v>4</v>
      </c>
      <c r="K84" s="12">
        <v>76</v>
      </c>
    </row>
    <row r="85" spans="1:11" x14ac:dyDescent="0.3">
      <c r="A85" s="11">
        <v>41</v>
      </c>
      <c r="B85" s="12">
        <v>12</v>
      </c>
      <c r="D85" s="11">
        <v>23</v>
      </c>
      <c r="E85" s="12">
        <v>81</v>
      </c>
      <c r="G85" s="11">
        <v>29</v>
      </c>
      <c r="H85" s="12">
        <v>20</v>
      </c>
      <c r="J85" s="11">
        <v>14</v>
      </c>
      <c r="K85" s="12">
        <v>56</v>
      </c>
    </row>
    <row r="86" spans="1:11" x14ac:dyDescent="0.3">
      <c r="A86" s="11">
        <v>67</v>
      </c>
      <c r="B86" s="12">
        <v>59</v>
      </c>
      <c r="D86" s="11">
        <v>67</v>
      </c>
      <c r="E86" s="12">
        <v>80</v>
      </c>
      <c r="G86" s="11">
        <v>65</v>
      </c>
      <c r="H86" s="12">
        <v>8</v>
      </c>
      <c r="J86" s="11">
        <v>68</v>
      </c>
      <c r="K86" s="12">
        <v>6</v>
      </c>
    </row>
    <row r="87" spans="1:11" x14ac:dyDescent="0.3">
      <c r="A87" s="11">
        <v>8</v>
      </c>
      <c r="B87" s="12">
        <v>78</v>
      </c>
      <c r="D87" s="11">
        <v>18</v>
      </c>
      <c r="E87" s="12">
        <v>61</v>
      </c>
      <c r="G87" s="11">
        <v>24</v>
      </c>
      <c r="H87" s="12">
        <v>22</v>
      </c>
      <c r="J87" s="11">
        <v>87</v>
      </c>
      <c r="K87" s="12">
        <v>62</v>
      </c>
    </row>
    <row r="88" spans="1:11" x14ac:dyDescent="0.3">
      <c r="A88" s="11">
        <v>85</v>
      </c>
      <c r="B88" s="12">
        <v>28</v>
      </c>
      <c r="D88" s="11">
        <v>10</v>
      </c>
      <c r="E88" s="12">
        <v>88</v>
      </c>
      <c r="G88" s="11">
        <v>35</v>
      </c>
      <c r="H88" s="12">
        <v>16</v>
      </c>
      <c r="J88" s="11">
        <v>38</v>
      </c>
      <c r="K88" s="12">
        <v>68</v>
      </c>
    </row>
    <row r="89" spans="1:11" x14ac:dyDescent="0.3">
      <c r="A89" s="11">
        <v>66</v>
      </c>
      <c r="B89" s="12">
        <v>34</v>
      </c>
      <c r="D89" s="11">
        <v>6</v>
      </c>
      <c r="E89" s="12">
        <v>94</v>
      </c>
      <c r="G89" s="11">
        <v>47</v>
      </c>
      <c r="H89" s="12">
        <v>26</v>
      </c>
      <c r="J89" s="11">
        <v>18</v>
      </c>
      <c r="K89" s="12">
        <v>69</v>
      </c>
    </row>
    <row r="90" spans="1:11" x14ac:dyDescent="0.3">
      <c r="A90" s="11">
        <v>63</v>
      </c>
      <c r="B90" s="12">
        <v>32</v>
      </c>
      <c r="D90" s="11">
        <v>45</v>
      </c>
      <c r="E90" s="12">
        <v>86</v>
      </c>
      <c r="G90" s="11">
        <v>11</v>
      </c>
      <c r="H90" s="12">
        <v>88</v>
      </c>
      <c r="J90" s="11">
        <v>65</v>
      </c>
      <c r="K90" s="12">
        <v>45</v>
      </c>
    </row>
    <row r="91" spans="1:11" x14ac:dyDescent="0.3">
      <c r="A91" s="11">
        <v>76</v>
      </c>
      <c r="B91" s="12">
        <v>51</v>
      </c>
      <c r="D91" s="11">
        <v>60</v>
      </c>
      <c r="E91" s="12">
        <v>89</v>
      </c>
      <c r="G91" s="11">
        <v>85</v>
      </c>
      <c r="H91" s="12">
        <v>34</v>
      </c>
      <c r="J91" s="11">
        <v>70</v>
      </c>
      <c r="K91" s="12">
        <v>69</v>
      </c>
    </row>
    <row r="92" spans="1:11" x14ac:dyDescent="0.3">
      <c r="A92" s="11">
        <v>42</v>
      </c>
      <c r="B92" s="12">
        <v>59</v>
      </c>
      <c r="D92" s="11">
        <v>55</v>
      </c>
      <c r="E92" s="12">
        <v>46</v>
      </c>
      <c r="G92" s="11">
        <v>77</v>
      </c>
      <c r="H92" s="12">
        <v>85</v>
      </c>
      <c r="J92" s="11">
        <v>41</v>
      </c>
      <c r="K92" s="12">
        <v>8</v>
      </c>
    </row>
    <row r="93" spans="1:11" x14ac:dyDescent="0.3">
      <c r="A93" s="11">
        <v>20</v>
      </c>
      <c r="B93" s="12">
        <v>5</v>
      </c>
      <c r="D93" s="11">
        <v>76</v>
      </c>
      <c r="E93" s="12">
        <v>21</v>
      </c>
      <c r="G93" s="11">
        <v>11</v>
      </c>
      <c r="H93" s="12">
        <v>96</v>
      </c>
      <c r="J93" s="11">
        <v>61</v>
      </c>
      <c r="K93" s="12">
        <v>96</v>
      </c>
    </row>
    <row r="94" spans="1:11" x14ac:dyDescent="0.3">
      <c r="A94" s="11">
        <v>79</v>
      </c>
      <c r="B94" s="12">
        <v>61</v>
      </c>
      <c r="D94" s="11">
        <v>62</v>
      </c>
      <c r="E94" s="12">
        <v>68</v>
      </c>
      <c r="G94" s="11">
        <v>83</v>
      </c>
      <c r="H94" s="12">
        <v>8</v>
      </c>
      <c r="J94" s="11">
        <v>41</v>
      </c>
      <c r="K94" s="12">
        <v>7</v>
      </c>
    </row>
    <row r="95" spans="1:11" x14ac:dyDescent="0.3">
      <c r="A95" s="11">
        <v>16</v>
      </c>
      <c r="B95" s="12">
        <v>6</v>
      </c>
      <c r="D95" s="11">
        <v>68</v>
      </c>
      <c r="E95" s="12">
        <v>59</v>
      </c>
      <c r="G95" s="11">
        <v>19</v>
      </c>
      <c r="H95" s="12">
        <v>59</v>
      </c>
      <c r="J95" s="11">
        <v>43</v>
      </c>
      <c r="K95" s="12">
        <v>28</v>
      </c>
    </row>
    <row r="96" spans="1:11" x14ac:dyDescent="0.3">
      <c r="A96" s="11">
        <v>78</v>
      </c>
      <c r="B96" s="12">
        <v>66</v>
      </c>
      <c r="D96" s="11">
        <v>95</v>
      </c>
      <c r="E96" s="12">
        <v>83</v>
      </c>
      <c r="G96" s="11">
        <v>84</v>
      </c>
      <c r="H96" s="12">
        <v>12</v>
      </c>
      <c r="J96" s="11">
        <v>98</v>
      </c>
      <c r="K96" s="12">
        <v>81</v>
      </c>
    </row>
    <row r="97" spans="1:11" x14ac:dyDescent="0.3">
      <c r="A97" s="11">
        <v>49</v>
      </c>
      <c r="B97" s="12">
        <v>34</v>
      </c>
      <c r="D97" s="11">
        <v>6</v>
      </c>
      <c r="E97" s="12">
        <v>74</v>
      </c>
      <c r="G97" s="11">
        <v>79</v>
      </c>
      <c r="H97" s="12">
        <v>66</v>
      </c>
      <c r="J97" s="11">
        <v>67</v>
      </c>
      <c r="K97" s="12">
        <v>33</v>
      </c>
    </row>
    <row r="98" spans="1:11" x14ac:dyDescent="0.3">
      <c r="A98" s="11">
        <v>42</v>
      </c>
      <c r="B98" s="12">
        <v>68</v>
      </c>
      <c r="D98" s="11">
        <v>32</v>
      </c>
      <c r="E98" s="12">
        <v>26</v>
      </c>
      <c r="G98" s="11">
        <v>75</v>
      </c>
      <c r="H98" s="12">
        <v>44</v>
      </c>
      <c r="J98" s="11">
        <v>75</v>
      </c>
      <c r="K98" s="12">
        <v>48</v>
      </c>
    </row>
    <row r="99" spans="1:11" x14ac:dyDescent="0.3">
      <c r="A99" s="11">
        <v>13</v>
      </c>
      <c r="B99" s="12">
        <v>5</v>
      </c>
      <c r="D99" s="11">
        <v>29</v>
      </c>
      <c r="E99" s="12">
        <v>23</v>
      </c>
      <c r="G99" s="11">
        <v>90</v>
      </c>
      <c r="H99" s="12">
        <v>47</v>
      </c>
      <c r="J99" s="11">
        <v>89</v>
      </c>
      <c r="K99" s="12">
        <v>9</v>
      </c>
    </row>
    <row r="100" spans="1:11" x14ac:dyDescent="0.3">
      <c r="A100" s="11">
        <v>62</v>
      </c>
      <c r="B100" s="12">
        <v>94</v>
      </c>
      <c r="D100" s="11">
        <v>18</v>
      </c>
      <c r="E100" s="12">
        <v>39</v>
      </c>
      <c r="G100" s="11">
        <v>58</v>
      </c>
      <c r="H100" s="12">
        <v>58</v>
      </c>
      <c r="J100" s="11">
        <v>77</v>
      </c>
      <c r="K100" s="12">
        <v>39</v>
      </c>
    </row>
    <row r="101" spans="1:11" x14ac:dyDescent="0.3">
      <c r="A101" s="11">
        <v>60</v>
      </c>
      <c r="B101" s="12">
        <v>30</v>
      </c>
      <c r="D101" s="11">
        <v>31</v>
      </c>
      <c r="E101" s="12">
        <v>28</v>
      </c>
      <c r="G101" s="11">
        <v>42</v>
      </c>
      <c r="H101" s="12">
        <v>21</v>
      </c>
      <c r="J101" s="11">
        <v>33</v>
      </c>
      <c r="K101" s="12">
        <v>46</v>
      </c>
    </row>
    <row r="102" spans="1:11" x14ac:dyDescent="0.3">
      <c r="A102" s="11">
        <v>87</v>
      </c>
      <c r="B102" s="12">
        <v>57</v>
      </c>
      <c r="D102" s="11">
        <v>38</v>
      </c>
      <c r="E102" s="12">
        <v>79</v>
      </c>
      <c r="G102" s="11">
        <v>97</v>
      </c>
      <c r="H102" s="12">
        <v>86</v>
      </c>
      <c r="J102" s="11">
        <v>60</v>
      </c>
      <c r="K102" s="12">
        <v>88</v>
      </c>
    </row>
    <row r="103" spans="1:11" x14ac:dyDescent="0.3">
      <c r="A103" s="11">
        <v>60</v>
      </c>
      <c r="B103" s="12">
        <v>53</v>
      </c>
      <c r="D103" s="11">
        <v>35</v>
      </c>
      <c r="E103" s="12">
        <v>77</v>
      </c>
      <c r="G103" s="11">
        <v>16</v>
      </c>
      <c r="H103" s="12">
        <v>90</v>
      </c>
      <c r="J103" s="11">
        <v>23</v>
      </c>
      <c r="K103" s="12">
        <v>69</v>
      </c>
    </row>
    <row r="104" spans="1:11" x14ac:dyDescent="0.3">
      <c r="A104" s="11">
        <v>32</v>
      </c>
      <c r="B104" s="12">
        <v>35</v>
      </c>
      <c r="D104" s="11">
        <v>67</v>
      </c>
      <c r="E104" s="12">
        <v>53</v>
      </c>
      <c r="G104" s="11">
        <v>87</v>
      </c>
      <c r="H104" s="12">
        <v>94</v>
      </c>
      <c r="J104" s="11">
        <v>20</v>
      </c>
      <c r="K104" s="12">
        <v>13</v>
      </c>
    </row>
    <row r="105" spans="1:11" x14ac:dyDescent="0.3">
      <c r="A105" s="11">
        <v>83</v>
      </c>
      <c r="B105" s="12">
        <v>77</v>
      </c>
      <c r="D105" s="11">
        <v>35</v>
      </c>
      <c r="E105" s="12">
        <v>74</v>
      </c>
      <c r="G105" s="11">
        <v>68</v>
      </c>
      <c r="H105" s="12">
        <v>29</v>
      </c>
      <c r="J105" s="11">
        <v>71</v>
      </c>
      <c r="K105" s="12">
        <v>14</v>
      </c>
    </row>
    <row r="106" spans="1:11" x14ac:dyDescent="0.3">
      <c r="A106" s="11">
        <v>11</v>
      </c>
      <c r="B106" s="12">
        <v>85</v>
      </c>
      <c r="D106" s="11">
        <v>7</v>
      </c>
      <c r="E106" s="12">
        <v>78</v>
      </c>
      <c r="G106" s="11">
        <v>24</v>
      </c>
      <c r="H106" s="12">
        <v>99</v>
      </c>
      <c r="J106" s="11">
        <v>41</v>
      </c>
      <c r="K106" s="12">
        <v>69</v>
      </c>
    </row>
    <row r="107" spans="1:11" x14ac:dyDescent="0.3">
      <c r="A107" s="11">
        <v>63</v>
      </c>
      <c r="B107" s="12">
        <v>7</v>
      </c>
      <c r="D107" s="11">
        <v>72</v>
      </c>
      <c r="E107" s="12">
        <v>61</v>
      </c>
      <c r="G107" s="11">
        <v>9</v>
      </c>
      <c r="H107" s="12">
        <v>61</v>
      </c>
      <c r="J107" s="11">
        <v>92</v>
      </c>
      <c r="K107" s="12">
        <v>51</v>
      </c>
    </row>
    <row r="108" spans="1:11" x14ac:dyDescent="0.3">
      <c r="A108" s="11">
        <v>44</v>
      </c>
      <c r="B108" s="12">
        <v>64</v>
      </c>
      <c r="D108" s="11">
        <v>51</v>
      </c>
      <c r="E108" s="12">
        <v>49</v>
      </c>
      <c r="G108" s="11">
        <v>39</v>
      </c>
      <c r="H108" s="12">
        <v>57</v>
      </c>
      <c r="J108" s="11">
        <v>78</v>
      </c>
      <c r="K108" s="12">
        <v>27</v>
      </c>
    </row>
    <row r="109" spans="1:11" x14ac:dyDescent="0.3">
      <c r="A109" s="11">
        <v>57</v>
      </c>
      <c r="B109" s="12">
        <v>61</v>
      </c>
      <c r="D109" s="11">
        <v>7</v>
      </c>
      <c r="E109" s="12">
        <v>77</v>
      </c>
      <c r="G109" s="11">
        <v>81</v>
      </c>
      <c r="H109" s="12">
        <v>97</v>
      </c>
      <c r="J109" s="11">
        <v>4</v>
      </c>
      <c r="K109" s="12">
        <v>100</v>
      </c>
    </row>
    <row r="110" spans="1:11" x14ac:dyDescent="0.3">
      <c r="A110" s="11">
        <v>79</v>
      </c>
      <c r="B110" s="12">
        <v>24</v>
      </c>
      <c r="D110" s="11">
        <v>55</v>
      </c>
      <c r="E110" s="12">
        <v>48</v>
      </c>
      <c r="G110" s="11">
        <v>23</v>
      </c>
      <c r="H110" s="12">
        <v>95</v>
      </c>
      <c r="J110" s="11">
        <v>16</v>
      </c>
      <c r="K110" s="12">
        <v>76</v>
      </c>
    </row>
    <row r="111" spans="1:11" x14ac:dyDescent="0.3">
      <c r="A111" s="11">
        <v>8</v>
      </c>
      <c r="B111" s="12">
        <v>97</v>
      </c>
      <c r="D111" s="11">
        <v>40</v>
      </c>
      <c r="E111" s="12">
        <v>82</v>
      </c>
      <c r="G111" s="11">
        <v>41</v>
      </c>
      <c r="H111" s="12">
        <v>57</v>
      </c>
      <c r="J111" s="11">
        <v>71</v>
      </c>
      <c r="K111" s="12">
        <v>42</v>
      </c>
    </row>
    <row r="112" spans="1:11" x14ac:dyDescent="0.3">
      <c r="A112" s="11">
        <v>42</v>
      </c>
      <c r="B112" s="12">
        <v>96</v>
      </c>
      <c r="D112" s="11">
        <v>42</v>
      </c>
      <c r="E112" s="12">
        <v>77</v>
      </c>
      <c r="G112" s="11">
        <v>54</v>
      </c>
      <c r="H112" s="12">
        <v>55</v>
      </c>
      <c r="J112" s="11">
        <v>76</v>
      </c>
      <c r="K112" s="12">
        <v>66</v>
      </c>
    </row>
    <row r="113" spans="1:11" x14ac:dyDescent="0.3">
      <c r="A113" s="11">
        <v>59</v>
      </c>
      <c r="B113" s="12">
        <v>18</v>
      </c>
      <c r="D113" s="11">
        <v>36</v>
      </c>
      <c r="E113" s="12">
        <v>15</v>
      </c>
      <c r="G113" s="11">
        <v>71</v>
      </c>
      <c r="H113" s="12">
        <v>69</v>
      </c>
      <c r="J113" s="11">
        <v>95</v>
      </c>
      <c r="K113" s="12">
        <v>74</v>
      </c>
    </row>
    <row r="114" spans="1:11" x14ac:dyDescent="0.3">
      <c r="A114" s="11">
        <v>21</v>
      </c>
      <c r="B114" s="12">
        <v>51</v>
      </c>
      <c r="D114" s="11">
        <v>46</v>
      </c>
      <c r="E114" s="12">
        <v>25</v>
      </c>
      <c r="G114" s="11">
        <v>72</v>
      </c>
      <c r="H114" s="12">
        <v>35</v>
      </c>
      <c r="J114" s="11">
        <v>71</v>
      </c>
      <c r="K114" s="12">
        <v>99</v>
      </c>
    </row>
    <row r="115" spans="1:11" x14ac:dyDescent="0.3">
      <c r="A115" s="11">
        <v>54</v>
      </c>
      <c r="B115" s="12">
        <v>64</v>
      </c>
      <c r="D115" s="11">
        <v>44</v>
      </c>
      <c r="E115" s="12">
        <v>79</v>
      </c>
      <c r="G115" s="11">
        <v>48</v>
      </c>
      <c r="H115" s="12">
        <v>94</v>
      </c>
      <c r="J115" s="11">
        <v>20</v>
      </c>
      <c r="K115" s="12">
        <v>68</v>
      </c>
    </row>
    <row r="116" spans="1:11" x14ac:dyDescent="0.3">
      <c r="A116" s="11">
        <v>65</v>
      </c>
      <c r="B116" s="12">
        <v>72</v>
      </c>
      <c r="D116" s="11">
        <v>32</v>
      </c>
      <c r="E116" s="12">
        <v>96</v>
      </c>
      <c r="G116" s="11">
        <v>17</v>
      </c>
      <c r="H116" s="12">
        <v>69</v>
      </c>
      <c r="J116" s="11">
        <v>91</v>
      </c>
      <c r="K116" s="12">
        <v>3</v>
      </c>
    </row>
    <row r="117" spans="1:11" x14ac:dyDescent="0.3">
      <c r="A117" s="11">
        <v>94</v>
      </c>
      <c r="B117" s="12">
        <v>58</v>
      </c>
      <c r="D117" s="11">
        <v>69</v>
      </c>
      <c r="E117" s="12">
        <v>9</v>
      </c>
      <c r="G117" s="11">
        <v>78</v>
      </c>
      <c r="H117" s="12">
        <v>15</v>
      </c>
      <c r="J117" s="11">
        <v>78</v>
      </c>
      <c r="K117" s="12">
        <v>87</v>
      </c>
    </row>
    <row r="118" spans="1:11" x14ac:dyDescent="0.3">
      <c r="A118" s="11">
        <v>82</v>
      </c>
      <c r="B118" s="12">
        <v>68</v>
      </c>
      <c r="D118" s="11">
        <v>92</v>
      </c>
      <c r="E118" s="12">
        <v>87</v>
      </c>
      <c r="G118" s="11">
        <v>60</v>
      </c>
      <c r="H118" s="12">
        <v>74</v>
      </c>
      <c r="J118" s="11">
        <v>55</v>
      </c>
      <c r="K118" s="12">
        <v>65</v>
      </c>
    </row>
    <row r="119" spans="1:11" x14ac:dyDescent="0.3">
      <c r="A119" s="11">
        <v>12</v>
      </c>
      <c r="B119" s="12">
        <v>2</v>
      </c>
      <c r="D119" s="11">
        <v>66</v>
      </c>
      <c r="E119" s="12">
        <v>40</v>
      </c>
      <c r="G119" s="11">
        <v>56</v>
      </c>
      <c r="H119" s="12">
        <v>38</v>
      </c>
      <c r="J119" s="11">
        <v>86</v>
      </c>
      <c r="K119" s="12">
        <v>98</v>
      </c>
    </row>
    <row r="120" spans="1:11" x14ac:dyDescent="0.3">
      <c r="A120" s="11">
        <v>2</v>
      </c>
      <c r="B120" s="12">
        <v>42</v>
      </c>
      <c r="D120" s="11">
        <v>71</v>
      </c>
      <c r="E120" s="12">
        <v>30</v>
      </c>
      <c r="G120" s="11">
        <v>64</v>
      </c>
      <c r="H120" s="12">
        <v>97</v>
      </c>
      <c r="J120" s="11">
        <v>97</v>
      </c>
      <c r="K120" s="12">
        <v>22</v>
      </c>
    </row>
    <row r="121" spans="1:11" x14ac:dyDescent="0.3">
      <c r="A121" s="11">
        <v>15</v>
      </c>
      <c r="B121" s="12">
        <v>18</v>
      </c>
      <c r="D121" s="11">
        <v>34</v>
      </c>
      <c r="E121" s="12">
        <v>58</v>
      </c>
      <c r="G121" s="11">
        <v>30</v>
      </c>
      <c r="H121" s="12">
        <v>70</v>
      </c>
      <c r="J121" s="11">
        <v>21</v>
      </c>
      <c r="K121" s="12">
        <v>51</v>
      </c>
    </row>
    <row r="122" spans="1:11" x14ac:dyDescent="0.3">
      <c r="A122" s="11">
        <v>40</v>
      </c>
      <c r="B122" s="12">
        <v>84</v>
      </c>
      <c r="D122" s="11">
        <v>73</v>
      </c>
      <c r="E122" s="12">
        <v>76</v>
      </c>
      <c r="G122" s="11">
        <v>49</v>
      </c>
      <c r="H122" s="12">
        <v>59</v>
      </c>
      <c r="J122" s="11">
        <v>2</v>
      </c>
      <c r="K122" s="12">
        <v>57</v>
      </c>
    </row>
    <row r="123" spans="1:11" x14ac:dyDescent="0.3">
      <c r="A123" s="11">
        <v>44</v>
      </c>
      <c r="B123" s="12">
        <v>2</v>
      </c>
      <c r="D123" s="11">
        <v>15</v>
      </c>
      <c r="E123" s="12">
        <v>28</v>
      </c>
      <c r="G123" s="11">
        <v>43</v>
      </c>
      <c r="H123" s="12">
        <v>100</v>
      </c>
      <c r="J123" s="11">
        <v>86</v>
      </c>
      <c r="K123" s="12">
        <v>45</v>
      </c>
    </row>
    <row r="124" spans="1:11" ht="15" thickBot="1" x14ac:dyDescent="0.35">
      <c r="A124" s="11">
        <v>5</v>
      </c>
      <c r="B124" s="12">
        <v>71</v>
      </c>
      <c r="D124" s="11">
        <v>80</v>
      </c>
      <c r="E124" s="12">
        <v>25</v>
      </c>
      <c r="G124" s="13">
        <v>43</v>
      </c>
      <c r="H124" s="14">
        <v>14</v>
      </c>
      <c r="J124" s="11">
        <v>98</v>
      </c>
      <c r="K124" s="12">
        <v>65</v>
      </c>
    </row>
    <row r="125" spans="1:11" x14ac:dyDescent="0.3">
      <c r="A125" s="11">
        <v>76</v>
      </c>
      <c r="B125" s="12">
        <v>76</v>
      </c>
      <c r="D125" s="11">
        <v>21</v>
      </c>
      <c r="E125" s="12">
        <v>81</v>
      </c>
      <c r="G125">
        <v>46</v>
      </c>
      <c r="H125">
        <v>38</v>
      </c>
      <c r="J125" s="11">
        <v>23</v>
      </c>
      <c r="K125" s="12">
        <v>1</v>
      </c>
    </row>
    <row r="126" spans="1:11" x14ac:dyDescent="0.3">
      <c r="A126" s="11">
        <v>24</v>
      </c>
      <c r="B126" s="12">
        <v>81</v>
      </c>
      <c r="D126" s="11">
        <v>61</v>
      </c>
      <c r="E126" s="12">
        <v>32</v>
      </c>
      <c r="G126">
        <v>35</v>
      </c>
      <c r="H126">
        <v>84</v>
      </c>
      <c r="J126" s="11">
        <v>19</v>
      </c>
      <c r="K126" s="12">
        <v>54</v>
      </c>
    </row>
    <row r="127" spans="1:11" x14ac:dyDescent="0.3">
      <c r="A127" s="11">
        <v>54</v>
      </c>
      <c r="B127" s="12">
        <v>96</v>
      </c>
      <c r="D127" s="11">
        <v>13</v>
      </c>
      <c r="E127" s="12">
        <v>90</v>
      </c>
      <c r="G127">
        <v>48</v>
      </c>
      <c r="H127">
        <v>34</v>
      </c>
      <c r="J127" s="11">
        <v>9</v>
      </c>
      <c r="K127" s="12">
        <v>46</v>
      </c>
    </row>
    <row r="128" spans="1:11" x14ac:dyDescent="0.3">
      <c r="A128" s="11">
        <v>6</v>
      </c>
      <c r="B128" s="12">
        <v>31</v>
      </c>
      <c r="D128" s="11">
        <v>11</v>
      </c>
      <c r="E128" s="12">
        <v>58</v>
      </c>
      <c r="G128">
        <v>98</v>
      </c>
      <c r="H128">
        <v>18</v>
      </c>
      <c r="J128" s="11">
        <v>34</v>
      </c>
      <c r="K128" s="12">
        <v>96</v>
      </c>
    </row>
    <row r="129" spans="1:11" ht="15" thickBot="1" x14ac:dyDescent="0.35">
      <c r="A129" s="13">
        <v>78</v>
      </c>
      <c r="B129" s="14">
        <v>35</v>
      </c>
      <c r="D129" s="11">
        <v>26</v>
      </c>
      <c r="E129" s="12">
        <v>92</v>
      </c>
      <c r="G129">
        <v>17</v>
      </c>
      <c r="H129">
        <v>89</v>
      </c>
      <c r="J129" s="11">
        <v>65</v>
      </c>
      <c r="K129" s="12">
        <v>32</v>
      </c>
    </row>
    <row r="130" spans="1:11" x14ac:dyDescent="0.3">
      <c r="A130">
        <v>66</v>
      </c>
      <c r="B130">
        <v>27</v>
      </c>
      <c r="D130" s="11">
        <v>24</v>
      </c>
      <c r="E130" s="12">
        <v>85</v>
      </c>
      <c r="G130">
        <v>47</v>
      </c>
      <c r="H130">
        <v>68</v>
      </c>
      <c r="J130" s="11">
        <v>24</v>
      </c>
      <c r="K130" s="12">
        <v>71</v>
      </c>
    </row>
    <row r="131" spans="1:11" x14ac:dyDescent="0.3">
      <c r="A131">
        <v>1</v>
      </c>
      <c r="B131">
        <v>10</v>
      </c>
      <c r="D131" s="11">
        <v>32</v>
      </c>
      <c r="E131" s="12">
        <v>80</v>
      </c>
      <c r="G131">
        <v>42</v>
      </c>
      <c r="H131">
        <v>56</v>
      </c>
      <c r="J131" s="11">
        <v>42</v>
      </c>
      <c r="K131" s="12">
        <v>96</v>
      </c>
    </row>
    <row r="132" spans="1:11" x14ac:dyDescent="0.3">
      <c r="A132">
        <v>90</v>
      </c>
      <c r="B132">
        <v>72</v>
      </c>
      <c r="D132" s="11">
        <v>38</v>
      </c>
      <c r="E132" s="12">
        <v>63</v>
      </c>
      <c r="G132">
        <v>76</v>
      </c>
      <c r="H132">
        <v>57</v>
      </c>
      <c r="J132" s="11">
        <v>46</v>
      </c>
      <c r="K132" s="12">
        <v>27</v>
      </c>
    </row>
    <row r="133" spans="1:11" x14ac:dyDescent="0.3">
      <c r="A133">
        <v>31</v>
      </c>
      <c r="B133">
        <v>29</v>
      </c>
      <c r="D133" s="11">
        <v>30</v>
      </c>
      <c r="E133" s="12">
        <v>19</v>
      </c>
      <c r="G133">
        <v>21</v>
      </c>
      <c r="H133">
        <v>75</v>
      </c>
      <c r="J133" s="11">
        <v>25</v>
      </c>
      <c r="K133" s="12">
        <v>13</v>
      </c>
    </row>
    <row r="134" spans="1:11" x14ac:dyDescent="0.3">
      <c r="A134">
        <v>91</v>
      </c>
      <c r="B134">
        <v>41</v>
      </c>
      <c r="D134" s="11">
        <v>67</v>
      </c>
      <c r="E134" s="12">
        <v>9</v>
      </c>
      <c r="G134">
        <v>80</v>
      </c>
      <c r="H134">
        <v>70</v>
      </c>
      <c r="J134" s="11">
        <v>32</v>
      </c>
      <c r="K134" s="12">
        <v>46</v>
      </c>
    </row>
    <row r="135" spans="1:11" x14ac:dyDescent="0.3">
      <c r="A135">
        <v>86</v>
      </c>
      <c r="B135">
        <v>27</v>
      </c>
      <c r="D135" s="11">
        <v>99</v>
      </c>
      <c r="E135" s="12">
        <v>44</v>
      </c>
      <c r="G135">
        <v>79</v>
      </c>
      <c r="H135">
        <v>17</v>
      </c>
      <c r="J135" s="11">
        <v>4</v>
      </c>
      <c r="K135" s="12">
        <v>76</v>
      </c>
    </row>
    <row r="136" spans="1:11" ht="15" thickBot="1" x14ac:dyDescent="0.35">
      <c r="A136">
        <v>27</v>
      </c>
      <c r="B136">
        <v>42</v>
      </c>
      <c r="D136" s="11">
        <v>63</v>
      </c>
      <c r="E136" s="12">
        <v>53</v>
      </c>
      <c r="G136">
        <v>85</v>
      </c>
      <c r="H136">
        <v>30</v>
      </c>
      <c r="J136" s="13">
        <v>33</v>
      </c>
      <c r="K136" s="14">
        <v>26</v>
      </c>
    </row>
    <row r="137" spans="1:11" x14ac:dyDescent="0.3">
      <c r="A137">
        <v>88</v>
      </c>
      <c r="B137">
        <v>19</v>
      </c>
      <c r="D137" s="11">
        <v>46</v>
      </c>
      <c r="E137" s="12">
        <v>92</v>
      </c>
      <c r="G137">
        <v>76</v>
      </c>
      <c r="H137">
        <v>24</v>
      </c>
      <c r="J137">
        <v>17</v>
      </c>
      <c r="K137">
        <v>36</v>
      </c>
    </row>
    <row r="138" spans="1:11" x14ac:dyDescent="0.3">
      <c r="A138">
        <v>35</v>
      </c>
      <c r="B138">
        <v>99</v>
      </c>
      <c r="D138" s="11">
        <v>87</v>
      </c>
      <c r="E138" s="12">
        <v>97</v>
      </c>
      <c r="G138">
        <v>19</v>
      </c>
      <c r="H138">
        <v>96</v>
      </c>
      <c r="J138">
        <v>8</v>
      </c>
      <c r="K138">
        <v>27</v>
      </c>
    </row>
    <row r="139" spans="1:11" x14ac:dyDescent="0.3">
      <c r="A139">
        <v>95</v>
      </c>
      <c r="B139">
        <v>89</v>
      </c>
      <c r="D139" s="11">
        <v>59</v>
      </c>
      <c r="E139" s="12">
        <v>47</v>
      </c>
      <c r="G139">
        <v>80</v>
      </c>
      <c r="H139">
        <v>82</v>
      </c>
      <c r="J139">
        <v>6</v>
      </c>
      <c r="K139">
        <v>92</v>
      </c>
    </row>
    <row r="140" spans="1:11" x14ac:dyDescent="0.3">
      <c r="A140">
        <v>6</v>
      </c>
      <c r="B140">
        <v>95</v>
      </c>
      <c r="D140" s="11">
        <v>98</v>
      </c>
      <c r="E140" s="12">
        <v>22</v>
      </c>
      <c r="G140">
        <v>41</v>
      </c>
      <c r="H140">
        <v>1</v>
      </c>
      <c r="J140">
        <v>62</v>
      </c>
      <c r="K140">
        <v>65</v>
      </c>
    </row>
    <row r="141" spans="1:11" x14ac:dyDescent="0.3">
      <c r="A141">
        <v>62</v>
      </c>
      <c r="B141">
        <v>29</v>
      </c>
      <c r="D141" s="11">
        <v>12</v>
      </c>
      <c r="E141" s="12">
        <v>45</v>
      </c>
      <c r="G141">
        <v>52</v>
      </c>
      <c r="H141">
        <v>2</v>
      </c>
      <c r="J141">
        <v>4</v>
      </c>
      <c r="K141">
        <v>70</v>
      </c>
    </row>
    <row r="142" spans="1:11" x14ac:dyDescent="0.3">
      <c r="A142">
        <v>42</v>
      </c>
      <c r="B142">
        <v>6</v>
      </c>
      <c r="D142" s="11">
        <v>1</v>
      </c>
      <c r="E142" s="12">
        <v>67</v>
      </c>
      <c r="G142">
        <v>67</v>
      </c>
      <c r="H142">
        <v>62</v>
      </c>
      <c r="J142">
        <v>94</v>
      </c>
      <c r="K142">
        <v>40</v>
      </c>
    </row>
    <row r="143" spans="1:11" x14ac:dyDescent="0.3">
      <c r="A143">
        <v>64</v>
      </c>
      <c r="B143">
        <v>16</v>
      </c>
      <c r="D143" s="11">
        <v>82</v>
      </c>
      <c r="E143" s="12">
        <v>88</v>
      </c>
      <c r="G143">
        <v>11</v>
      </c>
      <c r="H143">
        <v>37</v>
      </c>
      <c r="J143">
        <v>72</v>
      </c>
      <c r="K143">
        <v>6</v>
      </c>
    </row>
    <row r="144" spans="1:11" x14ac:dyDescent="0.3">
      <c r="A144">
        <v>17</v>
      </c>
      <c r="B144">
        <v>15</v>
      </c>
      <c r="D144" s="11">
        <v>34</v>
      </c>
      <c r="E144" s="12">
        <v>77</v>
      </c>
      <c r="G144">
        <v>50</v>
      </c>
      <c r="H144">
        <v>100</v>
      </c>
      <c r="J144">
        <v>85</v>
      </c>
      <c r="K144">
        <v>30</v>
      </c>
    </row>
    <row r="145" spans="1:11" x14ac:dyDescent="0.3">
      <c r="A145">
        <v>6</v>
      </c>
      <c r="B145">
        <v>64</v>
      </c>
      <c r="D145" s="11">
        <v>55</v>
      </c>
      <c r="E145" s="12">
        <v>61</v>
      </c>
      <c r="G145">
        <v>48</v>
      </c>
      <c r="H145">
        <v>63</v>
      </c>
      <c r="J145">
        <v>66</v>
      </c>
      <c r="K145">
        <v>10</v>
      </c>
    </row>
    <row r="146" spans="1:11" x14ac:dyDescent="0.3">
      <c r="A146">
        <v>14</v>
      </c>
      <c r="B146">
        <v>39</v>
      </c>
      <c r="D146" s="11">
        <v>85</v>
      </c>
      <c r="E146" s="12">
        <v>2</v>
      </c>
      <c r="G146">
        <v>32</v>
      </c>
      <c r="H146">
        <v>30</v>
      </c>
      <c r="J146">
        <v>48</v>
      </c>
      <c r="K146">
        <v>18</v>
      </c>
    </row>
    <row r="147" spans="1:11" x14ac:dyDescent="0.3">
      <c r="A147">
        <v>89</v>
      </c>
      <c r="B147">
        <v>52</v>
      </c>
      <c r="D147" s="11">
        <v>91</v>
      </c>
      <c r="E147" s="12">
        <v>62</v>
      </c>
      <c r="G147">
        <v>70</v>
      </c>
      <c r="H147">
        <v>19</v>
      </c>
      <c r="J147">
        <v>36</v>
      </c>
      <c r="K147">
        <v>17</v>
      </c>
    </row>
    <row r="148" spans="1:11" x14ac:dyDescent="0.3">
      <c r="A148">
        <v>71</v>
      </c>
      <c r="B148">
        <v>98</v>
      </c>
      <c r="D148" s="11">
        <v>90</v>
      </c>
      <c r="E148" s="12">
        <v>20</v>
      </c>
      <c r="G148">
        <v>95</v>
      </c>
      <c r="H148">
        <v>7</v>
      </c>
      <c r="J148">
        <v>76</v>
      </c>
      <c r="K148">
        <v>18</v>
      </c>
    </row>
    <row r="149" spans="1:11" x14ac:dyDescent="0.3">
      <c r="A149">
        <v>74</v>
      </c>
      <c r="B149">
        <v>73</v>
      </c>
      <c r="D149" s="11">
        <v>58</v>
      </c>
      <c r="E149" s="12">
        <v>24</v>
      </c>
      <c r="G149">
        <v>74</v>
      </c>
      <c r="H149">
        <v>10</v>
      </c>
      <c r="J149">
        <v>96</v>
      </c>
      <c r="K149">
        <v>28</v>
      </c>
    </row>
    <row r="150" spans="1:11" x14ac:dyDescent="0.3">
      <c r="A150">
        <v>8</v>
      </c>
      <c r="B150">
        <v>11</v>
      </c>
      <c r="D150" s="11">
        <v>27</v>
      </c>
      <c r="E150" s="12">
        <v>55</v>
      </c>
      <c r="G150">
        <v>6</v>
      </c>
      <c r="H150">
        <v>67</v>
      </c>
      <c r="J150">
        <v>73</v>
      </c>
      <c r="K150">
        <v>98</v>
      </c>
    </row>
    <row r="151" spans="1:11" ht="15" thickBot="1" x14ac:dyDescent="0.35">
      <c r="A151">
        <v>16</v>
      </c>
      <c r="B151">
        <v>57</v>
      </c>
      <c r="D151" s="13">
        <v>49</v>
      </c>
      <c r="E151" s="14">
        <v>48</v>
      </c>
      <c r="G151">
        <v>79</v>
      </c>
      <c r="H151">
        <v>76</v>
      </c>
      <c r="J151">
        <v>29</v>
      </c>
      <c r="K151">
        <v>51</v>
      </c>
    </row>
    <row r="152" spans="1:11" x14ac:dyDescent="0.3">
      <c r="A152">
        <v>78</v>
      </c>
      <c r="B152">
        <v>49</v>
      </c>
      <c r="D152">
        <v>86</v>
      </c>
      <c r="E152">
        <v>51</v>
      </c>
      <c r="G152">
        <v>51</v>
      </c>
      <c r="H152">
        <v>74</v>
      </c>
      <c r="J152">
        <v>51</v>
      </c>
      <c r="K152">
        <v>30</v>
      </c>
    </row>
    <row r="153" spans="1:11" x14ac:dyDescent="0.3">
      <c r="A153">
        <v>10</v>
      </c>
      <c r="B153">
        <v>37</v>
      </c>
      <c r="D153">
        <v>88</v>
      </c>
      <c r="E153">
        <v>41</v>
      </c>
      <c r="G153">
        <v>44</v>
      </c>
      <c r="H153">
        <v>73</v>
      </c>
      <c r="J153">
        <v>58</v>
      </c>
      <c r="K153">
        <v>77</v>
      </c>
    </row>
    <row r="154" spans="1:11" x14ac:dyDescent="0.3">
      <c r="A154">
        <v>2</v>
      </c>
      <c r="B154">
        <v>88</v>
      </c>
      <c r="D154">
        <v>78</v>
      </c>
      <c r="E154">
        <v>36</v>
      </c>
      <c r="G154">
        <v>99</v>
      </c>
      <c r="H154">
        <v>31</v>
      </c>
      <c r="J154">
        <v>38</v>
      </c>
      <c r="K154">
        <v>5</v>
      </c>
    </row>
    <row r="155" spans="1:11" x14ac:dyDescent="0.3">
      <c r="A155">
        <v>78</v>
      </c>
      <c r="B155">
        <v>40</v>
      </c>
      <c r="D155">
        <v>76</v>
      </c>
      <c r="E155">
        <v>96</v>
      </c>
      <c r="G155">
        <v>78</v>
      </c>
      <c r="H155">
        <v>33</v>
      </c>
      <c r="J155">
        <v>59</v>
      </c>
      <c r="K155">
        <v>27</v>
      </c>
    </row>
    <row r="156" spans="1:11" x14ac:dyDescent="0.3">
      <c r="A156">
        <v>85</v>
      </c>
      <c r="B156">
        <v>93</v>
      </c>
      <c r="D156">
        <v>26</v>
      </c>
      <c r="E156">
        <v>50</v>
      </c>
      <c r="G156">
        <v>99</v>
      </c>
      <c r="H156">
        <v>45</v>
      </c>
      <c r="J156">
        <v>48</v>
      </c>
      <c r="K156">
        <v>60</v>
      </c>
    </row>
    <row r="157" spans="1:11" x14ac:dyDescent="0.3">
      <c r="A157">
        <v>69</v>
      </c>
      <c r="B157">
        <v>91</v>
      </c>
      <c r="D157">
        <v>33</v>
      </c>
      <c r="E157">
        <v>11</v>
      </c>
      <c r="G157">
        <v>81</v>
      </c>
      <c r="H157">
        <v>31</v>
      </c>
      <c r="J157">
        <v>58</v>
      </c>
      <c r="K157">
        <v>6</v>
      </c>
    </row>
    <row r="158" spans="1:11" x14ac:dyDescent="0.3">
      <c r="A158">
        <v>19</v>
      </c>
      <c r="B158">
        <v>14</v>
      </c>
      <c r="D158">
        <v>23</v>
      </c>
      <c r="E158">
        <v>72</v>
      </c>
      <c r="G158">
        <v>17</v>
      </c>
      <c r="H158">
        <v>35</v>
      </c>
      <c r="J158">
        <v>94</v>
      </c>
      <c r="K158">
        <v>70</v>
      </c>
    </row>
    <row r="159" spans="1:11" x14ac:dyDescent="0.3">
      <c r="A159">
        <v>68</v>
      </c>
      <c r="B159">
        <v>49</v>
      </c>
      <c r="D159">
        <v>78</v>
      </c>
      <c r="E159">
        <v>61</v>
      </c>
      <c r="G159">
        <v>52</v>
      </c>
      <c r="H159">
        <v>63</v>
      </c>
      <c r="J159">
        <v>2</v>
      </c>
      <c r="K159">
        <v>53</v>
      </c>
    </row>
    <row r="160" spans="1:11" x14ac:dyDescent="0.3">
      <c r="A160">
        <v>89</v>
      </c>
      <c r="B160">
        <v>32</v>
      </c>
      <c r="D160">
        <v>14</v>
      </c>
      <c r="E160">
        <v>21</v>
      </c>
      <c r="G160">
        <v>29</v>
      </c>
      <c r="H160">
        <v>63</v>
      </c>
      <c r="J160">
        <v>85</v>
      </c>
      <c r="K160">
        <v>19</v>
      </c>
    </row>
    <row r="161" spans="1:11" x14ac:dyDescent="0.3">
      <c r="A161">
        <v>88</v>
      </c>
      <c r="B161">
        <v>44</v>
      </c>
      <c r="D161">
        <v>14</v>
      </c>
      <c r="E161">
        <v>70</v>
      </c>
      <c r="G161">
        <v>29</v>
      </c>
      <c r="H161">
        <v>66</v>
      </c>
      <c r="J161">
        <v>13</v>
      </c>
      <c r="K161">
        <v>44</v>
      </c>
    </row>
    <row r="162" spans="1:11" x14ac:dyDescent="0.3">
      <c r="A162">
        <v>19</v>
      </c>
      <c r="B162">
        <v>35</v>
      </c>
      <c r="D162">
        <v>82</v>
      </c>
      <c r="E162">
        <v>93</v>
      </c>
      <c r="G162">
        <v>34</v>
      </c>
      <c r="H162">
        <v>40</v>
      </c>
      <c r="J162">
        <v>84</v>
      </c>
      <c r="K162">
        <v>9</v>
      </c>
    </row>
    <row r="163" spans="1:11" x14ac:dyDescent="0.3">
      <c r="A163">
        <v>71</v>
      </c>
      <c r="B163">
        <v>43</v>
      </c>
      <c r="D163">
        <v>33</v>
      </c>
      <c r="E163">
        <v>45</v>
      </c>
      <c r="G163">
        <v>63</v>
      </c>
      <c r="H163">
        <v>84</v>
      </c>
      <c r="J163">
        <v>58</v>
      </c>
      <c r="K163">
        <v>9</v>
      </c>
    </row>
    <row r="164" spans="1:11" x14ac:dyDescent="0.3">
      <c r="A164">
        <v>89</v>
      </c>
      <c r="B164">
        <v>26</v>
      </c>
      <c r="D164">
        <v>32</v>
      </c>
      <c r="E164">
        <v>89</v>
      </c>
      <c r="G164">
        <v>5</v>
      </c>
      <c r="H164">
        <v>85</v>
      </c>
      <c r="J164">
        <v>33</v>
      </c>
      <c r="K164">
        <v>57</v>
      </c>
    </row>
    <row r="165" spans="1:11" x14ac:dyDescent="0.3">
      <c r="A165">
        <v>48</v>
      </c>
      <c r="B165">
        <v>75</v>
      </c>
      <c r="D165">
        <v>18</v>
      </c>
      <c r="E165">
        <v>77</v>
      </c>
      <c r="G165">
        <v>95</v>
      </c>
      <c r="H165">
        <v>15</v>
      </c>
      <c r="J165">
        <v>29</v>
      </c>
      <c r="K165">
        <v>79</v>
      </c>
    </row>
    <row r="166" spans="1:11" x14ac:dyDescent="0.3">
      <c r="A166">
        <v>40</v>
      </c>
      <c r="B166">
        <v>15</v>
      </c>
      <c r="D166">
        <v>47</v>
      </c>
      <c r="E166">
        <v>56</v>
      </c>
      <c r="G166">
        <v>89</v>
      </c>
      <c r="H166">
        <v>90</v>
      </c>
      <c r="J166">
        <v>71</v>
      </c>
      <c r="K166">
        <v>90</v>
      </c>
    </row>
    <row r="167" spans="1:11" x14ac:dyDescent="0.3">
      <c r="A167">
        <v>15</v>
      </c>
      <c r="B167">
        <v>55</v>
      </c>
      <c r="D167">
        <v>37</v>
      </c>
      <c r="E167">
        <v>42</v>
      </c>
      <c r="G167">
        <v>28</v>
      </c>
      <c r="H167">
        <v>93</v>
      </c>
      <c r="J167">
        <v>88</v>
      </c>
      <c r="K167">
        <v>73</v>
      </c>
    </row>
    <row r="168" spans="1:11" x14ac:dyDescent="0.3">
      <c r="A168">
        <v>4</v>
      </c>
      <c r="B168">
        <v>77</v>
      </c>
      <c r="D168">
        <v>27</v>
      </c>
      <c r="E168">
        <v>70</v>
      </c>
      <c r="G168">
        <v>53</v>
      </c>
      <c r="H168">
        <v>61</v>
      </c>
      <c r="J168">
        <v>24</v>
      </c>
      <c r="K168">
        <v>4</v>
      </c>
    </row>
    <row r="169" spans="1:11" x14ac:dyDescent="0.3">
      <c r="A169">
        <v>46</v>
      </c>
      <c r="B169">
        <v>73</v>
      </c>
      <c r="D169">
        <v>18</v>
      </c>
      <c r="E169">
        <v>58</v>
      </c>
      <c r="G169">
        <v>96</v>
      </c>
      <c r="H169">
        <v>80</v>
      </c>
      <c r="J169">
        <v>33</v>
      </c>
      <c r="K169">
        <v>65</v>
      </c>
    </row>
    <row r="170" spans="1:11" x14ac:dyDescent="0.3">
      <c r="A170">
        <v>5</v>
      </c>
      <c r="B170">
        <v>18</v>
      </c>
      <c r="D170">
        <v>53</v>
      </c>
      <c r="E170">
        <v>69</v>
      </c>
      <c r="G170">
        <v>9</v>
      </c>
      <c r="H170">
        <v>51</v>
      </c>
      <c r="J170">
        <v>82</v>
      </c>
      <c r="K170">
        <v>72</v>
      </c>
    </row>
    <row r="171" spans="1:11" x14ac:dyDescent="0.3">
      <c r="A171">
        <v>62</v>
      </c>
      <c r="B171">
        <v>50</v>
      </c>
      <c r="D171">
        <v>55</v>
      </c>
      <c r="E171">
        <v>44</v>
      </c>
      <c r="G171">
        <v>77</v>
      </c>
      <c r="H171">
        <v>65</v>
      </c>
      <c r="J171">
        <v>97</v>
      </c>
      <c r="K171">
        <v>39</v>
      </c>
    </row>
    <row r="172" spans="1:11" x14ac:dyDescent="0.3">
      <c r="A172">
        <v>100</v>
      </c>
      <c r="B172">
        <v>42</v>
      </c>
      <c r="D172">
        <v>94</v>
      </c>
      <c r="E172">
        <v>37</v>
      </c>
      <c r="G172">
        <v>8</v>
      </c>
      <c r="H172">
        <v>78</v>
      </c>
      <c r="J172">
        <v>94</v>
      </c>
      <c r="K172">
        <v>72</v>
      </c>
    </row>
    <row r="173" spans="1:11" x14ac:dyDescent="0.3">
      <c r="A173">
        <v>83</v>
      </c>
      <c r="B173">
        <v>31</v>
      </c>
      <c r="D173">
        <v>7</v>
      </c>
      <c r="E173">
        <v>55</v>
      </c>
      <c r="G173">
        <v>4</v>
      </c>
      <c r="H173">
        <v>57</v>
      </c>
      <c r="J173">
        <v>29</v>
      </c>
      <c r="K173">
        <v>4</v>
      </c>
    </row>
    <row r="174" spans="1:11" x14ac:dyDescent="0.3">
      <c r="A174">
        <v>53</v>
      </c>
      <c r="B174">
        <v>78</v>
      </c>
      <c r="D174">
        <v>91</v>
      </c>
      <c r="E174">
        <v>82</v>
      </c>
      <c r="G174">
        <v>45</v>
      </c>
      <c r="H174">
        <v>65</v>
      </c>
      <c r="J174">
        <v>89</v>
      </c>
      <c r="K174">
        <v>70</v>
      </c>
    </row>
    <row r="175" spans="1:11" x14ac:dyDescent="0.3">
      <c r="A175">
        <v>11</v>
      </c>
      <c r="B175">
        <v>66</v>
      </c>
      <c r="D175">
        <v>5</v>
      </c>
      <c r="E175">
        <v>48</v>
      </c>
      <c r="G175">
        <v>84</v>
      </c>
      <c r="H175">
        <v>70</v>
      </c>
      <c r="J175">
        <v>40</v>
      </c>
      <c r="K175">
        <v>27</v>
      </c>
    </row>
    <row r="176" spans="1:11" x14ac:dyDescent="0.3">
      <c r="A176">
        <v>69</v>
      </c>
      <c r="B176">
        <v>55</v>
      </c>
      <c r="D176">
        <v>25</v>
      </c>
      <c r="E176">
        <v>100</v>
      </c>
      <c r="G176">
        <v>53</v>
      </c>
      <c r="H176">
        <v>34</v>
      </c>
      <c r="J176">
        <v>27</v>
      </c>
      <c r="K176">
        <v>70</v>
      </c>
    </row>
    <row r="177" spans="1:11" x14ac:dyDescent="0.3">
      <c r="A177">
        <v>44</v>
      </c>
      <c r="B177">
        <v>93</v>
      </c>
      <c r="D177">
        <v>27</v>
      </c>
      <c r="E177">
        <v>68</v>
      </c>
      <c r="G177">
        <v>69</v>
      </c>
      <c r="H177">
        <v>25</v>
      </c>
      <c r="J177">
        <v>97</v>
      </c>
      <c r="K177">
        <v>66</v>
      </c>
    </row>
    <row r="178" spans="1:11" x14ac:dyDescent="0.3">
      <c r="A178">
        <v>79</v>
      </c>
      <c r="B178">
        <v>48</v>
      </c>
      <c r="D178">
        <v>14</v>
      </c>
      <c r="E178">
        <v>79</v>
      </c>
      <c r="G178">
        <v>17</v>
      </c>
      <c r="H178">
        <v>7</v>
      </c>
      <c r="J178">
        <v>87</v>
      </c>
      <c r="K178">
        <v>54</v>
      </c>
    </row>
    <row r="179" spans="1:11" x14ac:dyDescent="0.3">
      <c r="A179">
        <v>1</v>
      </c>
      <c r="B179">
        <v>24</v>
      </c>
      <c r="D179">
        <v>5</v>
      </c>
      <c r="E179">
        <v>83</v>
      </c>
      <c r="G179">
        <v>19</v>
      </c>
      <c r="H179">
        <v>10</v>
      </c>
      <c r="J179">
        <v>17</v>
      </c>
      <c r="K179">
        <v>92</v>
      </c>
    </row>
    <row r="180" spans="1:11" x14ac:dyDescent="0.3">
      <c r="A180">
        <v>24</v>
      </c>
      <c r="B180">
        <v>45</v>
      </c>
      <c r="D180">
        <v>42</v>
      </c>
      <c r="E180">
        <v>92</v>
      </c>
      <c r="G180">
        <v>15</v>
      </c>
      <c r="H180">
        <v>45</v>
      </c>
      <c r="J180">
        <v>16</v>
      </c>
      <c r="K180">
        <v>45</v>
      </c>
    </row>
    <row r="181" spans="1:11" x14ac:dyDescent="0.3">
      <c r="A181">
        <v>8</v>
      </c>
      <c r="B181">
        <v>59</v>
      </c>
      <c r="D181">
        <v>51</v>
      </c>
      <c r="E181">
        <v>73</v>
      </c>
      <c r="G181">
        <v>85</v>
      </c>
      <c r="H181">
        <v>48</v>
      </c>
      <c r="J181">
        <v>30</v>
      </c>
      <c r="K181">
        <v>94</v>
      </c>
    </row>
    <row r="182" spans="1:11" x14ac:dyDescent="0.3">
      <c r="A182">
        <v>49</v>
      </c>
      <c r="B182">
        <v>100</v>
      </c>
      <c r="D182">
        <v>21</v>
      </c>
      <c r="E182">
        <v>67</v>
      </c>
      <c r="G182">
        <v>80</v>
      </c>
      <c r="H182">
        <v>94</v>
      </c>
      <c r="J182">
        <v>61</v>
      </c>
      <c r="K182">
        <v>52</v>
      </c>
    </row>
    <row r="183" spans="1:11" x14ac:dyDescent="0.3">
      <c r="A183">
        <v>8</v>
      </c>
      <c r="B183">
        <v>89</v>
      </c>
      <c r="D183">
        <v>35</v>
      </c>
      <c r="E183">
        <v>36</v>
      </c>
      <c r="G183">
        <v>19</v>
      </c>
      <c r="H183">
        <v>66</v>
      </c>
      <c r="J183">
        <v>10</v>
      </c>
      <c r="K183">
        <v>73</v>
      </c>
    </row>
    <row r="184" spans="1:11" x14ac:dyDescent="0.3">
      <c r="A184">
        <v>5</v>
      </c>
      <c r="B184">
        <v>37</v>
      </c>
      <c r="D184">
        <v>32</v>
      </c>
      <c r="E184">
        <v>42</v>
      </c>
      <c r="G184">
        <v>40</v>
      </c>
      <c r="H184">
        <v>50</v>
      </c>
      <c r="J184">
        <v>14</v>
      </c>
      <c r="K184">
        <v>9</v>
      </c>
    </row>
    <row r="185" spans="1:11" x14ac:dyDescent="0.3">
      <c r="A185">
        <v>40</v>
      </c>
      <c r="B185">
        <v>19</v>
      </c>
      <c r="D185">
        <v>79</v>
      </c>
      <c r="E185">
        <v>28</v>
      </c>
      <c r="G185">
        <v>86</v>
      </c>
      <c r="H185">
        <v>57</v>
      </c>
      <c r="J185">
        <v>52</v>
      </c>
      <c r="K185">
        <v>50</v>
      </c>
    </row>
    <row r="186" spans="1:11" x14ac:dyDescent="0.3">
      <c r="A186">
        <v>84</v>
      </c>
      <c r="B186">
        <v>45</v>
      </c>
      <c r="D186">
        <v>72</v>
      </c>
      <c r="E186">
        <v>82</v>
      </c>
      <c r="G186">
        <v>41</v>
      </c>
      <c r="H186">
        <v>23</v>
      </c>
      <c r="J186">
        <v>14</v>
      </c>
      <c r="K186">
        <v>11</v>
      </c>
    </row>
    <row r="187" spans="1:11" x14ac:dyDescent="0.3">
      <c r="A187">
        <v>67</v>
      </c>
      <c r="B187">
        <v>76</v>
      </c>
      <c r="D187">
        <v>82</v>
      </c>
      <c r="E187">
        <v>94</v>
      </c>
      <c r="G187">
        <v>73</v>
      </c>
      <c r="H187">
        <v>7</v>
      </c>
      <c r="J187">
        <v>51</v>
      </c>
      <c r="K187">
        <v>77</v>
      </c>
    </row>
    <row r="188" spans="1:11" x14ac:dyDescent="0.3">
      <c r="A188">
        <v>86</v>
      </c>
      <c r="B188">
        <v>20</v>
      </c>
      <c r="D188">
        <v>24</v>
      </c>
      <c r="E188">
        <v>91</v>
      </c>
      <c r="G188">
        <v>84</v>
      </c>
      <c r="H188">
        <v>84</v>
      </c>
      <c r="J188">
        <v>61</v>
      </c>
      <c r="K188">
        <v>41</v>
      </c>
    </row>
    <row r="189" spans="1:11" x14ac:dyDescent="0.3">
      <c r="A189">
        <v>41</v>
      </c>
      <c r="B189">
        <v>59</v>
      </c>
      <c r="D189">
        <v>5</v>
      </c>
      <c r="E189">
        <v>27</v>
      </c>
      <c r="G189">
        <v>12</v>
      </c>
      <c r="H189">
        <v>22</v>
      </c>
      <c r="J189">
        <v>37</v>
      </c>
      <c r="K189">
        <v>95</v>
      </c>
    </row>
    <row r="190" spans="1:11" x14ac:dyDescent="0.3">
      <c r="A190">
        <v>39</v>
      </c>
      <c r="B190">
        <v>91</v>
      </c>
      <c r="D190">
        <v>97</v>
      </c>
      <c r="E190">
        <v>68</v>
      </c>
      <c r="G190">
        <v>69</v>
      </c>
      <c r="H190">
        <v>79</v>
      </c>
      <c r="J190">
        <v>27</v>
      </c>
      <c r="K190">
        <v>51</v>
      </c>
    </row>
    <row r="191" spans="1:11" x14ac:dyDescent="0.3">
      <c r="A191">
        <v>76</v>
      </c>
      <c r="B191">
        <v>64</v>
      </c>
      <c r="D191">
        <v>96</v>
      </c>
      <c r="E191">
        <v>68</v>
      </c>
      <c r="G191">
        <v>3</v>
      </c>
      <c r="H191">
        <v>56</v>
      </c>
      <c r="J191">
        <v>19</v>
      </c>
      <c r="K191">
        <v>97</v>
      </c>
    </row>
    <row r="192" spans="1:11" x14ac:dyDescent="0.3">
      <c r="A192">
        <v>44</v>
      </c>
      <c r="B192">
        <v>21</v>
      </c>
      <c r="D192">
        <v>86</v>
      </c>
      <c r="E192">
        <v>54</v>
      </c>
      <c r="G192">
        <v>66</v>
      </c>
      <c r="H192">
        <v>19</v>
      </c>
      <c r="J192">
        <v>11</v>
      </c>
      <c r="K192">
        <v>37</v>
      </c>
    </row>
    <row r="193" spans="1:11" x14ac:dyDescent="0.3">
      <c r="A193">
        <v>69</v>
      </c>
      <c r="B193">
        <v>46</v>
      </c>
      <c r="D193">
        <v>91</v>
      </c>
      <c r="E193">
        <v>17</v>
      </c>
      <c r="G193">
        <v>76</v>
      </c>
      <c r="H193">
        <v>66</v>
      </c>
      <c r="J193">
        <v>53</v>
      </c>
      <c r="K193">
        <v>30</v>
      </c>
    </row>
    <row r="194" spans="1:11" x14ac:dyDescent="0.3">
      <c r="A194">
        <v>29</v>
      </c>
      <c r="B194">
        <v>88</v>
      </c>
      <c r="D194">
        <v>56</v>
      </c>
      <c r="E194">
        <v>7</v>
      </c>
      <c r="G194">
        <v>56</v>
      </c>
      <c r="H194">
        <v>53</v>
      </c>
      <c r="J194">
        <v>9</v>
      </c>
      <c r="K194">
        <v>98</v>
      </c>
    </row>
    <row r="195" spans="1:11" x14ac:dyDescent="0.3">
      <c r="A195">
        <v>87</v>
      </c>
      <c r="B195">
        <v>19</v>
      </c>
      <c r="D195">
        <v>99</v>
      </c>
      <c r="E195">
        <v>78</v>
      </c>
      <c r="G195">
        <v>73</v>
      </c>
      <c r="H195">
        <v>10</v>
      </c>
      <c r="J195">
        <v>83</v>
      </c>
      <c r="K195">
        <v>40</v>
      </c>
    </row>
    <row r="196" spans="1:11" x14ac:dyDescent="0.3">
      <c r="A196">
        <v>68</v>
      </c>
      <c r="B196">
        <v>68</v>
      </c>
      <c r="D196">
        <v>84</v>
      </c>
      <c r="E196">
        <v>39</v>
      </c>
      <c r="G196">
        <v>12</v>
      </c>
      <c r="H196">
        <v>11</v>
      </c>
      <c r="J196">
        <v>53</v>
      </c>
      <c r="K196">
        <v>43</v>
      </c>
    </row>
    <row r="197" spans="1:11" x14ac:dyDescent="0.3">
      <c r="A197">
        <v>95</v>
      </c>
      <c r="B197">
        <v>33</v>
      </c>
      <c r="D197">
        <v>81</v>
      </c>
      <c r="E197">
        <v>83</v>
      </c>
      <c r="G197">
        <v>27</v>
      </c>
      <c r="H197">
        <v>18</v>
      </c>
      <c r="J197">
        <v>44</v>
      </c>
      <c r="K197">
        <v>51</v>
      </c>
    </row>
    <row r="198" spans="1:11" x14ac:dyDescent="0.3">
      <c r="A198">
        <v>18</v>
      </c>
      <c r="B198">
        <v>86</v>
      </c>
      <c r="D198">
        <v>70</v>
      </c>
      <c r="E198">
        <v>54</v>
      </c>
      <c r="G198">
        <v>79</v>
      </c>
      <c r="H198">
        <v>79</v>
      </c>
      <c r="J198">
        <v>75</v>
      </c>
      <c r="K198">
        <v>67</v>
      </c>
    </row>
    <row r="199" spans="1:11" x14ac:dyDescent="0.3">
      <c r="A199">
        <v>42</v>
      </c>
      <c r="B199">
        <v>46</v>
      </c>
      <c r="D199">
        <v>76</v>
      </c>
      <c r="E199">
        <v>88</v>
      </c>
      <c r="G199">
        <v>14</v>
      </c>
      <c r="H199">
        <v>9</v>
      </c>
      <c r="J199">
        <v>85</v>
      </c>
      <c r="K199">
        <v>88</v>
      </c>
    </row>
    <row r="200" spans="1:11" x14ac:dyDescent="0.3">
      <c r="A200">
        <v>14</v>
      </c>
      <c r="B200">
        <v>71</v>
      </c>
      <c r="D200">
        <v>20</v>
      </c>
      <c r="E200">
        <v>34</v>
      </c>
      <c r="G200">
        <v>42</v>
      </c>
      <c r="H200">
        <v>76</v>
      </c>
      <c r="J200">
        <v>2</v>
      </c>
      <c r="K200">
        <v>84</v>
      </c>
    </row>
    <row r="201" spans="1:11" x14ac:dyDescent="0.3">
      <c r="A201">
        <v>16</v>
      </c>
      <c r="B201">
        <v>38</v>
      </c>
      <c r="D201">
        <v>82</v>
      </c>
      <c r="E201">
        <v>52</v>
      </c>
      <c r="G201">
        <v>32</v>
      </c>
      <c r="H201">
        <v>40</v>
      </c>
      <c r="J201">
        <v>21</v>
      </c>
      <c r="K201">
        <v>55</v>
      </c>
    </row>
    <row r="202" spans="1:11" x14ac:dyDescent="0.3">
      <c r="A202">
        <v>33</v>
      </c>
      <c r="B202">
        <v>42</v>
      </c>
      <c r="D202">
        <v>7</v>
      </c>
      <c r="E202">
        <v>80</v>
      </c>
      <c r="J202">
        <v>36</v>
      </c>
      <c r="K202">
        <v>6</v>
      </c>
    </row>
    <row r="203" spans="1:11" x14ac:dyDescent="0.3">
      <c r="A203">
        <v>57</v>
      </c>
      <c r="B203">
        <v>50</v>
      </c>
      <c r="D203">
        <v>47</v>
      </c>
      <c r="E203">
        <v>43</v>
      </c>
      <c r="J203">
        <v>52</v>
      </c>
      <c r="K203">
        <v>20</v>
      </c>
    </row>
    <row r="204" spans="1:11" x14ac:dyDescent="0.3">
      <c r="A204">
        <v>46</v>
      </c>
      <c r="B204">
        <v>79</v>
      </c>
      <c r="D204">
        <v>89</v>
      </c>
      <c r="E204">
        <v>78</v>
      </c>
      <c r="J204">
        <v>53</v>
      </c>
      <c r="K204">
        <v>59</v>
      </c>
    </row>
    <row r="205" spans="1:11" x14ac:dyDescent="0.3">
      <c r="A205">
        <v>98</v>
      </c>
      <c r="B205">
        <v>25</v>
      </c>
      <c r="D205">
        <v>81</v>
      </c>
      <c r="E205">
        <v>66</v>
      </c>
      <c r="J205">
        <v>36</v>
      </c>
      <c r="K205">
        <v>87</v>
      </c>
    </row>
    <row r="206" spans="1:11" x14ac:dyDescent="0.3">
      <c r="A206">
        <v>34</v>
      </c>
      <c r="B206">
        <v>31</v>
      </c>
      <c r="D206">
        <v>19</v>
      </c>
      <c r="E206">
        <v>24</v>
      </c>
      <c r="J206">
        <v>9</v>
      </c>
      <c r="K206">
        <v>96</v>
      </c>
    </row>
    <row r="207" spans="1:11" x14ac:dyDescent="0.3">
      <c r="A207">
        <v>76</v>
      </c>
      <c r="B207">
        <v>2</v>
      </c>
      <c r="D207">
        <v>32</v>
      </c>
      <c r="E207">
        <v>20</v>
      </c>
      <c r="J207">
        <v>84</v>
      </c>
      <c r="K207">
        <v>58</v>
      </c>
    </row>
    <row r="208" spans="1:11" x14ac:dyDescent="0.3">
      <c r="A208">
        <v>21</v>
      </c>
      <c r="B208">
        <v>44</v>
      </c>
      <c r="D208">
        <v>69</v>
      </c>
      <c r="E208">
        <v>41</v>
      </c>
      <c r="J208">
        <v>22</v>
      </c>
      <c r="K208">
        <v>51</v>
      </c>
    </row>
    <row r="209" spans="1:11" x14ac:dyDescent="0.3">
      <c r="A209">
        <v>2</v>
      </c>
      <c r="B209">
        <v>28</v>
      </c>
      <c r="D209">
        <v>20</v>
      </c>
      <c r="E209">
        <v>12</v>
      </c>
      <c r="J209">
        <v>1</v>
      </c>
      <c r="K209">
        <v>48</v>
      </c>
    </row>
    <row r="210" spans="1:11" x14ac:dyDescent="0.3">
      <c r="D210">
        <v>61</v>
      </c>
      <c r="E210">
        <v>25</v>
      </c>
      <c r="J210">
        <v>71</v>
      </c>
      <c r="K210">
        <v>20</v>
      </c>
    </row>
    <row r="211" spans="1:11" x14ac:dyDescent="0.3">
      <c r="D211">
        <v>19</v>
      </c>
      <c r="E211">
        <v>62</v>
      </c>
      <c r="J211">
        <v>84</v>
      </c>
      <c r="K211">
        <v>91</v>
      </c>
    </row>
    <row r="212" spans="1:11" x14ac:dyDescent="0.3">
      <c r="D212">
        <v>70</v>
      </c>
      <c r="E212">
        <v>75</v>
      </c>
      <c r="J212">
        <v>21</v>
      </c>
      <c r="K212">
        <v>91</v>
      </c>
    </row>
    <row r="213" spans="1:11" x14ac:dyDescent="0.3">
      <c r="D213">
        <v>25</v>
      </c>
      <c r="E213">
        <v>95</v>
      </c>
      <c r="J213">
        <v>83</v>
      </c>
      <c r="K213">
        <v>2</v>
      </c>
    </row>
    <row r="214" spans="1:11" x14ac:dyDescent="0.3">
      <c r="D214">
        <v>77</v>
      </c>
      <c r="E214">
        <v>93</v>
      </c>
      <c r="J214">
        <v>59</v>
      </c>
      <c r="K214">
        <v>64</v>
      </c>
    </row>
    <row r="215" spans="1:11" x14ac:dyDescent="0.3">
      <c r="J215">
        <v>53</v>
      </c>
      <c r="K215">
        <v>46</v>
      </c>
    </row>
    <row r="216" spans="1:11" x14ac:dyDescent="0.3">
      <c r="J216">
        <v>52</v>
      </c>
      <c r="K216">
        <v>82</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B84015E-EF8D-46E0-A5C2-F7F8CB415F6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Sheet2</vt:lpstr>
      <vt:lpstr>Sheet4</vt:lpstr>
      <vt:lpstr>Pivot</vt:lpstr>
      <vt:lpstr>Sheet5</vt:lpstr>
      <vt:lpstr>Sheet6</vt:lpstr>
      <vt:lpstr>OC</vt:lpstr>
      <vt:lpstr>Dashboard</vt:lpstr>
      <vt:lpstr>Scatter_helper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Astrid Shaina</dc:creator>
  <cp:lastModifiedBy>Astrid Shaina</cp:lastModifiedBy>
  <dcterms:created xsi:type="dcterms:W3CDTF">2026-06-05T08:27:24Z</dcterms:created>
  <dcterms:modified xsi:type="dcterms:W3CDTF">2026-06-05T12:46:33Z</dcterms:modified>
</cp:coreProperties>
</file>