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493edff0b5f7e/Documents/Practice/Excel - RPG/"/>
    </mc:Choice>
  </mc:AlternateContent>
  <xr:revisionPtr revIDLastSave="1144" documentId="8_{D0083B66-7EDF-4793-A49D-203AD56D4060}" xr6:coauthVersionLast="47" xr6:coauthVersionMax="47" xr10:uidLastSave="{DB12BDA2-B3B1-4767-B0FA-4B9073F4E5C5}"/>
  <bookViews>
    <workbookView xWindow="-108" yWindow="-108" windowWidth="23256" windowHeight="12456" firstSheet="1" activeTab="1" xr2:uid="{9B5025FC-C159-4669-8C6D-D45BB0AE2FB4}"/>
  </bookViews>
  <sheets>
    <sheet name="Elements" sheetId="1" r:id="rId1"/>
    <sheet name="Characters" sheetId="5" r:id="rId2"/>
    <sheet name="Stats" sheetId="6" r:id="rId3"/>
    <sheet name="Stats_full" sheetId="7" r:id="rId4"/>
    <sheet name="Battle" sheetId="8" r:id="rId5"/>
    <sheet name="Fusion" sheetId="9" r:id="rId6"/>
    <sheet name="Fusion_stats" sheetId="10" r:id="rId7"/>
    <sheet name="Relationship" sheetId="11" r:id="rId8"/>
    <sheet name="Chart" sheetId="12" r:id="rId9"/>
    <sheet name="Radar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2" l="1" a="1"/>
  <c r="A43" i="12" s="1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H11" i="12" s="1"/>
  <c r="C15" i="12"/>
  <c r="C16" i="12"/>
  <c r="C17" i="12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20" i="11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J6" i="10"/>
  <c r="I6" i="10"/>
  <c r="H6" i="10"/>
  <c r="J7" i="10"/>
  <c r="I7" i="10"/>
  <c r="H7" i="10"/>
  <c r="J5" i="10"/>
  <c r="I5" i="10"/>
  <c r="H5" i="10"/>
  <c r="J2" i="10"/>
  <c r="I2" i="10"/>
  <c r="H2" i="10"/>
  <c r="J3" i="10"/>
  <c r="I3" i="10"/>
  <c r="H3" i="10"/>
  <c r="J8" i="10"/>
  <c r="I8" i="10"/>
  <c r="H8" i="10"/>
  <c r="J4" i="10"/>
  <c r="I4" i="10"/>
  <c r="H4" i="10"/>
  <c r="D7" i="8"/>
  <c r="D6" i="8"/>
  <c r="B7" i="8"/>
  <c r="B6" i="8"/>
  <c r="D5" i="8"/>
  <c r="D4" i="8"/>
  <c r="D3" i="8"/>
  <c r="B5" i="8"/>
  <c r="B4" i="8"/>
  <c r="B3" i="8"/>
  <c r="M6" i="6"/>
  <c r="L6" i="6"/>
  <c r="M5" i="6"/>
  <c r="L5" i="6"/>
  <c r="M4" i="6"/>
  <c r="L4" i="6"/>
  <c r="M3" i="6"/>
  <c r="L3" i="6"/>
  <c r="K6" i="6"/>
  <c r="K5" i="6"/>
  <c r="K4" i="6"/>
  <c r="K3" i="6"/>
  <c r="E21" i="6"/>
  <c r="D21" i="6"/>
  <c r="C21" i="6"/>
  <c r="A83" i="5" a="1"/>
  <c r="A83" i="5" s="1"/>
  <c r="A65" i="5" a="1"/>
  <c r="A65" i="5" s="1"/>
  <c r="A47" i="5" a="1"/>
  <c r="A47" i="5" s="1"/>
  <c r="A41" i="5" a="1"/>
  <c r="A41" i="5" s="1"/>
  <c r="A35" i="5" a="1"/>
  <c r="A35" i="5" s="1"/>
  <c r="A29" i="5" a="1"/>
  <c r="A29" i="5" s="1"/>
  <c r="A23" i="5" a="1"/>
  <c r="A23" i="5" s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D12" i="1"/>
  <c r="E12" i="1"/>
  <c r="F12" i="1"/>
  <c r="G12" i="1"/>
  <c r="H12" i="1"/>
  <c r="I12" i="1"/>
  <c r="C12" i="1"/>
  <c r="D11" i="1"/>
  <c r="E11" i="1"/>
  <c r="F11" i="1"/>
  <c r="G11" i="1"/>
  <c r="H11" i="1"/>
  <c r="I11" i="1"/>
  <c r="C11" i="1"/>
  <c r="D23" i="1"/>
  <c r="E23" i="1"/>
  <c r="F23" i="1"/>
  <c r="G23" i="1"/>
  <c r="H23" i="1"/>
  <c r="I23" i="1"/>
  <c r="C23" i="1"/>
  <c r="I10" i="1"/>
  <c r="H10" i="1"/>
  <c r="G10" i="1"/>
  <c r="F10" i="1"/>
  <c r="E10" i="1"/>
  <c r="D10" i="1"/>
  <c r="C10" i="1"/>
  <c r="E12" i="12" l="1"/>
  <c r="D7" i="12"/>
  <c r="D3" i="12"/>
  <c r="E9" i="12"/>
  <c r="D13" i="12"/>
  <c r="D5" i="12"/>
  <c r="D2" i="12"/>
  <c r="E10" i="12"/>
  <c r="E4" i="12"/>
  <c r="D14" i="12"/>
  <c r="E3" i="12"/>
  <c r="E17" i="12"/>
  <c r="D6" i="12"/>
  <c r="E5" i="12"/>
  <c r="D17" i="12"/>
  <c r="E11" i="12"/>
  <c r="E15" i="12"/>
  <c r="E14" i="12"/>
  <c r="E13" i="12"/>
  <c r="E2" i="12"/>
  <c r="E6" i="12"/>
  <c r="D11" i="12"/>
  <c r="D10" i="12"/>
  <c r="D15" i="12"/>
  <c r="D4" i="12"/>
  <c r="E8" i="12"/>
  <c r="D8" i="12"/>
  <c r="E7" i="12"/>
  <c r="D12" i="12"/>
  <c r="E16" i="12"/>
  <c r="D16" i="12"/>
  <c r="D9" i="12"/>
  <c r="H10" i="12"/>
  <c r="H8" i="12"/>
  <c r="H9" i="12"/>
  <c r="E6" i="8"/>
  <c r="E7" i="8"/>
  <c r="E3" i="8"/>
  <c r="E4" i="8"/>
  <c r="E5" i="8"/>
  <c r="H5" i="12" l="1"/>
  <c r="H4" i="12"/>
  <c r="H3" i="12"/>
  <c r="H2" i="12"/>
  <c r="B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<sst xmlns="http://schemas.openxmlformats.org/spreadsheetml/2006/main" count="519" uniqueCount="169">
  <si>
    <t>NO</t>
  </si>
  <si>
    <t>STATS</t>
  </si>
  <si>
    <t>POWER</t>
  </si>
  <si>
    <t>ENDURANCE</t>
  </si>
  <si>
    <t>DEFENSE</t>
  </si>
  <si>
    <t>AGILITY</t>
  </si>
  <si>
    <t>INTELLIGENCE</t>
  </si>
  <si>
    <t>PERCEPTION</t>
  </si>
  <si>
    <t>EARTH</t>
  </si>
  <si>
    <t>LIGHTNING</t>
  </si>
  <si>
    <t>WIND</t>
  </si>
  <si>
    <t>FIRE</t>
  </si>
  <si>
    <t>WATER</t>
  </si>
  <si>
    <t>LEAF</t>
  </si>
  <si>
    <t>LIGHT</t>
  </si>
  <si>
    <t>AVERAGE</t>
  </si>
  <si>
    <t>HAYAMI'S ELEMENTAL FORM</t>
  </si>
  <si>
    <t>TIER 1 FORMS</t>
  </si>
  <si>
    <t>TIER 2 FORMS</t>
  </si>
  <si>
    <t>EARTHQUAKE</t>
  </si>
  <si>
    <t>THUNDERSTORM</t>
  </si>
  <si>
    <t>CYCLONE</t>
  </si>
  <si>
    <t>BLAZE</t>
  </si>
  <si>
    <t>ICE</t>
  </si>
  <si>
    <t>THORN</t>
  </si>
  <si>
    <t>SOLAR</t>
  </si>
  <si>
    <t>Max stat</t>
  </si>
  <si>
    <t>Min stat</t>
  </si>
  <si>
    <t>NAME</t>
  </si>
  <si>
    <t>GROUP</t>
  </si>
  <si>
    <t>MBTI</t>
  </si>
  <si>
    <t>ACADEMIC</t>
  </si>
  <si>
    <t>SOCIAL</t>
  </si>
  <si>
    <t>STRATEGIC</t>
  </si>
  <si>
    <t>PAULA</t>
  </si>
  <si>
    <t>HIROMI</t>
  </si>
  <si>
    <t>MICA</t>
  </si>
  <si>
    <t>GILLIAN</t>
  </si>
  <si>
    <t>HAYAMI</t>
  </si>
  <si>
    <t>SHIINA</t>
  </si>
  <si>
    <t>SHAYE</t>
  </si>
  <si>
    <t>THERESA</t>
  </si>
  <si>
    <t>CHIYO</t>
  </si>
  <si>
    <t>MAYUMI</t>
  </si>
  <si>
    <t>SHIZUKA</t>
  </si>
  <si>
    <t>LILY</t>
  </si>
  <si>
    <t>KATIE</t>
  </si>
  <si>
    <t>SONIA</t>
  </si>
  <si>
    <t>EMILY</t>
  </si>
  <si>
    <t>HIMIKO</t>
  </si>
  <si>
    <t>INTP</t>
  </si>
  <si>
    <t>INTJ</t>
  </si>
  <si>
    <t>ENTP</t>
  </si>
  <si>
    <t>ENTJ</t>
  </si>
  <si>
    <t>ISTP</t>
  </si>
  <si>
    <t>ISFP</t>
  </si>
  <si>
    <t>ESTP</t>
  </si>
  <si>
    <t>ESFP</t>
  </si>
  <si>
    <t>ISTJ</t>
  </si>
  <si>
    <t>ISFJ</t>
  </si>
  <si>
    <t>ESTJ</t>
  </si>
  <si>
    <t>ESFJ</t>
  </si>
  <si>
    <t>INFP</t>
  </si>
  <si>
    <t>INFJ</t>
  </si>
  <si>
    <t>ENFP</t>
  </si>
  <si>
    <t>ENFJ</t>
  </si>
  <si>
    <t>ANALYST</t>
  </si>
  <si>
    <t>EXPLORER</t>
  </si>
  <si>
    <t>SENTINEL</t>
  </si>
  <si>
    <t>DIPLOMAT</t>
  </si>
  <si>
    <t>HEIGHT (cm)</t>
  </si>
  <si>
    <t>Academic</t>
  </si>
  <si>
    <t>Social</t>
  </si>
  <si>
    <t>Strategy</t>
  </si>
  <si>
    <t>Emily</t>
  </si>
  <si>
    <t>Name</t>
  </si>
  <si>
    <t>Avg Academic</t>
  </si>
  <si>
    <t>Avg Social</t>
  </si>
  <si>
    <t>Avg Strategic</t>
  </si>
  <si>
    <t>Group</t>
  </si>
  <si>
    <t>Analyst</t>
  </si>
  <si>
    <t>Explorer</t>
  </si>
  <si>
    <t>Sentinel</t>
  </si>
  <si>
    <t>Diplomat</t>
  </si>
  <si>
    <t>Strategic</t>
  </si>
  <si>
    <t>WINNER</t>
  </si>
  <si>
    <t>CHARACTER 1</t>
  </si>
  <si>
    <t>CHARACTER 2</t>
  </si>
  <si>
    <t>VS</t>
  </si>
  <si>
    <t>Power</t>
  </si>
  <si>
    <t>Defense</t>
  </si>
  <si>
    <t>FUSION NAME</t>
  </si>
  <si>
    <t>ELEMENT 1</t>
  </si>
  <si>
    <t>ELEMENT 2</t>
  </si>
  <si>
    <t>STATUS</t>
  </si>
  <si>
    <t>FrostFire</t>
  </si>
  <si>
    <t>Glacier</t>
  </si>
  <si>
    <t>Supra</t>
  </si>
  <si>
    <t>Sorn</t>
  </si>
  <si>
    <t>Rumble</t>
  </si>
  <si>
    <t>Cyclar</t>
  </si>
  <si>
    <t>Ice</t>
  </si>
  <si>
    <t>Earthquake</t>
  </si>
  <si>
    <t>Thunderstorm</t>
  </si>
  <si>
    <t>Cyclone</t>
  </si>
  <si>
    <t>Blaze</t>
  </si>
  <si>
    <t>Thorn</t>
  </si>
  <si>
    <t>Solar</t>
  </si>
  <si>
    <t>Discovered</t>
  </si>
  <si>
    <t>END</t>
  </si>
  <si>
    <t>POW</t>
  </si>
  <si>
    <t>DEF</t>
  </si>
  <si>
    <t>AGI</t>
  </si>
  <si>
    <t>INT</t>
  </si>
  <si>
    <t>PER</t>
  </si>
  <si>
    <t>Ashfall</t>
  </si>
  <si>
    <t>Emberstorm</t>
  </si>
  <si>
    <t>Solaris</t>
  </si>
  <si>
    <t>Briar</t>
  </si>
  <si>
    <t>Scalding</t>
  </si>
  <si>
    <t>Mistveil</t>
  </si>
  <si>
    <t>Permaforst</t>
  </si>
  <si>
    <t>Aurora</t>
  </si>
  <si>
    <t>Hailstorm</t>
  </si>
  <si>
    <t>Stonegale</t>
  </si>
  <si>
    <t>Verdant</t>
  </si>
  <si>
    <t>Ironleaf</t>
  </si>
  <si>
    <t>Thundervine</t>
  </si>
  <si>
    <t>Flashgale</t>
  </si>
  <si>
    <t>Canopy</t>
  </si>
  <si>
    <t>EST. POWER RATING</t>
  </si>
  <si>
    <t>Undiscovered</t>
  </si>
  <si>
    <t>RATING BAR</t>
  </si>
  <si>
    <t>SCALE 1 - 10</t>
  </si>
  <si>
    <t>Meaning</t>
  </si>
  <si>
    <t>No interaction</t>
  </si>
  <si>
    <t>Recognition</t>
  </si>
  <si>
    <t>Basic interaction</t>
  </si>
  <si>
    <t>Friendly</t>
  </si>
  <si>
    <t>Stable friendship</t>
  </si>
  <si>
    <t>Strong trust</t>
  </si>
  <si>
    <t>Life connection</t>
  </si>
  <si>
    <t>Unbreakable</t>
  </si>
  <si>
    <t>Deep loyalty</t>
  </si>
  <si>
    <t>Extremily strong bond</t>
  </si>
  <si>
    <t>CHARACTERS</t>
  </si>
  <si>
    <t>Avg Score</t>
  </si>
  <si>
    <t>Most Positive</t>
  </si>
  <si>
    <t>Most Volatile</t>
  </si>
  <si>
    <t>Avg Stat</t>
  </si>
  <si>
    <t>Rank</t>
  </si>
  <si>
    <t>Tier</t>
  </si>
  <si>
    <t>Count</t>
  </si>
  <si>
    <t>S</t>
  </si>
  <si>
    <t>A</t>
  </si>
  <si>
    <t>B</t>
  </si>
  <si>
    <t>C</t>
  </si>
  <si>
    <t>Total Power</t>
  </si>
  <si>
    <t>STAT</t>
  </si>
  <si>
    <t>Resourcefulness</t>
  </si>
  <si>
    <t>Visionary</t>
  </si>
  <si>
    <t>Communication</t>
  </si>
  <si>
    <t>Extraversion</t>
  </si>
  <si>
    <t>Socialibility</t>
  </si>
  <si>
    <t>Empathy</t>
  </si>
  <si>
    <t>Self-Control</t>
  </si>
  <si>
    <t>Conscientiousness</t>
  </si>
  <si>
    <t>Rationality</t>
  </si>
  <si>
    <t>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</si>
</sst>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0"/>
      <color theme="0"/>
      <name val="Comic Sans MS"/>
      <family val="4"/>
    </font>
    <font>
      <sz val="10"/>
      <name val="Comic Sans MS"/>
      <family val="4"/>
    </font>
    <font>
      <sz val="10"/>
      <color theme="0"/>
      <name val="Comic Sans MS"/>
      <family val="4"/>
    </font>
    <font>
      <sz val="11"/>
      <color rgb="FF0070C0"/>
      <name val="Comic Sans MS"/>
      <family val="4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90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omic Sans MS"/>
        <family val="4"/>
        <scheme val="none"/>
      </font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A1A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Chart!$C$1</c:f>
              <c:strCache>
                <c:ptCount val="1"/>
                <c:pt idx="0">
                  <c:v>Avg Stat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FF6-451E-A137-8F07CF820972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FF6-451E-A137-8F07CF82097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FF6-451E-A137-8F07CF820972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F6-451E-A137-8F07CF820972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FF6-451E-A137-8F07CF820972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F6-451E-A137-8F07CF820972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FF6-451E-A137-8F07CF820972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F6-451E-A137-8F07CF820972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FF6-451E-A137-8F07CF820972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F6-451E-A137-8F07CF820972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FF6-451E-A137-8F07CF820972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F6-451E-A137-8F07CF820972}"/>
              </c:ext>
            </c:extLst>
          </c:dPt>
          <c:cat>
            <c:strRef>
              <c:f>Chart!$A$2:$A$17</c:f>
              <c:strCache>
                <c:ptCount val="16"/>
                <c:pt idx="0">
                  <c:v>PAULA</c:v>
                </c:pt>
                <c:pt idx="1">
                  <c:v>HIROMI</c:v>
                </c:pt>
                <c:pt idx="2">
                  <c:v>MICA</c:v>
                </c:pt>
                <c:pt idx="3">
                  <c:v>GILLIAN</c:v>
                </c:pt>
                <c:pt idx="4">
                  <c:v>HAYAMI</c:v>
                </c:pt>
                <c:pt idx="5">
                  <c:v>SHIINA</c:v>
                </c:pt>
                <c:pt idx="6">
                  <c:v>SHAYE</c:v>
                </c:pt>
                <c:pt idx="7">
                  <c:v>THERESA</c:v>
                </c:pt>
                <c:pt idx="8">
                  <c:v>CHIYO</c:v>
                </c:pt>
                <c:pt idx="9">
                  <c:v>MAYUMI</c:v>
                </c:pt>
                <c:pt idx="10">
                  <c:v>SHIZUKA</c:v>
                </c:pt>
                <c:pt idx="11">
                  <c:v>LILY</c:v>
                </c:pt>
                <c:pt idx="12">
                  <c:v>KATIE</c:v>
                </c:pt>
                <c:pt idx="13">
                  <c:v>SONIA</c:v>
                </c:pt>
                <c:pt idx="14">
                  <c:v>EMILY</c:v>
                </c:pt>
                <c:pt idx="15">
                  <c:v>HIMIKO</c:v>
                </c:pt>
              </c:strCache>
            </c:strRef>
          </c:cat>
          <c:val>
            <c:numRef>
              <c:f>Chart!$C$2:$C$17</c:f>
              <c:numCache>
                <c:formatCode>General</c:formatCode>
                <c:ptCount val="16"/>
                <c:pt idx="0">
                  <c:v>3.8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4.4000000000000004</c:v>
                </c:pt>
                <c:pt idx="5">
                  <c:v>3.4</c:v>
                </c:pt>
                <c:pt idx="6">
                  <c:v>4</c:v>
                </c:pt>
                <c:pt idx="7">
                  <c:v>3.2</c:v>
                </c:pt>
                <c:pt idx="8">
                  <c:v>4</c:v>
                </c:pt>
                <c:pt idx="9">
                  <c:v>3.8</c:v>
                </c:pt>
                <c:pt idx="10">
                  <c:v>4.5999999999999996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6-451E-A137-8F07CF820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74499104"/>
        <c:axId val="874515904"/>
      </c:barChart>
      <c:catAx>
        <c:axId val="87449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15904"/>
        <c:crosses val="autoZero"/>
        <c:auto val="1"/>
        <c:lblAlgn val="ctr"/>
        <c:lblOffset val="100"/>
        <c:noMultiLvlLbl val="0"/>
      </c:catAx>
      <c:valAx>
        <c:axId val="87451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Chart!$C$42</c:f>
              <c:strCache>
                <c:ptCount val="1"/>
                <c:pt idx="0">
                  <c:v>Avg Stat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Chart!$A$43:$A$58</c:f>
              <c:strCache>
                <c:ptCount val="16"/>
                <c:pt idx="0">
                  <c:v>SHIZUKA</c:v>
                </c:pt>
                <c:pt idx="1">
                  <c:v>GILLIAN</c:v>
                </c:pt>
                <c:pt idx="2">
                  <c:v>HAYAMI</c:v>
                </c:pt>
                <c:pt idx="3">
                  <c:v>MICA</c:v>
                </c:pt>
                <c:pt idx="4">
                  <c:v>HIROMI</c:v>
                </c:pt>
                <c:pt idx="5">
                  <c:v>SHAYE</c:v>
                </c:pt>
                <c:pt idx="6">
                  <c:v>CHIYO</c:v>
                </c:pt>
                <c:pt idx="7">
                  <c:v>PAULA</c:v>
                </c:pt>
                <c:pt idx="8">
                  <c:v>MAYUMI</c:v>
                </c:pt>
                <c:pt idx="9">
                  <c:v>HIMIKO</c:v>
                </c:pt>
                <c:pt idx="10">
                  <c:v>SHIINA</c:v>
                </c:pt>
                <c:pt idx="11">
                  <c:v>THERESA</c:v>
                </c:pt>
                <c:pt idx="12">
                  <c:v>LILY</c:v>
                </c:pt>
                <c:pt idx="13">
                  <c:v>KATIE</c:v>
                </c:pt>
                <c:pt idx="14">
                  <c:v>SONIA</c:v>
                </c:pt>
                <c:pt idx="15">
                  <c:v>EMILY</c:v>
                </c:pt>
              </c:strCache>
            </c:strRef>
          </c:cat>
          <c:val>
            <c:numRef>
              <c:f>Chart!$C$43:$C$58</c:f>
              <c:numCache>
                <c:formatCode>General</c:formatCode>
                <c:ptCount val="16"/>
                <c:pt idx="0">
                  <c:v>4.5999999999999996</c:v>
                </c:pt>
                <c:pt idx="1">
                  <c:v>4.4000000000000004</c:v>
                </c:pt>
                <c:pt idx="2">
                  <c:v>4.4000000000000004</c:v>
                </c:pt>
                <c:pt idx="3">
                  <c:v>4.2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3.4</c:v>
                </c:pt>
                <c:pt idx="11">
                  <c:v>3.2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A-418E-BAF3-84CDA3D301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45487344"/>
        <c:axId val="945488784"/>
      </c:barChart>
      <c:catAx>
        <c:axId val="94548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88784"/>
        <c:crosses val="autoZero"/>
        <c:auto val="1"/>
        <c:lblAlgn val="ctr"/>
        <c:lblOffset val="100"/>
        <c:noMultiLvlLbl val="0"/>
      </c:catAx>
      <c:valAx>
        <c:axId val="945488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8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PAULA</c:v>
                </c:pt>
              </c:strCache>
            </c:strRef>
          </c:tx>
          <c:spPr>
            <a:solidFill>
              <a:srgbClr val="7030A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Radar!$B$2:$B$12</c:f>
              <c:numCache>
                <c:formatCode>General</c:formatCode>
                <c:ptCount val="11"/>
                <c:pt idx="0">
                  <c:v>75</c:v>
                </c:pt>
                <c:pt idx="1">
                  <c:v>90</c:v>
                </c:pt>
                <c:pt idx="2">
                  <c:v>80</c:v>
                </c:pt>
                <c:pt idx="3">
                  <c:v>45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60</c:v>
                </c:pt>
                <c:pt idx="8">
                  <c:v>65</c:v>
                </c:pt>
                <c:pt idx="9">
                  <c:v>95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9-4CEA-94D3-25A9197B6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492864"/>
        <c:axId val="874493344"/>
      </c:radarChart>
      <c:catAx>
        <c:axId val="87449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3344"/>
        <c:crosses val="autoZero"/>
        <c:auto val="1"/>
        <c:lblAlgn val="ctr"/>
        <c:lblOffset val="100"/>
        <c:noMultiLvlLbl val="0"/>
      </c:catAx>
      <c:valAx>
        <c:axId val="8744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Radar!$C$1</c:f>
              <c:strCache>
                <c:ptCount val="1"/>
                <c:pt idx="0">
                  <c:v>HIROMI</c:v>
                </c:pt>
              </c:strCache>
            </c:strRef>
          </c:tx>
          <c:spPr>
            <a:solidFill>
              <a:srgbClr val="7030A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Radar!$C$2:$C$12</c:f>
              <c:numCache>
                <c:formatCode>General</c:formatCode>
                <c:ptCount val="11"/>
                <c:pt idx="0">
                  <c:v>80</c:v>
                </c:pt>
                <c:pt idx="1">
                  <c:v>95</c:v>
                </c:pt>
                <c:pt idx="2">
                  <c:v>75</c:v>
                </c:pt>
                <c:pt idx="3">
                  <c:v>40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70</c:v>
                </c:pt>
                <c:pt idx="8">
                  <c:v>80</c:v>
                </c:pt>
                <c:pt idx="9">
                  <c:v>98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6-49B5-9FDE-A1BD8E76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526464"/>
        <c:axId val="874527904"/>
      </c:radarChart>
      <c:catAx>
        <c:axId val="8745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27904"/>
        <c:crosses val="autoZero"/>
        <c:auto val="1"/>
        <c:lblAlgn val="ctr"/>
        <c:lblOffset val="100"/>
        <c:noMultiLvlLbl val="0"/>
      </c:catAx>
      <c:valAx>
        <c:axId val="8745279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745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Radar!$D$1</c:f>
              <c:strCache>
                <c:ptCount val="1"/>
                <c:pt idx="0">
                  <c:v>MICA</c:v>
                </c:pt>
              </c:strCache>
            </c:strRef>
          </c:tx>
          <c:spPr>
            <a:solidFill>
              <a:srgbClr val="7030A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Radar!$D$2:$D$12</c:f>
              <c:numCache>
                <c:formatCode>General</c:formatCode>
                <c:ptCount val="11"/>
                <c:pt idx="0">
                  <c:v>70</c:v>
                </c:pt>
                <c:pt idx="1">
                  <c:v>85</c:v>
                </c:pt>
                <c:pt idx="2">
                  <c:v>88</c:v>
                </c:pt>
                <c:pt idx="3">
                  <c:v>80</c:v>
                </c:pt>
                <c:pt idx="4">
                  <c:v>85</c:v>
                </c:pt>
                <c:pt idx="5">
                  <c:v>75</c:v>
                </c:pt>
                <c:pt idx="6">
                  <c:v>40</c:v>
                </c:pt>
                <c:pt idx="7">
                  <c:v>35</c:v>
                </c:pt>
                <c:pt idx="8">
                  <c:v>45</c:v>
                </c:pt>
                <c:pt idx="9">
                  <c:v>85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B-4E30-95D7-0A22FA307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896016"/>
        <c:axId val="810914256"/>
      </c:radarChart>
      <c:catAx>
        <c:axId val="81089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14256"/>
        <c:crosses val="autoZero"/>
        <c:auto val="1"/>
        <c:lblAlgn val="ctr"/>
        <c:lblOffset val="100"/>
        <c:noMultiLvlLbl val="0"/>
      </c:catAx>
      <c:valAx>
        <c:axId val="810914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089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Radar!$E$1</c:f>
              <c:strCache>
                <c:ptCount val="1"/>
                <c:pt idx="0">
                  <c:v>GILLIAN</c:v>
                </c:pt>
              </c:strCache>
            </c:strRef>
          </c:tx>
          <c:spPr>
            <a:solidFill>
              <a:srgbClr val="7030A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Radar!$E$2:$E$12</c:f>
              <c:numCache>
                <c:formatCode>General</c:formatCode>
                <c:ptCount val="11"/>
                <c:pt idx="0">
                  <c:v>90</c:v>
                </c:pt>
                <c:pt idx="1">
                  <c:v>80</c:v>
                </c:pt>
                <c:pt idx="2">
                  <c:v>85</c:v>
                </c:pt>
                <c:pt idx="3">
                  <c:v>75</c:v>
                </c:pt>
                <c:pt idx="4">
                  <c:v>80</c:v>
                </c:pt>
                <c:pt idx="5">
                  <c:v>60</c:v>
                </c:pt>
                <c:pt idx="6">
                  <c:v>30</c:v>
                </c:pt>
                <c:pt idx="7">
                  <c:v>55</c:v>
                </c:pt>
                <c:pt idx="8">
                  <c:v>75</c:v>
                </c:pt>
                <c:pt idx="9">
                  <c:v>88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B-4DBB-B628-D343502BD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652880"/>
        <c:axId val="1006659120"/>
      </c:radarChart>
      <c:catAx>
        <c:axId val="100665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59120"/>
        <c:crosses val="autoZero"/>
        <c:auto val="1"/>
        <c:lblAlgn val="ctr"/>
        <c:lblOffset val="100"/>
        <c:noMultiLvlLbl val="0"/>
      </c:catAx>
      <c:valAx>
        <c:axId val="1006659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665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Radar!$F$1</c:f>
              <c:strCache>
                <c:ptCount val="1"/>
                <c:pt idx="0">
                  <c:v>HAYAMI</c:v>
                </c:pt>
              </c:strCache>
            </c:strRef>
          </c:tx>
          <c:spPr>
            <a:solidFill>
              <a:srgbClr val="FFC00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Radar!$F$2:$F$12</c:f>
              <c:numCache>
                <c:formatCode>General</c:formatCode>
                <c:ptCount val="11"/>
                <c:pt idx="0">
                  <c:v>95</c:v>
                </c:pt>
                <c:pt idx="1">
                  <c:v>70</c:v>
                </c:pt>
                <c:pt idx="2">
                  <c:v>98</c:v>
                </c:pt>
                <c:pt idx="3">
                  <c:v>55</c:v>
                </c:pt>
                <c:pt idx="4">
                  <c:v>35</c:v>
                </c:pt>
                <c:pt idx="5">
                  <c:v>35</c:v>
                </c:pt>
                <c:pt idx="6">
                  <c:v>45</c:v>
                </c:pt>
                <c:pt idx="7">
                  <c:v>65</c:v>
                </c:pt>
                <c:pt idx="8">
                  <c:v>60</c:v>
                </c:pt>
                <c:pt idx="9">
                  <c:v>80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E-4AD6-B710-E5B0DAB0C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428368"/>
        <c:axId val="978426928"/>
      </c:radarChart>
      <c:catAx>
        <c:axId val="97842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26928"/>
        <c:crosses val="autoZero"/>
        <c:auto val="1"/>
        <c:lblAlgn val="ctr"/>
        <c:lblOffset val="100"/>
        <c:noMultiLvlLbl val="0"/>
      </c:catAx>
      <c:valAx>
        <c:axId val="9784269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842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Radar!$G$1</c:f>
              <c:strCache>
                <c:ptCount val="1"/>
                <c:pt idx="0">
                  <c:v>SHIINA</c:v>
                </c:pt>
              </c:strCache>
            </c:strRef>
          </c:tx>
          <c:spPr>
            <a:solidFill>
              <a:srgbClr val="FFC00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Radar!$G$2:$G$12</c:f>
              <c:numCache>
                <c:formatCode>General</c:formatCode>
                <c:ptCount val="11"/>
                <c:pt idx="0">
                  <c:v>70</c:v>
                </c:pt>
                <c:pt idx="1">
                  <c:v>65</c:v>
                </c:pt>
                <c:pt idx="2">
                  <c:v>78</c:v>
                </c:pt>
                <c:pt idx="3">
                  <c:v>50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65</c:v>
                </c:pt>
                <c:pt idx="8">
                  <c:v>70</c:v>
                </c:pt>
                <c:pt idx="9">
                  <c:v>60</c:v>
                </c:pt>
                <c:pt idx="1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B-418C-A0CE-8EAD5B6E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511216"/>
        <c:axId val="946505936"/>
      </c:radarChart>
      <c:catAx>
        <c:axId val="9465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05936"/>
        <c:crosses val="autoZero"/>
        <c:auto val="1"/>
        <c:lblAlgn val="ctr"/>
        <c:lblOffset val="100"/>
        <c:noMultiLvlLbl val="0"/>
      </c:catAx>
      <c:valAx>
        <c:axId val="946505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4651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Radar!$H$1</c:f>
              <c:strCache>
                <c:ptCount val="1"/>
                <c:pt idx="0">
                  <c:v>SHAYE</c:v>
                </c:pt>
              </c:strCache>
            </c:strRef>
          </c:tx>
          <c:spPr>
            <a:solidFill>
              <a:srgbClr val="FFC00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Radar!$H$2:$H$12</c:f>
              <c:numCache>
                <c:formatCode>General</c:formatCode>
                <c:ptCount val="11"/>
                <c:pt idx="0">
                  <c:v>88</c:v>
                </c:pt>
                <c:pt idx="1">
                  <c:v>50</c:v>
                </c:pt>
                <c:pt idx="2">
                  <c:v>85</c:v>
                </c:pt>
                <c:pt idx="3">
                  <c:v>65</c:v>
                </c:pt>
                <c:pt idx="4">
                  <c:v>85</c:v>
                </c:pt>
                <c:pt idx="5">
                  <c:v>70</c:v>
                </c:pt>
                <c:pt idx="6">
                  <c:v>30</c:v>
                </c:pt>
                <c:pt idx="7">
                  <c:v>30</c:v>
                </c:pt>
                <c:pt idx="8">
                  <c:v>35</c:v>
                </c:pt>
                <c:pt idx="9">
                  <c:v>60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B-44E2-A3FF-F292461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35184"/>
        <c:axId val="1087133264"/>
      </c:radarChart>
      <c:catAx>
        <c:axId val="108713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33264"/>
        <c:crosses val="autoZero"/>
        <c:auto val="1"/>
        <c:lblAlgn val="ctr"/>
        <c:lblOffset val="100"/>
        <c:noMultiLvlLbl val="0"/>
      </c:catAx>
      <c:valAx>
        <c:axId val="1087133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713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Radar!$I$1</c:f>
              <c:strCache>
                <c:ptCount val="1"/>
                <c:pt idx="0">
                  <c:v>THERESA</c:v>
                </c:pt>
              </c:strCache>
            </c:strRef>
          </c:tx>
          <c:spPr>
            <a:solidFill>
              <a:srgbClr val="FFC00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Radar!$I$2:$I$12</c:f>
              <c:numCache>
                <c:formatCode>General</c:formatCode>
                <c:ptCount val="11"/>
                <c:pt idx="0">
                  <c:v>60</c:v>
                </c:pt>
                <c:pt idx="1">
                  <c:v>45</c:v>
                </c:pt>
                <c:pt idx="2">
                  <c:v>80</c:v>
                </c:pt>
                <c:pt idx="3">
                  <c:v>75</c:v>
                </c:pt>
                <c:pt idx="4">
                  <c:v>88</c:v>
                </c:pt>
                <c:pt idx="5">
                  <c:v>90</c:v>
                </c:pt>
                <c:pt idx="6">
                  <c:v>75</c:v>
                </c:pt>
                <c:pt idx="7">
                  <c:v>40</c:v>
                </c:pt>
                <c:pt idx="8">
                  <c:v>45</c:v>
                </c:pt>
                <c:pt idx="9">
                  <c:v>45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F-4FB4-A9A6-661E52D97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444848"/>
        <c:axId val="1081440048"/>
      </c:radarChart>
      <c:catAx>
        <c:axId val="10814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40048"/>
        <c:crosses val="autoZero"/>
        <c:auto val="1"/>
        <c:lblAlgn val="ctr"/>
        <c:lblOffset val="100"/>
        <c:noMultiLvlLbl val="0"/>
      </c:catAx>
      <c:valAx>
        <c:axId val="1081440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144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Radar!$J$1</c:f>
              <c:strCache>
                <c:ptCount val="1"/>
                <c:pt idx="0">
                  <c:v>CHIYO</c:v>
                </c:pt>
              </c:strCache>
            </c:strRef>
          </c:tx>
          <c:spPr>
            <a:solidFill>
              <a:srgbClr val="00B0F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Radar!$J$2:$J$12</c:f>
              <c:numCache>
                <c:formatCode>General</c:formatCode>
                <c:ptCount val="11"/>
                <c:pt idx="0">
                  <c:v>78</c:v>
                </c:pt>
                <c:pt idx="1">
                  <c:v>85</c:v>
                </c:pt>
                <c:pt idx="2">
                  <c:v>70</c:v>
                </c:pt>
                <c:pt idx="3">
                  <c:v>45</c:v>
                </c:pt>
                <c:pt idx="4">
                  <c:v>25</c:v>
                </c:pt>
                <c:pt idx="5">
                  <c:v>40</c:v>
                </c:pt>
                <c:pt idx="6">
                  <c:v>50</c:v>
                </c:pt>
                <c:pt idx="7">
                  <c:v>88</c:v>
                </c:pt>
                <c:pt idx="8">
                  <c:v>90</c:v>
                </c:pt>
                <c:pt idx="9">
                  <c:v>75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D-472C-B1E4-F217F721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581840"/>
        <c:axId val="1006580880"/>
      </c:radarChart>
      <c:catAx>
        <c:axId val="100658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80880"/>
        <c:crosses val="autoZero"/>
        <c:auto val="1"/>
        <c:lblAlgn val="ctr"/>
        <c:lblOffset val="100"/>
        <c:noMultiLvlLbl val="0"/>
      </c:catAx>
      <c:valAx>
        <c:axId val="1006580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658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Radar!$K$1</c:f>
              <c:strCache>
                <c:ptCount val="1"/>
                <c:pt idx="0">
                  <c:v>MAYUMI</c:v>
                </c:pt>
              </c:strCache>
            </c:strRef>
          </c:tx>
          <c:spPr>
            <a:solidFill>
              <a:srgbClr val="00B0F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Radar!$K$2:$K$12</c:f>
              <c:numCache>
                <c:formatCode>General</c:formatCode>
                <c:ptCount val="11"/>
                <c:pt idx="0">
                  <c:v>75</c:v>
                </c:pt>
                <c:pt idx="1">
                  <c:v>60</c:v>
                </c:pt>
                <c:pt idx="2">
                  <c:v>72</c:v>
                </c:pt>
                <c:pt idx="3">
                  <c:v>50</c:v>
                </c:pt>
                <c:pt idx="4">
                  <c:v>20</c:v>
                </c:pt>
                <c:pt idx="5">
                  <c:v>55</c:v>
                </c:pt>
                <c:pt idx="6">
                  <c:v>90</c:v>
                </c:pt>
                <c:pt idx="7">
                  <c:v>80</c:v>
                </c:pt>
                <c:pt idx="8">
                  <c:v>85</c:v>
                </c:pt>
                <c:pt idx="9">
                  <c:v>65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1-4F91-BC4F-6924F8BA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79632"/>
        <c:axId val="1133580112"/>
      </c:radarChart>
      <c:catAx>
        <c:axId val="11335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80112"/>
        <c:crosses val="autoZero"/>
        <c:auto val="1"/>
        <c:lblAlgn val="ctr"/>
        <c:lblOffset val="100"/>
        <c:noMultiLvlLbl val="0"/>
      </c:catAx>
      <c:valAx>
        <c:axId val="1133580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357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Radar!$L$1</c:f>
              <c:strCache>
                <c:ptCount val="1"/>
                <c:pt idx="0">
                  <c:v>SHIZUKA</c:v>
                </c:pt>
              </c:strCache>
            </c:strRef>
          </c:tx>
          <c:spPr>
            <a:solidFill>
              <a:srgbClr val="00B0F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Radar!$L$2:$L$12</c:f>
              <c:numCache>
                <c:formatCode>General</c:formatCode>
                <c:ptCount val="11"/>
                <c:pt idx="0">
                  <c:v>92</c:v>
                </c:pt>
                <c:pt idx="1">
                  <c:v>65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65</c:v>
                </c:pt>
                <c:pt idx="6">
                  <c:v>25</c:v>
                </c:pt>
                <c:pt idx="7">
                  <c:v>50</c:v>
                </c:pt>
                <c:pt idx="8">
                  <c:v>70</c:v>
                </c:pt>
                <c:pt idx="9">
                  <c:v>78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1-478A-9D1E-C903A6FF7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991024"/>
        <c:axId val="999992464"/>
      </c:radarChart>
      <c:catAx>
        <c:axId val="9999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92464"/>
        <c:crosses val="autoZero"/>
        <c:auto val="1"/>
        <c:lblAlgn val="ctr"/>
        <c:lblOffset val="100"/>
        <c:noMultiLvlLbl val="0"/>
      </c:catAx>
      <c:valAx>
        <c:axId val="999992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999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Radar!$M$1</c:f>
              <c:strCache>
                <c:ptCount val="1"/>
                <c:pt idx="0">
                  <c:v>LILY</c:v>
                </c:pt>
              </c:strCache>
            </c:strRef>
          </c:tx>
          <c:spPr>
            <a:solidFill>
              <a:srgbClr val="00B0F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Radar!$M$2:$M$12</c:f>
              <c:numCache>
                <c:formatCode>General</c:formatCode>
                <c:ptCount val="11"/>
                <c:pt idx="0">
                  <c:v>55</c:v>
                </c:pt>
                <c:pt idx="1">
                  <c:v>50</c:v>
                </c:pt>
                <c:pt idx="2">
                  <c:v>70</c:v>
                </c:pt>
                <c:pt idx="3">
                  <c:v>88</c:v>
                </c:pt>
                <c:pt idx="4">
                  <c:v>88</c:v>
                </c:pt>
                <c:pt idx="5">
                  <c:v>95</c:v>
                </c:pt>
                <c:pt idx="6">
                  <c:v>88</c:v>
                </c:pt>
                <c:pt idx="7">
                  <c:v>45</c:v>
                </c:pt>
                <c:pt idx="8">
                  <c:v>65</c:v>
                </c:pt>
                <c:pt idx="9">
                  <c:v>50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D-4A98-BC3D-3C0FBAA6A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79888"/>
        <c:axId val="838980368"/>
      </c:radarChart>
      <c:catAx>
        <c:axId val="83897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80368"/>
        <c:crosses val="autoZero"/>
        <c:auto val="1"/>
        <c:lblAlgn val="ctr"/>
        <c:lblOffset val="100"/>
        <c:noMultiLvlLbl val="0"/>
      </c:catAx>
      <c:valAx>
        <c:axId val="8389803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89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Radar!$N$1</c:f>
              <c:strCache>
                <c:ptCount val="1"/>
                <c:pt idx="0">
                  <c:v>KATIE</c:v>
                </c:pt>
              </c:strCache>
            </c:strRef>
          </c:tx>
          <c:spPr>
            <a:solidFill>
              <a:srgbClr val="00B05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Radar!$N$2:$N$12</c:f>
              <c:numCache>
                <c:formatCode>General</c:formatCode>
                <c:ptCount val="11"/>
                <c:pt idx="0">
                  <c:v>72</c:v>
                </c:pt>
                <c:pt idx="1">
                  <c:v>80</c:v>
                </c:pt>
                <c:pt idx="2">
                  <c:v>60</c:v>
                </c:pt>
                <c:pt idx="3">
                  <c:v>55</c:v>
                </c:pt>
                <c:pt idx="4">
                  <c:v>25</c:v>
                </c:pt>
                <c:pt idx="5">
                  <c:v>45</c:v>
                </c:pt>
                <c:pt idx="6">
                  <c:v>95</c:v>
                </c:pt>
                <c:pt idx="7">
                  <c:v>40</c:v>
                </c:pt>
                <c:pt idx="8">
                  <c:v>55</c:v>
                </c:pt>
                <c:pt idx="9">
                  <c:v>55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1-45B9-9A5F-C7E7E1ABB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444464"/>
        <c:axId val="2094443504"/>
      </c:radarChart>
      <c:catAx>
        <c:axId val="209444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43504"/>
        <c:crosses val="autoZero"/>
        <c:auto val="1"/>
        <c:lblAlgn val="ctr"/>
        <c:lblOffset val="100"/>
        <c:noMultiLvlLbl val="0"/>
      </c:catAx>
      <c:valAx>
        <c:axId val="2094443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9444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Radar!$O$1</c:f>
              <c:strCache>
                <c:ptCount val="1"/>
                <c:pt idx="0">
                  <c:v>SONIA</c:v>
                </c:pt>
              </c:strCache>
            </c:strRef>
          </c:tx>
          <c:spPr>
            <a:solidFill>
              <a:srgbClr val="00B05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Radar!$O$2:$O$12</c:f>
              <c:numCache>
                <c:formatCode>General</c:formatCode>
                <c:ptCount val="11"/>
                <c:pt idx="0">
                  <c:v>60</c:v>
                </c:pt>
                <c:pt idx="1">
                  <c:v>88</c:v>
                </c:pt>
                <c:pt idx="2">
                  <c:v>72</c:v>
                </c:pt>
                <c:pt idx="3">
                  <c:v>50</c:v>
                </c:pt>
                <c:pt idx="4">
                  <c:v>20</c:v>
                </c:pt>
                <c:pt idx="5">
                  <c:v>40</c:v>
                </c:pt>
                <c:pt idx="6">
                  <c:v>88</c:v>
                </c:pt>
                <c:pt idx="7">
                  <c:v>70</c:v>
                </c:pt>
                <c:pt idx="8">
                  <c:v>65</c:v>
                </c:pt>
                <c:pt idx="9">
                  <c:v>85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4E9F-9729-1DBB8A0DA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299776"/>
        <c:axId val="1139288256"/>
      </c:radarChart>
      <c:catAx>
        <c:axId val="11392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88256"/>
        <c:crosses val="autoZero"/>
        <c:auto val="1"/>
        <c:lblAlgn val="ctr"/>
        <c:lblOffset val="100"/>
        <c:noMultiLvlLbl val="0"/>
      </c:catAx>
      <c:valAx>
        <c:axId val="1139288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92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Radar!$P$1</c:f>
              <c:strCache>
                <c:ptCount val="1"/>
                <c:pt idx="0">
                  <c:v>EMILY</c:v>
                </c:pt>
              </c:strCache>
            </c:strRef>
          </c:tx>
          <c:spPr>
            <a:solidFill>
              <a:srgbClr val="00B05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Radar!$P$2:$P$12</c:f>
              <c:numCache>
                <c:formatCode>General</c:formatCode>
                <c:ptCount val="11"/>
                <c:pt idx="0">
                  <c:v>55</c:v>
                </c:pt>
                <c:pt idx="1">
                  <c:v>85</c:v>
                </c:pt>
                <c:pt idx="2">
                  <c:v>78</c:v>
                </c:pt>
                <c:pt idx="3">
                  <c:v>78</c:v>
                </c:pt>
                <c:pt idx="4">
                  <c:v>85</c:v>
                </c:pt>
                <c:pt idx="5">
                  <c:v>80</c:v>
                </c:pt>
                <c:pt idx="6">
                  <c:v>80</c:v>
                </c:pt>
                <c:pt idx="7">
                  <c:v>25</c:v>
                </c:pt>
                <c:pt idx="8">
                  <c:v>30</c:v>
                </c:pt>
                <c:pt idx="9">
                  <c:v>55</c:v>
                </c:pt>
                <c:pt idx="1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8-4D03-8E9F-3A8CE63BB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766432"/>
        <c:axId val="1166776992"/>
      </c:radarChart>
      <c:catAx>
        <c:axId val="11667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776992"/>
        <c:crosses val="autoZero"/>
        <c:auto val="1"/>
        <c:lblAlgn val="ctr"/>
        <c:lblOffset val="100"/>
        <c:noMultiLvlLbl val="0"/>
      </c:catAx>
      <c:valAx>
        <c:axId val="1166776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676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Radar!$Q$1</c:f>
              <c:strCache>
                <c:ptCount val="1"/>
                <c:pt idx="0">
                  <c:v>HIMIKO</c:v>
                </c:pt>
              </c:strCache>
            </c:strRef>
          </c:tx>
          <c:spPr>
            <a:solidFill>
              <a:srgbClr val="00B050">
                <a:alpha val="75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Radar!$A$2:$A$12</c:f>
              <c:strCache>
                <c:ptCount val="11"/>
                <c:pt idx="0">
                  <c:v>Power</c:v>
                </c:pt>
                <c:pt idx="1">
                  <c:v>Visionary</c:v>
                </c:pt>
                <c:pt idx="2">
                  <c:v>Resourcefulness</c:v>
                </c:pt>
                <c:pt idx="3">
                  <c:v>Communication</c:v>
                </c:pt>
                <c:pt idx="4">
                  <c:v>Extraversion</c:v>
                </c:pt>
                <c:pt idx="5">
                  <c:v>Socialibility</c:v>
                </c:pt>
                <c:pt idx="6">
                  <c:v>Empathy</c:v>
                </c:pt>
                <c:pt idx="7">
                  <c:v>Self-Control</c:v>
                </c:pt>
                <c:pt idx="8">
                  <c:v>Conscientiousness</c:v>
                </c:pt>
                <c:pt idx="9">
                  <c:v>Rationality</c:v>
                </c:pt>
                <c:pt idx="10">
                  <c:v>Assurance</c:v>
                </c:pt>
              </c:strCache>
            </c:strRef>
          </c:cat>
          <c:val>
            <c:numRef>
              <c:f>Radar!$Q$2:$Q$12</c:f>
              <c:numCache>
                <c:formatCode>General</c:formatCode>
                <c:ptCount val="11"/>
                <c:pt idx="0">
                  <c:v>65</c:v>
                </c:pt>
                <c:pt idx="1">
                  <c:v>78</c:v>
                </c:pt>
                <c:pt idx="2">
                  <c:v>70</c:v>
                </c:pt>
                <c:pt idx="3">
                  <c:v>88</c:v>
                </c:pt>
                <c:pt idx="4">
                  <c:v>88</c:v>
                </c:pt>
                <c:pt idx="5">
                  <c:v>90</c:v>
                </c:pt>
                <c:pt idx="6">
                  <c:v>85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8-4FD6-992A-236FE5F48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694032"/>
        <c:axId val="1004696432"/>
      </c:radarChart>
      <c:catAx>
        <c:axId val="100469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96432"/>
        <c:crosses val="autoZero"/>
        <c:auto val="1"/>
        <c:lblAlgn val="ctr"/>
        <c:lblOffset val="100"/>
        <c:noMultiLvlLbl val="0"/>
      </c:catAx>
      <c:valAx>
        <c:axId val="1004696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alpha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469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308610</xdr:colOff>
      <xdr:row>18</xdr:row>
      <xdr:rowOff>11430</xdr:rowOff>
    </xdr:from>
    <xdr:to>
      <xdr:col>7</xdr:col>
      <xdr:colOff>624840</xdr:colOff>
      <xdr:row>38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BC6A8-5CE8-A39C-744B-4EEC6EFFB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33868</xdr:colOff>
      <xdr:row>40</xdr:row>
      <xdr:rowOff>135467</xdr:rowOff>
    </xdr:from>
    <xdr:to>
      <xdr:col>11</xdr:col>
      <xdr:colOff>270934</xdr:colOff>
      <xdr:row>58</xdr:row>
      <xdr:rowOff>160866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BA5DC1-A37D-C411-0D22-8F05AC1DA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9174</xdr:rowOff>
    </xdr:from>
    <xdr:to>
      <xdr:col>4</xdr:col>
      <xdr:colOff>6350</xdr:colOff>
      <xdr:row>24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770EB-5392-759A-FABE-85FA78315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689232</xdr:colOff>
      <xdr:row>13</xdr:row>
      <xdr:rowOff>5374</xdr:rowOff>
    </xdr:from>
    <xdr:to>
      <xdr:col>10</xdr:col>
      <xdr:colOff>0</xdr:colOff>
      <xdr:row>24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AAF58-F096-7026-D85A-4977575FF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9412</xdr:colOff>
      <xdr:row>13</xdr:row>
      <xdr:rowOff>3989</xdr:rowOff>
    </xdr:from>
    <xdr:to>
      <xdr:col>16</xdr:col>
      <xdr:colOff>0</xdr:colOff>
      <xdr:row>24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8B92DB-6A7F-0BD1-0CD7-29A9F1BD9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8340</xdr:colOff>
      <xdr:row>13</xdr:row>
      <xdr:rowOff>8570</xdr:rowOff>
    </xdr:from>
    <xdr:to>
      <xdr:col>23</xdr:col>
      <xdr:colOff>0</xdr:colOff>
      <xdr:row>23</xdr:row>
      <xdr:rowOff>203199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46FE62-402B-E79A-2F82-3FDC441BF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5122</xdr:rowOff>
    </xdr:from>
    <xdr:to>
      <xdr:col>4</xdr:col>
      <xdr:colOff>8758</xdr:colOff>
      <xdr:row>36</xdr:row>
      <xdr:rowOff>4379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3AA3FE-8D19-1881-0754-964F78617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3093</xdr:colOff>
      <xdr:row>24</xdr:row>
      <xdr:rowOff>203724</xdr:rowOff>
    </xdr:from>
    <xdr:to>
      <xdr:col>10</xdr:col>
      <xdr:colOff>4379</xdr:colOff>
      <xdr:row>36</xdr:row>
      <xdr:rowOff>4379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01E5E3-9093-BD39-80FA-752FE8900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3830</xdr:colOff>
      <xdr:row>25</xdr:row>
      <xdr:rowOff>5122</xdr:rowOff>
    </xdr:from>
    <xdr:to>
      <xdr:col>16</xdr:col>
      <xdr:colOff>0</xdr:colOff>
      <xdr:row>36</xdr:row>
      <xdr:rowOff>13138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9961DF-C4D2-07F3-E19A-4092B6FD5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7172</xdr:colOff>
      <xdr:row>25</xdr:row>
      <xdr:rowOff>4626</xdr:rowOff>
    </xdr:from>
    <xdr:to>
      <xdr:col>23</xdr:col>
      <xdr:colOff>4379</xdr:colOff>
      <xdr:row>36</xdr:row>
      <xdr:rowOff>4379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4E998B-452D-031A-51EA-871C3EAED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37</xdr:row>
      <xdr:rowOff>5670</xdr:rowOff>
    </xdr:from>
    <xdr:to>
      <xdr:col>4</xdr:col>
      <xdr:colOff>4379</xdr:colOff>
      <xdr:row>48</xdr:row>
      <xdr:rowOff>8759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909D494-895F-E024-E914-2430BD74E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2214</xdr:colOff>
      <xdr:row>37</xdr:row>
      <xdr:rowOff>6055</xdr:rowOff>
    </xdr:from>
    <xdr:to>
      <xdr:col>10</xdr:col>
      <xdr:colOff>0</xdr:colOff>
      <xdr:row>48</xdr:row>
      <xdr:rowOff>8759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C36A4F-D8C3-0FA7-1C92-1F9497BFF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2564</xdr:colOff>
      <xdr:row>37</xdr:row>
      <xdr:rowOff>5257</xdr:rowOff>
    </xdr:from>
    <xdr:to>
      <xdr:col>15</xdr:col>
      <xdr:colOff>691525</xdr:colOff>
      <xdr:row>47</xdr:row>
      <xdr:rowOff>207017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7D525FF-A2C9-3D37-9BB3-3DCB7F0BC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6569</xdr:colOff>
      <xdr:row>37</xdr:row>
      <xdr:rowOff>5359</xdr:rowOff>
    </xdr:from>
    <xdr:to>
      <xdr:col>23</xdr:col>
      <xdr:colOff>0</xdr:colOff>
      <xdr:row>47</xdr:row>
      <xdr:rowOff>207017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2079DC-0723-0171-47B6-CFBB3CCEE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49</xdr:row>
      <xdr:rowOff>2705</xdr:rowOff>
    </xdr:from>
    <xdr:to>
      <xdr:col>4</xdr:col>
      <xdr:colOff>5219</xdr:colOff>
      <xdr:row>60</xdr:row>
      <xdr:rowOff>10439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E9BDF7-BDC8-B58C-FD8C-1F1B3A07F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692804</xdr:colOff>
      <xdr:row>49</xdr:row>
      <xdr:rowOff>5078</xdr:rowOff>
    </xdr:from>
    <xdr:to>
      <xdr:col>10</xdr:col>
      <xdr:colOff>0</xdr:colOff>
      <xdr:row>60</xdr:row>
      <xdr:rowOff>10438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7AAAC46-FB8B-7C82-DC90-2DA854361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3401</xdr:colOff>
      <xdr:row>49</xdr:row>
      <xdr:rowOff>7293</xdr:rowOff>
    </xdr:from>
    <xdr:to>
      <xdr:col>16</xdr:col>
      <xdr:colOff>5218</xdr:colOff>
      <xdr:row>60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3B0E77A-79CE-1EED-9D71-E0BDD033B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4507</xdr:colOff>
      <xdr:row>49</xdr:row>
      <xdr:rowOff>5392</xdr:rowOff>
    </xdr:from>
    <xdr:to>
      <xdr:col>23</xdr:col>
      <xdr:colOff>3085</xdr:colOff>
      <xdr:row>59</xdr:row>
      <xdr:rowOff>206696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C81DEBA-E95B-8BB8-D683-884BF18B9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CCBFC-26A1-4AD4-9780-FC605EAF4882}" name="Table1" displayName="Table1" ref="A3:H19" totalsRowShown="0" headerRowDxfId="89" dataDxfId="87" headerRowBorderDxfId="88" tableBorderDxfId="86" totalsRowBorderDxfId="85">
  <autoFilter ref="A3:H19" xr:uid="{60ECCBFC-26A1-4AD4-9780-FC605EAF4882}"/>
  <sortState xmlns:xlrd2="http://schemas.microsoft.com/office/spreadsheetml/2017/richdata2" ref="A4:H19">
    <sortCondition ref="A3:A19"/>
  </sortState>
  <tableColumns count="8">
    <tableColumn id="1" xr3:uid="{BD669A8D-5208-47A2-9363-A94328EAEE24}" name="NO" dataDxfId="84"/>
    <tableColumn id="2" xr3:uid="{DEFFB812-3FCC-4AA5-91BE-190B26798DAE}" name="NAME" dataDxfId="83"/>
    <tableColumn id="3" xr3:uid="{E3662FF0-293E-4774-926A-49BBE49F7D85}" name="GROUP" dataDxfId="82"/>
    <tableColumn id="4" xr3:uid="{74DEF36A-9CC4-4107-B2FC-146C05663CC9}" name="MBTI" dataDxfId="81"/>
    <tableColumn id="5" xr3:uid="{5748E39D-D106-4659-A2DA-E9A04043AD84}" name="HEIGHT (cm)" dataDxfId="80"/>
    <tableColumn id="6" xr3:uid="{1D663674-EFFF-475D-8A45-95DFE92D6892}" name="ACADEMIC" dataDxfId="79"/>
    <tableColumn id="7" xr3:uid="{A70B3F91-3733-41FF-998E-E4EA502DFC69}" name="SOCIAL" dataDxfId="78"/>
    <tableColumn id="8" xr3:uid="{77FF155B-487F-4142-8827-491632083093}" name="STRATEGIC" data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8DA440-33AE-4FEE-B90C-D1505141BFB8}" name="Table13" displayName="Table13" ref="A1:H17" totalsRowShown="0" headerRowDxfId="76" dataDxfId="74" headerRowBorderDxfId="75" tableBorderDxfId="73" totalsRowBorderDxfId="72">
  <autoFilter ref="A1:H17" xr:uid="{F68DA440-33AE-4FEE-B90C-D1505141BFB8}"/>
  <sortState xmlns:xlrd2="http://schemas.microsoft.com/office/spreadsheetml/2017/richdata2" ref="A2:H17">
    <sortCondition ref="A3:A19"/>
  </sortState>
  <tableColumns count="8">
    <tableColumn id="1" xr3:uid="{DFA1E795-7860-48FB-B63A-2A8260D0183C}" name="NO" dataDxfId="71"/>
    <tableColumn id="2" xr3:uid="{6C41C817-DD6D-4952-869C-35CA1324DDF0}" name="NAME" dataDxfId="70"/>
    <tableColumn id="3" xr3:uid="{B38665D0-F5E9-4D0E-8857-4EE4F273C626}" name="GROUP" dataDxfId="69"/>
    <tableColumn id="4" xr3:uid="{9F05155D-B083-416D-8B3B-C53544F403C7}" name="MBTI" dataDxfId="68"/>
    <tableColumn id="5" xr3:uid="{DFC8801E-2F27-4B22-B55B-FC6EC1384470}" name="HEIGHT (cm)" dataDxfId="67"/>
    <tableColumn id="6" xr3:uid="{854F3708-B336-4E36-8B8C-3E009793FD69}" name="ACADEMIC" dataDxfId="66"/>
    <tableColumn id="7" xr3:uid="{AF7227FF-9956-4372-959A-65B89B9F2C77}" name="SOCIAL" dataDxfId="65"/>
    <tableColumn id="8" xr3:uid="{4C5F1FAA-DAD3-49DD-BF63-5F14E5FB2DCC}" name="STRATEGIC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1A2C53-4F7A-48E9-B1E5-D0D7161091CE}" name="Table134" displayName="Table134" ref="A1:J17" totalsRowShown="0" headerRowDxfId="63" dataDxfId="61" headerRowBorderDxfId="62" tableBorderDxfId="60" totalsRowBorderDxfId="59">
  <autoFilter ref="A1:J17" xr:uid="{951A2C53-4F7A-48E9-B1E5-D0D7161091CE}"/>
  <sortState xmlns:xlrd2="http://schemas.microsoft.com/office/spreadsheetml/2017/richdata2" ref="A2:H17">
    <sortCondition ref="A3:A19"/>
  </sortState>
  <tableColumns count="10">
    <tableColumn id="1" xr3:uid="{40239CF6-057D-4A09-8FFD-DB7BDB7E451C}" name="NO" dataDxfId="58"/>
    <tableColumn id="2" xr3:uid="{13AF2798-73C2-494A-89C7-1AE39888A561}" name="NAME" dataDxfId="57"/>
    <tableColumn id="3" xr3:uid="{A300D216-D8B1-4181-B357-4314EAA636ED}" name="GROUP" dataDxfId="56"/>
    <tableColumn id="4" xr3:uid="{C7420CE5-5FB0-4F25-A19B-B9EB14BE663F}" name="MBTI" dataDxfId="55"/>
    <tableColumn id="5" xr3:uid="{3FBE1DD0-FE7B-475B-8C7E-CA45407DF542}" name="HEIGHT (cm)" dataDxfId="54"/>
    <tableColumn id="6" xr3:uid="{FDD5B3EA-2F19-4ED7-BE64-994F78FB47BA}" name="ACADEMIC" dataDxfId="53"/>
    <tableColumn id="7" xr3:uid="{825270C0-139E-4B67-9BAC-C717CBF954AC}" name="SOCIAL" dataDxfId="52"/>
    <tableColumn id="8" xr3:uid="{ACFC6BF6-F65E-4F26-AFAF-F9A0EE3273E6}" name="STRATEGIC" dataDxfId="51"/>
    <tableColumn id="9" xr3:uid="{C1E26DB3-040B-431A-9C34-AD451125E48B}" name="POWER" dataDxfId="50"/>
    <tableColumn id="10" xr3:uid="{5566AAF2-B574-4720-B57B-B714C8EA6A51}" name="DEFENSE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0CABB-83D1-4190-A033-12A0CD4EB0F6}" name="Table5" displayName="Table5" ref="A1:F22" totalsRowShown="0" headerRowDxfId="48" dataDxfId="46" headerRowBorderDxfId="47" tableBorderDxfId="45" totalsRowBorderDxfId="44">
  <autoFilter ref="A1:F22" xr:uid="{DAB0CABB-83D1-4190-A033-12A0CD4EB0F6}"/>
  <sortState xmlns:xlrd2="http://schemas.microsoft.com/office/spreadsheetml/2017/richdata2" ref="A2:E22">
    <sortCondition ref="A1:A22"/>
  </sortState>
  <tableColumns count="6">
    <tableColumn id="1" xr3:uid="{7C7B317D-A85B-4559-A166-8E01F1B4E659}" name="FUSION NAME" dataDxfId="43"/>
    <tableColumn id="2" xr3:uid="{C53F4921-CE54-44E1-94B1-773F7397C070}" name="ELEMENT 1" dataDxfId="42"/>
    <tableColumn id="3" xr3:uid="{29E4E375-6B78-41FC-B75F-8091F3820C4E}" name="ELEMENT 2" dataDxfId="41"/>
    <tableColumn id="4" xr3:uid="{00545C2D-05E7-4D4A-A635-56FD1B7FF60D}" name="STATUS" dataDxfId="40"/>
    <tableColumn id="5" xr3:uid="{E0AE2A42-D200-4600-B58E-BAADE08C3CB0}" name="EST. POWER RATING" dataDxfId="39">
      <calculatedColumnFormula>AVERAGEIF(Fusion_stats!$A$2:$A$8, B2, Fusion_stats!$H$2:$H$8)/2 + AVERAGEIF(Fusion_stats!$A$2:$A$8, C2, Fusion_stats!$H$2:$H$8)/2</calculatedColumnFormula>
    </tableColumn>
    <tableColumn id="7" xr3:uid="{51ACB47D-EC30-45B9-A45A-F698877EA974}" name="RATING BAR" dataDxfId="38">
      <calculatedColumnFormula>REPT("▪",ROUND((E2-MIN($E$2:$E$22))/(MAX($E$2:$E$22)-MIN($E$2:$E$22))*9+1, 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1CF9F1-4B2D-45D9-9F55-52E11CD93935}" name="Table4" displayName="Table4" ref="A1:J8" totalsRowShown="0" headerRowDxfId="37" dataDxfId="35" headerRowBorderDxfId="36" tableBorderDxfId="34" totalsRowBorderDxfId="33">
  <autoFilter ref="A1:J8" xr:uid="{861CF9F1-4B2D-45D9-9F55-52E11CD93935}"/>
  <sortState xmlns:xlrd2="http://schemas.microsoft.com/office/spreadsheetml/2017/richdata2" ref="A2:J8">
    <sortCondition ref="A1:A8"/>
  </sortState>
  <tableColumns count="10">
    <tableColumn id="1" xr3:uid="{CCC409C8-20A1-4295-8D9E-D40EAFD4DB72}" name="STATS" dataDxfId="32"/>
    <tableColumn id="2" xr3:uid="{13D3396A-6095-404F-8EF9-6B735128F791}" name="POW" dataDxfId="31"/>
    <tableColumn id="3" xr3:uid="{D7E6E3EB-250A-4A71-ACE5-76A0D668B59D}" name="END" dataDxfId="30"/>
    <tableColumn id="4" xr3:uid="{F97774B0-555F-4F0C-9FC6-39C0639CF50F}" name="DEF" dataDxfId="29"/>
    <tableColumn id="5" xr3:uid="{DA0526DB-722E-4384-8309-2A17A0417D5B}" name="AGI"/>
    <tableColumn id="6" xr3:uid="{3AC8047B-596C-4131-A8AA-8ADF241E33A4}" name="INT" dataDxfId="28"/>
    <tableColumn id="7" xr3:uid="{744C4892-51E0-4067-A68C-B0E72CA2AF99}" name="PER" dataDxfId="27"/>
    <tableColumn id="8" xr3:uid="{4D7FA1F2-7FA0-44B1-91E3-7BDDB7282458}" name="AVERAGE" dataDxfId="26">
      <calculatedColumnFormula>AVERAGE(B2:G2)</calculatedColumnFormula>
    </tableColumn>
    <tableColumn id="9" xr3:uid="{EE9A92DE-9126-43B4-92AE-1D1F938DE036}" name="Max stat" dataDxfId="25">
      <calculatedColumnFormula>MAX(B2:G2)</calculatedColumnFormula>
    </tableColumn>
    <tableColumn id="10" xr3:uid="{A4851D87-B1BA-4926-8BB2-4402C34092B1}" name="Min stat" dataDxfId="24">
      <calculatedColumnFormula>MIN(B2:G2)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790FB1-B2A3-4269-97CD-6A41BA025AA2}" name="Table7" displayName="Table7" ref="A1:E17" totalsRowShown="0" headerRowDxfId="23" dataDxfId="21" headerRowBorderDxfId="22" tableBorderDxfId="20" totalsRowBorderDxfId="19">
  <autoFilter ref="A1:E17" xr:uid="{71790FB1-B2A3-4269-97CD-6A41BA025AA2}"/>
  <tableColumns count="5">
    <tableColumn id="1" xr3:uid="{133CEA67-E833-4B0F-B1ED-49BE75D04E1B}" name="Name" dataDxfId="18"/>
    <tableColumn id="2" xr3:uid="{CB99D703-1735-43A5-9D68-CBBD2CA00A0E}" name="Group" dataDxfId="17"/>
    <tableColumn id="3" xr3:uid="{A219C20E-4577-4CC3-95EB-7F06A0A478E0}" name="Avg Stat" dataDxfId="16">
      <calculatedColumnFormula>AVERAGE(Table134[[#This Row],[ACADEMIC]],Table134[[#This Row],[SOCIAL]],Table134[[#This Row],[STRATEGIC]],Table134[[#This Row],[POWER]],Table134[[#This Row],[DEFENSE]])</calculatedColumnFormula>
    </tableColumn>
    <tableColumn id="4" xr3:uid="{EE601AE8-BAE2-4D6F-903F-C5F838020AE4}" name="Rank" dataDxfId="15"/>
    <tableColumn id="5" xr3:uid="{D63AE56A-0928-4AD7-BCB7-BA8C3EA4F257}" name="Tier" dataDxfId="14">
      <calculatedColumnFormula>IF(C2&gt;=PERCENTILE($C$2:$C$17, 0.75), "S", IF(C2&gt;=PERCENTILE($C$2:$C$17, 0.5), "A", IF(C2&gt;=PERCENTILE($C$2:$C$17, 0.25), "B", "C")))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CB23-E14F-41AC-9C7B-F0FB1A8FAFB4}">
  <dimension ref="A1:I25"/>
  <sheetViews>
    <sheetView zoomScale="73" zoomScaleNormal="100" workbookViewId="0">
      <selection activeCell="F29" sqref="F29"/>
    </sheetView>
  </sheetViews>
  <sheetFormatPr defaultRowHeight="16.2" x14ac:dyDescent="0.3"/>
  <cols>
    <col min="1" max="1" width="6.21875" style="1" customWidth="1"/>
    <col min="2" max="2" width="20.77734375" style="1" customWidth="1"/>
    <col min="3" max="3" width="16.6640625" style="1" customWidth="1"/>
    <col min="4" max="4" width="20.44140625" style="1" customWidth="1"/>
    <col min="5" max="5" width="13" style="1" customWidth="1"/>
    <col min="6" max="6" width="8.88671875" style="1" customWidth="1"/>
    <col min="7" max="7" width="10" style="1" customWidth="1"/>
    <col min="8" max="8" width="8.88671875" style="1"/>
    <col min="9" max="9" width="9.33203125" style="1" customWidth="1"/>
    <col min="10" max="16384" width="8.88671875" style="1"/>
  </cols>
  <sheetData>
    <row r="1" spans="1:9" x14ac:dyDescent="0.3">
      <c r="A1" s="35" t="s">
        <v>16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36" t="s">
        <v>17</v>
      </c>
      <c r="B2" s="36"/>
      <c r="C2" s="36"/>
      <c r="D2" s="36"/>
      <c r="E2" s="36"/>
      <c r="F2" s="36"/>
      <c r="G2" s="36"/>
      <c r="H2" s="36"/>
      <c r="I2" s="36"/>
    </row>
    <row r="3" spans="1:9" x14ac:dyDescent="0.3">
      <c r="A3" s="2" t="s">
        <v>0</v>
      </c>
      <c r="B3" s="2" t="s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x14ac:dyDescent="0.3">
      <c r="A4" s="2">
        <v>1</v>
      </c>
      <c r="B4" s="2" t="s">
        <v>2</v>
      </c>
      <c r="C4" s="2">
        <v>50</v>
      </c>
      <c r="D4" s="2">
        <v>65</v>
      </c>
      <c r="E4" s="7">
        <v>40</v>
      </c>
      <c r="F4" s="6">
        <v>65</v>
      </c>
      <c r="G4" s="7">
        <v>40</v>
      </c>
      <c r="H4" s="7">
        <v>38</v>
      </c>
      <c r="I4" s="2">
        <v>60</v>
      </c>
    </row>
    <row r="5" spans="1:9" x14ac:dyDescent="0.3">
      <c r="A5" s="2">
        <v>2</v>
      </c>
      <c r="B5" s="2" t="s">
        <v>3</v>
      </c>
      <c r="C5" s="2">
        <v>65</v>
      </c>
      <c r="D5" s="2">
        <v>50</v>
      </c>
      <c r="E5" s="2">
        <v>50</v>
      </c>
      <c r="F5" s="2">
        <v>50</v>
      </c>
      <c r="G5" s="2">
        <v>55</v>
      </c>
      <c r="H5" s="6">
        <v>67</v>
      </c>
      <c r="I5" s="2">
        <v>50</v>
      </c>
    </row>
    <row r="6" spans="1:9" x14ac:dyDescent="0.3">
      <c r="A6" s="2">
        <v>3</v>
      </c>
      <c r="B6" s="2" t="s">
        <v>4</v>
      </c>
      <c r="C6" s="6">
        <v>70</v>
      </c>
      <c r="D6" s="7">
        <v>45</v>
      </c>
      <c r="E6" s="2">
        <v>45</v>
      </c>
      <c r="F6" s="2">
        <v>38</v>
      </c>
      <c r="G6" s="2">
        <v>60</v>
      </c>
      <c r="H6" s="2">
        <v>60</v>
      </c>
      <c r="I6" s="7">
        <v>45</v>
      </c>
    </row>
    <row r="7" spans="1:9" x14ac:dyDescent="0.3">
      <c r="A7" s="2">
        <v>4</v>
      </c>
      <c r="B7" s="2" t="s">
        <v>5</v>
      </c>
      <c r="C7" s="7">
        <v>35</v>
      </c>
      <c r="D7" s="6">
        <v>72</v>
      </c>
      <c r="E7" s="6">
        <v>70</v>
      </c>
      <c r="F7" s="2">
        <v>55</v>
      </c>
      <c r="G7" s="6">
        <v>65</v>
      </c>
      <c r="H7" s="2">
        <v>60</v>
      </c>
      <c r="I7" s="6">
        <v>75</v>
      </c>
    </row>
    <row r="8" spans="1:9" x14ac:dyDescent="0.3">
      <c r="A8" s="2">
        <v>5</v>
      </c>
      <c r="B8" s="2" t="s">
        <v>6</v>
      </c>
      <c r="C8" s="2">
        <v>55</v>
      </c>
      <c r="D8" s="2">
        <v>50</v>
      </c>
      <c r="E8" s="2">
        <v>50</v>
      </c>
      <c r="F8" s="7">
        <v>35</v>
      </c>
      <c r="G8" s="2">
        <v>55</v>
      </c>
      <c r="H8" s="2">
        <v>65</v>
      </c>
      <c r="I8" s="2">
        <v>70</v>
      </c>
    </row>
    <row r="9" spans="1:9" x14ac:dyDescent="0.3">
      <c r="A9" s="2">
        <v>6</v>
      </c>
      <c r="B9" s="2" t="s">
        <v>7</v>
      </c>
      <c r="C9" s="2">
        <v>50</v>
      </c>
      <c r="D9" s="2">
        <v>60</v>
      </c>
      <c r="E9" s="2">
        <v>55</v>
      </c>
      <c r="F9" s="2">
        <v>40</v>
      </c>
      <c r="G9" s="2">
        <v>60</v>
      </c>
      <c r="H9" s="2">
        <v>60</v>
      </c>
      <c r="I9" s="2">
        <v>70</v>
      </c>
    </row>
    <row r="10" spans="1:9" x14ac:dyDescent="0.3">
      <c r="A10" s="33" t="s">
        <v>15</v>
      </c>
      <c r="B10" s="34"/>
      <c r="C10" s="5">
        <f>AVERAGE(C4:C9)</f>
        <v>54.166666666666664</v>
      </c>
      <c r="D10" s="5">
        <f t="shared" ref="D10:I10" si="0">AVERAGE(D4:D9)</f>
        <v>57</v>
      </c>
      <c r="E10" s="5">
        <f t="shared" si="0"/>
        <v>51.666666666666664</v>
      </c>
      <c r="F10" s="5">
        <f t="shared" si="0"/>
        <v>47.166666666666664</v>
      </c>
      <c r="G10" s="5">
        <f t="shared" si="0"/>
        <v>55.833333333333336</v>
      </c>
      <c r="H10" s="5">
        <f t="shared" si="0"/>
        <v>58.333333333333336</v>
      </c>
      <c r="I10" s="5">
        <f t="shared" si="0"/>
        <v>61.666666666666664</v>
      </c>
    </row>
    <row r="11" spans="1:9" x14ac:dyDescent="0.3">
      <c r="A11" s="30" t="s">
        <v>26</v>
      </c>
      <c r="B11" s="30"/>
      <c r="C11" s="2">
        <f>MAX(C4:C9)</f>
        <v>70</v>
      </c>
      <c r="D11" s="2">
        <f t="shared" ref="D11:I11" si="1">MAX(D4:D9)</f>
        <v>72</v>
      </c>
      <c r="E11" s="2">
        <f t="shared" si="1"/>
        <v>70</v>
      </c>
      <c r="F11" s="2">
        <f t="shared" si="1"/>
        <v>65</v>
      </c>
      <c r="G11" s="2">
        <f t="shared" si="1"/>
        <v>65</v>
      </c>
      <c r="H11" s="2">
        <f t="shared" si="1"/>
        <v>67</v>
      </c>
      <c r="I11" s="2">
        <f t="shared" si="1"/>
        <v>75</v>
      </c>
    </row>
    <row r="12" spans="1:9" x14ac:dyDescent="0.3">
      <c r="A12" s="30" t="s">
        <v>27</v>
      </c>
      <c r="B12" s="30"/>
      <c r="C12" s="2">
        <f>MIN(C4:C9)</f>
        <v>35</v>
      </c>
      <c r="D12" s="2">
        <f t="shared" ref="D12:I12" si="2">MIN(D4:D9)</f>
        <v>45</v>
      </c>
      <c r="E12" s="2">
        <f t="shared" si="2"/>
        <v>40</v>
      </c>
      <c r="F12" s="2">
        <f t="shared" si="2"/>
        <v>35</v>
      </c>
      <c r="G12" s="2">
        <f t="shared" si="2"/>
        <v>40</v>
      </c>
      <c r="H12" s="2">
        <f t="shared" si="2"/>
        <v>38</v>
      </c>
      <c r="I12" s="2">
        <f t="shared" si="2"/>
        <v>45</v>
      </c>
    </row>
    <row r="15" spans="1:9" x14ac:dyDescent="0.3">
      <c r="A15" s="35" t="s">
        <v>18</v>
      </c>
      <c r="B15" s="35"/>
      <c r="C15" s="35"/>
      <c r="D15" s="35"/>
      <c r="E15" s="35"/>
      <c r="F15" s="35"/>
      <c r="G15" s="35"/>
      <c r="H15" s="35"/>
      <c r="I15" s="35"/>
    </row>
    <row r="16" spans="1:9" x14ac:dyDescent="0.3">
      <c r="A16" s="2" t="s">
        <v>0</v>
      </c>
      <c r="B16" s="2" t="s">
        <v>1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 x14ac:dyDescent="0.3">
      <c r="A17" s="2">
        <v>1</v>
      </c>
      <c r="B17" s="2" t="s">
        <v>2</v>
      </c>
      <c r="C17" s="2">
        <v>88</v>
      </c>
      <c r="D17" s="2">
        <v>95</v>
      </c>
      <c r="E17" s="2">
        <v>78</v>
      </c>
      <c r="F17" s="6">
        <v>91</v>
      </c>
      <c r="G17" s="2">
        <v>80</v>
      </c>
      <c r="H17" s="2">
        <v>82</v>
      </c>
      <c r="I17" s="2">
        <v>97</v>
      </c>
    </row>
    <row r="18" spans="1:9" x14ac:dyDescent="0.3">
      <c r="A18" s="2">
        <v>2</v>
      </c>
      <c r="B18" s="2" t="s">
        <v>3</v>
      </c>
      <c r="C18" s="2">
        <v>95</v>
      </c>
      <c r="D18" s="2">
        <v>76</v>
      </c>
      <c r="E18" s="2">
        <v>83</v>
      </c>
      <c r="F18" s="2">
        <v>80</v>
      </c>
      <c r="G18" s="2">
        <v>82</v>
      </c>
      <c r="H18" s="6">
        <v>97</v>
      </c>
      <c r="I18" s="2">
        <v>75</v>
      </c>
    </row>
    <row r="19" spans="1:9" x14ac:dyDescent="0.3">
      <c r="A19" s="2">
        <v>3</v>
      </c>
      <c r="B19" s="2" t="s">
        <v>4</v>
      </c>
      <c r="C19" s="6">
        <v>97</v>
      </c>
      <c r="D19" s="7">
        <v>55</v>
      </c>
      <c r="E19" s="7">
        <v>76</v>
      </c>
      <c r="F19" s="2">
        <v>75</v>
      </c>
      <c r="G19" s="2">
        <v>88</v>
      </c>
      <c r="H19" s="2">
        <v>92</v>
      </c>
      <c r="I19" s="7">
        <v>55</v>
      </c>
    </row>
    <row r="20" spans="1:9" x14ac:dyDescent="0.3">
      <c r="A20" s="2">
        <v>4</v>
      </c>
      <c r="B20" s="2" t="s">
        <v>5</v>
      </c>
      <c r="C20" s="7">
        <v>50</v>
      </c>
      <c r="D20" s="6">
        <v>98</v>
      </c>
      <c r="E20" s="6">
        <v>95</v>
      </c>
      <c r="F20" s="2">
        <v>82</v>
      </c>
      <c r="G20" s="7">
        <v>67</v>
      </c>
      <c r="H20" s="2">
        <v>80</v>
      </c>
      <c r="I20" s="6">
        <v>99</v>
      </c>
    </row>
    <row r="21" spans="1:9" x14ac:dyDescent="0.3">
      <c r="A21" s="2">
        <v>5</v>
      </c>
      <c r="B21" s="2" t="s">
        <v>6</v>
      </c>
      <c r="C21" s="2">
        <v>80</v>
      </c>
      <c r="D21" s="2">
        <v>75</v>
      </c>
      <c r="E21" s="2">
        <v>76</v>
      </c>
      <c r="F21" s="7">
        <v>55</v>
      </c>
      <c r="G21" s="2">
        <v>90</v>
      </c>
      <c r="H21" s="2">
        <v>76</v>
      </c>
      <c r="I21" s="2">
        <v>98</v>
      </c>
    </row>
    <row r="22" spans="1:9" x14ac:dyDescent="0.3">
      <c r="A22" s="2">
        <v>6</v>
      </c>
      <c r="B22" s="2" t="s">
        <v>7</v>
      </c>
      <c r="C22" s="2">
        <v>76</v>
      </c>
      <c r="D22" s="2">
        <v>88</v>
      </c>
      <c r="E22" s="2">
        <v>80</v>
      </c>
      <c r="F22" s="2">
        <v>76</v>
      </c>
      <c r="G22" s="6">
        <v>95</v>
      </c>
      <c r="H22" s="7">
        <v>55</v>
      </c>
      <c r="I22" s="2">
        <v>88</v>
      </c>
    </row>
    <row r="23" spans="1:9" x14ac:dyDescent="0.3">
      <c r="A23" s="33" t="s">
        <v>15</v>
      </c>
      <c r="B23" s="34"/>
      <c r="C23" s="5">
        <f>AVERAGE(C17:C22)</f>
        <v>81</v>
      </c>
      <c r="D23" s="5">
        <f t="shared" ref="D23:I23" si="3">AVERAGE(D17:D22)</f>
        <v>81.166666666666671</v>
      </c>
      <c r="E23" s="5">
        <f t="shared" si="3"/>
        <v>81.333333333333329</v>
      </c>
      <c r="F23" s="5">
        <f t="shared" si="3"/>
        <v>76.5</v>
      </c>
      <c r="G23" s="5">
        <f t="shared" si="3"/>
        <v>83.666666666666671</v>
      </c>
      <c r="H23" s="5">
        <f t="shared" si="3"/>
        <v>80.333333333333329</v>
      </c>
      <c r="I23" s="5">
        <f t="shared" si="3"/>
        <v>85.333333333333329</v>
      </c>
    </row>
    <row r="24" spans="1:9" x14ac:dyDescent="0.3">
      <c r="A24" s="30" t="s">
        <v>26</v>
      </c>
      <c r="B24" s="30"/>
      <c r="C24" s="2">
        <f>MAX(C17:C22)</f>
        <v>97</v>
      </c>
      <c r="D24" s="2">
        <f t="shared" ref="D24:I24" si="4">MAX(D17:D22)</f>
        <v>98</v>
      </c>
      <c r="E24" s="2">
        <f t="shared" si="4"/>
        <v>95</v>
      </c>
      <c r="F24" s="2">
        <f t="shared" si="4"/>
        <v>91</v>
      </c>
      <c r="G24" s="2">
        <f t="shared" si="4"/>
        <v>95</v>
      </c>
      <c r="H24" s="2">
        <f t="shared" si="4"/>
        <v>97</v>
      </c>
      <c r="I24" s="2">
        <f t="shared" si="4"/>
        <v>99</v>
      </c>
    </row>
    <row r="25" spans="1:9" x14ac:dyDescent="0.3">
      <c r="A25" s="30" t="s">
        <v>27</v>
      </c>
      <c r="B25" s="30"/>
      <c r="C25" s="2">
        <f>MIN(C17:C22)</f>
        <v>50</v>
      </c>
      <c r="D25" s="2">
        <f t="shared" ref="D25:I25" si="5">MIN(D17:D22)</f>
        <v>55</v>
      </c>
      <c r="E25" s="2">
        <f t="shared" si="5"/>
        <v>76</v>
      </c>
      <c r="F25" s="2">
        <f t="shared" si="5"/>
        <v>55</v>
      </c>
      <c r="G25" s="2">
        <f t="shared" si="5"/>
        <v>67</v>
      </c>
      <c r="H25" s="2">
        <f t="shared" si="5"/>
        <v>55</v>
      </c>
      <c r="I25" s="2">
        <f t="shared" si="5"/>
        <v>55</v>
      </c>
    </row>
  </sheetData>
  <mergeCells count="9">
    <mergeCell ref="A24:B24"/>
    <mergeCell ref="A25:B25"/>
    <mergeCell ref="A10:B10"/>
    <mergeCell ref="A1:I1"/>
    <mergeCell ref="A2:I2"/>
    <mergeCell ref="A15:I15"/>
    <mergeCell ref="A23:B23"/>
    <mergeCell ref="A11:B11"/>
    <mergeCell ref="A12:B12"/>
  </mergeCells>
  <conditionalFormatting sqref="C3:I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I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7FBD-D6FC-4C1E-8CFA-AECDEE20143E}">
  <dimension ref="A3:H99"/>
  <sheetViews>
    <sheetView tabSelected="1" topLeftCell="A95" zoomScale="90" workbookViewId="0">
      <selection activeCell="A3" sqref="A3:H19"/>
    </sheetView>
  </sheetViews>
  <sheetFormatPr defaultRowHeight="16.2" x14ac:dyDescent="0.3"/>
  <cols>
    <col min="1" max="1" width="5.88671875" style="1" customWidth="1"/>
    <col min="2" max="3" width="15.109375" style="1" customWidth="1"/>
    <col min="4" max="4" width="11.109375" style="1" customWidth="1"/>
    <col min="5" max="5" width="15.33203125" style="1" customWidth="1"/>
    <col min="6" max="6" width="13" style="1" customWidth="1"/>
    <col min="7" max="7" width="10.44140625" style="1" customWidth="1"/>
    <col min="8" max="8" width="14.6640625" style="1" customWidth="1"/>
    <col min="9" max="16384" width="8.88671875" style="1"/>
  </cols>
  <sheetData>
    <row r="3" spans="1:8" x14ac:dyDescent="0.3">
      <c r="A3" s="8" t="s">
        <v>0</v>
      </c>
      <c r="B3" s="9" t="s">
        <v>28</v>
      </c>
      <c r="C3" s="9" t="s">
        <v>29</v>
      </c>
      <c r="D3" s="9" t="s">
        <v>30</v>
      </c>
      <c r="E3" s="9" t="s">
        <v>70</v>
      </c>
      <c r="F3" s="9" t="s">
        <v>31</v>
      </c>
      <c r="G3" s="9" t="s">
        <v>32</v>
      </c>
      <c r="H3" s="10" t="s">
        <v>33</v>
      </c>
    </row>
    <row r="4" spans="1:8" x14ac:dyDescent="0.3">
      <c r="A4" s="4">
        <v>1</v>
      </c>
      <c r="B4" s="2" t="s">
        <v>34</v>
      </c>
      <c r="C4" s="2" t="s">
        <v>66</v>
      </c>
      <c r="D4" s="2" t="s">
        <v>50</v>
      </c>
      <c r="E4" s="2">
        <v>171</v>
      </c>
      <c r="F4" s="2">
        <v>5</v>
      </c>
      <c r="G4" s="2">
        <v>2</v>
      </c>
      <c r="H4" s="3">
        <v>5</v>
      </c>
    </row>
    <row r="5" spans="1:8" x14ac:dyDescent="0.3">
      <c r="A5" s="4">
        <v>2</v>
      </c>
      <c r="B5" s="2" t="s">
        <v>35</v>
      </c>
      <c r="C5" s="2" t="s">
        <v>66</v>
      </c>
      <c r="D5" s="2" t="s">
        <v>51</v>
      </c>
      <c r="E5" s="2">
        <v>175</v>
      </c>
      <c r="F5" s="2">
        <v>5</v>
      </c>
      <c r="G5" s="2">
        <v>2</v>
      </c>
      <c r="H5" s="3">
        <v>5</v>
      </c>
    </row>
    <row r="6" spans="1:8" x14ac:dyDescent="0.3">
      <c r="A6" s="4">
        <v>3</v>
      </c>
      <c r="B6" s="2" t="s">
        <v>36</v>
      </c>
      <c r="C6" s="2" t="s">
        <v>66</v>
      </c>
      <c r="D6" s="2" t="s">
        <v>52</v>
      </c>
      <c r="E6" s="2">
        <v>168</v>
      </c>
      <c r="F6" s="2">
        <v>4</v>
      </c>
      <c r="G6" s="2">
        <v>5</v>
      </c>
      <c r="H6" s="3">
        <v>4</v>
      </c>
    </row>
    <row r="7" spans="1:8" x14ac:dyDescent="0.3">
      <c r="A7" s="4">
        <v>4</v>
      </c>
      <c r="B7" s="2" t="s">
        <v>37</v>
      </c>
      <c r="C7" s="2" t="s">
        <v>66</v>
      </c>
      <c r="D7" s="2" t="s">
        <v>53</v>
      </c>
      <c r="E7" s="2">
        <v>172</v>
      </c>
      <c r="F7" s="2">
        <v>4</v>
      </c>
      <c r="G7" s="2">
        <v>4</v>
      </c>
      <c r="H7" s="3">
        <v>5</v>
      </c>
    </row>
    <row r="8" spans="1:8" x14ac:dyDescent="0.3">
      <c r="A8" s="4">
        <v>5</v>
      </c>
      <c r="B8" s="2" t="s">
        <v>38</v>
      </c>
      <c r="C8" s="2" t="s">
        <v>67</v>
      </c>
      <c r="D8" s="2" t="s">
        <v>54</v>
      </c>
      <c r="E8" s="2">
        <v>173</v>
      </c>
      <c r="F8" s="2">
        <v>5</v>
      </c>
      <c r="G8" s="2">
        <v>2</v>
      </c>
      <c r="H8" s="3">
        <v>5</v>
      </c>
    </row>
    <row r="9" spans="1:8" x14ac:dyDescent="0.3">
      <c r="A9" s="4">
        <v>6</v>
      </c>
      <c r="B9" s="2" t="s">
        <v>39</v>
      </c>
      <c r="C9" s="2" t="s">
        <v>67</v>
      </c>
      <c r="D9" s="2" t="s">
        <v>55</v>
      </c>
      <c r="E9" s="2">
        <v>165</v>
      </c>
      <c r="F9" s="2">
        <v>4</v>
      </c>
      <c r="G9" s="2">
        <v>3</v>
      </c>
      <c r="H9" s="3">
        <v>3</v>
      </c>
    </row>
    <row r="10" spans="1:8" x14ac:dyDescent="0.3">
      <c r="A10" s="4">
        <v>7</v>
      </c>
      <c r="B10" s="2" t="s">
        <v>40</v>
      </c>
      <c r="C10" s="2" t="s">
        <v>67</v>
      </c>
      <c r="D10" s="2" t="s">
        <v>56</v>
      </c>
      <c r="E10" s="2">
        <v>171</v>
      </c>
      <c r="F10" s="2">
        <v>4</v>
      </c>
      <c r="G10" s="2">
        <v>5</v>
      </c>
      <c r="H10" s="3">
        <v>4</v>
      </c>
    </row>
    <row r="11" spans="1:8" x14ac:dyDescent="0.3">
      <c r="A11" s="4">
        <v>8</v>
      </c>
      <c r="B11" s="2" t="s">
        <v>41</v>
      </c>
      <c r="C11" s="2" t="s">
        <v>67</v>
      </c>
      <c r="D11" s="2" t="s">
        <v>57</v>
      </c>
      <c r="E11" s="2">
        <v>167</v>
      </c>
      <c r="F11" s="2">
        <v>2</v>
      </c>
      <c r="G11" s="2">
        <v>5</v>
      </c>
      <c r="H11" s="3">
        <v>2</v>
      </c>
    </row>
    <row r="12" spans="1:8" x14ac:dyDescent="0.3">
      <c r="A12" s="4">
        <v>9</v>
      </c>
      <c r="B12" s="2" t="s">
        <v>42</v>
      </c>
      <c r="C12" s="2" t="s">
        <v>68</v>
      </c>
      <c r="D12" s="2" t="s">
        <v>58</v>
      </c>
      <c r="E12" s="2">
        <v>173</v>
      </c>
      <c r="F12" s="2">
        <v>5</v>
      </c>
      <c r="G12" s="2">
        <v>3</v>
      </c>
      <c r="H12" s="3">
        <v>5</v>
      </c>
    </row>
    <row r="13" spans="1:8" x14ac:dyDescent="0.3">
      <c r="A13" s="4">
        <v>10</v>
      </c>
      <c r="B13" s="2" t="s">
        <v>43</v>
      </c>
      <c r="C13" s="2" t="s">
        <v>68</v>
      </c>
      <c r="D13" s="2" t="s">
        <v>59</v>
      </c>
      <c r="E13" s="2">
        <v>168</v>
      </c>
      <c r="F13" s="2">
        <v>4</v>
      </c>
      <c r="G13" s="2">
        <v>3</v>
      </c>
      <c r="H13" s="3">
        <v>4</v>
      </c>
    </row>
    <row r="14" spans="1:8" x14ac:dyDescent="0.3">
      <c r="A14" s="4">
        <v>11</v>
      </c>
      <c r="B14" s="2" t="s">
        <v>44</v>
      </c>
      <c r="C14" s="2" t="s">
        <v>68</v>
      </c>
      <c r="D14" s="2" t="s">
        <v>60</v>
      </c>
      <c r="E14" s="2">
        <v>169</v>
      </c>
      <c r="F14" s="2">
        <v>5</v>
      </c>
      <c r="G14" s="2">
        <v>4</v>
      </c>
      <c r="H14" s="3">
        <v>5</v>
      </c>
    </row>
    <row r="15" spans="1:8" x14ac:dyDescent="0.3">
      <c r="A15" s="4">
        <v>12</v>
      </c>
      <c r="B15" s="2" t="s">
        <v>45</v>
      </c>
      <c r="C15" s="2" t="s">
        <v>68</v>
      </c>
      <c r="D15" s="2" t="s">
        <v>61</v>
      </c>
      <c r="E15" s="2">
        <v>167</v>
      </c>
      <c r="F15" s="2">
        <v>2</v>
      </c>
      <c r="G15" s="2">
        <v>5</v>
      </c>
      <c r="H15" s="3">
        <v>2</v>
      </c>
    </row>
    <row r="16" spans="1:8" x14ac:dyDescent="0.3">
      <c r="A16" s="4">
        <v>13</v>
      </c>
      <c r="B16" s="2" t="s">
        <v>46</v>
      </c>
      <c r="C16" s="2" t="s">
        <v>69</v>
      </c>
      <c r="D16" s="2" t="s">
        <v>62</v>
      </c>
      <c r="E16" s="2">
        <v>165</v>
      </c>
      <c r="F16" s="2">
        <v>3</v>
      </c>
      <c r="G16" s="2">
        <v>3</v>
      </c>
      <c r="H16" s="3">
        <v>3</v>
      </c>
    </row>
    <row r="17" spans="1:8" x14ac:dyDescent="0.3">
      <c r="A17" s="4">
        <v>14</v>
      </c>
      <c r="B17" s="2" t="s">
        <v>47</v>
      </c>
      <c r="C17" s="2" t="s">
        <v>69</v>
      </c>
      <c r="D17" s="2" t="s">
        <v>63</v>
      </c>
      <c r="E17" s="2">
        <v>166</v>
      </c>
      <c r="F17" s="2">
        <v>3</v>
      </c>
      <c r="G17" s="2">
        <v>3</v>
      </c>
      <c r="H17" s="3">
        <v>3</v>
      </c>
    </row>
    <row r="18" spans="1:8" x14ac:dyDescent="0.3">
      <c r="A18" s="4">
        <v>15</v>
      </c>
      <c r="B18" s="2" t="s">
        <v>48</v>
      </c>
      <c r="C18" s="2" t="s">
        <v>69</v>
      </c>
      <c r="D18" s="2" t="s">
        <v>64</v>
      </c>
      <c r="E18" s="2">
        <v>167</v>
      </c>
      <c r="F18" s="2">
        <v>2</v>
      </c>
      <c r="G18" s="2">
        <v>5</v>
      </c>
      <c r="H18" s="3">
        <v>2</v>
      </c>
    </row>
    <row r="19" spans="1:8" x14ac:dyDescent="0.3">
      <c r="A19" s="11">
        <v>16</v>
      </c>
      <c r="B19" s="12" t="s">
        <v>49</v>
      </c>
      <c r="C19" s="12" t="s">
        <v>69</v>
      </c>
      <c r="D19" s="12" t="s">
        <v>65</v>
      </c>
      <c r="E19" s="12">
        <v>169</v>
      </c>
      <c r="F19" s="12">
        <v>3</v>
      </c>
      <c r="G19" s="12">
        <v>5</v>
      </c>
      <c r="H19" s="13">
        <v>4</v>
      </c>
    </row>
    <row r="22" spans="1:8" x14ac:dyDescent="0.3">
      <c r="A22" s="2" t="s">
        <v>0</v>
      </c>
      <c r="B22" s="2" t="s">
        <v>28</v>
      </c>
      <c r="C22" s="2" t="s">
        <v>29</v>
      </c>
      <c r="D22" s="2" t="s">
        <v>30</v>
      </c>
      <c r="E22" s="2" t="s">
        <v>70</v>
      </c>
      <c r="F22" s="2" t="s">
        <v>31</v>
      </c>
      <c r="G22" s="2" t="s">
        <v>32</v>
      </c>
      <c r="H22" s="2" t="s">
        <v>33</v>
      </c>
    </row>
    <row r="23" spans="1:8" x14ac:dyDescent="0.3">
      <c r="A23" s="2" cm="1">
        <f t="array" ref="A23:H26">_xlfn._xlws.FILTER(A4:H19, Table1[GROUP]="Analyst")</f>
        <v>1</v>
      </c>
      <c r="B23" s="2" t="str">
        <v>PAULA</v>
      </c>
      <c r="C23" s="2" t="str">
        <v>ANALYST</v>
      </c>
      <c r="D23" s="2" t="str">
        <v>INTP</v>
      </c>
      <c r="E23" s="2">
        <v>171</v>
      </c>
      <c r="F23" s="2">
        <v>5</v>
      </c>
      <c r="G23" s="2">
        <v>2</v>
      </c>
      <c r="H23" s="2">
        <v>5</v>
      </c>
    </row>
    <row r="24" spans="1:8" x14ac:dyDescent="0.3">
      <c r="A24" s="2">
        <v>2</v>
      </c>
      <c r="B24" s="2" t="str">
        <v>HIROMI</v>
      </c>
      <c r="C24" s="2" t="str">
        <v>ANALYST</v>
      </c>
      <c r="D24" s="2" t="str">
        <v>INTJ</v>
      </c>
      <c r="E24" s="2">
        <v>175</v>
      </c>
      <c r="F24" s="2">
        <v>5</v>
      </c>
      <c r="G24" s="2">
        <v>2</v>
      </c>
      <c r="H24" s="2">
        <v>5</v>
      </c>
    </row>
    <row r="25" spans="1:8" x14ac:dyDescent="0.3">
      <c r="A25" s="2">
        <v>3</v>
      </c>
      <c r="B25" s="2" t="str">
        <v>MICA</v>
      </c>
      <c r="C25" s="2" t="str">
        <v>ANALYST</v>
      </c>
      <c r="D25" s="2" t="str">
        <v>ENTP</v>
      </c>
      <c r="E25" s="2">
        <v>168</v>
      </c>
      <c r="F25" s="2">
        <v>4</v>
      </c>
      <c r="G25" s="2">
        <v>5</v>
      </c>
      <c r="H25" s="2">
        <v>4</v>
      </c>
    </row>
    <row r="26" spans="1:8" x14ac:dyDescent="0.3">
      <c r="A26" s="2">
        <v>4</v>
      </c>
      <c r="B26" s="2" t="str">
        <v>GILLIAN</v>
      </c>
      <c r="C26" s="2" t="str">
        <v>ANALYST</v>
      </c>
      <c r="D26" s="2" t="str">
        <v>ENTJ</v>
      </c>
      <c r="E26" s="2">
        <v>172</v>
      </c>
      <c r="F26" s="2">
        <v>4</v>
      </c>
      <c r="G26" s="2">
        <v>4</v>
      </c>
      <c r="H26" s="2">
        <v>5</v>
      </c>
    </row>
    <row r="28" spans="1:8" x14ac:dyDescent="0.3">
      <c r="A28" s="2" t="s">
        <v>0</v>
      </c>
      <c r="B28" s="2" t="s">
        <v>28</v>
      </c>
      <c r="C28" s="2" t="s">
        <v>29</v>
      </c>
      <c r="D28" s="2" t="s">
        <v>30</v>
      </c>
      <c r="E28" s="2" t="s">
        <v>70</v>
      </c>
      <c r="F28" s="2" t="s">
        <v>31</v>
      </c>
      <c r="G28" s="2" t="s">
        <v>32</v>
      </c>
      <c r="H28" s="2" t="s">
        <v>33</v>
      </c>
    </row>
    <row r="29" spans="1:8" x14ac:dyDescent="0.3">
      <c r="A29" s="2" cm="1">
        <f t="array" ref="A29:H32">_xlfn._xlws.FILTER(Table1[], Table1[GROUP]="Explorer")</f>
        <v>5</v>
      </c>
      <c r="B29" s="2" t="str">
        <v>HAYAMI</v>
      </c>
      <c r="C29" s="2" t="str">
        <v>EXPLORER</v>
      </c>
      <c r="D29" s="2" t="str">
        <v>ISTP</v>
      </c>
      <c r="E29" s="2">
        <v>173</v>
      </c>
      <c r="F29" s="2">
        <v>5</v>
      </c>
      <c r="G29" s="2">
        <v>2</v>
      </c>
      <c r="H29" s="2">
        <v>5</v>
      </c>
    </row>
    <row r="30" spans="1:8" x14ac:dyDescent="0.3">
      <c r="A30" s="2">
        <v>6</v>
      </c>
      <c r="B30" s="2" t="str">
        <v>SHIINA</v>
      </c>
      <c r="C30" s="2" t="str">
        <v>EXPLORER</v>
      </c>
      <c r="D30" s="2" t="str">
        <v>ISFP</v>
      </c>
      <c r="E30" s="2">
        <v>165</v>
      </c>
      <c r="F30" s="2">
        <v>4</v>
      </c>
      <c r="G30" s="2">
        <v>3</v>
      </c>
      <c r="H30" s="2">
        <v>3</v>
      </c>
    </row>
    <row r="31" spans="1:8" x14ac:dyDescent="0.3">
      <c r="A31" s="2">
        <v>7</v>
      </c>
      <c r="B31" s="2" t="str">
        <v>SHAYE</v>
      </c>
      <c r="C31" s="2" t="str">
        <v>EXPLORER</v>
      </c>
      <c r="D31" s="2" t="str">
        <v>ESTP</v>
      </c>
      <c r="E31" s="2">
        <v>171</v>
      </c>
      <c r="F31" s="2">
        <v>4</v>
      </c>
      <c r="G31" s="2">
        <v>5</v>
      </c>
      <c r="H31" s="2">
        <v>4</v>
      </c>
    </row>
    <row r="32" spans="1:8" x14ac:dyDescent="0.3">
      <c r="A32" s="2">
        <v>8</v>
      </c>
      <c r="B32" s="2" t="str">
        <v>THERESA</v>
      </c>
      <c r="C32" s="2" t="str">
        <v>EXPLORER</v>
      </c>
      <c r="D32" s="2" t="str">
        <v>ESFP</v>
      </c>
      <c r="E32" s="2">
        <v>167</v>
      </c>
      <c r="F32" s="2">
        <v>2</v>
      </c>
      <c r="G32" s="2">
        <v>5</v>
      </c>
      <c r="H32" s="2">
        <v>2</v>
      </c>
    </row>
    <row r="34" spans="1:8" x14ac:dyDescent="0.3">
      <c r="A34" s="2" t="s">
        <v>0</v>
      </c>
      <c r="B34" s="2" t="s">
        <v>28</v>
      </c>
      <c r="C34" s="2" t="s">
        <v>29</v>
      </c>
      <c r="D34" s="2" t="s">
        <v>30</v>
      </c>
      <c r="E34" s="2" t="s">
        <v>70</v>
      </c>
      <c r="F34" s="2" t="s">
        <v>31</v>
      </c>
      <c r="G34" s="2" t="s">
        <v>32</v>
      </c>
      <c r="H34" s="2" t="s">
        <v>33</v>
      </c>
    </row>
    <row r="35" spans="1:8" x14ac:dyDescent="0.3">
      <c r="A35" s="2" cm="1">
        <f t="array" ref="A35:H38">_xlfn._xlws.FILTER(Table1[], Table1[GROUP]="sentinel")</f>
        <v>9</v>
      </c>
      <c r="B35" s="2" t="str">
        <v>CHIYO</v>
      </c>
      <c r="C35" s="2" t="str">
        <v>SENTINEL</v>
      </c>
      <c r="D35" s="2" t="str">
        <v>ISTJ</v>
      </c>
      <c r="E35" s="2">
        <v>173</v>
      </c>
      <c r="F35" s="2">
        <v>5</v>
      </c>
      <c r="G35" s="2">
        <v>3</v>
      </c>
      <c r="H35" s="2">
        <v>5</v>
      </c>
    </row>
    <row r="36" spans="1:8" x14ac:dyDescent="0.3">
      <c r="A36" s="2">
        <v>10</v>
      </c>
      <c r="B36" s="2" t="str">
        <v>MAYUMI</v>
      </c>
      <c r="C36" s="2" t="str">
        <v>SENTINEL</v>
      </c>
      <c r="D36" s="2" t="str">
        <v>ISFJ</v>
      </c>
      <c r="E36" s="2">
        <v>168</v>
      </c>
      <c r="F36" s="2">
        <v>4</v>
      </c>
      <c r="G36" s="2">
        <v>3</v>
      </c>
      <c r="H36" s="2">
        <v>4</v>
      </c>
    </row>
    <row r="37" spans="1:8" x14ac:dyDescent="0.3">
      <c r="A37" s="2">
        <v>11</v>
      </c>
      <c r="B37" s="2" t="str">
        <v>SHIZUKA</v>
      </c>
      <c r="C37" s="2" t="str">
        <v>SENTINEL</v>
      </c>
      <c r="D37" s="2" t="str">
        <v>ESTJ</v>
      </c>
      <c r="E37" s="2">
        <v>169</v>
      </c>
      <c r="F37" s="2">
        <v>5</v>
      </c>
      <c r="G37" s="2">
        <v>4</v>
      </c>
      <c r="H37" s="2">
        <v>5</v>
      </c>
    </row>
    <row r="38" spans="1:8" x14ac:dyDescent="0.3">
      <c r="A38" s="2">
        <v>12</v>
      </c>
      <c r="B38" s="2" t="str">
        <v>LILY</v>
      </c>
      <c r="C38" s="2" t="str">
        <v>SENTINEL</v>
      </c>
      <c r="D38" s="2" t="str">
        <v>ESFJ</v>
      </c>
      <c r="E38" s="2">
        <v>167</v>
      </c>
      <c r="F38" s="2">
        <v>2</v>
      </c>
      <c r="G38" s="2">
        <v>5</v>
      </c>
      <c r="H38" s="2">
        <v>2</v>
      </c>
    </row>
    <row r="40" spans="1:8" x14ac:dyDescent="0.3">
      <c r="A40" s="2" t="s">
        <v>0</v>
      </c>
      <c r="B40" s="2" t="s">
        <v>28</v>
      </c>
      <c r="C40" s="2" t="s">
        <v>29</v>
      </c>
      <c r="D40" s="2" t="s">
        <v>30</v>
      </c>
      <c r="E40" s="2" t="s">
        <v>70</v>
      </c>
      <c r="F40" s="2" t="s">
        <v>31</v>
      </c>
      <c r="G40" s="2" t="s">
        <v>32</v>
      </c>
      <c r="H40" s="2" t="s">
        <v>33</v>
      </c>
    </row>
    <row r="41" spans="1:8" x14ac:dyDescent="0.3">
      <c r="A41" s="2" cm="1">
        <f t="array" ref="A41:H44">_xlfn._xlws.FILTER(Table1[], Table1[GROUP]="diplomat")</f>
        <v>13</v>
      </c>
      <c r="B41" s="2" t="str">
        <v>KATIE</v>
      </c>
      <c r="C41" s="2" t="str">
        <v>DIPLOMAT</v>
      </c>
      <c r="D41" s="2" t="str">
        <v>INFP</v>
      </c>
      <c r="E41" s="2">
        <v>165</v>
      </c>
      <c r="F41" s="2">
        <v>3</v>
      </c>
      <c r="G41" s="2">
        <v>3</v>
      </c>
      <c r="H41" s="2">
        <v>3</v>
      </c>
    </row>
    <row r="42" spans="1:8" x14ac:dyDescent="0.3">
      <c r="A42" s="2">
        <v>14</v>
      </c>
      <c r="B42" s="2" t="str">
        <v>SONIA</v>
      </c>
      <c r="C42" s="2" t="str">
        <v>DIPLOMAT</v>
      </c>
      <c r="D42" s="2" t="str">
        <v>INFJ</v>
      </c>
      <c r="E42" s="2">
        <v>166</v>
      </c>
      <c r="F42" s="2">
        <v>3</v>
      </c>
      <c r="G42" s="2">
        <v>3</v>
      </c>
      <c r="H42" s="2">
        <v>3</v>
      </c>
    </row>
    <row r="43" spans="1:8" x14ac:dyDescent="0.3">
      <c r="A43" s="2">
        <v>15</v>
      </c>
      <c r="B43" s="2" t="str">
        <v>EMILY</v>
      </c>
      <c r="C43" s="2" t="str">
        <v>DIPLOMAT</v>
      </c>
      <c r="D43" s="2" t="str">
        <v>ENFP</v>
      </c>
      <c r="E43" s="2">
        <v>167</v>
      </c>
      <c r="F43" s="2">
        <v>2</v>
      </c>
      <c r="G43" s="2">
        <v>5</v>
      </c>
      <c r="H43" s="2">
        <v>2</v>
      </c>
    </row>
    <row r="44" spans="1:8" x14ac:dyDescent="0.3">
      <c r="A44" s="2">
        <v>16</v>
      </c>
      <c r="B44" s="2" t="str">
        <v>HIMIKO</v>
      </c>
      <c r="C44" s="2" t="str">
        <v>DIPLOMAT</v>
      </c>
      <c r="D44" s="2" t="str">
        <v>ENFJ</v>
      </c>
      <c r="E44" s="2">
        <v>169</v>
      </c>
      <c r="F44" s="2">
        <v>3</v>
      </c>
      <c r="G44" s="2">
        <v>5</v>
      </c>
      <c r="H44" s="2">
        <v>4</v>
      </c>
    </row>
    <row r="47" spans="1:8" x14ac:dyDescent="0.3">
      <c r="A47" s="1" t="str" cm="1">
        <f t="array" ref="A47:H63">_xlfn._xlws.SORT(Table1[#All], 7, -1)</f>
        <v>NO</v>
      </c>
      <c r="B47" s="1" t="str">
        <v>NAME</v>
      </c>
      <c r="C47" s="1" t="str">
        <v>GROUP</v>
      </c>
      <c r="D47" s="1" t="str">
        <v>MBTI</v>
      </c>
      <c r="E47" s="1" t="str">
        <v>HEIGHT (cm)</v>
      </c>
      <c r="F47" s="1" t="str">
        <v>ACADEMIC</v>
      </c>
      <c r="G47" s="1" t="str">
        <v>SOCIAL</v>
      </c>
      <c r="H47" s="1" t="str">
        <v>STRATEGIC</v>
      </c>
    </row>
    <row r="48" spans="1:8" x14ac:dyDescent="0.3">
      <c r="A48" s="1">
        <v>3</v>
      </c>
      <c r="B48" s="1" t="str">
        <v>MICA</v>
      </c>
      <c r="C48" s="1" t="str">
        <v>ANALYST</v>
      </c>
      <c r="D48" s="1" t="str">
        <v>ENTP</v>
      </c>
      <c r="E48" s="1">
        <v>168</v>
      </c>
      <c r="F48" s="1">
        <v>4</v>
      </c>
      <c r="G48" s="1">
        <v>5</v>
      </c>
      <c r="H48" s="1">
        <v>4</v>
      </c>
    </row>
    <row r="49" spans="1:8" x14ac:dyDescent="0.3">
      <c r="A49" s="1">
        <v>7</v>
      </c>
      <c r="B49" s="1" t="str">
        <v>SHAYE</v>
      </c>
      <c r="C49" s="1" t="str">
        <v>EXPLORER</v>
      </c>
      <c r="D49" s="1" t="str">
        <v>ESTP</v>
      </c>
      <c r="E49" s="1">
        <v>171</v>
      </c>
      <c r="F49" s="1">
        <v>4</v>
      </c>
      <c r="G49" s="1">
        <v>5</v>
      </c>
      <c r="H49" s="1">
        <v>4</v>
      </c>
    </row>
    <row r="50" spans="1:8" x14ac:dyDescent="0.3">
      <c r="A50" s="1">
        <v>8</v>
      </c>
      <c r="B50" s="1" t="str">
        <v>THERESA</v>
      </c>
      <c r="C50" s="1" t="str">
        <v>EXPLORER</v>
      </c>
      <c r="D50" s="1" t="str">
        <v>ESFP</v>
      </c>
      <c r="E50" s="1">
        <v>167</v>
      </c>
      <c r="F50" s="1">
        <v>2</v>
      </c>
      <c r="G50" s="1">
        <v>5</v>
      </c>
      <c r="H50" s="1">
        <v>2</v>
      </c>
    </row>
    <row r="51" spans="1:8" x14ac:dyDescent="0.3">
      <c r="A51" s="1">
        <v>12</v>
      </c>
      <c r="B51" s="1" t="str">
        <v>LILY</v>
      </c>
      <c r="C51" s="1" t="str">
        <v>SENTINEL</v>
      </c>
      <c r="D51" s="1" t="str">
        <v>ESFJ</v>
      </c>
      <c r="E51" s="1">
        <v>167</v>
      </c>
      <c r="F51" s="1">
        <v>2</v>
      </c>
      <c r="G51" s="1">
        <v>5</v>
      </c>
      <c r="H51" s="1">
        <v>2</v>
      </c>
    </row>
    <row r="52" spans="1:8" x14ac:dyDescent="0.3">
      <c r="A52" s="1">
        <v>15</v>
      </c>
      <c r="B52" s="1" t="str">
        <v>EMILY</v>
      </c>
      <c r="C52" s="1" t="str">
        <v>DIPLOMAT</v>
      </c>
      <c r="D52" s="1" t="str">
        <v>ENFP</v>
      </c>
      <c r="E52" s="1">
        <v>167</v>
      </c>
      <c r="F52" s="1">
        <v>2</v>
      </c>
      <c r="G52" s="1">
        <v>5</v>
      </c>
      <c r="H52" s="1">
        <v>2</v>
      </c>
    </row>
    <row r="53" spans="1:8" x14ac:dyDescent="0.3">
      <c r="A53" s="1">
        <v>16</v>
      </c>
      <c r="B53" s="1" t="str">
        <v>HIMIKO</v>
      </c>
      <c r="C53" s="1" t="str">
        <v>DIPLOMAT</v>
      </c>
      <c r="D53" s="1" t="str">
        <v>ENFJ</v>
      </c>
      <c r="E53" s="1">
        <v>169</v>
      </c>
      <c r="F53" s="1">
        <v>3</v>
      </c>
      <c r="G53" s="1">
        <v>5</v>
      </c>
      <c r="H53" s="1">
        <v>4</v>
      </c>
    </row>
    <row r="54" spans="1:8" x14ac:dyDescent="0.3">
      <c r="A54" s="1">
        <v>4</v>
      </c>
      <c r="B54" s="1" t="str">
        <v>GILLIAN</v>
      </c>
      <c r="C54" s="1" t="str">
        <v>ANALYST</v>
      </c>
      <c r="D54" s="1" t="str">
        <v>ENTJ</v>
      </c>
      <c r="E54" s="1">
        <v>172</v>
      </c>
      <c r="F54" s="1">
        <v>4</v>
      </c>
      <c r="G54" s="1">
        <v>4</v>
      </c>
      <c r="H54" s="1">
        <v>5</v>
      </c>
    </row>
    <row r="55" spans="1:8" x14ac:dyDescent="0.3">
      <c r="A55" s="1">
        <v>11</v>
      </c>
      <c r="B55" s="1" t="str">
        <v>SHIZUKA</v>
      </c>
      <c r="C55" s="1" t="str">
        <v>SENTINEL</v>
      </c>
      <c r="D55" s="1" t="str">
        <v>ESTJ</v>
      </c>
      <c r="E55" s="1">
        <v>169</v>
      </c>
      <c r="F55" s="1">
        <v>5</v>
      </c>
      <c r="G55" s="1">
        <v>4</v>
      </c>
      <c r="H55" s="1">
        <v>5</v>
      </c>
    </row>
    <row r="56" spans="1:8" x14ac:dyDescent="0.3">
      <c r="A56" s="1">
        <v>6</v>
      </c>
      <c r="B56" s="1" t="str">
        <v>SHIINA</v>
      </c>
      <c r="C56" s="1" t="str">
        <v>EXPLORER</v>
      </c>
      <c r="D56" s="1" t="str">
        <v>ISFP</v>
      </c>
      <c r="E56" s="1">
        <v>165</v>
      </c>
      <c r="F56" s="1">
        <v>4</v>
      </c>
      <c r="G56" s="1">
        <v>3</v>
      </c>
      <c r="H56" s="1">
        <v>3</v>
      </c>
    </row>
    <row r="57" spans="1:8" x14ac:dyDescent="0.3">
      <c r="A57" s="1">
        <v>9</v>
      </c>
      <c r="B57" s="1" t="str">
        <v>CHIYO</v>
      </c>
      <c r="C57" s="1" t="str">
        <v>SENTINEL</v>
      </c>
      <c r="D57" s="1" t="str">
        <v>ISTJ</v>
      </c>
      <c r="E57" s="1">
        <v>173</v>
      </c>
      <c r="F57" s="1">
        <v>5</v>
      </c>
      <c r="G57" s="1">
        <v>3</v>
      </c>
      <c r="H57" s="1">
        <v>5</v>
      </c>
    </row>
    <row r="58" spans="1:8" x14ac:dyDescent="0.3">
      <c r="A58" s="1">
        <v>10</v>
      </c>
      <c r="B58" s="1" t="str">
        <v>MAYUMI</v>
      </c>
      <c r="C58" s="1" t="str">
        <v>SENTINEL</v>
      </c>
      <c r="D58" s="1" t="str">
        <v>ISFJ</v>
      </c>
      <c r="E58" s="1">
        <v>168</v>
      </c>
      <c r="F58" s="1">
        <v>4</v>
      </c>
      <c r="G58" s="1">
        <v>3</v>
      </c>
      <c r="H58" s="1">
        <v>4</v>
      </c>
    </row>
    <row r="59" spans="1:8" x14ac:dyDescent="0.3">
      <c r="A59" s="1">
        <v>13</v>
      </c>
      <c r="B59" s="1" t="str">
        <v>KATIE</v>
      </c>
      <c r="C59" s="1" t="str">
        <v>DIPLOMAT</v>
      </c>
      <c r="D59" s="1" t="str">
        <v>INFP</v>
      </c>
      <c r="E59" s="1">
        <v>165</v>
      </c>
      <c r="F59" s="1">
        <v>3</v>
      </c>
      <c r="G59" s="1">
        <v>3</v>
      </c>
      <c r="H59" s="1">
        <v>3</v>
      </c>
    </row>
    <row r="60" spans="1:8" x14ac:dyDescent="0.3">
      <c r="A60" s="1">
        <v>14</v>
      </c>
      <c r="B60" s="1" t="str">
        <v>SONIA</v>
      </c>
      <c r="C60" s="1" t="str">
        <v>DIPLOMAT</v>
      </c>
      <c r="D60" s="1" t="str">
        <v>INFJ</v>
      </c>
      <c r="E60" s="1">
        <v>166</v>
      </c>
      <c r="F60" s="1">
        <v>3</v>
      </c>
      <c r="G60" s="1">
        <v>3</v>
      </c>
      <c r="H60" s="1">
        <v>3</v>
      </c>
    </row>
    <row r="61" spans="1:8" x14ac:dyDescent="0.3">
      <c r="A61" s="1">
        <v>1</v>
      </c>
      <c r="B61" s="1" t="str">
        <v>PAULA</v>
      </c>
      <c r="C61" s="1" t="str">
        <v>ANALYST</v>
      </c>
      <c r="D61" s="1" t="str">
        <v>INTP</v>
      </c>
      <c r="E61" s="1">
        <v>171</v>
      </c>
      <c r="F61" s="1">
        <v>5</v>
      </c>
      <c r="G61" s="1">
        <v>2</v>
      </c>
      <c r="H61" s="1">
        <v>5</v>
      </c>
    </row>
    <row r="62" spans="1:8" x14ac:dyDescent="0.3">
      <c r="A62" s="1">
        <v>2</v>
      </c>
      <c r="B62" s="1" t="str">
        <v>HIROMI</v>
      </c>
      <c r="C62" s="1" t="str">
        <v>ANALYST</v>
      </c>
      <c r="D62" s="1" t="str">
        <v>INTJ</v>
      </c>
      <c r="E62" s="1">
        <v>175</v>
      </c>
      <c r="F62" s="1">
        <v>5</v>
      </c>
      <c r="G62" s="1">
        <v>2</v>
      </c>
      <c r="H62" s="1">
        <v>5</v>
      </c>
    </row>
    <row r="63" spans="1:8" x14ac:dyDescent="0.3">
      <c r="A63" s="1">
        <v>5</v>
      </c>
      <c r="B63" s="1" t="str">
        <v>HAYAMI</v>
      </c>
      <c r="C63" s="1" t="str">
        <v>EXPLORER</v>
      </c>
      <c r="D63" s="1" t="str">
        <v>ISTP</v>
      </c>
      <c r="E63" s="1">
        <v>173</v>
      </c>
      <c r="F63" s="1">
        <v>5</v>
      </c>
      <c r="G63" s="1">
        <v>2</v>
      </c>
      <c r="H63" s="1">
        <v>5</v>
      </c>
    </row>
    <row r="65" spans="1:8" x14ac:dyDescent="0.3">
      <c r="A65" s="1" t="str" cm="1">
        <f t="array" ref="A65:H81">_xlfn._xlws.SORT(Table1[#All], 6, -1)</f>
        <v>NO</v>
      </c>
      <c r="B65" s="1" t="str">
        <v>NAME</v>
      </c>
      <c r="C65" s="1" t="str">
        <v>GROUP</v>
      </c>
      <c r="D65" s="1" t="str">
        <v>MBTI</v>
      </c>
      <c r="E65" s="1" t="str">
        <v>HEIGHT (cm)</v>
      </c>
      <c r="F65" s="1" t="str">
        <v>ACADEMIC</v>
      </c>
      <c r="G65" s="1" t="str">
        <v>SOCIAL</v>
      </c>
      <c r="H65" s="1" t="str">
        <v>STRATEGIC</v>
      </c>
    </row>
    <row r="66" spans="1:8" x14ac:dyDescent="0.3">
      <c r="A66" s="1">
        <v>1</v>
      </c>
      <c r="B66" s="1" t="str">
        <v>PAULA</v>
      </c>
      <c r="C66" s="1" t="str">
        <v>ANALYST</v>
      </c>
      <c r="D66" s="1" t="str">
        <v>INTP</v>
      </c>
      <c r="E66" s="1">
        <v>171</v>
      </c>
      <c r="F66" s="1">
        <v>5</v>
      </c>
      <c r="G66" s="1">
        <v>2</v>
      </c>
      <c r="H66" s="1">
        <v>5</v>
      </c>
    </row>
    <row r="67" spans="1:8" x14ac:dyDescent="0.3">
      <c r="A67" s="1">
        <v>2</v>
      </c>
      <c r="B67" s="1" t="str">
        <v>HIROMI</v>
      </c>
      <c r="C67" s="1" t="str">
        <v>ANALYST</v>
      </c>
      <c r="D67" s="1" t="str">
        <v>INTJ</v>
      </c>
      <c r="E67" s="1">
        <v>175</v>
      </c>
      <c r="F67" s="1">
        <v>5</v>
      </c>
      <c r="G67" s="1">
        <v>2</v>
      </c>
      <c r="H67" s="1">
        <v>5</v>
      </c>
    </row>
    <row r="68" spans="1:8" x14ac:dyDescent="0.3">
      <c r="A68" s="1">
        <v>5</v>
      </c>
      <c r="B68" s="1" t="str">
        <v>HAYAMI</v>
      </c>
      <c r="C68" s="1" t="str">
        <v>EXPLORER</v>
      </c>
      <c r="D68" s="1" t="str">
        <v>ISTP</v>
      </c>
      <c r="E68" s="1">
        <v>173</v>
      </c>
      <c r="F68" s="1">
        <v>5</v>
      </c>
      <c r="G68" s="1">
        <v>2</v>
      </c>
      <c r="H68" s="1">
        <v>5</v>
      </c>
    </row>
    <row r="69" spans="1:8" x14ac:dyDescent="0.3">
      <c r="A69" s="1">
        <v>9</v>
      </c>
      <c r="B69" s="1" t="str">
        <v>CHIYO</v>
      </c>
      <c r="C69" s="1" t="str">
        <v>SENTINEL</v>
      </c>
      <c r="D69" s="1" t="str">
        <v>ISTJ</v>
      </c>
      <c r="E69" s="1">
        <v>173</v>
      </c>
      <c r="F69" s="1">
        <v>5</v>
      </c>
      <c r="G69" s="1">
        <v>3</v>
      </c>
      <c r="H69" s="1">
        <v>5</v>
      </c>
    </row>
    <row r="70" spans="1:8" x14ac:dyDescent="0.3">
      <c r="A70" s="1">
        <v>11</v>
      </c>
      <c r="B70" s="1" t="str">
        <v>SHIZUKA</v>
      </c>
      <c r="C70" s="1" t="str">
        <v>SENTINEL</v>
      </c>
      <c r="D70" s="1" t="str">
        <v>ESTJ</v>
      </c>
      <c r="E70" s="1">
        <v>169</v>
      </c>
      <c r="F70" s="1">
        <v>5</v>
      </c>
      <c r="G70" s="1">
        <v>4</v>
      </c>
      <c r="H70" s="1">
        <v>5</v>
      </c>
    </row>
    <row r="71" spans="1:8" x14ac:dyDescent="0.3">
      <c r="A71" s="1">
        <v>3</v>
      </c>
      <c r="B71" s="1" t="str">
        <v>MICA</v>
      </c>
      <c r="C71" s="1" t="str">
        <v>ANALYST</v>
      </c>
      <c r="D71" s="1" t="str">
        <v>ENTP</v>
      </c>
      <c r="E71" s="1">
        <v>168</v>
      </c>
      <c r="F71" s="1">
        <v>4</v>
      </c>
      <c r="G71" s="1">
        <v>5</v>
      </c>
      <c r="H71" s="1">
        <v>4</v>
      </c>
    </row>
    <row r="72" spans="1:8" x14ac:dyDescent="0.3">
      <c r="A72" s="1">
        <v>4</v>
      </c>
      <c r="B72" s="1" t="str">
        <v>GILLIAN</v>
      </c>
      <c r="C72" s="1" t="str">
        <v>ANALYST</v>
      </c>
      <c r="D72" s="1" t="str">
        <v>ENTJ</v>
      </c>
      <c r="E72" s="1">
        <v>172</v>
      </c>
      <c r="F72" s="1">
        <v>4</v>
      </c>
      <c r="G72" s="1">
        <v>4</v>
      </c>
      <c r="H72" s="1">
        <v>5</v>
      </c>
    </row>
    <row r="73" spans="1:8" x14ac:dyDescent="0.3">
      <c r="A73" s="1">
        <v>6</v>
      </c>
      <c r="B73" s="1" t="str">
        <v>SHIINA</v>
      </c>
      <c r="C73" s="1" t="str">
        <v>EXPLORER</v>
      </c>
      <c r="D73" s="1" t="str">
        <v>ISFP</v>
      </c>
      <c r="E73" s="1">
        <v>165</v>
      </c>
      <c r="F73" s="1">
        <v>4</v>
      </c>
      <c r="G73" s="1">
        <v>3</v>
      </c>
      <c r="H73" s="1">
        <v>3</v>
      </c>
    </row>
    <row r="74" spans="1:8" x14ac:dyDescent="0.3">
      <c r="A74" s="1">
        <v>7</v>
      </c>
      <c r="B74" s="1" t="str">
        <v>SHAYE</v>
      </c>
      <c r="C74" s="1" t="str">
        <v>EXPLORER</v>
      </c>
      <c r="D74" s="1" t="str">
        <v>ESTP</v>
      </c>
      <c r="E74" s="1">
        <v>171</v>
      </c>
      <c r="F74" s="1">
        <v>4</v>
      </c>
      <c r="G74" s="1">
        <v>5</v>
      </c>
      <c r="H74" s="1">
        <v>4</v>
      </c>
    </row>
    <row r="75" spans="1:8" x14ac:dyDescent="0.3">
      <c r="A75" s="1">
        <v>10</v>
      </c>
      <c r="B75" s="1" t="str">
        <v>MAYUMI</v>
      </c>
      <c r="C75" s="1" t="str">
        <v>SENTINEL</v>
      </c>
      <c r="D75" s="1" t="str">
        <v>ISFJ</v>
      </c>
      <c r="E75" s="1">
        <v>168</v>
      </c>
      <c r="F75" s="1">
        <v>4</v>
      </c>
      <c r="G75" s="1">
        <v>3</v>
      </c>
      <c r="H75" s="1">
        <v>4</v>
      </c>
    </row>
    <row r="76" spans="1:8" x14ac:dyDescent="0.3">
      <c r="A76" s="1">
        <v>13</v>
      </c>
      <c r="B76" s="1" t="str">
        <v>KATIE</v>
      </c>
      <c r="C76" s="1" t="str">
        <v>DIPLOMAT</v>
      </c>
      <c r="D76" s="1" t="str">
        <v>INFP</v>
      </c>
      <c r="E76" s="1">
        <v>165</v>
      </c>
      <c r="F76" s="1">
        <v>3</v>
      </c>
      <c r="G76" s="1">
        <v>3</v>
      </c>
      <c r="H76" s="1">
        <v>3</v>
      </c>
    </row>
    <row r="77" spans="1:8" x14ac:dyDescent="0.3">
      <c r="A77" s="1">
        <v>14</v>
      </c>
      <c r="B77" s="1" t="str">
        <v>SONIA</v>
      </c>
      <c r="C77" s="1" t="str">
        <v>DIPLOMAT</v>
      </c>
      <c r="D77" s="1" t="str">
        <v>INFJ</v>
      </c>
      <c r="E77" s="1">
        <v>166</v>
      </c>
      <c r="F77" s="1">
        <v>3</v>
      </c>
      <c r="G77" s="1">
        <v>3</v>
      </c>
      <c r="H77" s="1">
        <v>3</v>
      </c>
    </row>
    <row r="78" spans="1:8" x14ac:dyDescent="0.3">
      <c r="A78" s="1">
        <v>16</v>
      </c>
      <c r="B78" s="1" t="str">
        <v>HIMIKO</v>
      </c>
      <c r="C78" s="1" t="str">
        <v>DIPLOMAT</v>
      </c>
      <c r="D78" s="1" t="str">
        <v>ENFJ</v>
      </c>
      <c r="E78" s="1">
        <v>169</v>
      </c>
      <c r="F78" s="1">
        <v>3</v>
      </c>
      <c r="G78" s="1">
        <v>5</v>
      </c>
      <c r="H78" s="1">
        <v>4</v>
      </c>
    </row>
    <row r="79" spans="1:8" x14ac:dyDescent="0.3">
      <c r="A79" s="1">
        <v>8</v>
      </c>
      <c r="B79" s="1" t="str">
        <v>THERESA</v>
      </c>
      <c r="C79" s="1" t="str">
        <v>EXPLORER</v>
      </c>
      <c r="D79" s="1" t="str">
        <v>ESFP</v>
      </c>
      <c r="E79" s="1">
        <v>167</v>
      </c>
      <c r="F79" s="1">
        <v>2</v>
      </c>
      <c r="G79" s="1">
        <v>5</v>
      </c>
      <c r="H79" s="1">
        <v>2</v>
      </c>
    </row>
    <row r="80" spans="1:8" x14ac:dyDescent="0.3">
      <c r="A80" s="1">
        <v>12</v>
      </c>
      <c r="B80" s="1" t="str">
        <v>LILY</v>
      </c>
      <c r="C80" s="1" t="str">
        <v>SENTINEL</v>
      </c>
      <c r="D80" s="1" t="str">
        <v>ESFJ</v>
      </c>
      <c r="E80" s="1">
        <v>167</v>
      </c>
      <c r="F80" s="1">
        <v>2</v>
      </c>
      <c r="G80" s="1">
        <v>5</v>
      </c>
      <c r="H80" s="1">
        <v>2</v>
      </c>
    </row>
    <row r="81" spans="1:8" x14ac:dyDescent="0.3">
      <c r="A81" s="1">
        <v>15</v>
      </c>
      <c r="B81" s="1" t="str">
        <v>EMILY</v>
      </c>
      <c r="C81" s="1" t="str">
        <v>DIPLOMAT</v>
      </c>
      <c r="D81" s="1" t="str">
        <v>ENFP</v>
      </c>
      <c r="E81" s="1">
        <v>167</v>
      </c>
      <c r="F81" s="1">
        <v>2</v>
      </c>
      <c r="G81" s="1">
        <v>5</v>
      </c>
      <c r="H81" s="1">
        <v>2</v>
      </c>
    </row>
    <row r="83" spans="1:8" x14ac:dyDescent="0.3">
      <c r="A83" s="1" t="str" cm="1">
        <f t="array" ref="A83:H99">_xlfn._xlws.SORT(Table1[#All], 8, -1)</f>
        <v>NO</v>
      </c>
      <c r="B83" s="1" t="str">
        <v>NAME</v>
      </c>
      <c r="C83" s="1" t="str">
        <v>GROUP</v>
      </c>
      <c r="D83" s="1" t="str">
        <v>MBTI</v>
      </c>
      <c r="E83" s="1" t="str">
        <v>HEIGHT (cm)</v>
      </c>
      <c r="F83" s="1" t="str">
        <v>ACADEMIC</v>
      </c>
      <c r="G83" s="1" t="str">
        <v>SOCIAL</v>
      </c>
      <c r="H83" s="1" t="str">
        <v>STRATEGIC</v>
      </c>
    </row>
    <row r="84" spans="1:8" x14ac:dyDescent="0.3">
      <c r="A84" s="1">
        <v>1</v>
      </c>
      <c r="B84" s="1" t="str">
        <v>PAULA</v>
      </c>
      <c r="C84" s="1" t="str">
        <v>ANALYST</v>
      </c>
      <c r="D84" s="1" t="str">
        <v>INTP</v>
      </c>
      <c r="E84" s="1">
        <v>171</v>
      </c>
      <c r="F84" s="1">
        <v>5</v>
      </c>
      <c r="G84" s="1">
        <v>2</v>
      </c>
      <c r="H84" s="1">
        <v>5</v>
      </c>
    </row>
    <row r="85" spans="1:8" x14ac:dyDescent="0.3">
      <c r="A85" s="1">
        <v>2</v>
      </c>
      <c r="B85" s="1" t="str">
        <v>HIROMI</v>
      </c>
      <c r="C85" s="1" t="str">
        <v>ANALYST</v>
      </c>
      <c r="D85" s="1" t="str">
        <v>INTJ</v>
      </c>
      <c r="E85" s="1">
        <v>175</v>
      </c>
      <c r="F85" s="1">
        <v>5</v>
      </c>
      <c r="G85" s="1">
        <v>2</v>
      </c>
      <c r="H85" s="1">
        <v>5</v>
      </c>
    </row>
    <row r="86" spans="1:8" x14ac:dyDescent="0.3">
      <c r="A86" s="1">
        <v>4</v>
      </c>
      <c r="B86" s="1" t="str">
        <v>GILLIAN</v>
      </c>
      <c r="C86" s="1" t="str">
        <v>ANALYST</v>
      </c>
      <c r="D86" s="1" t="str">
        <v>ENTJ</v>
      </c>
      <c r="E86" s="1">
        <v>172</v>
      </c>
      <c r="F86" s="1">
        <v>4</v>
      </c>
      <c r="G86" s="1">
        <v>4</v>
      </c>
      <c r="H86" s="1">
        <v>5</v>
      </c>
    </row>
    <row r="87" spans="1:8" x14ac:dyDescent="0.3">
      <c r="A87" s="1">
        <v>5</v>
      </c>
      <c r="B87" s="1" t="str">
        <v>HAYAMI</v>
      </c>
      <c r="C87" s="1" t="str">
        <v>EXPLORER</v>
      </c>
      <c r="D87" s="1" t="str">
        <v>ISTP</v>
      </c>
      <c r="E87" s="1">
        <v>173</v>
      </c>
      <c r="F87" s="1">
        <v>5</v>
      </c>
      <c r="G87" s="1">
        <v>2</v>
      </c>
      <c r="H87" s="1">
        <v>5</v>
      </c>
    </row>
    <row r="88" spans="1:8" x14ac:dyDescent="0.3">
      <c r="A88" s="1">
        <v>9</v>
      </c>
      <c r="B88" s="1" t="str">
        <v>CHIYO</v>
      </c>
      <c r="C88" s="1" t="str">
        <v>SENTINEL</v>
      </c>
      <c r="D88" s="1" t="str">
        <v>ISTJ</v>
      </c>
      <c r="E88" s="1">
        <v>173</v>
      </c>
      <c r="F88" s="1">
        <v>5</v>
      </c>
      <c r="G88" s="1">
        <v>3</v>
      </c>
      <c r="H88" s="1">
        <v>5</v>
      </c>
    </row>
    <row r="89" spans="1:8" x14ac:dyDescent="0.3">
      <c r="A89" s="1">
        <v>11</v>
      </c>
      <c r="B89" s="1" t="str">
        <v>SHIZUKA</v>
      </c>
      <c r="C89" s="1" t="str">
        <v>SENTINEL</v>
      </c>
      <c r="D89" s="1" t="str">
        <v>ESTJ</v>
      </c>
      <c r="E89" s="1">
        <v>169</v>
      </c>
      <c r="F89" s="1">
        <v>5</v>
      </c>
      <c r="G89" s="1">
        <v>4</v>
      </c>
      <c r="H89" s="1">
        <v>5</v>
      </c>
    </row>
    <row r="90" spans="1:8" x14ac:dyDescent="0.3">
      <c r="A90" s="1">
        <v>3</v>
      </c>
      <c r="B90" s="1" t="str">
        <v>MICA</v>
      </c>
      <c r="C90" s="1" t="str">
        <v>ANALYST</v>
      </c>
      <c r="D90" s="1" t="str">
        <v>ENTP</v>
      </c>
      <c r="E90" s="1">
        <v>168</v>
      </c>
      <c r="F90" s="1">
        <v>4</v>
      </c>
      <c r="G90" s="1">
        <v>5</v>
      </c>
      <c r="H90" s="1">
        <v>4</v>
      </c>
    </row>
    <row r="91" spans="1:8" x14ac:dyDescent="0.3">
      <c r="A91" s="1">
        <v>7</v>
      </c>
      <c r="B91" s="1" t="str">
        <v>SHAYE</v>
      </c>
      <c r="C91" s="1" t="str">
        <v>EXPLORER</v>
      </c>
      <c r="D91" s="1" t="str">
        <v>ESTP</v>
      </c>
      <c r="E91" s="1">
        <v>171</v>
      </c>
      <c r="F91" s="1">
        <v>4</v>
      </c>
      <c r="G91" s="1">
        <v>5</v>
      </c>
      <c r="H91" s="1">
        <v>4</v>
      </c>
    </row>
    <row r="92" spans="1:8" x14ac:dyDescent="0.3">
      <c r="A92" s="1">
        <v>10</v>
      </c>
      <c r="B92" s="1" t="str">
        <v>MAYUMI</v>
      </c>
      <c r="C92" s="1" t="str">
        <v>SENTINEL</v>
      </c>
      <c r="D92" s="1" t="str">
        <v>ISFJ</v>
      </c>
      <c r="E92" s="1">
        <v>168</v>
      </c>
      <c r="F92" s="1">
        <v>4</v>
      </c>
      <c r="G92" s="1">
        <v>3</v>
      </c>
      <c r="H92" s="1">
        <v>4</v>
      </c>
    </row>
    <row r="93" spans="1:8" x14ac:dyDescent="0.3">
      <c r="A93" s="1">
        <v>16</v>
      </c>
      <c r="B93" s="1" t="str">
        <v>HIMIKO</v>
      </c>
      <c r="C93" s="1" t="str">
        <v>DIPLOMAT</v>
      </c>
      <c r="D93" s="1" t="str">
        <v>ENFJ</v>
      </c>
      <c r="E93" s="1">
        <v>169</v>
      </c>
      <c r="F93" s="1">
        <v>3</v>
      </c>
      <c r="G93" s="1">
        <v>5</v>
      </c>
      <c r="H93" s="1">
        <v>4</v>
      </c>
    </row>
    <row r="94" spans="1:8" x14ac:dyDescent="0.3">
      <c r="A94" s="1">
        <v>6</v>
      </c>
      <c r="B94" s="1" t="str">
        <v>SHIINA</v>
      </c>
      <c r="C94" s="1" t="str">
        <v>EXPLORER</v>
      </c>
      <c r="D94" s="1" t="str">
        <v>ISFP</v>
      </c>
      <c r="E94" s="1">
        <v>165</v>
      </c>
      <c r="F94" s="1">
        <v>4</v>
      </c>
      <c r="G94" s="1">
        <v>3</v>
      </c>
      <c r="H94" s="1">
        <v>3</v>
      </c>
    </row>
    <row r="95" spans="1:8" x14ac:dyDescent="0.3">
      <c r="A95" s="1">
        <v>13</v>
      </c>
      <c r="B95" s="1" t="str">
        <v>KATIE</v>
      </c>
      <c r="C95" s="1" t="str">
        <v>DIPLOMAT</v>
      </c>
      <c r="D95" s="1" t="str">
        <v>INFP</v>
      </c>
      <c r="E95" s="1">
        <v>165</v>
      </c>
      <c r="F95" s="1">
        <v>3</v>
      </c>
      <c r="G95" s="1">
        <v>3</v>
      </c>
      <c r="H95" s="1">
        <v>3</v>
      </c>
    </row>
    <row r="96" spans="1:8" x14ac:dyDescent="0.3">
      <c r="A96" s="1">
        <v>14</v>
      </c>
      <c r="B96" s="1" t="str">
        <v>SONIA</v>
      </c>
      <c r="C96" s="1" t="str">
        <v>DIPLOMAT</v>
      </c>
      <c r="D96" s="1" t="str">
        <v>INFJ</v>
      </c>
      <c r="E96" s="1">
        <v>166</v>
      </c>
      <c r="F96" s="1">
        <v>3</v>
      </c>
      <c r="G96" s="1">
        <v>3</v>
      </c>
      <c r="H96" s="1">
        <v>3</v>
      </c>
    </row>
    <row r="97" spans="1:8" x14ac:dyDescent="0.3">
      <c r="A97" s="1">
        <v>8</v>
      </c>
      <c r="B97" s="1" t="str">
        <v>THERESA</v>
      </c>
      <c r="C97" s="1" t="str">
        <v>EXPLORER</v>
      </c>
      <c r="D97" s="1" t="str">
        <v>ESFP</v>
      </c>
      <c r="E97" s="1">
        <v>167</v>
      </c>
      <c r="F97" s="1">
        <v>2</v>
      </c>
      <c r="G97" s="1">
        <v>5</v>
      </c>
      <c r="H97" s="1">
        <v>2</v>
      </c>
    </row>
    <row r="98" spans="1:8" x14ac:dyDescent="0.3">
      <c r="A98" s="1">
        <v>12</v>
      </c>
      <c r="B98" s="1" t="str">
        <v>LILY</v>
      </c>
      <c r="C98" s="1" t="str">
        <v>SENTINEL</v>
      </c>
      <c r="D98" s="1" t="str">
        <v>ESFJ</v>
      </c>
      <c r="E98" s="1">
        <v>167</v>
      </c>
      <c r="F98" s="1">
        <v>2</v>
      </c>
      <c r="G98" s="1">
        <v>5</v>
      </c>
      <c r="H98" s="1">
        <v>2</v>
      </c>
    </row>
    <row r="99" spans="1:8" x14ac:dyDescent="0.3">
      <c r="A99" s="1">
        <v>15</v>
      </c>
      <c r="B99" s="1" t="str">
        <v>EMILY</v>
      </c>
      <c r="C99" s="1" t="str">
        <v>DIPLOMAT</v>
      </c>
      <c r="D99" s="1" t="str">
        <v>ENFP</v>
      </c>
      <c r="E99" s="1">
        <v>167</v>
      </c>
      <c r="F99" s="1">
        <v>2</v>
      </c>
      <c r="G99" s="1">
        <v>5</v>
      </c>
      <c r="H99" s="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A3CA-641B-4B23-A9FB-197EF6B01894}">
  <dimension ref="A1:M21"/>
  <sheetViews>
    <sheetView zoomScale="86" workbookViewId="0">
      <selection activeCell="B2" sqref="B2:D17"/>
    </sheetView>
  </sheetViews>
  <sheetFormatPr defaultRowHeight="16.2" x14ac:dyDescent="0.3"/>
  <cols>
    <col min="1" max="1" width="5.6640625" style="1" customWidth="1"/>
    <col min="2" max="2" width="15.44140625" style="1" customWidth="1"/>
    <col min="3" max="3" width="14.109375" style="1" customWidth="1"/>
    <col min="4" max="4" width="11.44140625" style="1" customWidth="1"/>
    <col min="5" max="5" width="15.109375" style="1" customWidth="1"/>
    <col min="6" max="6" width="13.6640625" style="1" customWidth="1"/>
    <col min="7" max="7" width="8.88671875" style="1"/>
    <col min="8" max="8" width="12.33203125" style="1" customWidth="1"/>
    <col min="9" max="9" width="8.88671875" style="1"/>
    <col min="10" max="10" width="11.21875" style="1" customWidth="1"/>
    <col min="11" max="13" width="14.21875" style="1" customWidth="1"/>
    <col min="14" max="16384" width="8.88671875" style="1"/>
  </cols>
  <sheetData>
    <row r="1" spans="1:13" x14ac:dyDescent="0.3">
      <c r="A1" s="8" t="s">
        <v>0</v>
      </c>
      <c r="B1" s="9" t="s">
        <v>28</v>
      </c>
      <c r="C1" s="9" t="s">
        <v>29</v>
      </c>
      <c r="D1" s="9" t="s">
        <v>30</v>
      </c>
      <c r="E1" s="9" t="s">
        <v>70</v>
      </c>
      <c r="F1" s="9" t="s">
        <v>31</v>
      </c>
      <c r="G1" s="9" t="s">
        <v>32</v>
      </c>
      <c r="H1" s="10" t="s">
        <v>33</v>
      </c>
    </row>
    <row r="2" spans="1:13" x14ac:dyDescent="0.3">
      <c r="A2" s="4">
        <v>1</v>
      </c>
      <c r="B2" s="2" t="s">
        <v>34</v>
      </c>
      <c r="C2" s="2" t="s">
        <v>66</v>
      </c>
      <c r="D2" s="2" t="s">
        <v>50</v>
      </c>
      <c r="E2" s="2">
        <v>171</v>
      </c>
      <c r="F2" s="2">
        <v>5</v>
      </c>
      <c r="G2" s="2">
        <v>2</v>
      </c>
      <c r="H2" s="3">
        <v>5</v>
      </c>
      <c r="J2" s="2" t="s">
        <v>79</v>
      </c>
      <c r="K2" s="2" t="s">
        <v>76</v>
      </c>
      <c r="L2" s="2" t="s">
        <v>77</v>
      </c>
      <c r="M2" s="2" t="s">
        <v>78</v>
      </c>
    </row>
    <row r="3" spans="1:13" x14ac:dyDescent="0.3">
      <c r="A3" s="4">
        <v>2</v>
      </c>
      <c r="B3" s="2" t="s">
        <v>35</v>
      </c>
      <c r="C3" s="2" t="s">
        <v>66</v>
      </c>
      <c r="D3" s="2" t="s">
        <v>51</v>
      </c>
      <c r="E3" s="2">
        <v>175</v>
      </c>
      <c r="F3" s="2">
        <v>5</v>
      </c>
      <c r="G3" s="2">
        <v>2</v>
      </c>
      <c r="H3" s="3">
        <v>5</v>
      </c>
      <c r="J3" s="2" t="s">
        <v>80</v>
      </c>
      <c r="K3" s="2">
        <f>AVERAGEIF(Table13[GROUP],"analyst",Table13[ACADEMIC])</f>
        <v>4.5</v>
      </c>
      <c r="L3" s="2">
        <f>AVERAGEIF(Table13[GROUP],"analyst",Table13[SOCIAL])</f>
        <v>3.25</v>
      </c>
      <c r="M3" s="2">
        <f>AVERAGEIF(Table13[GROUP],"analyst",Table13[STRATEGIC])</f>
        <v>4.75</v>
      </c>
    </row>
    <row r="4" spans="1:13" x14ac:dyDescent="0.3">
      <c r="A4" s="4">
        <v>3</v>
      </c>
      <c r="B4" s="2" t="s">
        <v>36</v>
      </c>
      <c r="C4" s="2" t="s">
        <v>66</v>
      </c>
      <c r="D4" s="2" t="s">
        <v>52</v>
      </c>
      <c r="E4" s="2">
        <v>168</v>
      </c>
      <c r="F4" s="2">
        <v>4</v>
      </c>
      <c r="G4" s="2">
        <v>5</v>
      </c>
      <c r="H4" s="3">
        <v>4</v>
      </c>
      <c r="J4" s="2" t="s">
        <v>81</v>
      </c>
      <c r="K4" s="2">
        <f>AVERAGEIF(Table13[GROUP],"explorer",Table13[ACADEMIC])</f>
        <v>3.75</v>
      </c>
      <c r="L4" s="2">
        <f>AVERAGEIF(Table13[GROUP],"explorer",Table13[SOCIAL])</f>
        <v>3.75</v>
      </c>
      <c r="M4" s="2">
        <f>AVERAGEIF(Table13[GROUP],"explorer",Table13[STRATEGIC])</f>
        <v>3.5</v>
      </c>
    </row>
    <row r="5" spans="1:13" x14ac:dyDescent="0.3">
      <c r="A5" s="4">
        <v>4</v>
      </c>
      <c r="B5" s="2" t="s">
        <v>37</v>
      </c>
      <c r="C5" s="2" t="s">
        <v>66</v>
      </c>
      <c r="D5" s="2" t="s">
        <v>53</v>
      </c>
      <c r="E5" s="2">
        <v>172</v>
      </c>
      <c r="F5" s="2">
        <v>4</v>
      </c>
      <c r="G5" s="2">
        <v>4</v>
      </c>
      <c r="H5" s="3">
        <v>5</v>
      </c>
      <c r="J5" s="2" t="s">
        <v>82</v>
      </c>
      <c r="K5" s="2">
        <f>AVERAGEIF(Table13[GROUP],"sentinel",Table13[ACADEMIC])</f>
        <v>4</v>
      </c>
      <c r="L5" s="2">
        <f>AVERAGEIF(Table13[GROUP],"sentinel",Table13[SOCIAL])</f>
        <v>3.75</v>
      </c>
      <c r="M5" s="2">
        <f>AVERAGEIF(Table13[GROUP],"sentinel",Table13[STRATEGIC])</f>
        <v>4</v>
      </c>
    </row>
    <row r="6" spans="1:13" x14ac:dyDescent="0.3">
      <c r="A6" s="4">
        <v>5</v>
      </c>
      <c r="B6" s="2" t="s">
        <v>38</v>
      </c>
      <c r="C6" s="2" t="s">
        <v>67</v>
      </c>
      <c r="D6" s="2" t="s">
        <v>54</v>
      </c>
      <c r="E6" s="2">
        <v>173</v>
      </c>
      <c r="F6" s="2">
        <v>5</v>
      </c>
      <c r="G6" s="2">
        <v>2</v>
      </c>
      <c r="H6" s="3">
        <v>5</v>
      </c>
      <c r="J6" s="2" t="s">
        <v>83</v>
      </c>
      <c r="K6" s="2">
        <f>AVERAGEIF(Table13[GROUP],"diplomat",Table13[ACADEMIC])</f>
        <v>2.75</v>
      </c>
      <c r="L6" s="2">
        <f>AVERAGEIF(Table13[GROUP],"diplomat",Table13[SOCIAL])</f>
        <v>4</v>
      </c>
      <c r="M6" s="2">
        <f>AVERAGEIF(Table13[GROUP],"diplomat",Table13[STRATEGIC])</f>
        <v>3</v>
      </c>
    </row>
    <row r="7" spans="1:13" x14ac:dyDescent="0.3">
      <c r="A7" s="4">
        <v>6</v>
      </c>
      <c r="B7" s="2" t="s">
        <v>39</v>
      </c>
      <c r="C7" s="2" t="s">
        <v>67</v>
      </c>
      <c r="D7" s="2" t="s">
        <v>55</v>
      </c>
      <c r="E7" s="2">
        <v>165</v>
      </c>
      <c r="F7" s="2">
        <v>4</v>
      </c>
      <c r="G7" s="2">
        <v>3</v>
      </c>
      <c r="H7" s="3">
        <v>3</v>
      </c>
    </row>
    <row r="8" spans="1:13" x14ac:dyDescent="0.3">
      <c r="A8" s="4">
        <v>7</v>
      </c>
      <c r="B8" s="2" t="s">
        <v>40</v>
      </c>
      <c r="C8" s="2" t="s">
        <v>67</v>
      </c>
      <c r="D8" s="2" t="s">
        <v>56</v>
      </c>
      <c r="E8" s="2">
        <v>171</v>
      </c>
      <c r="F8" s="2">
        <v>4</v>
      </c>
      <c r="G8" s="2">
        <v>5</v>
      </c>
      <c r="H8" s="3">
        <v>4</v>
      </c>
    </row>
    <row r="9" spans="1:13" x14ac:dyDescent="0.3">
      <c r="A9" s="4">
        <v>8</v>
      </c>
      <c r="B9" s="2" t="s">
        <v>41</v>
      </c>
      <c r="C9" s="2" t="s">
        <v>67</v>
      </c>
      <c r="D9" s="2" t="s">
        <v>57</v>
      </c>
      <c r="E9" s="2">
        <v>167</v>
      </c>
      <c r="F9" s="2">
        <v>2</v>
      </c>
      <c r="G9" s="2">
        <v>5</v>
      </c>
      <c r="H9" s="3">
        <v>2</v>
      </c>
    </row>
    <row r="10" spans="1:13" x14ac:dyDescent="0.3">
      <c r="A10" s="4">
        <v>9</v>
      </c>
      <c r="B10" s="2" t="s">
        <v>42</v>
      </c>
      <c r="C10" s="2" t="s">
        <v>68</v>
      </c>
      <c r="D10" s="2" t="s">
        <v>58</v>
      </c>
      <c r="E10" s="2">
        <v>173</v>
      </c>
      <c r="F10" s="2">
        <v>5</v>
      </c>
      <c r="G10" s="2">
        <v>3</v>
      </c>
      <c r="H10" s="3">
        <v>5</v>
      </c>
    </row>
    <row r="11" spans="1:13" x14ac:dyDescent="0.3">
      <c r="A11" s="4">
        <v>10</v>
      </c>
      <c r="B11" s="2" t="s">
        <v>43</v>
      </c>
      <c r="C11" s="2" t="s">
        <v>68</v>
      </c>
      <c r="D11" s="2" t="s">
        <v>59</v>
      </c>
      <c r="E11" s="2">
        <v>168</v>
      </c>
      <c r="F11" s="2">
        <v>4</v>
      </c>
      <c r="G11" s="2">
        <v>3</v>
      </c>
      <c r="H11" s="3">
        <v>4</v>
      </c>
    </row>
    <row r="12" spans="1:13" x14ac:dyDescent="0.3">
      <c r="A12" s="4">
        <v>11</v>
      </c>
      <c r="B12" s="2" t="s">
        <v>44</v>
      </c>
      <c r="C12" s="2" t="s">
        <v>68</v>
      </c>
      <c r="D12" s="2" t="s">
        <v>60</v>
      </c>
      <c r="E12" s="2">
        <v>169</v>
      </c>
      <c r="F12" s="2">
        <v>5</v>
      </c>
      <c r="G12" s="2">
        <v>4</v>
      </c>
      <c r="H12" s="3">
        <v>5</v>
      </c>
    </row>
    <row r="13" spans="1:13" x14ac:dyDescent="0.3">
      <c r="A13" s="4">
        <v>12</v>
      </c>
      <c r="B13" s="2" t="s">
        <v>45</v>
      </c>
      <c r="C13" s="2" t="s">
        <v>68</v>
      </c>
      <c r="D13" s="2" t="s">
        <v>61</v>
      </c>
      <c r="E13" s="2">
        <v>167</v>
      </c>
      <c r="F13" s="2">
        <v>2</v>
      </c>
      <c r="G13" s="2">
        <v>5</v>
      </c>
      <c r="H13" s="3">
        <v>2</v>
      </c>
    </row>
    <row r="14" spans="1:13" x14ac:dyDescent="0.3">
      <c r="A14" s="4">
        <v>13</v>
      </c>
      <c r="B14" s="2" t="s">
        <v>46</v>
      </c>
      <c r="C14" s="2" t="s">
        <v>69</v>
      </c>
      <c r="D14" s="2" t="s">
        <v>62</v>
      </c>
      <c r="E14" s="2">
        <v>165</v>
      </c>
      <c r="F14" s="2">
        <v>3</v>
      </c>
      <c r="G14" s="2">
        <v>3</v>
      </c>
      <c r="H14" s="3">
        <v>3</v>
      </c>
    </row>
    <row r="15" spans="1:13" x14ac:dyDescent="0.3">
      <c r="A15" s="4">
        <v>14</v>
      </c>
      <c r="B15" s="2" t="s">
        <v>47</v>
      </c>
      <c r="C15" s="2" t="s">
        <v>69</v>
      </c>
      <c r="D15" s="2" t="s">
        <v>63</v>
      </c>
      <c r="E15" s="2">
        <v>166</v>
      </c>
      <c r="F15" s="2">
        <v>3</v>
      </c>
      <c r="G15" s="2">
        <v>3</v>
      </c>
      <c r="H15" s="3">
        <v>3</v>
      </c>
    </row>
    <row r="16" spans="1:13" x14ac:dyDescent="0.3">
      <c r="A16" s="4">
        <v>15</v>
      </c>
      <c r="B16" s="2" t="s">
        <v>48</v>
      </c>
      <c r="C16" s="2" t="s">
        <v>69</v>
      </c>
      <c r="D16" s="2" t="s">
        <v>64</v>
      </c>
      <c r="E16" s="2">
        <v>167</v>
      </c>
      <c r="F16" s="2">
        <v>2</v>
      </c>
      <c r="G16" s="2">
        <v>5</v>
      </c>
      <c r="H16" s="3">
        <v>2</v>
      </c>
    </row>
    <row r="17" spans="1:8" x14ac:dyDescent="0.3">
      <c r="A17" s="11">
        <v>16</v>
      </c>
      <c r="B17" s="12" t="s">
        <v>49</v>
      </c>
      <c r="C17" s="12" t="s">
        <v>69</v>
      </c>
      <c r="D17" s="12" t="s">
        <v>65</v>
      </c>
      <c r="E17" s="12">
        <v>169</v>
      </c>
      <c r="F17" s="12">
        <v>3</v>
      </c>
      <c r="G17" s="12">
        <v>5</v>
      </c>
      <c r="H17" s="13">
        <v>4</v>
      </c>
    </row>
    <row r="20" spans="1:8" x14ac:dyDescent="0.3">
      <c r="B20" s="2" t="s">
        <v>75</v>
      </c>
      <c r="C20" s="2" t="s">
        <v>71</v>
      </c>
      <c r="D20" s="2" t="s">
        <v>72</v>
      </c>
      <c r="E20" s="2" t="s">
        <v>73</v>
      </c>
    </row>
    <row r="21" spans="1:8" x14ac:dyDescent="0.3">
      <c r="B21" s="2" t="s">
        <v>74</v>
      </c>
      <c r="C21" s="2">
        <f>VLOOKUP(B21,B1:H17,5,FALSE)</f>
        <v>2</v>
      </c>
      <c r="D21" s="2">
        <f>VLOOKUP(B21,B1:H17,6,FALSE)</f>
        <v>5</v>
      </c>
      <c r="E21" s="2">
        <f>VLOOKUP(B21,B1:H17,7,FALSE)</f>
        <v>2</v>
      </c>
    </row>
  </sheetData>
  <conditionalFormatting sqref="F1:H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D028-03B2-4B2A-84A0-5D5DF054B33D}">
  <dimension ref="A1:J17"/>
  <sheetViews>
    <sheetView zoomScale="93" workbookViewId="0">
      <selection activeCell="A12" sqref="A12:XFD12"/>
    </sheetView>
  </sheetViews>
  <sheetFormatPr defaultRowHeight="16.2" x14ac:dyDescent="0.3"/>
  <cols>
    <col min="1" max="1" width="6" style="1" customWidth="1"/>
    <col min="2" max="2" width="11.88671875" style="1" customWidth="1"/>
    <col min="3" max="3" width="12.33203125" style="1" customWidth="1"/>
    <col min="4" max="4" width="8.88671875" style="1"/>
    <col min="5" max="5" width="14.44140625" style="1" customWidth="1"/>
    <col min="6" max="6" width="12.109375" style="1" customWidth="1"/>
    <col min="7" max="7" width="10.44140625" style="1" customWidth="1"/>
    <col min="8" max="8" width="14.21875" style="1" customWidth="1"/>
    <col min="9" max="9" width="10.5546875" style="1" customWidth="1"/>
    <col min="10" max="10" width="13.109375" style="1" customWidth="1"/>
    <col min="11" max="16384" width="8.88671875" style="1"/>
  </cols>
  <sheetData>
    <row r="1" spans="1:10" x14ac:dyDescent="0.3">
      <c r="A1" s="8" t="s">
        <v>0</v>
      </c>
      <c r="B1" s="9" t="s">
        <v>28</v>
      </c>
      <c r="C1" s="9" t="s">
        <v>29</v>
      </c>
      <c r="D1" s="9" t="s">
        <v>30</v>
      </c>
      <c r="E1" s="9" t="s">
        <v>70</v>
      </c>
      <c r="F1" s="9" t="s">
        <v>31</v>
      </c>
      <c r="G1" s="9" t="s">
        <v>32</v>
      </c>
      <c r="H1" s="10" t="s">
        <v>33</v>
      </c>
      <c r="I1" s="9" t="s">
        <v>2</v>
      </c>
      <c r="J1" s="9" t="s">
        <v>4</v>
      </c>
    </row>
    <row r="2" spans="1:10" x14ac:dyDescent="0.3">
      <c r="A2" s="4">
        <v>1</v>
      </c>
      <c r="B2" s="2" t="s">
        <v>34</v>
      </c>
      <c r="C2" s="2" t="s">
        <v>66</v>
      </c>
      <c r="D2" s="2" t="s">
        <v>50</v>
      </c>
      <c r="E2" s="2">
        <v>171</v>
      </c>
      <c r="F2" s="2">
        <v>5</v>
      </c>
      <c r="G2" s="2">
        <v>2</v>
      </c>
      <c r="H2" s="3">
        <v>5</v>
      </c>
      <c r="I2" s="9">
        <v>4</v>
      </c>
      <c r="J2" s="9">
        <v>3</v>
      </c>
    </row>
    <row r="3" spans="1:10" x14ac:dyDescent="0.3">
      <c r="A3" s="4">
        <v>2</v>
      </c>
      <c r="B3" s="2" t="s">
        <v>35</v>
      </c>
      <c r="C3" s="2" t="s">
        <v>66</v>
      </c>
      <c r="D3" s="2" t="s">
        <v>51</v>
      </c>
      <c r="E3" s="2">
        <v>175</v>
      </c>
      <c r="F3" s="2">
        <v>5</v>
      </c>
      <c r="G3" s="2">
        <v>2</v>
      </c>
      <c r="H3" s="3">
        <v>5</v>
      </c>
      <c r="I3" s="2">
        <v>5</v>
      </c>
      <c r="J3" s="2">
        <v>3</v>
      </c>
    </row>
    <row r="4" spans="1:10" x14ac:dyDescent="0.3">
      <c r="A4" s="4">
        <v>3</v>
      </c>
      <c r="B4" s="2" t="s">
        <v>36</v>
      </c>
      <c r="C4" s="2" t="s">
        <v>66</v>
      </c>
      <c r="D4" s="2" t="s">
        <v>52</v>
      </c>
      <c r="E4" s="2">
        <v>168</v>
      </c>
      <c r="F4" s="2">
        <v>4</v>
      </c>
      <c r="G4" s="2">
        <v>5</v>
      </c>
      <c r="H4" s="3">
        <v>4</v>
      </c>
      <c r="I4" s="2">
        <v>4</v>
      </c>
      <c r="J4" s="2">
        <v>4</v>
      </c>
    </row>
    <row r="5" spans="1:10" x14ac:dyDescent="0.3">
      <c r="A5" s="4">
        <v>4</v>
      </c>
      <c r="B5" s="2" t="s">
        <v>37</v>
      </c>
      <c r="C5" s="2" t="s">
        <v>66</v>
      </c>
      <c r="D5" s="2" t="s">
        <v>53</v>
      </c>
      <c r="E5" s="2">
        <v>172</v>
      </c>
      <c r="F5" s="2">
        <v>4</v>
      </c>
      <c r="G5" s="2">
        <v>4</v>
      </c>
      <c r="H5" s="3">
        <v>5</v>
      </c>
      <c r="I5" s="2">
        <v>5</v>
      </c>
      <c r="J5" s="2">
        <v>4</v>
      </c>
    </row>
    <row r="6" spans="1:10" x14ac:dyDescent="0.3">
      <c r="A6" s="4">
        <v>5</v>
      </c>
      <c r="B6" s="2" t="s">
        <v>38</v>
      </c>
      <c r="C6" s="2" t="s">
        <v>67</v>
      </c>
      <c r="D6" s="2" t="s">
        <v>54</v>
      </c>
      <c r="E6" s="2">
        <v>173</v>
      </c>
      <c r="F6" s="2">
        <v>5</v>
      </c>
      <c r="G6" s="2">
        <v>2</v>
      </c>
      <c r="H6" s="3">
        <v>5</v>
      </c>
      <c r="I6" s="2">
        <v>5</v>
      </c>
      <c r="J6" s="2">
        <v>5</v>
      </c>
    </row>
    <row r="7" spans="1:10" x14ac:dyDescent="0.3">
      <c r="A7" s="4">
        <v>6</v>
      </c>
      <c r="B7" s="2" t="s">
        <v>39</v>
      </c>
      <c r="C7" s="2" t="s">
        <v>67</v>
      </c>
      <c r="D7" s="2" t="s">
        <v>55</v>
      </c>
      <c r="E7" s="2">
        <v>165</v>
      </c>
      <c r="F7" s="2">
        <v>4</v>
      </c>
      <c r="G7" s="2">
        <v>3</v>
      </c>
      <c r="H7" s="3">
        <v>3</v>
      </c>
      <c r="I7" s="2">
        <v>4</v>
      </c>
      <c r="J7" s="2">
        <v>3</v>
      </c>
    </row>
    <row r="8" spans="1:10" x14ac:dyDescent="0.3">
      <c r="A8" s="4">
        <v>7</v>
      </c>
      <c r="B8" s="2" t="s">
        <v>40</v>
      </c>
      <c r="C8" s="2" t="s">
        <v>67</v>
      </c>
      <c r="D8" s="2" t="s">
        <v>56</v>
      </c>
      <c r="E8" s="2">
        <v>171</v>
      </c>
      <c r="F8" s="2">
        <v>4</v>
      </c>
      <c r="G8" s="2">
        <v>5</v>
      </c>
      <c r="H8" s="3">
        <v>4</v>
      </c>
      <c r="I8" s="2">
        <v>4</v>
      </c>
      <c r="J8" s="2">
        <v>3</v>
      </c>
    </row>
    <row r="9" spans="1:10" x14ac:dyDescent="0.3">
      <c r="A9" s="4">
        <v>8</v>
      </c>
      <c r="B9" s="2" t="s">
        <v>41</v>
      </c>
      <c r="C9" s="2" t="s">
        <v>67</v>
      </c>
      <c r="D9" s="2" t="s">
        <v>57</v>
      </c>
      <c r="E9" s="2">
        <v>167</v>
      </c>
      <c r="F9" s="2">
        <v>2</v>
      </c>
      <c r="G9" s="2">
        <v>5</v>
      </c>
      <c r="H9" s="3">
        <v>2</v>
      </c>
      <c r="I9" s="2">
        <v>3</v>
      </c>
      <c r="J9" s="2">
        <v>4</v>
      </c>
    </row>
    <row r="10" spans="1:10" x14ac:dyDescent="0.3">
      <c r="A10" s="4">
        <v>9</v>
      </c>
      <c r="B10" s="2" t="s">
        <v>42</v>
      </c>
      <c r="C10" s="2" t="s">
        <v>68</v>
      </c>
      <c r="D10" s="2" t="s">
        <v>58</v>
      </c>
      <c r="E10" s="2">
        <v>173</v>
      </c>
      <c r="F10" s="2">
        <v>5</v>
      </c>
      <c r="G10" s="2">
        <v>2</v>
      </c>
      <c r="H10" s="3">
        <v>5</v>
      </c>
      <c r="I10" s="2">
        <v>4</v>
      </c>
      <c r="J10" s="2">
        <v>4</v>
      </c>
    </row>
    <row r="11" spans="1:10" x14ac:dyDescent="0.3">
      <c r="A11" s="4">
        <v>10</v>
      </c>
      <c r="B11" s="2" t="s">
        <v>43</v>
      </c>
      <c r="C11" s="2" t="s">
        <v>68</v>
      </c>
      <c r="D11" s="2" t="s">
        <v>59</v>
      </c>
      <c r="E11" s="2">
        <v>168</v>
      </c>
      <c r="F11" s="2">
        <v>4</v>
      </c>
      <c r="G11" s="2">
        <v>3</v>
      </c>
      <c r="H11" s="3">
        <v>4</v>
      </c>
      <c r="I11" s="2">
        <v>3</v>
      </c>
      <c r="J11" s="2">
        <v>5</v>
      </c>
    </row>
    <row r="12" spans="1:10" x14ac:dyDescent="0.3">
      <c r="A12" s="4">
        <v>11</v>
      </c>
      <c r="B12" s="2" t="s">
        <v>44</v>
      </c>
      <c r="C12" s="2" t="s">
        <v>68</v>
      </c>
      <c r="D12" s="2" t="s">
        <v>60</v>
      </c>
      <c r="E12" s="2">
        <v>169</v>
      </c>
      <c r="F12" s="2">
        <v>5</v>
      </c>
      <c r="G12" s="2">
        <v>4</v>
      </c>
      <c r="H12" s="3">
        <v>5</v>
      </c>
      <c r="I12" s="2">
        <v>5</v>
      </c>
      <c r="J12" s="2">
        <v>4</v>
      </c>
    </row>
    <row r="13" spans="1:10" x14ac:dyDescent="0.3">
      <c r="A13" s="4">
        <v>12</v>
      </c>
      <c r="B13" s="2" t="s">
        <v>45</v>
      </c>
      <c r="C13" s="2" t="s">
        <v>68</v>
      </c>
      <c r="D13" s="2" t="s">
        <v>61</v>
      </c>
      <c r="E13" s="2">
        <v>167</v>
      </c>
      <c r="F13" s="2">
        <v>2</v>
      </c>
      <c r="G13" s="2">
        <v>5</v>
      </c>
      <c r="H13" s="3">
        <v>2</v>
      </c>
      <c r="I13" s="2">
        <v>4</v>
      </c>
      <c r="J13" s="2">
        <v>2</v>
      </c>
    </row>
    <row r="14" spans="1:10" x14ac:dyDescent="0.3">
      <c r="A14" s="4">
        <v>13</v>
      </c>
      <c r="B14" s="2" t="s">
        <v>46</v>
      </c>
      <c r="C14" s="2" t="s">
        <v>69</v>
      </c>
      <c r="D14" s="2" t="s">
        <v>62</v>
      </c>
      <c r="E14" s="2">
        <v>165</v>
      </c>
      <c r="F14" s="2">
        <v>3</v>
      </c>
      <c r="G14" s="2">
        <v>3</v>
      </c>
      <c r="H14" s="3">
        <v>3</v>
      </c>
      <c r="I14" s="2">
        <v>4</v>
      </c>
      <c r="J14" s="2">
        <v>2</v>
      </c>
    </row>
    <row r="15" spans="1:10" x14ac:dyDescent="0.3">
      <c r="A15" s="4">
        <v>14</v>
      </c>
      <c r="B15" s="2" t="s">
        <v>47</v>
      </c>
      <c r="C15" s="2" t="s">
        <v>69</v>
      </c>
      <c r="D15" s="2" t="s">
        <v>63</v>
      </c>
      <c r="E15" s="2">
        <v>166</v>
      </c>
      <c r="F15" s="2">
        <v>3</v>
      </c>
      <c r="G15" s="2">
        <v>3</v>
      </c>
      <c r="H15" s="3">
        <v>3</v>
      </c>
      <c r="I15" s="2">
        <v>3</v>
      </c>
      <c r="J15" s="2">
        <v>3</v>
      </c>
    </row>
    <row r="16" spans="1:10" x14ac:dyDescent="0.3">
      <c r="A16" s="4">
        <v>15</v>
      </c>
      <c r="B16" s="2" t="s">
        <v>48</v>
      </c>
      <c r="C16" s="2" t="s">
        <v>69</v>
      </c>
      <c r="D16" s="2" t="s">
        <v>64</v>
      </c>
      <c r="E16" s="2">
        <v>167</v>
      </c>
      <c r="F16" s="2">
        <v>2</v>
      </c>
      <c r="G16" s="2">
        <v>5</v>
      </c>
      <c r="H16" s="3">
        <v>2</v>
      </c>
      <c r="I16" s="2">
        <v>3</v>
      </c>
      <c r="J16" s="2">
        <v>3</v>
      </c>
    </row>
    <row r="17" spans="1:10" x14ac:dyDescent="0.3">
      <c r="A17" s="11">
        <v>16</v>
      </c>
      <c r="B17" s="12" t="s">
        <v>49</v>
      </c>
      <c r="C17" s="12" t="s">
        <v>69</v>
      </c>
      <c r="D17" s="12" t="s">
        <v>65</v>
      </c>
      <c r="E17" s="12">
        <v>169</v>
      </c>
      <c r="F17" s="12">
        <v>3</v>
      </c>
      <c r="G17" s="12">
        <v>5</v>
      </c>
      <c r="H17" s="13">
        <v>4</v>
      </c>
      <c r="I17" s="12">
        <v>4</v>
      </c>
      <c r="J17" s="12">
        <v>3</v>
      </c>
    </row>
  </sheetData>
  <conditionalFormatting sqref="F1:H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89CD-AE27-4242-B99E-4330721D200A}">
  <dimension ref="A1:E8"/>
  <sheetViews>
    <sheetView workbookViewId="0">
      <selection activeCell="D2" sqref="D2:E2"/>
    </sheetView>
  </sheetViews>
  <sheetFormatPr defaultRowHeight="16.2" x14ac:dyDescent="0.3"/>
  <cols>
    <col min="1" max="1" width="13.88671875" style="1" customWidth="1"/>
    <col min="2" max="2" width="19.77734375" style="1" customWidth="1"/>
    <col min="3" max="3" width="8.88671875" style="1"/>
    <col min="4" max="4" width="19.21875" style="1" customWidth="1"/>
    <col min="5" max="16384" width="8.88671875" style="1"/>
  </cols>
  <sheetData>
    <row r="1" spans="1:5" x14ac:dyDescent="0.3">
      <c r="A1" s="2"/>
      <c r="B1" s="2" t="s">
        <v>86</v>
      </c>
      <c r="C1" s="37" t="s">
        <v>88</v>
      </c>
      <c r="D1" s="2" t="s">
        <v>87</v>
      </c>
    </row>
    <row r="2" spans="1:5" x14ac:dyDescent="0.3">
      <c r="A2" s="2" t="s">
        <v>75</v>
      </c>
      <c r="B2" s="2" t="s">
        <v>38</v>
      </c>
      <c r="C2" s="38"/>
      <c r="D2" s="2" t="s">
        <v>40</v>
      </c>
    </row>
    <row r="3" spans="1:5" x14ac:dyDescent="0.3">
      <c r="A3" s="2" t="s">
        <v>71</v>
      </c>
      <c r="B3" s="2">
        <f>VLOOKUP(B2, Table134[[#All],[NAME]:[DEFENSE]], 5, FALSE)</f>
        <v>5</v>
      </c>
      <c r="C3" s="38"/>
      <c r="D3" s="2">
        <f>VLOOKUP(D2, Table134[[#All],[NAME]:[DEFENSE]], 5, FALSE)</f>
        <v>4</v>
      </c>
      <c r="E3" s="1" t="str">
        <f>IF(B3&gt;D3,B2,IF(D3&gt;B3,D2,"TIE"))</f>
        <v>HAYAMI</v>
      </c>
    </row>
    <row r="4" spans="1:5" x14ac:dyDescent="0.3">
      <c r="A4" s="2" t="s">
        <v>72</v>
      </c>
      <c r="B4" s="2">
        <f>VLOOKUP(B2, Table134[[#All],[NAME]:[DEFENSE]], 6, FALSE)</f>
        <v>2</v>
      </c>
      <c r="C4" s="38"/>
      <c r="D4" s="2">
        <f>VLOOKUP(D2, Table134[[#All],[NAME]:[DEFENSE]], 6, FALSE)</f>
        <v>5</v>
      </c>
      <c r="E4" s="1" t="str">
        <f>IF(B4&gt;D4,B2,IF(D4&gt;B4,D2,"TIE"))</f>
        <v>SHAYE</v>
      </c>
    </row>
    <row r="5" spans="1:5" x14ac:dyDescent="0.3">
      <c r="A5" s="2" t="s">
        <v>84</v>
      </c>
      <c r="B5" s="2">
        <f>VLOOKUP(B2, Table134[[#All],[NAME]:[DEFENSE]], 7, FALSE)</f>
        <v>5</v>
      </c>
      <c r="C5" s="38"/>
      <c r="D5" s="2">
        <f>VLOOKUP(D2, Table134[[#All],[NAME]:[DEFENSE]], 7, FALSE)</f>
        <v>4</v>
      </c>
      <c r="E5" s="1" t="str">
        <f>IF(B5&gt;D5,B2,IF(D5&gt;B5,D2,"TIE"))</f>
        <v>HAYAMI</v>
      </c>
    </row>
    <row r="6" spans="1:5" x14ac:dyDescent="0.3">
      <c r="A6" s="2" t="s">
        <v>89</v>
      </c>
      <c r="B6" s="2">
        <f>VLOOKUP(B2, Table134[[#All],[NAME]:[DEFENSE]], 8, FALSE)</f>
        <v>5</v>
      </c>
      <c r="C6" s="38"/>
      <c r="D6" s="2">
        <f>VLOOKUP(D2, Table134[[#All],[NAME]:[DEFENSE]], 8, FALSE)</f>
        <v>4</v>
      </c>
      <c r="E6" s="1" t="str">
        <f>IF(B6&gt;D6,B2,IF(D6&gt;B6,D2,"TIE"))</f>
        <v>HAYAMI</v>
      </c>
    </row>
    <row r="7" spans="1:5" x14ac:dyDescent="0.3">
      <c r="A7" s="2" t="s">
        <v>90</v>
      </c>
      <c r="B7" s="2">
        <f>VLOOKUP(B2, Table134[[#All],[NAME]:[DEFENSE]], 9, FALSE)</f>
        <v>5</v>
      </c>
      <c r="C7" s="39"/>
      <c r="D7" s="2">
        <f>VLOOKUP(D2, Table134[[#All],[NAME]:[DEFENSE]], 9, FALSE)</f>
        <v>3</v>
      </c>
      <c r="E7" s="1" t="str">
        <f>IF(B7&gt;D7,B2,IF(D7&gt;B7,D2,"TIE"))</f>
        <v>HAYAMI</v>
      </c>
    </row>
    <row r="8" spans="1:5" x14ac:dyDescent="0.3">
      <c r="A8" s="2" t="s">
        <v>85</v>
      </c>
      <c r="B8" s="30" t="str">
        <f>IF(COUNTIF(E3:E7,B2)&gt;COUNTIF(E3:E7,D2),B2, IF(COUNTIF(E3:E7,D2)&gt;COUNTIF(E3:E7,B2),D2, "TIE"))</f>
        <v>HAYAMI</v>
      </c>
      <c r="C8" s="30"/>
      <c r="D8" s="30"/>
    </row>
  </sheetData>
  <mergeCells count="2">
    <mergeCell ref="B8:D8"/>
    <mergeCell ref="C1:C7"/>
  </mergeCells>
  <conditionalFormatting sqref="B3:B7">
    <cfRule type="expression" dxfId="13" priority="1">
      <formula>B3&gt;D3</formula>
    </cfRule>
  </conditionalFormatting>
  <conditionalFormatting sqref="D3:D7">
    <cfRule type="expression" dxfId="12" priority="3">
      <formula>D3&gt;B3</formula>
    </cfRule>
    <cfRule type="expression" dxfId="11" priority="5">
      <formula>$D$3&gt;$B$3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AC23B6-2DE7-487C-BE27-BF4F1C65D678}">
          <x14:formula1>
            <xm:f>Stats_full!$B$2:$B$17</xm:f>
          </x14:formula1>
          <xm:sqref>B2 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83D1-039A-4412-A7C0-1B6D953F3400}">
  <dimension ref="A1:F22"/>
  <sheetViews>
    <sheetView zoomScale="90" zoomScaleNormal="90" workbookViewId="0">
      <selection activeCell="E7" sqref="E7"/>
    </sheetView>
  </sheetViews>
  <sheetFormatPr defaultRowHeight="16.2" x14ac:dyDescent="0.3"/>
  <cols>
    <col min="1" max="1" width="17.44140625" style="1" customWidth="1"/>
    <col min="2" max="3" width="14.5546875" style="1" customWidth="1"/>
    <col min="4" max="4" width="15.21875" style="1" customWidth="1"/>
    <col min="5" max="5" width="24.77734375" style="1" customWidth="1"/>
    <col min="6" max="6" width="20.5546875" style="1" customWidth="1"/>
    <col min="7" max="7" width="16.88671875" style="1" customWidth="1"/>
    <col min="8" max="16384" width="8.88671875" style="1"/>
  </cols>
  <sheetData>
    <row r="1" spans="1:6" x14ac:dyDescent="0.3">
      <c r="A1" s="8" t="s">
        <v>91</v>
      </c>
      <c r="B1" s="9" t="s">
        <v>92</v>
      </c>
      <c r="C1" s="9" t="s">
        <v>93</v>
      </c>
      <c r="D1" s="9" t="s">
        <v>94</v>
      </c>
      <c r="E1" s="9" t="s">
        <v>130</v>
      </c>
      <c r="F1" s="9" t="s">
        <v>132</v>
      </c>
    </row>
    <row r="2" spans="1:6" x14ac:dyDescent="0.3">
      <c r="A2" s="4" t="s">
        <v>115</v>
      </c>
      <c r="B2" s="2" t="s">
        <v>102</v>
      </c>
      <c r="C2" s="2" t="s">
        <v>105</v>
      </c>
      <c r="D2" s="2" t="s">
        <v>131</v>
      </c>
      <c r="E2" s="20">
        <f>AVERAGEIF(Fusion_stats!$A$2:$A$8, B2, Fusion_stats!$H$2:$H$8)/2 + AVERAGEIF(Fusion_stats!$A$2:$A$8, C2, Fusion_stats!$H$2:$H$8)/2</f>
        <v>78.75</v>
      </c>
      <c r="F2" s="19" t="str">
        <f t="shared" ref="F2:F22" si="0">REPT("▪",ROUND((E2-MIN($E$2:$E$22))/(MAX($E$2:$E$22)-MIN($E$2:$E$22))*9+1, 0))</f>
        <v>▪</v>
      </c>
    </row>
    <row r="3" spans="1:6" x14ac:dyDescent="0.3">
      <c r="A3" s="4" t="s">
        <v>122</v>
      </c>
      <c r="B3" s="2" t="s">
        <v>101</v>
      </c>
      <c r="C3" s="2" t="s">
        <v>107</v>
      </c>
      <c r="D3" s="2" t="s">
        <v>131</v>
      </c>
      <c r="E3" s="20">
        <f>AVERAGEIF(Fusion_stats!$A$2:$A$8, B3, Fusion_stats!$H$2:$H$8)/2 + AVERAGEIF(Fusion_stats!$A$2:$A$8, C3, Fusion_stats!$H$2:$H$8)/2</f>
        <v>84.5</v>
      </c>
      <c r="F3" s="19" t="str">
        <f t="shared" si="0"/>
        <v>▪▪▪▪▪▪▪▪▪▪</v>
      </c>
    </row>
    <row r="4" spans="1:6" x14ac:dyDescent="0.3">
      <c r="A4" s="4" t="s">
        <v>118</v>
      </c>
      <c r="B4" s="2" t="s">
        <v>105</v>
      </c>
      <c r="C4" s="2" t="s">
        <v>106</v>
      </c>
      <c r="D4" s="2" t="s">
        <v>131</v>
      </c>
      <c r="E4" s="20">
        <f>AVERAGEIF(Fusion_stats!$A$2:$A$8, B4, Fusion_stats!$H$2:$H$8)/2 + AVERAGEIF(Fusion_stats!$A$2:$A$8, C4, Fusion_stats!$H$2:$H$8)/2</f>
        <v>78.416666666666657</v>
      </c>
      <c r="F4" s="19" t="str">
        <f t="shared" si="0"/>
        <v>▪</v>
      </c>
    </row>
    <row r="5" spans="1:6" x14ac:dyDescent="0.3">
      <c r="A5" s="4" t="s">
        <v>129</v>
      </c>
      <c r="B5" s="2" t="s">
        <v>104</v>
      </c>
      <c r="C5" s="2" t="s">
        <v>106</v>
      </c>
      <c r="D5" s="2" t="s">
        <v>131</v>
      </c>
      <c r="E5" s="20">
        <f>AVERAGEIF(Fusion_stats!$A$2:$A$8, B5, Fusion_stats!$H$2:$H$8)/2 + AVERAGEIF(Fusion_stats!$A$2:$A$8, C5, Fusion_stats!$H$2:$H$8)/2</f>
        <v>80.833333333333329</v>
      </c>
      <c r="F5" s="19" t="str">
        <f t="shared" si="0"/>
        <v>▪▪▪▪▪</v>
      </c>
    </row>
    <row r="6" spans="1:6" x14ac:dyDescent="0.3">
      <c r="A6" s="4" t="s">
        <v>100</v>
      </c>
      <c r="B6" s="2" t="s">
        <v>104</v>
      </c>
      <c r="C6" s="2" t="s">
        <v>107</v>
      </c>
      <c r="D6" s="2" t="s">
        <v>108</v>
      </c>
      <c r="E6" s="20">
        <f>AVERAGEIF(Fusion_stats!$A$2:$A$8, B6, Fusion_stats!$H$2:$H$8)/2 + AVERAGEIF(Fusion_stats!$A$2:$A$8, C6, Fusion_stats!$H$2:$H$8)/2</f>
        <v>83.333333333333329</v>
      </c>
      <c r="F6" s="19" t="str">
        <f t="shared" si="0"/>
        <v>▪▪▪▪▪▪▪▪</v>
      </c>
    </row>
    <row r="7" spans="1:6" x14ac:dyDescent="0.3">
      <c r="A7" s="4" t="s">
        <v>116</v>
      </c>
      <c r="B7" s="2" t="s">
        <v>104</v>
      </c>
      <c r="C7" s="2" t="s">
        <v>105</v>
      </c>
      <c r="D7" s="2" t="s">
        <v>131</v>
      </c>
      <c r="E7" s="20">
        <f>AVERAGEIF(Fusion_stats!$A$2:$A$8, B7, Fusion_stats!$H$2:$H$8)/2 + AVERAGEIF(Fusion_stats!$A$2:$A$8, C7, Fusion_stats!$H$2:$H$8)/2</f>
        <v>78.916666666666657</v>
      </c>
      <c r="F7" s="19" t="str">
        <f t="shared" si="0"/>
        <v>▪▪</v>
      </c>
    </row>
    <row r="8" spans="1:6" x14ac:dyDescent="0.3">
      <c r="A8" s="4" t="s">
        <v>128</v>
      </c>
      <c r="B8" s="2" t="s">
        <v>103</v>
      </c>
      <c r="C8" s="2" t="s">
        <v>104</v>
      </c>
      <c r="D8" s="2" t="s">
        <v>131</v>
      </c>
      <c r="E8" s="20">
        <f>AVERAGEIF(Fusion_stats!$A$2:$A$8, B8, Fusion_stats!$H$2:$H$8)/2 + AVERAGEIF(Fusion_stats!$A$2:$A$8, C8, Fusion_stats!$H$2:$H$8)/2</f>
        <v>81.25</v>
      </c>
      <c r="F8" s="19" t="str">
        <f t="shared" si="0"/>
        <v>▪▪▪▪▪</v>
      </c>
    </row>
    <row r="9" spans="1:6" x14ac:dyDescent="0.3">
      <c r="A9" s="4" t="s">
        <v>95</v>
      </c>
      <c r="B9" s="2" t="s">
        <v>105</v>
      </c>
      <c r="C9" s="2" t="s">
        <v>101</v>
      </c>
      <c r="D9" s="2" t="s">
        <v>108</v>
      </c>
      <c r="E9" s="20">
        <f>AVERAGEIF(Fusion_stats!$A$2:$A$8, B9, Fusion_stats!$H$2:$H$8)/2 + AVERAGEIF(Fusion_stats!$A$2:$A$8, C9, Fusion_stats!$H$2:$H$8)/2</f>
        <v>80.083333333333343</v>
      </c>
      <c r="F9" s="19" t="str">
        <f t="shared" si="0"/>
        <v>▪▪▪</v>
      </c>
    </row>
    <row r="10" spans="1:6" x14ac:dyDescent="0.3">
      <c r="A10" s="4" t="s">
        <v>96</v>
      </c>
      <c r="B10" s="2" t="s">
        <v>102</v>
      </c>
      <c r="C10" s="2" t="s">
        <v>101</v>
      </c>
      <c r="D10" s="2" t="s">
        <v>108</v>
      </c>
      <c r="E10" s="20">
        <f>AVERAGEIF(Fusion_stats!$A$2:$A$8, B10, Fusion_stats!$H$2:$H$8)/2 + AVERAGEIF(Fusion_stats!$A$2:$A$8, C10, Fusion_stats!$H$2:$H$8)/2</f>
        <v>82.333333333333343</v>
      </c>
      <c r="F10" s="19" t="str">
        <f t="shared" si="0"/>
        <v>▪▪▪▪▪▪▪</v>
      </c>
    </row>
    <row r="11" spans="1:6" x14ac:dyDescent="0.3">
      <c r="A11" s="4" t="s">
        <v>123</v>
      </c>
      <c r="B11" s="2" t="s">
        <v>103</v>
      </c>
      <c r="C11" s="2" t="s">
        <v>101</v>
      </c>
      <c r="D11" s="2" t="s">
        <v>131</v>
      </c>
      <c r="E11" s="20">
        <f>AVERAGEIF(Fusion_stats!$A$2:$A$8, B11, Fusion_stats!$H$2:$H$8)/2 + AVERAGEIF(Fusion_stats!$A$2:$A$8, C11, Fusion_stats!$H$2:$H$8)/2</f>
        <v>82.416666666666671</v>
      </c>
      <c r="F11" s="19" t="str">
        <f t="shared" si="0"/>
        <v>▪▪▪▪▪▪▪</v>
      </c>
    </row>
    <row r="12" spans="1:6" x14ac:dyDescent="0.3">
      <c r="A12" s="4" t="s">
        <v>126</v>
      </c>
      <c r="B12" s="2" t="s">
        <v>102</v>
      </c>
      <c r="C12" s="2" t="s">
        <v>107</v>
      </c>
      <c r="D12" s="2" t="s">
        <v>131</v>
      </c>
      <c r="E12" s="20">
        <f>AVERAGEIF(Fusion_stats!$A$2:$A$8, B12, Fusion_stats!$H$2:$H$8)/2 + AVERAGEIF(Fusion_stats!$A$2:$A$8, C12, Fusion_stats!$H$2:$H$8)/2</f>
        <v>83.166666666666657</v>
      </c>
      <c r="F12" s="19" t="str">
        <f t="shared" si="0"/>
        <v>▪▪▪▪▪▪▪▪</v>
      </c>
    </row>
    <row r="13" spans="1:6" x14ac:dyDescent="0.3">
      <c r="A13" s="4" t="s">
        <v>120</v>
      </c>
      <c r="B13" s="2" t="s">
        <v>104</v>
      </c>
      <c r="C13" s="2" t="s">
        <v>101</v>
      </c>
      <c r="D13" s="2" t="s">
        <v>131</v>
      </c>
      <c r="E13" s="20">
        <f>AVERAGEIF(Fusion_stats!$A$2:$A$8, B13, Fusion_stats!$H$2:$H$8)/2 + AVERAGEIF(Fusion_stats!$A$2:$A$8, C13, Fusion_stats!$H$2:$H$8)/2</f>
        <v>82.5</v>
      </c>
      <c r="F13" s="19" t="str">
        <f t="shared" si="0"/>
        <v>▪▪▪▪▪▪▪</v>
      </c>
    </row>
    <row r="14" spans="1:6" x14ac:dyDescent="0.3">
      <c r="A14" s="4" t="s">
        <v>121</v>
      </c>
      <c r="B14" s="2" t="s">
        <v>101</v>
      </c>
      <c r="C14" s="2" t="s">
        <v>106</v>
      </c>
      <c r="D14" s="2" t="s">
        <v>131</v>
      </c>
      <c r="E14" s="20">
        <f>AVERAGEIF(Fusion_stats!$A$2:$A$8, B14, Fusion_stats!$H$2:$H$8)/2 + AVERAGEIF(Fusion_stats!$A$2:$A$8, C14, Fusion_stats!$H$2:$H$8)/2</f>
        <v>82</v>
      </c>
      <c r="F14" s="19" t="str">
        <f t="shared" si="0"/>
        <v>▪▪▪▪▪▪</v>
      </c>
    </row>
    <row r="15" spans="1:6" x14ac:dyDescent="0.3">
      <c r="A15" s="4" t="s">
        <v>99</v>
      </c>
      <c r="B15" s="2" t="s">
        <v>102</v>
      </c>
      <c r="C15" s="2" t="s">
        <v>103</v>
      </c>
      <c r="D15" s="2" t="s">
        <v>108</v>
      </c>
      <c r="E15" s="20">
        <f>AVERAGEIF(Fusion_stats!$A$2:$A$8, B15, Fusion_stats!$H$2:$H$8)/2 + AVERAGEIF(Fusion_stats!$A$2:$A$8, C15, Fusion_stats!$H$2:$H$8)/2</f>
        <v>81.083333333333343</v>
      </c>
      <c r="F15" s="19" t="str">
        <f t="shared" si="0"/>
        <v>▪▪▪▪▪</v>
      </c>
    </row>
    <row r="16" spans="1:6" x14ac:dyDescent="0.3">
      <c r="A16" s="4" t="s">
        <v>119</v>
      </c>
      <c r="B16" s="2" t="s">
        <v>103</v>
      </c>
      <c r="C16" s="2" t="s">
        <v>105</v>
      </c>
      <c r="D16" s="2" t="s">
        <v>131</v>
      </c>
      <c r="E16" s="20">
        <f>AVERAGEIF(Fusion_stats!$A$2:$A$8, B16, Fusion_stats!$H$2:$H$8)/2 + AVERAGEIF(Fusion_stats!$A$2:$A$8, C16, Fusion_stats!$H$2:$H$8)/2</f>
        <v>78.833333333333343</v>
      </c>
      <c r="F16" s="19" t="str">
        <f t="shared" si="0"/>
        <v>▪▪</v>
      </c>
    </row>
    <row r="17" spans="1:6" x14ac:dyDescent="0.3">
      <c r="A17" s="4" t="s">
        <v>117</v>
      </c>
      <c r="B17" s="2" t="s">
        <v>105</v>
      </c>
      <c r="C17" s="2" t="s">
        <v>107</v>
      </c>
      <c r="D17" s="2" t="s">
        <v>131</v>
      </c>
      <c r="E17" s="20">
        <f>AVERAGEIF(Fusion_stats!$A$2:$A$8, B17, Fusion_stats!$H$2:$H$8)/2 + AVERAGEIF(Fusion_stats!$A$2:$A$8, C17, Fusion_stats!$H$2:$H$8)/2</f>
        <v>80.916666666666657</v>
      </c>
      <c r="F17" s="19" t="str">
        <f t="shared" si="0"/>
        <v>▪▪▪▪▪</v>
      </c>
    </row>
    <row r="18" spans="1:6" x14ac:dyDescent="0.3">
      <c r="A18" s="4" t="s">
        <v>98</v>
      </c>
      <c r="B18" s="2" t="s">
        <v>106</v>
      </c>
      <c r="C18" s="2" t="s">
        <v>107</v>
      </c>
      <c r="D18" s="2" t="s">
        <v>108</v>
      </c>
      <c r="E18" s="20">
        <f>AVERAGEIF(Fusion_stats!$A$2:$A$8, B18, Fusion_stats!$H$2:$H$8)/2 + AVERAGEIF(Fusion_stats!$A$2:$A$8, C18, Fusion_stats!$H$2:$H$8)/2</f>
        <v>82.833333333333329</v>
      </c>
      <c r="F18" s="19" t="str">
        <f t="shared" si="0"/>
        <v>▪▪▪▪▪▪▪▪</v>
      </c>
    </row>
    <row r="19" spans="1:6" x14ac:dyDescent="0.3">
      <c r="A19" s="4" t="s">
        <v>124</v>
      </c>
      <c r="B19" s="2" t="s">
        <v>102</v>
      </c>
      <c r="C19" s="2" t="s">
        <v>104</v>
      </c>
      <c r="D19" s="2" t="s">
        <v>131</v>
      </c>
      <c r="E19" s="20">
        <f>AVERAGEIF(Fusion_stats!$A$2:$A$8, B19, Fusion_stats!$H$2:$H$8)/2 + AVERAGEIF(Fusion_stats!$A$2:$A$8, C19, Fusion_stats!$H$2:$H$8)/2</f>
        <v>81.166666666666657</v>
      </c>
      <c r="F19" s="19" t="str">
        <f t="shared" si="0"/>
        <v>▪▪▪▪▪</v>
      </c>
    </row>
    <row r="20" spans="1:6" x14ac:dyDescent="0.3">
      <c r="A20" s="4" t="s">
        <v>97</v>
      </c>
      <c r="B20" s="2" t="s">
        <v>103</v>
      </c>
      <c r="C20" s="2" t="s">
        <v>107</v>
      </c>
      <c r="D20" s="2" t="s">
        <v>108</v>
      </c>
      <c r="E20" s="20">
        <f>AVERAGEIF(Fusion_stats!$A$2:$A$8, B20, Fusion_stats!$H$2:$H$8)/2 + AVERAGEIF(Fusion_stats!$A$2:$A$8, C20, Fusion_stats!$H$2:$H$8)/2</f>
        <v>83.25</v>
      </c>
      <c r="F20" s="19" t="str">
        <f t="shared" si="0"/>
        <v>▪▪▪▪▪▪▪▪</v>
      </c>
    </row>
    <row r="21" spans="1:6" x14ac:dyDescent="0.3">
      <c r="A21" s="4" t="s">
        <v>127</v>
      </c>
      <c r="B21" s="2" t="s">
        <v>103</v>
      </c>
      <c r="C21" s="2" t="s">
        <v>106</v>
      </c>
      <c r="D21" s="2" t="s">
        <v>131</v>
      </c>
      <c r="E21" s="20">
        <f>AVERAGEIF(Fusion_stats!$A$2:$A$8, B21, Fusion_stats!$H$2:$H$8)/2 + AVERAGEIF(Fusion_stats!$A$2:$A$8, C21, Fusion_stats!$H$2:$H$8)/2</f>
        <v>80.75</v>
      </c>
      <c r="F21" s="19" t="str">
        <f t="shared" si="0"/>
        <v>▪▪▪▪</v>
      </c>
    </row>
    <row r="22" spans="1:6" x14ac:dyDescent="0.3">
      <c r="A22" s="11" t="s">
        <v>125</v>
      </c>
      <c r="B22" s="12" t="s">
        <v>102</v>
      </c>
      <c r="C22" s="12" t="s">
        <v>106</v>
      </c>
      <c r="D22" s="12" t="s">
        <v>131</v>
      </c>
      <c r="E22" s="21">
        <f>AVERAGEIF(Fusion_stats!$A$2:$A$8, B22, Fusion_stats!$H$2:$H$8)/2 + AVERAGEIF(Fusion_stats!$A$2:$A$8, C22, Fusion_stats!$H$2:$H$8)/2</f>
        <v>80.666666666666657</v>
      </c>
      <c r="F22" s="19" t="str">
        <f t="shared" si="0"/>
        <v>▪▪▪▪</v>
      </c>
    </row>
  </sheetData>
  <conditionalFormatting sqref="D1:D22">
    <cfRule type="containsText" dxfId="10" priority="2" operator="containsText" text="Undiscovered">
      <formula>NOT(ISERROR(SEARCH("Undiscovered",D1)))</formula>
    </cfRule>
    <cfRule type="containsText" dxfId="9" priority="3" operator="containsText" text="Discovered">
      <formula>NOT(ISERROR(SEARCH("Discovered",D1)))</formula>
    </cfRule>
  </conditionalFormatting>
  <conditionalFormatting sqref="D2:D22">
    <cfRule type="containsText" dxfId="8" priority="1" operator="containsText" text="unDiscovered">
      <formula>NOT(ISERROR(SEARCH("unDiscovered",D2)))</formula>
    </cfRule>
  </conditionalFormatting>
  <dataValidations count="1">
    <dataValidation type="list" allowBlank="1" showInputMessage="1" showErrorMessage="1" sqref="D2:D22" xr:uid="{4A82F0C6-EE6D-45FA-84A3-3C434F0D9F40}">
      <formula1>"Discovered, Undiscovered"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AB41-AD60-4D74-9677-B505D3C14AFB}">
  <dimension ref="A1:J10"/>
  <sheetViews>
    <sheetView workbookViewId="0">
      <selection activeCell="H8" sqref="H8"/>
    </sheetView>
  </sheetViews>
  <sheetFormatPr defaultRowHeight="14.4" x14ac:dyDescent="0.3"/>
  <cols>
    <col min="1" max="1" width="18.21875" customWidth="1"/>
    <col min="2" max="7" width="7.6640625" customWidth="1"/>
    <col min="8" max="8" width="11.77734375" customWidth="1"/>
    <col min="9" max="9" width="11.109375" customWidth="1"/>
    <col min="10" max="10" width="10.5546875" customWidth="1"/>
  </cols>
  <sheetData>
    <row r="1" spans="1:10" ht="16.2" x14ac:dyDescent="0.3">
      <c r="A1" s="8" t="s">
        <v>1</v>
      </c>
      <c r="B1" s="9" t="s">
        <v>110</v>
      </c>
      <c r="C1" s="9" t="s">
        <v>109</v>
      </c>
      <c r="D1" s="9" t="s">
        <v>111</v>
      </c>
      <c r="E1" s="9" t="s">
        <v>112</v>
      </c>
      <c r="F1" s="9" t="s">
        <v>113</v>
      </c>
      <c r="G1" s="9" t="s">
        <v>114</v>
      </c>
      <c r="H1" s="18" t="s">
        <v>15</v>
      </c>
      <c r="I1" s="9" t="s">
        <v>26</v>
      </c>
      <c r="J1" s="10" t="s">
        <v>27</v>
      </c>
    </row>
    <row r="2" spans="1:10" ht="16.2" x14ac:dyDescent="0.3">
      <c r="A2" s="4" t="s">
        <v>22</v>
      </c>
      <c r="B2" s="6">
        <v>91</v>
      </c>
      <c r="C2" s="2">
        <v>80</v>
      </c>
      <c r="D2" s="2">
        <v>75</v>
      </c>
      <c r="E2" s="2">
        <v>82</v>
      </c>
      <c r="F2" s="7">
        <v>55</v>
      </c>
      <c r="G2" s="2">
        <v>76</v>
      </c>
      <c r="H2" s="16">
        <f t="shared" ref="H2:H8" si="0">AVERAGE(B2:G2)</f>
        <v>76.5</v>
      </c>
      <c r="I2" s="2">
        <f t="shared" ref="I2:I8" si="1">MAX(B2:G2)</f>
        <v>91</v>
      </c>
      <c r="J2" s="3">
        <f t="shared" ref="J2:J8" si="2">MIN(B2:G2)</f>
        <v>55</v>
      </c>
    </row>
    <row r="3" spans="1:10" ht="16.2" x14ac:dyDescent="0.3">
      <c r="A3" s="4" t="s">
        <v>21</v>
      </c>
      <c r="B3" s="2">
        <v>78</v>
      </c>
      <c r="C3" s="2">
        <v>83</v>
      </c>
      <c r="D3" s="7">
        <v>76</v>
      </c>
      <c r="E3" s="6">
        <v>95</v>
      </c>
      <c r="F3" s="2">
        <v>76</v>
      </c>
      <c r="G3" s="2">
        <v>80</v>
      </c>
      <c r="H3" s="16">
        <f t="shared" si="0"/>
        <v>81.333333333333329</v>
      </c>
      <c r="I3" s="2">
        <f t="shared" si="1"/>
        <v>95</v>
      </c>
      <c r="J3" s="3">
        <f t="shared" si="2"/>
        <v>76</v>
      </c>
    </row>
    <row r="4" spans="1:10" ht="16.2" x14ac:dyDescent="0.3">
      <c r="A4" s="4" t="s">
        <v>19</v>
      </c>
      <c r="B4" s="2">
        <v>88</v>
      </c>
      <c r="C4" s="2">
        <v>95</v>
      </c>
      <c r="D4" s="6">
        <v>97</v>
      </c>
      <c r="E4" s="7">
        <v>50</v>
      </c>
      <c r="F4" s="2">
        <v>80</v>
      </c>
      <c r="G4" s="2">
        <v>76</v>
      </c>
      <c r="H4" s="16">
        <f t="shared" si="0"/>
        <v>81</v>
      </c>
      <c r="I4" s="2">
        <f t="shared" si="1"/>
        <v>97</v>
      </c>
      <c r="J4" s="3">
        <f t="shared" si="2"/>
        <v>50</v>
      </c>
    </row>
    <row r="5" spans="1:10" ht="16.2" x14ac:dyDescent="0.3">
      <c r="A5" s="4" t="s">
        <v>23</v>
      </c>
      <c r="B5" s="2">
        <v>80</v>
      </c>
      <c r="C5" s="2">
        <v>82</v>
      </c>
      <c r="D5" s="2">
        <v>88</v>
      </c>
      <c r="E5" s="7">
        <v>67</v>
      </c>
      <c r="F5" s="2">
        <v>90</v>
      </c>
      <c r="G5" s="6">
        <v>95</v>
      </c>
      <c r="H5" s="16">
        <f t="shared" si="0"/>
        <v>83.666666666666671</v>
      </c>
      <c r="I5" s="2">
        <f t="shared" si="1"/>
        <v>95</v>
      </c>
      <c r="J5" s="3">
        <f t="shared" si="2"/>
        <v>67</v>
      </c>
    </row>
    <row r="6" spans="1:10" ht="16.2" x14ac:dyDescent="0.3">
      <c r="A6" s="4" t="s">
        <v>25</v>
      </c>
      <c r="B6" s="2">
        <v>97</v>
      </c>
      <c r="C6" s="2">
        <v>75</v>
      </c>
      <c r="D6" s="7">
        <v>55</v>
      </c>
      <c r="E6" s="6">
        <v>99</v>
      </c>
      <c r="F6" s="2">
        <v>98</v>
      </c>
      <c r="G6" s="2">
        <v>88</v>
      </c>
      <c r="H6" s="16">
        <f t="shared" si="0"/>
        <v>85.333333333333329</v>
      </c>
      <c r="I6" s="2">
        <f t="shared" si="1"/>
        <v>99</v>
      </c>
      <c r="J6" s="3">
        <f t="shared" si="2"/>
        <v>55</v>
      </c>
    </row>
    <row r="7" spans="1:10" ht="16.2" x14ac:dyDescent="0.3">
      <c r="A7" s="4" t="s">
        <v>24</v>
      </c>
      <c r="B7" s="2">
        <v>82</v>
      </c>
      <c r="C7" s="6">
        <v>97</v>
      </c>
      <c r="D7" s="2">
        <v>92</v>
      </c>
      <c r="E7" s="2">
        <v>80</v>
      </c>
      <c r="F7" s="2">
        <v>76</v>
      </c>
      <c r="G7" s="7">
        <v>55</v>
      </c>
      <c r="H7" s="16">
        <f t="shared" si="0"/>
        <v>80.333333333333329</v>
      </c>
      <c r="I7" s="2">
        <f t="shared" si="1"/>
        <v>97</v>
      </c>
      <c r="J7" s="3">
        <f t="shared" si="2"/>
        <v>55</v>
      </c>
    </row>
    <row r="8" spans="1:10" ht="16.2" x14ac:dyDescent="0.3">
      <c r="A8" s="11" t="s">
        <v>20</v>
      </c>
      <c r="B8" s="12">
        <v>95</v>
      </c>
      <c r="C8" s="12">
        <v>76</v>
      </c>
      <c r="D8" s="14">
        <v>55</v>
      </c>
      <c r="E8" s="15">
        <v>98</v>
      </c>
      <c r="F8" s="12">
        <v>75</v>
      </c>
      <c r="G8" s="12">
        <v>88</v>
      </c>
      <c r="H8" s="17">
        <f t="shared" si="0"/>
        <v>81.166666666666671</v>
      </c>
      <c r="I8" s="12">
        <f t="shared" si="1"/>
        <v>98</v>
      </c>
      <c r="J8" s="13">
        <f t="shared" si="2"/>
        <v>55</v>
      </c>
    </row>
    <row r="9" spans="1:10" ht="16.2" x14ac:dyDescent="0.3">
      <c r="A9" s="1"/>
      <c r="B9" s="1"/>
      <c r="C9" s="1"/>
      <c r="D9" s="1"/>
      <c r="E9" s="1"/>
      <c r="F9" s="1"/>
      <c r="G9" s="1"/>
      <c r="H9" s="1"/>
    </row>
    <row r="10" spans="1:10" ht="16.2" x14ac:dyDescent="0.3">
      <c r="A10" s="1"/>
      <c r="B10" s="1"/>
      <c r="C10" s="1"/>
      <c r="D10" s="1"/>
      <c r="E10" s="1"/>
      <c r="F10" s="1"/>
      <c r="G10" s="1"/>
      <c r="H10" s="1"/>
    </row>
  </sheetData>
  <conditionalFormatting sqref="A2:G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EE4A-ACB5-443B-9343-ECB3989E732D}">
  <dimension ref="A1:U35"/>
  <sheetViews>
    <sheetView workbookViewId="0">
      <selection activeCell="Q8" sqref="Q8"/>
    </sheetView>
  </sheetViews>
  <sheetFormatPr defaultRowHeight="16.2" x14ac:dyDescent="0.3"/>
  <cols>
    <col min="1" max="1" width="14.33203125" style="1" customWidth="1"/>
    <col min="2" max="2" width="8.88671875" style="1"/>
    <col min="3" max="3" width="9.77734375" style="1" customWidth="1"/>
    <col min="4" max="4" width="7.33203125" style="1" customWidth="1"/>
    <col min="5" max="6" width="9.5546875" style="1" customWidth="1"/>
    <col min="7" max="8" width="8.88671875" style="1"/>
    <col min="9" max="9" width="11.109375" style="1" customWidth="1"/>
    <col min="10" max="10" width="8.88671875" style="1"/>
    <col min="11" max="11" width="9.88671875" style="1" customWidth="1"/>
    <col min="12" max="12" width="10.44140625" style="1" customWidth="1"/>
    <col min="13" max="13" width="7" style="1" customWidth="1"/>
    <col min="14" max="17" width="8.88671875" style="1"/>
    <col min="18" max="18" width="7.88671875" style="1" customWidth="1"/>
    <col min="19" max="19" width="12.21875" style="1" customWidth="1"/>
    <col min="20" max="20" width="8.88671875" style="1"/>
    <col min="21" max="21" width="12.6640625" style="1" customWidth="1"/>
    <col min="22" max="16384" width="8.88671875" style="1"/>
  </cols>
  <sheetData>
    <row r="1" spans="1:21" x14ac:dyDescent="0.3">
      <c r="A1" s="23"/>
      <c r="B1" s="26" t="s">
        <v>34</v>
      </c>
      <c r="C1" s="26" t="s">
        <v>35</v>
      </c>
      <c r="D1" s="26" t="s">
        <v>36</v>
      </c>
      <c r="E1" s="26" t="s">
        <v>37</v>
      </c>
      <c r="F1" s="24" t="s">
        <v>38</v>
      </c>
      <c r="G1" s="24" t="s">
        <v>39</v>
      </c>
      <c r="H1" s="24" t="s">
        <v>40</v>
      </c>
      <c r="I1" s="24" t="s">
        <v>41</v>
      </c>
      <c r="J1" s="25" t="s">
        <v>42</v>
      </c>
      <c r="K1" s="25" t="s">
        <v>43</v>
      </c>
      <c r="L1" s="25" t="s">
        <v>44</v>
      </c>
      <c r="M1" s="25" t="s">
        <v>45</v>
      </c>
      <c r="N1" s="27" t="s">
        <v>46</v>
      </c>
      <c r="O1" s="27" t="s">
        <v>47</v>
      </c>
      <c r="P1" s="27" t="s">
        <v>48</v>
      </c>
      <c r="Q1" s="27" t="s">
        <v>49</v>
      </c>
    </row>
    <row r="2" spans="1:21" x14ac:dyDescent="0.3">
      <c r="A2" s="26" t="s">
        <v>34</v>
      </c>
      <c r="B2" s="28"/>
      <c r="C2" s="23">
        <v>9</v>
      </c>
      <c r="D2" s="23">
        <v>9</v>
      </c>
      <c r="E2" s="23">
        <v>8</v>
      </c>
      <c r="F2" s="23">
        <v>10</v>
      </c>
      <c r="G2" s="23">
        <v>6</v>
      </c>
      <c r="H2" s="23">
        <v>6</v>
      </c>
      <c r="I2" s="23">
        <v>5</v>
      </c>
      <c r="J2" s="23">
        <v>7</v>
      </c>
      <c r="K2" s="23">
        <v>8</v>
      </c>
      <c r="L2" s="23">
        <v>5</v>
      </c>
      <c r="M2" s="23">
        <v>5</v>
      </c>
      <c r="N2" s="23">
        <v>6</v>
      </c>
      <c r="O2" s="23">
        <v>5</v>
      </c>
      <c r="P2" s="23">
        <v>6</v>
      </c>
      <c r="Q2" s="23">
        <v>6</v>
      </c>
      <c r="S2" s="2" t="s">
        <v>133</v>
      </c>
      <c r="T2" s="30" t="s">
        <v>134</v>
      </c>
      <c r="U2" s="30"/>
    </row>
    <row r="3" spans="1:21" x14ac:dyDescent="0.3">
      <c r="A3" s="26" t="s">
        <v>35</v>
      </c>
      <c r="B3" s="23">
        <v>9</v>
      </c>
      <c r="C3" s="28"/>
      <c r="D3" s="23">
        <v>8</v>
      </c>
      <c r="E3" s="23">
        <v>8</v>
      </c>
      <c r="F3" s="23">
        <v>9</v>
      </c>
      <c r="G3" s="23">
        <v>7</v>
      </c>
      <c r="H3" s="23">
        <v>5</v>
      </c>
      <c r="I3" s="23">
        <v>5</v>
      </c>
      <c r="J3" s="23">
        <v>8</v>
      </c>
      <c r="K3" s="23">
        <v>8</v>
      </c>
      <c r="L3" s="23">
        <v>9</v>
      </c>
      <c r="M3" s="23">
        <v>5</v>
      </c>
      <c r="N3" s="23">
        <v>5</v>
      </c>
      <c r="O3" s="23">
        <v>6</v>
      </c>
      <c r="P3" s="23">
        <v>6</v>
      </c>
      <c r="Q3" s="23">
        <v>6</v>
      </c>
      <c r="S3" s="2">
        <v>1</v>
      </c>
      <c r="T3" s="30" t="s">
        <v>135</v>
      </c>
      <c r="U3" s="30"/>
    </row>
    <row r="4" spans="1:21" x14ac:dyDescent="0.3">
      <c r="A4" s="26" t="s">
        <v>36</v>
      </c>
      <c r="B4" s="23">
        <v>9</v>
      </c>
      <c r="C4" s="23">
        <v>8</v>
      </c>
      <c r="D4" s="28"/>
      <c r="E4" s="23">
        <v>8</v>
      </c>
      <c r="F4" s="23">
        <v>7</v>
      </c>
      <c r="G4" s="23">
        <v>6</v>
      </c>
      <c r="H4" s="23">
        <v>10</v>
      </c>
      <c r="I4" s="23">
        <v>9</v>
      </c>
      <c r="J4" s="23">
        <v>5</v>
      </c>
      <c r="K4" s="23">
        <v>7</v>
      </c>
      <c r="L4" s="23">
        <v>7</v>
      </c>
      <c r="M4" s="23">
        <v>6</v>
      </c>
      <c r="N4" s="23">
        <v>5</v>
      </c>
      <c r="O4" s="23">
        <v>5</v>
      </c>
      <c r="P4" s="23">
        <v>9</v>
      </c>
      <c r="Q4" s="23">
        <v>6</v>
      </c>
      <c r="S4" s="2">
        <v>2</v>
      </c>
      <c r="T4" s="30" t="s">
        <v>136</v>
      </c>
      <c r="U4" s="30"/>
    </row>
    <row r="5" spans="1:21" x14ac:dyDescent="0.3">
      <c r="A5" s="26" t="s">
        <v>37</v>
      </c>
      <c r="B5" s="23">
        <v>8</v>
      </c>
      <c r="C5" s="23">
        <v>8</v>
      </c>
      <c r="D5" s="23">
        <v>8</v>
      </c>
      <c r="E5" s="28"/>
      <c r="F5" s="23">
        <v>7</v>
      </c>
      <c r="G5" s="23">
        <v>6</v>
      </c>
      <c r="H5" s="23">
        <v>6</v>
      </c>
      <c r="I5" s="23">
        <v>5</v>
      </c>
      <c r="J5" s="23">
        <v>8</v>
      </c>
      <c r="K5" s="23">
        <v>8</v>
      </c>
      <c r="L5" s="23">
        <v>10</v>
      </c>
      <c r="M5" s="23">
        <v>5</v>
      </c>
      <c r="N5" s="23">
        <v>5</v>
      </c>
      <c r="O5" s="23">
        <v>5</v>
      </c>
      <c r="P5" s="23">
        <v>5</v>
      </c>
      <c r="Q5" s="23">
        <v>6</v>
      </c>
      <c r="S5" s="2">
        <v>3</v>
      </c>
      <c r="T5" s="30" t="s">
        <v>137</v>
      </c>
      <c r="U5" s="30"/>
    </row>
    <row r="6" spans="1:21" x14ac:dyDescent="0.3">
      <c r="A6" s="24" t="s">
        <v>38</v>
      </c>
      <c r="B6" s="23">
        <v>10</v>
      </c>
      <c r="C6" s="23">
        <v>9</v>
      </c>
      <c r="D6" s="23">
        <v>7</v>
      </c>
      <c r="E6" s="23">
        <v>7</v>
      </c>
      <c r="F6" s="28"/>
      <c r="G6" s="23">
        <v>9</v>
      </c>
      <c r="H6" s="23">
        <v>9</v>
      </c>
      <c r="I6" s="23">
        <v>8</v>
      </c>
      <c r="J6" s="23">
        <v>9</v>
      </c>
      <c r="K6" s="23">
        <v>8</v>
      </c>
      <c r="L6" s="23">
        <v>5</v>
      </c>
      <c r="M6" s="23">
        <v>6</v>
      </c>
      <c r="N6" s="23">
        <v>6</v>
      </c>
      <c r="O6" s="23">
        <v>5</v>
      </c>
      <c r="P6" s="23">
        <v>6</v>
      </c>
      <c r="Q6" s="23">
        <v>5</v>
      </c>
      <c r="S6" s="2">
        <v>4</v>
      </c>
      <c r="T6" s="30" t="s">
        <v>138</v>
      </c>
      <c r="U6" s="30"/>
    </row>
    <row r="7" spans="1:21" x14ac:dyDescent="0.3">
      <c r="A7" s="24" t="s">
        <v>39</v>
      </c>
      <c r="B7" s="23">
        <v>6</v>
      </c>
      <c r="C7" s="23">
        <v>7</v>
      </c>
      <c r="D7" s="23">
        <v>6</v>
      </c>
      <c r="E7" s="23">
        <v>6</v>
      </c>
      <c r="F7" s="23">
        <v>9</v>
      </c>
      <c r="G7" s="28"/>
      <c r="H7" s="23">
        <v>7</v>
      </c>
      <c r="I7" s="23">
        <v>8</v>
      </c>
      <c r="J7" s="23">
        <v>8</v>
      </c>
      <c r="K7" s="23">
        <v>10</v>
      </c>
      <c r="L7" s="23">
        <v>5</v>
      </c>
      <c r="M7" s="23">
        <v>7</v>
      </c>
      <c r="N7" s="23">
        <v>8</v>
      </c>
      <c r="O7" s="23">
        <v>8</v>
      </c>
      <c r="P7" s="23">
        <v>6</v>
      </c>
      <c r="Q7" s="23">
        <v>6</v>
      </c>
      <c r="S7" s="2">
        <v>5</v>
      </c>
      <c r="T7" s="30" t="s">
        <v>139</v>
      </c>
      <c r="U7" s="30"/>
    </row>
    <row r="8" spans="1:21" x14ac:dyDescent="0.3">
      <c r="A8" s="24" t="s">
        <v>40</v>
      </c>
      <c r="B8" s="23">
        <v>6</v>
      </c>
      <c r="C8" s="23">
        <v>5</v>
      </c>
      <c r="D8" s="23">
        <v>10</v>
      </c>
      <c r="E8" s="23">
        <v>6</v>
      </c>
      <c r="F8" s="23">
        <v>9</v>
      </c>
      <c r="G8" s="23">
        <v>7</v>
      </c>
      <c r="H8" s="28"/>
      <c r="I8" s="23">
        <v>10</v>
      </c>
      <c r="J8" s="23">
        <v>5</v>
      </c>
      <c r="K8" s="23">
        <v>7</v>
      </c>
      <c r="L8" s="23">
        <v>5</v>
      </c>
      <c r="M8" s="23">
        <v>6</v>
      </c>
      <c r="N8" s="23">
        <v>7</v>
      </c>
      <c r="O8" s="23">
        <v>5</v>
      </c>
      <c r="P8" s="23">
        <v>9</v>
      </c>
      <c r="Q8" s="23">
        <v>6</v>
      </c>
      <c r="S8" s="2">
        <v>6</v>
      </c>
      <c r="T8" s="30" t="s">
        <v>140</v>
      </c>
      <c r="U8" s="30"/>
    </row>
    <row r="9" spans="1:21" x14ac:dyDescent="0.3">
      <c r="A9" s="24" t="s">
        <v>41</v>
      </c>
      <c r="B9" s="23">
        <v>5</v>
      </c>
      <c r="C9" s="23">
        <v>5</v>
      </c>
      <c r="D9" s="23">
        <v>9</v>
      </c>
      <c r="E9" s="23">
        <v>5</v>
      </c>
      <c r="F9" s="23">
        <v>8</v>
      </c>
      <c r="G9" s="23">
        <v>8</v>
      </c>
      <c r="H9" s="23">
        <v>10</v>
      </c>
      <c r="I9" s="28"/>
      <c r="J9" s="23">
        <v>6</v>
      </c>
      <c r="K9" s="23">
        <v>7</v>
      </c>
      <c r="L9" s="23">
        <v>5</v>
      </c>
      <c r="M9" s="23">
        <v>9</v>
      </c>
      <c r="N9" s="23">
        <v>7</v>
      </c>
      <c r="O9" s="23">
        <v>6</v>
      </c>
      <c r="P9" s="23">
        <v>9</v>
      </c>
      <c r="Q9" s="23">
        <v>8</v>
      </c>
      <c r="S9" s="2">
        <v>7</v>
      </c>
      <c r="T9" s="30" t="s">
        <v>143</v>
      </c>
      <c r="U9" s="30"/>
    </row>
    <row r="10" spans="1:21" x14ac:dyDescent="0.3">
      <c r="A10" s="25" t="s">
        <v>42</v>
      </c>
      <c r="B10" s="23">
        <v>7</v>
      </c>
      <c r="C10" s="23">
        <v>8</v>
      </c>
      <c r="D10" s="23">
        <v>5</v>
      </c>
      <c r="E10" s="23">
        <v>8</v>
      </c>
      <c r="F10" s="23">
        <v>9</v>
      </c>
      <c r="G10" s="23">
        <v>8</v>
      </c>
      <c r="H10" s="23">
        <v>5</v>
      </c>
      <c r="I10" s="23">
        <v>6</v>
      </c>
      <c r="J10" s="28"/>
      <c r="K10" s="23">
        <v>9</v>
      </c>
      <c r="L10" s="23">
        <v>10</v>
      </c>
      <c r="M10" s="23">
        <v>8</v>
      </c>
      <c r="N10" s="23">
        <v>7</v>
      </c>
      <c r="O10" s="23">
        <v>6</v>
      </c>
      <c r="P10" s="23">
        <v>6</v>
      </c>
      <c r="Q10" s="23">
        <v>8</v>
      </c>
      <c r="S10" s="2">
        <v>8</v>
      </c>
      <c r="T10" s="30" t="s">
        <v>144</v>
      </c>
      <c r="U10" s="30"/>
    </row>
    <row r="11" spans="1:21" x14ac:dyDescent="0.3">
      <c r="A11" s="25" t="s">
        <v>43</v>
      </c>
      <c r="B11" s="23">
        <v>8</v>
      </c>
      <c r="C11" s="23">
        <v>8</v>
      </c>
      <c r="D11" s="23">
        <v>7</v>
      </c>
      <c r="E11" s="23">
        <v>8</v>
      </c>
      <c r="F11" s="23">
        <v>8</v>
      </c>
      <c r="G11" s="23">
        <v>10</v>
      </c>
      <c r="H11" s="23">
        <v>7</v>
      </c>
      <c r="I11" s="23">
        <v>7</v>
      </c>
      <c r="J11" s="23">
        <v>9</v>
      </c>
      <c r="K11" s="28"/>
      <c r="L11" s="23">
        <v>8</v>
      </c>
      <c r="M11" s="23">
        <v>10</v>
      </c>
      <c r="N11" s="23">
        <v>10</v>
      </c>
      <c r="O11" s="23">
        <v>9</v>
      </c>
      <c r="P11" s="23">
        <v>6</v>
      </c>
      <c r="Q11" s="23">
        <v>7</v>
      </c>
      <c r="S11" s="2">
        <v>9</v>
      </c>
      <c r="T11" s="30" t="s">
        <v>141</v>
      </c>
      <c r="U11" s="30"/>
    </row>
    <row r="12" spans="1:21" x14ac:dyDescent="0.3">
      <c r="A12" s="25" t="s">
        <v>44</v>
      </c>
      <c r="B12" s="23">
        <v>5</v>
      </c>
      <c r="C12" s="23">
        <v>9</v>
      </c>
      <c r="D12" s="23">
        <v>7</v>
      </c>
      <c r="E12" s="23">
        <v>10</v>
      </c>
      <c r="F12" s="23">
        <v>5</v>
      </c>
      <c r="G12" s="23">
        <v>5</v>
      </c>
      <c r="H12" s="23">
        <v>5</v>
      </c>
      <c r="I12" s="23">
        <v>5</v>
      </c>
      <c r="J12" s="23">
        <v>10</v>
      </c>
      <c r="K12" s="23">
        <v>8</v>
      </c>
      <c r="L12" s="28"/>
      <c r="M12" s="23">
        <v>7</v>
      </c>
      <c r="N12" s="23">
        <v>5</v>
      </c>
      <c r="O12" s="23">
        <v>5</v>
      </c>
      <c r="P12" s="23">
        <v>6</v>
      </c>
      <c r="Q12" s="23">
        <v>7</v>
      </c>
      <c r="S12" s="2">
        <v>10</v>
      </c>
      <c r="T12" s="30" t="s">
        <v>142</v>
      </c>
      <c r="U12" s="30"/>
    </row>
    <row r="13" spans="1:21" x14ac:dyDescent="0.3">
      <c r="A13" s="25" t="s">
        <v>45</v>
      </c>
      <c r="B13" s="23">
        <v>5</v>
      </c>
      <c r="C13" s="23">
        <v>5</v>
      </c>
      <c r="D13" s="23">
        <v>6</v>
      </c>
      <c r="E13" s="23">
        <v>5</v>
      </c>
      <c r="F13" s="23">
        <v>6</v>
      </c>
      <c r="G13" s="23">
        <v>7</v>
      </c>
      <c r="H13" s="23">
        <v>6</v>
      </c>
      <c r="I13" s="23">
        <v>9</v>
      </c>
      <c r="J13" s="23">
        <v>8</v>
      </c>
      <c r="K13" s="23">
        <v>10</v>
      </c>
      <c r="L13" s="23">
        <v>7</v>
      </c>
      <c r="M13" s="28"/>
      <c r="N13" s="23">
        <v>9</v>
      </c>
      <c r="O13" s="23">
        <v>9</v>
      </c>
      <c r="P13" s="23">
        <v>8</v>
      </c>
      <c r="Q13" s="23">
        <v>9</v>
      </c>
    </row>
    <row r="14" spans="1:21" x14ac:dyDescent="0.3">
      <c r="A14" s="27" t="s">
        <v>46</v>
      </c>
      <c r="B14" s="23">
        <v>6</v>
      </c>
      <c r="C14" s="23">
        <v>5</v>
      </c>
      <c r="D14" s="23">
        <v>5</v>
      </c>
      <c r="E14" s="23">
        <v>5</v>
      </c>
      <c r="F14" s="23">
        <v>6</v>
      </c>
      <c r="G14" s="23">
        <v>8</v>
      </c>
      <c r="H14" s="23">
        <v>7</v>
      </c>
      <c r="I14" s="23">
        <v>7</v>
      </c>
      <c r="J14" s="23">
        <v>7</v>
      </c>
      <c r="K14" s="23">
        <v>10</v>
      </c>
      <c r="L14" s="23">
        <v>5</v>
      </c>
      <c r="M14" s="23">
        <v>9</v>
      </c>
      <c r="N14" s="28"/>
      <c r="O14" s="23">
        <v>10</v>
      </c>
      <c r="P14" s="23">
        <v>9</v>
      </c>
      <c r="Q14" s="23">
        <v>8</v>
      </c>
    </row>
    <row r="15" spans="1:21" x14ac:dyDescent="0.3">
      <c r="A15" s="27" t="s">
        <v>47</v>
      </c>
      <c r="B15" s="23">
        <v>5</v>
      </c>
      <c r="C15" s="23">
        <v>6</v>
      </c>
      <c r="D15" s="23">
        <v>5</v>
      </c>
      <c r="E15" s="23">
        <v>5</v>
      </c>
      <c r="F15" s="23">
        <v>5</v>
      </c>
      <c r="G15" s="23">
        <v>8</v>
      </c>
      <c r="H15" s="23">
        <v>5</v>
      </c>
      <c r="I15" s="23">
        <v>6</v>
      </c>
      <c r="J15" s="23">
        <v>6</v>
      </c>
      <c r="K15" s="23">
        <v>9</v>
      </c>
      <c r="L15" s="23">
        <v>5</v>
      </c>
      <c r="M15" s="23">
        <v>9</v>
      </c>
      <c r="N15" s="23">
        <v>10</v>
      </c>
      <c r="O15" s="28"/>
      <c r="P15" s="23">
        <v>8</v>
      </c>
      <c r="Q15" s="23">
        <v>9</v>
      </c>
    </row>
    <row r="16" spans="1:21" x14ac:dyDescent="0.3">
      <c r="A16" s="27" t="s">
        <v>48</v>
      </c>
      <c r="B16" s="23">
        <v>6</v>
      </c>
      <c r="C16" s="23">
        <v>6</v>
      </c>
      <c r="D16" s="23">
        <v>9</v>
      </c>
      <c r="E16" s="23">
        <v>5</v>
      </c>
      <c r="F16" s="23">
        <v>6</v>
      </c>
      <c r="G16" s="23">
        <v>6</v>
      </c>
      <c r="H16" s="23">
        <v>9</v>
      </c>
      <c r="I16" s="23">
        <v>9</v>
      </c>
      <c r="J16" s="23">
        <v>6</v>
      </c>
      <c r="K16" s="23">
        <v>6</v>
      </c>
      <c r="L16" s="23">
        <v>6</v>
      </c>
      <c r="M16" s="23">
        <v>8</v>
      </c>
      <c r="N16" s="23">
        <v>9</v>
      </c>
      <c r="O16" s="23">
        <v>8</v>
      </c>
      <c r="P16" s="28"/>
      <c r="Q16" s="23">
        <v>8</v>
      </c>
    </row>
    <row r="17" spans="1:17" x14ac:dyDescent="0.3">
      <c r="A17" s="27" t="s">
        <v>49</v>
      </c>
      <c r="B17" s="23">
        <v>6</v>
      </c>
      <c r="C17" s="23">
        <v>6</v>
      </c>
      <c r="D17" s="23">
        <v>6</v>
      </c>
      <c r="E17" s="23">
        <v>6</v>
      </c>
      <c r="F17" s="23">
        <v>5</v>
      </c>
      <c r="G17" s="23">
        <v>6</v>
      </c>
      <c r="H17" s="23">
        <v>6</v>
      </c>
      <c r="I17" s="23">
        <v>8</v>
      </c>
      <c r="J17" s="23">
        <v>8</v>
      </c>
      <c r="K17" s="23">
        <v>7</v>
      </c>
      <c r="L17" s="23">
        <v>7</v>
      </c>
      <c r="M17" s="23">
        <v>9</v>
      </c>
      <c r="N17" s="23">
        <v>8</v>
      </c>
      <c r="O17" s="23">
        <v>9</v>
      </c>
      <c r="P17" s="23">
        <v>8</v>
      </c>
      <c r="Q17" s="28"/>
    </row>
    <row r="19" spans="1:17" x14ac:dyDescent="0.3">
      <c r="A19" s="2" t="s">
        <v>145</v>
      </c>
      <c r="B19" s="31" t="s">
        <v>146</v>
      </c>
      <c r="C19" s="32"/>
      <c r="D19" s="31" t="s">
        <v>147</v>
      </c>
      <c r="E19" s="32"/>
      <c r="F19" s="31" t="s">
        <v>148</v>
      </c>
      <c r="G19" s="32"/>
    </row>
    <row r="20" spans="1:17" x14ac:dyDescent="0.3">
      <c r="A20" s="16" t="s">
        <v>34</v>
      </c>
      <c r="B20" s="31">
        <f t="shared" ref="B20:B35" si="0">AVERAGE(B2:Q2)</f>
        <v>6.7333333333333334</v>
      </c>
      <c r="C20" s="32"/>
      <c r="D20" s="31" t="str">
        <f>INDEX(B1:Q1, MATCH(MAX(B2:Q2), B2:Q2, 0))</f>
        <v>HAYAMI</v>
      </c>
      <c r="E20" s="32"/>
      <c r="F20" s="31" t="str">
        <f>INDEX(B1:Q1, MATCH(MIN(B2:Q2), B2:Q2, 0))</f>
        <v>THERESA</v>
      </c>
      <c r="G20" s="32"/>
    </row>
    <row r="21" spans="1:17" x14ac:dyDescent="0.3">
      <c r="A21" s="16" t="s">
        <v>35</v>
      </c>
      <c r="B21" s="31">
        <f t="shared" si="0"/>
        <v>6.9333333333333336</v>
      </c>
      <c r="C21" s="32"/>
      <c r="D21" s="31" t="str">
        <f>INDEX(B1:Q1, MATCH(MAX(B3:Q3), B3:Q3, 0))</f>
        <v>PAULA</v>
      </c>
      <c r="E21" s="32"/>
      <c r="F21" s="31" t="str">
        <f>INDEX(B1:Q1, MATCH(MIN(B3:Q3), B3:Q3, 0))</f>
        <v>SHAYE</v>
      </c>
      <c r="G21" s="32"/>
    </row>
    <row r="22" spans="1:17" x14ac:dyDescent="0.3">
      <c r="A22" s="16" t="s">
        <v>36</v>
      </c>
      <c r="B22" s="31">
        <f t="shared" si="0"/>
        <v>7.1333333333333337</v>
      </c>
      <c r="C22" s="32"/>
      <c r="D22" s="31" t="str">
        <f>INDEX(B1:Q1, MATCH(MAX(B4:Q4), B4:Q4, 0))</f>
        <v>SHAYE</v>
      </c>
      <c r="E22" s="32"/>
      <c r="F22" s="31" t="str">
        <f>INDEX(B1:Q1, MATCH(MIN(B4:Q4), B4:Q4, 0))</f>
        <v>CHIYO</v>
      </c>
      <c r="G22" s="32"/>
    </row>
    <row r="23" spans="1:17" x14ac:dyDescent="0.3">
      <c r="A23" s="16" t="s">
        <v>37</v>
      </c>
      <c r="B23" s="31">
        <f t="shared" si="0"/>
        <v>6.666666666666667</v>
      </c>
      <c r="C23" s="32"/>
      <c r="D23" s="31" t="str">
        <f>INDEX(B1:Q1, MATCH(MAX(B5:Q5), B5:Q5, 0))</f>
        <v>SHIZUKA</v>
      </c>
      <c r="E23" s="32"/>
      <c r="F23" s="31" t="str">
        <f>INDEX(B1:Q1, MATCH(MIN(B5:Q5), B5:Q5, 0))</f>
        <v>THERESA</v>
      </c>
      <c r="G23" s="32"/>
    </row>
    <row r="24" spans="1:17" x14ac:dyDescent="0.3">
      <c r="A24" s="2" t="s">
        <v>38</v>
      </c>
      <c r="B24" s="31">
        <f t="shared" si="0"/>
        <v>7.2666666666666666</v>
      </c>
      <c r="C24" s="32"/>
      <c r="D24" s="31" t="str">
        <f>INDEX(B1:Q1, MATCH(MAX(B6:Q6), B6:Q6, 0))</f>
        <v>PAULA</v>
      </c>
      <c r="E24" s="32"/>
      <c r="F24" s="31" t="str">
        <f>INDEX(B1:Q1, MATCH(MIN(B6:Q6), B6:Q6, 0))</f>
        <v>SHIZUKA</v>
      </c>
      <c r="G24" s="32"/>
    </row>
    <row r="25" spans="1:17" x14ac:dyDescent="0.3">
      <c r="A25" s="2" t="s">
        <v>39</v>
      </c>
      <c r="B25" s="31">
        <f t="shared" si="0"/>
        <v>7.1333333333333337</v>
      </c>
      <c r="C25" s="32"/>
      <c r="D25" s="31" t="str">
        <f>INDEX(B1:Q1, MATCH(MAX(B7:Q7), B7:Q7, 0))</f>
        <v>MAYUMI</v>
      </c>
      <c r="E25" s="32"/>
      <c r="F25" s="31" t="str">
        <f>INDEX(B1:Q1, MATCH(MIN(B7:Q7), B7:Q7, 0))</f>
        <v>SHIZUKA</v>
      </c>
      <c r="G25" s="32"/>
    </row>
    <row r="26" spans="1:17" x14ac:dyDescent="0.3">
      <c r="A26" s="2" t="s">
        <v>40</v>
      </c>
      <c r="B26" s="31">
        <f t="shared" si="0"/>
        <v>6.8666666666666663</v>
      </c>
      <c r="C26" s="32"/>
      <c r="D26" s="31" t="str">
        <f>INDEX(B1:Q1, MATCH(MAX(B8:Q8), B8:Q8, 0))</f>
        <v>MICA</v>
      </c>
      <c r="E26" s="32"/>
      <c r="F26" s="31" t="str">
        <f>INDEX(B1:Q1, MATCH(MIN(B8:Q8), B8:Q8, 0))</f>
        <v>HIROMI</v>
      </c>
      <c r="G26" s="32"/>
    </row>
    <row r="27" spans="1:17" x14ac:dyDescent="0.3">
      <c r="A27" s="2" t="s">
        <v>41</v>
      </c>
      <c r="B27" s="31">
        <f t="shared" si="0"/>
        <v>7.1333333333333337</v>
      </c>
      <c r="C27" s="32"/>
      <c r="D27" s="31" t="str">
        <f>INDEX(B1:Q1, MATCH(MAX(B9:Q9), B9:Q9, 0))</f>
        <v>SHAYE</v>
      </c>
      <c r="E27" s="32"/>
      <c r="F27" s="31" t="str">
        <f>INDEX(B1:Q1, MATCH(MIN(B9:Q9), B9:Q9, 0))</f>
        <v>PAULA</v>
      </c>
      <c r="G27" s="32"/>
    </row>
    <row r="28" spans="1:17" x14ac:dyDescent="0.3">
      <c r="A28" s="2" t="s">
        <v>42</v>
      </c>
      <c r="B28" s="31">
        <f t="shared" si="0"/>
        <v>7.333333333333333</v>
      </c>
      <c r="C28" s="32"/>
      <c r="D28" s="31" t="str">
        <f>INDEX(B1:Q1, MATCH(MAX(B10:Q10), B10:Q10, 0))</f>
        <v>SHIZUKA</v>
      </c>
      <c r="E28" s="32"/>
      <c r="F28" s="31" t="str">
        <f>INDEX(B1:Q1, MATCH(MIN(B10:Q10), B10:Q10, 0))</f>
        <v>MICA</v>
      </c>
      <c r="G28" s="32"/>
    </row>
    <row r="29" spans="1:17" x14ac:dyDescent="0.3">
      <c r="A29" s="2" t="s">
        <v>43</v>
      </c>
      <c r="B29" s="31">
        <f t="shared" si="0"/>
        <v>8.1333333333333329</v>
      </c>
      <c r="C29" s="32"/>
      <c r="D29" s="31" t="str">
        <f>INDEX(B1:Q1, MATCH(MAX(B11:Q11), B11:Q11, 0))</f>
        <v>SHIINA</v>
      </c>
      <c r="E29" s="32"/>
      <c r="F29" s="31" t="str">
        <f>INDEX(B1:Q1, MATCH(MIN(B11:Q11), B11:Q11, 0))</f>
        <v>EMILY</v>
      </c>
      <c r="G29" s="32"/>
    </row>
    <row r="30" spans="1:17" x14ac:dyDescent="0.3">
      <c r="A30" s="2" t="s">
        <v>44</v>
      </c>
      <c r="B30" s="31">
        <f t="shared" si="0"/>
        <v>6.6</v>
      </c>
      <c r="C30" s="32"/>
      <c r="D30" s="31" t="str">
        <f>INDEX(B1:Q1, MATCH(MAX(B12:Q12), B12:Q12, 0))</f>
        <v>GILLIAN</v>
      </c>
      <c r="E30" s="32"/>
      <c r="F30" s="31" t="str">
        <f>INDEX(B1:Q1, MATCH(MIN(B12:Q12), B12:Q12, 0))</f>
        <v>PAULA</v>
      </c>
      <c r="G30" s="32"/>
    </row>
    <row r="31" spans="1:17" x14ac:dyDescent="0.3">
      <c r="A31" s="2" t="s">
        <v>45</v>
      </c>
      <c r="B31" s="31">
        <f t="shared" si="0"/>
        <v>7.2666666666666666</v>
      </c>
      <c r="C31" s="32"/>
      <c r="D31" s="31" t="str">
        <f>INDEX(B1:Q1, MATCH(MAX(B13:Q13), B13:Q13, 0))</f>
        <v>MAYUMI</v>
      </c>
      <c r="E31" s="32"/>
      <c r="F31" s="31" t="str">
        <f>INDEX(B1:Q1, MATCH(MIN(B13:Q13), B13:Q13, 0))</f>
        <v>PAULA</v>
      </c>
      <c r="G31" s="32"/>
    </row>
    <row r="32" spans="1:17" x14ac:dyDescent="0.3">
      <c r="A32" s="2" t="s">
        <v>46</v>
      </c>
      <c r="B32" s="31">
        <f t="shared" si="0"/>
        <v>7.1333333333333337</v>
      </c>
      <c r="C32" s="32"/>
      <c r="D32" s="31" t="str">
        <f>INDEX(B1:Q1, MATCH(MAX(B14:Q14), B14:Q14, 0))</f>
        <v>MAYUMI</v>
      </c>
      <c r="E32" s="32"/>
      <c r="F32" s="31" t="str">
        <f>INDEX(B1:Q1, MATCH(MIN(B14:Q14), B14:Q14, 0))</f>
        <v>HIROMI</v>
      </c>
      <c r="G32" s="32"/>
    </row>
    <row r="33" spans="1:7" x14ac:dyDescent="0.3">
      <c r="A33" s="2" t="s">
        <v>47</v>
      </c>
      <c r="B33" s="31">
        <f t="shared" si="0"/>
        <v>6.7333333333333334</v>
      </c>
      <c r="C33" s="32"/>
      <c r="D33" s="31" t="str">
        <f>INDEX(B1:Q1, MATCH(MAX(B15:Q15), B15:Q15, 0))</f>
        <v>KATIE</v>
      </c>
      <c r="E33" s="32"/>
      <c r="F33" s="31" t="str">
        <f>INDEX(B1:Q1, MATCH(MIN(B15:Q15), B15:Q15, 0))</f>
        <v>PAULA</v>
      </c>
      <c r="G33" s="32"/>
    </row>
    <row r="34" spans="1:7" x14ac:dyDescent="0.3">
      <c r="A34" s="2" t="s">
        <v>48</v>
      </c>
      <c r="B34" s="31">
        <f t="shared" si="0"/>
        <v>7.1333333333333337</v>
      </c>
      <c r="C34" s="32"/>
      <c r="D34" s="31" t="str">
        <f>INDEX(B1:Q1, MATCH(MAX(B16:Q16), B16:Q16, 0))</f>
        <v>MICA</v>
      </c>
      <c r="E34" s="32"/>
      <c r="F34" s="31" t="str">
        <f>INDEX(B1:Q1, MATCH(MIN(B16:Q16), B16:Q16, 0))</f>
        <v>GILLIAN</v>
      </c>
      <c r="G34" s="32"/>
    </row>
    <row r="35" spans="1:7" x14ac:dyDescent="0.3">
      <c r="A35" s="2" t="s">
        <v>49</v>
      </c>
      <c r="B35" s="31">
        <f t="shared" si="0"/>
        <v>7</v>
      </c>
      <c r="C35" s="32"/>
      <c r="D35" s="31" t="str">
        <f>INDEX(B1:Q1, MATCH(MAX(B17:Q17), B17:Q17, 0))</f>
        <v>LILY</v>
      </c>
      <c r="E35" s="32"/>
      <c r="F35" s="31" t="str">
        <f>INDEX(B1:Q1, MATCH(MIN(B17:Q17), B17:Q17, 0))</f>
        <v>HAYAMI</v>
      </c>
      <c r="G35" s="32"/>
    </row>
  </sheetData>
  <mergeCells count="62">
    <mergeCell ref="F19:G19"/>
    <mergeCell ref="D19:E19"/>
    <mergeCell ref="B19:C19"/>
    <mergeCell ref="B34:C34"/>
    <mergeCell ref="D34:E34"/>
    <mergeCell ref="F34:G34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T8:U8"/>
    <mergeCell ref="T9:U9"/>
    <mergeCell ref="T10:U10"/>
    <mergeCell ref="T11:U11"/>
    <mergeCell ref="T12:U12"/>
    <mergeCell ref="T7:U7"/>
    <mergeCell ref="T3:U3"/>
    <mergeCell ref="T2:U2"/>
    <mergeCell ref="T4:U4"/>
    <mergeCell ref="T5:U5"/>
    <mergeCell ref="T6:U6"/>
  </mergeCells>
  <conditionalFormatting sqref="B2:Q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7785-941A-46D9-B90E-7007470BEA62}">
  <dimension ref="A1:H58"/>
  <sheetViews>
    <sheetView zoomScale="85" zoomScaleNormal="90" workbookViewId="0">
      <selection activeCell="A2" sqref="A2:B17"/>
    </sheetView>
  </sheetViews>
  <sheetFormatPr defaultRowHeight="16.2" x14ac:dyDescent="0.3"/>
  <cols>
    <col min="1" max="1" width="13.33203125" style="1" customWidth="1"/>
    <col min="2" max="2" width="12.77734375" style="1" customWidth="1"/>
    <col min="3" max="3" width="12.88671875" style="1" customWidth="1"/>
    <col min="4" max="4" width="8.88671875" style="1"/>
    <col min="5" max="5" width="12" style="1" customWidth="1"/>
    <col min="6" max="6" width="14.88671875" style="1" customWidth="1"/>
    <col min="7" max="7" width="8.88671875" style="1"/>
    <col min="8" max="8" width="10.88671875" style="1" customWidth="1"/>
    <col min="9" max="9" width="15.33203125" style="1" customWidth="1"/>
    <col min="10" max="16384" width="8.88671875" style="1"/>
  </cols>
  <sheetData>
    <row r="1" spans="1:8" x14ac:dyDescent="0.3">
      <c r="A1" s="8" t="s">
        <v>75</v>
      </c>
      <c r="B1" s="9" t="s">
        <v>79</v>
      </c>
      <c r="C1" s="9" t="s">
        <v>149</v>
      </c>
      <c r="D1" s="9" t="s">
        <v>150</v>
      </c>
      <c r="E1" s="9" t="s">
        <v>151</v>
      </c>
      <c r="G1" s="2" t="s">
        <v>151</v>
      </c>
      <c r="H1" s="2" t="s">
        <v>152</v>
      </c>
    </row>
    <row r="2" spans="1:8" x14ac:dyDescent="0.3">
      <c r="A2" s="22" t="s">
        <v>34</v>
      </c>
      <c r="B2" s="2" t="s">
        <v>80</v>
      </c>
      <c r="C2" s="2">
        <f>AVERAGE(Table134[[#This Row],[ACADEMIC]],Table134[[#This Row],[SOCIAL]],Table134[[#This Row],[STRATEGIC]],Table134[[#This Row],[POWER]],Table134[[#This Row],[DEFENSE]])</f>
        <v>3.8</v>
      </c>
      <c r="D2" s="2">
        <f>RANK(C2,C2:C17,0)</f>
        <v>8</v>
      </c>
      <c r="E2" s="2" t="str">
        <f t="shared" ref="E2:E17" si="0">IF(C2&gt;=PERCENTILE($C$2:$C$17, 0.75), "S", IF(C2&gt;=PERCENTILE($C$2:$C$17, 0.5), "A", IF(C2&gt;=PERCENTILE($C$2:$C$17, 0.25), "B", "C")))</f>
        <v>A</v>
      </c>
      <c r="G2" s="2" t="s">
        <v>153</v>
      </c>
      <c r="H2" s="2">
        <f>COUNTIF($E$2:$E$17, "S")</f>
        <v>4</v>
      </c>
    </row>
    <row r="3" spans="1:8" x14ac:dyDescent="0.3">
      <c r="A3" s="22" t="s">
        <v>35</v>
      </c>
      <c r="B3" s="2" t="s">
        <v>80</v>
      </c>
      <c r="C3" s="2">
        <f>AVERAGE(Table134[[#This Row],[ACADEMIC]],Table134[[#This Row],[SOCIAL]],Table134[[#This Row],[STRATEGIC]],Table134[[#This Row],[POWER]],Table134[[#This Row],[DEFENSE]])</f>
        <v>4</v>
      </c>
      <c r="D3" s="2">
        <f>RANK(C3,C2:C17,0)</f>
        <v>5</v>
      </c>
      <c r="E3" s="2" t="str">
        <f t="shared" si="0"/>
        <v>A</v>
      </c>
      <c r="G3" s="2" t="s">
        <v>154</v>
      </c>
      <c r="H3" s="2">
        <f>COUNTIF($E$2:$E$17, "A")</f>
        <v>6</v>
      </c>
    </row>
    <row r="4" spans="1:8" x14ac:dyDescent="0.3">
      <c r="A4" s="22" t="s">
        <v>36</v>
      </c>
      <c r="B4" s="2" t="s">
        <v>80</v>
      </c>
      <c r="C4" s="2">
        <f>AVERAGE(Table134[[#This Row],[ACADEMIC]],Table134[[#This Row],[SOCIAL]],Table134[[#This Row],[STRATEGIC]],Table134[[#This Row],[POWER]],Table134[[#This Row],[DEFENSE]])</f>
        <v>4.2</v>
      </c>
      <c r="D4" s="2">
        <f>RANK(C4,C2:C17,0)</f>
        <v>4</v>
      </c>
      <c r="E4" s="2" t="str">
        <f t="shared" si="0"/>
        <v>S</v>
      </c>
      <c r="G4" s="2" t="s">
        <v>155</v>
      </c>
      <c r="H4" s="2">
        <f>COUNTIF($E$2:$E$17, "B")</f>
        <v>2</v>
      </c>
    </row>
    <row r="5" spans="1:8" x14ac:dyDescent="0.3">
      <c r="A5" s="22" t="s">
        <v>37</v>
      </c>
      <c r="B5" s="2" t="s">
        <v>80</v>
      </c>
      <c r="C5" s="2">
        <f>AVERAGE(Table134[[#This Row],[ACADEMIC]],Table134[[#This Row],[SOCIAL]],Table134[[#This Row],[STRATEGIC]],Table134[[#This Row],[POWER]],Table134[[#This Row],[DEFENSE]])</f>
        <v>4.4000000000000004</v>
      </c>
      <c r="D5" s="2">
        <f>RANK(C5,C2:C17,0)</f>
        <v>2</v>
      </c>
      <c r="E5" s="2" t="str">
        <f t="shared" si="0"/>
        <v>S</v>
      </c>
      <c r="G5" s="2" t="s">
        <v>156</v>
      </c>
      <c r="H5" s="2">
        <f>COUNTIF($E$2:$E$17, "C")</f>
        <v>4</v>
      </c>
    </row>
    <row r="6" spans="1:8" x14ac:dyDescent="0.3">
      <c r="A6" s="4" t="s">
        <v>38</v>
      </c>
      <c r="B6" s="2" t="s">
        <v>81</v>
      </c>
      <c r="C6" s="2">
        <f>AVERAGE(Table134[[#This Row],[ACADEMIC]],Table134[[#This Row],[SOCIAL]],Table134[[#This Row],[STRATEGIC]],Table134[[#This Row],[POWER]],Table134[[#This Row],[DEFENSE]])</f>
        <v>4.4000000000000004</v>
      </c>
      <c r="D6" s="2">
        <f>RANK(C6,C2:C17,0)</f>
        <v>2</v>
      </c>
      <c r="E6" s="2" t="str">
        <f t="shared" si="0"/>
        <v>S</v>
      </c>
    </row>
    <row r="7" spans="1:8" x14ac:dyDescent="0.3">
      <c r="A7" s="4" t="s">
        <v>39</v>
      </c>
      <c r="B7" s="2" t="s">
        <v>81</v>
      </c>
      <c r="C7" s="2">
        <f>AVERAGE(Table134[[#This Row],[ACADEMIC]],Table134[[#This Row],[SOCIAL]],Table134[[#This Row],[STRATEGIC]],Table134[[#This Row],[POWER]],Table134[[#This Row],[DEFENSE]])</f>
        <v>3.4</v>
      </c>
      <c r="D7" s="2">
        <f>RANK(C7,C2:C17,0)</f>
        <v>11</v>
      </c>
      <c r="E7" s="2" t="str">
        <f t="shared" si="0"/>
        <v>B</v>
      </c>
      <c r="G7" s="2" t="s">
        <v>79</v>
      </c>
      <c r="H7" s="2" t="s">
        <v>157</v>
      </c>
    </row>
    <row r="8" spans="1:8" x14ac:dyDescent="0.3">
      <c r="A8" s="4" t="s">
        <v>40</v>
      </c>
      <c r="B8" s="2" t="s">
        <v>81</v>
      </c>
      <c r="C8" s="2">
        <f>AVERAGE(Table134[[#This Row],[ACADEMIC]],Table134[[#This Row],[SOCIAL]],Table134[[#This Row],[STRATEGIC]],Table134[[#This Row],[POWER]],Table134[[#This Row],[DEFENSE]])</f>
        <v>4</v>
      </c>
      <c r="D8" s="2">
        <f>RANK(C8,C2:C17,0)</f>
        <v>5</v>
      </c>
      <c r="E8" s="2" t="str">
        <f t="shared" si="0"/>
        <v>A</v>
      </c>
      <c r="G8" s="2" t="s">
        <v>80</v>
      </c>
      <c r="H8" s="2">
        <f>SUMIF($B$2:$B$17, "analyst", $C$2:$C$17)</f>
        <v>16.399999999999999</v>
      </c>
    </row>
    <row r="9" spans="1:8" x14ac:dyDescent="0.3">
      <c r="A9" s="4" t="s">
        <v>41</v>
      </c>
      <c r="B9" s="2" t="s">
        <v>81</v>
      </c>
      <c r="C9" s="2">
        <f>AVERAGE(Table134[[#This Row],[ACADEMIC]],Table134[[#This Row],[SOCIAL]],Table134[[#This Row],[STRATEGIC]],Table134[[#This Row],[POWER]],Table134[[#This Row],[DEFENSE]])</f>
        <v>3.2</v>
      </c>
      <c r="D9" s="2">
        <f>RANK(C9,C2:C17,0)</f>
        <v>12</v>
      </c>
      <c r="E9" s="2" t="str">
        <f t="shared" si="0"/>
        <v>B</v>
      </c>
      <c r="G9" s="2" t="s">
        <v>81</v>
      </c>
      <c r="H9" s="2">
        <f>SUMIF($B$2:$B$17, "explorer", $C$2:$C$17)</f>
        <v>15</v>
      </c>
    </row>
    <row r="10" spans="1:8" x14ac:dyDescent="0.3">
      <c r="A10" s="4" t="s">
        <v>42</v>
      </c>
      <c r="B10" s="2" t="s">
        <v>82</v>
      </c>
      <c r="C10" s="2">
        <f>AVERAGE(Table134[[#This Row],[ACADEMIC]],Table134[[#This Row],[SOCIAL]],Table134[[#This Row],[STRATEGIC]],Table134[[#This Row],[POWER]],Table134[[#This Row],[DEFENSE]])</f>
        <v>4</v>
      </c>
      <c r="D10" s="2">
        <f>RANK(C10,C2:C17,0)</f>
        <v>5</v>
      </c>
      <c r="E10" s="2" t="str">
        <f t="shared" si="0"/>
        <v>A</v>
      </c>
      <c r="G10" s="2" t="s">
        <v>82</v>
      </c>
      <c r="H10" s="2">
        <f>SUMIF($B$2:$B$17, "sentinel", $C$2:$C$17)</f>
        <v>15.399999999999999</v>
      </c>
    </row>
    <row r="11" spans="1:8" x14ac:dyDescent="0.3">
      <c r="A11" s="4" t="s">
        <v>43</v>
      </c>
      <c r="B11" s="2" t="s">
        <v>82</v>
      </c>
      <c r="C11" s="2">
        <f>AVERAGE(Table134[[#This Row],[ACADEMIC]],Table134[[#This Row],[SOCIAL]],Table134[[#This Row],[STRATEGIC]],Table134[[#This Row],[POWER]],Table134[[#This Row],[DEFENSE]])</f>
        <v>3.8</v>
      </c>
      <c r="D11" s="2">
        <f>RANK(C11,C2:C17,0)</f>
        <v>8</v>
      </c>
      <c r="E11" s="2" t="str">
        <f t="shared" si="0"/>
        <v>A</v>
      </c>
      <c r="G11" s="2" t="s">
        <v>83</v>
      </c>
      <c r="H11" s="2">
        <f>SUMIF($B$2:$B$17, "diplomat", $C$2:$C$17)</f>
        <v>12.8</v>
      </c>
    </row>
    <row r="12" spans="1:8" x14ac:dyDescent="0.3">
      <c r="A12" s="4" t="s">
        <v>44</v>
      </c>
      <c r="B12" s="2" t="s">
        <v>82</v>
      </c>
      <c r="C12" s="2">
        <f>AVERAGE(Table134[[#This Row],[ACADEMIC]],Table134[[#This Row],[SOCIAL]],Table134[[#This Row],[STRATEGIC]],Table134[[#This Row],[POWER]],Table134[[#This Row],[DEFENSE]])</f>
        <v>4.5999999999999996</v>
      </c>
      <c r="D12" s="2">
        <f>RANK(C12,C2:C17,0)</f>
        <v>1</v>
      </c>
      <c r="E12" s="2" t="str">
        <f t="shared" si="0"/>
        <v>S</v>
      </c>
    </row>
    <row r="13" spans="1:8" x14ac:dyDescent="0.3">
      <c r="A13" s="4" t="s">
        <v>45</v>
      </c>
      <c r="B13" s="2" t="s">
        <v>82</v>
      </c>
      <c r="C13" s="2">
        <f>AVERAGE(Table134[[#This Row],[ACADEMIC]],Table134[[#This Row],[SOCIAL]],Table134[[#This Row],[STRATEGIC]],Table134[[#This Row],[POWER]],Table134[[#This Row],[DEFENSE]])</f>
        <v>3</v>
      </c>
      <c r="D13" s="2">
        <f>RANK(C13,C2:C17,0)</f>
        <v>13</v>
      </c>
      <c r="E13" s="2" t="str">
        <f t="shared" si="0"/>
        <v>C</v>
      </c>
    </row>
    <row r="14" spans="1:8" x14ac:dyDescent="0.3">
      <c r="A14" s="4" t="s">
        <v>46</v>
      </c>
      <c r="B14" s="2" t="s">
        <v>83</v>
      </c>
      <c r="C14" s="2">
        <f>AVERAGE(Table134[[#This Row],[ACADEMIC]],Table134[[#This Row],[SOCIAL]],Table134[[#This Row],[STRATEGIC]],Table134[[#This Row],[POWER]],Table134[[#This Row],[DEFENSE]])</f>
        <v>3</v>
      </c>
      <c r="D14" s="2">
        <f>RANK(C14,C2:C17,0)</f>
        <v>13</v>
      </c>
      <c r="E14" s="2" t="str">
        <f t="shared" si="0"/>
        <v>C</v>
      </c>
    </row>
    <row r="15" spans="1:8" x14ac:dyDescent="0.3">
      <c r="A15" s="4" t="s">
        <v>47</v>
      </c>
      <c r="B15" s="2" t="s">
        <v>83</v>
      </c>
      <c r="C15" s="2">
        <f>AVERAGE(Table134[[#This Row],[ACADEMIC]],Table134[[#This Row],[SOCIAL]],Table134[[#This Row],[STRATEGIC]],Table134[[#This Row],[POWER]],Table134[[#This Row],[DEFENSE]])</f>
        <v>3</v>
      </c>
      <c r="D15" s="2">
        <f>RANK(C15,C2:C17,0)</f>
        <v>13</v>
      </c>
      <c r="E15" s="2" t="str">
        <f t="shared" si="0"/>
        <v>C</v>
      </c>
    </row>
    <row r="16" spans="1:8" x14ac:dyDescent="0.3">
      <c r="A16" s="4" t="s">
        <v>48</v>
      </c>
      <c r="B16" s="2" t="s">
        <v>83</v>
      </c>
      <c r="C16" s="2">
        <f>AVERAGE(Table134[[#This Row],[ACADEMIC]],Table134[[#This Row],[SOCIAL]],Table134[[#This Row],[STRATEGIC]],Table134[[#This Row],[POWER]],Table134[[#This Row],[DEFENSE]])</f>
        <v>3</v>
      </c>
      <c r="D16" s="2">
        <f>RANK(C16,C2:C17,0)</f>
        <v>13</v>
      </c>
      <c r="E16" s="2" t="str">
        <f t="shared" si="0"/>
        <v>C</v>
      </c>
    </row>
    <row r="17" spans="1:5" x14ac:dyDescent="0.3">
      <c r="A17" s="11" t="s">
        <v>49</v>
      </c>
      <c r="B17" s="12" t="s">
        <v>83</v>
      </c>
      <c r="C17" s="12">
        <f>AVERAGE(Table134[[#This Row],[ACADEMIC]],Table134[[#This Row],[SOCIAL]],Table134[[#This Row],[STRATEGIC]],Table134[[#This Row],[POWER]],Table134[[#This Row],[DEFENSE]])</f>
        <v>3.8</v>
      </c>
      <c r="D17" s="12">
        <f>RANK(C17,C2:C17,0)</f>
        <v>8</v>
      </c>
      <c r="E17" s="12" t="str">
        <f t="shared" si="0"/>
        <v>A</v>
      </c>
    </row>
    <row r="42" spans="1:5" ht="16.8" x14ac:dyDescent="0.3">
      <c r="A42" s="29" t="s">
        <v>75</v>
      </c>
      <c r="B42" s="29" t="s">
        <v>79</v>
      </c>
      <c r="C42" s="29" t="s">
        <v>149</v>
      </c>
      <c r="D42" s="29" t="s">
        <v>150</v>
      </c>
      <c r="E42" s="29" t="s">
        <v>151</v>
      </c>
    </row>
    <row r="43" spans="1:5" x14ac:dyDescent="0.3">
      <c r="A43" s="2" t="str" cm="1">
        <f t="array" ref="A43:E58">_xlfn._xlws.SORT(Table7[],3,-1)</f>
        <v>SHIZUKA</v>
      </c>
      <c r="B43" s="2" t="str">
        <v>Sentinel</v>
      </c>
      <c r="C43" s="2">
        <v>4.5999999999999996</v>
      </c>
      <c r="D43" s="2">
        <v>1</v>
      </c>
      <c r="E43" s="2" t="str">
        <v>S</v>
      </c>
    </row>
    <row r="44" spans="1:5" x14ac:dyDescent="0.3">
      <c r="A44" s="2" t="str">
        <v>GILLIAN</v>
      </c>
      <c r="B44" s="2" t="str">
        <v>Analyst</v>
      </c>
      <c r="C44" s="2">
        <v>4.4000000000000004</v>
      </c>
      <c r="D44" s="2">
        <v>2</v>
      </c>
      <c r="E44" s="2" t="str">
        <v>S</v>
      </c>
    </row>
    <row r="45" spans="1:5" x14ac:dyDescent="0.3">
      <c r="A45" s="2" t="str">
        <v>HAYAMI</v>
      </c>
      <c r="B45" s="2" t="str">
        <v>Explorer</v>
      </c>
      <c r="C45" s="2">
        <v>4.4000000000000004</v>
      </c>
      <c r="D45" s="2">
        <v>2</v>
      </c>
      <c r="E45" s="2" t="str">
        <v>S</v>
      </c>
    </row>
    <row r="46" spans="1:5" x14ac:dyDescent="0.3">
      <c r="A46" s="2" t="str">
        <v>MICA</v>
      </c>
      <c r="B46" s="2" t="str">
        <v>Analyst</v>
      </c>
      <c r="C46" s="2">
        <v>4.2</v>
      </c>
      <c r="D46" s="2">
        <v>4</v>
      </c>
      <c r="E46" s="2" t="str">
        <v>S</v>
      </c>
    </row>
    <row r="47" spans="1:5" x14ac:dyDescent="0.3">
      <c r="A47" s="2" t="str">
        <v>HIROMI</v>
      </c>
      <c r="B47" s="2" t="str">
        <v>Analyst</v>
      </c>
      <c r="C47" s="2">
        <v>4</v>
      </c>
      <c r="D47" s="2">
        <v>5</v>
      </c>
      <c r="E47" s="2" t="str">
        <v>A</v>
      </c>
    </row>
    <row r="48" spans="1:5" x14ac:dyDescent="0.3">
      <c r="A48" s="2" t="str">
        <v>SHAYE</v>
      </c>
      <c r="B48" s="2" t="str">
        <v>Explorer</v>
      </c>
      <c r="C48" s="2">
        <v>4</v>
      </c>
      <c r="D48" s="2">
        <v>5</v>
      </c>
      <c r="E48" s="2" t="str">
        <v>A</v>
      </c>
    </row>
    <row r="49" spans="1:5" x14ac:dyDescent="0.3">
      <c r="A49" s="2" t="str">
        <v>CHIYO</v>
      </c>
      <c r="B49" s="2" t="str">
        <v>Sentinel</v>
      </c>
      <c r="C49" s="2">
        <v>4</v>
      </c>
      <c r="D49" s="2">
        <v>5</v>
      </c>
      <c r="E49" s="2" t="str">
        <v>A</v>
      </c>
    </row>
    <row r="50" spans="1:5" x14ac:dyDescent="0.3">
      <c r="A50" s="2" t="str">
        <v>PAULA</v>
      </c>
      <c r="B50" s="2" t="str">
        <v>Analyst</v>
      </c>
      <c r="C50" s="2">
        <v>3.8</v>
      </c>
      <c r="D50" s="2">
        <v>8</v>
      </c>
      <c r="E50" s="2" t="str">
        <v>A</v>
      </c>
    </row>
    <row r="51" spans="1:5" x14ac:dyDescent="0.3">
      <c r="A51" s="2" t="str">
        <v>MAYUMI</v>
      </c>
      <c r="B51" s="2" t="str">
        <v>Sentinel</v>
      </c>
      <c r="C51" s="2">
        <v>3.8</v>
      </c>
      <c r="D51" s="2">
        <v>8</v>
      </c>
      <c r="E51" s="2" t="str">
        <v>A</v>
      </c>
    </row>
    <row r="52" spans="1:5" x14ac:dyDescent="0.3">
      <c r="A52" s="2" t="str">
        <v>HIMIKO</v>
      </c>
      <c r="B52" s="2" t="str">
        <v>Diplomat</v>
      </c>
      <c r="C52" s="2">
        <v>3.8</v>
      </c>
      <c r="D52" s="2">
        <v>8</v>
      </c>
      <c r="E52" s="2" t="str">
        <v>A</v>
      </c>
    </row>
    <row r="53" spans="1:5" x14ac:dyDescent="0.3">
      <c r="A53" s="2" t="str">
        <v>SHIINA</v>
      </c>
      <c r="B53" s="2" t="str">
        <v>Explorer</v>
      </c>
      <c r="C53" s="2">
        <v>3.4</v>
      </c>
      <c r="D53" s="2">
        <v>11</v>
      </c>
      <c r="E53" s="2" t="str">
        <v>B</v>
      </c>
    </row>
    <row r="54" spans="1:5" x14ac:dyDescent="0.3">
      <c r="A54" s="2" t="str">
        <v>THERESA</v>
      </c>
      <c r="B54" s="2" t="str">
        <v>Explorer</v>
      </c>
      <c r="C54" s="2">
        <v>3.2</v>
      </c>
      <c r="D54" s="2">
        <v>12</v>
      </c>
      <c r="E54" s="2" t="str">
        <v>B</v>
      </c>
    </row>
    <row r="55" spans="1:5" x14ac:dyDescent="0.3">
      <c r="A55" s="2" t="str">
        <v>LILY</v>
      </c>
      <c r="B55" s="2" t="str">
        <v>Sentinel</v>
      </c>
      <c r="C55" s="2">
        <v>3</v>
      </c>
      <c r="D55" s="2">
        <v>13</v>
      </c>
      <c r="E55" s="2" t="str">
        <v>C</v>
      </c>
    </row>
    <row r="56" spans="1:5" x14ac:dyDescent="0.3">
      <c r="A56" s="2" t="str">
        <v>KATIE</v>
      </c>
      <c r="B56" s="2" t="str">
        <v>Diplomat</v>
      </c>
      <c r="C56" s="2">
        <v>3</v>
      </c>
      <c r="D56" s="2">
        <v>13</v>
      </c>
      <c r="E56" s="2" t="str">
        <v>C</v>
      </c>
    </row>
    <row r="57" spans="1:5" x14ac:dyDescent="0.3">
      <c r="A57" s="2" t="str">
        <v>SONIA</v>
      </c>
      <c r="B57" s="2" t="str">
        <v>Diplomat</v>
      </c>
      <c r="C57" s="2">
        <v>3</v>
      </c>
      <c r="D57" s="2">
        <v>13</v>
      </c>
      <c r="E57" s="2" t="str">
        <v>C</v>
      </c>
    </row>
    <row r="58" spans="1:5" x14ac:dyDescent="0.3">
      <c r="A58" s="2" t="str">
        <v>EMILY</v>
      </c>
      <c r="B58" s="2" t="str">
        <v>Diplomat</v>
      </c>
      <c r="C58" s="2">
        <v>3</v>
      </c>
      <c r="D58" s="2">
        <v>13</v>
      </c>
      <c r="E58" s="2" t="str">
        <v>C</v>
      </c>
    </row>
  </sheetData>
  <conditionalFormatting sqref="E1:E17">
    <cfRule type="containsText" dxfId="7" priority="5" operator="containsText" text="c">
      <formula>NOT(ISERROR(SEARCH("c",E1)))</formula>
    </cfRule>
    <cfRule type="containsText" dxfId="6" priority="6" operator="containsText" text="B">
      <formula>NOT(ISERROR(SEARCH("B",E1)))</formula>
    </cfRule>
    <cfRule type="containsText" dxfId="5" priority="7" operator="containsText" text="A">
      <formula>NOT(ISERROR(SEARCH("A",E1)))</formula>
    </cfRule>
    <cfRule type="containsText" dxfId="4" priority="8" operator="containsText" text="S">
      <formula>NOT(ISERROR(SEARCH("S",E1)))</formula>
    </cfRule>
  </conditionalFormatting>
  <conditionalFormatting sqref="E42">
    <cfRule type="containsText" dxfId="3" priority="1" operator="containsText" text="c">
      <formula>NOT(ISERROR(SEARCH("c",E42)))</formula>
    </cfRule>
    <cfRule type="containsText" dxfId="2" priority="2" operator="containsText" text="B">
      <formula>NOT(ISERROR(SEARCH("B",E42)))</formula>
    </cfRule>
    <cfRule type="containsText" dxfId="1" priority="3" operator="containsText" text="A">
      <formula>NOT(ISERROR(SEARCH("A",E42)))</formula>
    </cfRule>
    <cfRule type="containsText" dxfId="0" priority="4" operator="containsText" text="S">
      <formula>NOT(ISERROR(SEARCH("S",E42)))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8CE1-9016-4475-A383-BCD24A92B57E}">
  <dimension ref="A1:Q12"/>
  <sheetViews>
    <sheetView zoomScale="81" zoomScaleNormal="111" workbookViewId="0">
      <selection activeCell="X60" sqref="X60"/>
    </sheetView>
  </sheetViews>
  <sheetFormatPr defaultRowHeight="16.2" x14ac:dyDescent="0.3"/>
  <cols>
    <col min="1" max="1" width="19.88671875" style="1" customWidth="1"/>
    <col min="2" max="17" width="10.109375" style="1" customWidth="1"/>
    <col min="18" max="16384" width="8.88671875" style="1"/>
  </cols>
  <sheetData>
    <row r="1" spans="1:17" x14ac:dyDescent="0.3">
      <c r="A1" s="2" t="s">
        <v>158</v>
      </c>
      <c r="B1" s="16" t="s">
        <v>34</v>
      </c>
      <c r="C1" s="16" t="s">
        <v>35</v>
      </c>
      <c r="D1" s="16" t="s">
        <v>36</v>
      </c>
      <c r="E1" s="16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</row>
    <row r="2" spans="1:17" x14ac:dyDescent="0.3">
      <c r="A2" s="2" t="s">
        <v>89</v>
      </c>
      <c r="B2" s="2">
        <v>75</v>
      </c>
      <c r="C2" s="2">
        <v>80</v>
      </c>
      <c r="D2" s="2">
        <v>70</v>
      </c>
      <c r="E2" s="2">
        <v>90</v>
      </c>
      <c r="F2" s="2">
        <v>95</v>
      </c>
      <c r="G2" s="2">
        <v>70</v>
      </c>
      <c r="H2" s="2">
        <v>88</v>
      </c>
      <c r="I2" s="2">
        <v>60</v>
      </c>
      <c r="J2" s="2">
        <v>78</v>
      </c>
      <c r="K2" s="2">
        <v>75</v>
      </c>
      <c r="L2" s="2">
        <v>92</v>
      </c>
      <c r="M2" s="2">
        <v>55</v>
      </c>
      <c r="N2" s="2">
        <v>72</v>
      </c>
      <c r="O2" s="2">
        <v>60</v>
      </c>
      <c r="P2" s="2">
        <v>55</v>
      </c>
      <c r="Q2" s="2">
        <v>65</v>
      </c>
    </row>
    <row r="3" spans="1:17" x14ac:dyDescent="0.3">
      <c r="A3" s="2" t="s">
        <v>160</v>
      </c>
      <c r="B3" s="2">
        <v>90</v>
      </c>
      <c r="C3" s="2">
        <v>95</v>
      </c>
      <c r="D3" s="2">
        <v>85</v>
      </c>
      <c r="E3" s="2">
        <v>80</v>
      </c>
      <c r="F3" s="2">
        <v>70</v>
      </c>
      <c r="G3" s="2">
        <v>65</v>
      </c>
      <c r="H3" s="2">
        <v>50</v>
      </c>
      <c r="I3" s="2">
        <v>45</v>
      </c>
      <c r="J3" s="2">
        <v>85</v>
      </c>
      <c r="K3" s="2">
        <v>60</v>
      </c>
      <c r="L3" s="2">
        <v>65</v>
      </c>
      <c r="M3" s="2">
        <v>50</v>
      </c>
      <c r="N3" s="2">
        <v>80</v>
      </c>
      <c r="O3" s="2">
        <v>88</v>
      </c>
      <c r="P3" s="2">
        <v>85</v>
      </c>
      <c r="Q3" s="2">
        <v>78</v>
      </c>
    </row>
    <row r="4" spans="1:17" x14ac:dyDescent="0.3">
      <c r="A4" s="2" t="s">
        <v>159</v>
      </c>
      <c r="B4" s="2">
        <v>80</v>
      </c>
      <c r="C4" s="2">
        <v>75</v>
      </c>
      <c r="D4" s="2">
        <v>88</v>
      </c>
      <c r="E4" s="2">
        <v>85</v>
      </c>
      <c r="F4" s="2">
        <v>98</v>
      </c>
      <c r="G4" s="2">
        <v>78</v>
      </c>
      <c r="H4" s="2">
        <v>85</v>
      </c>
      <c r="I4" s="2">
        <v>80</v>
      </c>
      <c r="J4" s="2">
        <v>70</v>
      </c>
      <c r="K4" s="2">
        <v>72</v>
      </c>
      <c r="L4" s="2">
        <v>80</v>
      </c>
      <c r="M4" s="2">
        <v>70</v>
      </c>
      <c r="N4" s="2">
        <v>60</v>
      </c>
      <c r="O4" s="2">
        <v>72</v>
      </c>
      <c r="P4" s="2">
        <v>78</v>
      </c>
      <c r="Q4" s="2">
        <v>70</v>
      </c>
    </row>
    <row r="5" spans="1:17" x14ac:dyDescent="0.3">
      <c r="A5" s="2" t="s">
        <v>161</v>
      </c>
      <c r="B5" s="2">
        <v>45</v>
      </c>
      <c r="C5" s="2">
        <v>40</v>
      </c>
      <c r="D5" s="2">
        <v>80</v>
      </c>
      <c r="E5" s="2">
        <v>75</v>
      </c>
      <c r="F5" s="2">
        <v>55</v>
      </c>
      <c r="G5" s="2">
        <v>50</v>
      </c>
      <c r="H5" s="2">
        <v>65</v>
      </c>
      <c r="I5" s="2">
        <v>75</v>
      </c>
      <c r="J5" s="2">
        <v>45</v>
      </c>
      <c r="K5" s="2">
        <v>50</v>
      </c>
      <c r="L5" s="2">
        <v>70</v>
      </c>
      <c r="M5" s="2">
        <v>88</v>
      </c>
      <c r="N5" s="2">
        <v>55</v>
      </c>
      <c r="O5" s="2">
        <v>50</v>
      </c>
      <c r="P5" s="2">
        <v>78</v>
      </c>
      <c r="Q5" s="2">
        <v>88</v>
      </c>
    </row>
    <row r="6" spans="1:17" x14ac:dyDescent="0.3">
      <c r="A6" s="2" t="s">
        <v>162</v>
      </c>
      <c r="B6" s="2">
        <v>20</v>
      </c>
      <c r="C6" s="2">
        <v>20</v>
      </c>
      <c r="D6" s="2">
        <v>85</v>
      </c>
      <c r="E6" s="2">
        <v>80</v>
      </c>
      <c r="F6" s="2">
        <v>35</v>
      </c>
      <c r="G6" s="2">
        <v>25</v>
      </c>
      <c r="H6" s="2">
        <v>85</v>
      </c>
      <c r="I6" s="2">
        <v>88</v>
      </c>
      <c r="J6" s="2">
        <v>25</v>
      </c>
      <c r="K6" s="2">
        <v>20</v>
      </c>
      <c r="L6" s="2">
        <v>80</v>
      </c>
      <c r="M6" s="2">
        <v>88</v>
      </c>
      <c r="N6" s="2">
        <v>25</v>
      </c>
      <c r="O6" s="2">
        <v>20</v>
      </c>
      <c r="P6" s="2">
        <v>85</v>
      </c>
      <c r="Q6" s="2">
        <v>88</v>
      </c>
    </row>
    <row r="7" spans="1:17" x14ac:dyDescent="0.3">
      <c r="A7" s="2" t="s">
        <v>163</v>
      </c>
      <c r="B7" s="2">
        <v>25</v>
      </c>
      <c r="C7" s="2">
        <v>20</v>
      </c>
      <c r="D7" s="2">
        <v>75</v>
      </c>
      <c r="E7" s="2">
        <v>60</v>
      </c>
      <c r="F7" s="2">
        <v>35</v>
      </c>
      <c r="G7" s="2">
        <v>50</v>
      </c>
      <c r="H7" s="2">
        <v>70</v>
      </c>
      <c r="I7" s="2">
        <v>90</v>
      </c>
      <c r="J7" s="2">
        <v>40</v>
      </c>
      <c r="K7" s="2">
        <v>55</v>
      </c>
      <c r="L7" s="2">
        <v>65</v>
      </c>
      <c r="M7" s="2">
        <v>95</v>
      </c>
      <c r="N7" s="2">
        <v>45</v>
      </c>
      <c r="O7" s="2">
        <v>40</v>
      </c>
      <c r="P7" s="2">
        <v>80</v>
      </c>
      <c r="Q7" s="2">
        <v>90</v>
      </c>
    </row>
    <row r="8" spans="1:17" x14ac:dyDescent="0.3">
      <c r="A8" s="2" t="s">
        <v>164</v>
      </c>
      <c r="B8" s="2">
        <v>35</v>
      </c>
      <c r="C8" s="2">
        <v>25</v>
      </c>
      <c r="D8" s="2">
        <v>40</v>
      </c>
      <c r="E8" s="2">
        <v>30</v>
      </c>
      <c r="F8" s="2">
        <v>45</v>
      </c>
      <c r="G8" s="2">
        <v>80</v>
      </c>
      <c r="H8" s="2">
        <v>30</v>
      </c>
      <c r="I8" s="2">
        <v>75</v>
      </c>
      <c r="J8" s="2">
        <v>50</v>
      </c>
      <c r="K8" s="2">
        <v>90</v>
      </c>
      <c r="L8" s="2">
        <v>25</v>
      </c>
      <c r="M8" s="2">
        <v>88</v>
      </c>
      <c r="N8" s="2">
        <v>95</v>
      </c>
      <c r="O8" s="2">
        <v>88</v>
      </c>
      <c r="P8" s="2">
        <v>80</v>
      </c>
      <c r="Q8" s="2">
        <v>85</v>
      </c>
    </row>
    <row r="9" spans="1:17" x14ac:dyDescent="0.3">
      <c r="A9" s="2" t="s">
        <v>165</v>
      </c>
      <c r="B9" s="2">
        <v>60</v>
      </c>
      <c r="C9" s="2">
        <v>70</v>
      </c>
      <c r="D9" s="2">
        <v>35</v>
      </c>
      <c r="E9" s="2">
        <v>55</v>
      </c>
      <c r="F9" s="2">
        <v>65</v>
      </c>
      <c r="G9" s="2">
        <v>65</v>
      </c>
      <c r="H9" s="2">
        <v>30</v>
      </c>
      <c r="I9" s="2">
        <v>40</v>
      </c>
      <c r="J9" s="2">
        <v>88</v>
      </c>
      <c r="K9" s="2">
        <v>80</v>
      </c>
      <c r="L9" s="2">
        <v>50</v>
      </c>
      <c r="M9" s="2">
        <v>45</v>
      </c>
      <c r="N9" s="2">
        <v>40</v>
      </c>
      <c r="O9" s="2">
        <v>70</v>
      </c>
      <c r="P9" s="2">
        <v>25</v>
      </c>
      <c r="Q9" s="2">
        <v>55</v>
      </c>
    </row>
    <row r="10" spans="1:17" x14ac:dyDescent="0.3">
      <c r="A10" s="2" t="s">
        <v>166</v>
      </c>
      <c r="B10" s="2">
        <v>65</v>
      </c>
      <c r="C10" s="2">
        <v>80</v>
      </c>
      <c r="D10" s="2">
        <v>45</v>
      </c>
      <c r="E10" s="2">
        <v>75</v>
      </c>
      <c r="F10" s="2">
        <v>60</v>
      </c>
      <c r="G10" s="2">
        <v>70</v>
      </c>
      <c r="H10" s="2">
        <v>35</v>
      </c>
      <c r="I10" s="2">
        <v>45</v>
      </c>
      <c r="J10" s="2">
        <v>90</v>
      </c>
      <c r="K10" s="2">
        <v>85</v>
      </c>
      <c r="L10" s="2">
        <v>70</v>
      </c>
      <c r="M10" s="2">
        <v>65</v>
      </c>
      <c r="N10" s="2">
        <v>55</v>
      </c>
      <c r="O10" s="2">
        <v>65</v>
      </c>
      <c r="P10" s="2">
        <v>30</v>
      </c>
      <c r="Q10" s="2">
        <v>65</v>
      </c>
    </row>
    <row r="11" spans="1:17" x14ac:dyDescent="0.3">
      <c r="A11" s="2" t="s">
        <v>167</v>
      </c>
      <c r="B11" s="2">
        <v>95</v>
      </c>
      <c r="C11" s="2">
        <v>98</v>
      </c>
      <c r="D11" s="2">
        <v>85</v>
      </c>
      <c r="E11" s="2">
        <v>88</v>
      </c>
      <c r="F11" s="2">
        <v>80</v>
      </c>
      <c r="G11" s="2">
        <v>60</v>
      </c>
      <c r="H11" s="2">
        <v>60</v>
      </c>
      <c r="I11" s="2">
        <v>45</v>
      </c>
      <c r="J11" s="2">
        <v>75</v>
      </c>
      <c r="K11" s="2">
        <v>65</v>
      </c>
      <c r="L11" s="2">
        <v>78</v>
      </c>
      <c r="M11" s="2">
        <v>50</v>
      </c>
      <c r="N11" s="2">
        <v>55</v>
      </c>
      <c r="O11" s="2">
        <v>85</v>
      </c>
      <c r="P11" s="2">
        <v>55</v>
      </c>
      <c r="Q11" s="2">
        <v>60</v>
      </c>
    </row>
    <row r="12" spans="1:17" x14ac:dyDescent="0.3">
      <c r="A12" s="2" t="s">
        <v>168</v>
      </c>
      <c r="B12" s="2">
        <v>55</v>
      </c>
      <c r="C12" s="2">
        <v>65</v>
      </c>
      <c r="D12" s="2">
        <v>88</v>
      </c>
      <c r="E12" s="2">
        <v>95</v>
      </c>
      <c r="F12" s="2">
        <v>75</v>
      </c>
      <c r="G12" s="2">
        <v>45</v>
      </c>
      <c r="H12" s="2">
        <v>88</v>
      </c>
      <c r="I12" s="2">
        <v>70</v>
      </c>
      <c r="J12" s="2">
        <v>60</v>
      </c>
      <c r="K12" s="2">
        <v>40</v>
      </c>
      <c r="L12" s="2">
        <v>95</v>
      </c>
      <c r="M12" s="2">
        <v>70</v>
      </c>
      <c r="N12" s="2">
        <v>35</v>
      </c>
      <c r="O12" s="2">
        <v>55</v>
      </c>
      <c r="P12" s="2">
        <v>65</v>
      </c>
      <c r="Q12" s="2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Elements</vt:lpstr>
      <vt:lpstr>Characters</vt:lpstr>
      <vt:lpstr>Stats</vt:lpstr>
      <vt:lpstr>Stats_full</vt:lpstr>
      <vt:lpstr>Battle</vt:lpstr>
      <vt:lpstr>Fusion</vt:lpstr>
      <vt:lpstr>Fusion_stats</vt:lpstr>
      <vt:lpstr>Relationship</vt:lpstr>
      <vt:lpstr>Chart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2026-03-11T12:43:27Z</dcterms:created>
  <dcterms:modified xsi:type="dcterms:W3CDTF">2026-04-02T05:20:49Z</dcterms:modified>
</cp:coreProperties>
</file>