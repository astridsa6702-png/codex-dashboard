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a493edff0b5f7e/Documents/"/>
    </mc:Choice>
  </mc:AlternateContent>
  <xr:revisionPtr revIDLastSave="1013" documentId="14_{33A394E6-8604-48B1-9562-717354D78C6D}" xr6:coauthVersionLast="47" xr6:coauthVersionMax="47" xr10:uidLastSave="{18531A94-262B-4722-AE20-4893391AE8A6}"/>
  <bookViews>
    <workbookView xWindow="-108" yWindow="-108" windowWidth="23256" windowHeight="12456" activeTab="7" xr2:uid="{D6DDDB0E-552A-48C1-A660-E2DEAB0AC6C1}"/>
  </bookViews>
  <sheets>
    <sheet name="Characters" sheetId="1" r:id="rId1"/>
    <sheet name="Stats" sheetId="2" r:id="rId2"/>
    <sheet name="StatDB" sheetId="3" r:id="rId3"/>
    <sheet name="Skill Tree" sheetId="4" r:id="rId4"/>
    <sheet name="Log" sheetId="9" r:id="rId5"/>
    <sheet name="SkillDB" sheetId="5" r:id="rId6"/>
    <sheet name="Battle" sheetId="10" r:id="rId7"/>
    <sheet name="BattleDB" sheetId="11" r:id="rId8"/>
    <sheet name="EventDB" sheetId="12" r:id="rId9"/>
    <sheet name="EventLog" sheetId="14" r:id="rId10"/>
    <sheet name="Event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" i="13" l="1" a="1"/>
  <c r="G1" i="13" s="1"/>
  <c r="B2" i="13"/>
  <c r="A6" i="13" a="1"/>
  <c r="A6" i="13" s="1"/>
  <c r="E6" i="13" a="1"/>
  <c r="E6" i="13" s="1"/>
  <c r="B7" i="10"/>
  <c r="D7" i="10"/>
  <c r="D6" i="10"/>
  <c r="B6" i="10"/>
  <c r="D4" i="10"/>
  <c r="D5" i="10" s="1"/>
  <c r="B4" i="10"/>
  <c r="B5" i="10" s="1"/>
  <c r="D3" i="10"/>
  <c r="B3" i="10"/>
  <c r="B2" i="2"/>
  <c r="B2" i="4" s="1"/>
  <c r="B1" i="4"/>
  <c r="E5" i="4" s="1" a="1"/>
  <c r="E5" i="4" s="1"/>
  <c r="B3" i="2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6" i="13" l="1" a="1"/>
  <c r="B6" i="13" s="1"/>
  <c r="C6" i="13" a="1"/>
  <c r="C6" i="13" s="1"/>
  <c r="D6" i="13" a="1"/>
  <c r="D6" i="13" s="1"/>
  <c r="B4" i="2"/>
  <c r="D1" i="2" s="1"/>
  <c r="B5" i="4" a="1"/>
  <c r="B5" i="4" s="1"/>
  <c r="C5" i="4" a="1"/>
  <c r="D7" i="4" s="1"/>
  <c r="A5" i="4" a="1"/>
  <c r="A5" i="4" s="1"/>
  <c r="D8" i="2"/>
  <c r="D9" i="2"/>
  <c r="D14" i="2"/>
  <c r="D13" i="2"/>
  <c r="D12" i="2"/>
  <c r="D17" i="2"/>
  <c r="D16" i="2"/>
  <c r="D10" i="2"/>
  <c r="D18" i="2"/>
  <c r="D15" i="2"/>
  <c r="D11" i="2"/>
  <c r="C5" i="4" l="1"/>
  <c r="D5" i="4" s="1"/>
  <c r="D9" i="4"/>
  <c r="D10" i="4"/>
  <c r="D11" i="4"/>
  <c r="D12" i="4"/>
  <c r="D13" i="4"/>
  <c r="D14" i="4"/>
  <c r="D15" i="4"/>
  <c r="D16" i="4"/>
  <c r="D8" i="4"/>
  <c r="D6" i="4"/>
  <c r="B18" i="4"/>
  <c r="D18" i="4" l="1"/>
  <c r="B20" i="4"/>
  <c r="B19" i="4"/>
  <c r="B2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<sst xmlns="http://schemas.openxmlformats.org/spreadsheetml/2006/main" count="1723" uniqueCount="1015">
  <si>
    <t>Name</t>
  </si>
  <si>
    <t>Group</t>
  </si>
  <si>
    <t>MBTI</t>
  </si>
  <si>
    <t>Level</t>
  </si>
  <si>
    <t>XP</t>
  </si>
  <si>
    <t>PAULA</t>
  </si>
  <si>
    <t>Analyst</t>
  </si>
  <si>
    <t>HIROMI</t>
  </si>
  <si>
    <t>MICA</t>
  </si>
  <si>
    <t>GILLIAN</t>
  </si>
  <si>
    <t>HAYAMI</t>
  </si>
  <si>
    <t>Explorer</t>
  </si>
  <si>
    <t>SHIINA</t>
  </si>
  <si>
    <t>SHAYE</t>
  </si>
  <si>
    <t>THERESA</t>
  </si>
  <si>
    <t>CHIYO</t>
  </si>
  <si>
    <t>Sentinel</t>
  </si>
  <si>
    <t>MAYUMI</t>
  </si>
  <si>
    <t>SHIZUKA</t>
  </si>
  <si>
    <t>LILY</t>
  </si>
  <si>
    <t>KATIE</t>
  </si>
  <si>
    <t>Diplomat</t>
  </si>
  <si>
    <t>SONIA</t>
  </si>
  <si>
    <t>EMILY</t>
  </si>
  <si>
    <t>HIMIKO</t>
  </si>
  <si>
    <t>ANALYST</t>
  </si>
  <si>
    <t>INTP</t>
  </si>
  <si>
    <t>INTJ</t>
  </si>
  <si>
    <t>ENTP</t>
  </si>
  <si>
    <t>ENTJ</t>
  </si>
  <si>
    <t>EXPLORER</t>
  </si>
  <si>
    <t>ISTP</t>
  </si>
  <si>
    <t>ISFP</t>
  </si>
  <si>
    <t>ESTP</t>
  </si>
  <si>
    <t>ESFP</t>
  </si>
  <si>
    <t>SENTINEL</t>
  </si>
  <si>
    <t>ISTJ</t>
  </si>
  <si>
    <t>ISFJ</t>
  </si>
  <si>
    <t>ESTJ</t>
  </si>
  <si>
    <t>ESFJ</t>
  </si>
  <si>
    <t>DIPLOMAT</t>
  </si>
  <si>
    <t>INFP</t>
  </si>
  <si>
    <t>INFJ</t>
  </si>
  <si>
    <t>ENFP</t>
  </si>
  <si>
    <t>ENFJ</t>
  </si>
  <si>
    <t>Power</t>
  </si>
  <si>
    <t>Visionary</t>
  </si>
  <si>
    <t>Resourcefulness</t>
  </si>
  <si>
    <t>Communication</t>
  </si>
  <si>
    <t>Extraversion</t>
  </si>
  <si>
    <t>Empathy</t>
  </si>
  <si>
    <t>Conscientiousness</t>
  </si>
  <si>
    <t>Rationality</t>
  </si>
  <si>
    <t>Assurance</t>
  </si>
  <si>
    <t>Character</t>
  </si>
  <si>
    <t>XP to next</t>
  </si>
  <si>
    <t>Stat</t>
  </si>
  <si>
    <t>Base</t>
  </si>
  <si>
    <t>Growth</t>
  </si>
  <si>
    <t>Current</t>
  </si>
  <si>
    <t>Socialibility</t>
  </si>
  <si>
    <t>Self-Control</t>
  </si>
  <si>
    <t>Progress</t>
  </si>
  <si>
    <t>NAME</t>
  </si>
  <si>
    <t>Skill Name</t>
  </si>
  <si>
    <t>Type</t>
  </si>
  <si>
    <t>Unlock Level</t>
  </si>
  <si>
    <t>Status</t>
  </si>
  <si>
    <t>Description</t>
  </si>
  <si>
    <t>Analytical Eye</t>
  </si>
  <si>
    <t>Fracture Surge I</t>
  </si>
  <si>
    <t>Theory Mastery</t>
  </si>
  <si>
    <t>Cold Logic</t>
  </si>
  <si>
    <t>Fracture Surge II</t>
  </si>
  <si>
    <t>Pattern Recognition</t>
  </si>
  <si>
    <t>Internal Collapse</t>
  </si>
  <si>
    <t>Detachment Field</t>
  </si>
  <si>
    <t>Fracture Surge III</t>
  </si>
  <si>
    <t>Dimensional Deconstruct</t>
  </si>
  <si>
    <t>Omniscient Theorem</t>
  </si>
  <si>
    <t>Passive</t>
  </si>
  <si>
    <t>Combat</t>
  </si>
  <si>
    <t>Ultimate</t>
  </si>
  <si>
    <t>Total Skills:</t>
  </si>
  <si>
    <t>Unlocked:</t>
  </si>
  <si>
    <t>Completion:</t>
  </si>
  <si>
    <t>Locked:</t>
  </si>
  <si>
    <t>Paula</t>
  </si>
  <si>
    <t>Basic internal rupture strike</t>
  </si>
  <si>
    <t>Abstract thinking accelerates</t>
  </si>
  <si>
    <t>Emotional disruption resistance</t>
  </si>
  <si>
    <t>Delayed secondary fracture added</t>
  </si>
  <si>
    <t>Predict opponent movements</t>
  </si>
  <si>
    <t>Full structural dismantling strike</t>
  </si>
  <si>
    <t>Immune to psychological attacks</t>
  </si>
  <si>
    <t>Triple fracture detonation</t>
  </si>
  <si>
    <t>All stats amplified by logic</t>
  </si>
  <si>
    <t>Void Theorem</t>
  </si>
  <si>
    <t>Deconstruct reality around target</t>
  </si>
  <si>
    <t>Perfect prediction of all outcomes</t>
  </si>
  <si>
    <t>System Architect</t>
  </si>
  <si>
    <t>Gravity Rend I</t>
  </si>
  <si>
    <t>Blueprint Mind</t>
  </si>
  <si>
    <t>Cold Skeptic</t>
  </si>
  <si>
    <t>Gravity Rend II</t>
  </si>
  <si>
    <t>Inevitable Design</t>
  </si>
  <si>
    <t>Implosion Field</t>
  </si>
  <si>
    <t>Engineered Fate</t>
  </si>
  <si>
    <t>Gravity Rend III</t>
  </si>
  <si>
    <t>Silent Collapse</t>
  </si>
  <si>
    <t>Singularity Pull</t>
  </si>
  <si>
    <t>Event Horizon</t>
  </si>
  <si>
    <t>Hiromi</t>
  </si>
  <si>
    <t>Event</t>
  </si>
  <si>
    <t>attacks</t>
  </si>
  <si>
    <t>Gillian</t>
  </si>
  <si>
    <t>TYPE</t>
  </si>
  <si>
    <t>DESCRIPTION</t>
  </si>
  <si>
    <t>Mica</t>
  </si>
  <si>
    <t>Hayami</t>
  </si>
  <si>
    <t>Shiina</t>
  </si>
  <si>
    <t>Shaye</t>
  </si>
  <si>
    <t>Theresa</t>
  </si>
  <si>
    <t>Chiyo</t>
  </si>
  <si>
    <t>Mayumi</t>
  </si>
  <si>
    <t>Unbreakable</t>
  </si>
  <si>
    <t>Shizuka</t>
  </si>
  <si>
    <t>Conqueror</t>
  </si>
  <si>
    <t>Lily</t>
  </si>
  <si>
    <t>Katie</t>
  </si>
  <si>
    <t>Cornered</t>
  </si>
  <si>
    <t>Sonia</t>
  </si>
  <si>
    <t>Emily</t>
  </si>
  <si>
    <t>Himiko</t>
  </si>
  <si>
    <t>SKILL NAME</t>
  </si>
  <si>
    <t>UNLOCK LEVEL</t>
  </si>
  <si>
    <t>Observe patterns others miss</t>
  </si>
  <si>
    <t>Build unbreakable mental models</t>
  </si>
  <si>
    <t>Basic gravitational fracture</t>
  </si>
  <si>
    <t>Long term planning mastery</t>
  </si>
  <si>
    <t>Resist manipulation attempts</t>
  </si>
  <si>
    <t>Compressed sphere of gravity</t>
  </si>
  <si>
    <t>Plans execute with 20% more force</t>
  </si>
  <si>
    <t>Structures collapse inward</t>
  </si>
  <si>
    <t>Predict enemy strategy perfectly</t>
  </si>
  <si>
    <t>Gravity spike detonation</t>
  </si>
  <si>
    <t>Move without detection</t>
  </si>
  <si>
    <t>Collapse everything in radius</t>
  </si>
  <si>
    <t>Gravitational annihilation field</t>
  </si>
  <si>
    <t>Debate Instinct</t>
  </si>
  <si>
    <t>Read opponent weaknesses instantly</t>
  </si>
  <si>
    <t>Adaptive Mutation I</t>
  </si>
  <si>
    <t>Copy basic ability elements</t>
  </si>
  <si>
    <t>Chaos Theory</t>
  </si>
  <si>
    <t>Unpredictability becomes strength</t>
  </si>
  <si>
    <t>Button Pusher</t>
  </si>
  <si>
    <t>Provocation reduces enemy focus</t>
  </si>
  <si>
    <t>Adaptive Mutation II</t>
  </si>
  <si>
    <t>Replicate full ability structures</t>
  </si>
  <si>
    <t>Counter Form</t>
  </si>
  <si>
    <t>Adapted forms hit 25% harder</t>
  </si>
  <si>
    <t>Evolution Burst</t>
  </si>
  <si>
    <t>Rapid multi-adaptation sequence</t>
  </si>
  <si>
    <t>Infinite Arsenal</t>
  </si>
  <si>
    <t>No limit on stored adaptations</t>
  </si>
  <si>
    <t>Adaptive Mutation III</t>
  </si>
  <si>
    <t>Perfect counter-form generation</t>
  </si>
  <si>
    <t>Apex Predator</t>
  </si>
  <si>
    <t>Strongest adaptation locks in</t>
  </si>
  <si>
    <t>Mutation Singularity</t>
  </si>
  <si>
    <t>Become the perfect counter entity</t>
  </si>
  <si>
    <t>Omega Evolution</t>
  </si>
  <si>
    <t>Surpass original ability entirely</t>
  </si>
  <si>
    <t>Command Presence</t>
  </si>
  <si>
    <t>Intimidate enemies on sight</t>
  </si>
  <si>
    <t>Ruin Pulse I</t>
  </si>
  <si>
    <t>Basic rupture burst on strike</t>
  </si>
  <si>
    <t>Iron Will</t>
  </si>
  <si>
    <t>Damage resistance amplified</t>
  </si>
  <si>
    <t>Battlefield Control</t>
  </si>
  <si>
    <t>Coordinate attacks with allies</t>
  </si>
  <si>
    <t>Ruin Pulse II</t>
  </si>
  <si>
    <t>Shockwave tears through defense</t>
  </si>
  <si>
    <t>Dominance Aura</t>
  </si>
  <si>
    <t>Enemies hesitate near Gillian</t>
  </si>
  <si>
    <t>Catastrophic Strike</t>
  </si>
  <si>
    <t>Maximum detonation on impact</t>
  </si>
  <si>
    <t>Tactical Supremacy</t>
  </si>
  <si>
    <t>Always acts optimally under pressure</t>
  </si>
  <si>
    <t>Ruin Pulse III</t>
  </si>
  <si>
    <t>Triple concussive detonation</t>
  </si>
  <si>
    <t>Conqueror's March</t>
  </si>
  <si>
    <t>Each victory amplifies next strike</t>
  </si>
  <si>
    <t>Annihilation Engine</t>
  </si>
  <si>
    <t>Full body rupture field activated</t>
  </si>
  <si>
    <t>Absolute Commander</t>
  </si>
  <si>
    <t>Every strike becomes unavoidable</t>
  </si>
  <si>
    <t>Elemental Sense</t>
  </si>
  <si>
    <t>Detect elemental weaknesses</t>
  </si>
  <si>
    <t>Split Consciousness</t>
  </si>
  <si>
    <t>Split into 2 elemental forms</t>
  </si>
  <si>
    <t>Tactical Genius</t>
  </si>
  <si>
    <t>React faster than opponents think</t>
  </si>
  <si>
    <t>Element Mastery I</t>
  </si>
  <si>
    <t>Tier 1 elements fully optimized</t>
  </si>
  <si>
    <t>Split Trinity</t>
  </si>
  <si>
    <t>Split into 3 elemental forms</t>
  </si>
  <si>
    <t>Fusion Unlock I</t>
  </si>
  <si>
    <t>First elemental fusion available</t>
  </si>
  <si>
    <t>Element Mastery II</t>
  </si>
  <si>
    <t>Tier 2 elements fully optimized</t>
  </si>
  <si>
    <t>Split Quintuple</t>
  </si>
  <si>
    <t>Split into 5 elemental forms</t>
  </si>
  <si>
    <t>Fusion Unlock II</t>
  </si>
  <si>
    <t>Advanced fusions available</t>
  </si>
  <si>
    <t>Omni Awareness</t>
  </si>
  <si>
    <t>All elemental perceptions merge</t>
  </si>
  <si>
    <t>Septuple Split</t>
  </si>
  <si>
    <t>Split into all 7 forms at once</t>
  </si>
  <si>
    <t>Elemental Absolute</t>
  </si>
  <si>
    <t>All elements and fusions mastered</t>
  </si>
  <si>
    <t>Essence Reading</t>
  </si>
  <si>
    <t>Sense internal alignment of targets</t>
  </si>
  <si>
    <t>Severance I</t>
  </si>
  <si>
    <t>Basic cohesion disruption strike</t>
  </si>
  <si>
    <t>Quiet Depth</t>
  </si>
  <si>
    <t>Emotional masking from enemies</t>
  </si>
  <si>
    <t>Harmony Sense</t>
  </si>
  <si>
    <t>Detect imbalance before it shows</t>
  </si>
  <si>
    <t>Severance II</t>
  </si>
  <si>
    <t>Disrupts coordination on hit</t>
  </si>
  <si>
    <t>Instinctive Guard</t>
  </si>
  <si>
    <t>Automatically block fatal strikes</t>
  </si>
  <si>
    <t>Existential Strike</t>
  </si>
  <si>
    <t>Sever intent from action entirely</t>
  </si>
  <si>
    <t>Environmental Bond</t>
  </si>
  <si>
    <t>Terrain becomes extension of power</t>
  </si>
  <si>
    <t>Severance III</t>
  </si>
  <si>
    <t>Full foundational destabilization</t>
  </si>
  <si>
    <t>Silent Devastation</t>
  </si>
  <si>
    <t>Attacks leave no detectable trace</t>
  </si>
  <si>
    <t>Soul Severance</t>
  </si>
  <si>
    <t>Sever enemy will to fight entirely</t>
  </si>
  <si>
    <t>Absolute Dissonance</t>
  </si>
  <si>
    <t>Target loses all internal coherence</t>
  </si>
  <si>
    <t>Combat Instinct</t>
  </si>
  <si>
    <t>React to threats before conscious thought</t>
  </si>
  <si>
    <t>Escalation I</t>
  </si>
  <si>
    <t>Momentum begins accumulating</t>
  </si>
  <si>
    <t>Pressure Reading</t>
  </si>
  <si>
    <t>Read micro-errors in real time</t>
  </si>
  <si>
    <t>Aggression Engine</t>
  </si>
  <si>
    <t>Sustained attacks gain 10% power</t>
  </si>
  <si>
    <t>Escalation II</t>
  </si>
  <si>
    <t>Precision sharpens mid-combat</t>
  </si>
  <si>
    <t>Relentless Drive</t>
  </si>
  <si>
    <t>Cannot be slowed by minor damage</t>
  </si>
  <si>
    <t>Escalation III</t>
  </si>
  <si>
    <t>Full statistical dominance begins</t>
  </si>
  <si>
    <t>Interrupt Immunity</t>
  </si>
  <si>
    <t>Resist momentum disruption</t>
  </si>
  <si>
    <t>Apex Momentum</t>
  </si>
  <si>
    <t>Every hit compounds damage output</t>
  </si>
  <si>
    <t>Unstoppable Force</t>
  </si>
  <si>
    <t>Nothing stops escalation sequence</t>
  </si>
  <si>
    <t>Combat Singularity</t>
  </si>
  <si>
    <t>Become statistically unbeatable</t>
  </si>
  <si>
    <t>Inevitable Victory</t>
  </si>
  <si>
    <t>Extended fight always ends in win</t>
  </si>
  <si>
    <t>Sensory Attunement</t>
  </si>
  <si>
    <t>Read mood shifts in milliseconds</t>
  </si>
  <si>
    <t>Collapse Domain I</t>
  </si>
  <si>
    <t>Small sensory disruption field</t>
  </si>
  <si>
    <t>Living Radar</t>
  </si>
  <si>
    <t>Detect hidden enemies by emotion</t>
  </si>
  <si>
    <t>Crowd Reader</t>
  </si>
  <si>
    <t>Affect multiple targets at once</t>
  </si>
  <si>
    <t>Collapse Domain II</t>
  </si>
  <si>
    <t>Balance and timing disruption</t>
  </si>
  <si>
    <t>Proximity Advantage</t>
  </si>
  <si>
    <t>Power amplifies at close range</t>
  </si>
  <si>
    <t>Temporal Shift</t>
  </si>
  <si>
    <t>Distort time perception of enemy</t>
  </si>
  <si>
    <t>Sensory Immunity</t>
  </si>
  <si>
    <t>Immune to own domain effects</t>
  </si>
  <si>
    <t>Collapse Domain III</t>
  </si>
  <si>
    <t>Full sensory integration failure</t>
  </si>
  <si>
    <t>Reality Blur</t>
  </si>
  <si>
    <t>Enemies cannot trust their senses</t>
  </si>
  <si>
    <t>Total Collapse</t>
  </si>
  <si>
    <t>Complete sensory annihilation</t>
  </si>
  <si>
    <t>Perception Erasure</t>
  </si>
  <si>
    <t>Target loses all sensory function</t>
  </si>
  <si>
    <t>Precision Eye</t>
  </si>
  <si>
    <t>Every strike lands exactly placed</t>
  </si>
  <si>
    <t>Guillotine Line I</t>
  </si>
  <si>
    <t>Basic energy plane extension</t>
  </si>
  <si>
    <t>Iron Discipline</t>
  </si>
  <si>
    <t>Immune to panic and hesitation</t>
  </si>
  <si>
    <t>Procedural Mind</t>
  </si>
  <si>
    <t>Execute plans without deviation</t>
  </si>
  <si>
    <t>Guillotine Line II</t>
  </si>
  <si>
    <t>Dual simultaneous energy planes</t>
  </si>
  <si>
    <t>Efficiency Protocol</t>
  </si>
  <si>
    <t>No wasted movement in combat</t>
  </si>
  <si>
    <t>Lethal Geometry</t>
  </si>
  <si>
    <t>Multi-directional line release</t>
  </si>
  <si>
    <t>Silent Executioner</t>
  </si>
  <si>
    <t>Attacks never telegraphed</t>
  </si>
  <si>
    <t>Guillotine Line III</t>
  </si>
  <si>
    <t>Invisible until contact guaranteed</t>
  </si>
  <si>
    <t>Perfect Form</t>
  </si>
  <si>
    <t>All stats reach peak efficiency</t>
  </si>
  <si>
    <t>Absolute Cut</t>
  </si>
  <si>
    <t>Single strike bisects any defense</t>
  </si>
  <si>
    <t>Final Precision</t>
  </si>
  <si>
    <t>Every attack becomes unavoidable</t>
  </si>
  <si>
    <t>Protective Aura</t>
  </si>
  <si>
    <t>Allies take 5% less damage nearby</t>
  </si>
  <si>
    <t>Reflection I</t>
  </si>
  <si>
    <t>Basic damage reflection activated</t>
  </si>
  <si>
    <t>Caretaker Instinct</t>
  </si>
  <si>
    <t>Sense when allies are in danger</t>
  </si>
  <si>
    <t>Worst Case Planning</t>
  </si>
  <si>
    <t>Always prepared for strongest hit</t>
  </si>
  <si>
    <t>Reflection II</t>
  </si>
  <si>
    <t>Proportional rebound amplified</t>
  </si>
  <si>
    <t>Safety Net</t>
  </si>
  <si>
    <t>Absorb one fatal hit per battle</t>
  </si>
  <si>
    <t>Lattice Expansion</t>
  </si>
  <si>
    <t>Reflection field covers wider area</t>
  </si>
  <si>
    <t>Martyrdom Shield</t>
  </si>
  <si>
    <t>Take damage intended for allies</t>
  </si>
  <si>
    <t>Reflection III</t>
  </si>
  <si>
    <t>Instant unavoidable rebound</t>
  </si>
  <si>
    <t>Cannot be one-shot at any level</t>
  </si>
  <si>
    <t>Perfect Mirror</t>
  </si>
  <si>
    <t>Reflect 200% of incoming damage</t>
  </si>
  <si>
    <t>Absolute Defender</t>
  </si>
  <si>
    <t>Become completely indestructible</t>
  </si>
  <si>
    <t>Iron Authority</t>
  </si>
  <si>
    <t>Command respect from all enemies</t>
  </si>
  <si>
    <t>Warbrand I</t>
  </si>
  <si>
    <t>Basic energy weapon manifestation</t>
  </si>
  <si>
    <t>Force Amplifier</t>
  </si>
  <si>
    <t>All strikes hit 10% harder</t>
  </si>
  <si>
    <t>Tactical Dominance</t>
  </si>
  <si>
    <t>Always find structural weakness</t>
  </si>
  <si>
    <t>Warbrand II</t>
  </si>
  <si>
    <t>Multi-form weapon switching</t>
  </si>
  <si>
    <t>Relentless Advance</t>
  </si>
  <si>
    <t>Never stop forward momentum</t>
  </si>
  <si>
    <t>Arsenal Explosion</t>
  </si>
  <si>
    <t>All weapons detonate simultaneously</t>
  </si>
  <si>
    <t>Apex Authority</t>
  </si>
  <si>
    <t>Enemies hesitate before attacking</t>
  </si>
  <si>
    <t>Warbrand III</t>
  </si>
  <si>
    <t>Maximum density weapon constructs</t>
  </si>
  <si>
    <t>Victory amplifies all future stats</t>
  </si>
  <si>
    <t>Warbrand Omega</t>
  </si>
  <si>
    <t>Infinite weapon manifestation</t>
  </si>
  <si>
    <t>Absolute Dominion</t>
  </si>
  <si>
    <t>Become unstoppable force of will</t>
  </si>
  <si>
    <t>Warm Presence</t>
  </si>
  <si>
    <t>Allies recover faster nearby</t>
  </si>
  <si>
    <t>Heartstrike I</t>
  </si>
  <si>
    <t>Basic internal pulse on contact</t>
  </si>
  <si>
    <t>Social Mastery</t>
  </si>
  <si>
    <t>Read any person within seconds</t>
  </si>
  <si>
    <t>Communal Bond</t>
  </si>
  <si>
    <t>Stronger near trusted allies</t>
  </si>
  <si>
    <t>Heartstrike II</t>
  </si>
  <si>
    <t>Chain pulses on rapid contact</t>
  </si>
  <si>
    <t>Group Coordinator</t>
  </si>
  <si>
    <t>Amplify ally abilities nearby</t>
  </si>
  <si>
    <t>Neural Overload</t>
  </si>
  <si>
    <t>Multiple organ disruption pulse</t>
  </si>
  <si>
    <t>Heart of the Group</t>
  </si>
  <si>
    <t>Allies never lose morale nearby</t>
  </si>
  <si>
    <t>Heartstrike III</t>
  </si>
  <si>
    <t>Full cardiovascular disruption</t>
  </si>
  <si>
    <t>Unstoppable Warmth</t>
  </si>
  <si>
    <t>Immune to loneliness debuffs</t>
  </si>
  <si>
    <t>Pulse Cascade</t>
  </si>
  <si>
    <t>Chain reaction through any group</t>
  </si>
  <si>
    <t>Absolute Connection</t>
  </si>
  <si>
    <t>Bond with any living being</t>
  </si>
  <si>
    <t>Emotional Antenna</t>
  </si>
  <si>
    <t>Feel others pain as information</t>
  </si>
  <si>
    <t>Soulfire I</t>
  </si>
  <si>
    <t>Basic emotional flame ignition</t>
  </si>
  <si>
    <t>Principled Core</t>
  </si>
  <si>
    <t>Moral clarity resists corruption</t>
  </si>
  <si>
    <t>Pain to Power</t>
  </si>
  <si>
    <t>Damage received converts to power</t>
  </si>
  <si>
    <t>Soulfire II</t>
  </si>
  <si>
    <t>Flames erode enemy will to fight</t>
  </si>
  <si>
    <t>Cornered Beast</t>
  </si>
  <si>
    <t>Power doubles when nearly defeated</t>
  </si>
  <si>
    <t>Psychic Flame</t>
  </si>
  <si>
    <t>Fire burns psychological resolve</t>
  </si>
  <si>
    <t>Martyr's Strength</t>
  </si>
  <si>
    <t>Self sacrifice amplifies allies</t>
  </si>
  <si>
    <t>Soulfire III</t>
  </si>
  <si>
    <t>Simultaneous physical and psychic burn</t>
  </si>
  <si>
    <t>Volatile Heart</t>
  </si>
  <si>
    <t>Emotional spikes become explosions</t>
  </si>
  <si>
    <t>Soulfire Singularity</t>
  </si>
  <si>
    <t>Become living flame of pure emotion</t>
  </si>
  <si>
    <t>Absolute Soulburn</t>
  </si>
  <si>
    <t>Erase enemy will to exist entirely</t>
  </si>
  <si>
    <t>Emotional Compass</t>
  </si>
  <si>
    <t>Always know what drives a person</t>
  </si>
  <si>
    <t>Vectoring I</t>
  </si>
  <si>
    <t>Basic motivational current shift</t>
  </si>
  <si>
    <t>Long Game</t>
  </si>
  <si>
    <t>Subtle influence compounds over time</t>
  </si>
  <si>
    <t>Psychological Read</t>
  </si>
  <si>
    <t>See through all emotional masks</t>
  </si>
  <si>
    <t>Vectoring II</t>
  </si>
  <si>
    <t>Redirect aggression against enemy</t>
  </si>
  <si>
    <t>Invisible Hand</t>
  </si>
  <si>
    <t>Influence leaves no detectable trace</t>
  </si>
  <si>
    <t>Doubt Cascade</t>
  </si>
  <si>
    <t>Amplify hesitation to paralysis</t>
  </si>
  <si>
    <t>Soul Reader</t>
  </si>
  <si>
    <t>Understand anyone completely</t>
  </si>
  <si>
    <t>Vectoring III</t>
  </si>
  <si>
    <t>Fully rewrite motivational state</t>
  </si>
  <si>
    <t>Narrative Shaper</t>
  </si>
  <si>
    <t>Control how events are perceived</t>
  </si>
  <si>
    <t>Emotional Architect</t>
  </si>
  <si>
    <t>Redesign enemy psychological state</t>
  </si>
  <si>
    <t>Absolute Influence</t>
  </si>
  <si>
    <t>Complete dominion over any mind</t>
  </si>
  <si>
    <t>Idea Fountain</t>
  </si>
  <si>
    <t>Generate solutions others miss</t>
  </si>
  <si>
    <t>Phase Shift I</t>
  </si>
  <si>
    <t>Brief partial dimensional phase</t>
  </si>
  <si>
    <t>Chaotic Synthesis</t>
  </si>
  <si>
    <t>Connect unrelated ideas instantly</t>
  </si>
  <si>
    <t>Tempo Disruptor</t>
  </si>
  <si>
    <t>Unpredictability confuses enemies</t>
  </si>
  <si>
    <t>Phase Shift II</t>
  </si>
  <si>
    <t>Full body phase through matter</t>
  </si>
  <si>
    <t>Spatial Intuition</t>
  </si>
  <si>
    <t>Always know optimal repositioning</t>
  </si>
  <si>
    <t>Blink Strike</t>
  </si>
  <si>
    <t>Attack while fully phased</t>
  </si>
  <si>
    <t>Dimensional Sense</t>
  </si>
  <si>
    <t>Detect attacks before they land</t>
  </si>
  <si>
    <t>Phase Shift III</t>
  </si>
  <si>
    <t>Extended phase duration unlocked</t>
  </si>
  <si>
    <t>Reality Surfer</t>
  </si>
  <si>
    <t>Move between dimensions freely</t>
  </si>
  <si>
    <t>Phase Singularity</t>
  </si>
  <si>
    <t>Exist in multiple dimensions at once</t>
  </si>
  <si>
    <t>Absolute Phase</t>
  </si>
  <si>
    <t>Permanently untouchable at will</t>
  </si>
  <si>
    <t>Natural Leader</t>
  </si>
  <si>
    <t>Allies gain confidence nearby</t>
  </si>
  <si>
    <t>Dominion Mark I</t>
  </si>
  <si>
    <t>Basic suppression sigil placed</t>
  </si>
  <si>
    <t>Inspirational Aura</t>
  </si>
  <si>
    <t>Amplify ally performance nearby</t>
  </si>
  <si>
    <t>Mass Influence</t>
  </si>
  <si>
    <t>Affect groups not just individuals</t>
  </si>
  <si>
    <t>Dominion Mark II</t>
  </si>
  <si>
    <t>Escalating internal pressure added</t>
  </si>
  <si>
    <t>Motivational Surge</t>
  </si>
  <si>
    <t>Rally allies from near defeat</t>
  </si>
  <si>
    <t>Collapse Sigil</t>
  </si>
  <si>
    <t>Mark causes rapid performance decay</t>
  </si>
  <si>
    <t>Unifying Presence</t>
  </si>
  <si>
    <t>No ally can be turned against group</t>
  </si>
  <si>
    <t>Dominion Mark III</t>
  </si>
  <si>
    <t>Resistance fuels suppression</t>
  </si>
  <si>
    <t>Absolute Authority</t>
  </si>
  <si>
    <t>Command obedience from any person</t>
  </si>
  <si>
    <t>Dominion Absolute</t>
  </si>
  <si>
    <t>Mark entire groups simultaneously</t>
  </si>
  <si>
    <t>World Leader</t>
  </si>
  <si>
    <t>Inspire or suppress any living being</t>
  </si>
  <si>
    <t>Timestamp</t>
  </si>
  <si>
    <t>XP Gained</t>
  </si>
  <si>
    <t>LEVELED UP!</t>
  </si>
  <si>
    <t>HP</t>
  </si>
  <si>
    <t>Character 1</t>
  </si>
  <si>
    <t>Character 2</t>
  </si>
  <si>
    <t>Battle Log</t>
  </si>
  <si>
    <t>Round</t>
  </si>
  <si>
    <t>Strong Against</t>
  </si>
  <si>
    <t>Winner</t>
  </si>
  <si>
    <t>Rounds</t>
  </si>
  <si>
    <t>ROUND</t>
  </si>
  <si>
    <t>ATTACKER</t>
  </si>
  <si>
    <t>EVENT</t>
  </si>
  <si>
    <t>DAMAGE</t>
  </si>
  <si>
    <t>HP REMAINING</t>
  </si>
  <si>
    <t>attacks [DESPERATE POWER]</t>
  </si>
  <si>
    <t>PAULA HP: 0</t>
  </si>
  <si>
    <t>Event ID</t>
  </si>
  <si>
    <t>Event Name</t>
  </si>
  <si>
    <t>Condition</t>
  </si>
  <si>
    <t>Choice 1</t>
  </si>
  <si>
    <t>Choice 1 Outcome</t>
  </si>
  <si>
    <t>Choice 2</t>
  </si>
  <si>
    <t>Choice 2 Outcome</t>
  </si>
  <si>
    <t>Choice 3</t>
  </si>
  <si>
    <t>Choice 3 Outcome</t>
  </si>
  <si>
    <t>E001</t>
  </si>
  <si>
    <t>The Unfinished Theory</t>
  </si>
  <si>
    <t>Level&gt;=5</t>
  </si>
  <si>
    <t>Paula discovers a flaw in her own theoretical framework. Does she publish anyway or rebuild from scratch?</t>
  </si>
  <si>
    <t>Publish immediately</t>
  </si>
  <si>
    <t>+10 Assurance -10 Rationality</t>
  </si>
  <si>
    <t>Rebuild from scratch</t>
  </si>
  <si>
    <t>+15 Rationality -5 Assurance</t>
  </si>
  <si>
    <t>Abandon the theory</t>
  </si>
  <si>
    <t>-10 Visionary +5 Self-Control</t>
  </si>
  <si>
    <t>E002</t>
  </si>
  <si>
    <t>The Observer Observed</t>
  </si>
  <si>
    <t>Level&gt;=10</t>
  </si>
  <si>
    <t>Someone has been studying Paula the way she studies others. She realizes too late.</t>
  </si>
  <si>
    <t>Confront them directly</t>
  </si>
  <si>
    <t>+10 Assurance -10 Self-Control</t>
  </si>
  <si>
    <t>Observe them in return</t>
  </si>
  <si>
    <t>+15 Rationality +5 Visionary</t>
  </si>
  <si>
    <t>Retreat and recalculate</t>
  </si>
  <si>
    <t>-5 Assurance +10 Self-Control</t>
  </si>
  <si>
    <t>E003</t>
  </si>
  <si>
    <t>Fracture Point</t>
  </si>
  <si>
    <t>Level&gt;=20</t>
  </si>
  <si>
    <t>Paula's power spirals out of control during a high-stakes moment. Everything around her begins to crack.</t>
  </si>
  <si>
    <t>Push through the pain</t>
  </si>
  <si>
    <t>+20 Power -15 Self-Control</t>
  </si>
  <si>
    <t>Shut it down immediately</t>
  </si>
  <si>
    <t>-10 Power +20 Self-Control</t>
  </si>
  <si>
    <t>Let it consume her</t>
  </si>
  <si>
    <t>+30 Power -20 Empathy -10 Self-Control</t>
  </si>
  <si>
    <t>E004</t>
  </si>
  <si>
    <t>The Cold Equation</t>
  </si>
  <si>
    <t>Level&gt;=35</t>
  </si>
  <si>
    <t>Paula must choose between saving one person she knows or five strangers. Pure logic gives one answer.</t>
  </si>
  <si>
    <t>Save the one</t>
  </si>
  <si>
    <t>+10 Empathy -15 Rationality</t>
  </si>
  <si>
    <t>Save the five</t>
  </si>
  <si>
    <t>+15 Rationality -10 Empathy</t>
  </si>
  <si>
    <t>Find a third option</t>
  </si>
  <si>
    <t>+20 Visionary -10 Power</t>
  </si>
  <si>
    <t>E005</t>
  </si>
  <si>
    <t>Omniscience Threshold</t>
  </si>
  <si>
    <t>Level&gt;=50</t>
  </si>
  <si>
    <t>Paula realizes she has predicted every outcome correctly for 30 days. The weight of knowing everything is breaking her.</t>
  </si>
  <si>
    <t>Embrace the burden</t>
  </si>
  <si>
    <t>+20 Rationality +10 Visionary -15 Empathy</t>
  </si>
  <si>
    <t>Share the knowledge</t>
  </si>
  <si>
    <t>+15 Empathy -10 Rationality</t>
  </si>
  <si>
    <t>Deliberately make a wrong choice</t>
  </si>
  <si>
    <t>+20 Self-Control -10 Rationality</t>
  </si>
  <si>
    <t>E006</t>
  </si>
  <si>
    <t>The Blueprint Error</t>
  </si>
  <si>
    <t>Hiromi discovers a fundamental mistake in a plan she was certain was perfect.</t>
  </si>
  <si>
    <t>Admit the error openly</t>
  </si>
  <si>
    <t>+10 Empathy -10 Assurance</t>
  </si>
  <si>
    <t>Fix it silently</t>
  </si>
  <si>
    <t>-5 Rationality +15 Self-Control</t>
  </si>
  <si>
    <t>Blame external factors</t>
  </si>
  <si>
    <t>-15 Rationality +10 Assurance</t>
  </si>
  <si>
    <t>E007</t>
  </si>
  <si>
    <t>Gravity of Doubt</t>
  </si>
  <si>
    <t>Hiromi's gravity power activates involuntarily during a moment of emotional instability.</t>
  </si>
  <si>
    <t>Study the anomaly</t>
  </si>
  <si>
    <t>Suppress it forcibly</t>
  </si>
  <si>
    <t>-10 Power +15 Self-Control</t>
  </si>
  <si>
    <t>Let it play out</t>
  </si>
  <si>
    <t>E008</t>
  </si>
  <si>
    <t>The Architect's Dilemma</t>
  </si>
  <si>
    <t>Level&gt;=25</t>
  </si>
  <si>
    <t>Hiromi is given the chance to redesign a broken system from scratch but must destroy the old one first.</t>
  </si>
  <si>
    <t>Destroy and rebuild</t>
  </si>
  <si>
    <t>+20 Visionary +10 Power -10 Empathy</t>
  </si>
  <si>
    <t>Repair incrementally</t>
  </si>
  <si>
    <t>-10 Visionary +15 Rationality</t>
  </si>
  <si>
    <t>Walk away entirely</t>
  </si>
  <si>
    <t>+10 Self-Control -15 Visionary</t>
  </si>
  <si>
    <t>E009</t>
  </si>
  <si>
    <t>Cold Singularity</t>
  </si>
  <si>
    <t>Level&gt;=40</t>
  </si>
  <si>
    <t>Hiromi realizes her emotional detachment has become total. She feels nothing. Not even satisfaction.</t>
  </si>
  <si>
    <t>Seek connection deliberately</t>
  </si>
  <si>
    <t>+20 Empathy -10 Rationality</t>
  </si>
  <si>
    <t>Accept the emptiness</t>
  </si>
  <si>
    <t>+15 Self-Control +10 Rationality -15 Empathy</t>
  </si>
  <si>
    <t>Channel it into power</t>
  </si>
  <si>
    <t>+20 Power -20 Empathy</t>
  </si>
  <si>
    <t>E010</t>
  </si>
  <si>
    <t>Level&gt;=60</t>
  </si>
  <si>
    <t>Hiromi's gravity power reaches a threshold that could collapse everything within a mile radius.</t>
  </si>
  <si>
    <t>Release controlled burst</t>
  </si>
  <si>
    <t>+25 Power -20 Self-Control</t>
  </si>
  <si>
    <t>Hold it back completely</t>
  </si>
  <si>
    <t>-15 Power +25 Self-Control</t>
  </si>
  <si>
    <t>Redirect it outward</t>
  </si>
  <si>
    <t>+20 Power +10 Rationality -20 Empathy</t>
  </si>
  <si>
    <t>E011</t>
  </si>
  <si>
    <t>The Debate She Lost</t>
  </si>
  <si>
    <t>For the first time Mica loses an argument. Not on points. On truth.</t>
  </si>
  <si>
    <t>Accept the loss gracefully</t>
  </si>
  <si>
    <t>+15 Empathy -10 Assurance</t>
  </si>
  <si>
    <t>Demand a rematch</t>
  </si>
  <si>
    <t>-10 Rationality +15 Assurance</t>
  </si>
  <si>
    <t>Study why she lost</t>
  </si>
  <si>
    <t>+20 Rationality +5 Visionary</t>
  </si>
  <si>
    <t>E012</t>
  </si>
  <si>
    <t>Mutation Backfire</t>
  </si>
  <si>
    <t>Level&gt;=15</t>
  </si>
  <si>
    <t>Mica adapts an ability that begins rewriting her personality instead of just her powers.</t>
  </si>
  <si>
    <t>Fight the change</t>
  </si>
  <si>
    <t>+15 Self-Control -10 Power</t>
  </si>
  <si>
    <t>Embrace it fully</t>
  </si>
  <si>
    <t>Partially accept it</t>
  </si>
  <si>
    <t>+10 Power +5 Self-Control -10 Rationality</t>
  </si>
  <si>
    <t>E013</t>
  </si>
  <si>
    <t>The Unanswerable Question</t>
  </si>
  <si>
    <t>Level&gt;=30</t>
  </si>
  <si>
    <t>Someone asks Mica a question she genuinely cannot answer. She has never felt this before.</t>
  </si>
  <si>
    <t>Admit she doesn't know</t>
  </si>
  <si>
    <t>+20 Empathy +10 Rationality -10 Assurance</t>
  </si>
  <si>
    <t>Deflect with humor</t>
  </si>
  <si>
    <t>-10 Rationality +10 Assurance</t>
  </si>
  <si>
    <t>Research obsessively</t>
  </si>
  <si>
    <t>+15 Visionary -10 Sociability</t>
  </si>
  <si>
    <t>E014</t>
  </si>
  <si>
    <t>Apex Predator Moment</t>
  </si>
  <si>
    <t>Mica realizes she has adapted so many abilities she no longer knows which powers are originally hers.</t>
  </si>
  <si>
    <t>Strip everything back</t>
  </si>
  <si>
    <t>-20 Power +25 Self-Control +10 Rationality</t>
  </si>
  <si>
    <t>Keep all adaptations</t>
  </si>
  <si>
    <t>+25 Power -15 Self-Control</t>
  </si>
  <si>
    <t>Find the original self</t>
  </si>
  <si>
    <t>+20 Empathy +10 Rationality -10 Power</t>
  </si>
  <si>
    <t>E015</t>
  </si>
  <si>
    <t>The Order She Refused</t>
  </si>
  <si>
    <t>Gillian is given a direct order from someone above her that she knows is wrong.</t>
  </si>
  <si>
    <t>Refuse openly</t>
  </si>
  <si>
    <t>+15 Assurance -10 Self-Control</t>
  </si>
  <si>
    <t>Obey and document</t>
  </si>
  <si>
    <t>-15 Assurance +15 Self-Control</t>
  </si>
  <si>
    <t>Find a workaround</t>
  </si>
  <si>
    <t>+10 Visionary +5 Rationality</t>
  </si>
  <si>
    <t>E016</t>
  </si>
  <si>
    <t>Collateral</t>
  </si>
  <si>
    <t>Gillian wins a critical battle but causes massive collateral damage in the process.</t>
  </si>
  <si>
    <t>Own the damage publicly</t>
  </si>
  <si>
    <t>Justify it as necessary</t>
  </si>
  <si>
    <t>-10 Empathy +15 Assurance</t>
  </si>
  <si>
    <t>Privately rebuild what was lost</t>
  </si>
  <si>
    <t>+15 Empathy +5 Self-Control -10 Power</t>
  </si>
  <si>
    <t>E017</t>
  </si>
  <si>
    <t>The Commander Breaks</t>
  </si>
  <si>
    <t>Gillian reaches her limit. For the first time she cannot make the next decision.</t>
  </si>
  <si>
    <t>Step back and recover</t>
  </si>
  <si>
    <t>+20 Self-Control -10 Assurance</t>
  </si>
  <si>
    <t>Push through anyway</t>
  </si>
  <si>
    <t>-15 Self-Control +10 Power</t>
  </si>
  <si>
    <t>Delegate for the first time</t>
  </si>
  <si>
    <t>+15 Empathy +10 Sociability -10 Assurance</t>
  </si>
  <si>
    <t>E018</t>
  </si>
  <si>
    <t>Level&gt;=55</t>
  </si>
  <si>
    <t>Gillian is offered total uncontested command over everyone. No checks. No limits.</t>
  </si>
  <si>
    <t>Accept without hesitation</t>
  </si>
  <si>
    <t>+25 Power +10 Assurance -20 Empathy</t>
  </si>
  <si>
    <t>Accept with conditions</t>
  </si>
  <si>
    <t>+15 Assurance +10 Empathy -10 Power</t>
  </si>
  <si>
    <t>Refuse entirely</t>
  </si>
  <si>
    <t>-10 Assurance +25 Empathy +10 Self-Control</t>
  </si>
  <si>
    <t>E019</t>
  </si>
  <si>
    <t>The Seventh Split</t>
  </si>
  <si>
    <t>Hayami splits into all seven forms for the first time. One of them doesn't want to come back.</t>
  </si>
  <si>
    <t>Force recombination</t>
  </si>
  <si>
    <t>+15 Self-Control -15 Power</t>
  </si>
  <si>
    <t>Negotiate with the split</t>
  </si>
  <si>
    <t>Let the split stay</t>
  </si>
  <si>
    <t>+25 Power -20 Self-Control -10 Rationality</t>
  </si>
  <si>
    <t>E020</t>
  </si>
  <si>
    <t>Elemental Memory Loss</t>
  </si>
  <si>
    <t>After an extended split Hayami cannot remember which memories belong to which form.</t>
  </si>
  <si>
    <t>Reconstruct methodically</t>
  </si>
  <si>
    <t>+20 Rationality +10 Self-Control -10 Power</t>
  </si>
  <si>
    <t>Accept the merged memories</t>
  </si>
  <si>
    <t>Discard unclear memories</t>
  </si>
  <si>
    <t>-15 Empathy +20 Self-Control</t>
  </si>
  <si>
    <t>E021</t>
  </si>
  <si>
    <t>The Form They Fear</t>
  </si>
  <si>
    <t>One of Hayami's elemental forms develops a personality that frightens even Hayami.</t>
  </si>
  <si>
    <t>Confront that form directly</t>
  </si>
  <si>
    <t>+20 Assurance -15 Self-Control</t>
  </si>
  <si>
    <t>Study it from a distance</t>
  </si>
  <si>
    <t>+15 Rationality +10 Visionary</t>
  </si>
  <si>
    <t>Suppress that element</t>
  </si>
  <si>
    <t>-15 Power +20 Self-Control</t>
  </si>
  <si>
    <t>E022</t>
  </si>
  <si>
    <t>Omni Convergence</t>
  </si>
  <si>
    <t>All seven elements attempt to fuse simultaneously. It has never been done. It might be fatal.</t>
  </si>
  <si>
    <t>Attempt full convergence</t>
  </si>
  <si>
    <t>+30 Power -25 Self-Control</t>
  </si>
  <si>
    <t>Pull back at the threshold</t>
  </si>
  <si>
    <t>-10 Power +25 Self-Control</t>
  </si>
  <si>
    <t>Channel only three elements</t>
  </si>
  <si>
    <t>+15 Power +10 Self-Control -5 Rationality</t>
  </si>
  <si>
    <t>E023</t>
  </si>
  <si>
    <t>The Severed Bond</t>
  </si>
  <si>
    <t>Shiina accidentally severs the emotional connection between two people close to her.</t>
  </si>
  <si>
    <t>Try to reverse it</t>
  </si>
  <si>
    <t>+15 Empathy -10 Self-Control</t>
  </si>
  <si>
    <t>Accept it was an accident</t>
  </si>
  <si>
    <t>+10 Self-Control +5 Rationality</t>
  </si>
  <si>
    <t>Take responsibility publicly</t>
  </si>
  <si>
    <t>+20 Empathy -10 Assurance</t>
  </si>
  <si>
    <t>E024</t>
  </si>
  <si>
    <t>Harmony Broken</t>
  </si>
  <si>
    <t>Shiina senses a deep imbalance in someone she cares about but fixing it might hurt them.</t>
  </si>
  <si>
    <t>Fix it without asking</t>
  </si>
  <si>
    <t>+10 Power -15 Empathy</t>
  </si>
  <si>
    <t>Ask permission first</t>
  </si>
  <si>
    <t>+20 Empathy +5 Self-Control</t>
  </si>
  <si>
    <t>Leave it alone</t>
  </si>
  <si>
    <t>+15 Self-Control -10 Empathy</t>
  </si>
  <si>
    <t>E025</t>
  </si>
  <si>
    <t>The Existential Strike</t>
  </si>
  <si>
    <t>Shiina's power reaches a target's core sense of self. She could erase who they are.</t>
  </si>
  <si>
    <t>Stop immediately</t>
  </si>
  <si>
    <t>+20 Empathy +10 Self-Control -10 Power</t>
  </si>
  <si>
    <t>Complete the strike</t>
  </si>
  <si>
    <t>+25 Power -20 Empathy</t>
  </si>
  <si>
    <t>Pull back halfway</t>
  </si>
  <si>
    <t>+10 Power +10 Self-Control -5 Empathy</t>
  </si>
  <si>
    <t>E026</t>
  </si>
  <si>
    <t>The Fight That Wouldn't End</t>
  </si>
  <si>
    <t>Shaye encounters an opponent whose endurance matches their escalation perfectly.</t>
  </si>
  <si>
    <t>Escalate beyond limits</t>
  </si>
  <si>
    <t>Switch to a new strategy</t>
  </si>
  <si>
    <t>-10 Power +20 Rationality</t>
  </si>
  <si>
    <t>Withdraw and replan</t>
  </si>
  <si>
    <t>-15 Assurance +15 Rationality</t>
  </si>
  <si>
    <t>E027</t>
  </si>
  <si>
    <t>Interrupted</t>
  </si>
  <si>
    <t>For the first time someone successfully interrupts Shaye's momentum mid-escalation.</t>
  </si>
  <si>
    <t>Study how they did it</t>
  </si>
  <si>
    <t>+20 Rationality +10 Visionary -10 Assurance</t>
  </si>
  <si>
    <t>Get angry and reckless</t>
  </si>
  <si>
    <t>-15 Rationality +10 Power</t>
  </si>
  <si>
    <t>Adapt immediately</t>
  </si>
  <si>
    <t>+15 Power +10 Rationality</t>
  </si>
  <si>
    <t>E028</t>
  </si>
  <si>
    <t>The Limit</t>
  </si>
  <si>
    <t>Shaye's escalation reaches a point where their own body cannot sustain the acceleration.</t>
  </si>
  <si>
    <t>Push past the physical limit</t>
  </si>
  <si>
    <t>+25 Power -20 Self-Control -10 Conscientiousness</t>
  </si>
  <si>
    <t>Stop and recover</t>
  </si>
  <si>
    <t>Find a smarter way</t>
  </si>
  <si>
    <t>+10 Power +15 Rationality +5 Visionary</t>
  </si>
  <si>
    <t>E029</t>
  </si>
  <si>
    <t>Sensory Overload</t>
  </si>
  <si>
    <t>Theresa's own domain turns against her and she is overwhelmed by sensory input.</t>
  </si>
  <si>
    <t>Shut it all down</t>
  </si>
  <si>
    <t>Push through the noise</t>
  </si>
  <si>
    <t>+15 Power -15 Self-Control</t>
  </si>
  <si>
    <t>Find the off switch</t>
  </si>
  <si>
    <t>E030</t>
  </si>
  <si>
    <t>The Moment She Missed</t>
  </si>
  <si>
    <t>Theresa's sensory awareness fails her at a critical moment and someone gets hurt.</t>
  </si>
  <si>
    <t>Blame herself completely</t>
  </si>
  <si>
    <t>-15 Assurance +10 Empathy</t>
  </si>
  <si>
    <t>Analyze what went wrong</t>
  </si>
  <si>
    <t>Protect those around her fiercely</t>
  </si>
  <si>
    <t>+15 Empathy +10 Power -10 Assurance</t>
  </si>
  <si>
    <t>E031</t>
  </si>
  <si>
    <t>Theresa's domain expands beyond control and starts affecting allies.</t>
  </si>
  <si>
    <t>Pull it back immediately</t>
  </si>
  <si>
    <t>-15 Power +20 Self-Control +10 Empathy</t>
  </si>
  <si>
    <t>Let it run and manage the fallout</t>
  </si>
  <si>
    <t>+20 Power -15 Empathy</t>
  </si>
  <si>
    <t>Redirect it at enemies only</t>
  </si>
  <si>
    <t>+15 Power +10 Rationality -10 Self-Control</t>
  </si>
  <si>
    <t>E032</t>
  </si>
  <si>
    <t>The Rule That Was Wrong</t>
  </si>
  <si>
    <t>Chiyo discovers a rule she has followed her entire life was based on a flawed premise.</t>
  </si>
  <si>
    <t>Abandon the rule immediately</t>
  </si>
  <si>
    <t>+15 Visionary -15 Self-Control</t>
  </si>
  <si>
    <t>Investigate before deciding</t>
  </si>
  <si>
    <t>+20 Rationality +10 Visionary</t>
  </si>
  <si>
    <t>Keep following it anyway</t>
  </si>
  <si>
    <t>-15 Rationality +20 Self-Control</t>
  </si>
  <si>
    <t>E033</t>
  </si>
  <si>
    <t>The Missed Cut</t>
  </si>
  <si>
    <t>Chiyo makes her first imprecise strike. It misses by a fraction and costs everything.</t>
  </si>
  <si>
    <t>Recalibrate obsessively</t>
  </si>
  <si>
    <t>+20 Conscientiousness +10 Rationality -10 Assurance</t>
  </si>
  <si>
    <t>Accept imperfection exists</t>
  </si>
  <si>
    <t>+15 Empathy -10 Conscientiousness</t>
  </si>
  <si>
    <t>Train until it never happens again</t>
  </si>
  <si>
    <t>+15 Power +10 Self-Control -10 Empathy</t>
  </si>
  <si>
    <t>E034</t>
  </si>
  <si>
    <t>Absolute Precision</t>
  </si>
  <si>
    <t>Level&gt;=45</t>
  </si>
  <si>
    <t>Chiyo realizes she can extend her guillotine lines through multiple targets in one motion.</t>
  </si>
  <si>
    <t>Practice in isolation first</t>
  </si>
  <si>
    <t>+20 Power +15 Rationality -10 Sociability</t>
  </si>
  <si>
    <t>Test it immediately in battle</t>
  </si>
  <si>
    <t>Teach it to someone else first</t>
  </si>
  <si>
    <t>+15 Empathy +10 Power -5 Power</t>
  </si>
  <si>
    <t>E035</t>
  </si>
  <si>
    <t>The Shield That Broke</t>
  </si>
  <si>
    <t>For the first time Mayumi's reflection lattice fails and she takes full damage.</t>
  </si>
  <si>
    <t>Rebuild it stronger</t>
  </si>
  <si>
    <t>+20 Self-Control +10 Power -15 Assurance</t>
  </si>
  <si>
    <t>Question why it failed</t>
  </si>
  <si>
    <t>Protect others instead of herself</t>
  </si>
  <si>
    <t>+20 Empathy -10 Self-Control</t>
  </si>
  <si>
    <t>E036</t>
  </si>
  <si>
    <t>The Weight of Everyone</t>
  </si>
  <si>
    <t>Mayumi has absorbed so much of others' pain that she can no longer identify her own feelings.</t>
  </si>
  <si>
    <t>Set a boundary for the first time</t>
  </si>
  <si>
    <t>+25 Self-Control +10 Assurance -15 Empathy</t>
  </si>
  <si>
    <t>Continue absorbing</t>
  </si>
  <si>
    <t>+20 Empathy -20 Self-Control -10 Assurance</t>
  </si>
  <si>
    <t>Seek help from someone</t>
  </si>
  <si>
    <t>+15 Empathy +15 Sociability -10 Self-Control</t>
  </si>
  <si>
    <t>E037</t>
  </si>
  <si>
    <t>Mayumi's reflection becomes so powerful that she reflects emotions as well as damage.</t>
  </si>
  <si>
    <t>Use it deliberately</t>
  </si>
  <si>
    <t>+20 Power +15 Rationality -15 Empathy</t>
  </si>
  <si>
    <t>Suppress it immediately</t>
  </si>
  <si>
    <t>Study it carefully first</t>
  </si>
  <si>
    <t>+20 Visionary +10 Rationality -5 Power</t>
  </si>
  <si>
    <t>E038</t>
  </si>
  <si>
    <t>The Opponent She Couldn't Break</t>
  </si>
  <si>
    <t>Shizuka faces someone whose defense she cannot penetrate no matter how many weapons she manifests.</t>
  </si>
  <si>
    <t>Escalate weapon complexity</t>
  </si>
  <si>
    <t>+15 Power +10 Visionary -10 Self-Control</t>
  </si>
  <si>
    <t>Change tactics entirely</t>
  </si>
  <si>
    <t>+20 Rationality -10 Power</t>
  </si>
  <si>
    <t>Withdraw and study them</t>
  </si>
  <si>
    <t>-10 Assurance +20 Rationality</t>
  </si>
  <si>
    <t>E039</t>
  </si>
  <si>
    <t>The Arsenal Awakens</t>
  </si>
  <si>
    <t>Shizuka's weapons begin manifesting on their own without her command.</t>
  </si>
  <si>
    <t>Force them back under control</t>
  </si>
  <si>
    <t>+20 Self-Control -15 Power</t>
  </si>
  <si>
    <t>Let them act freely</t>
  </si>
  <si>
    <t>Merge with them completely</t>
  </si>
  <si>
    <t>+20 Power +10 Assurance -15 Rationality</t>
  </si>
  <si>
    <t>E040</t>
  </si>
  <si>
    <t>Shizuka is given the chance to end a conflict permanently by destroying everything involved.</t>
  </si>
  <si>
    <t>Do it without hesitation</t>
  </si>
  <si>
    <t>+25 Power +10 Assurance -25 Empathy</t>
  </si>
  <si>
    <t>Find a targeted solution</t>
  </si>
  <si>
    <t>-10 Power +20 Rationality +15 Empathy</t>
  </si>
  <si>
    <t>Refuse and find another way</t>
  </si>
  <si>
    <t>-10 Assurance +25 Empathy +10 Rationality</t>
  </si>
  <si>
    <t>E041</t>
  </si>
  <si>
    <t>The Person She Couldn't Reach</t>
  </si>
  <si>
    <t>For the first time someone completely rejects Lily's warmth and connection.</t>
  </si>
  <si>
    <t>Try harder</t>
  </si>
  <si>
    <t>-10 Self-Control +10 Empathy</t>
  </si>
  <si>
    <t>Accept the rejection gracefully</t>
  </si>
  <si>
    <t>+20 Self-Control +10 Empathy</t>
  </si>
  <si>
    <t>Find out why they rejected her</t>
  </si>
  <si>
    <t>E042</t>
  </si>
  <si>
    <t>Pulse Out of Control</t>
  </si>
  <si>
    <t>Lily's heartstrike pulse activates involuntarily during a moment of emotional intensity.</t>
  </si>
  <si>
    <t>Let it run its course</t>
  </si>
  <si>
    <t>Channel it into something useful</t>
  </si>
  <si>
    <t>+15 Power +15 Rationality -10 Self-Control</t>
  </si>
  <si>
    <t>E043</t>
  </si>
  <si>
    <t>The Martyr Moment</t>
  </si>
  <si>
    <t>Lily has the chance to take catastrophic damage to save everyone she loves.</t>
  </si>
  <si>
    <t>Take the damage without hesitation</t>
  </si>
  <si>
    <t>+25 Empathy +15 Assurance -25 Power</t>
  </si>
  <si>
    <t>Find a way to protect and survive</t>
  </si>
  <si>
    <t>+20 Visionary +15 Rationality -10 Empathy</t>
  </si>
  <si>
    <t>Ask for help instead</t>
  </si>
  <si>
    <t>+20 Sociability +10 Empathy -10 Assurance</t>
  </si>
  <si>
    <t>E044</t>
  </si>
  <si>
    <t>The Fire She Couldn't Stop</t>
  </si>
  <si>
    <t>Katie's Soulfire ignites completely outside of combat and she cannot extinguish it.</t>
  </si>
  <si>
    <t>Fight it with everything</t>
  </si>
  <si>
    <t>Let it burn until it exhausts</t>
  </si>
  <si>
    <t>+20 Power -20 Self-Control</t>
  </si>
  <si>
    <t>Find the emotional source</t>
  </si>
  <si>
    <t>+20 Rationality +15 Empathy -10 Power</t>
  </si>
  <si>
    <t>E045</t>
  </si>
  <si>
    <t>Katie is pushed to her absolute limit. Her Soulfire reaches a level she has never felt.</t>
  </si>
  <si>
    <t>Release everything</t>
  </si>
  <si>
    <t>+30 Power -20 Self-Control -10 Conscientiousness</t>
  </si>
  <si>
    <t>-20 Power +30 Self-Control</t>
  </si>
  <si>
    <t>Find the middle</t>
  </si>
  <si>
    <t>+15 Power +15 Self-Control -10 Assurance</t>
  </si>
  <si>
    <t>E046</t>
  </si>
  <si>
    <t>The Idealist's Breaking Point</t>
  </si>
  <si>
    <t>Everything Katie believed in is proven wrong in a single moment.</t>
  </si>
  <si>
    <t>Rebuild her beliefs</t>
  </si>
  <si>
    <t>+20 Visionary +15 Empathy -15 Assurance</t>
  </si>
  <si>
    <t>Abandon idealism entirely</t>
  </si>
  <si>
    <t>-20 Empathy +20 Rationality</t>
  </si>
  <si>
    <t>Find new meaning</t>
  </si>
  <si>
    <t>+15 Empathy +15 Visionary -10 Rationality</t>
  </si>
  <si>
    <t>E047</t>
  </si>
  <si>
    <t>Katie's Soulfire reaches a state where it could erase a person's will entirely.</t>
  </si>
  <si>
    <t>Use it on a deserving target</t>
  </si>
  <si>
    <t>Refuse to use it ever</t>
  </si>
  <si>
    <t>-20 Power +25 Empathy +10 Self-Control</t>
  </si>
  <si>
    <t>Learn to control it first</t>
  </si>
  <si>
    <t>+20 Self-Control +15 Rationality -10 Power</t>
  </si>
  <si>
    <t>E048</t>
  </si>
  <si>
    <t>The Emotion She Couldn't Read</t>
  </si>
  <si>
    <t>Sonia encounters someone completely immune to her perception. She cannot read them at all.</t>
  </si>
  <si>
    <t>Study them obsessively</t>
  </si>
  <si>
    <t>+20 Rationality +15 Visionary -10 Assurance</t>
  </si>
  <si>
    <t>Accept their opacity</t>
  </si>
  <si>
    <t>+15 Self-Control +10 Empathy</t>
  </si>
  <si>
    <t>Attempt to force a reading</t>
  </si>
  <si>
    <t>-15 Empathy +10 Power</t>
  </si>
  <si>
    <t>E049</t>
  </si>
  <si>
    <t>The Manipulation She Regrets</t>
  </si>
  <si>
    <t>Sonia realizes she has been subtly manipulating someone she genuinely cares about.</t>
  </si>
  <si>
    <t>Confess everything</t>
  </si>
  <si>
    <t>+20 Empathy -15 Assurance</t>
  </si>
  <si>
    <t>Undo the manipulation silently</t>
  </si>
  <si>
    <t>-10 Rationality +15 Empathy</t>
  </si>
  <si>
    <t>Justify it to herself</t>
  </si>
  <si>
    <t>-15 Empathy +15 Rationality</t>
  </si>
  <si>
    <t>E050</t>
  </si>
  <si>
    <t>Sonia realizes she could rewrite the emotional foundation of an entire group of people.</t>
  </si>
  <si>
    <t>Do it for their benefit</t>
  </si>
  <si>
    <t>-15 Empathy +20 Rationality +10 Power</t>
  </si>
  <si>
    <t>+25 Empathy -10 Power</t>
  </si>
  <si>
    <t>Do it with their consent</t>
  </si>
  <si>
    <t>+20 Empathy +15 Rationality -10 Power</t>
  </si>
  <si>
    <t>E051</t>
  </si>
  <si>
    <t>The Idea She Couldn't Finish</t>
  </si>
  <si>
    <t>Emily has her greatest idea ever but cannot bring herself to complete it.</t>
  </si>
  <si>
    <t>Push through and finish</t>
  </si>
  <si>
    <t>+20 Conscientiousness +10 Assurance -10 Visionary</t>
  </si>
  <si>
    <t>Let someone else finish it</t>
  </si>
  <si>
    <t>-10 Assurance +15 Empathy</t>
  </si>
  <si>
    <t>Abandon it and start something new</t>
  </si>
  <si>
    <t>+15 Visionary -15 Conscientiousness</t>
  </si>
  <si>
    <t>E052</t>
  </si>
  <si>
    <t>Phase Locked</t>
  </si>
  <si>
    <t>Emily becomes stuck partially phased and cannot return to full physicality.</t>
  </si>
  <si>
    <t>Force her way back</t>
  </si>
  <si>
    <t>Wait it out patiently</t>
  </si>
  <si>
    <t>Study the in-between state</t>
  </si>
  <si>
    <t>+20 Rationality +15 Visionary -10 Power</t>
  </si>
  <si>
    <t>E053</t>
  </si>
  <si>
    <t>The Dimension She Found</t>
  </si>
  <si>
    <t>While phasing Emily discovers a pocket dimension that nobody else knows exists.</t>
  </si>
  <si>
    <t>Map it immediately</t>
  </si>
  <si>
    <t>+20 Visionary +15 Rationality -10 Sociability</t>
  </si>
  <si>
    <t>Bring others to see it</t>
  </si>
  <si>
    <t>+20 Sociability +10 Empathy -10 Rationality</t>
  </si>
  <si>
    <t>Keep it secret</t>
  </si>
  <si>
    <t>+15 Self-Control +10 Assurance -10 Empathy</t>
  </si>
  <si>
    <t>E054</t>
  </si>
  <si>
    <t>Emily realizes she can phase others through matter as well as herself.</t>
  </si>
  <si>
    <t>Test it on a willing ally</t>
  </si>
  <si>
    <t>+20 Power +15 Empathy -10 Self-Control</t>
  </si>
  <si>
    <t>Test it on herself only</t>
  </si>
  <si>
    <t>+15 Power +15 Self-Control -10 Sociability</t>
  </si>
  <si>
    <t>Refuse to use it until fully understood</t>
  </si>
  <si>
    <t>-10 Power +20 Rationality +10 Self-Control</t>
  </si>
  <si>
    <t>E055</t>
  </si>
  <si>
    <t>The Mark That Wouldn't Break</t>
  </si>
  <si>
    <t>Himiko places her Dominion Mark on someone and it has no effect at all.</t>
  </si>
  <si>
    <t>Study their resistance</t>
  </si>
  <si>
    <t>Force the mark harder</t>
  </si>
  <si>
    <t>Respect their immunity</t>
  </si>
  <si>
    <t>E056</t>
  </si>
  <si>
    <t>The Leader Who Was Wrong</t>
  </si>
  <si>
    <t>Himiko leads everyone toward a decision that turns out to be catastrophically wrong.</t>
  </si>
  <si>
    <t>Own it completely</t>
  </si>
  <si>
    <t>+20 Empathy +15 Assurance -15 Rationality</t>
  </si>
  <si>
    <t>Protect others from the fallout</t>
  </si>
  <si>
    <t>E057</t>
  </si>
  <si>
    <t>Dominion Over All</t>
  </si>
  <si>
    <t>Himiko realizes she could mark every person in a city simultaneously.</t>
  </si>
  <si>
    <t>Attempt it</t>
  </si>
  <si>
    <t>+30 Power -25 Empathy -10 Self-Control</t>
  </si>
  <si>
    <t>Refuse immediately</t>
  </si>
  <si>
    <t>-10 Power +25 Empathy +15 Self-Control</t>
  </si>
  <si>
    <t>Study the implications first</t>
  </si>
  <si>
    <t>E058</t>
  </si>
  <si>
    <t>Level&gt;=65</t>
  </si>
  <si>
    <t>Himiko is asked to lead not a group but an entire nation through a crisis.</t>
  </si>
  <si>
    <t>Accept the responsibility</t>
  </si>
  <si>
    <t>+25 Assurance +20 Empathy -20 Self-Control</t>
  </si>
  <si>
    <t>Decline and find someone better</t>
  </si>
  <si>
    <t>-15 Assurance +25 Empathy +10 Rationality</t>
  </si>
  <si>
    <t>Accept with a council of equals</t>
  </si>
  <si>
    <t>+20 Empathy +15 Rationality +10 Assurance -15 Power</t>
  </si>
  <si>
    <t>Availabe Events:</t>
  </si>
  <si>
    <t>Timepstamp</t>
  </si>
  <si>
    <t>Choice</t>
  </si>
  <si>
    <t>Outcome</t>
  </si>
  <si>
    <t>HIROMI HP: 145</t>
  </si>
  <si>
    <t>HIROMI HP: 177</t>
  </si>
  <si>
    <t>PAULA HP: 130</t>
  </si>
  <si>
    <t>PAULA HP: 90</t>
  </si>
  <si>
    <t>HIROMI HP: 106</t>
  </si>
  <si>
    <t>PAULA HP: 53</t>
  </si>
  <si>
    <t>HIROMI HP: 65</t>
  </si>
  <si>
    <t>?? WINNER: HIROMI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</si>
</sst>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mic Sans MS"/>
      <family val="4"/>
    </font>
    <font>
      <sz val="10"/>
      <name val="Comic Sans MS"/>
      <family val="4"/>
    </font>
    <font>
      <b/>
      <sz val="10"/>
      <color theme="1"/>
      <name val="Comic Sans MS"/>
      <family val="4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64B4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0"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38100</xdr:colOff>
          <xdr:row>1</xdr:row>
          <xdr:rowOff>198120</xdr:rowOff>
        </xdr:from>
        <xdr:to>
          <xdr:col>6</xdr:col>
          <xdr:colOff>30480</xdr:colOff>
          <xdr:row>3</xdr:row>
          <xdr:rowOff>15240</xdr:rowOff>
        </xdr:to>
        <xdr:sp macro="" textlink="">
          <xdr:nvSpPr>
            <xdr:cNvPr id="2056" name="Button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GAIN XP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838200</xdr:colOff>
          <xdr:row>7</xdr:row>
          <xdr:rowOff>60960</xdr:rowOff>
        </xdr:from>
        <xdr:to>
          <xdr:col>3</xdr:col>
          <xdr:colOff>655320</xdr:colOff>
          <xdr:row>8</xdr:row>
          <xdr:rowOff>144780</xdr:rowOff>
        </xdr:to>
        <xdr:sp macro="" textlink="">
          <xdr:nvSpPr>
            <xdr:cNvPr id="10242" name="Butto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Start Battle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754380</xdr:colOff>
          <xdr:row>0</xdr:row>
          <xdr:rowOff>60960</xdr:rowOff>
        </xdr:from>
        <xdr:to>
          <xdr:col>4</xdr:col>
          <xdr:colOff>266700</xdr:colOff>
          <xdr:row>2</xdr:row>
          <xdr:rowOff>0</xdr:rowOff>
        </xdr:to>
        <xdr:sp macro="" textlink="">
          <xdr:nvSpPr>
            <xdr:cNvPr id="13318" name="Button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A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Trigger Event</a:t>
              </a:r>
            </a:p>
          </xdr:txBody>
        </xdr:sp>
        <xdr:clientData fPrintsWithSheet="0"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E2FC-8279-48C2-9C80-33A0B5002A51}">
  <sheetPr codeName="Sheet1"/>
  <dimension ref="A1:E17"/>
  <sheetViews>
    <sheetView workbookViewId="0">
      <selection activeCell="E3" sqref="E3"/>
    </sheetView>
  </sheetViews>
  <sheetFormatPr defaultRowHeight="16.2" x14ac:dyDescent="0.3"/>
  <cols>
    <col min="1" max="1" width="11.5546875" style="1" customWidth="1"/>
    <col min="2" max="2" width="13.44140625" style="1" customWidth="1"/>
    <col min="3" max="16384" width="8.88671875" style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3" t="s">
        <v>5</v>
      </c>
      <c r="B2" s="3" t="s">
        <v>25</v>
      </c>
      <c r="C2" s="3" t="s">
        <v>26</v>
      </c>
      <c r="D2" s="3">
        <v>5</v>
      </c>
      <c r="E2" s="3">
        <v>200</v>
      </c>
    </row>
    <row r="3" spans="1:5" x14ac:dyDescent="0.3">
      <c r="A3" s="3" t="s">
        <v>7</v>
      </c>
      <c r="B3" s="3" t="s">
        <v>25</v>
      </c>
      <c r="C3" s="3" t="s">
        <v>27</v>
      </c>
      <c r="D3" s="3">
        <v>5</v>
      </c>
      <c r="E3" s="3">
        <v>400</v>
      </c>
    </row>
    <row r="4" spans="1:5" x14ac:dyDescent="0.3">
      <c r="A4" s="3" t="s">
        <v>8</v>
      </c>
      <c r="B4" s="3" t="s">
        <v>25</v>
      </c>
      <c r="C4" s="3" t="s">
        <v>28</v>
      </c>
      <c r="D4" s="3">
        <v>1</v>
      </c>
      <c r="E4" s="3">
        <v>0</v>
      </c>
    </row>
    <row r="5" spans="1:5" x14ac:dyDescent="0.3">
      <c r="A5" s="3" t="s">
        <v>9</v>
      </c>
      <c r="B5" s="3" t="s">
        <v>25</v>
      </c>
      <c r="C5" s="3" t="s">
        <v>29</v>
      </c>
      <c r="D5" s="3">
        <v>1</v>
      </c>
      <c r="E5" s="3">
        <v>0</v>
      </c>
    </row>
    <row r="6" spans="1:5" x14ac:dyDescent="0.3">
      <c r="A6" s="3" t="s">
        <v>10</v>
      </c>
      <c r="B6" s="3" t="s">
        <v>30</v>
      </c>
      <c r="C6" s="3" t="s">
        <v>31</v>
      </c>
      <c r="D6" s="3">
        <v>6</v>
      </c>
      <c r="E6" s="3">
        <v>250</v>
      </c>
    </row>
    <row r="7" spans="1:5" x14ac:dyDescent="0.3">
      <c r="A7" s="3" t="s">
        <v>12</v>
      </c>
      <c r="B7" s="3" t="s">
        <v>30</v>
      </c>
      <c r="C7" s="3" t="s">
        <v>32</v>
      </c>
      <c r="D7" s="3">
        <v>1</v>
      </c>
      <c r="E7" s="3">
        <v>0</v>
      </c>
    </row>
    <row r="8" spans="1:5" x14ac:dyDescent="0.3">
      <c r="A8" s="3" t="s">
        <v>13</v>
      </c>
      <c r="B8" s="3" t="s">
        <v>30</v>
      </c>
      <c r="C8" s="3" t="s">
        <v>33</v>
      </c>
      <c r="D8" s="3">
        <v>1</v>
      </c>
      <c r="E8" s="3">
        <v>0</v>
      </c>
    </row>
    <row r="9" spans="1:5" x14ac:dyDescent="0.3">
      <c r="A9" s="3" t="s">
        <v>14</v>
      </c>
      <c r="B9" s="3" t="s">
        <v>30</v>
      </c>
      <c r="C9" s="3" t="s">
        <v>34</v>
      </c>
      <c r="D9" s="3">
        <v>1</v>
      </c>
      <c r="E9" s="3">
        <v>0</v>
      </c>
    </row>
    <row r="10" spans="1:5" x14ac:dyDescent="0.3">
      <c r="A10" s="3" t="s">
        <v>15</v>
      </c>
      <c r="B10" s="3" t="s">
        <v>35</v>
      </c>
      <c r="C10" s="3" t="s">
        <v>36</v>
      </c>
      <c r="D10" s="3">
        <v>1</v>
      </c>
      <c r="E10" s="3">
        <v>0</v>
      </c>
    </row>
    <row r="11" spans="1:5" x14ac:dyDescent="0.3">
      <c r="A11" s="3" t="s">
        <v>17</v>
      </c>
      <c r="B11" s="3" t="s">
        <v>35</v>
      </c>
      <c r="C11" s="3" t="s">
        <v>37</v>
      </c>
      <c r="D11" s="3">
        <v>1</v>
      </c>
      <c r="E11" s="3">
        <v>0</v>
      </c>
    </row>
    <row r="12" spans="1:5" x14ac:dyDescent="0.3">
      <c r="A12" s="3" t="s">
        <v>18</v>
      </c>
      <c r="B12" s="3" t="s">
        <v>35</v>
      </c>
      <c r="C12" s="3" t="s">
        <v>38</v>
      </c>
      <c r="D12" s="3">
        <v>1</v>
      </c>
      <c r="E12" s="3">
        <v>50</v>
      </c>
    </row>
    <row r="13" spans="1:5" x14ac:dyDescent="0.3">
      <c r="A13" s="3" t="s">
        <v>19</v>
      </c>
      <c r="B13" s="3" t="s">
        <v>35</v>
      </c>
      <c r="C13" s="3" t="s">
        <v>39</v>
      </c>
      <c r="D13" s="3">
        <v>1</v>
      </c>
      <c r="E13" s="3">
        <v>0</v>
      </c>
    </row>
    <row r="14" spans="1:5" x14ac:dyDescent="0.3">
      <c r="A14" s="3" t="s">
        <v>20</v>
      </c>
      <c r="B14" s="3" t="s">
        <v>40</v>
      </c>
      <c r="C14" s="3" t="s">
        <v>41</v>
      </c>
      <c r="D14" s="3">
        <v>1</v>
      </c>
      <c r="E14" s="3">
        <v>0</v>
      </c>
    </row>
    <row r="15" spans="1:5" x14ac:dyDescent="0.3">
      <c r="A15" s="3" t="s">
        <v>22</v>
      </c>
      <c r="B15" s="3" t="s">
        <v>40</v>
      </c>
      <c r="C15" s="3" t="s">
        <v>42</v>
      </c>
      <c r="D15" s="3">
        <v>1</v>
      </c>
      <c r="E15" s="3">
        <v>0</v>
      </c>
    </row>
    <row r="16" spans="1:5" x14ac:dyDescent="0.3">
      <c r="A16" s="3" t="s">
        <v>23</v>
      </c>
      <c r="B16" s="3" t="s">
        <v>40</v>
      </c>
      <c r="C16" s="3" t="s">
        <v>43</v>
      </c>
      <c r="D16" s="3">
        <v>1</v>
      </c>
      <c r="E16" s="3">
        <v>0</v>
      </c>
    </row>
    <row r="17" spans="1:5" x14ac:dyDescent="0.3">
      <c r="A17" s="3" t="s">
        <v>24</v>
      </c>
      <c r="B17" s="3" t="s">
        <v>40</v>
      </c>
      <c r="C17" s="3" t="s">
        <v>44</v>
      </c>
      <c r="D17" s="3">
        <v>1</v>
      </c>
      <c r="E17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1779-2860-4815-9AC2-0404A471843A}">
  <sheetPr codeName="Sheet2"/>
  <dimension ref="A1:D18"/>
  <sheetViews>
    <sheetView workbookViewId="0">
      <selection activeCell="B2" sqref="B2"/>
    </sheetView>
  </sheetViews>
  <sheetFormatPr defaultRowHeight="16.2" x14ac:dyDescent="0.3"/>
  <cols>
    <col min="1" max="1" width="18.44140625" style="1" customWidth="1"/>
    <col min="2" max="2" width="13.21875" style="1" customWidth="1"/>
    <col min="3" max="3" width="9.6640625" style="1" customWidth="1"/>
    <col min="4" max="4" width="28.33203125" style="1" customWidth="1"/>
    <col min="5" max="16384" width="8.88671875" style="1"/>
  </cols>
  <sheetData>
    <row r="1" spans="1:4" x14ac:dyDescent="0.3">
      <c r="A1" s="3" t="s">
        <v>54</v>
      </c>
      <c r="B1" s="3" t="s">
        <v>7</v>
      </c>
      <c r="C1" s="13" t="s">
        <v>62</v>
      </c>
      <c r="D1" s="13" t="str">
        <f>REPT("█", ROUND((B3/B4)*20, 0))&amp;REPT("░", 20-ROUND((B3/B4)*20, 0))</f>
        <v>████████████████░░░░</v>
      </c>
    </row>
    <row r="2" spans="1:4" x14ac:dyDescent="0.3">
      <c r="A2" s="3" t="s">
        <v>3</v>
      </c>
      <c r="B2" s="3">
        <f>VLOOKUP(B1, Characters!$A$2:$E$17, 4, FALSE)</f>
        <v>5</v>
      </c>
      <c r="C2" s="13"/>
      <c r="D2" s="13"/>
    </row>
    <row r="3" spans="1:4" x14ac:dyDescent="0.3">
      <c r="A3" s="3" t="s">
        <v>4</v>
      </c>
      <c r="B3" s="3">
        <f>VLOOKUP(B1, Characters!$A$2:$E$17, 5, FALSE)</f>
        <v>400</v>
      </c>
      <c r="C3" s="13"/>
      <c r="D3" s="13"/>
    </row>
    <row r="4" spans="1:4" x14ac:dyDescent="0.3">
      <c r="A4" s="3" t="s">
        <v>55</v>
      </c>
      <c r="B4" s="4">
        <f>B2*100</f>
        <v>500</v>
      </c>
      <c r="C4" s="13"/>
      <c r="D4" s="13"/>
    </row>
    <row r="7" spans="1:4" x14ac:dyDescent="0.3">
      <c r="A7" s="3" t="s">
        <v>56</v>
      </c>
      <c r="B7" s="3" t="s">
        <v>57</v>
      </c>
      <c r="C7" s="3" t="s">
        <v>58</v>
      </c>
      <c r="D7" s="3" t="s">
        <v>59</v>
      </c>
    </row>
    <row r="8" spans="1:4" x14ac:dyDescent="0.3">
      <c r="A8" s="3" t="s">
        <v>45</v>
      </c>
      <c r="B8" s="3">
        <f>VLOOKUP($B$1, StatDB!$A$1:$L$17, 2, FALSE)</f>
        <v>80</v>
      </c>
      <c r="C8" s="3">
        <f>ROUND(B8*0.02, 1)</f>
        <v>1.6</v>
      </c>
      <c r="D8" s="3">
        <f>ROUND(B8+(C8*($B$2-1)), 1)</f>
        <v>86.4</v>
      </c>
    </row>
    <row r="9" spans="1:4" x14ac:dyDescent="0.3">
      <c r="A9" s="3" t="s">
        <v>46</v>
      </c>
      <c r="B9" s="3">
        <f>VLOOKUP($B$1, StatDB!$A$1:$L$17, 3, FALSE)</f>
        <v>95</v>
      </c>
      <c r="C9" s="3">
        <f t="shared" ref="C9:C18" si="0">ROUND(B9*0.02, 1)</f>
        <v>1.9</v>
      </c>
      <c r="D9" s="3">
        <f>ROUND(B9+(C9*($B$2-1)), 1)</f>
        <v>102.6</v>
      </c>
    </row>
    <row r="10" spans="1:4" x14ac:dyDescent="0.3">
      <c r="A10" s="3" t="s">
        <v>47</v>
      </c>
      <c r="B10" s="3">
        <f>VLOOKUP($B$1, StatDB!$A$1:$L$17, 4, FALSE)</f>
        <v>75</v>
      </c>
      <c r="C10" s="3">
        <f t="shared" si="0"/>
        <v>1.5</v>
      </c>
      <c r="D10" s="3">
        <f t="shared" ref="D10:D18" si="1">ROUND(B10+(C10*($B$2-1)), 1)</f>
        <v>81</v>
      </c>
    </row>
    <row r="11" spans="1:4" x14ac:dyDescent="0.3">
      <c r="A11" s="3" t="s">
        <v>48</v>
      </c>
      <c r="B11" s="3">
        <f>VLOOKUP($B$1, StatDB!$A$1:$L$17, 5, FALSE)</f>
        <v>40</v>
      </c>
      <c r="C11" s="3">
        <f t="shared" si="0"/>
        <v>0.8</v>
      </c>
      <c r="D11" s="3">
        <f t="shared" si="1"/>
        <v>43.2</v>
      </c>
    </row>
    <row r="12" spans="1:4" x14ac:dyDescent="0.3">
      <c r="A12" s="3" t="s">
        <v>49</v>
      </c>
      <c r="B12" s="3">
        <f>VLOOKUP($B$1, StatDB!$A$1:$L$17, 6, FALSE)</f>
        <v>20</v>
      </c>
      <c r="C12" s="3">
        <f t="shared" si="0"/>
        <v>0.4</v>
      </c>
      <c r="D12" s="3">
        <f t="shared" si="1"/>
        <v>21.6</v>
      </c>
    </row>
    <row r="13" spans="1:4" x14ac:dyDescent="0.3">
      <c r="A13" s="3" t="s">
        <v>60</v>
      </c>
      <c r="B13" s="3">
        <f>VLOOKUP($B$1, StatDB!$A$1:$L$17, 7, FALSE)</f>
        <v>20</v>
      </c>
      <c r="C13" s="3">
        <f t="shared" si="0"/>
        <v>0.4</v>
      </c>
      <c r="D13" s="3">
        <f t="shared" si="1"/>
        <v>21.6</v>
      </c>
    </row>
    <row r="14" spans="1:4" x14ac:dyDescent="0.3">
      <c r="A14" s="3" t="s">
        <v>50</v>
      </c>
      <c r="B14" s="3">
        <f>VLOOKUP($B$1, StatDB!$A$1:$L$17, 8, FALSE)</f>
        <v>25</v>
      </c>
      <c r="C14" s="3">
        <f t="shared" si="0"/>
        <v>0.5</v>
      </c>
      <c r="D14" s="3">
        <f t="shared" si="1"/>
        <v>27</v>
      </c>
    </row>
    <row r="15" spans="1:4" x14ac:dyDescent="0.3">
      <c r="A15" s="3" t="s">
        <v>61</v>
      </c>
      <c r="B15" s="3">
        <f>VLOOKUP($B$1, StatDB!$A$1:$L$17, 9, FALSE)</f>
        <v>85</v>
      </c>
      <c r="C15" s="3">
        <f t="shared" si="0"/>
        <v>1.7</v>
      </c>
      <c r="D15" s="3">
        <f t="shared" si="1"/>
        <v>91.8</v>
      </c>
    </row>
    <row r="16" spans="1:4" x14ac:dyDescent="0.3">
      <c r="A16" s="3" t="s">
        <v>51</v>
      </c>
      <c r="B16" s="3">
        <f>VLOOKUP($B$1, StatDB!$A$1:$L$17, 10, FALSE)</f>
        <v>80</v>
      </c>
      <c r="C16" s="3">
        <f t="shared" si="0"/>
        <v>1.6</v>
      </c>
      <c r="D16" s="3">
        <f t="shared" si="1"/>
        <v>86.4</v>
      </c>
    </row>
    <row r="17" spans="1:4" x14ac:dyDescent="0.3">
      <c r="A17" s="3" t="s">
        <v>52</v>
      </c>
      <c r="B17" s="3">
        <f>VLOOKUP($B$1, StatDB!$A$1:$L$17, 11, FALSE)</f>
        <v>93</v>
      </c>
      <c r="C17" s="3">
        <f t="shared" si="0"/>
        <v>1.9</v>
      </c>
      <c r="D17" s="3">
        <f t="shared" si="1"/>
        <v>100.6</v>
      </c>
    </row>
    <row r="18" spans="1:4" x14ac:dyDescent="0.3">
      <c r="A18" s="3" t="s">
        <v>53</v>
      </c>
      <c r="B18" s="3">
        <f>VLOOKUP($B$1, StatDB!$A$1:$L$17, 12, FALSE)</f>
        <v>65</v>
      </c>
      <c r="C18" s="3">
        <f t="shared" si="0"/>
        <v>1.3</v>
      </c>
      <c r="D18" s="3">
        <f t="shared" si="1"/>
        <v>70.2</v>
      </c>
    </row>
  </sheetData>
  <mergeCells count="2">
    <mergeCell ref="C1:C4"/>
    <mergeCell ref="D1:D4"/>
  </mergeCells>
  <conditionalFormatting sqref="D8:D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6" r:id="rId3" name="Button 8">
              <controlPr defaultSize="0" print="0" autoFill="0" autoPict="0" macro="[0]!GainXP">
                <anchor moveWithCells="1" sizeWithCells="1">
                  <from>
                    <xdr:col>4</xdr:col>
                    <xdr:colOff>38100</xdr:colOff>
                    <xdr:row>1</xdr:row>
                    <xdr:rowOff>198120</xdr:rowOff>
                  </from>
                  <to>
                    <xdr:col>6</xdr:col>
                    <xdr:colOff>30480</xdr:colOff>
                    <xdr:row>3</xdr:row>
                    <xdr:rowOff>15240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AB94DA-E5B4-45B4-83B9-F3C1D3464CA1}">
          <x14:formula1>
            <xm:f>Characters!$A$2:$A$17</xm:f>
          </x14:formula1>
          <xm:sqref>B1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FCD1-9344-4CD4-97A4-55176FCD1717}">
  <sheetPr codeName="Sheet3"/>
  <dimension ref="A1:L17"/>
  <sheetViews>
    <sheetView topLeftCell="G1" workbookViewId="0">
      <selection activeCell="I3" sqref="I3"/>
    </sheetView>
  </sheetViews>
  <sheetFormatPr defaultRowHeight="16.2" x14ac:dyDescent="0.3"/>
  <cols>
    <col min="1" max="1" width="12.33203125" style="1" customWidth="1"/>
    <col min="2" max="3" width="8.88671875" style="1"/>
    <col min="4" max="4" width="17.88671875" style="1" customWidth="1"/>
    <col min="5" max="5" width="15.21875" style="1" customWidth="1"/>
    <col min="6" max="6" width="13.44140625" style="1" customWidth="1"/>
    <col min="7" max="7" width="12.109375" style="1" customWidth="1"/>
    <col min="8" max="8" width="8.88671875" style="1"/>
    <col min="9" max="9" width="13.5546875" style="1" customWidth="1"/>
    <col min="10" max="10" width="18.109375" style="1" customWidth="1"/>
    <col min="11" max="11" width="12.88671875" style="1" customWidth="1"/>
    <col min="12" max="12" width="10.33203125" style="1" customWidth="1"/>
    <col min="13" max="16384" width="8.88671875" style="1"/>
  </cols>
  <sheetData>
    <row r="1" spans="1:12" x14ac:dyDescent="0.3">
      <c r="A1" s="3" t="s">
        <v>63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60</v>
      </c>
      <c r="H1" s="3" t="s">
        <v>50</v>
      </c>
      <c r="I1" s="3" t="s">
        <v>61</v>
      </c>
      <c r="J1" s="3" t="s">
        <v>51</v>
      </c>
      <c r="K1" s="3" t="s">
        <v>52</v>
      </c>
      <c r="L1" s="3" t="s">
        <v>53</v>
      </c>
    </row>
    <row r="2" spans="1:12" x14ac:dyDescent="0.3">
      <c r="A2" s="2" t="s">
        <v>5</v>
      </c>
      <c r="B2" s="3">
        <v>75</v>
      </c>
      <c r="C2" s="3">
        <v>90</v>
      </c>
      <c r="D2" s="3">
        <v>80</v>
      </c>
      <c r="E2" s="3">
        <v>45</v>
      </c>
      <c r="F2" s="3">
        <v>20</v>
      </c>
      <c r="G2" s="3">
        <v>25</v>
      </c>
      <c r="H2" s="3">
        <v>35</v>
      </c>
      <c r="I2" s="3">
        <v>60</v>
      </c>
      <c r="J2" s="3">
        <v>65</v>
      </c>
      <c r="K2" s="3">
        <v>110</v>
      </c>
      <c r="L2" s="3">
        <v>50</v>
      </c>
    </row>
    <row r="3" spans="1:12" x14ac:dyDescent="0.3">
      <c r="A3" s="2" t="s">
        <v>7</v>
      </c>
      <c r="B3" s="3">
        <v>80</v>
      </c>
      <c r="C3" s="3">
        <v>95</v>
      </c>
      <c r="D3" s="3">
        <v>75</v>
      </c>
      <c r="E3" s="3">
        <v>40</v>
      </c>
      <c r="F3" s="3">
        <v>20</v>
      </c>
      <c r="G3" s="3">
        <v>20</v>
      </c>
      <c r="H3" s="3">
        <v>25</v>
      </c>
      <c r="I3" s="3">
        <v>85</v>
      </c>
      <c r="J3" s="3">
        <v>80</v>
      </c>
      <c r="K3" s="3">
        <v>93</v>
      </c>
      <c r="L3" s="3">
        <v>65</v>
      </c>
    </row>
    <row r="4" spans="1:12" x14ac:dyDescent="0.3">
      <c r="A4" s="2" t="s">
        <v>8</v>
      </c>
      <c r="B4" s="3">
        <v>70</v>
      </c>
      <c r="C4" s="3">
        <v>85</v>
      </c>
      <c r="D4" s="3">
        <v>88</v>
      </c>
      <c r="E4" s="3">
        <v>80</v>
      </c>
      <c r="F4" s="3">
        <v>85</v>
      </c>
      <c r="G4" s="3">
        <v>75</v>
      </c>
      <c r="H4" s="3">
        <v>40</v>
      </c>
      <c r="I4" s="3">
        <v>35</v>
      </c>
      <c r="J4" s="3">
        <v>45</v>
      </c>
      <c r="K4" s="3">
        <v>85</v>
      </c>
      <c r="L4" s="3">
        <v>88</v>
      </c>
    </row>
    <row r="5" spans="1:12" x14ac:dyDescent="0.3">
      <c r="A5" s="2" t="s">
        <v>9</v>
      </c>
      <c r="B5" s="3">
        <v>90</v>
      </c>
      <c r="C5" s="3">
        <v>80</v>
      </c>
      <c r="D5" s="3">
        <v>85</v>
      </c>
      <c r="E5" s="3">
        <v>75</v>
      </c>
      <c r="F5" s="3">
        <v>80</v>
      </c>
      <c r="G5" s="3">
        <v>60</v>
      </c>
      <c r="H5" s="3">
        <v>30</v>
      </c>
      <c r="I5" s="3">
        <v>55</v>
      </c>
      <c r="J5" s="3">
        <v>75</v>
      </c>
      <c r="K5" s="3">
        <v>88</v>
      </c>
      <c r="L5" s="3">
        <v>95</v>
      </c>
    </row>
    <row r="6" spans="1:12" x14ac:dyDescent="0.3">
      <c r="A6" s="3" t="s">
        <v>10</v>
      </c>
      <c r="B6" s="3">
        <v>95</v>
      </c>
      <c r="C6" s="3">
        <v>70</v>
      </c>
      <c r="D6" s="3">
        <v>98</v>
      </c>
      <c r="E6" s="3">
        <v>55</v>
      </c>
      <c r="F6" s="3">
        <v>35</v>
      </c>
      <c r="G6" s="3">
        <v>35</v>
      </c>
      <c r="H6" s="3">
        <v>45</v>
      </c>
      <c r="I6" s="3">
        <v>65</v>
      </c>
      <c r="J6" s="3">
        <v>60</v>
      </c>
      <c r="K6" s="3">
        <v>80</v>
      </c>
      <c r="L6" s="3">
        <v>75</v>
      </c>
    </row>
    <row r="7" spans="1:12" x14ac:dyDescent="0.3">
      <c r="A7" s="3" t="s">
        <v>12</v>
      </c>
      <c r="B7" s="3">
        <v>70</v>
      </c>
      <c r="C7" s="3">
        <v>65</v>
      </c>
      <c r="D7" s="3">
        <v>78</v>
      </c>
      <c r="E7" s="3">
        <v>50</v>
      </c>
      <c r="F7" s="3">
        <v>25</v>
      </c>
      <c r="G7" s="3">
        <v>50</v>
      </c>
      <c r="H7" s="3">
        <v>80</v>
      </c>
      <c r="I7" s="3">
        <v>65</v>
      </c>
      <c r="J7" s="3">
        <v>70</v>
      </c>
      <c r="K7" s="3">
        <v>60</v>
      </c>
      <c r="L7" s="3">
        <v>45</v>
      </c>
    </row>
    <row r="8" spans="1:12" x14ac:dyDescent="0.3">
      <c r="A8" s="3" t="s">
        <v>13</v>
      </c>
      <c r="B8" s="3">
        <v>88</v>
      </c>
      <c r="C8" s="3">
        <v>50</v>
      </c>
      <c r="D8" s="3">
        <v>85</v>
      </c>
      <c r="E8" s="3">
        <v>65</v>
      </c>
      <c r="F8" s="3">
        <v>85</v>
      </c>
      <c r="G8" s="3">
        <v>70</v>
      </c>
      <c r="H8" s="3">
        <v>30</v>
      </c>
      <c r="I8" s="3">
        <v>30</v>
      </c>
      <c r="J8" s="3">
        <v>35</v>
      </c>
      <c r="K8" s="3">
        <v>60</v>
      </c>
      <c r="L8" s="3">
        <v>88</v>
      </c>
    </row>
    <row r="9" spans="1:12" x14ac:dyDescent="0.3">
      <c r="A9" s="3" t="s">
        <v>14</v>
      </c>
      <c r="B9" s="3">
        <v>60</v>
      </c>
      <c r="C9" s="3">
        <v>45</v>
      </c>
      <c r="D9" s="3">
        <v>80</v>
      </c>
      <c r="E9" s="3">
        <v>75</v>
      </c>
      <c r="F9" s="3">
        <v>88</v>
      </c>
      <c r="G9" s="3">
        <v>90</v>
      </c>
      <c r="H9" s="3">
        <v>75</v>
      </c>
      <c r="I9" s="3">
        <v>40</v>
      </c>
      <c r="J9" s="3">
        <v>45</v>
      </c>
      <c r="K9" s="3">
        <v>45</v>
      </c>
      <c r="L9" s="3">
        <v>70</v>
      </c>
    </row>
    <row r="10" spans="1:12" x14ac:dyDescent="0.3">
      <c r="A10" s="3" t="s">
        <v>15</v>
      </c>
      <c r="B10" s="3">
        <v>78</v>
      </c>
      <c r="C10" s="3">
        <v>85</v>
      </c>
      <c r="D10" s="3">
        <v>70</v>
      </c>
      <c r="E10" s="3">
        <v>45</v>
      </c>
      <c r="F10" s="3">
        <v>25</v>
      </c>
      <c r="G10" s="3">
        <v>40</v>
      </c>
      <c r="H10" s="3">
        <v>50</v>
      </c>
      <c r="I10" s="3">
        <v>88</v>
      </c>
      <c r="J10" s="3">
        <v>90</v>
      </c>
      <c r="K10" s="3">
        <v>75</v>
      </c>
      <c r="L10" s="3">
        <v>60</v>
      </c>
    </row>
    <row r="11" spans="1:12" x14ac:dyDescent="0.3">
      <c r="A11" s="3" t="s">
        <v>17</v>
      </c>
      <c r="B11" s="3">
        <v>75</v>
      </c>
      <c r="C11" s="3">
        <v>60</v>
      </c>
      <c r="D11" s="3">
        <v>72</v>
      </c>
      <c r="E11" s="3">
        <v>50</v>
      </c>
      <c r="F11" s="3">
        <v>20</v>
      </c>
      <c r="G11" s="3">
        <v>55</v>
      </c>
      <c r="H11" s="3">
        <v>90</v>
      </c>
      <c r="I11" s="3">
        <v>80</v>
      </c>
      <c r="J11" s="3">
        <v>85</v>
      </c>
      <c r="K11" s="3">
        <v>65</v>
      </c>
      <c r="L11" s="3">
        <v>40</v>
      </c>
    </row>
    <row r="12" spans="1:12" x14ac:dyDescent="0.3">
      <c r="A12" s="3" t="s">
        <v>18</v>
      </c>
      <c r="B12" s="3">
        <v>92</v>
      </c>
      <c r="C12" s="3">
        <v>65</v>
      </c>
      <c r="D12" s="3">
        <v>80</v>
      </c>
      <c r="E12" s="3">
        <v>70</v>
      </c>
      <c r="F12" s="3">
        <v>80</v>
      </c>
      <c r="G12" s="3">
        <v>65</v>
      </c>
      <c r="H12" s="3">
        <v>25</v>
      </c>
      <c r="I12" s="3">
        <v>50</v>
      </c>
      <c r="J12" s="3">
        <v>70</v>
      </c>
      <c r="K12" s="3">
        <v>78</v>
      </c>
      <c r="L12" s="3">
        <v>95</v>
      </c>
    </row>
    <row r="13" spans="1:12" x14ac:dyDescent="0.3">
      <c r="A13" s="3" t="s">
        <v>19</v>
      </c>
      <c r="B13" s="3">
        <v>55</v>
      </c>
      <c r="C13" s="3">
        <v>50</v>
      </c>
      <c r="D13" s="3">
        <v>70</v>
      </c>
      <c r="E13" s="3">
        <v>88</v>
      </c>
      <c r="F13" s="3">
        <v>88</v>
      </c>
      <c r="G13" s="3">
        <v>95</v>
      </c>
      <c r="H13" s="3">
        <v>88</v>
      </c>
      <c r="I13" s="3">
        <v>45</v>
      </c>
      <c r="J13" s="3">
        <v>65</v>
      </c>
      <c r="K13" s="3">
        <v>50</v>
      </c>
      <c r="L13" s="3">
        <v>70</v>
      </c>
    </row>
    <row r="14" spans="1:12" x14ac:dyDescent="0.3">
      <c r="A14" s="3" t="s">
        <v>20</v>
      </c>
      <c r="B14" s="3">
        <v>72</v>
      </c>
      <c r="C14" s="3">
        <v>80</v>
      </c>
      <c r="D14" s="3">
        <v>60</v>
      </c>
      <c r="E14" s="3">
        <v>55</v>
      </c>
      <c r="F14" s="3">
        <v>25</v>
      </c>
      <c r="G14" s="3">
        <v>45</v>
      </c>
      <c r="H14" s="3">
        <v>95</v>
      </c>
      <c r="I14" s="3">
        <v>40</v>
      </c>
      <c r="J14" s="3">
        <v>55</v>
      </c>
      <c r="K14" s="3">
        <v>55</v>
      </c>
      <c r="L14" s="3">
        <v>35</v>
      </c>
    </row>
    <row r="15" spans="1:12" x14ac:dyDescent="0.3">
      <c r="A15" s="3" t="s">
        <v>22</v>
      </c>
      <c r="B15" s="3">
        <v>60</v>
      </c>
      <c r="C15" s="3">
        <v>88</v>
      </c>
      <c r="D15" s="3">
        <v>72</v>
      </c>
      <c r="E15" s="3">
        <v>50</v>
      </c>
      <c r="F15" s="3">
        <v>20</v>
      </c>
      <c r="G15" s="3">
        <v>40</v>
      </c>
      <c r="H15" s="3">
        <v>88</v>
      </c>
      <c r="I15" s="3">
        <v>70</v>
      </c>
      <c r="J15" s="3">
        <v>65</v>
      </c>
      <c r="K15" s="3">
        <v>85</v>
      </c>
      <c r="L15" s="3">
        <v>55</v>
      </c>
    </row>
    <row r="16" spans="1:12" x14ac:dyDescent="0.3">
      <c r="A16" s="3" t="s">
        <v>23</v>
      </c>
      <c r="B16" s="3">
        <v>55</v>
      </c>
      <c r="C16" s="3">
        <v>85</v>
      </c>
      <c r="D16" s="3">
        <v>78</v>
      </c>
      <c r="E16" s="3">
        <v>78</v>
      </c>
      <c r="F16" s="3">
        <v>85</v>
      </c>
      <c r="G16" s="3">
        <v>80</v>
      </c>
      <c r="H16" s="3">
        <v>80</v>
      </c>
      <c r="I16" s="3">
        <v>25</v>
      </c>
      <c r="J16" s="3">
        <v>30</v>
      </c>
      <c r="K16" s="3">
        <v>55</v>
      </c>
      <c r="L16" s="3">
        <v>65</v>
      </c>
    </row>
    <row r="17" spans="1:12" x14ac:dyDescent="0.3">
      <c r="A17" s="3" t="s">
        <v>24</v>
      </c>
      <c r="B17" s="3">
        <v>65</v>
      </c>
      <c r="C17" s="3">
        <v>78</v>
      </c>
      <c r="D17" s="3">
        <v>70</v>
      </c>
      <c r="E17" s="3">
        <v>88</v>
      </c>
      <c r="F17" s="3">
        <v>88</v>
      </c>
      <c r="G17" s="3">
        <v>90</v>
      </c>
      <c r="H17" s="3">
        <v>85</v>
      </c>
      <c r="I17" s="3">
        <v>55</v>
      </c>
      <c r="J17" s="3">
        <v>65</v>
      </c>
      <c r="K17" s="3">
        <v>60</v>
      </c>
      <c r="L17" s="3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9054-DB9C-4943-80EB-7A196B2A4A28}">
  <sheetPr codeName="Sheet4"/>
  <dimension ref="A1:E21"/>
  <sheetViews>
    <sheetView workbookViewId="0">
      <selection activeCell="B2" sqref="B2"/>
    </sheetView>
  </sheetViews>
  <sheetFormatPr defaultRowHeight="16.2" x14ac:dyDescent="0.3"/>
  <cols>
    <col min="1" max="1" width="26.21875" style="1" customWidth="1"/>
    <col min="2" max="2" width="12.6640625" style="1" customWidth="1"/>
    <col min="3" max="3" width="9.44140625" style="1" customWidth="1"/>
    <col min="4" max="4" width="14.88671875" style="1" customWidth="1"/>
    <col min="5" max="5" width="35.21875" style="1" customWidth="1"/>
    <col min="6" max="16384" width="8.88671875" style="1"/>
  </cols>
  <sheetData>
    <row r="1" spans="1:5" x14ac:dyDescent="0.3">
      <c r="A1" s="3" t="s">
        <v>54</v>
      </c>
      <c r="B1" s="3" t="str">
        <f>Stats!B1</f>
        <v>HIROMI</v>
      </c>
    </row>
    <row r="2" spans="1:5" x14ac:dyDescent="0.3">
      <c r="A2" s="3" t="s">
        <v>3</v>
      </c>
      <c r="B2" s="3">
        <f>Stats!B2</f>
        <v>5</v>
      </c>
    </row>
    <row r="4" spans="1:5" ht="32.4" x14ac:dyDescent="0.3">
      <c r="A4" s="3" t="s">
        <v>64</v>
      </c>
      <c r="B4" s="3" t="s">
        <v>65</v>
      </c>
      <c r="C4" s="6" t="s">
        <v>66</v>
      </c>
      <c r="D4" s="3" t="s">
        <v>67</v>
      </c>
      <c r="E4" s="3" t="s">
        <v>68</v>
      </c>
    </row>
    <row r="5" spans="1:5" x14ac:dyDescent="0.3">
      <c r="A5" s="3" t="str" cm="1">
        <f t="array" ref="A5:A16">_xlfn._xlws.FILTER(SkillDB!$B$2:$B$193, SkillDB!$A$2:$A193=B1, "")</f>
        <v>System Architect</v>
      </c>
      <c r="B5" s="3" t="str" cm="1">
        <f t="array" ref="B5:B16">_xlfn._xlws.FILTER(SkillDB!$C$2:$C$193, SkillDB!$A$2:$A$193=B1, "")</f>
        <v>Passive</v>
      </c>
      <c r="C5" s="3" cm="1">
        <f t="array" ref="C5:C16">_xlfn._xlws.FILTER(SkillDB!$D$2:$D$193, SkillDB!$A$2:$A$193=B1, "")</f>
        <v>1</v>
      </c>
      <c r="D5" s="3" t="str">
        <f>IF($B$2&gt;=C5, "✅ UNLOCKED", IF($B$2&gt;=C5-10,"🔒 ALMOST","❌ LOCKED"))</f>
        <v>✅ UNLOCKED</v>
      </c>
      <c r="E5" s="3" t="str" cm="1">
        <f t="array" ref="E5:E16">_xlfn._xlws.FILTER(SkillDB!$E$2:$E$193, SkillDB!$A$2:$A$193=B1, "")</f>
        <v>Build unbreakable mental models</v>
      </c>
    </row>
    <row r="6" spans="1:5" x14ac:dyDescent="0.3">
      <c r="A6" s="3" t="str">
        <v>Gravity Rend I</v>
      </c>
      <c r="B6" s="3" t="str">
        <v>Combat</v>
      </c>
      <c r="C6" s="3">
        <v>5</v>
      </c>
      <c r="D6" s="3" t="str">
        <f t="shared" ref="D6:D16" si="0">IF($B$2&gt;=C6, "✅ UNLOCKED", IF($B$2&gt;=C6-10,"🔒 ALMOST","❌ LOCKED"))</f>
        <v>✅ UNLOCKED</v>
      </c>
      <c r="E6" s="3" t="str">
        <v>Basic gravitational fracture</v>
      </c>
    </row>
    <row r="7" spans="1:5" x14ac:dyDescent="0.3">
      <c r="A7" s="3" t="str">
        <v>Blueprint Mind</v>
      </c>
      <c r="B7" s="3" t="str">
        <v>Passive</v>
      </c>
      <c r="C7" s="3">
        <v>10</v>
      </c>
      <c r="D7" s="3" t="str">
        <f t="shared" si="0"/>
        <v>🔒 ALMOST</v>
      </c>
      <c r="E7" s="3" t="str">
        <v>Long term planning mastery</v>
      </c>
    </row>
    <row r="8" spans="1:5" x14ac:dyDescent="0.3">
      <c r="A8" s="3" t="str">
        <v>Cold Skeptic</v>
      </c>
      <c r="B8" s="3" t="str">
        <v>Passive</v>
      </c>
      <c r="C8" s="3">
        <v>15</v>
      </c>
      <c r="D8" s="3" t="str">
        <f t="shared" si="0"/>
        <v>🔒 ALMOST</v>
      </c>
      <c r="E8" s="3" t="str">
        <v>Resist manipulation attempts</v>
      </c>
    </row>
    <row r="9" spans="1:5" x14ac:dyDescent="0.3">
      <c r="A9" s="3" t="str">
        <v>Gravity Rend II</v>
      </c>
      <c r="B9" s="3" t="str">
        <v>Combat</v>
      </c>
      <c r="C9" s="3">
        <v>20</v>
      </c>
      <c r="D9" s="3" t="str">
        <f t="shared" si="0"/>
        <v>❌ LOCKED</v>
      </c>
      <c r="E9" s="3" t="str">
        <v>Compressed sphere of gravity</v>
      </c>
    </row>
    <row r="10" spans="1:5" x14ac:dyDescent="0.3">
      <c r="A10" s="3" t="str">
        <v>Inevitable Design</v>
      </c>
      <c r="B10" s="3" t="str">
        <v>Passive</v>
      </c>
      <c r="C10" s="3">
        <v>25</v>
      </c>
      <c r="D10" s="3" t="str">
        <f t="shared" si="0"/>
        <v>❌ LOCKED</v>
      </c>
      <c r="E10" s="3" t="str">
        <v>Plans execute with 20% more force</v>
      </c>
    </row>
    <row r="11" spans="1:5" x14ac:dyDescent="0.3">
      <c r="A11" s="3" t="str">
        <v>Implosion Field</v>
      </c>
      <c r="B11" s="3" t="str">
        <v>Combat</v>
      </c>
      <c r="C11" s="3">
        <v>35</v>
      </c>
      <c r="D11" s="3" t="str">
        <f t="shared" si="0"/>
        <v>❌ LOCKED</v>
      </c>
      <c r="E11" s="3" t="str">
        <v>Structures collapse inward</v>
      </c>
    </row>
    <row r="12" spans="1:5" x14ac:dyDescent="0.3">
      <c r="A12" s="3" t="str">
        <v>Engineered Fate</v>
      </c>
      <c r="B12" s="3" t="str">
        <v>Passive</v>
      </c>
      <c r="C12" s="3">
        <v>45</v>
      </c>
      <c r="D12" s="3" t="str">
        <f t="shared" si="0"/>
        <v>❌ LOCKED</v>
      </c>
      <c r="E12" s="3" t="str">
        <v>Predict enemy strategy perfectly</v>
      </c>
    </row>
    <row r="13" spans="1:5" x14ac:dyDescent="0.3">
      <c r="A13" s="3" t="str">
        <v>Gravity Rend III</v>
      </c>
      <c r="B13" s="3" t="str">
        <v>Combat</v>
      </c>
      <c r="C13" s="3">
        <v>60</v>
      </c>
      <c r="D13" s="3" t="str">
        <f t="shared" si="0"/>
        <v>❌ LOCKED</v>
      </c>
      <c r="E13" s="3" t="str">
        <v>Gravity spike detonation</v>
      </c>
    </row>
    <row r="14" spans="1:5" x14ac:dyDescent="0.3">
      <c r="A14" s="3" t="str">
        <v>Silent Collapse</v>
      </c>
      <c r="B14" s="3" t="str">
        <v>Passive</v>
      </c>
      <c r="C14" s="3">
        <v>75</v>
      </c>
      <c r="D14" s="3" t="str">
        <f t="shared" si="0"/>
        <v>❌ LOCKED</v>
      </c>
      <c r="E14" s="3" t="str">
        <v>Move without detection</v>
      </c>
    </row>
    <row r="15" spans="1:5" x14ac:dyDescent="0.3">
      <c r="A15" s="3" t="str">
        <v>Singularity Pull</v>
      </c>
      <c r="B15" s="3" t="str">
        <v>Ultimate</v>
      </c>
      <c r="C15" s="3">
        <v>80</v>
      </c>
      <c r="D15" s="3" t="str">
        <f t="shared" si="0"/>
        <v>❌ LOCKED</v>
      </c>
      <c r="E15" s="3" t="str">
        <v>Collapse everything in radius</v>
      </c>
    </row>
    <row r="16" spans="1:5" x14ac:dyDescent="0.3">
      <c r="A16" s="3" t="str">
        <v>Event Horizon</v>
      </c>
      <c r="B16" s="3" t="str">
        <v>Ultimate</v>
      </c>
      <c r="C16" s="3">
        <v>100</v>
      </c>
      <c r="D16" s="3" t="str">
        <f t="shared" si="0"/>
        <v>❌ LOCKED</v>
      </c>
      <c r="E16" s="3" t="str">
        <v>Gravitational annihilation field</v>
      </c>
    </row>
    <row r="18" spans="1:5" x14ac:dyDescent="0.3">
      <c r="A18" s="3" t="s">
        <v>83</v>
      </c>
      <c r="B18" s="3">
        <f>COUNTA(A5:A16)</f>
        <v>12</v>
      </c>
      <c r="C18" s="13" t="s">
        <v>62</v>
      </c>
      <c r="D18" s="13" t="str">
        <f>REPT("█",ROUND(COUNTIF(D5:D16,"*UNLOCKED*")/COUNTA(A5:A16)*20,0))&amp;REPT("░",20-ROUND(COUNTIF(D5:D16,"*UNLOCKED*")/COUNTA(A5:A16)*20,0))</f>
        <v>███░░░░░░░░░░░░░░░░░</v>
      </c>
      <c r="E18" s="13"/>
    </row>
    <row r="19" spans="1:5" x14ac:dyDescent="0.3">
      <c r="A19" s="3" t="s">
        <v>84</v>
      </c>
      <c r="B19" s="3">
        <f>COUNTIF(D5:D16, "*✅ UNLOCKED*")</f>
        <v>2</v>
      </c>
      <c r="C19" s="13"/>
      <c r="D19" s="13"/>
      <c r="E19" s="13"/>
    </row>
    <row r="20" spans="1:5" x14ac:dyDescent="0.3">
      <c r="A20" s="3" t="s">
        <v>86</v>
      </c>
      <c r="B20" s="3">
        <f>COUNTIF(D5:D16, "*❌ LOCKED*")</f>
        <v>8</v>
      </c>
      <c r="C20" s="13"/>
      <c r="D20" s="13"/>
      <c r="E20" s="13"/>
    </row>
    <row r="21" spans="1:5" x14ac:dyDescent="0.3">
      <c r="A21" s="3" t="s">
        <v>85</v>
      </c>
      <c r="B21" s="7">
        <f>COUNTIF(D5:D16,"*✅ UNLOCKED*")/COUNTA(D5:D16)</f>
        <v>0.16666666666666666</v>
      </c>
      <c r="C21" s="13"/>
      <c r="D21" s="13"/>
      <c r="E21" s="13"/>
    </row>
  </sheetData>
  <mergeCells count="2">
    <mergeCell ref="C18:C21"/>
    <mergeCell ref="D18:E21"/>
  </mergeCells>
  <conditionalFormatting sqref="B4:B16">
    <cfRule type="containsText" dxfId="9" priority="1" operator="containsText" text="ultimate">
      <formula>NOT(ISERROR(SEARCH("ultimate",B4)))</formula>
    </cfRule>
    <cfRule type="containsText" dxfId="8" priority="2" operator="containsText" text="combat">
      <formula>NOT(ISERROR(SEARCH("combat",B4)))</formula>
    </cfRule>
    <cfRule type="containsText" dxfId="7" priority="3" operator="containsText" text="passive">
      <formula>NOT(ISERROR(SEARCH("passive",B4)))</formula>
    </cfRule>
  </conditionalFormatting>
  <conditionalFormatting sqref="D4 D6:D16">
    <cfRule type="containsText" dxfId="6" priority="10" operator="containsText" text="almost">
      <formula>NOT(ISERROR(SEARCH("almost",D4)))</formula>
    </cfRule>
    <cfRule type="containsText" dxfId="5" priority="11" operator="containsText" text="unlocked">
      <formula>NOT(ISERROR(SEARCH("unlocked",D4)))</formula>
    </cfRule>
  </conditionalFormatting>
  <conditionalFormatting sqref="D5:D16">
    <cfRule type="containsText" dxfId="4" priority="7" operator="containsText" text="unlocked">
      <formula>NOT(ISERROR(SEARCH("unlocked",D5)))</formula>
    </cfRule>
  </conditionalFormatting>
  <conditionalFormatting sqref="D6:D16 D4">
    <cfRule type="containsText" dxfId="3" priority="9" operator="containsText" text="locked">
      <formula>NOT(ISERROR(SEARCH("locked",D4)))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6A716-CEA7-4E29-9C8D-F5CBAB740FA8}">
  <sheetPr codeName="Sheet6"/>
  <dimension ref="A1:D40"/>
  <sheetViews>
    <sheetView topLeftCell="A17" workbookViewId="0">
      <selection activeCell="E27" sqref="E27"/>
    </sheetView>
  </sheetViews>
  <sheetFormatPr defaultRowHeight="16.2" x14ac:dyDescent="0.3"/>
  <cols>
    <col min="1" max="1" width="21.21875" style="1" customWidth="1"/>
    <col min="2" max="2" width="14" style="1" customWidth="1"/>
    <col min="3" max="3" width="8.88671875" style="1"/>
    <col min="4" max="4" width="20.77734375" style="1" customWidth="1"/>
    <col min="5" max="16384" width="8.88671875" style="1"/>
  </cols>
  <sheetData>
    <row r="1" spans="1:4" x14ac:dyDescent="0.3">
      <c r="A1" s="1" t="s">
        <v>483</v>
      </c>
      <c r="B1" s="1" t="s">
        <v>54</v>
      </c>
      <c r="C1" s="1" t="s">
        <v>3</v>
      </c>
      <c r="D1" s="1" t="s">
        <v>113</v>
      </c>
    </row>
    <row r="2" spans="1:4" x14ac:dyDescent="0.3">
      <c r="A2" s="8">
        <v>46093.508935185186</v>
      </c>
      <c r="B2" s="1" t="s">
        <v>5</v>
      </c>
      <c r="C2" s="1">
        <v>1</v>
      </c>
      <c r="D2" s="1" t="s">
        <v>484</v>
      </c>
    </row>
    <row r="3" spans="1:4" x14ac:dyDescent="0.3">
      <c r="A3" s="8">
        <v>46093.509386574071</v>
      </c>
      <c r="B3" s="1" t="s">
        <v>10</v>
      </c>
      <c r="C3" s="1">
        <v>1</v>
      </c>
      <c r="D3" s="1" t="s">
        <v>484</v>
      </c>
    </row>
    <row r="4" spans="1:4" x14ac:dyDescent="0.3">
      <c r="A4" s="8">
        <v>46093.509432870371</v>
      </c>
      <c r="B4" s="1" t="s">
        <v>10</v>
      </c>
      <c r="C4" s="1">
        <v>2</v>
      </c>
      <c r="D4" s="9" t="s">
        <v>485</v>
      </c>
    </row>
    <row r="5" spans="1:4" x14ac:dyDescent="0.3">
      <c r="A5" s="8">
        <v>46093.512175925927</v>
      </c>
      <c r="B5" s="1" t="s">
        <v>10</v>
      </c>
      <c r="C5" s="1">
        <v>2</v>
      </c>
      <c r="D5" s="1" t="s">
        <v>484</v>
      </c>
    </row>
    <row r="6" spans="1:4" x14ac:dyDescent="0.3">
      <c r="A6" s="8">
        <v>46093.51222222222</v>
      </c>
      <c r="B6" s="1" t="s">
        <v>10</v>
      </c>
      <c r="C6" s="1">
        <v>2</v>
      </c>
      <c r="D6" s="1" t="s">
        <v>484</v>
      </c>
    </row>
    <row r="7" spans="1:4" x14ac:dyDescent="0.3">
      <c r="A7" s="8">
        <v>46093.512256944443</v>
      </c>
      <c r="B7" s="1" t="s">
        <v>10</v>
      </c>
      <c r="C7" s="1">
        <v>2</v>
      </c>
      <c r="D7" s="1" t="s">
        <v>484</v>
      </c>
    </row>
    <row r="8" spans="1:4" x14ac:dyDescent="0.3">
      <c r="A8" s="8">
        <v>46093.512280092589</v>
      </c>
      <c r="B8" s="1" t="s">
        <v>10</v>
      </c>
      <c r="C8" s="1">
        <v>3</v>
      </c>
      <c r="D8" s="9" t="s">
        <v>485</v>
      </c>
    </row>
    <row r="9" spans="1:4" x14ac:dyDescent="0.3">
      <c r="A9" s="8">
        <v>46093.512638888889</v>
      </c>
      <c r="B9" s="1" t="s">
        <v>10</v>
      </c>
      <c r="C9" s="1">
        <v>3</v>
      </c>
      <c r="D9" s="1" t="s">
        <v>484</v>
      </c>
    </row>
    <row r="10" spans="1:4" x14ac:dyDescent="0.3">
      <c r="A10" s="8">
        <v>46093.512673611112</v>
      </c>
      <c r="B10" s="1" t="s">
        <v>10</v>
      </c>
      <c r="C10" s="1">
        <v>3</v>
      </c>
      <c r="D10" s="1" t="s">
        <v>484</v>
      </c>
    </row>
    <row r="11" spans="1:4" x14ac:dyDescent="0.3">
      <c r="A11" s="8">
        <v>46093.512696759259</v>
      </c>
      <c r="B11" s="1" t="s">
        <v>10</v>
      </c>
      <c r="C11" s="1">
        <v>3</v>
      </c>
      <c r="D11" s="1" t="s">
        <v>484</v>
      </c>
    </row>
    <row r="12" spans="1:4" x14ac:dyDescent="0.3">
      <c r="A12" s="8">
        <v>46093.512731481482</v>
      </c>
      <c r="B12" s="1" t="s">
        <v>10</v>
      </c>
      <c r="C12" s="1">
        <v>3</v>
      </c>
      <c r="D12" s="1" t="s">
        <v>484</v>
      </c>
    </row>
    <row r="13" spans="1:4" x14ac:dyDescent="0.3">
      <c r="A13" s="8">
        <v>46093.512754629628</v>
      </c>
      <c r="B13" s="1" t="s">
        <v>10</v>
      </c>
      <c r="C13" s="1">
        <v>3</v>
      </c>
      <c r="D13" s="1" t="s">
        <v>484</v>
      </c>
    </row>
    <row r="14" spans="1:4" x14ac:dyDescent="0.3">
      <c r="A14" s="8">
        <v>46093.512777777774</v>
      </c>
      <c r="B14" s="1" t="s">
        <v>10</v>
      </c>
      <c r="C14" s="1">
        <v>4</v>
      </c>
      <c r="D14" s="9" t="s">
        <v>485</v>
      </c>
    </row>
    <row r="15" spans="1:4" x14ac:dyDescent="0.3">
      <c r="A15" s="8">
        <v>46093.512812499997</v>
      </c>
      <c r="B15" s="1" t="s">
        <v>10</v>
      </c>
      <c r="C15" s="1">
        <v>4</v>
      </c>
      <c r="D15" s="1" t="s">
        <v>484</v>
      </c>
    </row>
    <row r="16" spans="1:4" x14ac:dyDescent="0.3">
      <c r="A16" s="8">
        <v>46093.512835648151</v>
      </c>
      <c r="B16" s="1" t="s">
        <v>10</v>
      </c>
      <c r="C16" s="1">
        <v>4</v>
      </c>
      <c r="D16" s="1" t="s">
        <v>484</v>
      </c>
    </row>
    <row r="17" spans="1:4" x14ac:dyDescent="0.3">
      <c r="A17" s="8">
        <v>46093.512870370374</v>
      </c>
      <c r="B17" s="1" t="s">
        <v>10</v>
      </c>
      <c r="C17" s="1">
        <v>4</v>
      </c>
      <c r="D17" s="1" t="s">
        <v>484</v>
      </c>
    </row>
    <row r="18" spans="1:4" x14ac:dyDescent="0.3">
      <c r="A18" s="8">
        <v>46093.51289351852</v>
      </c>
      <c r="B18" s="1" t="s">
        <v>10</v>
      </c>
      <c r="C18" s="1">
        <v>4</v>
      </c>
      <c r="D18" s="1" t="s">
        <v>484</v>
      </c>
    </row>
    <row r="19" spans="1:4" x14ac:dyDescent="0.3">
      <c r="A19" s="8">
        <v>46093.51290509259</v>
      </c>
      <c r="B19" s="1" t="s">
        <v>10</v>
      </c>
      <c r="C19" s="1">
        <v>4</v>
      </c>
      <c r="D19" s="1" t="s">
        <v>484</v>
      </c>
    </row>
    <row r="20" spans="1:4" x14ac:dyDescent="0.3">
      <c r="A20" s="8">
        <v>46093.512939814813</v>
      </c>
      <c r="B20" s="1" t="s">
        <v>10</v>
      </c>
      <c r="C20" s="1">
        <v>4</v>
      </c>
      <c r="D20" s="1" t="s">
        <v>484</v>
      </c>
    </row>
    <row r="21" spans="1:4" x14ac:dyDescent="0.3">
      <c r="A21" s="8">
        <v>46093.512974537036</v>
      </c>
      <c r="B21" s="1" t="s">
        <v>10</v>
      </c>
      <c r="C21" s="1">
        <v>4</v>
      </c>
      <c r="D21" s="1" t="s">
        <v>484</v>
      </c>
    </row>
    <row r="22" spans="1:4" x14ac:dyDescent="0.3">
      <c r="A22" s="8">
        <v>46093.512986111113</v>
      </c>
      <c r="B22" s="1" t="s">
        <v>10</v>
      </c>
      <c r="C22" s="1">
        <v>5</v>
      </c>
      <c r="D22" s="9" t="s">
        <v>485</v>
      </c>
    </row>
    <row r="23" spans="1:4" x14ac:dyDescent="0.3">
      <c r="A23" s="8">
        <v>46093.51321759259</v>
      </c>
      <c r="B23" s="1" t="s">
        <v>5</v>
      </c>
      <c r="C23" s="1">
        <v>2</v>
      </c>
      <c r="D23" s="9" t="s">
        <v>485</v>
      </c>
    </row>
    <row r="24" spans="1:4" x14ac:dyDescent="0.3">
      <c r="A24" s="8">
        <v>46093.513252314813</v>
      </c>
      <c r="B24" s="1" t="s">
        <v>5</v>
      </c>
      <c r="C24" s="1">
        <v>2</v>
      </c>
      <c r="D24" s="1" t="s">
        <v>484</v>
      </c>
    </row>
    <row r="25" spans="1:4" x14ac:dyDescent="0.3">
      <c r="A25" s="8">
        <v>46093.513275462959</v>
      </c>
      <c r="B25" s="1" t="s">
        <v>5</v>
      </c>
      <c r="C25" s="1">
        <v>2</v>
      </c>
      <c r="D25" s="1" t="s">
        <v>484</v>
      </c>
    </row>
    <row r="26" spans="1:4" x14ac:dyDescent="0.3">
      <c r="A26" s="8">
        <v>46093.513298611113</v>
      </c>
      <c r="B26" s="1" t="s">
        <v>5</v>
      </c>
      <c r="C26" s="1">
        <v>2</v>
      </c>
      <c r="D26" s="1" t="s">
        <v>484</v>
      </c>
    </row>
    <row r="27" spans="1:4" x14ac:dyDescent="0.3">
      <c r="A27" s="8">
        <v>46093.513333333336</v>
      </c>
      <c r="B27" s="1" t="s">
        <v>5</v>
      </c>
      <c r="C27" s="1">
        <v>3</v>
      </c>
      <c r="D27" s="9" t="s">
        <v>485</v>
      </c>
    </row>
    <row r="28" spans="1:4" x14ac:dyDescent="0.3">
      <c r="A28" s="8">
        <v>46093.51358796296</v>
      </c>
      <c r="B28" s="1" t="s">
        <v>5</v>
      </c>
      <c r="C28" s="1">
        <v>3</v>
      </c>
      <c r="D28" s="1" t="s">
        <v>484</v>
      </c>
    </row>
    <row r="29" spans="1:4" x14ac:dyDescent="0.3">
      <c r="A29" s="8">
        <v>46093.516145833331</v>
      </c>
      <c r="B29" s="1" t="s">
        <v>5</v>
      </c>
      <c r="C29" s="1">
        <v>3</v>
      </c>
      <c r="D29" s="1" t="s">
        <v>484</v>
      </c>
    </row>
    <row r="30" spans="1:4" x14ac:dyDescent="0.3">
      <c r="A30" s="8">
        <v>46093.523449074077</v>
      </c>
      <c r="B30" s="1" t="s">
        <v>7</v>
      </c>
      <c r="C30" s="1">
        <v>1</v>
      </c>
      <c r="D30" s="1" t="s">
        <v>484</v>
      </c>
    </row>
    <row r="31" spans="1:4" x14ac:dyDescent="0.3">
      <c r="A31" s="8">
        <v>46093.5234837963</v>
      </c>
      <c r="B31" s="1" t="s">
        <v>7</v>
      </c>
      <c r="C31" s="1">
        <v>2</v>
      </c>
      <c r="D31" s="9" t="s">
        <v>485</v>
      </c>
    </row>
    <row r="32" spans="1:4" x14ac:dyDescent="0.3">
      <c r="A32" s="8">
        <v>46093.552141203705</v>
      </c>
      <c r="B32" s="1" t="s">
        <v>5</v>
      </c>
      <c r="C32" s="1">
        <v>4</v>
      </c>
      <c r="D32" s="1" t="s">
        <v>484</v>
      </c>
    </row>
    <row r="33" spans="1:4" x14ac:dyDescent="0.3">
      <c r="A33" s="8">
        <v>46093.552164351851</v>
      </c>
      <c r="B33" s="1" t="s">
        <v>5</v>
      </c>
      <c r="C33" s="1">
        <v>4</v>
      </c>
      <c r="D33" s="1" t="s">
        <v>484</v>
      </c>
    </row>
    <row r="34" spans="1:4" x14ac:dyDescent="0.3">
      <c r="A34" s="8">
        <v>46093.552187499998</v>
      </c>
      <c r="B34" s="1" t="s">
        <v>5</v>
      </c>
      <c r="C34" s="1">
        <v>4</v>
      </c>
      <c r="D34" s="1" t="s">
        <v>484</v>
      </c>
    </row>
    <row r="35" spans="1:4" x14ac:dyDescent="0.3">
      <c r="A35" s="8">
        <v>46093.552210648151</v>
      </c>
      <c r="B35" s="1" t="s">
        <v>5</v>
      </c>
      <c r="C35" s="1">
        <v>4</v>
      </c>
      <c r="D35" s="1" t="s">
        <v>484</v>
      </c>
    </row>
    <row r="36" spans="1:4" x14ac:dyDescent="0.3">
      <c r="A36" s="8">
        <v>46093.552233796298</v>
      </c>
      <c r="B36" s="1" t="s">
        <v>5</v>
      </c>
      <c r="C36" s="1">
        <v>4</v>
      </c>
      <c r="D36" s="1" t="s">
        <v>484</v>
      </c>
    </row>
    <row r="37" spans="1:4" x14ac:dyDescent="0.3">
      <c r="A37" s="8">
        <v>46093.552256944444</v>
      </c>
      <c r="B37" s="1" t="s">
        <v>5</v>
      </c>
      <c r="C37" s="1">
        <v>4</v>
      </c>
      <c r="D37" s="1" t="s">
        <v>484</v>
      </c>
    </row>
    <row r="38" spans="1:4" x14ac:dyDescent="0.3">
      <c r="A38" s="8">
        <v>46093.55228009259</v>
      </c>
      <c r="B38" s="1" t="s">
        <v>5</v>
      </c>
      <c r="C38" s="1">
        <v>5</v>
      </c>
      <c r="D38" s="9" t="s">
        <v>485</v>
      </c>
    </row>
    <row r="39" spans="1:4" x14ac:dyDescent="0.3">
      <c r="A39" s="8">
        <v>46093.564918981479</v>
      </c>
      <c r="B39" s="1" t="s">
        <v>7</v>
      </c>
      <c r="C39" s="1">
        <v>5</v>
      </c>
      <c r="D39" s="1" t="s">
        <v>484</v>
      </c>
    </row>
    <row r="40" spans="1:4" x14ac:dyDescent="0.3">
      <c r="A40" s="8">
        <v>46093.567175925928</v>
      </c>
      <c r="B40" s="1" t="s">
        <v>7</v>
      </c>
      <c r="C40" s="1">
        <v>5</v>
      </c>
      <c r="D40" s="1" t="s">
        <v>484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BB19-2B7D-47F6-A1FE-A8006B4D21E0}">
  <sheetPr codeName="Sheet5"/>
  <dimension ref="A1:E193"/>
  <sheetViews>
    <sheetView workbookViewId="0">
      <selection activeCell="D2" sqref="D2"/>
    </sheetView>
  </sheetViews>
  <sheetFormatPr defaultRowHeight="16.2" x14ac:dyDescent="0.3"/>
  <cols>
    <col min="1" max="1" width="14.44140625" style="1" customWidth="1"/>
    <col min="2" max="2" width="26.44140625" style="1" customWidth="1"/>
    <col min="3" max="3" width="10.33203125" style="1" customWidth="1"/>
    <col min="4" max="4" width="8.88671875" style="1" customWidth="1"/>
    <col min="5" max="5" width="37.88671875" style="1" customWidth="1"/>
    <col min="6" max="16384" width="8.88671875" style="1"/>
  </cols>
  <sheetData>
    <row r="1" spans="1:5" ht="32.4" x14ac:dyDescent="0.3">
      <c r="A1" s="2" t="s">
        <v>54</v>
      </c>
      <c r="B1" s="3" t="s">
        <v>134</v>
      </c>
      <c r="C1" s="3" t="s">
        <v>116</v>
      </c>
      <c r="D1" s="6" t="s">
        <v>135</v>
      </c>
      <c r="E1" s="3" t="s">
        <v>117</v>
      </c>
    </row>
    <row r="2" spans="1:5" x14ac:dyDescent="0.3">
      <c r="A2" s="3" t="s">
        <v>87</v>
      </c>
      <c r="B2" s="3" t="s">
        <v>69</v>
      </c>
      <c r="C2" s="3" t="s">
        <v>80</v>
      </c>
      <c r="D2" s="3">
        <v>1</v>
      </c>
      <c r="E2" s="3" t="s">
        <v>136</v>
      </c>
    </row>
    <row r="3" spans="1:5" x14ac:dyDescent="0.3">
      <c r="A3" s="3" t="s">
        <v>87</v>
      </c>
      <c r="B3" s="3" t="s">
        <v>70</v>
      </c>
      <c r="C3" s="3" t="s">
        <v>81</v>
      </c>
      <c r="D3" s="3">
        <v>5</v>
      </c>
      <c r="E3" s="3" t="s">
        <v>88</v>
      </c>
    </row>
    <row r="4" spans="1:5" x14ac:dyDescent="0.3">
      <c r="A4" s="3" t="s">
        <v>87</v>
      </c>
      <c r="B4" s="3" t="s">
        <v>71</v>
      </c>
      <c r="C4" s="3" t="s">
        <v>80</v>
      </c>
      <c r="D4" s="3">
        <v>10</v>
      </c>
      <c r="E4" s="3" t="s">
        <v>89</v>
      </c>
    </row>
    <row r="5" spans="1:5" x14ac:dyDescent="0.3">
      <c r="A5" s="3" t="s">
        <v>87</v>
      </c>
      <c r="B5" s="3" t="s">
        <v>72</v>
      </c>
      <c r="C5" s="3" t="s">
        <v>80</v>
      </c>
      <c r="D5" s="3">
        <v>15</v>
      </c>
      <c r="E5" s="3" t="s">
        <v>90</v>
      </c>
    </row>
    <row r="6" spans="1:5" x14ac:dyDescent="0.3">
      <c r="A6" s="3" t="s">
        <v>87</v>
      </c>
      <c r="B6" s="3" t="s">
        <v>73</v>
      </c>
      <c r="C6" s="3" t="s">
        <v>81</v>
      </c>
      <c r="D6" s="3">
        <v>20</v>
      </c>
      <c r="E6" s="3" t="s">
        <v>91</v>
      </c>
    </row>
    <row r="7" spans="1:5" x14ac:dyDescent="0.3">
      <c r="A7" s="3" t="s">
        <v>87</v>
      </c>
      <c r="B7" s="3" t="s">
        <v>74</v>
      </c>
      <c r="C7" s="3" t="s">
        <v>80</v>
      </c>
      <c r="D7" s="3">
        <v>25</v>
      </c>
      <c r="E7" s="3" t="s">
        <v>92</v>
      </c>
    </row>
    <row r="8" spans="1:5" x14ac:dyDescent="0.3">
      <c r="A8" s="3" t="s">
        <v>87</v>
      </c>
      <c r="B8" s="3" t="s">
        <v>75</v>
      </c>
      <c r="C8" s="3" t="s">
        <v>81</v>
      </c>
      <c r="D8" s="3">
        <v>35</v>
      </c>
      <c r="E8" s="3" t="s">
        <v>93</v>
      </c>
    </row>
    <row r="9" spans="1:5" x14ac:dyDescent="0.3">
      <c r="A9" s="3" t="s">
        <v>87</v>
      </c>
      <c r="B9" s="3" t="s">
        <v>76</v>
      </c>
      <c r="C9" s="3" t="s">
        <v>80</v>
      </c>
      <c r="D9" s="3">
        <v>45</v>
      </c>
      <c r="E9" s="3" t="s">
        <v>94</v>
      </c>
    </row>
    <row r="10" spans="1:5" x14ac:dyDescent="0.3">
      <c r="A10" s="3" t="s">
        <v>87</v>
      </c>
      <c r="B10" s="3" t="s">
        <v>77</v>
      </c>
      <c r="C10" s="3" t="s">
        <v>81</v>
      </c>
      <c r="D10" s="3">
        <v>60</v>
      </c>
      <c r="E10" s="3" t="s">
        <v>95</v>
      </c>
    </row>
    <row r="11" spans="1:5" x14ac:dyDescent="0.3">
      <c r="A11" s="3" t="s">
        <v>87</v>
      </c>
      <c r="B11" s="3" t="s">
        <v>97</v>
      </c>
      <c r="C11" s="3" t="s">
        <v>80</v>
      </c>
      <c r="D11" s="3">
        <v>75</v>
      </c>
      <c r="E11" s="3" t="s">
        <v>96</v>
      </c>
    </row>
    <row r="12" spans="1:5" x14ac:dyDescent="0.3">
      <c r="A12" s="3" t="s">
        <v>87</v>
      </c>
      <c r="B12" s="3" t="s">
        <v>78</v>
      </c>
      <c r="C12" s="3" t="s">
        <v>82</v>
      </c>
      <c r="D12" s="3">
        <v>80</v>
      </c>
      <c r="E12" s="3" t="s">
        <v>98</v>
      </c>
    </row>
    <row r="13" spans="1:5" x14ac:dyDescent="0.3">
      <c r="A13" s="3" t="s">
        <v>87</v>
      </c>
      <c r="B13" s="3" t="s">
        <v>79</v>
      </c>
      <c r="C13" s="3" t="s">
        <v>82</v>
      </c>
      <c r="D13" s="3">
        <v>100</v>
      </c>
      <c r="E13" s="3" t="s">
        <v>99</v>
      </c>
    </row>
    <row r="14" spans="1:5" x14ac:dyDescent="0.3">
      <c r="A14" s="3" t="s">
        <v>112</v>
      </c>
      <c r="B14" s="3" t="s">
        <v>100</v>
      </c>
      <c r="C14" s="3" t="s">
        <v>80</v>
      </c>
      <c r="D14" s="3">
        <v>1</v>
      </c>
      <c r="E14" s="3" t="s">
        <v>137</v>
      </c>
    </row>
    <row r="15" spans="1:5" x14ac:dyDescent="0.3">
      <c r="A15" s="3" t="s">
        <v>112</v>
      </c>
      <c r="B15" s="3" t="s">
        <v>101</v>
      </c>
      <c r="C15" s="3" t="s">
        <v>81</v>
      </c>
      <c r="D15" s="3">
        <v>5</v>
      </c>
      <c r="E15" s="3" t="s">
        <v>138</v>
      </c>
    </row>
    <row r="16" spans="1:5" x14ac:dyDescent="0.3">
      <c r="A16" s="3" t="s">
        <v>112</v>
      </c>
      <c r="B16" s="3" t="s">
        <v>102</v>
      </c>
      <c r="C16" s="3" t="s">
        <v>80</v>
      </c>
      <c r="D16" s="3">
        <v>10</v>
      </c>
      <c r="E16" s="3" t="s">
        <v>139</v>
      </c>
    </row>
    <row r="17" spans="1:5" x14ac:dyDescent="0.3">
      <c r="A17" s="3" t="s">
        <v>112</v>
      </c>
      <c r="B17" s="3" t="s">
        <v>103</v>
      </c>
      <c r="C17" s="3" t="s">
        <v>80</v>
      </c>
      <c r="D17" s="3">
        <v>15</v>
      </c>
      <c r="E17" s="3" t="s">
        <v>140</v>
      </c>
    </row>
    <row r="18" spans="1:5" x14ac:dyDescent="0.3">
      <c r="A18" s="3" t="s">
        <v>112</v>
      </c>
      <c r="B18" s="3" t="s">
        <v>104</v>
      </c>
      <c r="C18" s="3" t="s">
        <v>81</v>
      </c>
      <c r="D18" s="3">
        <v>20</v>
      </c>
      <c r="E18" s="3" t="s">
        <v>141</v>
      </c>
    </row>
    <row r="19" spans="1:5" x14ac:dyDescent="0.3">
      <c r="A19" s="3" t="s">
        <v>112</v>
      </c>
      <c r="B19" s="3" t="s">
        <v>105</v>
      </c>
      <c r="C19" s="3" t="s">
        <v>80</v>
      </c>
      <c r="D19" s="3">
        <v>25</v>
      </c>
      <c r="E19" s="7" t="s">
        <v>142</v>
      </c>
    </row>
    <row r="20" spans="1:5" x14ac:dyDescent="0.3">
      <c r="A20" s="3" t="s">
        <v>112</v>
      </c>
      <c r="B20" s="3" t="s">
        <v>106</v>
      </c>
      <c r="C20" s="3" t="s">
        <v>81</v>
      </c>
      <c r="D20" s="3">
        <v>35</v>
      </c>
      <c r="E20" s="3" t="s">
        <v>143</v>
      </c>
    </row>
    <row r="21" spans="1:5" x14ac:dyDescent="0.3">
      <c r="A21" s="3" t="s">
        <v>112</v>
      </c>
      <c r="B21" s="3" t="s">
        <v>107</v>
      </c>
      <c r="C21" s="3" t="s">
        <v>80</v>
      </c>
      <c r="D21" s="3">
        <v>45</v>
      </c>
      <c r="E21" s="3" t="s">
        <v>144</v>
      </c>
    </row>
    <row r="22" spans="1:5" x14ac:dyDescent="0.3">
      <c r="A22" s="3" t="s">
        <v>112</v>
      </c>
      <c r="B22" s="3" t="s">
        <v>108</v>
      </c>
      <c r="C22" s="3" t="s">
        <v>81</v>
      </c>
      <c r="D22" s="3">
        <v>60</v>
      </c>
      <c r="E22" s="3" t="s">
        <v>145</v>
      </c>
    </row>
    <row r="23" spans="1:5" x14ac:dyDescent="0.3">
      <c r="A23" s="3" t="s">
        <v>112</v>
      </c>
      <c r="B23" s="3" t="s">
        <v>109</v>
      </c>
      <c r="C23" s="3" t="s">
        <v>80</v>
      </c>
      <c r="D23" s="3">
        <v>75</v>
      </c>
      <c r="E23" s="3" t="s">
        <v>146</v>
      </c>
    </row>
    <row r="24" spans="1:5" x14ac:dyDescent="0.3">
      <c r="A24" s="3" t="s">
        <v>112</v>
      </c>
      <c r="B24" s="3" t="s">
        <v>110</v>
      </c>
      <c r="C24" s="3" t="s">
        <v>82</v>
      </c>
      <c r="D24" s="3">
        <v>80</v>
      </c>
      <c r="E24" s="3" t="s">
        <v>147</v>
      </c>
    </row>
    <row r="25" spans="1:5" x14ac:dyDescent="0.3">
      <c r="A25" s="3" t="s">
        <v>112</v>
      </c>
      <c r="B25" s="3" t="s">
        <v>111</v>
      </c>
      <c r="C25" s="3" t="s">
        <v>82</v>
      </c>
      <c r="D25" s="3">
        <v>100</v>
      </c>
      <c r="E25" s="3" t="s">
        <v>148</v>
      </c>
    </row>
    <row r="26" spans="1:5" x14ac:dyDescent="0.3">
      <c r="A26" s="3" t="s">
        <v>118</v>
      </c>
      <c r="B26" s="3" t="s">
        <v>149</v>
      </c>
      <c r="C26" s="3" t="s">
        <v>80</v>
      </c>
      <c r="D26" s="3">
        <v>1</v>
      </c>
      <c r="E26" s="3" t="s">
        <v>150</v>
      </c>
    </row>
    <row r="27" spans="1:5" x14ac:dyDescent="0.3">
      <c r="A27" s="3" t="s">
        <v>118</v>
      </c>
      <c r="B27" s="3" t="s">
        <v>151</v>
      </c>
      <c r="C27" s="3" t="s">
        <v>81</v>
      </c>
      <c r="D27" s="3">
        <v>5</v>
      </c>
      <c r="E27" s="3" t="s">
        <v>152</v>
      </c>
    </row>
    <row r="28" spans="1:5" x14ac:dyDescent="0.3">
      <c r="A28" s="3" t="s">
        <v>118</v>
      </c>
      <c r="B28" s="3" t="s">
        <v>153</v>
      </c>
      <c r="C28" s="3" t="s">
        <v>80</v>
      </c>
      <c r="D28" s="3">
        <v>10</v>
      </c>
      <c r="E28" s="3" t="s">
        <v>154</v>
      </c>
    </row>
    <row r="29" spans="1:5" x14ac:dyDescent="0.3">
      <c r="A29" s="3" t="s">
        <v>118</v>
      </c>
      <c r="B29" s="3" t="s">
        <v>155</v>
      </c>
      <c r="C29" s="3" t="s">
        <v>80</v>
      </c>
      <c r="D29" s="3">
        <v>15</v>
      </c>
      <c r="E29" s="3" t="s">
        <v>156</v>
      </c>
    </row>
    <row r="30" spans="1:5" x14ac:dyDescent="0.3">
      <c r="A30" s="3" t="s">
        <v>118</v>
      </c>
      <c r="B30" s="3" t="s">
        <v>157</v>
      </c>
      <c r="C30" s="3" t="s">
        <v>81</v>
      </c>
      <c r="D30" s="3">
        <v>20</v>
      </c>
      <c r="E30" s="3" t="s">
        <v>158</v>
      </c>
    </row>
    <row r="31" spans="1:5" x14ac:dyDescent="0.3">
      <c r="A31" s="3" t="s">
        <v>118</v>
      </c>
      <c r="B31" s="3" t="s">
        <v>159</v>
      </c>
      <c r="C31" s="3" t="s">
        <v>80</v>
      </c>
      <c r="D31" s="3">
        <v>25</v>
      </c>
      <c r="E31" s="3" t="s">
        <v>160</v>
      </c>
    </row>
    <row r="32" spans="1:5" x14ac:dyDescent="0.3">
      <c r="A32" s="3" t="s">
        <v>118</v>
      </c>
      <c r="B32" s="3" t="s">
        <v>161</v>
      </c>
      <c r="C32" s="3" t="s">
        <v>81</v>
      </c>
      <c r="D32" s="3">
        <v>35</v>
      </c>
      <c r="E32" s="3" t="s">
        <v>162</v>
      </c>
    </row>
    <row r="33" spans="1:5" x14ac:dyDescent="0.3">
      <c r="A33" s="3" t="s">
        <v>118</v>
      </c>
      <c r="B33" s="3" t="s">
        <v>163</v>
      </c>
      <c r="C33" s="3" t="s">
        <v>80</v>
      </c>
      <c r="D33" s="3">
        <v>45</v>
      </c>
      <c r="E33" s="3" t="s">
        <v>164</v>
      </c>
    </row>
    <row r="34" spans="1:5" x14ac:dyDescent="0.3">
      <c r="A34" s="3" t="s">
        <v>118</v>
      </c>
      <c r="B34" s="3" t="s">
        <v>165</v>
      </c>
      <c r="C34" s="3" t="s">
        <v>81</v>
      </c>
      <c r="D34" s="3">
        <v>60</v>
      </c>
      <c r="E34" s="3" t="s">
        <v>166</v>
      </c>
    </row>
    <row r="35" spans="1:5" x14ac:dyDescent="0.3">
      <c r="A35" s="3" t="s">
        <v>118</v>
      </c>
      <c r="B35" s="3" t="s">
        <v>167</v>
      </c>
      <c r="C35" s="3" t="s">
        <v>80</v>
      </c>
      <c r="D35" s="3">
        <v>75</v>
      </c>
      <c r="E35" s="3" t="s">
        <v>168</v>
      </c>
    </row>
    <row r="36" spans="1:5" x14ac:dyDescent="0.3">
      <c r="A36" s="3" t="s">
        <v>118</v>
      </c>
      <c r="B36" s="3" t="s">
        <v>169</v>
      </c>
      <c r="C36" s="3" t="s">
        <v>82</v>
      </c>
      <c r="D36" s="3">
        <v>80</v>
      </c>
      <c r="E36" s="3" t="s">
        <v>170</v>
      </c>
    </row>
    <row r="37" spans="1:5" x14ac:dyDescent="0.3">
      <c r="A37" s="3" t="s">
        <v>118</v>
      </c>
      <c r="B37" s="3" t="s">
        <v>171</v>
      </c>
      <c r="C37" s="3" t="s">
        <v>82</v>
      </c>
      <c r="D37" s="3">
        <v>100</v>
      </c>
      <c r="E37" s="3" t="s">
        <v>172</v>
      </c>
    </row>
    <row r="38" spans="1:5" x14ac:dyDescent="0.3">
      <c r="A38" s="3" t="s">
        <v>115</v>
      </c>
      <c r="B38" s="3" t="s">
        <v>173</v>
      </c>
      <c r="C38" s="3" t="s">
        <v>80</v>
      </c>
      <c r="D38" s="3">
        <v>1</v>
      </c>
      <c r="E38" s="3" t="s">
        <v>174</v>
      </c>
    </row>
    <row r="39" spans="1:5" x14ac:dyDescent="0.3">
      <c r="A39" s="3" t="s">
        <v>115</v>
      </c>
      <c r="B39" s="3" t="s">
        <v>175</v>
      </c>
      <c r="C39" s="3" t="s">
        <v>81</v>
      </c>
      <c r="D39" s="3">
        <v>5</v>
      </c>
      <c r="E39" s="3" t="s">
        <v>176</v>
      </c>
    </row>
    <row r="40" spans="1:5" x14ac:dyDescent="0.3">
      <c r="A40" s="3" t="s">
        <v>115</v>
      </c>
      <c r="B40" s="3" t="s">
        <v>177</v>
      </c>
      <c r="C40" s="3" t="s">
        <v>80</v>
      </c>
      <c r="D40" s="3">
        <v>10</v>
      </c>
      <c r="E40" s="3" t="s">
        <v>178</v>
      </c>
    </row>
    <row r="41" spans="1:5" x14ac:dyDescent="0.3">
      <c r="A41" s="3" t="s">
        <v>115</v>
      </c>
      <c r="B41" s="3" t="s">
        <v>179</v>
      </c>
      <c r="C41" s="3" t="s">
        <v>80</v>
      </c>
      <c r="D41" s="3">
        <v>15</v>
      </c>
      <c r="E41" s="3" t="s">
        <v>180</v>
      </c>
    </row>
    <row r="42" spans="1:5" x14ac:dyDescent="0.3">
      <c r="A42" s="3" t="s">
        <v>115</v>
      </c>
      <c r="B42" s="3" t="s">
        <v>181</v>
      </c>
      <c r="C42" s="3" t="s">
        <v>81</v>
      </c>
      <c r="D42" s="3">
        <v>20</v>
      </c>
      <c r="E42" s="3" t="s">
        <v>182</v>
      </c>
    </row>
    <row r="43" spans="1:5" x14ac:dyDescent="0.3">
      <c r="A43" s="3" t="s">
        <v>115</v>
      </c>
      <c r="B43" s="3" t="s">
        <v>183</v>
      </c>
      <c r="C43" s="3" t="s">
        <v>80</v>
      </c>
      <c r="D43" s="3">
        <v>25</v>
      </c>
      <c r="E43" s="3" t="s">
        <v>184</v>
      </c>
    </row>
    <row r="44" spans="1:5" x14ac:dyDescent="0.3">
      <c r="A44" s="3" t="s">
        <v>115</v>
      </c>
      <c r="B44" s="3" t="s">
        <v>185</v>
      </c>
      <c r="C44" s="3" t="s">
        <v>81</v>
      </c>
      <c r="D44" s="3">
        <v>35</v>
      </c>
      <c r="E44" s="3" t="s">
        <v>186</v>
      </c>
    </row>
    <row r="45" spans="1:5" x14ac:dyDescent="0.3">
      <c r="A45" s="3" t="s">
        <v>115</v>
      </c>
      <c r="B45" s="3" t="s">
        <v>187</v>
      </c>
      <c r="C45" s="3" t="s">
        <v>80</v>
      </c>
      <c r="D45" s="3">
        <v>45</v>
      </c>
      <c r="E45" s="3" t="s">
        <v>188</v>
      </c>
    </row>
    <row r="46" spans="1:5" x14ac:dyDescent="0.3">
      <c r="A46" s="3" t="s">
        <v>115</v>
      </c>
      <c r="B46" s="3" t="s">
        <v>189</v>
      </c>
      <c r="C46" s="3" t="s">
        <v>81</v>
      </c>
      <c r="D46" s="3">
        <v>60</v>
      </c>
      <c r="E46" s="3" t="s">
        <v>190</v>
      </c>
    </row>
    <row r="47" spans="1:5" x14ac:dyDescent="0.3">
      <c r="A47" s="3" t="s">
        <v>115</v>
      </c>
      <c r="B47" s="3" t="s">
        <v>191</v>
      </c>
      <c r="C47" s="3" t="s">
        <v>80</v>
      </c>
      <c r="D47" s="3">
        <v>75</v>
      </c>
      <c r="E47" s="3" t="s">
        <v>192</v>
      </c>
    </row>
    <row r="48" spans="1:5" x14ac:dyDescent="0.3">
      <c r="A48" s="3" t="s">
        <v>115</v>
      </c>
      <c r="B48" s="3" t="s">
        <v>193</v>
      </c>
      <c r="C48" s="3" t="s">
        <v>82</v>
      </c>
      <c r="D48" s="3">
        <v>80</v>
      </c>
      <c r="E48" s="3" t="s">
        <v>194</v>
      </c>
    </row>
    <row r="49" spans="1:5" x14ac:dyDescent="0.3">
      <c r="A49" s="3" t="s">
        <v>115</v>
      </c>
      <c r="B49" s="3" t="s">
        <v>195</v>
      </c>
      <c r="C49" s="3" t="s">
        <v>82</v>
      </c>
      <c r="D49" s="3">
        <v>100</v>
      </c>
      <c r="E49" s="3" t="s">
        <v>196</v>
      </c>
    </row>
    <row r="50" spans="1:5" x14ac:dyDescent="0.3">
      <c r="A50" s="3" t="s">
        <v>119</v>
      </c>
      <c r="B50" s="3" t="s">
        <v>197</v>
      </c>
      <c r="C50" s="3" t="s">
        <v>80</v>
      </c>
      <c r="D50" s="3">
        <v>1</v>
      </c>
      <c r="E50" s="3" t="s">
        <v>198</v>
      </c>
    </row>
    <row r="51" spans="1:5" x14ac:dyDescent="0.3">
      <c r="A51" s="3" t="s">
        <v>119</v>
      </c>
      <c r="B51" s="3" t="s">
        <v>199</v>
      </c>
      <c r="C51" s="3" t="s">
        <v>81</v>
      </c>
      <c r="D51" s="3">
        <v>5</v>
      </c>
      <c r="E51" s="3" t="s">
        <v>200</v>
      </c>
    </row>
    <row r="52" spans="1:5" x14ac:dyDescent="0.3">
      <c r="A52" s="3" t="s">
        <v>119</v>
      </c>
      <c r="B52" s="3" t="s">
        <v>201</v>
      </c>
      <c r="C52" s="3" t="s">
        <v>80</v>
      </c>
      <c r="D52" s="3">
        <v>10</v>
      </c>
      <c r="E52" s="3" t="s">
        <v>202</v>
      </c>
    </row>
    <row r="53" spans="1:5" x14ac:dyDescent="0.3">
      <c r="A53" s="3" t="s">
        <v>119</v>
      </c>
      <c r="B53" s="3" t="s">
        <v>203</v>
      </c>
      <c r="C53" s="3" t="s">
        <v>80</v>
      </c>
      <c r="D53" s="3">
        <v>15</v>
      </c>
      <c r="E53" s="3" t="s">
        <v>204</v>
      </c>
    </row>
    <row r="54" spans="1:5" x14ac:dyDescent="0.3">
      <c r="A54" s="3" t="s">
        <v>119</v>
      </c>
      <c r="B54" s="3" t="s">
        <v>205</v>
      </c>
      <c r="C54" s="3" t="s">
        <v>81</v>
      </c>
      <c r="D54" s="3">
        <v>20</v>
      </c>
      <c r="E54" s="3" t="s">
        <v>206</v>
      </c>
    </row>
    <row r="55" spans="1:5" x14ac:dyDescent="0.3">
      <c r="A55" s="3" t="s">
        <v>119</v>
      </c>
      <c r="B55" s="3" t="s">
        <v>207</v>
      </c>
      <c r="C55" s="3" t="s">
        <v>81</v>
      </c>
      <c r="D55" s="3">
        <v>25</v>
      </c>
      <c r="E55" s="3" t="s">
        <v>208</v>
      </c>
    </row>
    <row r="56" spans="1:5" x14ac:dyDescent="0.3">
      <c r="A56" s="3" t="s">
        <v>119</v>
      </c>
      <c r="B56" s="3" t="s">
        <v>209</v>
      </c>
      <c r="C56" s="3" t="s">
        <v>80</v>
      </c>
      <c r="D56" s="3">
        <v>35</v>
      </c>
      <c r="E56" s="3" t="s">
        <v>210</v>
      </c>
    </row>
    <row r="57" spans="1:5" x14ac:dyDescent="0.3">
      <c r="A57" s="3" t="s">
        <v>119</v>
      </c>
      <c r="B57" s="3" t="s">
        <v>211</v>
      </c>
      <c r="C57" s="3" t="s">
        <v>81</v>
      </c>
      <c r="D57" s="3">
        <v>45</v>
      </c>
      <c r="E57" s="3" t="s">
        <v>212</v>
      </c>
    </row>
    <row r="58" spans="1:5" x14ac:dyDescent="0.3">
      <c r="A58" s="3" t="s">
        <v>119</v>
      </c>
      <c r="B58" s="3" t="s">
        <v>213</v>
      </c>
      <c r="C58" s="3" t="s">
        <v>81</v>
      </c>
      <c r="D58" s="3">
        <v>60</v>
      </c>
      <c r="E58" s="3" t="s">
        <v>214</v>
      </c>
    </row>
    <row r="59" spans="1:5" x14ac:dyDescent="0.3">
      <c r="A59" s="3" t="s">
        <v>119</v>
      </c>
      <c r="B59" s="3" t="s">
        <v>215</v>
      </c>
      <c r="C59" s="3" t="s">
        <v>80</v>
      </c>
      <c r="D59" s="3">
        <v>75</v>
      </c>
      <c r="E59" s="3" t="s">
        <v>216</v>
      </c>
    </row>
    <row r="60" spans="1:5" x14ac:dyDescent="0.3">
      <c r="A60" s="3" t="s">
        <v>119</v>
      </c>
      <c r="B60" s="3" t="s">
        <v>217</v>
      </c>
      <c r="C60" s="3" t="s">
        <v>82</v>
      </c>
      <c r="D60" s="3">
        <v>80</v>
      </c>
      <c r="E60" s="3" t="s">
        <v>218</v>
      </c>
    </row>
    <row r="61" spans="1:5" x14ac:dyDescent="0.3">
      <c r="A61" s="3" t="s">
        <v>119</v>
      </c>
      <c r="B61" s="3" t="s">
        <v>219</v>
      </c>
      <c r="C61" s="3" t="s">
        <v>82</v>
      </c>
      <c r="D61" s="3">
        <v>100</v>
      </c>
      <c r="E61" s="3" t="s">
        <v>220</v>
      </c>
    </row>
    <row r="62" spans="1:5" x14ac:dyDescent="0.3">
      <c r="A62" s="3" t="s">
        <v>120</v>
      </c>
      <c r="B62" s="3" t="s">
        <v>221</v>
      </c>
      <c r="C62" s="3" t="s">
        <v>80</v>
      </c>
      <c r="D62" s="3">
        <v>1</v>
      </c>
      <c r="E62" s="3" t="s">
        <v>222</v>
      </c>
    </row>
    <row r="63" spans="1:5" x14ac:dyDescent="0.3">
      <c r="A63" s="3" t="s">
        <v>120</v>
      </c>
      <c r="B63" s="3" t="s">
        <v>223</v>
      </c>
      <c r="C63" s="3" t="s">
        <v>81</v>
      </c>
      <c r="D63" s="3">
        <v>5</v>
      </c>
      <c r="E63" s="3" t="s">
        <v>224</v>
      </c>
    </row>
    <row r="64" spans="1:5" x14ac:dyDescent="0.3">
      <c r="A64" s="3" t="s">
        <v>120</v>
      </c>
      <c r="B64" s="3" t="s">
        <v>225</v>
      </c>
      <c r="C64" s="3" t="s">
        <v>80</v>
      </c>
      <c r="D64" s="3">
        <v>10</v>
      </c>
      <c r="E64" s="3" t="s">
        <v>226</v>
      </c>
    </row>
    <row r="65" spans="1:5" x14ac:dyDescent="0.3">
      <c r="A65" s="3" t="s">
        <v>120</v>
      </c>
      <c r="B65" s="3" t="s">
        <v>227</v>
      </c>
      <c r="C65" s="3" t="s">
        <v>80</v>
      </c>
      <c r="D65" s="3">
        <v>15</v>
      </c>
      <c r="E65" s="3" t="s">
        <v>228</v>
      </c>
    </row>
    <row r="66" spans="1:5" x14ac:dyDescent="0.3">
      <c r="A66" s="3" t="s">
        <v>120</v>
      </c>
      <c r="B66" s="3" t="s">
        <v>229</v>
      </c>
      <c r="C66" s="3" t="s">
        <v>81</v>
      </c>
      <c r="D66" s="3">
        <v>20</v>
      </c>
      <c r="E66" s="3" t="s">
        <v>230</v>
      </c>
    </row>
    <row r="67" spans="1:5" x14ac:dyDescent="0.3">
      <c r="A67" s="3" t="s">
        <v>120</v>
      </c>
      <c r="B67" s="3" t="s">
        <v>231</v>
      </c>
      <c r="C67" s="3" t="s">
        <v>80</v>
      </c>
      <c r="D67" s="3">
        <v>25</v>
      </c>
      <c r="E67" s="3" t="s">
        <v>232</v>
      </c>
    </row>
    <row r="68" spans="1:5" x14ac:dyDescent="0.3">
      <c r="A68" s="3" t="s">
        <v>120</v>
      </c>
      <c r="B68" s="3" t="s">
        <v>233</v>
      </c>
      <c r="C68" s="3" t="s">
        <v>81</v>
      </c>
      <c r="D68" s="3">
        <v>35</v>
      </c>
      <c r="E68" s="3" t="s">
        <v>234</v>
      </c>
    </row>
    <row r="69" spans="1:5" x14ac:dyDescent="0.3">
      <c r="A69" s="3" t="s">
        <v>120</v>
      </c>
      <c r="B69" s="3" t="s">
        <v>235</v>
      </c>
      <c r="C69" s="3" t="s">
        <v>80</v>
      </c>
      <c r="D69" s="3">
        <v>45</v>
      </c>
      <c r="E69" s="3" t="s">
        <v>236</v>
      </c>
    </row>
    <row r="70" spans="1:5" x14ac:dyDescent="0.3">
      <c r="A70" s="3" t="s">
        <v>120</v>
      </c>
      <c r="B70" s="3" t="s">
        <v>237</v>
      </c>
      <c r="C70" s="3" t="s">
        <v>81</v>
      </c>
      <c r="D70" s="3">
        <v>60</v>
      </c>
      <c r="E70" s="3" t="s">
        <v>238</v>
      </c>
    </row>
    <row r="71" spans="1:5" x14ac:dyDescent="0.3">
      <c r="A71" s="3" t="s">
        <v>120</v>
      </c>
      <c r="B71" s="3" t="s">
        <v>239</v>
      </c>
      <c r="C71" s="3" t="s">
        <v>80</v>
      </c>
      <c r="D71" s="3">
        <v>75</v>
      </c>
      <c r="E71" s="3" t="s">
        <v>240</v>
      </c>
    </row>
    <row r="72" spans="1:5" x14ac:dyDescent="0.3">
      <c r="A72" s="3" t="s">
        <v>120</v>
      </c>
      <c r="B72" s="3" t="s">
        <v>241</v>
      </c>
      <c r="C72" s="3" t="s">
        <v>82</v>
      </c>
      <c r="D72" s="3">
        <v>80</v>
      </c>
      <c r="E72" s="3" t="s">
        <v>242</v>
      </c>
    </row>
    <row r="73" spans="1:5" x14ac:dyDescent="0.3">
      <c r="A73" s="3" t="s">
        <v>120</v>
      </c>
      <c r="B73" s="3" t="s">
        <v>243</v>
      </c>
      <c r="C73" s="3" t="s">
        <v>82</v>
      </c>
      <c r="D73" s="3">
        <v>100</v>
      </c>
      <c r="E73" s="3" t="s">
        <v>244</v>
      </c>
    </row>
    <row r="74" spans="1:5" x14ac:dyDescent="0.3">
      <c r="A74" s="3" t="s">
        <v>121</v>
      </c>
      <c r="B74" s="3" t="s">
        <v>245</v>
      </c>
      <c r="C74" s="3" t="s">
        <v>80</v>
      </c>
      <c r="D74" s="3">
        <v>1</v>
      </c>
      <c r="E74" s="3" t="s">
        <v>246</v>
      </c>
    </row>
    <row r="75" spans="1:5" x14ac:dyDescent="0.3">
      <c r="A75" s="3" t="s">
        <v>121</v>
      </c>
      <c r="B75" s="3" t="s">
        <v>247</v>
      </c>
      <c r="C75" s="3" t="s">
        <v>81</v>
      </c>
      <c r="D75" s="3">
        <v>5</v>
      </c>
      <c r="E75" s="3" t="s">
        <v>248</v>
      </c>
    </row>
    <row r="76" spans="1:5" x14ac:dyDescent="0.3">
      <c r="A76" s="3" t="s">
        <v>121</v>
      </c>
      <c r="B76" s="3" t="s">
        <v>249</v>
      </c>
      <c r="C76" s="3" t="s">
        <v>80</v>
      </c>
      <c r="D76" s="3">
        <v>10</v>
      </c>
      <c r="E76" s="3" t="s">
        <v>250</v>
      </c>
    </row>
    <row r="77" spans="1:5" x14ac:dyDescent="0.3">
      <c r="A77" s="3" t="s">
        <v>121</v>
      </c>
      <c r="B77" s="3" t="s">
        <v>251</v>
      </c>
      <c r="C77" s="3" t="s">
        <v>80</v>
      </c>
      <c r="D77" s="3">
        <v>15</v>
      </c>
      <c r="E77" s="3" t="s">
        <v>252</v>
      </c>
    </row>
    <row r="78" spans="1:5" x14ac:dyDescent="0.3">
      <c r="A78" s="3" t="s">
        <v>121</v>
      </c>
      <c r="B78" s="3" t="s">
        <v>253</v>
      </c>
      <c r="C78" s="3" t="s">
        <v>81</v>
      </c>
      <c r="D78" s="3">
        <v>20</v>
      </c>
      <c r="E78" s="3" t="s">
        <v>254</v>
      </c>
    </row>
    <row r="79" spans="1:5" x14ac:dyDescent="0.3">
      <c r="A79" s="3" t="s">
        <v>121</v>
      </c>
      <c r="B79" s="3" t="s">
        <v>255</v>
      </c>
      <c r="C79" s="3" t="s">
        <v>80</v>
      </c>
      <c r="D79" s="3">
        <v>25</v>
      </c>
      <c r="E79" s="3" t="s">
        <v>256</v>
      </c>
    </row>
    <row r="80" spans="1:5" x14ac:dyDescent="0.3">
      <c r="A80" s="3" t="s">
        <v>121</v>
      </c>
      <c r="B80" s="3" t="s">
        <v>257</v>
      </c>
      <c r="C80" s="3" t="s">
        <v>81</v>
      </c>
      <c r="D80" s="3">
        <v>35</v>
      </c>
      <c r="E80" s="3" t="s">
        <v>258</v>
      </c>
    </row>
    <row r="81" spans="1:5" x14ac:dyDescent="0.3">
      <c r="A81" s="3" t="s">
        <v>121</v>
      </c>
      <c r="B81" s="3" t="s">
        <v>259</v>
      </c>
      <c r="C81" s="3" t="s">
        <v>80</v>
      </c>
      <c r="D81" s="3">
        <v>45</v>
      </c>
      <c r="E81" s="3" t="s">
        <v>260</v>
      </c>
    </row>
    <row r="82" spans="1:5" x14ac:dyDescent="0.3">
      <c r="A82" s="3" t="s">
        <v>121</v>
      </c>
      <c r="B82" s="3" t="s">
        <v>261</v>
      </c>
      <c r="C82" s="3" t="s">
        <v>81</v>
      </c>
      <c r="D82" s="3">
        <v>60</v>
      </c>
      <c r="E82" s="3" t="s">
        <v>262</v>
      </c>
    </row>
    <row r="83" spans="1:5" x14ac:dyDescent="0.3">
      <c r="A83" s="3" t="s">
        <v>121</v>
      </c>
      <c r="B83" s="3" t="s">
        <v>263</v>
      </c>
      <c r="C83" s="3" t="s">
        <v>80</v>
      </c>
      <c r="D83" s="3">
        <v>75</v>
      </c>
      <c r="E83" s="3" t="s">
        <v>264</v>
      </c>
    </row>
    <row r="84" spans="1:5" x14ac:dyDescent="0.3">
      <c r="A84" s="3" t="s">
        <v>121</v>
      </c>
      <c r="B84" s="3" t="s">
        <v>265</v>
      </c>
      <c r="C84" s="3" t="s">
        <v>82</v>
      </c>
      <c r="D84" s="3">
        <v>80</v>
      </c>
      <c r="E84" s="3" t="s">
        <v>266</v>
      </c>
    </row>
    <row r="85" spans="1:5" x14ac:dyDescent="0.3">
      <c r="A85" s="3" t="s">
        <v>121</v>
      </c>
      <c r="B85" s="3" t="s">
        <v>267</v>
      </c>
      <c r="C85" s="3" t="s">
        <v>82</v>
      </c>
      <c r="D85" s="3">
        <v>100</v>
      </c>
      <c r="E85" s="3" t="s">
        <v>268</v>
      </c>
    </row>
    <row r="86" spans="1:5" x14ac:dyDescent="0.3">
      <c r="A86" s="3" t="s">
        <v>122</v>
      </c>
      <c r="B86" s="3" t="s">
        <v>269</v>
      </c>
      <c r="C86" s="3" t="s">
        <v>80</v>
      </c>
      <c r="D86" s="3">
        <v>1</v>
      </c>
      <c r="E86" s="3" t="s">
        <v>270</v>
      </c>
    </row>
    <row r="87" spans="1:5" x14ac:dyDescent="0.3">
      <c r="A87" s="3" t="s">
        <v>122</v>
      </c>
      <c r="B87" s="3" t="s">
        <v>271</v>
      </c>
      <c r="C87" s="3" t="s">
        <v>81</v>
      </c>
      <c r="D87" s="3">
        <v>5</v>
      </c>
      <c r="E87" s="3" t="s">
        <v>272</v>
      </c>
    </row>
    <row r="88" spans="1:5" x14ac:dyDescent="0.3">
      <c r="A88" s="3" t="s">
        <v>122</v>
      </c>
      <c r="B88" s="3" t="s">
        <v>273</v>
      </c>
      <c r="C88" s="3" t="s">
        <v>80</v>
      </c>
      <c r="D88" s="3">
        <v>10</v>
      </c>
      <c r="E88" s="3" t="s">
        <v>274</v>
      </c>
    </row>
    <row r="89" spans="1:5" x14ac:dyDescent="0.3">
      <c r="A89" s="3" t="s">
        <v>122</v>
      </c>
      <c r="B89" s="3" t="s">
        <v>275</v>
      </c>
      <c r="C89" s="3" t="s">
        <v>80</v>
      </c>
      <c r="D89" s="3">
        <v>15</v>
      </c>
      <c r="E89" s="3" t="s">
        <v>276</v>
      </c>
    </row>
    <row r="90" spans="1:5" x14ac:dyDescent="0.3">
      <c r="A90" s="3" t="s">
        <v>122</v>
      </c>
      <c r="B90" s="3" t="s">
        <v>277</v>
      </c>
      <c r="C90" s="3" t="s">
        <v>81</v>
      </c>
      <c r="D90" s="3">
        <v>20</v>
      </c>
      <c r="E90" s="3" t="s">
        <v>278</v>
      </c>
    </row>
    <row r="91" spans="1:5" x14ac:dyDescent="0.3">
      <c r="A91" s="3" t="s">
        <v>122</v>
      </c>
      <c r="B91" s="3" t="s">
        <v>279</v>
      </c>
      <c r="C91" s="3" t="s">
        <v>80</v>
      </c>
      <c r="D91" s="3">
        <v>25</v>
      </c>
      <c r="E91" s="3" t="s">
        <v>280</v>
      </c>
    </row>
    <row r="92" spans="1:5" x14ac:dyDescent="0.3">
      <c r="A92" s="3" t="s">
        <v>122</v>
      </c>
      <c r="B92" s="3" t="s">
        <v>281</v>
      </c>
      <c r="C92" s="3" t="s">
        <v>81</v>
      </c>
      <c r="D92" s="3">
        <v>35</v>
      </c>
      <c r="E92" s="3" t="s">
        <v>282</v>
      </c>
    </row>
    <row r="93" spans="1:5" x14ac:dyDescent="0.3">
      <c r="A93" s="3" t="s">
        <v>122</v>
      </c>
      <c r="B93" s="3" t="s">
        <v>283</v>
      </c>
      <c r="C93" s="3" t="s">
        <v>80</v>
      </c>
      <c r="D93" s="3">
        <v>45</v>
      </c>
      <c r="E93" s="3" t="s">
        <v>284</v>
      </c>
    </row>
    <row r="94" spans="1:5" x14ac:dyDescent="0.3">
      <c r="A94" s="3" t="s">
        <v>122</v>
      </c>
      <c r="B94" s="3" t="s">
        <v>285</v>
      </c>
      <c r="C94" s="3" t="s">
        <v>81</v>
      </c>
      <c r="D94" s="3">
        <v>60</v>
      </c>
      <c r="E94" s="3" t="s">
        <v>286</v>
      </c>
    </row>
    <row r="95" spans="1:5" x14ac:dyDescent="0.3">
      <c r="A95" s="3" t="s">
        <v>122</v>
      </c>
      <c r="B95" s="3" t="s">
        <v>287</v>
      </c>
      <c r="C95" s="3" t="s">
        <v>80</v>
      </c>
      <c r="D95" s="3">
        <v>75</v>
      </c>
      <c r="E95" s="3" t="s">
        <v>288</v>
      </c>
    </row>
    <row r="96" spans="1:5" x14ac:dyDescent="0.3">
      <c r="A96" s="3" t="s">
        <v>122</v>
      </c>
      <c r="B96" s="3" t="s">
        <v>289</v>
      </c>
      <c r="C96" s="3" t="s">
        <v>82</v>
      </c>
      <c r="D96" s="3">
        <v>80</v>
      </c>
      <c r="E96" s="3" t="s">
        <v>290</v>
      </c>
    </row>
    <row r="97" spans="1:5" x14ac:dyDescent="0.3">
      <c r="A97" s="3" t="s">
        <v>122</v>
      </c>
      <c r="B97" s="3" t="s">
        <v>291</v>
      </c>
      <c r="C97" s="3" t="s">
        <v>82</v>
      </c>
      <c r="D97" s="3">
        <v>100</v>
      </c>
      <c r="E97" s="3" t="s">
        <v>292</v>
      </c>
    </row>
    <row r="98" spans="1:5" x14ac:dyDescent="0.3">
      <c r="A98" s="3" t="s">
        <v>123</v>
      </c>
      <c r="B98" s="3" t="s">
        <v>293</v>
      </c>
      <c r="C98" s="3" t="s">
        <v>80</v>
      </c>
      <c r="D98" s="3">
        <v>1</v>
      </c>
      <c r="E98" s="3" t="s">
        <v>294</v>
      </c>
    </row>
    <row r="99" spans="1:5" x14ac:dyDescent="0.3">
      <c r="A99" s="3" t="s">
        <v>123</v>
      </c>
      <c r="B99" s="3" t="s">
        <v>295</v>
      </c>
      <c r="C99" s="3" t="s">
        <v>81</v>
      </c>
      <c r="D99" s="3">
        <v>5</v>
      </c>
      <c r="E99" s="3" t="s">
        <v>296</v>
      </c>
    </row>
    <row r="100" spans="1:5" x14ac:dyDescent="0.3">
      <c r="A100" s="3" t="s">
        <v>123</v>
      </c>
      <c r="B100" s="3" t="s">
        <v>297</v>
      </c>
      <c r="C100" s="3" t="s">
        <v>80</v>
      </c>
      <c r="D100" s="3">
        <v>10</v>
      </c>
      <c r="E100" s="3" t="s">
        <v>298</v>
      </c>
    </row>
    <row r="101" spans="1:5" x14ac:dyDescent="0.3">
      <c r="A101" s="3" t="s">
        <v>123</v>
      </c>
      <c r="B101" s="3" t="s">
        <v>299</v>
      </c>
      <c r="C101" s="3" t="s">
        <v>80</v>
      </c>
      <c r="D101" s="3">
        <v>15</v>
      </c>
      <c r="E101" s="3" t="s">
        <v>300</v>
      </c>
    </row>
    <row r="102" spans="1:5" x14ac:dyDescent="0.3">
      <c r="A102" s="3" t="s">
        <v>123</v>
      </c>
      <c r="B102" s="3" t="s">
        <v>301</v>
      </c>
      <c r="C102" s="3" t="s">
        <v>81</v>
      </c>
      <c r="D102" s="3">
        <v>20</v>
      </c>
      <c r="E102" s="3" t="s">
        <v>302</v>
      </c>
    </row>
    <row r="103" spans="1:5" x14ac:dyDescent="0.3">
      <c r="A103" s="3" t="s">
        <v>123</v>
      </c>
      <c r="B103" s="3" t="s">
        <v>303</v>
      </c>
      <c r="C103" s="3" t="s">
        <v>80</v>
      </c>
      <c r="D103" s="3">
        <v>25</v>
      </c>
      <c r="E103" s="3" t="s">
        <v>304</v>
      </c>
    </row>
    <row r="104" spans="1:5" x14ac:dyDescent="0.3">
      <c r="A104" s="3" t="s">
        <v>123</v>
      </c>
      <c r="B104" s="3" t="s">
        <v>305</v>
      </c>
      <c r="C104" s="3" t="s">
        <v>81</v>
      </c>
      <c r="D104" s="3">
        <v>35</v>
      </c>
      <c r="E104" s="3" t="s">
        <v>306</v>
      </c>
    </row>
    <row r="105" spans="1:5" x14ac:dyDescent="0.3">
      <c r="A105" s="3" t="s">
        <v>123</v>
      </c>
      <c r="B105" s="3" t="s">
        <v>307</v>
      </c>
      <c r="C105" s="3" t="s">
        <v>80</v>
      </c>
      <c r="D105" s="3">
        <v>45</v>
      </c>
      <c r="E105" s="3" t="s">
        <v>308</v>
      </c>
    </row>
    <row r="106" spans="1:5" x14ac:dyDescent="0.3">
      <c r="A106" s="3" t="s">
        <v>123</v>
      </c>
      <c r="B106" s="3" t="s">
        <v>309</v>
      </c>
      <c r="C106" s="3" t="s">
        <v>81</v>
      </c>
      <c r="D106" s="3">
        <v>60</v>
      </c>
      <c r="E106" s="3" t="s">
        <v>310</v>
      </c>
    </row>
    <row r="107" spans="1:5" x14ac:dyDescent="0.3">
      <c r="A107" s="3" t="s">
        <v>123</v>
      </c>
      <c r="B107" s="3" t="s">
        <v>311</v>
      </c>
      <c r="C107" s="3" t="s">
        <v>80</v>
      </c>
      <c r="D107" s="3">
        <v>75</v>
      </c>
      <c r="E107" s="3" t="s">
        <v>312</v>
      </c>
    </row>
    <row r="108" spans="1:5" x14ac:dyDescent="0.3">
      <c r="A108" s="3" t="s">
        <v>123</v>
      </c>
      <c r="B108" s="3" t="s">
        <v>313</v>
      </c>
      <c r="C108" s="3" t="s">
        <v>82</v>
      </c>
      <c r="D108" s="3">
        <v>80</v>
      </c>
      <c r="E108" s="3" t="s">
        <v>314</v>
      </c>
    </row>
    <row r="109" spans="1:5" x14ac:dyDescent="0.3">
      <c r="A109" s="3" t="s">
        <v>123</v>
      </c>
      <c r="B109" s="3" t="s">
        <v>315</v>
      </c>
      <c r="C109" s="3" t="s">
        <v>82</v>
      </c>
      <c r="D109" s="3">
        <v>100</v>
      </c>
      <c r="E109" s="3" t="s">
        <v>316</v>
      </c>
    </row>
    <row r="110" spans="1:5" x14ac:dyDescent="0.3">
      <c r="A110" s="3" t="s">
        <v>124</v>
      </c>
      <c r="B110" s="3" t="s">
        <v>317</v>
      </c>
      <c r="C110" s="3" t="s">
        <v>80</v>
      </c>
      <c r="D110" s="3">
        <v>1</v>
      </c>
      <c r="E110" s="3" t="s">
        <v>318</v>
      </c>
    </row>
    <row r="111" spans="1:5" x14ac:dyDescent="0.3">
      <c r="A111" s="3" t="s">
        <v>124</v>
      </c>
      <c r="B111" s="3" t="s">
        <v>319</v>
      </c>
      <c r="C111" s="3" t="s">
        <v>81</v>
      </c>
      <c r="D111" s="3">
        <v>5</v>
      </c>
      <c r="E111" s="3" t="s">
        <v>320</v>
      </c>
    </row>
    <row r="112" spans="1:5" x14ac:dyDescent="0.3">
      <c r="A112" s="3" t="s">
        <v>124</v>
      </c>
      <c r="B112" s="3" t="s">
        <v>321</v>
      </c>
      <c r="C112" s="3" t="s">
        <v>80</v>
      </c>
      <c r="D112" s="3">
        <v>10</v>
      </c>
      <c r="E112" s="3" t="s">
        <v>322</v>
      </c>
    </row>
    <row r="113" spans="1:5" x14ac:dyDescent="0.3">
      <c r="A113" s="3" t="s">
        <v>124</v>
      </c>
      <c r="B113" s="3" t="s">
        <v>323</v>
      </c>
      <c r="C113" s="3" t="s">
        <v>80</v>
      </c>
      <c r="D113" s="3">
        <v>15</v>
      </c>
      <c r="E113" s="3" t="s">
        <v>324</v>
      </c>
    </row>
    <row r="114" spans="1:5" x14ac:dyDescent="0.3">
      <c r="A114" s="3" t="s">
        <v>124</v>
      </c>
      <c r="B114" s="3" t="s">
        <v>325</v>
      </c>
      <c r="C114" s="3" t="s">
        <v>81</v>
      </c>
      <c r="D114" s="3">
        <v>20</v>
      </c>
      <c r="E114" s="3" t="s">
        <v>326</v>
      </c>
    </row>
    <row r="115" spans="1:5" x14ac:dyDescent="0.3">
      <c r="A115" s="3" t="s">
        <v>124</v>
      </c>
      <c r="B115" s="3" t="s">
        <v>327</v>
      </c>
      <c r="C115" s="3" t="s">
        <v>80</v>
      </c>
      <c r="D115" s="3">
        <v>25</v>
      </c>
      <c r="E115" s="3" t="s">
        <v>328</v>
      </c>
    </row>
    <row r="116" spans="1:5" x14ac:dyDescent="0.3">
      <c r="A116" s="3" t="s">
        <v>124</v>
      </c>
      <c r="B116" s="3" t="s">
        <v>329</v>
      </c>
      <c r="C116" s="3" t="s">
        <v>81</v>
      </c>
      <c r="D116" s="3">
        <v>35</v>
      </c>
      <c r="E116" s="3" t="s">
        <v>330</v>
      </c>
    </row>
    <row r="117" spans="1:5" x14ac:dyDescent="0.3">
      <c r="A117" s="3" t="s">
        <v>124</v>
      </c>
      <c r="B117" s="3" t="s">
        <v>331</v>
      </c>
      <c r="C117" s="3" t="s">
        <v>80</v>
      </c>
      <c r="D117" s="3">
        <v>45</v>
      </c>
      <c r="E117" s="3" t="s">
        <v>332</v>
      </c>
    </row>
    <row r="118" spans="1:5" x14ac:dyDescent="0.3">
      <c r="A118" s="3" t="s">
        <v>124</v>
      </c>
      <c r="B118" s="3" t="s">
        <v>333</v>
      </c>
      <c r="C118" s="3" t="s">
        <v>81</v>
      </c>
      <c r="D118" s="3">
        <v>60</v>
      </c>
      <c r="E118" s="3" t="s">
        <v>334</v>
      </c>
    </row>
    <row r="119" spans="1:5" x14ac:dyDescent="0.3">
      <c r="A119" s="3" t="s">
        <v>124</v>
      </c>
      <c r="B119" s="3" t="s">
        <v>125</v>
      </c>
      <c r="C119" s="3" t="s">
        <v>80</v>
      </c>
      <c r="D119" s="3">
        <v>75</v>
      </c>
      <c r="E119" s="3" t="s">
        <v>335</v>
      </c>
    </row>
    <row r="120" spans="1:5" x14ac:dyDescent="0.3">
      <c r="A120" s="3" t="s">
        <v>124</v>
      </c>
      <c r="B120" s="3" t="s">
        <v>336</v>
      </c>
      <c r="C120" s="3" t="s">
        <v>82</v>
      </c>
      <c r="D120" s="3">
        <v>80</v>
      </c>
      <c r="E120" s="3" t="s">
        <v>337</v>
      </c>
    </row>
    <row r="121" spans="1:5" x14ac:dyDescent="0.3">
      <c r="A121" s="3" t="s">
        <v>124</v>
      </c>
      <c r="B121" s="3" t="s">
        <v>338</v>
      </c>
      <c r="C121" s="3" t="s">
        <v>82</v>
      </c>
      <c r="D121" s="3">
        <v>100</v>
      </c>
      <c r="E121" s="3" t="s">
        <v>339</v>
      </c>
    </row>
    <row r="122" spans="1:5" x14ac:dyDescent="0.3">
      <c r="A122" s="3" t="s">
        <v>126</v>
      </c>
      <c r="B122" s="3" t="s">
        <v>340</v>
      </c>
      <c r="C122" s="3" t="s">
        <v>80</v>
      </c>
      <c r="D122" s="3">
        <v>1</v>
      </c>
      <c r="E122" s="3" t="s">
        <v>341</v>
      </c>
    </row>
    <row r="123" spans="1:5" x14ac:dyDescent="0.3">
      <c r="A123" s="3" t="s">
        <v>126</v>
      </c>
      <c r="B123" s="3" t="s">
        <v>342</v>
      </c>
      <c r="C123" s="3" t="s">
        <v>81</v>
      </c>
      <c r="D123" s="3">
        <v>5</v>
      </c>
      <c r="E123" s="3" t="s">
        <v>343</v>
      </c>
    </row>
    <row r="124" spans="1:5" x14ac:dyDescent="0.3">
      <c r="A124" s="3" t="s">
        <v>126</v>
      </c>
      <c r="B124" s="3" t="s">
        <v>344</v>
      </c>
      <c r="C124" s="3" t="s">
        <v>80</v>
      </c>
      <c r="D124" s="3">
        <v>10</v>
      </c>
      <c r="E124" s="3" t="s">
        <v>345</v>
      </c>
    </row>
    <row r="125" spans="1:5" x14ac:dyDescent="0.3">
      <c r="A125" s="3" t="s">
        <v>126</v>
      </c>
      <c r="B125" s="3" t="s">
        <v>346</v>
      </c>
      <c r="C125" s="3" t="s">
        <v>80</v>
      </c>
      <c r="D125" s="3">
        <v>15</v>
      </c>
      <c r="E125" s="3" t="s">
        <v>347</v>
      </c>
    </row>
    <row r="126" spans="1:5" x14ac:dyDescent="0.3">
      <c r="A126" s="3" t="s">
        <v>126</v>
      </c>
      <c r="B126" s="3" t="s">
        <v>348</v>
      </c>
      <c r="C126" s="3" t="s">
        <v>81</v>
      </c>
      <c r="D126" s="3">
        <v>20</v>
      </c>
      <c r="E126" s="3" t="s">
        <v>349</v>
      </c>
    </row>
    <row r="127" spans="1:5" x14ac:dyDescent="0.3">
      <c r="A127" s="3" t="s">
        <v>126</v>
      </c>
      <c r="B127" s="3" t="s">
        <v>350</v>
      </c>
      <c r="C127" s="3" t="s">
        <v>80</v>
      </c>
      <c r="D127" s="3">
        <v>25</v>
      </c>
      <c r="E127" s="3" t="s">
        <v>351</v>
      </c>
    </row>
    <row r="128" spans="1:5" x14ac:dyDescent="0.3">
      <c r="A128" s="3" t="s">
        <v>126</v>
      </c>
      <c r="B128" s="3" t="s">
        <v>352</v>
      </c>
      <c r="C128" s="3" t="s">
        <v>81</v>
      </c>
      <c r="D128" s="3">
        <v>35</v>
      </c>
      <c r="E128" s="3" t="s">
        <v>353</v>
      </c>
    </row>
    <row r="129" spans="1:5" x14ac:dyDescent="0.3">
      <c r="A129" s="3" t="s">
        <v>126</v>
      </c>
      <c r="B129" s="3" t="s">
        <v>354</v>
      </c>
      <c r="C129" s="3" t="s">
        <v>80</v>
      </c>
      <c r="D129" s="3">
        <v>45</v>
      </c>
      <c r="E129" s="3" t="s">
        <v>355</v>
      </c>
    </row>
    <row r="130" spans="1:5" x14ac:dyDescent="0.3">
      <c r="A130" s="3" t="s">
        <v>126</v>
      </c>
      <c r="B130" s="3" t="s">
        <v>356</v>
      </c>
      <c r="C130" s="3" t="s">
        <v>81</v>
      </c>
      <c r="D130" s="3">
        <v>60</v>
      </c>
      <c r="E130" s="3" t="s">
        <v>357</v>
      </c>
    </row>
    <row r="131" spans="1:5" x14ac:dyDescent="0.3">
      <c r="A131" s="3" t="s">
        <v>126</v>
      </c>
      <c r="B131" s="3" t="s">
        <v>127</v>
      </c>
      <c r="C131" s="3" t="s">
        <v>80</v>
      </c>
      <c r="D131" s="3">
        <v>75</v>
      </c>
      <c r="E131" s="3" t="s">
        <v>358</v>
      </c>
    </row>
    <row r="132" spans="1:5" x14ac:dyDescent="0.3">
      <c r="A132" s="3" t="s">
        <v>126</v>
      </c>
      <c r="B132" s="3" t="s">
        <v>359</v>
      </c>
      <c r="C132" s="3" t="s">
        <v>82</v>
      </c>
      <c r="D132" s="3">
        <v>80</v>
      </c>
      <c r="E132" s="3" t="s">
        <v>360</v>
      </c>
    </row>
    <row r="133" spans="1:5" x14ac:dyDescent="0.3">
      <c r="A133" s="3" t="s">
        <v>126</v>
      </c>
      <c r="B133" s="3" t="s">
        <v>361</v>
      </c>
      <c r="C133" s="3" t="s">
        <v>82</v>
      </c>
      <c r="D133" s="3">
        <v>100</v>
      </c>
      <c r="E133" s="3" t="s">
        <v>362</v>
      </c>
    </row>
    <row r="134" spans="1:5" x14ac:dyDescent="0.3">
      <c r="A134" s="3" t="s">
        <v>128</v>
      </c>
      <c r="B134" s="3" t="s">
        <v>363</v>
      </c>
      <c r="C134" s="3" t="s">
        <v>80</v>
      </c>
      <c r="D134" s="3">
        <v>1</v>
      </c>
      <c r="E134" s="3" t="s">
        <v>364</v>
      </c>
    </row>
    <row r="135" spans="1:5" x14ac:dyDescent="0.3">
      <c r="A135" s="3" t="s">
        <v>128</v>
      </c>
      <c r="B135" s="3" t="s">
        <v>365</v>
      </c>
      <c r="C135" s="3" t="s">
        <v>81</v>
      </c>
      <c r="D135" s="3">
        <v>5</v>
      </c>
      <c r="E135" s="3" t="s">
        <v>366</v>
      </c>
    </row>
    <row r="136" spans="1:5" x14ac:dyDescent="0.3">
      <c r="A136" s="3" t="s">
        <v>128</v>
      </c>
      <c r="B136" s="3" t="s">
        <v>367</v>
      </c>
      <c r="C136" s="3" t="s">
        <v>80</v>
      </c>
      <c r="D136" s="3">
        <v>10</v>
      </c>
      <c r="E136" s="3" t="s">
        <v>368</v>
      </c>
    </row>
    <row r="137" spans="1:5" x14ac:dyDescent="0.3">
      <c r="A137" s="3" t="s">
        <v>128</v>
      </c>
      <c r="B137" s="3" t="s">
        <v>369</v>
      </c>
      <c r="C137" s="3" t="s">
        <v>80</v>
      </c>
      <c r="D137" s="3">
        <v>15</v>
      </c>
      <c r="E137" s="3" t="s">
        <v>370</v>
      </c>
    </row>
    <row r="138" spans="1:5" x14ac:dyDescent="0.3">
      <c r="A138" s="3" t="s">
        <v>128</v>
      </c>
      <c r="B138" s="3" t="s">
        <v>371</v>
      </c>
      <c r="C138" s="3" t="s">
        <v>81</v>
      </c>
      <c r="D138" s="3">
        <v>20</v>
      </c>
      <c r="E138" s="3" t="s">
        <v>372</v>
      </c>
    </row>
    <row r="139" spans="1:5" x14ac:dyDescent="0.3">
      <c r="A139" s="3" t="s">
        <v>128</v>
      </c>
      <c r="B139" s="3" t="s">
        <v>373</v>
      </c>
      <c r="C139" s="3" t="s">
        <v>80</v>
      </c>
      <c r="D139" s="3">
        <v>25</v>
      </c>
      <c r="E139" s="3" t="s">
        <v>374</v>
      </c>
    </row>
    <row r="140" spans="1:5" x14ac:dyDescent="0.3">
      <c r="A140" s="3" t="s">
        <v>128</v>
      </c>
      <c r="B140" s="3" t="s">
        <v>375</v>
      </c>
      <c r="C140" s="3" t="s">
        <v>81</v>
      </c>
      <c r="D140" s="3">
        <v>35</v>
      </c>
      <c r="E140" s="3" t="s">
        <v>376</v>
      </c>
    </row>
    <row r="141" spans="1:5" x14ac:dyDescent="0.3">
      <c r="A141" s="3" t="s">
        <v>128</v>
      </c>
      <c r="B141" s="3" t="s">
        <v>377</v>
      </c>
      <c r="C141" s="3" t="s">
        <v>80</v>
      </c>
      <c r="D141" s="3">
        <v>45</v>
      </c>
      <c r="E141" s="3" t="s">
        <v>378</v>
      </c>
    </row>
    <row r="142" spans="1:5" x14ac:dyDescent="0.3">
      <c r="A142" s="3" t="s">
        <v>128</v>
      </c>
      <c r="B142" s="3" t="s">
        <v>379</v>
      </c>
      <c r="C142" s="3" t="s">
        <v>81</v>
      </c>
      <c r="D142" s="3">
        <v>60</v>
      </c>
      <c r="E142" s="3" t="s">
        <v>380</v>
      </c>
    </row>
    <row r="143" spans="1:5" x14ac:dyDescent="0.3">
      <c r="A143" s="3" t="s">
        <v>128</v>
      </c>
      <c r="B143" s="3" t="s">
        <v>381</v>
      </c>
      <c r="C143" s="3" t="s">
        <v>80</v>
      </c>
      <c r="D143" s="3">
        <v>75</v>
      </c>
      <c r="E143" s="3" t="s">
        <v>382</v>
      </c>
    </row>
    <row r="144" spans="1:5" x14ac:dyDescent="0.3">
      <c r="A144" s="3" t="s">
        <v>128</v>
      </c>
      <c r="B144" s="3" t="s">
        <v>383</v>
      </c>
      <c r="C144" s="3" t="s">
        <v>82</v>
      </c>
      <c r="D144" s="3">
        <v>80</v>
      </c>
      <c r="E144" s="3" t="s">
        <v>384</v>
      </c>
    </row>
    <row r="145" spans="1:5" x14ac:dyDescent="0.3">
      <c r="A145" s="3" t="s">
        <v>128</v>
      </c>
      <c r="B145" s="3" t="s">
        <v>385</v>
      </c>
      <c r="C145" s="3" t="s">
        <v>82</v>
      </c>
      <c r="D145" s="3">
        <v>100</v>
      </c>
      <c r="E145" s="3" t="s">
        <v>386</v>
      </c>
    </row>
    <row r="146" spans="1:5" x14ac:dyDescent="0.3">
      <c r="A146" s="3" t="s">
        <v>129</v>
      </c>
      <c r="B146" s="3" t="s">
        <v>387</v>
      </c>
      <c r="C146" s="3" t="s">
        <v>80</v>
      </c>
      <c r="D146" s="3">
        <v>1</v>
      </c>
      <c r="E146" s="3" t="s">
        <v>388</v>
      </c>
    </row>
    <row r="147" spans="1:5" x14ac:dyDescent="0.3">
      <c r="A147" s="3" t="s">
        <v>129</v>
      </c>
      <c r="B147" s="3" t="s">
        <v>389</v>
      </c>
      <c r="C147" s="3" t="s">
        <v>81</v>
      </c>
      <c r="D147" s="3">
        <v>5</v>
      </c>
      <c r="E147" s="3" t="s">
        <v>390</v>
      </c>
    </row>
    <row r="148" spans="1:5" x14ac:dyDescent="0.3">
      <c r="A148" s="3" t="s">
        <v>129</v>
      </c>
      <c r="B148" s="3" t="s">
        <v>391</v>
      </c>
      <c r="C148" s="3" t="s">
        <v>80</v>
      </c>
      <c r="D148" s="3">
        <v>10</v>
      </c>
      <c r="E148" s="3" t="s">
        <v>392</v>
      </c>
    </row>
    <row r="149" spans="1:5" x14ac:dyDescent="0.3">
      <c r="A149" s="3" t="s">
        <v>129</v>
      </c>
      <c r="B149" s="3" t="s">
        <v>393</v>
      </c>
      <c r="C149" s="3" t="s">
        <v>80</v>
      </c>
      <c r="D149" s="3">
        <v>15</v>
      </c>
      <c r="E149" s="3" t="s">
        <v>394</v>
      </c>
    </row>
    <row r="150" spans="1:5" x14ac:dyDescent="0.3">
      <c r="A150" s="3" t="s">
        <v>129</v>
      </c>
      <c r="B150" s="3" t="s">
        <v>395</v>
      </c>
      <c r="C150" s="3" t="s">
        <v>81</v>
      </c>
      <c r="D150" s="3">
        <v>20</v>
      </c>
      <c r="E150" s="3" t="s">
        <v>396</v>
      </c>
    </row>
    <row r="151" spans="1:5" x14ac:dyDescent="0.3">
      <c r="A151" s="3" t="s">
        <v>129</v>
      </c>
      <c r="B151" s="3" t="s">
        <v>397</v>
      </c>
      <c r="C151" s="3" t="s">
        <v>80</v>
      </c>
      <c r="D151" s="3">
        <v>25</v>
      </c>
      <c r="E151" s="3" t="s">
        <v>398</v>
      </c>
    </row>
    <row r="152" spans="1:5" x14ac:dyDescent="0.3">
      <c r="A152" s="3" t="s">
        <v>129</v>
      </c>
      <c r="B152" s="3" t="s">
        <v>399</v>
      </c>
      <c r="C152" s="3" t="s">
        <v>81</v>
      </c>
      <c r="D152" s="3">
        <v>35</v>
      </c>
      <c r="E152" s="3" t="s">
        <v>400</v>
      </c>
    </row>
    <row r="153" spans="1:5" x14ac:dyDescent="0.3">
      <c r="A153" s="3" t="s">
        <v>129</v>
      </c>
      <c r="B153" s="3" t="s">
        <v>401</v>
      </c>
      <c r="C153" s="3" t="s">
        <v>80</v>
      </c>
      <c r="D153" s="3">
        <v>45</v>
      </c>
      <c r="E153" s="3" t="s">
        <v>402</v>
      </c>
    </row>
    <row r="154" spans="1:5" x14ac:dyDescent="0.3">
      <c r="A154" s="3" t="s">
        <v>129</v>
      </c>
      <c r="B154" s="3" t="s">
        <v>403</v>
      </c>
      <c r="C154" s="3" t="s">
        <v>81</v>
      </c>
      <c r="D154" s="3">
        <v>60</v>
      </c>
      <c r="E154" s="3" t="s">
        <v>404</v>
      </c>
    </row>
    <row r="155" spans="1:5" x14ac:dyDescent="0.3">
      <c r="A155" s="3" t="s">
        <v>129</v>
      </c>
      <c r="B155" s="3" t="s">
        <v>405</v>
      </c>
      <c r="C155" s="3" t="s">
        <v>80</v>
      </c>
      <c r="D155" s="3">
        <v>75</v>
      </c>
      <c r="E155" s="3" t="s">
        <v>406</v>
      </c>
    </row>
    <row r="156" spans="1:5" x14ac:dyDescent="0.3">
      <c r="A156" s="3" t="s">
        <v>129</v>
      </c>
      <c r="B156" s="3" t="s">
        <v>407</v>
      </c>
      <c r="C156" s="3" t="s">
        <v>82</v>
      </c>
      <c r="D156" s="3">
        <v>80</v>
      </c>
      <c r="E156" s="3" t="s">
        <v>408</v>
      </c>
    </row>
    <row r="157" spans="1:5" x14ac:dyDescent="0.3">
      <c r="A157" s="3" t="s">
        <v>129</v>
      </c>
      <c r="B157" s="3" t="s">
        <v>409</v>
      </c>
      <c r="C157" s="3" t="s">
        <v>82</v>
      </c>
      <c r="D157" s="3">
        <v>100</v>
      </c>
      <c r="E157" s="3" t="s">
        <v>410</v>
      </c>
    </row>
    <row r="158" spans="1:5" x14ac:dyDescent="0.3">
      <c r="A158" s="3" t="s">
        <v>131</v>
      </c>
      <c r="B158" s="3" t="s">
        <v>411</v>
      </c>
      <c r="C158" s="3" t="s">
        <v>80</v>
      </c>
      <c r="D158" s="3">
        <v>1</v>
      </c>
      <c r="E158" s="3" t="s">
        <v>412</v>
      </c>
    </row>
    <row r="159" spans="1:5" x14ac:dyDescent="0.3">
      <c r="A159" s="3" t="s">
        <v>131</v>
      </c>
      <c r="B159" s="3" t="s">
        <v>413</v>
      </c>
      <c r="C159" s="3" t="s">
        <v>81</v>
      </c>
      <c r="D159" s="3">
        <v>5</v>
      </c>
      <c r="E159" s="3" t="s">
        <v>414</v>
      </c>
    </row>
    <row r="160" spans="1:5" x14ac:dyDescent="0.3">
      <c r="A160" s="3" t="s">
        <v>131</v>
      </c>
      <c r="B160" s="3" t="s">
        <v>415</v>
      </c>
      <c r="C160" s="3" t="s">
        <v>80</v>
      </c>
      <c r="D160" s="3">
        <v>10</v>
      </c>
      <c r="E160" s="3" t="s">
        <v>416</v>
      </c>
    </row>
    <row r="161" spans="1:5" x14ac:dyDescent="0.3">
      <c r="A161" s="3" t="s">
        <v>131</v>
      </c>
      <c r="B161" s="3" t="s">
        <v>417</v>
      </c>
      <c r="C161" s="3" t="s">
        <v>80</v>
      </c>
      <c r="D161" s="3">
        <v>15</v>
      </c>
      <c r="E161" s="3" t="s">
        <v>418</v>
      </c>
    </row>
    <row r="162" spans="1:5" x14ac:dyDescent="0.3">
      <c r="A162" s="3" t="s">
        <v>131</v>
      </c>
      <c r="B162" s="3" t="s">
        <v>419</v>
      </c>
      <c r="C162" s="3" t="s">
        <v>81</v>
      </c>
      <c r="D162" s="3">
        <v>20</v>
      </c>
      <c r="E162" s="3" t="s">
        <v>420</v>
      </c>
    </row>
    <row r="163" spans="1:5" x14ac:dyDescent="0.3">
      <c r="A163" s="3" t="s">
        <v>131</v>
      </c>
      <c r="B163" s="3" t="s">
        <v>421</v>
      </c>
      <c r="C163" s="3" t="s">
        <v>80</v>
      </c>
      <c r="D163" s="3">
        <v>25</v>
      </c>
      <c r="E163" s="3" t="s">
        <v>422</v>
      </c>
    </row>
    <row r="164" spans="1:5" x14ac:dyDescent="0.3">
      <c r="A164" s="3" t="s">
        <v>131</v>
      </c>
      <c r="B164" s="3" t="s">
        <v>423</v>
      </c>
      <c r="C164" s="3" t="s">
        <v>81</v>
      </c>
      <c r="D164" s="3">
        <v>35</v>
      </c>
      <c r="E164" s="3" t="s">
        <v>424</v>
      </c>
    </row>
    <row r="165" spans="1:5" x14ac:dyDescent="0.3">
      <c r="A165" s="3" t="s">
        <v>131</v>
      </c>
      <c r="B165" s="3" t="s">
        <v>425</v>
      </c>
      <c r="C165" s="3" t="s">
        <v>80</v>
      </c>
      <c r="D165" s="3">
        <v>45</v>
      </c>
      <c r="E165" s="3" t="s">
        <v>426</v>
      </c>
    </row>
    <row r="166" spans="1:5" x14ac:dyDescent="0.3">
      <c r="A166" s="3" t="s">
        <v>131</v>
      </c>
      <c r="B166" s="3" t="s">
        <v>427</v>
      </c>
      <c r="C166" s="3" t="s">
        <v>81</v>
      </c>
      <c r="D166" s="3">
        <v>60</v>
      </c>
      <c r="E166" s="3" t="s">
        <v>428</v>
      </c>
    </row>
    <row r="167" spans="1:5" x14ac:dyDescent="0.3">
      <c r="A167" s="3" t="s">
        <v>131</v>
      </c>
      <c r="B167" s="3" t="s">
        <v>429</v>
      </c>
      <c r="C167" s="3" t="s">
        <v>80</v>
      </c>
      <c r="D167" s="3">
        <v>75</v>
      </c>
      <c r="E167" s="3" t="s">
        <v>430</v>
      </c>
    </row>
    <row r="168" spans="1:5" x14ac:dyDescent="0.3">
      <c r="A168" s="3" t="s">
        <v>131</v>
      </c>
      <c r="B168" s="3" t="s">
        <v>431</v>
      </c>
      <c r="C168" s="3" t="s">
        <v>82</v>
      </c>
      <c r="D168" s="3">
        <v>80</v>
      </c>
      <c r="E168" s="3" t="s">
        <v>432</v>
      </c>
    </row>
    <row r="169" spans="1:5" x14ac:dyDescent="0.3">
      <c r="A169" s="3" t="s">
        <v>131</v>
      </c>
      <c r="B169" s="3" t="s">
        <v>433</v>
      </c>
      <c r="C169" s="3" t="s">
        <v>82</v>
      </c>
      <c r="D169" s="3">
        <v>100</v>
      </c>
      <c r="E169" s="3" t="s">
        <v>434</v>
      </c>
    </row>
    <row r="170" spans="1:5" x14ac:dyDescent="0.3">
      <c r="A170" s="3" t="s">
        <v>132</v>
      </c>
      <c r="B170" s="3" t="s">
        <v>435</v>
      </c>
      <c r="C170" s="3" t="s">
        <v>80</v>
      </c>
      <c r="D170" s="3">
        <v>1</v>
      </c>
      <c r="E170" s="3" t="s">
        <v>436</v>
      </c>
    </row>
    <row r="171" spans="1:5" x14ac:dyDescent="0.3">
      <c r="A171" s="3" t="s">
        <v>132</v>
      </c>
      <c r="B171" s="3" t="s">
        <v>437</v>
      </c>
      <c r="C171" s="3" t="s">
        <v>81</v>
      </c>
      <c r="D171" s="3">
        <v>5</v>
      </c>
      <c r="E171" s="3" t="s">
        <v>438</v>
      </c>
    </row>
    <row r="172" spans="1:5" x14ac:dyDescent="0.3">
      <c r="A172" s="3" t="s">
        <v>132</v>
      </c>
      <c r="B172" s="3" t="s">
        <v>439</v>
      </c>
      <c r="C172" s="3" t="s">
        <v>80</v>
      </c>
      <c r="D172" s="3">
        <v>10</v>
      </c>
      <c r="E172" s="3" t="s">
        <v>440</v>
      </c>
    </row>
    <row r="173" spans="1:5" x14ac:dyDescent="0.3">
      <c r="A173" s="3" t="s">
        <v>132</v>
      </c>
      <c r="B173" s="3" t="s">
        <v>441</v>
      </c>
      <c r="C173" s="3" t="s">
        <v>80</v>
      </c>
      <c r="D173" s="3">
        <v>15</v>
      </c>
      <c r="E173" s="3" t="s">
        <v>442</v>
      </c>
    </row>
    <row r="174" spans="1:5" x14ac:dyDescent="0.3">
      <c r="A174" s="3" t="s">
        <v>132</v>
      </c>
      <c r="B174" s="3" t="s">
        <v>443</v>
      </c>
      <c r="C174" s="3" t="s">
        <v>81</v>
      </c>
      <c r="D174" s="3">
        <v>20</v>
      </c>
      <c r="E174" s="3" t="s">
        <v>444</v>
      </c>
    </row>
    <row r="175" spans="1:5" x14ac:dyDescent="0.3">
      <c r="A175" s="3" t="s">
        <v>132</v>
      </c>
      <c r="B175" s="3" t="s">
        <v>445</v>
      </c>
      <c r="C175" s="3" t="s">
        <v>80</v>
      </c>
      <c r="D175" s="3">
        <v>25</v>
      </c>
      <c r="E175" s="3" t="s">
        <v>446</v>
      </c>
    </row>
    <row r="176" spans="1:5" x14ac:dyDescent="0.3">
      <c r="A176" s="3" t="s">
        <v>132</v>
      </c>
      <c r="B176" s="3" t="s">
        <v>447</v>
      </c>
      <c r="C176" s="3" t="s">
        <v>81</v>
      </c>
      <c r="D176" s="3">
        <v>35</v>
      </c>
      <c r="E176" s="3" t="s">
        <v>448</v>
      </c>
    </row>
    <row r="177" spans="1:5" x14ac:dyDescent="0.3">
      <c r="A177" s="3" t="s">
        <v>132</v>
      </c>
      <c r="B177" s="3" t="s">
        <v>449</v>
      </c>
      <c r="C177" s="3" t="s">
        <v>80</v>
      </c>
      <c r="D177" s="3">
        <v>45</v>
      </c>
      <c r="E177" s="3" t="s">
        <v>450</v>
      </c>
    </row>
    <row r="178" spans="1:5" x14ac:dyDescent="0.3">
      <c r="A178" s="3" t="s">
        <v>132</v>
      </c>
      <c r="B178" s="3" t="s">
        <v>451</v>
      </c>
      <c r="C178" s="3" t="s">
        <v>81</v>
      </c>
      <c r="D178" s="3">
        <v>60</v>
      </c>
      <c r="E178" s="3" t="s">
        <v>452</v>
      </c>
    </row>
    <row r="179" spans="1:5" x14ac:dyDescent="0.3">
      <c r="A179" s="3" t="s">
        <v>132</v>
      </c>
      <c r="B179" s="3" t="s">
        <v>453</v>
      </c>
      <c r="C179" s="3" t="s">
        <v>80</v>
      </c>
      <c r="D179" s="3">
        <v>75</v>
      </c>
      <c r="E179" s="3" t="s">
        <v>454</v>
      </c>
    </row>
    <row r="180" spans="1:5" x14ac:dyDescent="0.3">
      <c r="A180" s="3" t="s">
        <v>132</v>
      </c>
      <c r="B180" s="3" t="s">
        <v>455</v>
      </c>
      <c r="C180" s="3" t="s">
        <v>82</v>
      </c>
      <c r="D180" s="3">
        <v>80</v>
      </c>
      <c r="E180" s="3" t="s">
        <v>456</v>
      </c>
    </row>
    <row r="181" spans="1:5" x14ac:dyDescent="0.3">
      <c r="A181" s="3" t="s">
        <v>132</v>
      </c>
      <c r="B181" s="3" t="s">
        <v>457</v>
      </c>
      <c r="C181" s="3" t="s">
        <v>82</v>
      </c>
      <c r="D181" s="3">
        <v>100</v>
      </c>
      <c r="E181" s="3" t="s">
        <v>458</v>
      </c>
    </row>
    <row r="182" spans="1:5" x14ac:dyDescent="0.3">
      <c r="A182" s="3" t="s">
        <v>133</v>
      </c>
      <c r="B182" s="3" t="s">
        <v>459</v>
      </c>
      <c r="C182" s="3" t="s">
        <v>80</v>
      </c>
      <c r="D182" s="3">
        <v>1</v>
      </c>
      <c r="E182" s="3" t="s">
        <v>460</v>
      </c>
    </row>
    <row r="183" spans="1:5" x14ac:dyDescent="0.3">
      <c r="A183" s="3" t="s">
        <v>133</v>
      </c>
      <c r="B183" s="3" t="s">
        <v>461</v>
      </c>
      <c r="C183" s="3" t="s">
        <v>81</v>
      </c>
      <c r="D183" s="3">
        <v>5</v>
      </c>
      <c r="E183" s="3" t="s">
        <v>462</v>
      </c>
    </row>
    <row r="184" spans="1:5" x14ac:dyDescent="0.3">
      <c r="A184" s="3" t="s">
        <v>133</v>
      </c>
      <c r="B184" s="3" t="s">
        <v>463</v>
      </c>
      <c r="C184" s="3" t="s">
        <v>80</v>
      </c>
      <c r="D184" s="3">
        <v>10</v>
      </c>
      <c r="E184" s="3" t="s">
        <v>464</v>
      </c>
    </row>
    <row r="185" spans="1:5" x14ac:dyDescent="0.3">
      <c r="A185" s="3" t="s">
        <v>133</v>
      </c>
      <c r="B185" s="3" t="s">
        <v>465</v>
      </c>
      <c r="C185" s="3" t="s">
        <v>80</v>
      </c>
      <c r="D185" s="3">
        <v>15</v>
      </c>
      <c r="E185" s="3" t="s">
        <v>466</v>
      </c>
    </row>
    <row r="186" spans="1:5" x14ac:dyDescent="0.3">
      <c r="A186" s="3" t="s">
        <v>133</v>
      </c>
      <c r="B186" s="3" t="s">
        <v>467</v>
      </c>
      <c r="C186" s="3" t="s">
        <v>81</v>
      </c>
      <c r="D186" s="3">
        <v>20</v>
      </c>
      <c r="E186" s="3" t="s">
        <v>468</v>
      </c>
    </row>
    <row r="187" spans="1:5" x14ac:dyDescent="0.3">
      <c r="A187" s="3" t="s">
        <v>133</v>
      </c>
      <c r="B187" s="3" t="s">
        <v>469</v>
      </c>
      <c r="C187" s="3" t="s">
        <v>80</v>
      </c>
      <c r="D187" s="3">
        <v>25</v>
      </c>
      <c r="E187" s="3" t="s">
        <v>470</v>
      </c>
    </row>
    <row r="188" spans="1:5" x14ac:dyDescent="0.3">
      <c r="A188" s="3" t="s">
        <v>133</v>
      </c>
      <c r="B188" s="3" t="s">
        <v>471</v>
      </c>
      <c r="C188" s="3" t="s">
        <v>81</v>
      </c>
      <c r="D188" s="3">
        <v>35</v>
      </c>
      <c r="E188" s="3" t="s">
        <v>472</v>
      </c>
    </row>
    <row r="189" spans="1:5" x14ac:dyDescent="0.3">
      <c r="A189" s="3" t="s">
        <v>133</v>
      </c>
      <c r="B189" s="3" t="s">
        <v>473</v>
      </c>
      <c r="C189" s="3" t="s">
        <v>80</v>
      </c>
      <c r="D189" s="3">
        <v>45</v>
      </c>
      <c r="E189" s="3" t="s">
        <v>474</v>
      </c>
    </row>
    <row r="190" spans="1:5" x14ac:dyDescent="0.3">
      <c r="A190" s="3" t="s">
        <v>133</v>
      </c>
      <c r="B190" s="3" t="s">
        <v>475</v>
      </c>
      <c r="C190" s="3" t="s">
        <v>81</v>
      </c>
      <c r="D190" s="3">
        <v>60</v>
      </c>
      <c r="E190" s="3" t="s">
        <v>476</v>
      </c>
    </row>
    <row r="191" spans="1:5" x14ac:dyDescent="0.3">
      <c r="A191" s="3" t="s">
        <v>133</v>
      </c>
      <c r="B191" s="3" t="s">
        <v>477</v>
      </c>
      <c r="C191" s="3" t="s">
        <v>80</v>
      </c>
      <c r="D191" s="3">
        <v>75</v>
      </c>
      <c r="E191" s="3" t="s">
        <v>478</v>
      </c>
    </row>
    <row r="192" spans="1:5" x14ac:dyDescent="0.3">
      <c r="A192" s="3" t="s">
        <v>133</v>
      </c>
      <c r="B192" s="3" t="s">
        <v>479</v>
      </c>
      <c r="C192" s="3" t="s">
        <v>82</v>
      </c>
      <c r="D192" s="3">
        <v>80</v>
      </c>
      <c r="E192" s="3" t="s">
        <v>480</v>
      </c>
    </row>
    <row r="193" spans="1:5" x14ac:dyDescent="0.3">
      <c r="A193" s="3" t="s">
        <v>133</v>
      </c>
      <c r="B193" s="3" t="s">
        <v>481</v>
      </c>
      <c r="C193" s="3" t="s">
        <v>82</v>
      </c>
      <c r="D193" s="3">
        <v>100</v>
      </c>
      <c r="E193" s="3" t="s">
        <v>482</v>
      </c>
    </row>
  </sheetData>
  <conditionalFormatting sqref="C1:C1048576">
    <cfRule type="containsText" dxfId="2" priority="1" operator="containsText" text="ultimate">
      <formula>NOT(ISERROR(SEARCH("ultimate",C1)))</formula>
    </cfRule>
    <cfRule type="containsText" dxfId="1" priority="2" operator="containsText" text="combat">
      <formula>NOT(ISERROR(SEARCH("combat",C1)))</formula>
    </cfRule>
    <cfRule type="containsText" dxfId="0" priority="3" operator="containsText" text="passive">
      <formula>NOT(ISERROR(SEARCH("passive",C1)))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70C0-6CBB-4760-8760-BDE3B6C6A372}">
  <sheetPr codeName="Sheet7"/>
  <dimension ref="A1:G25"/>
  <sheetViews>
    <sheetView workbookViewId="0">
      <selection activeCell="E7" sqref="E7"/>
    </sheetView>
  </sheetViews>
  <sheetFormatPr defaultRowHeight="16.2" x14ac:dyDescent="0.3"/>
  <cols>
    <col min="1" max="1" width="13.77734375" style="1" customWidth="1"/>
    <col min="2" max="2" width="15.77734375" style="1" customWidth="1"/>
    <col min="3" max="3" width="38.6640625" style="1" customWidth="1"/>
    <col min="4" max="4" width="15.77734375" style="1" customWidth="1"/>
    <col min="5" max="5" width="17.109375" style="1" customWidth="1"/>
    <col min="6" max="6" width="10.77734375" style="1" customWidth="1"/>
    <col min="7" max="7" width="18.21875" style="1" customWidth="1"/>
    <col min="8" max="16384" width="8.88671875" style="1"/>
  </cols>
  <sheetData>
    <row r="1" spans="1:7" x14ac:dyDescent="0.3">
      <c r="A1" s="3"/>
      <c r="B1" s="3" t="s">
        <v>487</v>
      </c>
      <c r="C1" s="3"/>
      <c r="D1" s="3" t="s">
        <v>488</v>
      </c>
      <c r="F1" s="3" t="s">
        <v>1</v>
      </c>
      <c r="G1" s="3" t="s">
        <v>491</v>
      </c>
    </row>
    <row r="2" spans="1:7" x14ac:dyDescent="0.3">
      <c r="A2" s="3" t="s">
        <v>0</v>
      </c>
      <c r="B2" s="3" t="s">
        <v>5</v>
      </c>
      <c r="C2" s="3"/>
      <c r="D2" s="3" t="s">
        <v>7</v>
      </c>
      <c r="F2" s="3" t="s">
        <v>6</v>
      </c>
      <c r="G2" s="3" t="s">
        <v>21</v>
      </c>
    </row>
    <row r="3" spans="1:7" x14ac:dyDescent="0.3">
      <c r="A3" s="3" t="s">
        <v>1</v>
      </c>
      <c r="B3" s="3" t="str">
        <f>VLOOKUP(B2,Characters!$A$2:$E$17, 2, FALSE)</f>
        <v>ANALYST</v>
      </c>
      <c r="C3" s="3"/>
      <c r="D3" s="3" t="str">
        <f>VLOOKUP(D2,Characters!$A$2:$E$17, 2, FALSE)</f>
        <v>ANALYST</v>
      </c>
      <c r="F3" s="3" t="s">
        <v>11</v>
      </c>
      <c r="G3" s="3" t="s">
        <v>16</v>
      </c>
    </row>
    <row r="4" spans="1:7" x14ac:dyDescent="0.3">
      <c r="A4" s="3" t="s">
        <v>3</v>
      </c>
      <c r="B4" s="3">
        <f>VLOOKUP(B2,Characters!$A$2:$E$17, 4, FALSE)</f>
        <v>5</v>
      </c>
      <c r="C4" s="3"/>
      <c r="D4" s="3">
        <f>VLOOKUP(D2,Characters!$A$2:$E$17, 4, FALSE)</f>
        <v>5</v>
      </c>
      <c r="F4" s="3" t="s">
        <v>16</v>
      </c>
      <c r="G4" s="3" t="s">
        <v>6</v>
      </c>
    </row>
    <row r="5" spans="1:7" x14ac:dyDescent="0.3">
      <c r="A5" s="3" t="s">
        <v>486</v>
      </c>
      <c r="B5" s="3">
        <f>ROUND((B4 * 10) + (VLOOKUP(B2, StatDB!$A$2:$L$17, 9, FALSE) * 2), 0)</f>
        <v>170</v>
      </c>
      <c r="C5" s="3"/>
      <c r="D5" s="3">
        <f>ROUND((D4 * 10) + (VLOOKUP(D2, StatDB!$A$2:$L$17, 9, FALSE) * 2), 0)</f>
        <v>220</v>
      </c>
      <c r="F5" s="3" t="s">
        <v>21</v>
      </c>
      <c r="G5" s="3" t="s">
        <v>11</v>
      </c>
    </row>
    <row r="6" spans="1:7" x14ac:dyDescent="0.3">
      <c r="A6" s="3" t="s">
        <v>45</v>
      </c>
      <c r="B6" s="3">
        <f>VLOOKUP(B2, StatDB!$A$2:$L$17, 2, FALSE)</f>
        <v>75</v>
      </c>
      <c r="C6" s="3"/>
      <c r="D6" s="3">
        <f>VLOOKUP(D2, StatDB!$A$2:$L$17, 2, FALSE)</f>
        <v>80</v>
      </c>
    </row>
    <row r="7" spans="1:7" x14ac:dyDescent="0.3">
      <c r="A7" s="3" t="s">
        <v>52</v>
      </c>
      <c r="B7" s="3">
        <f>VLOOKUP(B2, StatDB!$A$2:$L$17, 11, FALSE)</f>
        <v>110</v>
      </c>
      <c r="C7" s="3"/>
      <c r="D7" s="3">
        <f>VLOOKUP(D2, StatDB!$A$2:$L$17, 11, FALSE)</f>
        <v>93</v>
      </c>
    </row>
    <row r="10" spans="1:7" x14ac:dyDescent="0.3">
      <c r="A10" s="14" t="s">
        <v>489</v>
      </c>
      <c r="B10" s="14"/>
      <c r="C10" s="14"/>
      <c r="D10" s="14"/>
      <c r="E10" s="14"/>
    </row>
    <row r="11" spans="1:7" x14ac:dyDescent="0.3">
      <c r="A11" s="3" t="s">
        <v>490</v>
      </c>
      <c r="B11" s="13" t="s">
        <v>113</v>
      </c>
      <c r="C11" s="13"/>
      <c r="D11" s="13"/>
      <c r="E11" s="13"/>
    </row>
    <row r="12" spans="1:7" x14ac:dyDescent="0.3">
      <c r="A12" s="3" t="s">
        <v>494</v>
      </c>
      <c r="B12" s="3" t="s">
        <v>495</v>
      </c>
      <c r="C12" s="3" t="s">
        <v>496</v>
      </c>
      <c r="D12" s="3" t="s">
        <v>497</v>
      </c>
      <c r="E12" s="6" t="s">
        <v>498</v>
      </c>
    </row>
    <row r="13" spans="1:7" x14ac:dyDescent="0.3">
      <c r="A13" s="1">
        <v>1</v>
      </c>
      <c r="B13" s="1" t="s">
        <v>5</v>
      </c>
      <c r="C13" s="1" t="s">
        <v>114</v>
      </c>
      <c r="D13" s="1">
        <v>42.6</v>
      </c>
      <c r="E13" s="1" t="s">
        <v>1008</v>
      </c>
    </row>
    <row r="14" spans="1:7" x14ac:dyDescent="0.3">
      <c r="A14" s="1">
        <v>1</v>
      </c>
      <c r="B14" s="1" t="s">
        <v>7</v>
      </c>
      <c r="C14" s="1" t="s">
        <v>114</v>
      </c>
      <c r="D14" s="1">
        <v>40.299999999999997</v>
      </c>
      <c r="E14" s="1" t="s">
        <v>1009</v>
      </c>
    </row>
    <row r="15" spans="1:7" x14ac:dyDescent="0.3">
      <c r="A15" s="1">
        <v>2</v>
      </c>
      <c r="B15" s="1" t="s">
        <v>5</v>
      </c>
      <c r="C15" s="9" t="s">
        <v>114</v>
      </c>
      <c r="D15" s="1">
        <v>32.5</v>
      </c>
      <c r="E15" s="1" t="s">
        <v>1007</v>
      </c>
    </row>
    <row r="16" spans="1:7" x14ac:dyDescent="0.3">
      <c r="A16" s="1">
        <v>2</v>
      </c>
      <c r="B16" s="1" t="s">
        <v>7</v>
      </c>
      <c r="C16" s="1" t="s">
        <v>114</v>
      </c>
      <c r="D16" s="1">
        <v>39.6</v>
      </c>
      <c r="E16" s="1" t="s">
        <v>1010</v>
      </c>
    </row>
    <row r="17" spans="1:5" x14ac:dyDescent="0.3">
      <c r="A17" s="1">
        <v>3</v>
      </c>
      <c r="B17" s="1" t="s">
        <v>5</v>
      </c>
      <c r="C17" s="1" t="s">
        <v>114</v>
      </c>
      <c r="D17" s="1">
        <v>38.9</v>
      </c>
      <c r="E17" s="1" t="s">
        <v>1011</v>
      </c>
    </row>
    <row r="18" spans="1:5" ht="16.8" x14ac:dyDescent="0.3">
      <c r="A18" s="10">
        <v>3</v>
      </c>
      <c r="B18" s="1" t="s">
        <v>7</v>
      </c>
      <c r="C18" s="9" t="s">
        <v>114</v>
      </c>
      <c r="D18" s="1">
        <v>37.200000000000003</v>
      </c>
      <c r="E18" s="1" t="s">
        <v>1012</v>
      </c>
    </row>
    <row r="19" spans="1:5" x14ac:dyDescent="0.3">
      <c r="A19" s="1">
        <v>4</v>
      </c>
      <c r="B19" s="1" t="s">
        <v>5</v>
      </c>
      <c r="C19" s="1" t="s">
        <v>114</v>
      </c>
      <c r="D19" s="1">
        <v>41.2</v>
      </c>
      <c r="E19" s="1" t="s">
        <v>1013</v>
      </c>
    </row>
    <row r="20" spans="1:5" ht="16.8" x14ac:dyDescent="0.3">
      <c r="A20" s="11">
        <v>4</v>
      </c>
      <c r="B20" s="1" t="s">
        <v>7</v>
      </c>
      <c r="C20" s="1" t="s">
        <v>499</v>
      </c>
      <c r="D20" s="1">
        <v>53.430000000000007</v>
      </c>
      <c r="E20" s="1" t="s">
        <v>500</v>
      </c>
    </row>
    <row r="21" spans="1:5" x14ac:dyDescent="0.3">
      <c r="C21" s="9"/>
    </row>
    <row r="22" spans="1:5" ht="33.6" x14ac:dyDescent="0.3">
      <c r="A22" s="11" t="s">
        <v>1014</v>
      </c>
    </row>
    <row r="23" spans="1:5" ht="16.8" x14ac:dyDescent="0.3">
      <c r="A23" s="10"/>
    </row>
    <row r="25" spans="1:5" ht="16.8" x14ac:dyDescent="0.3">
      <c r="A25" s="10"/>
    </row>
  </sheetData>
  <mergeCells count="2">
    <mergeCell ref="A10:E10"/>
    <mergeCell ref="B11:E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2" r:id="rId3" name="Button 2">
              <controlPr defaultSize="0" print="0" autoFill="0" autoPict="0" macro="[0]!StartBattle">
                <anchor moveWithCells="1" sizeWithCells="1">
                  <from>
                    <xdr:col>0</xdr:col>
                    <xdr:colOff>838200</xdr:colOff>
                    <xdr:row>7</xdr:row>
                    <xdr:rowOff>60960</xdr:rowOff>
                  </from>
                  <to>
                    <xdr:col>3</xdr:col>
                    <xdr:colOff>655320</xdr:colOff>
                    <xdr:row>8</xdr:row>
                    <xdr:rowOff>144780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5641AE-1B64-450B-A9C7-1F0C72F8B98F}">
          <x14:formula1>
            <xm:f>Characters!$A$2:$A$17</xm:f>
          </x14:formula1>
          <xm:sqref>B2 D2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4660-E8CD-4C02-9E6C-2042912C3A01}">
  <sheetPr codeName="Sheet8"/>
  <dimension ref="A1:E9"/>
  <sheetViews>
    <sheetView tabSelected="1" workbookViewId="0">
      <selection activeCell="K5" sqref="K5"/>
    </sheetView>
  </sheetViews>
  <sheetFormatPr defaultRowHeight="16.2" x14ac:dyDescent="0.3"/>
  <cols>
    <col min="1" max="1" width="19.77734375" style="1" customWidth="1"/>
    <col min="2" max="4" width="17" style="1" customWidth="1"/>
    <col min="5" max="5" width="12.44140625" style="1" customWidth="1"/>
    <col min="6" max="16384" width="8.88671875" style="1"/>
  </cols>
  <sheetData>
    <row r="1" spans="1:5" x14ac:dyDescent="0.3">
      <c r="A1" s="1" t="s">
        <v>483</v>
      </c>
      <c r="B1" s="1" t="s">
        <v>487</v>
      </c>
      <c r="C1" s="1" t="s">
        <v>488</v>
      </c>
      <c r="D1" s="1" t="s">
        <v>492</v>
      </c>
      <c r="E1" s="1" t="s">
        <v>493</v>
      </c>
    </row>
    <row r="2" spans="1:5" x14ac:dyDescent="0.3">
      <c r="A2" s="8">
        <v>46093.532199074078</v>
      </c>
      <c r="B2" s="1" t="s">
        <v>5</v>
      </c>
      <c r="C2" s="1" t="s">
        <v>7</v>
      </c>
      <c r="D2" s="9" t="s">
        <v>5</v>
      </c>
      <c r="E2" s="1">
        <v>6</v>
      </c>
    </row>
    <row r="3" spans="1:5" x14ac:dyDescent="0.3">
      <c r="A3" s="8">
        <v>46093.532511574071</v>
      </c>
      <c r="B3" s="1" t="s">
        <v>5</v>
      </c>
      <c r="C3" s="1" t="s">
        <v>10</v>
      </c>
      <c r="D3" s="9" t="s">
        <v>10</v>
      </c>
      <c r="E3" s="1">
        <v>4</v>
      </c>
    </row>
    <row r="4" spans="1:5" x14ac:dyDescent="0.3">
      <c r="A4" s="8">
        <v>46093.533402777779</v>
      </c>
      <c r="B4" s="1" t="s">
        <v>7</v>
      </c>
      <c r="C4" s="1" t="s">
        <v>10</v>
      </c>
      <c r="D4" s="9" t="s">
        <v>10</v>
      </c>
      <c r="E4" s="1">
        <v>3</v>
      </c>
    </row>
    <row r="5" spans="1:5" x14ac:dyDescent="0.3">
      <c r="A5" s="8">
        <v>46093.533576388887</v>
      </c>
      <c r="B5" s="1" t="s">
        <v>24</v>
      </c>
      <c r="C5" s="1" t="s">
        <v>10</v>
      </c>
      <c r="D5" s="9" t="s">
        <v>10</v>
      </c>
      <c r="E5" s="1">
        <v>4</v>
      </c>
    </row>
    <row r="6" spans="1:5" x14ac:dyDescent="0.3">
      <c r="A6" s="8">
        <v>46093.533935185187</v>
      </c>
      <c r="B6" s="1" t="s">
        <v>18</v>
      </c>
      <c r="C6" s="1" t="s">
        <v>10</v>
      </c>
      <c r="D6" s="9" t="s">
        <v>10</v>
      </c>
      <c r="E6" s="1">
        <v>2</v>
      </c>
    </row>
    <row r="7" spans="1:5" x14ac:dyDescent="0.3">
      <c r="A7" s="8">
        <v>46093.534444444442</v>
      </c>
      <c r="B7" s="1" t="s">
        <v>5</v>
      </c>
      <c r="C7" s="1" t="s">
        <v>10</v>
      </c>
      <c r="D7" s="9" t="s">
        <v>10</v>
      </c>
      <c r="E7" s="1">
        <v>3</v>
      </c>
    </row>
    <row r="8" spans="1:5" x14ac:dyDescent="0.3">
      <c r="A8" s="8">
        <v>46093.569930555554</v>
      </c>
      <c r="B8" s="1" t="s">
        <v>5</v>
      </c>
      <c r="C8" s="1" t="s">
        <v>7</v>
      </c>
      <c r="D8" s="9" t="s">
        <v>5</v>
      </c>
      <c r="E8" s="1">
        <v>5</v>
      </c>
    </row>
    <row r="9" spans="1:5" x14ac:dyDescent="0.3">
      <c r="A9" s="8">
        <v>46093.570509259262</v>
      </c>
      <c r="B9" s="1" t="s">
        <v>5</v>
      </c>
      <c r="C9" s="1" t="s">
        <v>7</v>
      </c>
      <c r="D9" s="9" t="s">
        <v>7</v>
      </c>
      <c r="E9" s="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2E27A-B1C2-4575-A200-605DC0D04C60}">
  <sheetPr codeName="Sheet9"/>
  <dimension ref="A1:K59"/>
  <sheetViews>
    <sheetView zoomScale="90" zoomScaleNormal="90" workbookViewId="0">
      <selection activeCell="E2" sqref="E2"/>
    </sheetView>
  </sheetViews>
  <sheetFormatPr defaultRowHeight="16.2" x14ac:dyDescent="0.3"/>
  <cols>
    <col min="1" max="2" width="11.33203125" style="1" customWidth="1"/>
    <col min="3" max="3" width="28.109375" style="1" customWidth="1"/>
    <col min="4" max="4" width="11.33203125" style="1" customWidth="1"/>
    <col min="5" max="5" width="27.33203125" style="5" customWidth="1"/>
    <col min="6" max="6" width="13.109375" style="5" customWidth="1"/>
    <col min="7" max="7" width="17.88671875" style="5" customWidth="1"/>
    <col min="8" max="8" width="13.109375" style="5" customWidth="1"/>
    <col min="9" max="9" width="18.6640625" style="5" customWidth="1"/>
    <col min="10" max="10" width="16.88671875" style="5" customWidth="1"/>
    <col min="11" max="11" width="19" style="5" customWidth="1"/>
    <col min="12" max="16384" width="8.88671875" style="1"/>
  </cols>
  <sheetData>
    <row r="1" spans="1:11" ht="32.4" x14ac:dyDescent="0.3">
      <c r="A1" s="3" t="s">
        <v>501</v>
      </c>
      <c r="B1" s="3" t="s">
        <v>54</v>
      </c>
      <c r="C1" s="3" t="s">
        <v>502</v>
      </c>
      <c r="D1" s="3" t="s">
        <v>503</v>
      </c>
      <c r="E1" s="6" t="s">
        <v>68</v>
      </c>
      <c r="F1" s="6" t="s">
        <v>504</v>
      </c>
      <c r="G1" s="6" t="s">
        <v>505</v>
      </c>
      <c r="H1" s="6" t="s">
        <v>506</v>
      </c>
      <c r="I1" s="6" t="s">
        <v>507</v>
      </c>
      <c r="J1" s="6" t="s">
        <v>508</v>
      </c>
      <c r="K1" s="6" t="s">
        <v>509</v>
      </c>
    </row>
    <row r="2" spans="1:11" ht="64.8" x14ac:dyDescent="0.3">
      <c r="A2" s="3" t="s">
        <v>510</v>
      </c>
      <c r="B2" s="3" t="s">
        <v>5</v>
      </c>
      <c r="C2" s="3" t="s">
        <v>511</v>
      </c>
      <c r="D2" s="3" t="s">
        <v>512</v>
      </c>
      <c r="E2" s="6" t="s">
        <v>513</v>
      </c>
      <c r="F2" s="6" t="s">
        <v>514</v>
      </c>
      <c r="G2" s="6" t="s">
        <v>515</v>
      </c>
      <c r="H2" s="6" t="s">
        <v>516</v>
      </c>
      <c r="I2" s="6" t="s">
        <v>517</v>
      </c>
      <c r="J2" s="6" t="s">
        <v>518</v>
      </c>
      <c r="K2" s="6" t="s">
        <v>519</v>
      </c>
    </row>
    <row r="3" spans="1:11" ht="64.8" x14ac:dyDescent="0.3">
      <c r="A3" s="3" t="s">
        <v>520</v>
      </c>
      <c r="B3" s="3" t="s">
        <v>5</v>
      </c>
      <c r="C3" s="3" t="s">
        <v>521</v>
      </c>
      <c r="D3" s="3" t="s">
        <v>522</v>
      </c>
      <c r="E3" s="6" t="s">
        <v>523</v>
      </c>
      <c r="F3" s="6" t="s">
        <v>524</v>
      </c>
      <c r="G3" s="6" t="s">
        <v>525</v>
      </c>
      <c r="H3" s="6" t="s">
        <v>526</v>
      </c>
      <c r="I3" s="6" t="s">
        <v>527</v>
      </c>
      <c r="J3" s="6" t="s">
        <v>528</v>
      </c>
      <c r="K3" s="6" t="s">
        <v>529</v>
      </c>
    </row>
    <row r="4" spans="1:11" ht="81" x14ac:dyDescent="0.3">
      <c r="A4" s="3" t="s">
        <v>530</v>
      </c>
      <c r="B4" s="3" t="s">
        <v>5</v>
      </c>
      <c r="C4" s="3" t="s">
        <v>531</v>
      </c>
      <c r="D4" s="3" t="s">
        <v>532</v>
      </c>
      <c r="E4" s="6" t="s">
        <v>533</v>
      </c>
      <c r="F4" s="6" t="s">
        <v>534</v>
      </c>
      <c r="G4" s="6" t="s">
        <v>535</v>
      </c>
      <c r="H4" s="6" t="s">
        <v>536</v>
      </c>
      <c r="I4" s="6" t="s">
        <v>537</v>
      </c>
      <c r="J4" s="6" t="s">
        <v>538</v>
      </c>
      <c r="K4" s="6" t="s">
        <v>539</v>
      </c>
    </row>
    <row r="5" spans="1:11" ht="64.8" x14ac:dyDescent="0.3">
      <c r="A5" s="3" t="s">
        <v>540</v>
      </c>
      <c r="B5" s="3" t="s">
        <v>5</v>
      </c>
      <c r="C5" s="3" t="s">
        <v>541</v>
      </c>
      <c r="D5" s="3" t="s">
        <v>542</v>
      </c>
      <c r="E5" s="6" t="s">
        <v>543</v>
      </c>
      <c r="F5" s="6" t="s">
        <v>544</v>
      </c>
      <c r="G5" s="6" t="s">
        <v>545</v>
      </c>
      <c r="H5" s="6" t="s">
        <v>546</v>
      </c>
      <c r="I5" s="6" t="s">
        <v>547</v>
      </c>
      <c r="J5" s="6" t="s">
        <v>548</v>
      </c>
      <c r="K5" s="6" t="s">
        <v>549</v>
      </c>
    </row>
    <row r="6" spans="1:11" ht="81" x14ac:dyDescent="0.3">
      <c r="A6" s="3" t="s">
        <v>550</v>
      </c>
      <c r="B6" s="3" t="s">
        <v>5</v>
      </c>
      <c r="C6" s="3" t="s">
        <v>551</v>
      </c>
      <c r="D6" s="3" t="s">
        <v>552</v>
      </c>
      <c r="E6" s="6" t="s">
        <v>553</v>
      </c>
      <c r="F6" s="6" t="s">
        <v>554</v>
      </c>
      <c r="G6" s="6" t="s">
        <v>555</v>
      </c>
      <c r="H6" s="6" t="s">
        <v>556</v>
      </c>
      <c r="I6" s="6" t="s">
        <v>557</v>
      </c>
      <c r="J6" s="6" t="s">
        <v>558</v>
      </c>
      <c r="K6" s="6" t="s">
        <v>559</v>
      </c>
    </row>
    <row r="7" spans="1:11" ht="64.8" x14ac:dyDescent="0.3">
      <c r="A7" s="3" t="s">
        <v>560</v>
      </c>
      <c r="B7" s="3" t="s">
        <v>7</v>
      </c>
      <c r="C7" s="3" t="s">
        <v>561</v>
      </c>
      <c r="D7" s="3" t="s">
        <v>512</v>
      </c>
      <c r="E7" s="6" t="s">
        <v>562</v>
      </c>
      <c r="F7" s="6" t="s">
        <v>563</v>
      </c>
      <c r="G7" s="6" t="s">
        <v>564</v>
      </c>
      <c r="H7" s="6" t="s">
        <v>565</v>
      </c>
      <c r="I7" s="6" t="s">
        <v>566</v>
      </c>
      <c r="J7" s="6" t="s">
        <v>567</v>
      </c>
      <c r="K7" s="6" t="s">
        <v>568</v>
      </c>
    </row>
    <row r="8" spans="1:11" ht="64.8" x14ac:dyDescent="0.3">
      <c r="A8" s="3" t="s">
        <v>569</v>
      </c>
      <c r="B8" s="3" t="s">
        <v>7</v>
      </c>
      <c r="C8" s="3" t="s">
        <v>570</v>
      </c>
      <c r="D8" s="3" t="s">
        <v>522</v>
      </c>
      <c r="E8" s="6" t="s">
        <v>571</v>
      </c>
      <c r="F8" s="6" t="s">
        <v>572</v>
      </c>
      <c r="G8" s="6" t="s">
        <v>527</v>
      </c>
      <c r="H8" s="6" t="s">
        <v>573</v>
      </c>
      <c r="I8" s="6" t="s">
        <v>574</v>
      </c>
      <c r="J8" s="6" t="s">
        <v>575</v>
      </c>
      <c r="K8" s="6" t="s">
        <v>535</v>
      </c>
    </row>
    <row r="9" spans="1:11" ht="64.8" x14ac:dyDescent="0.3">
      <c r="A9" s="3" t="s">
        <v>576</v>
      </c>
      <c r="B9" s="3" t="s">
        <v>7</v>
      </c>
      <c r="C9" s="3" t="s">
        <v>577</v>
      </c>
      <c r="D9" s="3" t="s">
        <v>578</v>
      </c>
      <c r="E9" s="6" t="s">
        <v>579</v>
      </c>
      <c r="F9" s="6" t="s">
        <v>580</v>
      </c>
      <c r="G9" s="6" t="s">
        <v>581</v>
      </c>
      <c r="H9" s="6" t="s">
        <v>582</v>
      </c>
      <c r="I9" s="6" t="s">
        <v>583</v>
      </c>
      <c r="J9" s="6" t="s">
        <v>584</v>
      </c>
      <c r="K9" s="6" t="s">
        <v>585</v>
      </c>
    </row>
    <row r="10" spans="1:11" ht="81" x14ac:dyDescent="0.3">
      <c r="A10" s="3" t="s">
        <v>586</v>
      </c>
      <c r="B10" s="3" t="s">
        <v>7</v>
      </c>
      <c r="C10" s="3" t="s">
        <v>587</v>
      </c>
      <c r="D10" s="3" t="s">
        <v>588</v>
      </c>
      <c r="E10" s="6" t="s">
        <v>589</v>
      </c>
      <c r="F10" s="6" t="s">
        <v>590</v>
      </c>
      <c r="G10" s="6" t="s">
        <v>591</v>
      </c>
      <c r="H10" s="6" t="s">
        <v>592</v>
      </c>
      <c r="I10" s="6" t="s">
        <v>593</v>
      </c>
      <c r="J10" s="6" t="s">
        <v>594</v>
      </c>
      <c r="K10" s="6" t="s">
        <v>595</v>
      </c>
    </row>
    <row r="11" spans="1:11" ht="64.8" x14ac:dyDescent="0.3">
      <c r="A11" s="3" t="s">
        <v>596</v>
      </c>
      <c r="B11" s="3" t="s">
        <v>7</v>
      </c>
      <c r="C11" s="3" t="s">
        <v>111</v>
      </c>
      <c r="D11" s="3" t="s">
        <v>597</v>
      </c>
      <c r="E11" s="6" t="s">
        <v>598</v>
      </c>
      <c r="F11" s="6" t="s">
        <v>599</v>
      </c>
      <c r="G11" s="6" t="s">
        <v>600</v>
      </c>
      <c r="H11" s="6" t="s">
        <v>601</v>
      </c>
      <c r="I11" s="6" t="s">
        <v>602</v>
      </c>
      <c r="J11" s="6" t="s">
        <v>603</v>
      </c>
      <c r="K11" s="6" t="s">
        <v>604</v>
      </c>
    </row>
    <row r="12" spans="1:11" ht="48.6" x14ac:dyDescent="0.3">
      <c r="A12" s="3" t="s">
        <v>605</v>
      </c>
      <c r="B12" s="3" t="s">
        <v>8</v>
      </c>
      <c r="C12" s="3" t="s">
        <v>606</v>
      </c>
      <c r="D12" s="3" t="s">
        <v>512</v>
      </c>
      <c r="E12" s="6" t="s">
        <v>607</v>
      </c>
      <c r="F12" s="6" t="s">
        <v>608</v>
      </c>
      <c r="G12" s="6" t="s">
        <v>609</v>
      </c>
      <c r="H12" s="6" t="s">
        <v>610</v>
      </c>
      <c r="I12" s="6" t="s">
        <v>611</v>
      </c>
      <c r="J12" s="6" t="s">
        <v>612</v>
      </c>
      <c r="K12" s="6" t="s">
        <v>613</v>
      </c>
    </row>
    <row r="13" spans="1:11" ht="64.8" x14ac:dyDescent="0.3">
      <c r="A13" s="3" t="s">
        <v>614</v>
      </c>
      <c r="B13" s="3" t="s">
        <v>8</v>
      </c>
      <c r="C13" s="3" t="s">
        <v>615</v>
      </c>
      <c r="D13" s="3" t="s">
        <v>616</v>
      </c>
      <c r="E13" s="6" t="s">
        <v>617</v>
      </c>
      <c r="F13" s="6" t="s">
        <v>618</v>
      </c>
      <c r="G13" s="6" t="s">
        <v>619</v>
      </c>
      <c r="H13" s="6" t="s">
        <v>620</v>
      </c>
      <c r="I13" s="6" t="s">
        <v>535</v>
      </c>
      <c r="J13" s="6" t="s">
        <v>621</v>
      </c>
      <c r="K13" s="6" t="s">
        <v>622</v>
      </c>
    </row>
    <row r="14" spans="1:11" ht="64.8" x14ac:dyDescent="0.3">
      <c r="A14" s="3" t="s">
        <v>623</v>
      </c>
      <c r="B14" s="3" t="s">
        <v>8</v>
      </c>
      <c r="C14" s="3" t="s">
        <v>624</v>
      </c>
      <c r="D14" s="3" t="s">
        <v>625</v>
      </c>
      <c r="E14" s="6" t="s">
        <v>626</v>
      </c>
      <c r="F14" s="6" t="s">
        <v>627</v>
      </c>
      <c r="G14" s="6" t="s">
        <v>628</v>
      </c>
      <c r="H14" s="6" t="s">
        <v>629</v>
      </c>
      <c r="I14" s="6" t="s">
        <v>630</v>
      </c>
      <c r="J14" s="6" t="s">
        <v>631</v>
      </c>
      <c r="K14" s="6" t="s">
        <v>632</v>
      </c>
    </row>
    <row r="15" spans="1:11" ht="64.8" x14ac:dyDescent="0.3">
      <c r="A15" s="3" t="s">
        <v>633</v>
      </c>
      <c r="B15" s="3" t="s">
        <v>8</v>
      </c>
      <c r="C15" s="3" t="s">
        <v>634</v>
      </c>
      <c r="D15" s="3" t="s">
        <v>552</v>
      </c>
      <c r="E15" s="6" t="s">
        <v>635</v>
      </c>
      <c r="F15" s="6" t="s">
        <v>636</v>
      </c>
      <c r="G15" s="6" t="s">
        <v>637</v>
      </c>
      <c r="H15" s="6" t="s">
        <v>638</v>
      </c>
      <c r="I15" s="6" t="s">
        <v>639</v>
      </c>
      <c r="J15" s="6" t="s">
        <v>640</v>
      </c>
      <c r="K15" s="6" t="s">
        <v>641</v>
      </c>
    </row>
    <row r="16" spans="1:11" ht="48.6" x14ac:dyDescent="0.3">
      <c r="A16" s="3" t="s">
        <v>642</v>
      </c>
      <c r="B16" s="3" t="s">
        <v>9</v>
      </c>
      <c r="C16" s="3" t="s">
        <v>643</v>
      </c>
      <c r="D16" s="3" t="s">
        <v>512</v>
      </c>
      <c r="E16" s="6" t="s">
        <v>644</v>
      </c>
      <c r="F16" s="6" t="s">
        <v>645</v>
      </c>
      <c r="G16" s="6" t="s">
        <v>646</v>
      </c>
      <c r="H16" s="6" t="s">
        <v>647</v>
      </c>
      <c r="I16" s="6" t="s">
        <v>648</v>
      </c>
      <c r="J16" s="6" t="s">
        <v>649</v>
      </c>
      <c r="K16" s="6" t="s">
        <v>650</v>
      </c>
    </row>
    <row r="17" spans="1:11" ht="48.6" x14ac:dyDescent="0.3">
      <c r="A17" s="3" t="s">
        <v>651</v>
      </c>
      <c r="B17" s="3" t="s">
        <v>9</v>
      </c>
      <c r="C17" s="3" t="s">
        <v>652</v>
      </c>
      <c r="D17" s="3" t="s">
        <v>532</v>
      </c>
      <c r="E17" s="6" t="s">
        <v>653</v>
      </c>
      <c r="F17" s="6" t="s">
        <v>654</v>
      </c>
      <c r="G17" s="6" t="s">
        <v>564</v>
      </c>
      <c r="H17" s="6" t="s">
        <v>655</v>
      </c>
      <c r="I17" s="6" t="s">
        <v>656</v>
      </c>
      <c r="J17" s="6" t="s">
        <v>657</v>
      </c>
      <c r="K17" s="6" t="s">
        <v>658</v>
      </c>
    </row>
    <row r="18" spans="1:11" ht="48.6" x14ac:dyDescent="0.3">
      <c r="A18" s="3" t="s">
        <v>659</v>
      </c>
      <c r="B18" s="3" t="s">
        <v>9</v>
      </c>
      <c r="C18" s="3" t="s">
        <v>660</v>
      </c>
      <c r="D18" s="3" t="s">
        <v>542</v>
      </c>
      <c r="E18" s="6" t="s">
        <v>661</v>
      </c>
      <c r="F18" s="6" t="s">
        <v>662</v>
      </c>
      <c r="G18" s="6" t="s">
        <v>663</v>
      </c>
      <c r="H18" s="6" t="s">
        <v>664</v>
      </c>
      <c r="I18" s="6" t="s">
        <v>665</v>
      </c>
      <c r="J18" s="6" t="s">
        <v>666</v>
      </c>
      <c r="K18" s="6" t="s">
        <v>667</v>
      </c>
    </row>
    <row r="19" spans="1:11" ht="64.8" x14ac:dyDescent="0.3">
      <c r="A19" s="3" t="s">
        <v>668</v>
      </c>
      <c r="B19" s="3" t="s">
        <v>9</v>
      </c>
      <c r="C19" s="3" t="s">
        <v>477</v>
      </c>
      <c r="D19" s="3" t="s">
        <v>669</v>
      </c>
      <c r="E19" s="6" t="s">
        <v>670</v>
      </c>
      <c r="F19" s="6" t="s">
        <v>671</v>
      </c>
      <c r="G19" s="6" t="s">
        <v>672</v>
      </c>
      <c r="H19" s="6" t="s">
        <v>673</v>
      </c>
      <c r="I19" s="6" t="s">
        <v>674</v>
      </c>
      <c r="J19" s="6" t="s">
        <v>675</v>
      </c>
      <c r="K19" s="6" t="s">
        <v>676</v>
      </c>
    </row>
    <row r="20" spans="1:11" ht="64.8" x14ac:dyDescent="0.3">
      <c r="A20" s="3" t="s">
        <v>677</v>
      </c>
      <c r="B20" s="3" t="s">
        <v>10</v>
      </c>
      <c r="C20" s="3" t="s">
        <v>678</v>
      </c>
      <c r="D20" s="3" t="s">
        <v>522</v>
      </c>
      <c r="E20" s="6" t="s">
        <v>679</v>
      </c>
      <c r="F20" s="6" t="s">
        <v>680</v>
      </c>
      <c r="G20" s="6" t="s">
        <v>681</v>
      </c>
      <c r="H20" s="6" t="s">
        <v>682</v>
      </c>
      <c r="I20" s="6" t="s">
        <v>641</v>
      </c>
      <c r="J20" s="6" t="s">
        <v>683</v>
      </c>
      <c r="K20" s="6" t="s">
        <v>684</v>
      </c>
    </row>
    <row r="21" spans="1:11" ht="64.8" x14ac:dyDescent="0.3">
      <c r="A21" s="3" t="s">
        <v>685</v>
      </c>
      <c r="B21" s="3" t="s">
        <v>10</v>
      </c>
      <c r="C21" s="3" t="s">
        <v>686</v>
      </c>
      <c r="D21" s="3" t="s">
        <v>532</v>
      </c>
      <c r="E21" s="6" t="s">
        <v>687</v>
      </c>
      <c r="F21" s="6" t="s">
        <v>688</v>
      </c>
      <c r="G21" s="6" t="s">
        <v>689</v>
      </c>
      <c r="H21" s="6" t="s">
        <v>690</v>
      </c>
      <c r="I21" s="6" t="s">
        <v>557</v>
      </c>
      <c r="J21" s="6" t="s">
        <v>691</v>
      </c>
      <c r="K21" s="6" t="s">
        <v>692</v>
      </c>
    </row>
    <row r="22" spans="1:11" ht="48.6" x14ac:dyDescent="0.3">
      <c r="A22" s="3" t="s">
        <v>693</v>
      </c>
      <c r="B22" s="3" t="s">
        <v>10</v>
      </c>
      <c r="C22" s="3" t="s">
        <v>694</v>
      </c>
      <c r="D22" s="3" t="s">
        <v>542</v>
      </c>
      <c r="E22" s="6" t="s">
        <v>695</v>
      </c>
      <c r="F22" s="6" t="s">
        <v>696</v>
      </c>
      <c r="G22" s="6" t="s">
        <v>697</v>
      </c>
      <c r="H22" s="6" t="s">
        <v>698</v>
      </c>
      <c r="I22" s="6" t="s">
        <v>699</v>
      </c>
      <c r="J22" s="6" t="s">
        <v>700</v>
      </c>
      <c r="K22" s="6" t="s">
        <v>701</v>
      </c>
    </row>
    <row r="23" spans="1:11" ht="64.8" x14ac:dyDescent="0.3">
      <c r="A23" s="3" t="s">
        <v>702</v>
      </c>
      <c r="B23" s="3" t="s">
        <v>10</v>
      </c>
      <c r="C23" s="3" t="s">
        <v>703</v>
      </c>
      <c r="D23" s="3" t="s">
        <v>597</v>
      </c>
      <c r="E23" s="6" t="s">
        <v>704</v>
      </c>
      <c r="F23" s="6" t="s">
        <v>705</v>
      </c>
      <c r="G23" s="6" t="s">
        <v>706</v>
      </c>
      <c r="H23" s="6" t="s">
        <v>707</v>
      </c>
      <c r="I23" s="6" t="s">
        <v>708</v>
      </c>
      <c r="J23" s="6" t="s">
        <v>709</v>
      </c>
      <c r="K23" s="6" t="s">
        <v>710</v>
      </c>
    </row>
    <row r="24" spans="1:11" ht="64.8" x14ac:dyDescent="0.3">
      <c r="A24" s="3" t="s">
        <v>711</v>
      </c>
      <c r="B24" s="3" t="s">
        <v>12</v>
      </c>
      <c r="C24" s="3" t="s">
        <v>712</v>
      </c>
      <c r="D24" s="3" t="s">
        <v>512</v>
      </c>
      <c r="E24" s="6" t="s">
        <v>713</v>
      </c>
      <c r="F24" s="6" t="s">
        <v>714</v>
      </c>
      <c r="G24" s="6" t="s">
        <v>715</v>
      </c>
      <c r="H24" s="6" t="s">
        <v>716</v>
      </c>
      <c r="I24" s="6" t="s">
        <v>717</v>
      </c>
      <c r="J24" s="6" t="s">
        <v>718</v>
      </c>
      <c r="K24" s="6" t="s">
        <v>719</v>
      </c>
    </row>
    <row r="25" spans="1:11" ht="64.8" x14ac:dyDescent="0.3">
      <c r="A25" s="3" t="s">
        <v>720</v>
      </c>
      <c r="B25" s="3" t="s">
        <v>12</v>
      </c>
      <c r="C25" s="3" t="s">
        <v>721</v>
      </c>
      <c r="D25" s="3" t="s">
        <v>532</v>
      </c>
      <c r="E25" s="6" t="s">
        <v>722</v>
      </c>
      <c r="F25" s="6" t="s">
        <v>723</v>
      </c>
      <c r="G25" s="6" t="s">
        <v>724</v>
      </c>
      <c r="H25" s="6" t="s">
        <v>725</v>
      </c>
      <c r="I25" s="6" t="s">
        <v>726</v>
      </c>
      <c r="J25" s="6" t="s">
        <v>727</v>
      </c>
      <c r="K25" s="6" t="s">
        <v>728</v>
      </c>
    </row>
    <row r="26" spans="1:11" ht="64.8" x14ac:dyDescent="0.3">
      <c r="A26" s="3" t="s">
        <v>729</v>
      </c>
      <c r="B26" s="3" t="s">
        <v>12</v>
      </c>
      <c r="C26" s="3" t="s">
        <v>730</v>
      </c>
      <c r="D26" s="3" t="s">
        <v>542</v>
      </c>
      <c r="E26" s="6" t="s">
        <v>731</v>
      </c>
      <c r="F26" s="6" t="s">
        <v>732</v>
      </c>
      <c r="G26" s="6" t="s">
        <v>733</v>
      </c>
      <c r="H26" s="6" t="s">
        <v>734</v>
      </c>
      <c r="I26" s="6" t="s">
        <v>735</v>
      </c>
      <c r="J26" s="6" t="s">
        <v>736</v>
      </c>
      <c r="K26" s="6" t="s">
        <v>737</v>
      </c>
    </row>
    <row r="27" spans="1:11" ht="64.8" x14ac:dyDescent="0.3">
      <c r="A27" s="3" t="s">
        <v>738</v>
      </c>
      <c r="B27" s="3" t="s">
        <v>13</v>
      </c>
      <c r="C27" s="3" t="s">
        <v>739</v>
      </c>
      <c r="D27" s="3" t="s">
        <v>522</v>
      </c>
      <c r="E27" s="6" t="s">
        <v>740</v>
      </c>
      <c r="F27" s="6" t="s">
        <v>741</v>
      </c>
      <c r="G27" s="6" t="s">
        <v>535</v>
      </c>
      <c r="H27" s="6" t="s">
        <v>742</v>
      </c>
      <c r="I27" s="6" t="s">
        <v>743</v>
      </c>
      <c r="J27" s="6" t="s">
        <v>744</v>
      </c>
      <c r="K27" s="6" t="s">
        <v>745</v>
      </c>
    </row>
    <row r="28" spans="1:11" ht="64.8" x14ac:dyDescent="0.3">
      <c r="A28" s="3" t="s">
        <v>746</v>
      </c>
      <c r="B28" s="3" t="s">
        <v>13</v>
      </c>
      <c r="C28" s="3" t="s">
        <v>747</v>
      </c>
      <c r="D28" s="3" t="s">
        <v>532</v>
      </c>
      <c r="E28" s="6" t="s">
        <v>748</v>
      </c>
      <c r="F28" s="6" t="s">
        <v>749</v>
      </c>
      <c r="G28" s="6" t="s">
        <v>750</v>
      </c>
      <c r="H28" s="6" t="s">
        <v>751</v>
      </c>
      <c r="I28" s="6" t="s">
        <v>752</v>
      </c>
      <c r="J28" s="6" t="s">
        <v>753</v>
      </c>
      <c r="K28" s="6" t="s">
        <v>754</v>
      </c>
    </row>
    <row r="29" spans="1:11" ht="64.8" x14ac:dyDescent="0.3">
      <c r="A29" s="3" t="s">
        <v>755</v>
      </c>
      <c r="B29" s="3" t="s">
        <v>13</v>
      </c>
      <c r="C29" s="3" t="s">
        <v>756</v>
      </c>
      <c r="D29" s="3" t="s">
        <v>588</v>
      </c>
      <c r="E29" s="6" t="s">
        <v>757</v>
      </c>
      <c r="F29" s="6" t="s">
        <v>758</v>
      </c>
      <c r="G29" s="6" t="s">
        <v>759</v>
      </c>
      <c r="H29" s="6" t="s">
        <v>760</v>
      </c>
      <c r="I29" s="6" t="s">
        <v>602</v>
      </c>
      <c r="J29" s="6" t="s">
        <v>761</v>
      </c>
      <c r="K29" s="6" t="s">
        <v>762</v>
      </c>
    </row>
    <row r="30" spans="1:11" ht="64.8" x14ac:dyDescent="0.3">
      <c r="A30" s="3" t="s">
        <v>763</v>
      </c>
      <c r="B30" s="3" t="s">
        <v>14</v>
      </c>
      <c r="C30" s="3" t="s">
        <v>764</v>
      </c>
      <c r="D30" s="3" t="s">
        <v>512</v>
      </c>
      <c r="E30" s="6" t="s">
        <v>765</v>
      </c>
      <c r="F30" s="6" t="s">
        <v>766</v>
      </c>
      <c r="G30" s="6" t="s">
        <v>701</v>
      </c>
      <c r="H30" s="6" t="s">
        <v>767</v>
      </c>
      <c r="I30" s="6" t="s">
        <v>768</v>
      </c>
      <c r="J30" s="6" t="s">
        <v>769</v>
      </c>
      <c r="K30" s="6" t="s">
        <v>689</v>
      </c>
    </row>
    <row r="31" spans="1:11" ht="64.8" x14ac:dyDescent="0.3">
      <c r="A31" s="3" t="s">
        <v>770</v>
      </c>
      <c r="B31" s="3" t="s">
        <v>14</v>
      </c>
      <c r="C31" s="3" t="s">
        <v>771</v>
      </c>
      <c r="D31" s="3" t="s">
        <v>532</v>
      </c>
      <c r="E31" s="6" t="s">
        <v>772</v>
      </c>
      <c r="F31" s="6" t="s">
        <v>773</v>
      </c>
      <c r="G31" s="6" t="s">
        <v>774</v>
      </c>
      <c r="H31" s="6" t="s">
        <v>775</v>
      </c>
      <c r="I31" s="6" t="s">
        <v>613</v>
      </c>
      <c r="J31" s="6" t="s">
        <v>776</v>
      </c>
      <c r="K31" s="6" t="s">
        <v>777</v>
      </c>
    </row>
    <row r="32" spans="1:11" ht="48.6" x14ac:dyDescent="0.3">
      <c r="A32" s="3" t="s">
        <v>778</v>
      </c>
      <c r="B32" s="3" t="s">
        <v>14</v>
      </c>
      <c r="C32" s="3" t="s">
        <v>289</v>
      </c>
      <c r="D32" s="3" t="s">
        <v>588</v>
      </c>
      <c r="E32" s="6" t="s">
        <v>779</v>
      </c>
      <c r="F32" s="6" t="s">
        <v>780</v>
      </c>
      <c r="G32" s="6" t="s">
        <v>781</v>
      </c>
      <c r="H32" s="6" t="s">
        <v>782</v>
      </c>
      <c r="I32" s="6" t="s">
        <v>783</v>
      </c>
      <c r="J32" s="6" t="s">
        <v>784</v>
      </c>
      <c r="K32" s="6" t="s">
        <v>785</v>
      </c>
    </row>
    <row r="33" spans="1:11" ht="64.8" x14ac:dyDescent="0.3">
      <c r="A33" s="3" t="s">
        <v>786</v>
      </c>
      <c r="B33" s="3" t="s">
        <v>15</v>
      </c>
      <c r="C33" s="3" t="s">
        <v>787</v>
      </c>
      <c r="D33" s="3" t="s">
        <v>522</v>
      </c>
      <c r="E33" s="6" t="s">
        <v>788</v>
      </c>
      <c r="F33" s="6" t="s">
        <v>789</v>
      </c>
      <c r="G33" s="6" t="s">
        <v>790</v>
      </c>
      <c r="H33" s="6" t="s">
        <v>791</v>
      </c>
      <c r="I33" s="6" t="s">
        <v>792</v>
      </c>
      <c r="J33" s="6" t="s">
        <v>793</v>
      </c>
      <c r="K33" s="6" t="s">
        <v>794</v>
      </c>
    </row>
    <row r="34" spans="1:11" ht="64.8" x14ac:dyDescent="0.3">
      <c r="A34" s="3" t="s">
        <v>795</v>
      </c>
      <c r="B34" s="3" t="s">
        <v>15</v>
      </c>
      <c r="C34" s="3" t="s">
        <v>796</v>
      </c>
      <c r="D34" s="3" t="s">
        <v>532</v>
      </c>
      <c r="E34" s="6" t="s">
        <v>797</v>
      </c>
      <c r="F34" s="6" t="s">
        <v>798</v>
      </c>
      <c r="G34" s="6" t="s">
        <v>799</v>
      </c>
      <c r="H34" s="6" t="s">
        <v>800</v>
      </c>
      <c r="I34" s="6" t="s">
        <v>801</v>
      </c>
      <c r="J34" s="6" t="s">
        <v>802</v>
      </c>
      <c r="K34" s="6" t="s">
        <v>803</v>
      </c>
    </row>
    <row r="35" spans="1:11" ht="64.8" x14ac:dyDescent="0.3">
      <c r="A35" s="3" t="s">
        <v>804</v>
      </c>
      <c r="B35" s="3" t="s">
        <v>15</v>
      </c>
      <c r="C35" s="3" t="s">
        <v>805</v>
      </c>
      <c r="D35" s="3" t="s">
        <v>806</v>
      </c>
      <c r="E35" s="6" t="s">
        <v>807</v>
      </c>
      <c r="F35" s="6" t="s">
        <v>808</v>
      </c>
      <c r="G35" s="6" t="s">
        <v>809</v>
      </c>
      <c r="H35" s="6" t="s">
        <v>810</v>
      </c>
      <c r="I35" s="6" t="s">
        <v>639</v>
      </c>
      <c r="J35" s="6" t="s">
        <v>811</v>
      </c>
      <c r="K35" s="6" t="s">
        <v>812</v>
      </c>
    </row>
    <row r="36" spans="1:11" ht="48.6" x14ac:dyDescent="0.3">
      <c r="A36" s="3" t="s">
        <v>813</v>
      </c>
      <c r="B36" s="3" t="s">
        <v>17</v>
      </c>
      <c r="C36" s="3" t="s">
        <v>814</v>
      </c>
      <c r="D36" s="3" t="s">
        <v>522</v>
      </c>
      <c r="E36" s="6" t="s">
        <v>815</v>
      </c>
      <c r="F36" s="6" t="s">
        <v>816</v>
      </c>
      <c r="G36" s="6" t="s">
        <v>817</v>
      </c>
      <c r="H36" s="6" t="s">
        <v>818</v>
      </c>
      <c r="I36" s="6" t="s">
        <v>792</v>
      </c>
      <c r="J36" s="6" t="s">
        <v>819</v>
      </c>
      <c r="K36" s="6" t="s">
        <v>820</v>
      </c>
    </row>
    <row r="37" spans="1:11" ht="64.8" x14ac:dyDescent="0.3">
      <c r="A37" s="3" t="s">
        <v>821</v>
      </c>
      <c r="B37" s="3" t="s">
        <v>17</v>
      </c>
      <c r="C37" s="3" t="s">
        <v>822</v>
      </c>
      <c r="D37" s="3" t="s">
        <v>578</v>
      </c>
      <c r="E37" s="6" t="s">
        <v>823</v>
      </c>
      <c r="F37" s="6" t="s">
        <v>824</v>
      </c>
      <c r="G37" s="6" t="s">
        <v>825</v>
      </c>
      <c r="H37" s="6" t="s">
        <v>826</v>
      </c>
      <c r="I37" s="6" t="s">
        <v>827</v>
      </c>
      <c r="J37" s="6" t="s">
        <v>828</v>
      </c>
      <c r="K37" s="6" t="s">
        <v>829</v>
      </c>
    </row>
    <row r="38" spans="1:11" ht="64.8" x14ac:dyDescent="0.3">
      <c r="A38" s="3" t="s">
        <v>830</v>
      </c>
      <c r="B38" s="3" t="s">
        <v>17</v>
      </c>
      <c r="C38" s="3" t="s">
        <v>336</v>
      </c>
      <c r="D38" s="3" t="s">
        <v>552</v>
      </c>
      <c r="E38" s="6" t="s">
        <v>831</v>
      </c>
      <c r="F38" s="6" t="s">
        <v>832</v>
      </c>
      <c r="G38" s="6" t="s">
        <v>833</v>
      </c>
      <c r="H38" s="6" t="s">
        <v>834</v>
      </c>
      <c r="I38" s="6" t="s">
        <v>701</v>
      </c>
      <c r="J38" s="6" t="s">
        <v>835</v>
      </c>
      <c r="K38" s="6" t="s">
        <v>836</v>
      </c>
    </row>
    <row r="39" spans="1:11" ht="64.8" x14ac:dyDescent="0.3">
      <c r="A39" s="3" t="s">
        <v>837</v>
      </c>
      <c r="B39" s="3" t="s">
        <v>18</v>
      </c>
      <c r="C39" s="3" t="s">
        <v>838</v>
      </c>
      <c r="D39" s="3" t="s">
        <v>522</v>
      </c>
      <c r="E39" s="6" t="s">
        <v>839</v>
      </c>
      <c r="F39" s="6" t="s">
        <v>840</v>
      </c>
      <c r="G39" s="6" t="s">
        <v>841</v>
      </c>
      <c r="H39" s="6" t="s">
        <v>842</v>
      </c>
      <c r="I39" s="6" t="s">
        <v>843</v>
      </c>
      <c r="J39" s="6" t="s">
        <v>844</v>
      </c>
      <c r="K39" s="6" t="s">
        <v>845</v>
      </c>
    </row>
    <row r="40" spans="1:11" ht="48.6" x14ac:dyDescent="0.3">
      <c r="A40" s="3" t="s">
        <v>846</v>
      </c>
      <c r="B40" s="3" t="s">
        <v>18</v>
      </c>
      <c r="C40" s="3" t="s">
        <v>847</v>
      </c>
      <c r="D40" s="3" t="s">
        <v>578</v>
      </c>
      <c r="E40" s="6" t="s">
        <v>848</v>
      </c>
      <c r="F40" s="6" t="s">
        <v>849</v>
      </c>
      <c r="G40" s="6" t="s">
        <v>850</v>
      </c>
      <c r="H40" s="6" t="s">
        <v>851</v>
      </c>
      <c r="I40" s="6" t="s">
        <v>600</v>
      </c>
      <c r="J40" s="6" t="s">
        <v>852</v>
      </c>
      <c r="K40" s="6" t="s">
        <v>853</v>
      </c>
    </row>
    <row r="41" spans="1:11" ht="64.8" x14ac:dyDescent="0.3">
      <c r="A41" s="3" t="s">
        <v>854</v>
      </c>
      <c r="B41" s="3" t="s">
        <v>18</v>
      </c>
      <c r="C41" s="3" t="s">
        <v>361</v>
      </c>
      <c r="D41" s="3" t="s">
        <v>552</v>
      </c>
      <c r="E41" s="6" t="s">
        <v>855</v>
      </c>
      <c r="F41" s="6" t="s">
        <v>856</v>
      </c>
      <c r="G41" s="6" t="s">
        <v>857</v>
      </c>
      <c r="H41" s="6" t="s">
        <v>858</v>
      </c>
      <c r="I41" s="6" t="s">
        <v>859</v>
      </c>
      <c r="J41" s="6" t="s">
        <v>860</v>
      </c>
      <c r="K41" s="6" t="s">
        <v>861</v>
      </c>
    </row>
    <row r="42" spans="1:11" ht="48.6" x14ac:dyDescent="0.3">
      <c r="A42" s="3" t="s">
        <v>862</v>
      </c>
      <c r="B42" s="3" t="s">
        <v>19</v>
      </c>
      <c r="C42" s="3" t="s">
        <v>863</v>
      </c>
      <c r="D42" s="3" t="s">
        <v>522</v>
      </c>
      <c r="E42" s="6" t="s">
        <v>864</v>
      </c>
      <c r="F42" s="6" t="s">
        <v>865</v>
      </c>
      <c r="G42" s="6" t="s">
        <v>866</v>
      </c>
      <c r="H42" s="6" t="s">
        <v>867</v>
      </c>
      <c r="I42" s="6" t="s">
        <v>868</v>
      </c>
      <c r="J42" s="6" t="s">
        <v>869</v>
      </c>
      <c r="K42" s="6" t="s">
        <v>699</v>
      </c>
    </row>
    <row r="43" spans="1:11" ht="64.8" x14ac:dyDescent="0.3">
      <c r="A43" s="3" t="s">
        <v>870</v>
      </c>
      <c r="B43" s="3" t="s">
        <v>19</v>
      </c>
      <c r="C43" s="3" t="s">
        <v>871</v>
      </c>
      <c r="D43" s="3" t="s">
        <v>532</v>
      </c>
      <c r="E43" s="6" t="s">
        <v>872</v>
      </c>
      <c r="F43" s="6" t="s">
        <v>536</v>
      </c>
      <c r="G43" s="6" t="s">
        <v>701</v>
      </c>
      <c r="H43" s="6" t="s">
        <v>873</v>
      </c>
      <c r="I43" s="6" t="s">
        <v>535</v>
      </c>
      <c r="J43" s="6" t="s">
        <v>874</v>
      </c>
      <c r="K43" s="6" t="s">
        <v>875</v>
      </c>
    </row>
    <row r="44" spans="1:11" ht="64.8" x14ac:dyDescent="0.3">
      <c r="A44" s="3" t="s">
        <v>876</v>
      </c>
      <c r="B44" s="3" t="s">
        <v>19</v>
      </c>
      <c r="C44" s="3" t="s">
        <v>877</v>
      </c>
      <c r="D44" s="3" t="s">
        <v>542</v>
      </c>
      <c r="E44" s="6" t="s">
        <v>878</v>
      </c>
      <c r="F44" s="6" t="s">
        <v>879</v>
      </c>
      <c r="G44" s="6" t="s">
        <v>880</v>
      </c>
      <c r="H44" s="6" t="s">
        <v>881</v>
      </c>
      <c r="I44" s="6" t="s">
        <v>882</v>
      </c>
      <c r="J44" s="6" t="s">
        <v>883</v>
      </c>
      <c r="K44" s="6" t="s">
        <v>884</v>
      </c>
    </row>
    <row r="45" spans="1:11" ht="64.8" x14ac:dyDescent="0.3">
      <c r="A45" s="3" t="s">
        <v>885</v>
      </c>
      <c r="B45" s="3" t="s">
        <v>20</v>
      </c>
      <c r="C45" s="3" t="s">
        <v>886</v>
      </c>
      <c r="D45" s="3" t="s">
        <v>512</v>
      </c>
      <c r="E45" s="6" t="s">
        <v>887</v>
      </c>
      <c r="F45" s="6" t="s">
        <v>888</v>
      </c>
      <c r="G45" s="6" t="s">
        <v>681</v>
      </c>
      <c r="H45" s="6" t="s">
        <v>889</v>
      </c>
      <c r="I45" s="6" t="s">
        <v>890</v>
      </c>
      <c r="J45" s="6" t="s">
        <v>891</v>
      </c>
      <c r="K45" s="6" t="s">
        <v>892</v>
      </c>
    </row>
    <row r="46" spans="1:11" ht="64.8" x14ac:dyDescent="0.3">
      <c r="A46" s="3" t="s">
        <v>893</v>
      </c>
      <c r="B46" s="3" t="s">
        <v>20</v>
      </c>
      <c r="C46" s="3" t="s">
        <v>130</v>
      </c>
      <c r="D46" s="3" t="s">
        <v>616</v>
      </c>
      <c r="E46" s="6" t="s">
        <v>894</v>
      </c>
      <c r="F46" s="6" t="s">
        <v>895</v>
      </c>
      <c r="G46" s="6" t="s">
        <v>896</v>
      </c>
      <c r="H46" s="6" t="s">
        <v>601</v>
      </c>
      <c r="I46" s="6" t="s">
        <v>897</v>
      </c>
      <c r="J46" s="6" t="s">
        <v>898</v>
      </c>
      <c r="K46" s="6" t="s">
        <v>899</v>
      </c>
    </row>
    <row r="47" spans="1:11" ht="48.6" x14ac:dyDescent="0.3">
      <c r="A47" s="3" t="s">
        <v>900</v>
      </c>
      <c r="B47" s="3" t="s">
        <v>20</v>
      </c>
      <c r="C47" s="3" t="s">
        <v>901</v>
      </c>
      <c r="D47" s="3" t="s">
        <v>625</v>
      </c>
      <c r="E47" s="6" t="s">
        <v>902</v>
      </c>
      <c r="F47" s="6" t="s">
        <v>903</v>
      </c>
      <c r="G47" s="6" t="s">
        <v>904</v>
      </c>
      <c r="H47" s="6" t="s">
        <v>905</v>
      </c>
      <c r="I47" s="6" t="s">
        <v>906</v>
      </c>
      <c r="J47" s="6" t="s">
        <v>907</v>
      </c>
      <c r="K47" s="6" t="s">
        <v>908</v>
      </c>
    </row>
    <row r="48" spans="1:11" ht="48.6" x14ac:dyDescent="0.3">
      <c r="A48" s="3" t="s">
        <v>909</v>
      </c>
      <c r="B48" s="3" t="s">
        <v>20</v>
      </c>
      <c r="C48" s="3" t="s">
        <v>409</v>
      </c>
      <c r="D48" s="3" t="s">
        <v>669</v>
      </c>
      <c r="E48" s="6" t="s">
        <v>910</v>
      </c>
      <c r="F48" s="6" t="s">
        <v>911</v>
      </c>
      <c r="G48" s="6" t="s">
        <v>735</v>
      </c>
      <c r="H48" s="6" t="s">
        <v>912</v>
      </c>
      <c r="I48" s="6" t="s">
        <v>913</v>
      </c>
      <c r="J48" s="6" t="s">
        <v>914</v>
      </c>
      <c r="K48" s="6" t="s">
        <v>915</v>
      </c>
    </row>
    <row r="49" spans="1:11" ht="64.8" x14ac:dyDescent="0.3">
      <c r="A49" s="3" t="s">
        <v>916</v>
      </c>
      <c r="B49" s="3" t="s">
        <v>22</v>
      </c>
      <c r="C49" s="3" t="s">
        <v>917</v>
      </c>
      <c r="D49" s="3" t="s">
        <v>522</v>
      </c>
      <c r="E49" s="6" t="s">
        <v>918</v>
      </c>
      <c r="F49" s="6" t="s">
        <v>919</v>
      </c>
      <c r="G49" s="6" t="s">
        <v>920</v>
      </c>
      <c r="H49" s="6" t="s">
        <v>921</v>
      </c>
      <c r="I49" s="6" t="s">
        <v>922</v>
      </c>
      <c r="J49" s="6" t="s">
        <v>923</v>
      </c>
      <c r="K49" s="6" t="s">
        <v>924</v>
      </c>
    </row>
    <row r="50" spans="1:11" ht="48.6" x14ac:dyDescent="0.3">
      <c r="A50" s="3" t="s">
        <v>925</v>
      </c>
      <c r="B50" s="3" t="s">
        <v>22</v>
      </c>
      <c r="C50" s="3" t="s">
        <v>926</v>
      </c>
      <c r="D50" s="3" t="s">
        <v>532</v>
      </c>
      <c r="E50" s="6" t="s">
        <v>927</v>
      </c>
      <c r="F50" s="6" t="s">
        <v>928</v>
      </c>
      <c r="G50" s="6" t="s">
        <v>929</v>
      </c>
      <c r="H50" s="6" t="s">
        <v>930</v>
      </c>
      <c r="I50" s="6" t="s">
        <v>931</v>
      </c>
      <c r="J50" s="6" t="s">
        <v>932</v>
      </c>
      <c r="K50" s="6" t="s">
        <v>933</v>
      </c>
    </row>
    <row r="51" spans="1:11" ht="64.8" x14ac:dyDescent="0.3">
      <c r="A51" s="3" t="s">
        <v>934</v>
      </c>
      <c r="B51" s="3" t="s">
        <v>22</v>
      </c>
      <c r="C51" s="3" t="s">
        <v>433</v>
      </c>
      <c r="D51" s="3" t="s">
        <v>552</v>
      </c>
      <c r="E51" s="6" t="s">
        <v>935</v>
      </c>
      <c r="F51" s="6" t="s">
        <v>936</v>
      </c>
      <c r="G51" s="6" t="s">
        <v>937</v>
      </c>
      <c r="H51" s="6" t="s">
        <v>675</v>
      </c>
      <c r="I51" s="6" t="s">
        <v>938</v>
      </c>
      <c r="J51" s="6" t="s">
        <v>939</v>
      </c>
      <c r="K51" s="6" t="s">
        <v>940</v>
      </c>
    </row>
    <row r="52" spans="1:11" ht="64.8" x14ac:dyDescent="0.3">
      <c r="A52" s="3" t="s">
        <v>941</v>
      </c>
      <c r="B52" s="3" t="s">
        <v>23</v>
      </c>
      <c r="C52" s="3" t="s">
        <v>942</v>
      </c>
      <c r="D52" s="3" t="s">
        <v>512</v>
      </c>
      <c r="E52" s="6" t="s">
        <v>943</v>
      </c>
      <c r="F52" s="6" t="s">
        <v>944</v>
      </c>
      <c r="G52" s="6" t="s">
        <v>945</v>
      </c>
      <c r="H52" s="6" t="s">
        <v>946</v>
      </c>
      <c r="I52" s="6" t="s">
        <v>947</v>
      </c>
      <c r="J52" s="6" t="s">
        <v>948</v>
      </c>
      <c r="K52" s="6" t="s">
        <v>949</v>
      </c>
    </row>
    <row r="53" spans="1:11" ht="48.6" x14ac:dyDescent="0.3">
      <c r="A53" s="3" t="s">
        <v>950</v>
      </c>
      <c r="B53" s="3" t="s">
        <v>23</v>
      </c>
      <c r="C53" s="3" t="s">
        <v>951</v>
      </c>
      <c r="D53" s="3" t="s">
        <v>616</v>
      </c>
      <c r="E53" s="6" t="s">
        <v>952</v>
      </c>
      <c r="F53" s="6" t="s">
        <v>953</v>
      </c>
      <c r="G53" s="6" t="s">
        <v>768</v>
      </c>
      <c r="H53" s="6" t="s">
        <v>954</v>
      </c>
      <c r="I53" s="6" t="s">
        <v>537</v>
      </c>
      <c r="J53" s="6" t="s">
        <v>955</v>
      </c>
      <c r="K53" s="6" t="s">
        <v>956</v>
      </c>
    </row>
    <row r="54" spans="1:11" ht="64.8" x14ac:dyDescent="0.3">
      <c r="A54" s="3" t="s">
        <v>957</v>
      </c>
      <c r="B54" s="3" t="s">
        <v>23</v>
      </c>
      <c r="C54" s="3" t="s">
        <v>958</v>
      </c>
      <c r="D54" s="3" t="s">
        <v>542</v>
      </c>
      <c r="E54" s="6" t="s">
        <v>959</v>
      </c>
      <c r="F54" s="6" t="s">
        <v>960</v>
      </c>
      <c r="G54" s="6" t="s">
        <v>961</v>
      </c>
      <c r="H54" s="6" t="s">
        <v>962</v>
      </c>
      <c r="I54" s="6" t="s">
        <v>963</v>
      </c>
      <c r="J54" s="6" t="s">
        <v>964</v>
      </c>
      <c r="K54" s="6" t="s">
        <v>965</v>
      </c>
    </row>
    <row r="55" spans="1:11" ht="48.6" x14ac:dyDescent="0.3">
      <c r="A55" s="3" t="s">
        <v>966</v>
      </c>
      <c r="B55" s="3" t="s">
        <v>23</v>
      </c>
      <c r="C55" s="3" t="s">
        <v>457</v>
      </c>
      <c r="D55" s="3" t="s">
        <v>669</v>
      </c>
      <c r="E55" s="6" t="s">
        <v>967</v>
      </c>
      <c r="F55" s="6" t="s">
        <v>968</v>
      </c>
      <c r="G55" s="6" t="s">
        <v>969</v>
      </c>
      <c r="H55" s="6" t="s">
        <v>970</v>
      </c>
      <c r="I55" s="6" t="s">
        <v>971</v>
      </c>
      <c r="J55" s="6" t="s">
        <v>972</v>
      </c>
      <c r="K55" s="6" t="s">
        <v>973</v>
      </c>
    </row>
    <row r="56" spans="1:11" ht="48.6" x14ac:dyDescent="0.3">
      <c r="A56" s="3" t="s">
        <v>974</v>
      </c>
      <c r="B56" s="3" t="s">
        <v>24</v>
      </c>
      <c r="C56" s="3" t="s">
        <v>975</v>
      </c>
      <c r="D56" s="3" t="s">
        <v>522</v>
      </c>
      <c r="E56" s="6" t="s">
        <v>976</v>
      </c>
      <c r="F56" s="6" t="s">
        <v>977</v>
      </c>
      <c r="G56" s="6" t="s">
        <v>920</v>
      </c>
      <c r="H56" s="6" t="s">
        <v>978</v>
      </c>
      <c r="I56" s="6" t="s">
        <v>768</v>
      </c>
      <c r="J56" s="6" t="s">
        <v>979</v>
      </c>
      <c r="K56" s="6" t="s">
        <v>733</v>
      </c>
    </row>
    <row r="57" spans="1:11" ht="64.8" x14ac:dyDescent="0.3">
      <c r="A57" s="3" t="s">
        <v>980</v>
      </c>
      <c r="B57" s="3" t="s">
        <v>24</v>
      </c>
      <c r="C57" s="3" t="s">
        <v>981</v>
      </c>
      <c r="D57" s="3" t="s">
        <v>532</v>
      </c>
      <c r="E57" s="6" t="s">
        <v>982</v>
      </c>
      <c r="F57" s="6" t="s">
        <v>983</v>
      </c>
      <c r="G57" s="6" t="s">
        <v>984</v>
      </c>
      <c r="H57" s="6" t="s">
        <v>775</v>
      </c>
      <c r="I57" s="6" t="s">
        <v>750</v>
      </c>
      <c r="J57" s="6" t="s">
        <v>985</v>
      </c>
      <c r="K57" s="6" t="s">
        <v>777</v>
      </c>
    </row>
    <row r="58" spans="1:11" ht="48.6" x14ac:dyDescent="0.3">
      <c r="A58" s="3" t="s">
        <v>986</v>
      </c>
      <c r="B58" s="3" t="s">
        <v>24</v>
      </c>
      <c r="C58" s="3" t="s">
        <v>987</v>
      </c>
      <c r="D58" s="3" t="s">
        <v>806</v>
      </c>
      <c r="E58" s="6" t="s">
        <v>988</v>
      </c>
      <c r="F58" s="6" t="s">
        <v>989</v>
      </c>
      <c r="G58" s="6" t="s">
        <v>990</v>
      </c>
      <c r="H58" s="6" t="s">
        <v>991</v>
      </c>
      <c r="I58" s="6" t="s">
        <v>992</v>
      </c>
      <c r="J58" s="6" t="s">
        <v>993</v>
      </c>
      <c r="K58" s="6" t="s">
        <v>956</v>
      </c>
    </row>
    <row r="59" spans="1:11" ht="64.8" x14ac:dyDescent="0.3">
      <c r="A59" s="3" t="s">
        <v>994</v>
      </c>
      <c r="B59" s="3" t="s">
        <v>24</v>
      </c>
      <c r="C59" s="3" t="s">
        <v>481</v>
      </c>
      <c r="D59" s="3" t="s">
        <v>995</v>
      </c>
      <c r="E59" s="6" t="s">
        <v>996</v>
      </c>
      <c r="F59" s="6" t="s">
        <v>997</v>
      </c>
      <c r="G59" s="6" t="s">
        <v>998</v>
      </c>
      <c r="H59" s="6" t="s">
        <v>999</v>
      </c>
      <c r="I59" s="6" t="s">
        <v>1000</v>
      </c>
      <c r="J59" s="6" t="s">
        <v>1001</v>
      </c>
      <c r="K59" s="6" t="s">
        <v>1002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35BC-8D99-45D9-BEDE-3AE1F72C7B0E}">
  <sheetPr codeName="Sheet11"/>
  <dimension ref="A1:E3"/>
  <sheetViews>
    <sheetView workbookViewId="0">
      <selection activeCell="E9" sqref="E9"/>
    </sheetView>
  </sheetViews>
  <sheetFormatPr defaultRowHeight="16.2" x14ac:dyDescent="0.3"/>
  <cols>
    <col min="1" max="1" width="16.77734375" style="1" customWidth="1"/>
    <col min="2" max="2" width="16.6640625" style="1" customWidth="1"/>
    <col min="3" max="3" width="16.44140625" style="5" customWidth="1"/>
    <col min="4" max="4" width="17" style="1" customWidth="1"/>
    <col min="5" max="5" width="19.44140625" style="5" customWidth="1"/>
    <col min="6" max="16384" width="8.88671875" style="1"/>
  </cols>
  <sheetData>
    <row r="1" spans="1:5" x14ac:dyDescent="0.3">
      <c r="A1" s="1" t="s">
        <v>1004</v>
      </c>
      <c r="B1" s="1" t="s">
        <v>54</v>
      </c>
      <c r="C1" s="5" t="s">
        <v>113</v>
      </c>
      <c r="D1" s="1" t="s">
        <v>1005</v>
      </c>
      <c r="E1" s="5" t="s">
        <v>1006</v>
      </c>
    </row>
    <row r="2" spans="1:5" ht="32.4" x14ac:dyDescent="0.3">
      <c r="A2" s="8">
        <v>46093.561365740738</v>
      </c>
      <c r="B2" s="1" t="s">
        <v>7</v>
      </c>
      <c r="C2" s="5" t="s">
        <v>561</v>
      </c>
      <c r="D2" s="1" t="s">
        <v>506</v>
      </c>
      <c r="E2" s="12" t="s">
        <v>566</v>
      </c>
    </row>
    <row r="3" spans="1:5" ht="32.4" x14ac:dyDescent="0.3">
      <c r="A3" s="8">
        <v>46093.562210648146</v>
      </c>
      <c r="B3" s="1" t="s">
        <v>5</v>
      </c>
      <c r="C3" s="5" t="s">
        <v>511</v>
      </c>
      <c r="D3" s="1" t="s">
        <v>506</v>
      </c>
      <c r="E3" s="12" t="s">
        <v>517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55F2-9AF4-4012-A84C-7396D81DFB0F}">
  <sheetPr codeName="Sheet10"/>
  <dimension ref="A1:G6"/>
  <sheetViews>
    <sheetView workbookViewId="0">
      <selection activeCell="B4" sqref="B4:C4"/>
    </sheetView>
  </sheetViews>
  <sheetFormatPr defaultRowHeight="16.2" x14ac:dyDescent="0.3"/>
  <cols>
    <col min="1" max="1" width="23.109375" style="1" customWidth="1"/>
    <col min="2" max="2" width="31.44140625" style="5" customWidth="1"/>
    <col min="3" max="5" width="14.109375" style="5" customWidth="1"/>
    <col min="6" max="6" width="8.88671875" style="1"/>
    <col min="7" max="7" width="23.5546875" style="1" customWidth="1"/>
    <col min="8" max="16384" width="8.88671875" style="1"/>
  </cols>
  <sheetData>
    <row r="1" spans="1:7" x14ac:dyDescent="0.3">
      <c r="A1" s="3" t="s">
        <v>54</v>
      </c>
      <c r="B1" s="6" t="s">
        <v>5</v>
      </c>
      <c r="G1" s="1" t="str" cm="1">
        <f t="array" ref="G1">_xlfn._xlws.FILTER(EventDB!$C$2:$C$100, (EventDB!$B$2:$B$100=B1)*(IFERROR(VALUE(SUBSTITUTE(EventDB!$D$2:$D$100,"Level&gt;=","")),999)&lt;=B2), "")</f>
        <v>The Unfinished Theory</v>
      </c>
    </row>
    <row r="2" spans="1:7" x14ac:dyDescent="0.3">
      <c r="A2" s="3" t="s">
        <v>3</v>
      </c>
      <c r="B2" s="6">
        <f>VLOOKUP(B1, Characters!$A$2:$E$17, 4, FALSE)</f>
        <v>5</v>
      </c>
    </row>
    <row r="4" spans="1:7" x14ac:dyDescent="0.3">
      <c r="A4" s="1" t="s">
        <v>1003</v>
      </c>
      <c r="B4" s="1" t="s">
        <v>511</v>
      </c>
    </row>
    <row r="5" spans="1:7" x14ac:dyDescent="0.3">
      <c r="A5" s="1" t="s">
        <v>502</v>
      </c>
      <c r="B5" s="5" t="s">
        <v>68</v>
      </c>
      <c r="C5" s="5" t="s">
        <v>504</v>
      </c>
      <c r="D5" s="5" t="s">
        <v>506</v>
      </c>
      <c r="E5" s="5" t="s">
        <v>508</v>
      </c>
    </row>
    <row r="6" spans="1:7" ht="64.8" x14ac:dyDescent="0.3">
      <c r="A6" s="1" t="str" cm="1">
        <f t="array" ref="A6">_xlfn._xlws.FILTER(EventDB!$C$2:$C$100, (EventDB!$B$2:$B$100=B1) * (IFERROR(VALUE(SUBSTITUTE(SUBSTITUTE(EventDB!$D$2:$D$100,"Level&gt;=",""),"Level&gt;=","")),999)&lt;=B2), "No events available!")</f>
        <v>The Unfinished Theory</v>
      </c>
      <c r="B6" s="5" t="str" cm="1">
        <f t="array" ref="B6">_xlfn._xlws.FILTER(EventDB!$E$2:$E$100, (EventDB!$B$2:$B$100=B1) * (IFERROR(VALUE(SUBSTITUTE(SUBSTITUTE(EventDB!$D$2:$D$100,"Level&gt;=",""),"Level&gt;=","")),999)&lt;=B2), "No events available!")</f>
        <v>Paula discovers a flaw in her own theoretical framework. Does she publish anyway or rebuild from scratch?</v>
      </c>
      <c r="C6" s="5" t="str" cm="1">
        <f t="array" ref="C6">_xlfn._xlws.FILTER(EventDB!$F$2:$F$100, (EventDB!$B$2:$B$100=$B$1) * (IFERROR(VALUE(SUBSTITUTE(SUBSTITUTE(EventDB!$D$2:$D$100,"Level&gt;=",""),"Level&gt;=","")),999)&lt;=$B$2), "No events available!")</f>
        <v>Publish immediately</v>
      </c>
      <c r="D6" s="5" t="str" cm="1">
        <f t="array" ref="D6">_xlfn._xlws.FILTER(EventDB!$H$2:$H$100, (EventDB!$B$2:$B$100=$B$1) * (IFERROR(VALUE(SUBSTITUTE(SUBSTITUTE(EventDB!$D$2:$D$100,"Level&gt;=",""),"Level&gt;=","")),999)&lt;=$B$2), "No events available!")</f>
        <v>Rebuild from scratch</v>
      </c>
      <c r="E6" s="5" t="str" cm="1">
        <f t="array" ref="E6">_xlfn._xlws.FILTER(EventDB!$J$2:$J$100, (EventDB!$B$2:$B$100=$B$1) * (IFERROR(VALUE(SUBSTITUTE(SUBSTITUTE(EventDB!$D$2:$D$100,"Level&gt;=",""),"Level&gt;=","")),999)&lt;=$B$2), "No events available!")</f>
        <v>Abandon the theory</v>
      </c>
    </row>
  </sheetData>
  <dataValidations count="1">
    <dataValidation type="list" allowBlank="1" showInputMessage="1" showErrorMessage="1" sqref="B4" xr:uid="{D1C6EFFC-8B10-48D3-A4EC-C55E5FA744F9}">
      <formula1>_xlfn.ANCHORARRAY(G1)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8" r:id="rId3" name="Button 6">
              <controlPr defaultSize="0" print="0" autoFill="0" autoPict="0" macro="[0]!TriggerEvent">
                <anchor moveWithCells="1" sizeWithCells="1">
                  <from>
                    <xdr:col>2</xdr:col>
                    <xdr:colOff>754380</xdr:colOff>
                    <xdr:row>0</xdr:row>
                    <xdr:rowOff>60960</xdr:rowOff>
                  </from>
                  <to>
                    <xdr:col>4</xdr:col>
                    <xdr:colOff>266700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01E992-FFC8-438D-9B2B-0D0630743971}">
          <x14:formula1>
            <xm:f>Characters!$A$2:$A$17</xm:f>
          </x14:formula1>
          <xm:sqref>B1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Characters</vt:lpstr>
      <vt:lpstr>Stats</vt:lpstr>
      <vt:lpstr>StatDB</vt:lpstr>
      <vt:lpstr>Skill Tree</vt:lpstr>
      <vt:lpstr>Log</vt:lpstr>
      <vt:lpstr>SkillDB</vt:lpstr>
      <vt:lpstr>Battle</vt:lpstr>
      <vt:lpstr>BattleDB</vt:lpstr>
      <vt:lpstr>EventDB</vt:lpstr>
      <vt:lpstr>EventLog</vt:lpstr>
      <vt:lpstr>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Shaina</dc:creator>
  <cp:lastModifiedBy>Astrid Shaina</cp:lastModifiedBy>
  <dcterms:created xsi:type="dcterms:W3CDTF">2026-03-12T03:09:00Z</dcterms:created>
  <dcterms:modified xsi:type="dcterms:W3CDTF">2026-03-12T06:44:17Z</dcterms:modified>
</cp:coreProperties>
</file>