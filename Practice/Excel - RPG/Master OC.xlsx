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493edff0b5f7e/Documents/Practice/Excel - RPG/"/>
    </mc:Choice>
  </mc:AlternateContent>
  <xr:revisionPtr revIDLastSave="2" documentId="8_{EB98A751-DDB2-4D02-A34E-5BB35CF1BC28}" xr6:coauthVersionLast="47" xr6:coauthVersionMax="47" xr10:uidLastSave="{E8B2D804-2CBA-4080-A13E-04FDB0387EAA}"/>
  <bookViews>
    <workbookView xWindow="9900" yWindow="1560" windowWidth="13140" windowHeight="10680" xr2:uid="{AF5D593F-198C-4253-803F-5F44F35ED90A}"/>
  </bookViews>
  <sheets>
    <sheet name="master_oc" sheetId="1" r:id="rId1"/>
  </sheets>
  <externalReferences>
    <externalReference r:id="rId2"/>
  </externalReferences>
  <definedNames>
    <definedName name="ExternalData_1" localSheetId="0" hidden="1">master_oc!$A$1:$G$33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" i="1" l="1"/>
  <c r="R33" i="1"/>
  <c r="P33" i="1"/>
  <c r="O33" i="1"/>
  <c r="N33" i="1"/>
  <c r="M33" i="1"/>
  <c r="L33" i="1"/>
  <c r="K33" i="1"/>
  <c r="T33" i="1" s="1"/>
  <c r="J33" i="1"/>
  <c r="S33" i="1" s="1"/>
  <c r="W33" i="1" s="1" a="1"/>
  <c r="W33" i="1" s="1"/>
  <c r="I33" i="1"/>
  <c r="H33" i="1"/>
  <c r="V32" i="1"/>
  <c r="R32" i="1"/>
  <c r="P32" i="1"/>
  <c r="O32" i="1"/>
  <c r="N32" i="1"/>
  <c r="M32" i="1"/>
  <c r="L32" i="1"/>
  <c r="K32" i="1"/>
  <c r="T32" i="1" s="1"/>
  <c r="J32" i="1"/>
  <c r="S32" i="1" s="1"/>
  <c r="W32" i="1" s="1" a="1"/>
  <c r="W32" i="1" s="1"/>
  <c r="I32" i="1"/>
  <c r="H32" i="1"/>
  <c r="V31" i="1"/>
  <c r="R31" i="1"/>
  <c r="P31" i="1"/>
  <c r="O31" i="1"/>
  <c r="N31" i="1"/>
  <c r="M31" i="1"/>
  <c r="L31" i="1"/>
  <c r="K31" i="1"/>
  <c r="T31" i="1" s="1"/>
  <c r="J31" i="1"/>
  <c r="S31" i="1" s="1"/>
  <c r="W31" i="1" s="1" a="1"/>
  <c r="W31" i="1" s="1"/>
  <c r="I31" i="1"/>
  <c r="H31" i="1"/>
  <c r="V30" i="1"/>
  <c r="R30" i="1"/>
  <c r="P30" i="1"/>
  <c r="O30" i="1"/>
  <c r="N30" i="1"/>
  <c r="M30" i="1"/>
  <c r="L30" i="1"/>
  <c r="K30" i="1"/>
  <c r="T30" i="1" s="1"/>
  <c r="J30" i="1"/>
  <c r="S30" i="1" s="1"/>
  <c r="I30" i="1"/>
  <c r="H30" i="1"/>
  <c r="V29" i="1"/>
  <c r="R29" i="1"/>
  <c r="P29" i="1"/>
  <c r="O29" i="1"/>
  <c r="N29" i="1"/>
  <c r="M29" i="1"/>
  <c r="L29" i="1"/>
  <c r="K29" i="1"/>
  <c r="T29" i="1" s="1"/>
  <c r="J29" i="1"/>
  <c r="S29" i="1" s="1"/>
  <c r="I29" i="1"/>
  <c r="H29" i="1"/>
  <c r="V28" i="1"/>
  <c r="R28" i="1"/>
  <c r="P28" i="1"/>
  <c r="O28" i="1"/>
  <c r="N28" i="1"/>
  <c r="M28" i="1"/>
  <c r="L28" i="1"/>
  <c r="K28" i="1"/>
  <c r="T28" i="1" s="1"/>
  <c r="J28" i="1"/>
  <c r="S28" i="1" s="1"/>
  <c r="W28" i="1" s="1" a="1"/>
  <c r="W28" i="1" s="1"/>
  <c r="I28" i="1"/>
  <c r="H28" i="1"/>
  <c r="V27" i="1"/>
  <c r="R27" i="1"/>
  <c r="P27" i="1"/>
  <c r="O27" i="1"/>
  <c r="N27" i="1"/>
  <c r="M27" i="1"/>
  <c r="L27" i="1"/>
  <c r="K27" i="1"/>
  <c r="T27" i="1" s="1"/>
  <c r="J27" i="1"/>
  <c r="S27" i="1" s="1"/>
  <c r="I27" i="1"/>
  <c r="H27" i="1"/>
  <c r="V26" i="1"/>
  <c r="R26" i="1"/>
  <c r="P26" i="1"/>
  <c r="O26" i="1"/>
  <c r="N26" i="1"/>
  <c r="M26" i="1"/>
  <c r="L26" i="1"/>
  <c r="K26" i="1"/>
  <c r="T26" i="1" s="1"/>
  <c r="J26" i="1"/>
  <c r="S26" i="1" s="1"/>
  <c r="W26" i="1" s="1" a="1"/>
  <c r="W26" i="1" s="1"/>
  <c r="I26" i="1"/>
  <c r="H26" i="1"/>
  <c r="V25" i="1"/>
  <c r="R25" i="1"/>
  <c r="P25" i="1"/>
  <c r="O25" i="1"/>
  <c r="N25" i="1"/>
  <c r="M25" i="1"/>
  <c r="L25" i="1"/>
  <c r="K25" i="1"/>
  <c r="T25" i="1" s="1"/>
  <c r="J25" i="1"/>
  <c r="S25" i="1" s="1"/>
  <c r="I25" i="1"/>
  <c r="H25" i="1"/>
  <c r="V24" i="1"/>
  <c r="R24" i="1"/>
  <c r="P24" i="1"/>
  <c r="O24" i="1"/>
  <c r="N24" i="1"/>
  <c r="M24" i="1"/>
  <c r="L24" i="1"/>
  <c r="K24" i="1"/>
  <c r="T24" i="1" s="1"/>
  <c r="J24" i="1"/>
  <c r="S24" i="1" s="1"/>
  <c r="W24" i="1" s="1" a="1"/>
  <c r="W24" i="1" s="1"/>
  <c r="I24" i="1"/>
  <c r="H24" i="1"/>
  <c r="V23" i="1"/>
  <c r="R23" i="1"/>
  <c r="P23" i="1"/>
  <c r="O23" i="1"/>
  <c r="N23" i="1"/>
  <c r="M23" i="1"/>
  <c r="L23" i="1"/>
  <c r="K23" i="1"/>
  <c r="T23" i="1" s="1"/>
  <c r="J23" i="1"/>
  <c r="S23" i="1" s="1"/>
  <c r="I23" i="1"/>
  <c r="H23" i="1"/>
  <c r="V22" i="1"/>
  <c r="R22" i="1"/>
  <c r="P22" i="1"/>
  <c r="O22" i="1"/>
  <c r="N22" i="1"/>
  <c r="M22" i="1"/>
  <c r="L22" i="1"/>
  <c r="K22" i="1"/>
  <c r="T22" i="1" s="1"/>
  <c r="J22" i="1"/>
  <c r="S22" i="1" s="1"/>
  <c r="I22" i="1"/>
  <c r="H22" i="1"/>
  <c r="V21" i="1"/>
  <c r="R21" i="1"/>
  <c r="P21" i="1"/>
  <c r="O21" i="1"/>
  <c r="N21" i="1"/>
  <c r="M21" i="1"/>
  <c r="L21" i="1"/>
  <c r="K21" i="1"/>
  <c r="T21" i="1" s="1"/>
  <c r="J21" i="1"/>
  <c r="S21" i="1" s="1"/>
  <c r="I21" i="1"/>
  <c r="H21" i="1"/>
  <c r="V20" i="1"/>
  <c r="R20" i="1"/>
  <c r="P20" i="1"/>
  <c r="O20" i="1"/>
  <c r="N20" i="1"/>
  <c r="M20" i="1"/>
  <c r="L20" i="1"/>
  <c r="K20" i="1"/>
  <c r="T20" i="1" s="1"/>
  <c r="J20" i="1"/>
  <c r="S20" i="1" s="1"/>
  <c r="W20" i="1" s="1" a="1"/>
  <c r="W20" i="1" s="1"/>
  <c r="I20" i="1"/>
  <c r="H20" i="1"/>
  <c r="V19" i="1"/>
  <c r="R19" i="1"/>
  <c r="P19" i="1"/>
  <c r="O19" i="1"/>
  <c r="N19" i="1"/>
  <c r="M19" i="1"/>
  <c r="L19" i="1"/>
  <c r="K19" i="1"/>
  <c r="T19" i="1" s="1"/>
  <c r="J19" i="1"/>
  <c r="S19" i="1" s="1"/>
  <c r="I19" i="1"/>
  <c r="H19" i="1"/>
  <c r="V18" i="1"/>
  <c r="R18" i="1"/>
  <c r="P18" i="1"/>
  <c r="O18" i="1"/>
  <c r="N18" i="1"/>
  <c r="M18" i="1"/>
  <c r="L18" i="1"/>
  <c r="K18" i="1"/>
  <c r="T18" i="1" s="1"/>
  <c r="J18" i="1"/>
  <c r="S18" i="1" s="1"/>
  <c r="I18" i="1"/>
  <c r="H18" i="1"/>
  <c r="V17" i="1"/>
  <c r="R17" i="1"/>
  <c r="P17" i="1"/>
  <c r="O17" i="1"/>
  <c r="N17" i="1"/>
  <c r="M17" i="1"/>
  <c r="L17" i="1"/>
  <c r="K17" i="1"/>
  <c r="T17" i="1" s="1"/>
  <c r="J17" i="1"/>
  <c r="S17" i="1" s="1"/>
  <c r="W17" i="1" s="1" a="1"/>
  <c r="W17" i="1" s="1"/>
  <c r="I17" i="1"/>
  <c r="H17" i="1"/>
  <c r="V16" i="1"/>
  <c r="R16" i="1"/>
  <c r="P16" i="1"/>
  <c r="O16" i="1"/>
  <c r="N16" i="1"/>
  <c r="M16" i="1"/>
  <c r="L16" i="1"/>
  <c r="K16" i="1"/>
  <c r="T16" i="1" s="1"/>
  <c r="J16" i="1"/>
  <c r="S16" i="1" s="1"/>
  <c r="W16" i="1" s="1" a="1"/>
  <c r="W16" i="1" s="1"/>
  <c r="I16" i="1"/>
  <c r="H16" i="1"/>
  <c r="V15" i="1"/>
  <c r="R15" i="1"/>
  <c r="P15" i="1"/>
  <c r="O15" i="1"/>
  <c r="N15" i="1"/>
  <c r="M15" i="1"/>
  <c r="L15" i="1"/>
  <c r="K15" i="1"/>
  <c r="T15" i="1" s="1"/>
  <c r="J15" i="1"/>
  <c r="S15" i="1" s="1"/>
  <c r="W15" i="1" s="1" a="1"/>
  <c r="W15" i="1" s="1"/>
  <c r="I15" i="1"/>
  <c r="H15" i="1"/>
  <c r="V14" i="1"/>
  <c r="R14" i="1"/>
  <c r="P14" i="1"/>
  <c r="O14" i="1"/>
  <c r="N14" i="1"/>
  <c r="M14" i="1"/>
  <c r="L14" i="1"/>
  <c r="K14" i="1"/>
  <c r="T14" i="1" s="1"/>
  <c r="J14" i="1"/>
  <c r="S14" i="1" s="1"/>
  <c r="I14" i="1"/>
  <c r="H14" i="1"/>
  <c r="V13" i="1"/>
  <c r="R13" i="1"/>
  <c r="P13" i="1"/>
  <c r="O13" i="1"/>
  <c r="N13" i="1"/>
  <c r="M13" i="1"/>
  <c r="L13" i="1"/>
  <c r="K13" i="1"/>
  <c r="T13" i="1" s="1"/>
  <c r="J13" i="1"/>
  <c r="S13" i="1" s="1"/>
  <c r="I13" i="1"/>
  <c r="H13" i="1"/>
  <c r="V12" i="1"/>
  <c r="R12" i="1"/>
  <c r="P12" i="1"/>
  <c r="O12" i="1"/>
  <c r="N12" i="1"/>
  <c r="M12" i="1"/>
  <c r="L12" i="1"/>
  <c r="K12" i="1"/>
  <c r="T12" i="1" s="1"/>
  <c r="J12" i="1"/>
  <c r="S12" i="1" s="1"/>
  <c r="W12" i="1" s="1" a="1"/>
  <c r="W12" i="1" s="1"/>
  <c r="I12" i="1"/>
  <c r="H12" i="1"/>
  <c r="V11" i="1"/>
  <c r="R11" i="1"/>
  <c r="P11" i="1"/>
  <c r="O11" i="1"/>
  <c r="N11" i="1"/>
  <c r="M11" i="1"/>
  <c r="L11" i="1"/>
  <c r="K11" i="1"/>
  <c r="T11" i="1" s="1"/>
  <c r="J11" i="1"/>
  <c r="S11" i="1" s="1"/>
  <c r="I11" i="1"/>
  <c r="H11" i="1"/>
  <c r="V10" i="1"/>
  <c r="R10" i="1"/>
  <c r="P10" i="1"/>
  <c r="O10" i="1"/>
  <c r="N10" i="1"/>
  <c r="M10" i="1"/>
  <c r="L10" i="1"/>
  <c r="K10" i="1"/>
  <c r="T10" i="1" s="1"/>
  <c r="J10" i="1"/>
  <c r="S10" i="1" s="1"/>
  <c r="W10" i="1" s="1" a="1"/>
  <c r="W10" i="1" s="1"/>
  <c r="I10" i="1"/>
  <c r="H10" i="1"/>
  <c r="V9" i="1"/>
  <c r="R9" i="1"/>
  <c r="P9" i="1"/>
  <c r="O9" i="1"/>
  <c r="N9" i="1"/>
  <c r="M9" i="1"/>
  <c r="L9" i="1"/>
  <c r="K9" i="1"/>
  <c r="T9" i="1" s="1"/>
  <c r="J9" i="1"/>
  <c r="S9" i="1" s="1"/>
  <c r="I9" i="1"/>
  <c r="H9" i="1"/>
  <c r="V8" i="1"/>
  <c r="R8" i="1"/>
  <c r="P8" i="1"/>
  <c r="O8" i="1"/>
  <c r="N8" i="1"/>
  <c r="M8" i="1"/>
  <c r="L8" i="1"/>
  <c r="K8" i="1"/>
  <c r="T8" i="1" s="1"/>
  <c r="J8" i="1"/>
  <c r="S8" i="1" s="1"/>
  <c r="W8" i="1" s="1" a="1"/>
  <c r="W8" i="1" s="1"/>
  <c r="I8" i="1"/>
  <c r="H8" i="1"/>
  <c r="V7" i="1"/>
  <c r="R7" i="1"/>
  <c r="P7" i="1"/>
  <c r="O7" i="1"/>
  <c r="N7" i="1"/>
  <c r="M7" i="1"/>
  <c r="L7" i="1"/>
  <c r="K7" i="1"/>
  <c r="T7" i="1" s="1"/>
  <c r="J7" i="1"/>
  <c r="S7" i="1" s="1"/>
  <c r="I7" i="1"/>
  <c r="H7" i="1"/>
  <c r="V6" i="1"/>
  <c r="R6" i="1"/>
  <c r="P6" i="1"/>
  <c r="O6" i="1"/>
  <c r="N6" i="1"/>
  <c r="M6" i="1"/>
  <c r="L6" i="1"/>
  <c r="K6" i="1"/>
  <c r="T6" i="1" s="1"/>
  <c r="J6" i="1"/>
  <c r="S6" i="1" s="1"/>
  <c r="I6" i="1"/>
  <c r="H6" i="1"/>
  <c r="V5" i="1"/>
  <c r="R5" i="1"/>
  <c r="P5" i="1"/>
  <c r="O5" i="1"/>
  <c r="N5" i="1"/>
  <c r="M5" i="1"/>
  <c r="L5" i="1"/>
  <c r="K5" i="1"/>
  <c r="T5" i="1" s="1"/>
  <c r="J5" i="1"/>
  <c r="S5" i="1" s="1"/>
  <c r="I5" i="1"/>
  <c r="H5" i="1"/>
  <c r="V4" i="1"/>
  <c r="R4" i="1"/>
  <c r="P4" i="1"/>
  <c r="O4" i="1"/>
  <c r="N4" i="1"/>
  <c r="M4" i="1"/>
  <c r="L4" i="1"/>
  <c r="K4" i="1"/>
  <c r="T4" i="1" s="1"/>
  <c r="J4" i="1"/>
  <c r="S4" i="1" s="1"/>
  <c r="W4" i="1" s="1" a="1"/>
  <c r="W4" i="1" s="1"/>
  <c r="I4" i="1"/>
  <c r="H4" i="1"/>
  <c r="V3" i="1"/>
  <c r="R3" i="1"/>
  <c r="P3" i="1"/>
  <c r="O3" i="1"/>
  <c r="N3" i="1"/>
  <c r="M3" i="1"/>
  <c r="L3" i="1"/>
  <c r="K3" i="1"/>
  <c r="T3" i="1" s="1"/>
  <c r="J3" i="1"/>
  <c r="S3" i="1" s="1"/>
  <c r="I3" i="1"/>
  <c r="H3" i="1"/>
  <c r="V2" i="1"/>
  <c r="R2" i="1"/>
  <c r="P2" i="1"/>
  <c r="O2" i="1"/>
  <c r="N2" i="1"/>
  <c r="M2" i="1"/>
  <c r="L2" i="1"/>
  <c r="K2" i="1"/>
  <c r="T2" i="1" s="1"/>
  <c r="J2" i="1"/>
  <c r="S2" i="1" s="1"/>
  <c r="I2" i="1"/>
  <c r="H2" i="1"/>
  <c r="W2" i="1" l="1" a="1"/>
  <c r="W2" i="1" s="1"/>
  <c r="W18" i="1" a="1"/>
  <c r="W18" i="1" s="1"/>
  <c r="W5" i="1" a="1"/>
  <c r="W5" i="1" s="1"/>
  <c r="W21" i="1" a="1"/>
  <c r="W21" i="1" s="1"/>
  <c r="W11" i="1" a="1"/>
  <c r="W11" i="1" s="1"/>
  <c r="W27" i="1" a="1"/>
  <c r="W27" i="1" s="1"/>
  <c r="W14" i="1" a="1"/>
  <c r="W14" i="1" s="1"/>
  <c r="W30" i="1" a="1"/>
  <c r="W30" i="1" s="1"/>
  <c r="W7" i="1" a="1"/>
  <c r="W7" i="1" s="1"/>
  <c r="W23" i="1" a="1"/>
  <c r="W23" i="1" s="1"/>
  <c r="W13" i="1" a="1"/>
  <c r="W13" i="1" s="1"/>
  <c r="W29" i="1" a="1"/>
  <c r="W29" i="1" s="1"/>
  <c r="W3" i="1" a="1"/>
  <c r="W3" i="1" s="1"/>
  <c r="W19" i="1" a="1"/>
  <c r="W19" i="1" s="1"/>
  <c r="W6" i="1" a="1"/>
  <c r="W6" i="1" s="1"/>
  <c r="W22" i="1" a="1"/>
  <c r="W22" i="1" s="1"/>
  <c r="W9" i="1" a="1"/>
  <c r="W9" i="1" s="1"/>
  <c r="W25" i="1" a="1"/>
  <c r="W25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9A36C5-BEB7-4AC3-A2EA-3BA8ED78833B}" keepAlive="1" name="Query - characters" description="Connection to the 'characters' query in the workbook." type="5" refreshedVersion="8" background="1" saveData="1">
    <dbPr connection="Provider=Microsoft.Mashup.OleDb.1;Data Source=$Workbook$;Location=characters;Extended Properties=&quot;&quot;" command="SELECT * FROM [charact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<sst xmlns="http://schemas.openxmlformats.org/spreadsheetml/2006/main" count="183" uniqueCount="109">
  <si>
    <t>Nama Karakter</t>
  </si>
  <si>
    <t>MBTI</t>
  </si>
  <si>
    <t>Umur</t>
  </si>
  <si>
    <t>Tinggi (cm)</t>
  </si>
  <si>
    <t>Grup</t>
  </si>
  <si>
    <t>Sub-Kelompok</t>
  </si>
  <si>
    <t>Role / Kekuatan Utama</t>
  </si>
  <si>
    <t>Kategori Tinggi</t>
  </si>
  <si>
    <t>ID Karakter</t>
  </si>
  <si>
    <t>HP</t>
  </si>
  <si>
    <t>ATK</t>
  </si>
  <si>
    <t>DEF</t>
  </si>
  <si>
    <t>SPD</t>
  </si>
  <si>
    <t>Crit Rate</t>
  </si>
  <si>
    <t>MP</t>
  </si>
  <si>
    <t>Win Rate</t>
  </si>
  <si>
    <t>Potensi Damage</t>
  </si>
  <si>
    <t>Faction</t>
  </si>
  <si>
    <t>Total Stat</t>
  </si>
  <si>
    <t>Role</t>
  </si>
  <si>
    <t>Tanggal Lahir</t>
  </si>
  <si>
    <t>Umur Akurat</t>
  </si>
  <si>
    <t>Status Squad</t>
  </si>
  <si>
    <t>Paula Lopez</t>
  </si>
  <si>
    <t>INTP</t>
  </si>
  <si>
    <t>Modern</t>
  </si>
  <si>
    <t>The Analysts</t>
  </si>
  <si>
    <t>Fracture Surge</t>
  </si>
  <si>
    <t>Hiromi Masaki</t>
  </si>
  <si>
    <t>INTJ</t>
  </si>
  <si>
    <t>Gravity Rend</t>
  </si>
  <si>
    <t>Gillian Wiley</t>
  </si>
  <si>
    <t>ENTJ</t>
  </si>
  <si>
    <t>Ruin Pulse Engine</t>
  </si>
  <si>
    <t>Chiyo Funai</t>
  </si>
  <si>
    <t>ISTJ</t>
  </si>
  <si>
    <t>The Sentinels</t>
  </si>
  <si>
    <t>Guillotine Line</t>
  </si>
  <si>
    <t>Shizuka Aikawa</t>
  </si>
  <si>
    <t>ESTJ</t>
  </si>
  <si>
    <t>Warbrand Arsenal</t>
  </si>
  <si>
    <t>Cael Dunmore</t>
  </si>
  <si>
    <t>ESTP</t>
  </si>
  <si>
    <t>Fantasy</t>
  </si>
  <si>
    <t>The Explorers</t>
  </si>
  <si>
    <t>Probability Flux / Treasure Hunter</t>
  </si>
  <si>
    <t>Seren Ashvale</t>
  </si>
  <si>
    <t>Absolute Command / General</t>
  </si>
  <si>
    <t>Caius Nox</t>
  </si>
  <si>
    <t>Fate Weave / Royal Advisor</t>
  </si>
  <si>
    <t>Orin Eld</t>
  </si>
  <si>
    <t>INFJ</t>
  </si>
  <si>
    <t>The Diplomats</t>
  </si>
  <si>
    <t>Moment moment of Truth / Oracle</t>
  </si>
  <si>
    <t>Kiran Sol</t>
  </si>
  <si>
    <t>Zone of Order / City Watch Captain</t>
  </si>
  <si>
    <t>Tobias Rey</t>
  </si>
  <si>
    <t>ESFJ</t>
  </si>
  <si>
    <t>Triage Field / Field Medic</t>
  </si>
  <si>
    <t>Hayami Amamiya</t>
  </si>
  <si>
    <t>ISTP</t>
  </si>
  <si>
    <t>Elemental Mastery</t>
  </si>
  <si>
    <t>Shiina Ishioka</t>
  </si>
  <si>
    <t>ISFP</t>
  </si>
  <si>
    <t>Essence Severance</t>
  </si>
  <si>
    <t>Mayumi Sasaki</t>
  </si>
  <si>
    <t>ISFJ</t>
  </si>
  <si>
    <t>Damage Reflection Lattice</t>
  </si>
  <si>
    <t>Lily Raven</t>
  </si>
  <si>
    <t>Heartstrike Overload</t>
  </si>
  <si>
    <t>Himiko Nakayama</t>
  </si>
  <si>
    <t>ENFJ</t>
  </si>
  <si>
    <t>Dominion Mark</t>
  </si>
  <si>
    <t>Katie Olson</t>
  </si>
  <si>
    <t>INFP</t>
  </si>
  <si>
    <t>Soulfire Manifestation</t>
  </si>
  <si>
    <t>Aldric Crane</t>
  </si>
  <si>
    <t>Primal Sovereign / Engineer</t>
  </si>
  <si>
    <t>Sylvaine Morrel</t>
  </si>
  <si>
    <t>Runic Deconstruction / Scholar</t>
  </si>
  <si>
    <t>Rhen Caen</t>
  </si>
  <si>
    <t>Covenant Bond / Healer &amp; Diplomat</t>
  </si>
  <si>
    <t>Dorian Penn</t>
  </si>
  <si>
    <t>Archive of Blades / Guild Archivist</t>
  </si>
  <si>
    <t>Mica Dwyer</t>
  </si>
  <si>
    <t>ENTP</t>
  </si>
  <si>
    <t>Adaptive Mutation</t>
  </si>
  <si>
    <t>Shaye Kaylen</t>
  </si>
  <si>
    <t>Combat Escalation Law</t>
  </si>
  <si>
    <t>Theresa Felix</t>
  </si>
  <si>
    <t>ESFP</t>
  </si>
  <si>
    <t>Sensory Collapse Domain</t>
  </si>
  <si>
    <t>Sonia Spade</t>
  </si>
  <si>
    <t>Emotional Vectoring</t>
  </si>
  <si>
    <t>Emily Caddel</t>
  </si>
  <si>
    <t>ENFP</t>
  </si>
  <si>
    <t>Dimensional Phase Shifting</t>
  </si>
  <si>
    <t>Mara Solene</t>
  </si>
  <si>
    <t>Resonant Aria / Performer</t>
  </si>
  <si>
    <t>Luno Bright</t>
  </si>
  <si>
    <t>Living Canvas / Cartographer</t>
  </si>
  <si>
    <t>Zivan Holt</t>
  </si>
  <si>
    <t>Transmutation Aura / Alchemist</t>
  </si>
  <si>
    <t>Mira Vane</t>
  </si>
  <si>
    <t>Momentum Surge / Knight-Errant</t>
  </si>
  <si>
    <t>Elara Moss</t>
  </si>
  <si>
    <t>Verdant Wrath / Forest Herbalist</t>
  </si>
  <si>
    <t>Nora Voss</t>
  </si>
  <si>
    <t>Memory Palace / Librarian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</si>
</sst>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Tahun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&quot; Tahun&quot;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3a493edff0b5f7e/Documents/Practice/Excel%20-%20RPG/Excel%20Practice%20with%20Gemini.xlsx" TargetMode="External"/><Relationship Id="rId1" Type="http://schemas.openxmlformats.org/officeDocument/2006/relationships/externalLinkPath" Target="Excel%20Practice%20with%20Gemi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2"/>
      <sheetName val="Pivot"/>
      <sheetName val="characters"/>
      <sheetName val="Stats_Data"/>
      <sheetName val="latihan_cleaning (2)"/>
      <sheetName val="studi kasus"/>
      <sheetName val="Excel Practice with Gemini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0EAB11-9D36-4D01-938A-C05AA1279EF5}" autoFormatId="16" applyNumberFormats="0" applyBorderFormats="0" applyFontFormats="0" applyPatternFormats="0" applyAlignmentFormats="0" applyWidthHeightFormats="0">
  <queryTableRefresh nextId="27" unboundColumnsRight="16">
    <queryTableFields count="23">
      <queryTableField id="1" name="Nama Karakter" tableColumnId="1"/>
      <queryTableField id="2" name="MBTI" tableColumnId="2"/>
      <queryTableField id="3" name="Umur" tableColumnId="3"/>
      <queryTableField id="4" name="Tinggi (cm)" tableColumnId="4"/>
      <queryTableField id="5" name="Grup" tableColumnId="5"/>
      <queryTableField id="6" name="Sub-Kelompok" tableColumnId="6"/>
      <queryTableField id="7" name="Role / Kekuatan Utama" tableColumnId="7"/>
      <queryTableField id="8" dataBound="0" tableColumnId="8"/>
      <queryTableField id="9" dataBound="0" tableColumnId="10"/>
      <queryTableField id="10" dataBound="0" tableColumnId="11"/>
      <queryTableField id="11" dataBound="0" tableColumnId="12"/>
      <queryTableField id="12" dataBound="0" tableColumnId="13"/>
      <queryTableField id="13" dataBound="0" tableColumnId="14"/>
      <queryTableField id="25" dataBound="0" tableColumnId="22"/>
      <queryTableField id="24" dataBound="0" tableColumnId="20"/>
      <queryTableField id="23" dataBound="0" tableColumnId="19"/>
      <queryTableField id="26" dataBound="0" tableColumnId="23"/>
      <queryTableField id="22" dataBound="0" tableColumnId="9"/>
      <queryTableField id="14" dataBound="0" tableColumnId="15"/>
      <queryTableField id="15" dataBound="0" tableColumnId="16"/>
      <queryTableField id="16" dataBound="0" tableColumnId="17"/>
      <queryTableField id="17" dataBound="0" tableColumnId="18"/>
      <queryTableField id="20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580F0-4736-44F4-8F28-50164740F712}" name="characters" displayName="characters" ref="A1:W33" tableType="queryTable" totalsRowShown="0" headerRowDxfId="28" dataDxfId="27">
  <autoFilter ref="A1:W33" xr:uid="{D21580F0-4736-44F4-8F28-50164740F712}"/>
  <sortState xmlns:xlrd2="http://schemas.microsoft.com/office/spreadsheetml/2017/richdata2" ref="A2:U33">
    <sortCondition descending="1" ref="C1:C33"/>
  </sortState>
  <tableColumns count="23">
    <tableColumn id="1" xr3:uid="{98E8624D-F1AB-4FC8-8FF6-E70540AEDB7F}" uniqueName="1" name="Nama Karakter" queryTableFieldId="1" dataDxfId="26"/>
    <tableColumn id="2" xr3:uid="{60E48F33-5E1E-4107-8857-BFB025BA16D2}" uniqueName="2" name="MBTI" queryTableFieldId="2" dataDxfId="25"/>
    <tableColumn id="3" xr3:uid="{43A2130A-2028-485D-B307-CA9A61464AD0}" uniqueName="3" name="Umur" queryTableFieldId="3" dataDxfId="24"/>
    <tableColumn id="4" xr3:uid="{B03CAF27-7CEA-4370-A62D-5F19E931E260}" uniqueName="4" name="Tinggi (cm)" queryTableFieldId="4" dataDxfId="23"/>
    <tableColumn id="5" xr3:uid="{E6083E48-D7B3-4A30-9C89-EC1EE8EAC747}" uniqueName="5" name="Grup" queryTableFieldId="5" dataDxfId="22"/>
    <tableColumn id="6" xr3:uid="{21D4DF94-7D42-47C2-B5B5-B42EE8B61E33}" uniqueName="6" name="Sub-Kelompok" queryTableFieldId="6" dataDxfId="21"/>
    <tableColumn id="7" xr3:uid="{787ED119-E73D-480B-A88F-120A4E8051DA}" uniqueName="7" name="Role / Kekuatan Utama" queryTableFieldId="7" dataDxfId="20"/>
    <tableColumn id="8" xr3:uid="{D14F3945-85B9-48D5-8387-548D1DB6F247}" uniqueName="8" name="Kategori Tinggi" queryTableFieldId="8" dataDxfId="19">
      <calculatedColumnFormula>IF(characters[[#This Row],[Tinggi (cm)]]&gt;=175, "Tinggi", IF(characters[[#This Row],[Tinggi (cm)]]&gt;=168, "Normal", "Pendek"))</calculatedColumnFormula>
    </tableColumn>
    <tableColumn id="10" xr3:uid="{455D3819-CBCB-4BC3-ACDE-FFDAA8FFC123}" uniqueName="10" name="ID Karakter" queryTableFieldId="9" dataDxfId="18">
      <calculatedColumnFormula>characters[[#This Row],[Nama Karakter]] &amp; " [" &amp; B2 &amp; "]"</calculatedColumnFormula>
    </tableColumn>
    <tableColumn id="11" xr3:uid="{60E9F005-6140-434C-906A-BA328ECE96D4}" uniqueName="11" name="HP" queryTableFieldId="10" dataDxfId="17">
      <calculatedColumnFormula>VLOOKUP(characters[[#This Row],[Nama Karakter]],[1]!Stats_Data[#Data],2,FALSE)</calculatedColumnFormula>
    </tableColumn>
    <tableColumn id="12" xr3:uid="{98DFD6BB-2B89-4766-B087-4A7E455BEDAA}" uniqueName="12" name="ATK" queryTableFieldId="11" dataDxfId="16">
      <calculatedColumnFormula>VLOOKUP(characters[[#This Row],[Nama Karakter]],[1]!Stats_Data[#Data],3,FALSE)</calculatedColumnFormula>
    </tableColumn>
    <tableColumn id="13" xr3:uid="{3096F784-942A-40F1-9223-8FCDB01CCEF2}" uniqueName="13" name="DEF" queryTableFieldId="12" dataDxfId="15">
      <calculatedColumnFormula>VLOOKUP(characters[[#This Row],[Nama Karakter]],[1]!Stats_Data[#Data],4,FALSE)</calculatedColumnFormula>
    </tableColumn>
    <tableColumn id="14" xr3:uid="{A133FCBA-144E-4DD3-8168-A2A03B83B849}" uniqueName="14" name="SPD" queryTableFieldId="13" dataDxfId="14">
      <calculatedColumnFormula>VLOOKUP(characters[[#This Row],[Nama Karakter]],[1]!Stats_Data[#Data],5,FALSE)</calculatedColumnFormula>
    </tableColumn>
    <tableColumn id="22" xr3:uid="{A1B0F0F4-EC44-46DC-A9C1-E292EB1F1211}" uniqueName="22" name="Crit Rate" queryTableFieldId="25" dataDxfId="13">
      <calculatedColumnFormula>VLOOKUP(characters[[#This Row],[Nama Karakter]],[1]!Stats_Data[#Data],6, FALSE)</calculatedColumnFormula>
    </tableColumn>
    <tableColumn id="20" xr3:uid="{73A27B63-A820-4504-AA21-F545CAD5729F}" uniqueName="20" name="MP" queryTableFieldId="24" dataDxfId="12">
      <calculatedColumnFormula>VLOOKUP(characters[[#This Row],[Nama Karakter]],[1]!Stats_Data[#Data],7, FALSE)</calculatedColumnFormula>
    </tableColumn>
    <tableColumn id="19" xr3:uid="{37801C50-602C-4972-8618-629AA333CF39}" uniqueName="19" name="Win Rate" queryTableFieldId="23" dataDxfId="11">
      <calculatedColumnFormula>VLOOKUP(characters[[#This Row],[Nama Karakter]],[1]!Stats_Data[#Data],8, FALSE)</calculatedColumnFormula>
    </tableColumn>
    <tableColumn id="23" xr3:uid="{B00278BF-6290-45D3-80F5-ED79E710ABA9}" uniqueName="23" name="Potensi Damage" queryTableFieldId="26" dataDxfId="10">
      <calculatedColumnFormula>characters[[#This Row],[ATK]]*(1+characters[[#This Row],[Crit Rate]])</calculatedColumnFormula>
    </tableColumn>
    <tableColumn id="9" xr3:uid="{E3C291B8-DFF9-4C2B-9F23-E74E9FA11C5C}" uniqueName="9" name="Faction" queryTableFieldId="22" dataDxfId="9">
      <calculatedColumnFormula>VLOOKUP(characters[[#This Row],[Nama Karakter]],[1]!Stats_Data[#Data],9, FALSE)</calculatedColumnFormula>
    </tableColumn>
    <tableColumn id="15" xr3:uid="{30454B5A-991C-425B-B65F-473D0F290FEB}" uniqueName="15" name="Total Stat" queryTableFieldId="14" dataDxfId="8">
      <calculatedColumnFormula>SUM(characters[[#This Row],[HP]:[Win Rate]])</calculatedColumnFormula>
    </tableColumn>
    <tableColumn id="16" xr3:uid="{3DBC25F3-CC38-4946-A18A-EE51CF996E54}" uniqueName="16" name="Role" queryTableFieldId="15" dataDxfId="7">
      <calculatedColumnFormula>IF(characters[[#This Row],[ATK]]&gt;=88, "Attacker", IF(characters[[#This Row],[ATK]]&gt;=75, "Balanced", "Support"))</calculatedColumnFormula>
    </tableColumn>
    <tableColumn id="17" xr3:uid="{E73FE6B4-351A-43B3-8E6F-18A7BF32B963}" uniqueName="17" name="Tanggal Lahir" queryTableFieldId="16" dataDxfId="6"/>
    <tableColumn id="18" xr3:uid="{BA390679-05B0-4A8F-8702-7680175A9D99}" uniqueName="18" name="Umur Akurat" queryTableFieldId="17" dataDxfId="5">
      <calculatedColumnFormula>(DATEDIF(characters[[#This Row],[Tanggal Lahir]],TODAY(), "Y"))</calculatedColumnFormula>
    </tableColumn>
    <tableColumn id="21" xr3:uid="{E0271B06-3F9C-426F-AAFA-F30CA4825C50}" uniqueName="21" name="Status Squad" queryTableFieldId="20" dataDxfId="4">
      <calculatedColumnFormula array="1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930F-31BF-4D56-920F-79D55F159CC8}">
  <dimension ref="A1:W33"/>
  <sheetViews>
    <sheetView tabSelected="1" workbookViewId="0">
      <selection activeCell="D5" sqref="D5"/>
    </sheetView>
  </sheetViews>
  <sheetFormatPr defaultRowHeight="14.4" x14ac:dyDescent="0.3"/>
  <cols>
    <col min="1" max="1" width="18.109375" bestFit="1" customWidth="1"/>
    <col min="2" max="2" width="9.88671875" bestFit="1" customWidth="1"/>
    <col min="3" max="3" width="10.21875" bestFit="1" customWidth="1"/>
    <col min="4" max="4" width="14.77734375" bestFit="1" customWidth="1"/>
    <col min="5" max="5" width="9.5546875" bestFit="1" customWidth="1"/>
    <col min="6" max="6" width="18" bestFit="1" customWidth="1"/>
    <col min="7" max="7" width="30.6640625" bestFit="1" customWidth="1"/>
    <col min="8" max="8" width="18" bestFit="1" customWidth="1"/>
    <col min="9" max="9" width="21.77734375" bestFit="1" customWidth="1"/>
    <col min="10" max="10" width="7.77734375" bestFit="1" customWidth="1"/>
    <col min="11" max="11" width="8.77734375" bestFit="1" customWidth="1"/>
    <col min="12" max="12" width="8.5546875" bestFit="1" customWidth="1"/>
    <col min="13" max="13" width="8.77734375" bestFit="1" customWidth="1"/>
    <col min="14" max="14" width="12.5546875" bestFit="1" customWidth="1"/>
    <col min="15" max="15" width="8.33203125" bestFit="1" customWidth="1"/>
    <col min="16" max="16" width="13" bestFit="1" customWidth="1"/>
    <col min="17" max="17" width="19.109375" bestFit="1" customWidth="1"/>
    <col min="18" max="18" width="14.6640625" bestFit="1" customWidth="1"/>
    <col min="19" max="19" width="13.44140625" bestFit="1" customWidth="1"/>
    <col min="20" max="20" width="9.109375" bestFit="1" customWidth="1"/>
    <col min="21" max="21" width="16.5546875" bestFit="1" customWidth="1"/>
    <col min="22" max="22" width="16.33203125" bestFit="1" customWidth="1"/>
    <col min="23" max="23" width="16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 t="s">
        <v>23</v>
      </c>
      <c r="B2" s="1" t="s">
        <v>24</v>
      </c>
      <c r="C2" s="1">
        <v>23</v>
      </c>
      <c r="D2" s="1">
        <v>171</v>
      </c>
      <c r="E2" s="1" t="s">
        <v>25</v>
      </c>
      <c r="F2" s="1" t="s">
        <v>26</v>
      </c>
      <c r="G2" s="1" t="s">
        <v>27</v>
      </c>
      <c r="H2" s="1" t="str">
        <f>IF(characters[[#This Row],[Tinggi (cm)]]&gt;=175, "Tinggi", IF(characters[[#This Row],[Tinggi (cm)]]&gt;=168, "Normal", "Pendek"))</f>
        <v>Normal</v>
      </c>
      <c r="I2" s="1" t="str">
        <f>characters[[#This Row],[Nama Karakter]] &amp; " [" &amp; B2 &amp; "]"</f>
        <v>Paula Lopez [INTP]</v>
      </c>
      <c r="J2" s="1">
        <f>VLOOKUP(characters[[#This Row],[Nama Karakter]],[1]!Stats_Data[#Data],2,FALSE)</f>
        <v>120</v>
      </c>
      <c r="K2" s="1">
        <f>VLOOKUP(characters[[#This Row],[Nama Karakter]],[1]!Stats_Data[#Data],3,FALSE)</f>
        <v>85</v>
      </c>
      <c r="L2" s="1">
        <f>VLOOKUP(characters[[#This Row],[Nama Karakter]],[1]!Stats_Data[#Data],4,FALSE)</f>
        <v>65</v>
      </c>
      <c r="M2" s="1">
        <f>VLOOKUP(characters[[#This Row],[Nama Karakter]],[1]!Stats_Data[#Data],5,FALSE)</f>
        <v>70</v>
      </c>
      <c r="N2" s="2">
        <f>VLOOKUP(characters[[#This Row],[Nama Karakter]],[1]!Stats_Data[#Data],6, FALSE)</f>
        <v>0.88</v>
      </c>
      <c r="O2" s="1">
        <f>VLOOKUP(characters[[#This Row],[Nama Karakter]],[1]!Stats_Data[#Data],7, FALSE)</f>
        <v>310</v>
      </c>
      <c r="P2" s="2">
        <f>VLOOKUP(characters[[#This Row],[Nama Karakter]],[1]!Stats_Data[#Data],8, FALSE)</f>
        <v>0.69</v>
      </c>
      <c r="Q2" s="3">
        <f>characters[[#This Row],[ATK]]*(1+characters[[#This Row],[Crit Rate]])</f>
        <v>159.79999999999998</v>
      </c>
      <c r="R2" s="1" t="str">
        <f>VLOOKUP(characters[[#This Row],[Nama Karakter]],[1]!Stats_Data[#Data],9, FALSE)</f>
        <v>Northern Tundra</v>
      </c>
      <c r="S2" s="1">
        <f>SUM(characters[[#This Row],[HP]:[Win Rate]])</f>
        <v>651.57000000000005</v>
      </c>
      <c r="T2" s="1" t="str">
        <f>IF(characters[[#This Row],[ATK]]&gt;=88, "Attacker", IF(characters[[#This Row],[ATK]]&gt;=75, "Balanced", "Support"))</f>
        <v>Balanced</v>
      </c>
      <c r="U2" s="4">
        <v>37513</v>
      </c>
      <c r="V2" s="5">
        <f ca="1">(DATEDIF(characters[[#This Row],[Tanggal Lahir]],TODAY(), "Y"))</f>
        <v>23</v>
      </c>
      <c r="W2" s="1" t="str" cm="1">
        <f t="array" ref="W2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Tactician</v>
      </c>
    </row>
    <row r="3" spans="1:23" x14ac:dyDescent="0.3">
      <c r="A3" s="1" t="s">
        <v>28</v>
      </c>
      <c r="B3" s="1" t="s">
        <v>29</v>
      </c>
      <c r="C3" s="1">
        <v>23</v>
      </c>
      <c r="D3" s="1">
        <v>175</v>
      </c>
      <c r="E3" s="1" t="s">
        <v>25</v>
      </c>
      <c r="F3" s="1" t="s">
        <v>26</v>
      </c>
      <c r="G3" s="1" t="s">
        <v>30</v>
      </c>
      <c r="H3" s="1" t="str">
        <f>IF(characters[[#This Row],[Tinggi (cm)]]&gt;=175, "Tinggi", IF(characters[[#This Row],[Tinggi (cm)]]&gt;=168, "Normal", "Pendek"))</f>
        <v>Tinggi</v>
      </c>
      <c r="I3" s="1" t="str">
        <f>characters[[#This Row],[Nama Karakter]] &amp; " [" &amp; B3 &amp; "]"</f>
        <v>Hiromi Masaki [INTJ]</v>
      </c>
      <c r="J3" s="1">
        <f>VLOOKUP(characters[[#This Row],[Nama Karakter]],[1]!Stats_Data[#Data],2,FALSE)</f>
        <v>130</v>
      </c>
      <c r="K3" s="1">
        <f>VLOOKUP(characters[[#This Row],[Nama Karakter]],[1]!Stats_Data[#Data],3,FALSE)</f>
        <v>90</v>
      </c>
      <c r="L3" s="1">
        <f>VLOOKUP(characters[[#This Row],[Nama Karakter]],[1]!Stats_Data[#Data],4,FALSE)</f>
        <v>75</v>
      </c>
      <c r="M3" s="1">
        <f>VLOOKUP(characters[[#This Row],[Nama Karakter]],[1]!Stats_Data[#Data],5,FALSE)</f>
        <v>60</v>
      </c>
      <c r="N3" s="2">
        <f>VLOOKUP(characters[[#This Row],[Nama Karakter]],[1]!Stats_Data[#Data],6, FALSE)</f>
        <v>0.15</v>
      </c>
      <c r="O3" s="1">
        <f>VLOOKUP(characters[[#This Row],[Nama Karakter]],[1]!Stats_Data[#Data],7, FALSE)</f>
        <v>330</v>
      </c>
      <c r="P3" s="2">
        <f>VLOOKUP(characters[[#This Row],[Nama Karakter]],[1]!Stats_Data[#Data],8, FALSE)</f>
        <v>0.54</v>
      </c>
      <c r="Q3" s="3">
        <f>characters[[#This Row],[ATK]]*(1+characters[[#This Row],[Crit Rate]])</f>
        <v>103.49999999999999</v>
      </c>
      <c r="R3" s="1" t="str">
        <f>VLOOKUP(characters[[#This Row],[Nama Karakter]],[1]!Stats_Data[#Data],9, FALSE)</f>
        <v>Eastern Sunrise</v>
      </c>
      <c r="S3" s="1">
        <f>SUM(characters[[#This Row],[HP]:[Win Rate]])</f>
        <v>685.68999999999994</v>
      </c>
      <c r="T3" s="1" t="str">
        <f>IF(characters[[#This Row],[ATK]]&gt;=88, "Attacker", IF(characters[[#This Row],[ATK]]&gt;=75, "Balanced", "Support"))</f>
        <v>Attacker</v>
      </c>
      <c r="U3" s="4">
        <v>37275</v>
      </c>
      <c r="V3" s="5">
        <f ca="1">(DATEDIF(characters[[#This Row],[Tanggal Lahir]],TODAY(), "Y"))</f>
        <v>24</v>
      </c>
      <c r="W3" s="1" t="str" cm="1">
        <f t="array" ref="W3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4" spans="1:23" x14ac:dyDescent="0.3">
      <c r="A4" s="1" t="s">
        <v>31</v>
      </c>
      <c r="B4" s="1" t="s">
        <v>32</v>
      </c>
      <c r="C4" s="1">
        <v>23</v>
      </c>
      <c r="D4" s="1">
        <v>172</v>
      </c>
      <c r="E4" s="1" t="s">
        <v>25</v>
      </c>
      <c r="F4" s="1" t="s">
        <v>26</v>
      </c>
      <c r="G4" s="1" t="s">
        <v>33</v>
      </c>
      <c r="H4" s="1" t="str">
        <f>IF(characters[[#This Row],[Tinggi (cm)]]&gt;=175, "Tinggi", IF(characters[[#This Row],[Tinggi (cm)]]&gt;=168, "Normal", "Pendek"))</f>
        <v>Normal</v>
      </c>
      <c r="I4" s="1" t="str">
        <f>characters[[#This Row],[Nama Karakter]] &amp; " [" &amp; B4 &amp; "]"</f>
        <v>Gillian Wiley [ENTJ]</v>
      </c>
      <c r="J4" s="1">
        <f>VLOOKUP(characters[[#This Row],[Nama Karakter]],[1]!Stats_Data[#Data],2,FALSE)</f>
        <v>140</v>
      </c>
      <c r="K4" s="1">
        <f>VLOOKUP(characters[[#This Row],[Nama Karakter]],[1]!Stats_Data[#Data],3,FALSE)</f>
        <v>88</v>
      </c>
      <c r="L4" s="1">
        <f>VLOOKUP(characters[[#This Row],[Nama Karakter]],[1]!Stats_Data[#Data],4,FALSE)</f>
        <v>80</v>
      </c>
      <c r="M4" s="1">
        <f>VLOOKUP(characters[[#This Row],[Nama Karakter]],[1]!Stats_Data[#Data],5,FALSE)</f>
        <v>65</v>
      </c>
      <c r="N4" s="2">
        <f>VLOOKUP(characters[[#This Row],[Nama Karakter]],[1]!Stats_Data[#Data],6, FALSE)</f>
        <v>0.35</v>
      </c>
      <c r="O4" s="1">
        <f>VLOOKUP(characters[[#This Row],[Nama Karakter]],[1]!Stats_Data[#Data],7, FALSE)</f>
        <v>200</v>
      </c>
      <c r="P4" s="2">
        <f>VLOOKUP(characters[[#This Row],[Nama Karakter]],[1]!Stats_Data[#Data],8, FALSE)</f>
        <v>0.51</v>
      </c>
      <c r="Q4" s="3">
        <f>characters[[#This Row],[ATK]]*(1+characters[[#This Row],[Crit Rate]])</f>
        <v>118.80000000000001</v>
      </c>
      <c r="R4" s="1" t="str">
        <f>VLOOKUP(characters[[#This Row],[Nama Karakter]],[1]!Stats_Data[#Data],9, FALSE)</f>
        <v>Southern Isles</v>
      </c>
      <c r="S4" s="1">
        <f>SUM(characters[[#This Row],[HP]:[Win Rate]])</f>
        <v>573.86</v>
      </c>
      <c r="T4" s="1" t="str">
        <f>IF(characters[[#This Row],[ATK]]&gt;=88, "Attacker", IF(characters[[#This Row],[ATK]]&gt;=75, "Balanced", "Support"))</f>
        <v>Attacker</v>
      </c>
      <c r="U4" s="4">
        <v>37445</v>
      </c>
      <c r="V4" s="5">
        <f ca="1">(DATEDIF(characters[[#This Row],[Tanggal Lahir]],TODAY(), "Y"))</f>
        <v>23</v>
      </c>
      <c r="W4" s="1" t="str" cm="1">
        <f t="array" ref="W4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5" spans="1:23" x14ac:dyDescent="0.3">
      <c r="A5" s="1" t="s">
        <v>34</v>
      </c>
      <c r="B5" s="1" t="s">
        <v>35</v>
      </c>
      <c r="C5" s="1">
        <v>23</v>
      </c>
      <c r="D5" s="1">
        <v>173</v>
      </c>
      <c r="E5" s="1" t="s">
        <v>25</v>
      </c>
      <c r="F5" s="1" t="s">
        <v>36</v>
      </c>
      <c r="G5" s="1" t="s">
        <v>37</v>
      </c>
      <c r="H5" s="1" t="str">
        <f>IF(characters[[#This Row],[Tinggi (cm)]]&gt;=175, "Tinggi", IF(characters[[#This Row],[Tinggi (cm)]]&gt;=168, "Normal", "Pendek"))</f>
        <v>Normal</v>
      </c>
      <c r="I5" s="1" t="str">
        <f>characters[[#This Row],[Nama Karakter]] &amp; " [" &amp; B5 &amp; "]"</f>
        <v>Chiyo Funai [ISTJ]</v>
      </c>
      <c r="J5" s="1">
        <f>VLOOKUP(characters[[#This Row],[Nama Karakter]],[1]!Stats_Data[#Data],2,FALSE)</f>
        <v>135</v>
      </c>
      <c r="K5" s="1">
        <f>VLOOKUP(characters[[#This Row],[Nama Karakter]],[1]!Stats_Data[#Data],3,FALSE)</f>
        <v>65</v>
      </c>
      <c r="L5" s="1">
        <f>VLOOKUP(characters[[#This Row],[Nama Karakter]],[1]!Stats_Data[#Data],4,FALSE)</f>
        <v>90</v>
      </c>
      <c r="M5" s="1">
        <f>VLOOKUP(characters[[#This Row],[Nama Karakter]],[1]!Stats_Data[#Data],5,FALSE)</f>
        <v>55</v>
      </c>
      <c r="N5" s="2">
        <f>VLOOKUP(characters[[#This Row],[Nama Karakter]],[1]!Stats_Data[#Data],6, FALSE)</f>
        <v>0.5</v>
      </c>
      <c r="O5" s="1">
        <f>VLOOKUP(characters[[#This Row],[Nama Karakter]],[1]!Stats_Data[#Data],7, FALSE)</f>
        <v>300</v>
      </c>
      <c r="P5" s="2">
        <f>VLOOKUP(characters[[#This Row],[Nama Karakter]],[1]!Stats_Data[#Data],8, FALSE)</f>
        <v>0.74</v>
      </c>
      <c r="Q5" s="3">
        <f>characters[[#This Row],[ATK]]*(1+characters[[#This Row],[Crit Rate]])</f>
        <v>97.5</v>
      </c>
      <c r="R5" s="1" t="str">
        <f>VLOOKUP(characters[[#This Row],[Nama Karakter]],[1]!Stats_Data[#Data],9, FALSE)</f>
        <v>Western Citadel</v>
      </c>
      <c r="S5" s="1">
        <f>SUM(characters[[#This Row],[HP]:[Win Rate]])</f>
        <v>646.24</v>
      </c>
      <c r="T5" s="1" t="str">
        <f>IF(characters[[#This Row],[ATK]]&gt;=88, "Attacker", IF(characters[[#This Row],[ATK]]&gt;=75, "Balanced", "Support"))</f>
        <v>Support</v>
      </c>
      <c r="U5" s="4">
        <v>37264</v>
      </c>
      <c r="V5" s="5">
        <f ca="1">(DATEDIF(characters[[#This Row],[Tanggal Lahir]],TODAY(), "Y"))</f>
        <v>24</v>
      </c>
      <c r="W5" s="1" t="str" cm="1">
        <f t="array" ref="W5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Tanker</v>
      </c>
    </row>
    <row r="6" spans="1:23" x14ac:dyDescent="0.3">
      <c r="A6" s="1" t="s">
        <v>38</v>
      </c>
      <c r="B6" s="1" t="s">
        <v>39</v>
      </c>
      <c r="C6" s="1">
        <v>23</v>
      </c>
      <c r="D6" s="1">
        <v>169</v>
      </c>
      <c r="E6" s="1" t="s">
        <v>25</v>
      </c>
      <c r="F6" s="1" t="s">
        <v>36</v>
      </c>
      <c r="G6" s="1" t="s">
        <v>40</v>
      </c>
      <c r="H6" s="1" t="str">
        <f>IF(characters[[#This Row],[Tinggi (cm)]]&gt;=175, "Tinggi", IF(characters[[#This Row],[Tinggi (cm)]]&gt;=168, "Normal", "Pendek"))</f>
        <v>Normal</v>
      </c>
      <c r="I6" s="1" t="str">
        <f>characters[[#This Row],[Nama Karakter]] &amp; " [" &amp; B6 &amp; "]"</f>
        <v>Shizuka Aikawa [ESTJ]</v>
      </c>
      <c r="J6" s="1">
        <f>VLOOKUP(characters[[#This Row],[Nama Karakter]],[1]!Stats_Data[#Data],2,FALSE)</f>
        <v>145</v>
      </c>
      <c r="K6" s="1">
        <f>VLOOKUP(characters[[#This Row],[Nama Karakter]],[1]!Stats_Data[#Data],3,FALSE)</f>
        <v>80</v>
      </c>
      <c r="L6" s="1">
        <f>VLOOKUP(characters[[#This Row],[Nama Karakter]],[1]!Stats_Data[#Data],4,FALSE)</f>
        <v>85</v>
      </c>
      <c r="M6" s="1">
        <f>VLOOKUP(characters[[#This Row],[Nama Karakter]],[1]!Stats_Data[#Data],5,FALSE)</f>
        <v>50</v>
      </c>
      <c r="N6" s="2">
        <f>VLOOKUP(characters[[#This Row],[Nama Karakter]],[1]!Stats_Data[#Data],6, FALSE)</f>
        <v>0.25</v>
      </c>
      <c r="O6" s="1">
        <f>VLOOKUP(characters[[#This Row],[Nama Karakter]],[1]!Stats_Data[#Data],7, FALSE)</f>
        <v>300</v>
      </c>
      <c r="P6" s="2">
        <f>VLOOKUP(characters[[#This Row],[Nama Karakter]],[1]!Stats_Data[#Data],8, FALSE)</f>
        <v>0.7</v>
      </c>
      <c r="Q6" s="3">
        <f>characters[[#This Row],[ATK]]*(1+characters[[#This Row],[Crit Rate]])</f>
        <v>100</v>
      </c>
      <c r="R6" s="1" t="str">
        <f>VLOOKUP(characters[[#This Row],[Nama Karakter]],[1]!Stats_Data[#Data],9, FALSE)</f>
        <v>Western Citadel</v>
      </c>
      <c r="S6" s="1">
        <f>SUM(characters[[#This Row],[HP]:[Win Rate]])</f>
        <v>660.95</v>
      </c>
      <c r="T6" s="1" t="str">
        <f>IF(characters[[#This Row],[ATK]]&gt;=88, "Attacker", IF(characters[[#This Row],[ATK]]&gt;=75, "Balanced", "Support"))</f>
        <v>Balanced</v>
      </c>
      <c r="U6" s="4">
        <v>37618</v>
      </c>
      <c r="V6" s="5">
        <f ca="1">(DATEDIF(characters[[#This Row],[Tanggal Lahir]],TODAY(), "Y"))</f>
        <v>23</v>
      </c>
      <c r="W6" s="1" t="str" cm="1">
        <f t="array" ref="W6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Tanker</v>
      </c>
    </row>
    <row r="7" spans="1:23" x14ac:dyDescent="0.3">
      <c r="A7" s="1" t="s">
        <v>41</v>
      </c>
      <c r="B7" s="1" t="s">
        <v>42</v>
      </c>
      <c r="C7" s="1">
        <v>23</v>
      </c>
      <c r="D7" s="1">
        <v>180</v>
      </c>
      <c r="E7" s="1" t="s">
        <v>43</v>
      </c>
      <c r="F7" s="1" t="s">
        <v>44</v>
      </c>
      <c r="G7" s="1" t="s">
        <v>45</v>
      </c>
      <c r="H7" s="1" t="str">
        <f>IF(characters[[#This Row],[Tinggi (cm)]]&gt;=175, "Tinggi", IF(characters[[#This Row],[Tinggi (cm)]]&gt;=168, "Normal", "Pendek"))</f>
        <v>Tinggi</v>
      </c>
      <c r="I7" s="1" t="str">
        <f>characters[[#This Row],[Nama Karakter]] &amp; " [" &amp; B7 &amp; "]"</f>
        <v>Cael Dunmore [ESTP]</v>
      </c>
      <c r="J7" s="1">
        <f>VLOOKUP(characters[[#This Row],[Nama Karakter]],[1]!Stats_Data[#Data],2,FALSE)</f>
        <v>120</v>
      </c>
      <c r="K7" s="1">
        <f>VLOOKUP(characters[[#This Row],[Nama Karakter]],[1]!Stats_Data[#Data],3,FALSE)</f>
        <v>84</v>
      </c>
      <c r="L7" s="1">
        <f>VLOOKUP(characters[[#This Row],[Nama Karakter]],[1]!Stats_Data[#Data],4,FALSE)</f>
        <v>65</v>
      </c>
      <c r="M7" s="1">
        <f>VLOOKUP(characters[[#This Row],[Nama Karakter]],[1]!Stats_Data[#Data],5,FALSE)</f>
        <v>88</v>
      </c>
      <c r="N7" s="2">
        <f>VLOOKUP(characters[[#This Row],[Nama Karakter]],[1]!Stats_Data[#Data],6, FALSE)</f>
        <v>0.45</v>
      </c>
      <c r="O7" s="1">
        <f>VLOOKUP(characters[[#This Row],[Nama Karakter]],[1]!Stats_Data[#Data],7, FALSE)</f>
        <v>180</v>
      </c>
      <c r="P7" s="2">
        <f>VLOOKUP(characters[[#This Row],[Nama Karakter]],[1]!Stats_Data[#Data],8, FALSE)</f>
        <v>0.55000000000000004</v>
      </c>
      <c r="Q7" s="3">
        <f>characters[[#This Row],[ATK]]*(1+characters[[#This Row],[Crit Rate]])</f>
        <v>121.8</v>
      </c>
      <c r="R7" s="1" t="str">
        <f>VLOOKUP(characters[[#This Row],[Nama Karakter]],[1]!Stats_Data[#Data],9, FALSE)</f>
        <v>Eastern Sunrise</v>
      </c>
      <c r="S7" s="1">
        <f>SUM(characters[[#This Row],[HP]:[Win Rate]])</f>
        <v>538</v>
      </c>
      <c r="T7" s="1" t="str">
        <f>IF(characters[[#This Row],[ATK]]&gt;=88, "Attacker", IF(characters[[#This Row],[ATK]]&gt;=75, "Balanced", "Support"))</f>
        <v>Balanced</v>
      </c>
      <c r="U7" s="4">
        <v>37289</v>
      </c>
      <c r="V7" s="5">
        <f ca="1">(DATEDIF(characters[[#This Row],[Tanggal Lahir]],TODAY(), "Y"))</f>
        <v>24</v>
      </c>
      <c r="W7" s="1" t="str" cm="1">
        <f t="array" ref="W7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Elite Spy</v>
      </c>
    </row>
    <row r="8" spans="1:23" x14ac:dyDescent="0.3">
      <c r="A8" s="1" t="s">
        <v>46</v>
      </c>
      <c r="B8" s="1" t="s">
        <v>32</v>
      </c>
      <c r="C8" s="1">
        <v>23</v>
      </c>
      <c r="D8" s="1">
        <v>175</v>
      </c>
      <c r="E8" s="1" t="s">
        <v>43</v>
      </c>
      <c r="F8" s="1" t="s">
        <v>26</v>
      </c>
      <c r="G8" s="1" t="s">
        <v>47</v>
      </c>
      <c r="H8" s="1" t="str">
        <f>IF(characters[[#This Row],[Tinggi (cm)]]&gt;=175, "Tinggi", IF(characters[[#This Row],[Tinggi (cm)]]&gt;=168, "Normal", "Pendek"))</f>
        <v>Tinggi</v>
      </c>
      <c r="I8" s="1" t="str">
        <f>characters[[#This Row],[Nama Karakter]] &amp; " [" &amp; B8 &amp; "]"</f>
        <v>Seren Ashvale [ENTJ]</v>
      </c>
      <c r="J8" s="1">
        <f>VLOOKUP(characters[[#This Row],[Nama Karakter]],[1]!Stats_Data[#Data],2,FALSE)</f>
        <v>135</v>
      </c>
      <c r="K8" s="1">
        <f>VLOOKUP(characters[[#This Row],[Nama Karakter]],[1]!Stats_Data[#Data],3,FALSE)</f>
        <v>88</v>
      </c>
      <c r="L8" s="1">
        <f>VLOOKUP(characters[[#This Row],[Nama Karakter]],[1]!Stats_Data[#Data],4,FALSE)</f>
        <v>80</v>
      </c>
      <c r="M8" s="1">
        <f>VLOOKUP(characters[[#This Row],[Nama Karakter]],[1]!Stats_Data[#Data],5,FALSE)</f>
        <v>62</v>
      </c>
      <c r="N8" s="2">
        <f>VLOOKUP(characters[[#This Row],[Nama Karakter]],[1]!Stats_Data[#Data],6, FALSE)</f>
        <v>0.62</v>
      </c>
      <c r="O8" s="1">
        <f>VLOOKUP(characters[[#This Row],[Nama Karakter]],[1]!Stats_Data[#Data],7, FALSE)</f>
        <v>270</v>
      </c>
      <c r="P8" s="2">
        <f>VLOOKUP(characters[[#This Row],[Nama Karakter]],[1]!Stats_Data[#Data],8, FALSE)</f>
        <v>0.67</v>
      </c>
      <c r="Q8" s="3">
        <f>characters[[#This Row],[ATK]]*(1+characters[[#This Row],[Crit Rate]])</f>
        <v>142.56</v>
      </c>
      <c r="R8" s="1" t="str">
        <f>VLOOKUP(characters[[#This Row],[Nama Karakter]],[1]!Stats_Data[#Data],9, FALSE)</f>
        <v>Northern Tundra</v>
      </c>
      <c r="S8" s="1">
        <f>SUM(characters[[#This Row],[HP]:[Win Rate]])</f>
        <v>636.29</v>
      </c>
      <c r="T8" s="1" t="str">
        <f>IF(characters[[#This Row],[ATK]]&gt;=88, "Attacker", IF(characters[[#This Row],[ATK]]&gt;=75, "Balanced", "Support"))</f>
        <v>Attacker</v>
      </c>
      <c r="U8" s="4">
        <v>37339</v>
      </c>
      <c r="V8" s="5">
        <f ca="1">(DATEDIF(characters[[#This Row],[Tanggal Lahir]],TODAY(), "Y"))</f>
        <v>24</v>
      </c>
      <c r="W8" s="1" t="str" cm="1">
        <f t="array" ref="W8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9" spans="1:23" x14ac:dyDescent="0.3">
      <c r="A9" s="1" t="s">
        <v>48</v>
      </c>
      <c r="B9" s="1" t="s">
        <v>29</v>
      </c>
      <c r="C9" s="1">
        <v>23</v>
      </c>
      <c r="D9" s="1">
        <v>178</v>
      </c>
      <c r="E9" s="1" t="s">
        <v>43</v>
      </c>
      <c r="F9" s="1" t="s">
        <v>26</v>
      </c>
      <c r="G9" s="1" t="s">
        <v>49</v>
      </c>
      <c r="H9" s="1" t="str">
        <f>IF(characters[[#This Row],[Tinggi (cm)]]&gt;=175, "Tinggi", IF(characters[[#This Row],[Tinggi (cm)]]&gt;=168, "Normal", "Pendek"))</f>
        <v>Tinggi</v>
      </c>
      <c r="I9" s="1" t="str">
        <f>characters[[#This Row],[Nama Karakter]] &amp; " [" &amp; B9 &amp; "]"</f>
        <v>Caius Nox [INTJ]</v>
      </c>
      <c r="J9" s="1">
        <f>VLOOKUP(characters[[#This Row],[Nama Karakter]],[1]!Stats_Data[#Data],2,FALSE)</f>
        <v>122</v>
      </c>
      <c r="K9" s="1">
        <f>VLOOKUP(characters[[#This Row],[Nama Karakter]],[1]!Stats_Data[#Data],3,FALSE)</f>
        <v>80</v>
      </c>
      <c r="L9" s="1">
        <f>VLOOKUP(characters[[#This Row],[Nama Karakter]],[1]!Stats_Data[#Data],4,FALSE)</f>
        <v>75</v>
      </c>
      <c r="M9" s="1">
        <f>VLOOKUP(characters[[#This Row],[Nama Karakter]],[1]!Stats_Data[#Data],5,FALSE)</f>
        <v>70</v>
      </c>
      <c r="N9" s="2">
        <f>VLOOKUP(characters[[#This Row],[Nama Karakter]],[1]!Stats_Data[#Data],6, FALSE)</f>
        <v>0.85</v>
      </c>
      <c r="O9" s="1">
        <f>VLOOKUP(characters[[#This Row],[Nama Karakter]],[1]!Stats_Data[#Data],7, FALSE)</f>
        <v>120</v>
      </c>
      <c r="P9" s="2">
        <f>VLOOKUP(characters[[#This Row],[Nama Karakter]],[1]!Stats_Data[#Data],8, FALSE)</f>
        <v>0.68</v>
      </c>
      <c r="Q9" s="3">
        <f>characters[[#This Row],[ATK]]*(1+characters[[#This Row],[Crit Rate]])</f>
        <v>148</v>
      </c>
      <c r="R9" s="1" t="str">
        <f>VLOOKUP(characters[[#This Row],[Nama Karakter]],[1]!Stats_Data[#Data],9, FALSE)</f>
        <v>Northern Tundra</v>
      </c>
      <c r="S9" s="1">
        <f>SUM(characters[[#This Row],[HP]:[Win Rate]])</f>
        <v>468.53000000000003</v>
      </c>
      <c r="T9" s="1" t="str">
        <f>IF(characters[[#This Row],[ATK]]&gt;=88, "Attacker", IF(characters[[#This Row],[ATK]]&gt;=75, "Balanced", "Support"))</f>
        <v>Balanced</v>
      </c>
      <c r="U9" s="4">
        <v>37374</v>
      </c>
      <c r="V9" s="5">
        <f ca="1">(DATEDIF(characters[[#This Row],[Tanggal Lahir]],TODAY(), "Y"))</f>
        <v>24</v>
      </c>
      <c r="W9" s="1" t="str" cm="1">
        <f t="array" ref="W9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Tactician</v>
      </c>
    </row>
    <row r="10" spans="1:23" x14ac:dyDescent="0.3">
      <c r="A10" s="1" t="s">
        <v>50</v>
      </c>
      <c r="B10" s="1" t="s">
        <v>51</v>
      </c>
      <c r="C10" s="1">
        <v>23</v>
      </c>
      <c r="D10" s="1">
        <v>176</v>
      </c>
      <c r="E10" s="1" t="s">
        <v>43</v>
      </c>
      <c r="F10" s="1" t="s">
        <v>52</v>
      </c>
      <c r="G10" s="1" t="s">
        <v>53</v>
      </c>
      <c r="H10" s="1" t="str">
        <f>IF(characters[[#This Row],[Tinggi (cm)]]&gt;=175, "Tinggi", IF(characters[[#This Row],[Tinggi (cm)]]&gt;=168, "Normal", "Pendek"))</f>
        <v>Tinggi</v>
      </c>
      <c r="I10" s="1" t="str">
        <f>characters[[#This Row],[Nama Karakter]] &amp; " [" &amp; B10 &amp; "]"</f>
        <v>Orin Eld [INFJ]</v>
      </c>
      <c r="J10" s="1">
        <f>VLOOKUP(characters[[#This Row],[Nama Karakter]],[1]!Stats_Data[#Data],2,FALSE)</f>
        <v>110</v>
      </c>
      <c r="K10" s="1">
        <f>VLOOKUP(characters[[#This Row],[Nama Karakter]],[1]!Stats_Data[#Data],3,FALSE)</f>
        <v>70</v>
      </c>
      <c r="L10" s="1">
        <f>VLOOKUP(characters[[#This Row],[Nama Karakter]],[1]!Stats_Data[#Data],4,FALSE)</f>
        <v>70</v>
      </c>
      <c r="M10" s="1">
        <f>VLOOKUP(characters[[#This Row],[Nama Karakter]],[1]!Stats_Data[#Data],5,FALSE)</f>
        <v>65</v>
      </c>
      <c r="N10" s="2">
        <f>VLOOKUP(characters[[#This Row],[Nama Karakter]],[1]!Stats_Data[#Data],6, FALSE)</f>
        <v>0.72</v>
      </c>
      <c r="O10" s="1">
        <f>VLOOKUP(characters[[#This Row],[Nama Karakter]],[1]!Stats_Data[#Data],7, FALSE)</f>
        <v>290</v>
      </c>
      <c r="P10" s="2">
        <f>VLOOKUP(characters[[#This Row],[Nama Karakter]],[1]!Stats_Data[#Data],8, FALSE)</f>
        <v>0.61</v>
      </c>
      <c r="Q10" s="3">
        <f>characters[[#This Row],[ATK]]*(1+characters[[#This Row],[Crit Rate]])</f>
        <v>120.39999999999999</v>
      </c>
      <c r="R10" s="1" t="str">
        <f>VLOOKUP(characters[[#This Row],[Nama Karakter]],[1]!Stats_Data[#Data],9, FALSE)</f>
        <v>Northern Tundra</v>
      </c>
      <c r="S10" s="1">
        <f>SUM(characters[[#This Row],[HP]:[Win Rate]])</f>
        <v>606.33000000000004</v>
      </c>
      <c r="T10" s="1" t="str">
        <f>IF(characters[[#This Row],[ATK]]&gt;=88, "Attacker", IF(characters[[#This Row],[ATK]]&gt;=75, "Balanced", "Support"))</f>
        <v>Support</v>
      </c>
      <c r="U10" s="4">
        <v>37273</v>
      </c>
      <c r="V10" s="5">
        <f ca="1">(DATEDIF(characters[[#This Row],[Tanggal Lahir]],TODAY(), "Y"))</f>
        <v>24</v>
      </c>
      <c r="W10" s="1" t="str" cm="1">
        <f t="array" ref="W10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  <row r="11" spans="1:23" x14ac:dyDescent="0.3">
      <c r="A11" s="1" t="s">
        <v>54</v>
      </c>
      <c r="B11" s="1" t="s">
        <v>39</v>
      </c>
      <c r="C11" s="1">
        <v>23</v>
      </c>
      <c r="D11" s="1">
        <v>175</v>
      </c>
      <c r="E11" s="1" t="s">
        <v>43</v>
      </c>
      <c r="F11" s="1" t="s">
        <v>36</v>
      </c>
      <c r="G11" s="1" t="s">
        <v>55</v>
      </c>
      <c r="H11" s="1" t="str">
        <f>IF(characters[[#This Row],[Tinggi (cm)]]&gt;=175, "Tinggi", IF(characters[[#This Row],[Tinggi (cm)]]&gt;=168, "Normal", "Pendek"))</f>
        <v>Tinggi</v>
      </c>
      <c r="I11" s="1" t="str">
        <f>characters[[#This Row],[Nama Karakter]] &amp; " [" &amp; B11 &amp; "]"</f>
        <v>Kiran Sol [ESTJ]</v>
      </c>
      <c r="J11" s="1">
        <f>VLOOKUP(characters[[#This Row],[Nama Karakter]],[1]!Stats_Data[#Data],2,FALSE)</f>
        <v>138</v>
      </c>
      <c r="K11" s="1">
        <f>VLOOKUP(characters[[#This Row],[Nama Karakter]],[1]!Stats_Data[#Data],3,FALSE)</f>
        <v>82</v>
      </c>
      <c r="L11" s="1">
        <f>VLOOKUP(characters[[#This Row],[Nama Karakter]],[1]!Stats_Data[#Data],4,FALSE)</f>
        <v>82</v>
      </c>
      <c r="M11" s="1">
        <f>VLOOKUP(characters[[#This Row],[Nama Karakter]],[1]!Stats_Data[#Data],5,FALSE)</f>
        <v>58</v>
      </c>
      <c r="N11" s="2">
        <f>VLOOKUP(characters[[#This Row],[Nama Karakter]],[1]!Stats_Data[#Data],6, FALSE)</f>
        <v>0.3</v>
      </c>
      <c r="O11" s="1">
        <f>VLOOKUP(characters[[#This Row],[Nama Karakter]],[1]!Stats_Data[#Data],7, FALSE)</f>
        <v>350</v>
      </c>
      <c r="P11" s="2">
        <f>VLOOKUP(characters[[#This Row],[Nama Karakter]],[1]!Stats_Data[#Data],8, FALSE)</f>
        <v>0.6</v>
      </c>
      <c r="Q11" s="3">
        <f>characters[[#This Row],[ATK]]*(1+characters[[#This Row],[Crit Rate]])</f>
        <v>106.60000000000001</v>
      </c>
      <c r="R11" s="1" t="str">
        <f>VLOOKUP(characters[[#This Row],[Nama Karakter]],[1]!Stats_Data[#Data],9, FALSE)</f>
        <v>Northern Tundra</v>
      </c>
      <c r="S11" s="1">
        <f>SUM(characters[[#This Row],[HP]:[Win Rate]])</f>
        <v>710.9</v>
      </c>
      <c r="T11" s="1" t="str">
        <f>IF(characters[[#This Row],[ATK]]&gt;=88, "Attacker", IF(characters[[#This Row],[ATK]]&gt;=75, "Balanced", "Support"))</f>
        <v>Balanced</v>
      </c>
      <c r="U11" s="4">
        <v>37377</v>
      </c>
      <c r="V11" s="5">
        <f ca="1">(DATEDIF(characters[[#This Row],[Tanggal Lahir]],TODAY(), "Y"))</f>
        <v>24</v>
      </c>
      <c r="W11" s="1" t="str" cm="1">
        <f t="array" ref="W11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Tanker</v>
      </c>
    </row>
    <row r="12" spans="1:23" x14ac:dyDescent="0.3">
      <c r="A12" s="1" t="s">
        <v>56</v>
      </c>
      <c r="B12" s="1" t="s">
        <v>57</v>
      </c>
      <c r="C12" s="1">
        <v>23</v>
      </c>
      <c r="D12" s="1">
        <v>178</v>
      </c>
      <c r="E12" s="1" t="s">
        <v>43</v>
      </c>
      <c r="F12" s="1" t="s">
        <v>36</v>
      </c>
      <c r="G12" s="1" t="s">
        <v>58</v>
      </c>
      <c r="H12" s="1" t="str">
        <f>IF(characters[[#This Row],[Tinggi (cm)]]&gt;=175, "Tinggi", IF(characters[[#This Row],[Tinggi (cm)]]&gt;=168, "Normal", "Pendek"))</f>
        <v>Tinggi</v>
      </c>
      <c r="I12" s="1" t="str">
        <f>characters[[#This Row],[Nama Karakter]] &amp; " [" &amp; B12 &amp; "]"</f>
        <v>Tobias Rey [ESFJ]</v>
      </c>
      <c r="J12" s="1">
        <f>VLOOKUP(characters[[#This Row],[Nama Karakter]],[1]!Stats_Data[#Data],2,FALSE)</f>
        <v>132</v>
      </c>
      <c r="K12" s="1">
        <f>VLOOKUP(characters[[#This Row],[Nama Karakter]],[1]!Stats_Data[#Data],3,FALSE)</f>
        <v>60</v>
      </c>
      <c r="L12" s="1">
        <f>VLOOKUP(characters[[#This Row],[Nama Karakter]],[1]!Stats_Data[#Data],4,FALSE)</f>
        <v>80</v>
      </c>
      <c r="M12" s="1">
        <f>VLOOKUP(characters[[#This Row],[Nama Karakter]],[1]!Stats_Data[#Data],5,FALSE)</f>
        <v>60</v>
      </c>
      <c r="N12" s="2">
        <f>VLOOKUP(characters[[#This Row],[Nama Karakter]],[1]!Stats_Data[#Data],6, FALSE)</f>
        <v>0.3</v>
      </c>
      <c r="O12" s="1">
        <f>VLOOKUP(characters[[#This Row],[Nama Karakter]],[1]!Stats_Data[#Data],7, FALSE)</f>
        <v>280</v>
      </c>
      <c r="P12" s="2">
        <f>VLOOKUP(characters[[#This Row],[Nama Karakter]],[1]!Stats_Data[#Data],8, FALSE)</f>
        <v>0.57999999999999996</v>
      </c>
      <c r="Q12" s="3">
        <f>characters[[#This Row],[ATK]]*(1+characters[[#This Row],[Crit Rate]])</f>
        <v>78</v>
      </c>
      <c r="R12" s="1" t="str">
        <f>VLOOKUP(characters[[#This Row],[Nama Karakter]],[1]!Stats_Data[#Data],9, FALSE)</f>
        <v>Southern Isles</v>
      </c>
      <c r="S12" s="1">
        <f>SUM(characters[[#This Row],[HP]:[Win Rate]])</f>
        <v>612.88</v>
      </c>
      <c r="T12" s="1" t="str">
        <f>IF(characters[[#This Row],[ATK]]&gt;=88, "Attacker", IF(characters[[#This Row],[ATK]]&gt;=75, "Balanced", "Support"))</f>
        <v>Support</v>
      </c>
      <c r="U12" s="4">
        <v>37414</v>
      </c>
      <c r="V12" s="5">
        <f ca="1">(DATEDIF(characters[[#This Row],[Tanggal Lahir]],TODAY(), "Y"))</f>
        <v>23</v>
      </c>
      <c r="W12" s="1" t="str" cm="1">
        <f t="array" ref="W12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Tanker</v>
      </c>
    </row>
    <row r="13" spans="1:23" x14ac:dyDescent="0.3">
      <c r="A13" s="1" t="s">
        <v>59</v>
      </c>
      <c r="B13" s="1" t="s">
        <v>60</v>
      </c>
      <c r="C13" s="1">
        <v>22</v>
      </c>
      <c r="D13" s="1">
        <v>173</v>
      </c>
      <c r="E13" s="1" t="s">
        <v>25</v>
      </c>
      <c r="F13" s="1" t="s">
        <v>44</v>
      </c>
      <c r="G13" s="1" t="s">
        <v>61</v>
      </c>
      <c r="H13" s="1" t="str">
        <f>IF(characters[[#This Row],[Tinggi (cm)]]&gt;=175, "Tinggi", IF(characters[[#This Row],[Tinggi (cm)]]&gt;=168, "Normal", "Pendek"))</f>
        <v>Normal</v>
      </c>
      <c r="I13" s="1" t="str">
        <f>characters[[#This Row],[Nama Karakter]] &amp; " [" &amp; B13 &amp; "]"</f>
        <v>Hayami Amamiya [ISTP]</v>
      </c>
      <c r="J13" s="1">
        <f>VLOOKUP(characters[[#This Row],[Nama Karakter]],[1]!Stats_Data[#Data],2,FALSE)</f>
        <v>110</v>
      </c>
      <c r="K13" s="1">
        <f>VLOOKUP(characters[[#This Row],[Nama Karakter]],[1]!Stats_Data[#Data],3,FALSE)</f>
        <v>98</v>
      </c>
      <c r="L13" s="1">
        <f>VLOOKUP(characters[[#This Row],[Nama Karakter]],[1]!Stats_Data[#Data],4,FALSE)</f>
        <v>82</v>
      </c>
      <c r="M13" s="1">
        <f>VLOOKUP(characters[[#This Row],[Nama Karakter]],[1]!Stats_Data[#Data],5,FALSE)</f>
        <v>95</v>
      </c>
      <c r="N13" s="2">
        <f>VLOOKUP(characters[[#This Row],[Nama Karakter]],[1]!Stats_Data[#Data],6, FALSE)</f>
        <v>0.43</v>
      </c>
      <c r="O13" s="1">
        <f>VLOOKUP(characters[[#This Row],[Nama Karakter]],[1]!Stats_Data[#Data],7, FALSE)</f>
        <v>340</v>
      </c>
      <c r="P13" s="2">
        <f>VLOOKUP(characters[[#This Row],[Nama Karakter]],[1]!Stats_Data[#Data],8, FALSE)</f>
        <v>0.91</v>
      </c>
      <c r="Q13" s="3">
        <f>characters[[#This Row],[ATK]]*(1+characters[[#This Row],[Crit Rate]])</f>
        <v>140.13999999999999</v>
      </c>
      <c r="R13" s="1" t="str">
        <f>VLOOKUP(characters[[#This Row],[Nama Karakter]],[1]!Stats_Data[#Data],9, FALSE)</f>
        <v>Northern Tundra</v>
      </c>
      <c r="S13" s="1">
        <f>SUM(characters[[#This Row],[HP]:[Win Rate]])</f>
        <v>726.34</v>
      </c>
      <c r="T13" s="1" t="str">
        <f>IF(characters[[#This Row],[ATK]]&gt;=88, "Attacker", IF(characters[[#This Row],[ATK]]&gt;=75, "Balanced", "Support"))</f>
        <v>Attacker</v>
      </c>
      <c r="U13" s="4">
        <v>37668</v>
      </c>
      <c r="V13" s="5">
        <f ca="1">(DATEDIF(characters[[#This Row],[Tanggal Lahir]],TODAY(), "Y"))</f>
        <v>23</v>
      </c>
      <c r="W13" s="1" t="str" cm="1">
        <f t="array" ref="W13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14" spans="1:23" x14ac:dyDescent="0.3">
      <c r="A14" s="1" t="s">
        <v>62</v>
      </c>
      <c r="B14" s="1" t="s">
        <v>63</v>
      </c>
      <c r="C14" s="1">
        <v>22</v>
      </c>
      <c r="D14" s="1">
        <v>165</v>
      </c>
      <c r="E14" s="1" t="s">
        <v>25</v>
      </c>
      <c r="F14" s="1" t="s">
        <v>44</v>
      </c>
      <c r="G14" s="1" t="s">
        <v>64</v>
      </c>
      <c r="H14" s="1" t="str">
        <f>IF(characters[[#This Row],[Tinggi (cm)]]&gt;=175, "Tinggi", IF(characters[[#This Row],[Tinggi (cm)]]&gt;=168, "Normal", "Pendek"))</f>
        <v>Pendek</v>
      </c>
      <c r="I14" s="1" t="str">
        <f>characters[[#This Row],[Nama Karakter]] &amp; " [" &amp; B14 &amp; "]"</f>
        <v>Shiina Ishioka [ISFP]</v>
      </c>
      <c r="J14" s="1">
        <f>VLOOKUP(characters[[#This Row],[Nama Karakter]],[1]!Stats_Data[#Data],2,FALSE)</f>
        <v>105</v>
      </c>
      <c r="K14" s="1">
        <f>VLOOKUP(characters[[#This Row],[Nama Karakter]],[1]!Stats_Data[#Data],3,FALSE)</f>
        <v>80</v>
      </c>
      <c r="L14" s="1">
        <f>VLOOKUP(characters[[#This Row],[Nama Karakter]],[1]!Stats_Data[#Data],4,FALSE)</f>
        <v>50</v>
      </c>
      <c r="M14" s="1">
        <f>VLOOKUP(characters[[#This Row],[Nama Karakter]],[1]!Stats_Data[#Data],5,FALSE)</f>
        <v>90</v>
      </c>
      <c r="N14" s="2">
        <f>VLOOKUP(characters[[#This Row],[Nama Karakter]],[1]!Stats_Data[#Data],6, FALSE)</f>
        <v>0.42</v>
      </c>
      <c r="O14" s="1">
        <f>VLOOKUP(characters[[#This Row],[Nama Karakter]],[1]!Stats_Data[#Data],7, FALSE)</f>
        <v>330</v>
      </c>
      <c r="P14" s="2">
        <f>VLOOKUP(characters[[#This Row],[Nama Karakter]],[1]!Stats_Data[#Data],8, FALSE)</f>
        <v>0.5</v>
      </c>
      <c r="Q14" s="3">
        <f>characters[[#This Row],[ATK]]*(1+characters[[#This Row],[Crit Rate]])</f>
        <v>113.6</v>
      </c>
      <c r="R14" s="1" t="str">
        <f>VLOOKUP(characters[[#This Row],[Nama Karakter]],[1]!Stats_Data[#Data],9, FALSE)</f>
        <v>Southern Isles</v>
      </c>
      <c r="S14" s="1">
        <f>SUM(characters[[#This Row],[HP]:[Win Rate]])</f>
        <v>655.92000000000007</v>
      </c>
      <c r="T14" s="1" t="str">
        <f>IF(characters[[#This Row],[ATK]]&gt;=88, "Attacker", IF(characters[[#This Row],[ATK]]&gt;=75, "Balanced", "Support"))</f>
        <v>Balanced</v>
      </c>
      <c r="U14" s="4">
        <v>37710</v>
      </c>
      <c r="V14" s="5">
        <f ca="1">(DATEDIF(characters[[#This Row],[Tanggal Lahir]],TODAY(), "Y"))</f>
        <v>23</v>
      </c>
      <c r="W14" s="1" t="str" cm="1">
        <f t="array" ref="W14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Elite Spy</v>
      </c>
    </row>
    <row r="15" spans="1:23" x14ac:dyDescent="0.3">
      <c r="A15" s="1" t="s">
        <v>65</v>
      </c>
      <c r="B15" s="1" t="s">
        <v>66</v>
      </c>
      <c r="C15" s="1">
        <v>22</v>
      </c>
      <c r="D15" s="1">
        <v>168</v>
      </c>
      <c r="E15" s="1" t="s">
        <v>25</v>
      </c>
      <c r="F15" s="1" t="s">
        <v>36</v>
      </c>
      <c r="G15" s="1" t="s">
        <v>67</v>
      </c>
      <c r="H15" s="1" t="str">
        <f>IF(characters[[#This Row],[Tinggi (cm)]]&gt;=175, "Tinggi", IF(characters[[#This Row],[Tinggi (cm)]]&gt;=168, "Normal", "Pendek"))</f>
        <v>Normal</v>
      </c>
      <c r="I15" s="1" t="str">
        <f>characters[[#This Row],[Nama Karakter]] &amp; " [" &amp; B15 &amp; "]"</f>
        <v>Mayumi Sasaki [ISFJ]</v>
      </c>
      <c r="J15" s="1">
        <f>VLOOKUP(characters[[#This Row],[Nama Karakter]],[1]!Stats_Data[#Data],2,FALSE)</f>
        <v>150</v>
      </c>
      <c r="K15" s="1">
        <f>VLOOKUP(characters[[#This Row],[Nama Karakter]],[1]!Stats_Data[#Data],3,FALSE)</f>
        <v>55</v>
      </c>
      <c r="L15" s="1">
        <f>VLOOKUP(characters[[#This Row],[Nama Karakter]],[1]!Stats_Data[#Data],4,FALSE)</f>
        <v>95</v>
      </c>
      <c r="M15" s="1">
        <f>VLOOKUP(characters[[#This Row],[Nama Karakter]],[1]!Stats_Data[#Data],5,FALSE)</f>
        <v>45</v>
      </c>
      <c r="N15" s="2">
        <f>VLOOKUP(characters[[#This Row],[Nama Karakter]],[1]!Stats_Data[#Data],6, FALSE)</f>
        <v>0.68</v>
      </c>
      <c r="O15" s="1">
        <f>VLOOKUP(characters[[#This Row],[Nama Karakter]],[1]!Stats_Data[#Data],7, FALSE)</f>
        <v>140</v>
      </c>
      <c r="P15" s="2">
        <f>VLOOKUP(characters[[#This Row],[Nama Karakter]],[1]!Stats_Data[#Data],8, FALSE)</f>
        <v>0.64</v>
      </c>
      <c r="Q15" s="3">
        <f>characters[[#This Row],[ATK]]*(1+characters[[#This Row],[Crit Rate]])</f>
        <v>92.4</v>
      </c>
      <c r="R15" s="1" t="str">
        <f>VLOOKUP(characters[[#This Row],[Nama Karakter]],[1]!Stats_Data[#Data],9, FALSE)</f>
        <v>Western Citadel</v>
      </c>
      <c r="S15" s="1">
        <f>SUM(characters[[#This Row],[HP]:[Win Rate]])</f>
        <v>486.32</v>
      </c>
      <c r="T15" s="1" t="str">
        <f>IF(characters[[#This Row],[ATK]]&gt;=88, "Attacker", IF(characters[[#This Row],[ATK]]&gt;=75, "Balanced", "Support"))</f>
        <v>Support</v>
      </c>
      <c r="U15" s="4">
        <v>37686</v>
      </c>
      <c r="V15" s="5">
        <f ca="1">(DATEDIF(characters[[#This Row],[Tanggal Lahir]],TODAY(), "Y"))</f>
        <v>23</v>
      </c>
      <c r="W15" s="1" t="str" cm="1">
        <f t="array" ref="W15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Tanker</v>
      </c>
    </row>
    <row r="16" spans="1:23" x14ac:dyDescent="0.3">
      <c r="A16" s="1" t="s">
        <v>68</v>
      </c>
      <c r="B16" s="1" t="s">
        <v>57</v>
      </c>
      <c r="C16" s="1">
        <v>22</v>
      </c>
      <c r="D16" s="1">
        <v>167</v>
      </c>
      <c r="E16" s="1" t="s">
        <v>25</v>
      </c>
      <c r="F16" s="1" t="s">
        <v>36</v>
      </c>
      <c r="G16" s="1" t="s">
        <v>69</v>
      </c>
      <c r="H16" s="1" t="str">
        <f>IF(characters[[#This Row],[Tinggi (cm)]]&gt;=175, "Tinggi", IF(characters[[#This Row],[Tinggi (cm)]]&gt;=168, "Normal", "Pendek"))</f>
        <v>Pendek</v>
      </c>
      <c r="I16" s="1" t="str">
        <f>characters[[#This Row],[Nama Karakter]] &amp; " [" &amp; B16 &amp; "]"</f>
        <v>Lily Raven [ESFJ]</v>
      </c>
      <c r="J16" s="1">
        <f>VLOOKUP(characters[[#This Row],[Nama Karakter]],[1]!Stats_Data[#Data],2,FALSE)</f>
        <v>120</v>
      </c>
      <c r="K16" s="1">
        <f>VLOOKUP(characters[[#This Row],[Nama Karakter]],[1]!Stats_Data[#Data],3,FALSE)</f>
        <v>78</v>
      </c>
      <c r="L16" s="1">
        <f>VLOOKUP(characters[[#This Row],[Nama Karakter]],[1]!Stats_Data[#Data],4,FALSE)</f>
        <v>70</v>
      </c>
      <c r="M16" s="1">
        <f>VLOOKUP(characters[[#This Row],[Nama Karakter]],[1]!Stats_Data[#Data],5,FALSE)</f>
        <v>75</v>
      </c>
      <c r="N16" s="2">
        <f>VLOOKUP(characters[[#This Row],[Nama Karakter]],[1]!Stats_Data[#Data],6, FALSE)</f>
        <v>0.25</v>
      </c>
      <c r="O16" s="1">
        <f>VLOOKUP(characters[[#This Row],[Nama Karakter]],[1]!Stats_Data[#Data],7, FALSE)</f>
        <v>280</v>
      </c>
      <c r="P16" s="2">
        <f>VLOOKUP(characters[[#This Row],[Nama Karakter]],[1]!Stats_Data[#Data],8, FALSE)</f>
        <v>0.52</v>
      </c>
      <c r="Q16" s="3">
        <f>characters[[#This Row],[ATK]]*(1+characters[[#This Row],[Crit Rate]])</f>
        <v>97.5</v>
      </c>
      <c r="R16" s="1" t="str">
        <f>VLOOKUP(characters[[#This Row],[Nama Karakter]],[1]!Stats_Data[#Data],9, FALSE)</f>
        <v>Western Citadel</v>
      </c>
      <c r="S16" s="1">
        <f>SUM(characters[[#This Row],[HP]:[Win Rate]])</f>
        <v>623.77</v>
      </c>
      <c r="T16" s="1" t="str">
        <f>IF(characters[[#This Row],[ATK]]&gt;=88, "Attacker", IF(characters[[#This Row],[ATK]]&gt;=75, "Balanced", "Support"))</f>
        <v>Balanced</v>
      </c>
      <c r="U16" s="4">
        <v>37866</v>
      </c>
      <c r="V16" s="5">
        <f ca="1">(DATEDIF(characters[[#This Row],[Tanggal Lahir]],TODAY(), "Y"))</f>
        <v>22</v>
      </c>
      <c r="W16" s="1" t="str" cm="1">
        <f t="array" ref="W16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  <row r="17" spans="1:23" x14ac:dyDescent="0.3">
      <c r="A17" s="1" t="s">
        <v>70</v>
      </c>
      <c r="B17" s="1" t="s">
        <v>71</v>
      </c>
      <c r="C17" s="1">
        <v>22</v>
      </c>
      <c r="D17" s="1">
        <v>169</v>
      </c>
      <c r="E17" s="1" t="s">
        <v>25</v>
      </c>
      <c r="F17" s="1" t="s">
        <v>52</v>
      </c>
      <c r="G17" s="1" t="s">
        <v>72</v>
      </c>
      <c r="H17" s="1" t="str">
        <f>IF(characters[[#This Row],[Tinggi (cm)]]&gt;=175, "Tinggi", IF(characters[[#This Row],[Tinggi (cm)]]&gt;=168, "Normal", "Pendek"))</f>
        <v>Normal</v>
      </c>
      <c r="I17" s="1" t="str">
        <f>characters[[#This Row],[Nama Karakter]] &amp; " [" &amp; B17 &amp; "]"</f>
        <v>Himiko Nakayama [ENFJ]</v>
      </c>
      <c r="J17" s="1">
        <f>VLOOKUP(characters[[#This Row],[Nama Karakter]],[1]!Stats_Data[#Data],2,FALSE)</f>
        <v>125</v>
      </c>
      <c r="K17" s="1">
        <f>VLOOKUP(characters[[#This Row],[Nama Karakter]],[1]!Stats_Data[#Data],3,FALSE)</f>
        <v>72</v>
      </c>
      <c r="L17" s="1">
        <f>VLOOKUP(characters[[#This Row],[Nama Karakter]],[1]!Stats_Data[#Data],4,FALSE)</f>
        <v>75</v>
      </c>
      <c r="M17" s="1">
        <f>VLOOKUP(characters[[#This Row],[Nama Karakter]],[1]!Stats_Data[#Data],5,FALSE)</f>
        <v>70</v>
      </c>
      <c r="N17" s="2">
        <f>VLOOKUP(characters[[#This Row],[Nama Karakter]],[1]!Stats_Data[#Data],6, FALSE)</f>
        <v>0.4</v>
      </c>
      <c r="O17" s="1">
        <f>VLOOKUP(characters[[#This Row],[Nama Karakter]],[1]!Stats_Data[#Data],7, FALSE)</f>
        <v>150</v>
      </c>
      <c r="P17" s="2">
        <f>VLOOKUP(characters[[#This Row],[Nama Karakter]],[1]!Stats_Data[#Data],8, FALSE)</f>
        <v>0.66</v>
      </c>
      <c r="Q17" s="3">
        <f>characters[[#This Row],[ATK]]*(1+characters[[#This Row],[Crit Rate]])</f>
        <v>100.8</v>
      </c>
      <c r="R17" s="1" t="str">
        <f>VLOOKUP(characters[[#This Row],[Nama Karakter]],[1]!Stats_Data[#Data],9, FALSE)</f>
        <v>Western Citadel</v>
      </c>
      <c r="S17" s="1">
        <f>SUM(characters[[#This Row],[HP]:[Win Rate]])</f>
        <v>493.06</v>
      </c>
      <c r="T17" s="1" t="str">
        <f>IF(characters[[#This Row],[ATK]]&gt;=88, "Attacker", IF(characters[[#This Row],[ATK]]&gt;=75, "Balanced", "Support"))</f>
        <v>Support</v>
      </c>
      <c r="U17" s="4">
        <v>37732</v>
      </c>
      <c r="V17" s="5">
        <f ca="1">(DATEDIF(characters[[#This Row],[Tanggal Lahir]],TODAY(), "Y"))</f>
        <v>23</v>
      </c>
      <c r="W17" s="1" t="str" cm="1">
        <f t="array" ref="W17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  <row r="18" spans="1:23" x14ac:dyDescent="0.3">
      <c r="A18" s="1" t="s">
        <v>73</v>
      </c>
      <c r="B18" s="1" t="s">
        <v>74</v>
      </c>
      <c r="C18" s="1">
        <v>22</v>
      </c>
      <c r="D18" s="1">
        <v>165</v>
      </c>
      <c r="E18" s="1" t="s">
        <v>25</v>
      </c>
      <c r="F18" s="1" t="s">
        <v>52</v>
      </c>
      <c r="G18" s="1" t="s">
        <v>75</v>
      </c>
      <c r="H18" s="1" t="str">
        <f>IF(characters[[#This Row],[Tinggi (cm)]]&gt;=175, "Tinggi", IF(characters[[#This Row],[Tinggi (cm)]]&gt;=168, "Normal", "Pendek"))</f>
        <v>Pendek</v>
      </c>
      <c r="I18" s="1" t="str">
        <f>characters[[#This Row],[Nama Karakter]] &amp; " [" &amp; B18 &amp; "]"</f>
        <v>Katie Olson [INFP]</v>
      </c>
      <c r="J18" s="1">
        <f>VLOOKUP(characters[[#This Row],[Nama Karakter]],[1]!Stats_Data[#Data],2,FALSE)</f>
        <v>105</v>
      </c>
      <c r="K18" s="1">
        <f>VLOOKUP(characters[[#This Row],[Nama Karakter]],[1]!Stats_Data[#Data],3,FALSE)</f>
        <v>88</v>
      </c>
      <c r="L18" s="1">
        <f>VLOOKUP(characters[[#This Row],[Nama Karakter]],[1]!Stats_Data[#Data],4,FALSE)</f>
        <v>55</v>
      </c>
      <c r="M18" s="1">
        <f>VLOOKUP(characters[[#This Row],[Nama Karakter]],[1]!Stats_Data[#Data],5,FALSE)</f>
        <v>75</v>
      </c>
      <c r="N18" s="2">
        <f>VLOOKUP(characters[[#This Row],[Nama Karakter]],[1]!Stats_Data[#Data],6, FALSE)</f>
        <v>0.55000000000000004</v>
      </c>
      <c r="O18" s="1">
        <f>VLOOKUP(characters[[#This Row],[Nama Karakter]],[1]!Stats_Data[#Data],7, FALSE)</f>
        <v>160</v>
      </c>
      <c r="P18" s="2">
        <f>VLOOKUP(characters[[#This Row],[Nama Karakter]],[1]!Stats_Data[#Data],8, FALSE)</f>
        <v>0.57999999999999996</v>
      </c>
      <c r="Q18" s="3">
        <f>characters[[#This Row],[ATK]]*(1+characters[[#This Row],[Crit Rate]])</f>
        <v>136.4</v>
      </c>
      <c r="R18" s="1" t="str">
        <f>VLOOKUP(characters[[#This Row],[Nama Karakter]],[1]!Stats_Data[#Data],9, FALSE)</f>
        <v>Southern Isles</v>
      </c>
      <c r="S18" s="1">
        <f>SUM(characters[[#This Row],[HP]:[Win Rate]])</f>
        <v>484.13</v>
      </c>
      <c r="T18" s="1" t="str">
        <f>IF(characters[[#This Row],[ATK]]&gt;=88, "Attacker", IF(characters[[#This Row],[ATK]]&gt;=75, "Balanced", "Support"))</f>
        <v>Attacker</v>
      </c>
      <c r="U18" s="4">
        <v>37692</v>
      </c>
      <c r="V18" s="5">
        <f ca="1">(DATEDIF(characters[[#This Row],[Tanggal Lahir]],TODAY(), "Y"))</f>
        <v>23</v>
      </c>
      <c r="W18" s="1" t="str" cm="1">
        <f t="array" ref="W18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19" spans="1:23" x14ac:dyDescent="0.3">
      <c r="A19" s="1" t="s">
        <v>76</v>
      </c>
      <c r="B19" s="1" t="s">
        <v>60</v>
      </c>
      <c r="C19" s="1">
        <v>22</v>
      </c>
      <c r="D19" s="1">
        <v>184</v>
      </c>
      <c r="E19" s="1" t="s">
        <v>43</v>
      </c>
      <c r="F19" s="1" t="s">
        <v>44</v>
      </c>
      <c r="G19" s="1" t="s">
        <v>77</v>
      </c>
      <c r="H19" s="1" t="str">
        <f>IF(characters[[#This Row],[Tinggi (cm)]]&gt;=175, "Tinggi", IF(characters[[#This Row],[Tinggi (cm)]]&gt;=168, "Normal", "Pendek"))</f>
        <v>Tinggi</v>
      </c>
      <c r="I19" s="1" t="str">
        <f>characters[[#This Row],[Nama Karakter]] &amp; " [" &amp; B19 &amp; "]"</f>
        <v>Aldric Crane [ISTP]</v>
      </c>
      <c r="J19" s="1">
        <f>VLOOKUP(characters[[#This Row],[Nama Karakter]],[1]!Stats_Data[#Data],2,FALSE)</f>
        <v>130</v>
      </c>
      <c r="K19" s="1">
        <f>VLOOKUP(characters[[#This Row],[Nama Karakter]],[1]!Stats_Data[#Data],3,FALSE)</f>
        <v>95</v>
      </c>
      <c r="L19" s="1">
        <f>VLOOKUP(characters[[#This Row],[Nama Karakter]],[1]!Stats_Data[#Data],4,FALSE)</f>
        <v>85</v>
      </c>
      <c r="M19" s="1">
        <f>VLOOKUP(characters[[#This Row],[Nama Karakter]],[1]!Stats_Data[#Data],5,FALSE)</f>
        <v>87</v>
      </c>
      <c r="N19" s="2">
        <f>VLOOKUP(characters[[#This Row],[Nama Karakter]],[1]!Stats_Data[#Data],6, FALSE)</f>
        <v>0.75</v>
      </c>
      <c r="O19" s="1">
        <f>VLOOKUP(characters[[#This Row],[Nama Karakter]],[1]!Stats_Data[#Data],7, FALSE)</f>
        <v>350</v>
      </c>
      <c r="P19" s="2">
        <f>VLOOKUP(characters[[#This Row],[Nama Karakter]],[1]!Stats_Data[#Data],8, FALSE)</f>
        <v>0.62</v>
      </c>
      <c r="Q19" s="3">
        <f>characters[[#This Row],[ATK]]*(1+characters[[#This Row],[Crit Rate]])</f>
        <v>166.25</v>
      </c>
      <c r="R19" s="1" t="str">
        <f>VLOOKUP(characters[[#This Row],[Nama Karakter]],[1]!Stats_Data[#Data],9, FALSE)</f>
        <v>Northern Tundra</v>
      </c>
      <c r="S19" s="1">
        <f>SUM(characters[[#This Row],[HP]:[Win Rate]])</f>
        <v>748.37</v>
      </c>
      <c r="T19" s="1" t="str">
        <f>IF(characters[[#This Row],[ATK]]&gt;=88, "Attacker", IF(characters[[#This Row],[ATK]]&gt;=75, "Balanced", "Support"))</f>
        <v>Attacker</v>
      </c>
      <c r="U19" s="4">
        <v>37854</v>
      </c>
      <c r="V19" s="5">
        <f ca="1">(DATEDIF(characters[[#This Row],[Tanggal Lahir]],TODAY(), "Y"))</f>
        <v>22</v>
      </c>
      <c r="W19" s="1" t="str" cm="1">
        <f t="array" ref="W19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20" spans="1:23" x14ac:dyDescent="0.3">
      <c r="A20" s="1" t="s">
        <v>78</v>
      </c>
      <c r="B20" s="1" t="s">
        <v>24</v>
      </c>
      <c r="C20" s="1">
        <v>22</v>
      </c>
      <c r="D20" s="1">
        <v>173</v>
      </c>
      <c r="E20" s="1" t="s">
        <v>43</v>
      </c>
      <c r="F20" s="1" t="s">
        <v>26</v>
      </c>
      <c r="G20" s="1" t="s">
        <v>79</v>
      </c>
      <c r="H20" s="1" t="str">
        <f>IF(characters[[#This Row],[Tinggi (cm)]]&gt;=175, "Tinggi", IF(characters[[#This Row],[Tinggi (cm)]]&gt;=168, "Normal", "Pendek"))</f>
        <v>Normal</v>
      </c>
      <c r="I20" s="1" t="str">
        <f>characters[[#This Row],[Nama Karakter]] &amp; " [" &amp; B20 &amp; "]"</f>
        <v>Sylvaine Morrel [INTP]</v>
      </c>
      <c r="J20" s="1">
        <f>VLOOKUP(characters[[#This Row],[Nama Karakter]],[1]!Stats_Data[#Data],2,FALSE)</f>
        <v>112</v>
      </c>
      <c r="K20" s="1">
        <f>VLOOKUP(characters[[#This Row],[Nama Karakter]],[1]!Stats_Data[#Data],3,FALSE)</f>
        <v>92</v>
      </c>
      <c r="L20" s="1">
        <f>VLOOKUP(characters[[#This Row],[Nama Karakter]],[1]!Stats_Data[#Data],4,FALSE)</f>
        <v>58</v>
      </c>
      <c r="M20" s="1">
        <f>VLOOKUP(characters[[#This Row],[Nama Karakter]],[1]!Stats_Data[#Data],5,FALSE)</f>
        <v>68</v>
      </c>
      <c r="N20" s="2">
        <f>VLOOKUP(characters[[#This Row],[Nama Karakter]],[1]!Stats_Data[#Data],6, FALSE)</f>
        <v>0.5</v>
      </c>
      <c r="O20" s="1">
        <f>VLOOKUP(characters[[#This Row],[Nama Karakter]],[1]!Stats_Data[#Data],7, FALSE)</f>
        <v>210</v>
      </c>
      <c r="P20" s="2">
        <f>VLOOKUP(characters[[#This Row],[Nama Karakter]],[1]!Stats_Data[#Data],8, FALSE)</f>
        <v>0.63</v>
      </c>
      <c r="Q20" s="3">
        <f>characters[[#This Row],[ATK]]*(1+characters[[#This Row],[Crit Rate]])</f>
        <v>138</v>
      </c>
      <c r="R20" s="1" t="str">
        <f>VLOOKUP(characters[[#This Row],[Nama Karakter]],[1]!Stats_Data[#Data],9, FALSE)</f>
        <v>Eastern Sunrise</v>
      </c>
      <c r="S20" s="1">
        <f>SUM(characters[[#This Row],[HP]:[Win Rate]])</f>
        <v>541.13</v>
      </c>
      <c r="T20" s="1" t="str">
        <f>IF(characters[[#This Row],[ATK]]&gt;=88, "Attacker", IF(characters[[#This Row],[ATK]]&gt;=75, "Balanced", "Support"))</f>
        <v>Attacker</v>
      </c>
      <c r="U20" s="4">
        <v>37650</v>
      </c>
      <c r="V20" s="5">
        <f ca="1">(DATEDIF(characters[[#This Row],[Tanggal Lahir]],TODAY(), "Y"))</f>
        <v>23</v>
      </c>
      <c r="W20" s="1" t="str" cm="1">
        <f t="array" ref="W20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Squad Inti</v>
      </c>
    </row>
    <row r="21" spans="1:23" x14ac:dyDescent="0.3">
      <c r="A21" s="1" t="s">
        <v>80</v>
      </c>
      <c r="B21" s="1" t="s">
        <v>71</v>
      </c>
      <c r="C21" s="1">
        <v>22</v>
      </c>
      <c r="D21" s="1">
        <v>181</v>
      </c>
      <c r="E21" s="1" t="s">
        <v>43</v>
      </c>
      <c r="F21" s="1" t="s">
        <v>52</v>
      </c>
      <c r="G21" s="1" t="s">
        <v>81</v>
      </c>
      <c r="H21" s="1" t="str">
        <f>IF(characters[[#This Row],[Tinggi (cm)]]&gt;=175, "Tinggi", IF(characters[[#This Row],[Tinggi (cm)]]&gt;=168, "Normal", "Pendek"))</f>
        <v>Tinggi</v>
      </c>
      <c r="I21" s="1" t="str">
        <f>characters[[#This Row],[Nama Karakter]] &amp; " [" &amp; B21 &amp; "]"</f>
        <v>Rhen Caen [ENFJ]</v>
      </c>
      <c r="J21" s="1">
        <f>VLOOKUP(characters[[#This Row],[Nama Karakter]],[1]!Stats_Data[#Data],2,FALSE)</f>
        <v>140</v>
      </c>
      <c r="K21" s="1">
        <f>VLOOKUP(characters[[#This Row],[Nama Karakter]],[1]!Stats_Data[#Data],3,FALSE)</f>
        <v>65</v>
      </c>
      <c r="L21" s="1">
        <f>VLOOKUP(characters[[#This Row],[Nama Karakter]],[1]!Stats_Data[#Data],4,FALSE)</f>
        <v>85</v>
      </c>
      <c r="M21" s="1">
        <f>VLOOKUP(characters[[#This Row],[Nama Karakter]],[1]!Stats_Data[#Data],5,FALSE)</f>
        <v>55</v>
      </c>
      <c r="N21" s="2">
        <f>VLOOKUP(characters[[#This Row],[Nama Karakter]],[1]!Stats_Data[#Data],6, FALSE)</f>
        <v>0.55000000000000004</v>
      </c>
      <c r="O21" s="1">
        <f>VLOOKUP(characters[[#This Row],[Nama Karakter]],[1]!Stats_Data[#Data],7, FALSE)</f>
        <v>240</v>
      </c>
      <c r="P21" s="2">
        <f>VLOOKUP(characters[[#This Row],[Nama Karakter]],[1]!Stats_Data[#Data],8, FALSE)</f>
        <v>0.72</v>
      </c>
      <c r="Q21" s="3">
        <f>characters[[#This Row],[ATK]]*(1+characters[[#This Row],[Crit Rate]])</f>
        <v>100.75</v>
      </c>
      <c r="R21" s="1" t="str">
        <f>VLOOKUP(characters[[#This Row],[Nama Karakter]],[1]!Stats_Data[#Data],9, FALSE)</f>
        <v>Western Citadel</v>
      </c>
      <c r="S21" s="1">
        <f>SUM(characters[[#This Row],[HP]:[Win Rate]])</f>
        <v>586.27</v>
      </c>
      <c r="T21" s="1" t="str">
        <f>IF(characters[[#This Row],[ATK]]&gt;=88, "Attacker", IF(characters[[#This Row],[ATK]]&gt;=75, "Balanced", "Support"))</f>
        <v>Support</v>
      </c>
      <c r="U21" s="4">
        <v>37757</v>
      </c>
      <c r="V21" s="5">
        <f ca="1">(DATEDIF(characters[[#This Row],[Tanggal Lahir]],TODAY(), "Y"))</f>
        <v>23</v>
      </c>
      <c r="W21" s="1" t="str" cm="1">
        <f t="array" ref="W21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Tanker</v>
      </c>
    </row>
    <row r="22" spans="1:23" x14ac:dyDescent="0.3">
      <c r="A22" s="1" t="s">
        <v>82</v>
      </c>
      <c r="B22" s="1" t="s">
        <v>35</v>
      </c>
      <c r="C22" s="1">
        <v>22</v>
      </c>
      <c r="D22" s="1">
        <v>179</v>
      </c>
      <c r="E22" s="1" t="s">
        <v>43</v>
      </c>
      <c r="F22" s="1" t="s">
        <v>36</v>
      </c>
      <c r="G22" s="1" t="s">
        <v>83</v>
      </c>
      <c r="H22" s="1" t="str">
        <f>IF(characters[[#This Row],[Tinggi (cm)]]&gt;=175, "Tinggi", IF(characters[[#This Row],[Tinggi (cm)]]&gt;=168, "Normal", "Pendek"))</f>
        <v>Tinggi</v>
      </c>
      <c r="I22" s="1" t="str">
        <f>characters[[#This Row],[Nama Karakter]] &amp; " [" &amp; B22 &amp; "]"</f>
        <v>Dorian Penn [ISTJ]</v>
      </c>
      <c r="J22" s="1">
        <f>VLOOKUP(characters[[#This Row],[Nama Karakter]],[1]!Stats_Data[#Data],2,FALSE)</f>
        <v>128</v>
      </c>
      <c r="K22" s="1">
        <f>VLOOKUP(characters[[#This Row],[Nama Karakter]],[1]!Stats_Data[#Data],3,FALSE)</f>
        <v>80</v>
      </c>
      <c r="L22" s="1">
        <f>VLOOKUP(characters[[#This Row],[Nama Karakter]],[1]!Stats_Data[#Data],4,FALSE)</f>
        <v>78</v>
      </c>
      <c r="M22" s="1">
        <f>VLOOKUP(characters[[#This Row],[Nama Karakter]],[1]!Stats_Data[#Data],5,FALSE)</f>
        <v>64</v>
      </c>
      <c r="N22" s="2">
        <f>VLOOKUP(characters[[#This Row],[Nama Karakter]],[1]!Stats_Data[#Data],6, FALSE)</f>
        <v>0.9</v>
      </c>
      <c r="O22" s="1">
        <f>VLOOKUP(characters[[#This Row],[Nama Karakter]],[1]!Stats_Data[#Data],7, FALSE)</f>
        <v>90</v>
      </c>
      <c r="P22" s="2">
        <f>VLOOKUP(characters[[#This Row],[Nama Karakter]],[1]!Stats_Data[#Data],8, FALSE)</f>
        <v>0.81</v>
      </c>
      <c r="Q22" s="3">
        <f>characters[[#This Row],[ATK]]*(1+characters[[#This Row],[Crit Rate]])</f>
        <v>152</v>
      </c>
      <c r="R22" s="1" t="str">
        <f>VLOOKUP(characters[[#This Row],[Nama Karakter]],[1]!Stats_Data[#Data],9, FALSE)</f>
        <v>Eastern Sunrise</v>
      </c>
      <c r="S22" s="1">
        <f>SUM(characters[[#This Row],[HP]:[Win Rate]])</f>
        <v>441.71</v>
      </c>
      <c r="T22" s="1" t="str">
        <f>IF(characters[[#This Row],[ATK]]&gt;=88, "Attacker", IF(characters[[#This Row],[ATK]]&gt;=75, "Balanced", "Support"))</f>
        <v>Balanced</v>
      </c>
      <c r="U22" s="4">
        <v>37684</v>
      </c>
      <c r="V22" s="5">
        <f ca="1">(DATEDIF(characters[[#This Row],[Tanggal Lahir]],TODAY(), "Y"))</f>
        <v>23</v>
      </c>
      <c r="W22" s="1" t="str" cm="1">
        <f t="array" ref="W22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  <row r="23" spans="1:23" x14ac:dyDescent="0.3">
      <c r="A23" s="1" t="s">
        <v>84</v>
      </c>
      <c r="B23" s="1" t="s">
        <v>85</v>
      </c>
      <c r="C23" s="1">
        <v>21</v>
      </c>
      <c r="D23" s="1">
        <v>168</v>
      </c>
      <c r="E23" s="1" t="s">
        <v>25</v>
      </c>
      <c r="F23" s="1" t="s">
        <v>26</v>
      </c>
      <c r="G23" s="1" t="s">
        <v>86</v>
      </c>
      <c r="H23" s="1" t="str">
        <f>IF(characters[[#This Row],[Tinggi (cm)]]&gt;=175, "Tinggi", IF(characters[[#This Row],[Tinggi (cm)]]&gt;=168, "Normal", "Pendek"))</f>
        <v>Normal</v>
      </c>
      <c r="I23" s="1" t="str">
        <f>characters[[#This Row],[Nama Karakter]] &amp; " [" &amp; B23 &amp; "]"</f>
        <v>Mica Dwyer [ENTP]</v>
      </c>
      <c r="J23" s="1">
        <f>VLOOKUP(characters[[#This Row],[Nama Karakter]],[1]!Stats_Data[#Data],2,FALSE)</f>
        <v>115</v>
      </c>
      <c r="K23" s="1">
        <f>VLOOKUP(characters[[#This Row],[Nama Karakter]],[1]!Stats_Data[#Data],3,FALSE)</f>
        <v>75</v>
      </c>
      <c r="L23" s="1">
        <f>VLOOKUP(characters[[#This Row],[Nama Karakter]],[1]!Stats_Data[#Data],4,FALSE)</f>
        <v>70</v>
      </c>
      <c r="M23" s="1">
        <f>VLOOKUP(characters[[#This Row],[Nama Karakter]],[1]!Stats_Data[#Data],5,FALSE)</f>
        <v>85</v>
      </c>
      <c r="N23" s="2">
        <f>VLOOKUP(characters[[#This Row],[Nama Karakter]],[1]!Stats_Data[#Data],6, FALSE)</f>
        <v>0.4</v>
      </c>
      <c r="O23" s="1">
        <f>VLOOKUP(characters[[#This Row],[Nama Karakter]],[1]!Stats_Data[#Data],7, FALSE)</f>
        <v>260</v>
      </c>
      <c r="P23" s="2">
        <f>VLOOKUP(characters[[#This Row],[Nama Karakter]],[1]!Stats_Data[#Data],8, FALSE)</f>
        <v>0.75</v>
      </c>
      <c r="Q23" s="3">
        <f>characters[[#This Row],[ATK]]*(1+characters[[#This Row],[Crit Rate]])</f>
        <v>105</v>
      </c>
      <c r="R23" s="1" t="str">
        <f>VLOOKUP(characters[[#This Row],[Nama Karakter]],[1]!Stats_Data[#Data],9, FALSE)</f>
        <v>Eastern Sunrise</v>
      </c>
      <c r="S23" s="1">
        <f>SUM(characters[[#This Row],[HP]:[Win Rate]])</f>
        <v>606.15</v>
      </c>
      <c r="T23" s="1" t="str">
        <f>IF(characters[[#This Row],[ATK]]&gt;=88, "Attacker", IF(characters[[#This Row],[ATK]]&gt;=75, "Balanced", "Support"))</f>
        <v>Balanced</v>
      </c>
      <c r="U23" s="4">
        <v>38149</v>
      </c>
      <c r="V23" s="5">
        <f ca="1">(DATEDIF(characters[[#This Row],[Tanggal Lahir]],TODAY(), "Y"))</f>
        <v>21</v>
      </c>
      <c r="W23" s="1" t="str" cm="1">
        <f t="array" ref="W23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Tactician</v>
      </c>
    </row>
    <row r="24" spans="1:23" x14ac:dyDescent="0.3">
      <c r="A24" s="1" t="s">
        <v>87</v>
      </c>
      <c r="B24" s="1" t="s">
        <v>42</v>
      </c>
      <c r="C24" s="1">
        <v>21</v>
      </c>
      <c r="D24" s="1">
        <v>171</v>
      </c>
      <c r="E24" s="1" t="s">
        <v>25</v>
      </c>
      <c r="F24" s="1" t="s">
        <v>44</v>
      </c>
      <c r="G24" s="1" t="s">
        <v>88</v>
      </c>
      <c r="H24" s="1" t="str">
        <f>IF(characters[[#This Row],[Tinggi (cm)]]&gt;=175, "Tinggi", IF(characters[[#This Row],[Tinggi (cm)]]&gt;=168, "Normal", "Pendek"))</f>
        <v>Normal</v>
      </c>
      <c r="I24" s="1" t="str">
        <f>characters[[#This Row],[Nama Karakter]] &amp; " [" &amp; B24 &amp; "]"</f>
        <v>Shaye Kaylen [ESTP]</v>
      </c>
      <c r="J24" s="1">
        <f>VLOOKUP(characters[[#This Row],[Nama Karakter]],[1]!Stats_Data[#Data],2,FALSE)</f>
        <v>125</v>
      </c>
      <c r="K24" s="1">
        <f>VLOOKUP(characters[[#This Row],[Nama Karakter]],[1]!Stats_Data[#Data],3,FALSE)</f>
        <v>87</v>
      </c>
      <c r="L24" s="1">
        <f>VLOOKUP(characters[[#This Row],[Nama Karakter]],[1]!Stats_Data[#Data],4,FALSE)</f>
        <v>65</v>
      </c>
      <c r="M24" s="1">
        <f>VLOOKUP(characters[[#This Row],[Nama Karakter]],[1]!Stats_Data[#Data],5,FALSE)</f>
        <v>80</v>
      </c>
      <c r="N24" s="2">
        <f>VLOOKUP(characters[[#This Row],[Nama Karakter]],[1]!Stats_Data[#Data],6, FALSE)</f>
        <v>0.57999999999999996</v>
      </c>
      <c r="O24" s="1">
        <f>VLOOKUP(characters[[#This Row],[Nama Karakter]],[1]!Stats_Data[#Data],7, FALSE)</f>
        <v>190</v>
      </c>
      <c r="P24" s="2">
        <f>VLOOKUP(characters[[#This Row],[Nama Karakter]],[1]!Stats_Data[#Data],8, FALSE)</f>
        <v>0.56000000000000005</v>
      </c>
      <c r="Q24" s="3">
        <f>characters[[#This Row],[ATK]]*(1+characters[[#This Row],[Crit Rate]])</f>
        <v>137.46</v>
      </c>
      <c r="R24" s="1" t="str">
        <f>VLOOKUP(characters[[#This Row],[Nama Karakter]],[1]!Stats_Data[#Data],9, FALSE)</f>
        <v>Eastern Sunrise</v>
      </c>
      <c r="S24" s="1">
        <f>SUM(characters[[#This Row],[HP]:[Win Rate]])</f>
        <v>548.13999999999987</v>
      </c>
      <c r="T24" s="1" t="str">
        <f>IF(characters[[#This Row],[ATK]]&gt;=88, "Attacker", IF(characters[[#This Row],[ATK]]&gt;=75, "Balanced", "Support"))</f>
        <v>Balanced</v>
      </c>
      <c r="U24" s="4">
        <v>38198</v>
      </c>
      <c r="V24" s="5">
        <f ca="1">(DATEDIF(characters[[#This Row],[Tanggal Lahir]],TODAY(), "Y"))</f>
        <v>21</v>
      </c>
      <c r="W24" s="1" t="str" cm="1">
        <f t="array" ref="W24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Brawler</v>
      </c>
    </row>
    <row r="25" spans="1:23" x14ac:dyDescent="0.3">
      <c r="A25" s="1" t="s">
        <v>89</v>
      </c>
      <c r="B25" s="1" t="s">
        <v>90</v>
      </c>
      <c r="C25" s="1">
        <v>21</v>
      </c>
      <c r="D25" s="1">
        <v>167</v>
      </c>
      <c r="E25" s="1" t="s">
        <v>25</v>
      </c>
      <c r="F25" s="1" t="s">
        <v>44</v>
      </c>
      <c r="G25" s="1" t="s">
        <v>91</v>
      </c>
      <c r="H25" s="1" t="str">
        <f>IF(characters[[#This Row],[Tinggi (cm)]]&gt;=175, "Tinggi", IF(characters[[#This Row],[Tinggi (cm)]]&gt;=168, "Normal", "Pendek"))</f>
        <v>Pendek</v>
      </c>
      <c r="I25" s="1" t="str">
        <f>characters[[#This Row],[Nama Karakter]] &amp; " [" &amp; B25 &amp; "]"</f>
        <v>Theresa Felix [ESFP]</v>
      </c>
      <c r="J25" s="1">
        <f>VLOOKUP(characters[[#This Row],[Nama Karakter]],[1]!Stats_Data[#Data],2,FALSE)</f>
        <v>115</v>
      </c>
      <c r="K25" s="1">
        <f>VLOOKUP(characters[[#This Row],[Nama Karakter]],[1]!Stats_Data[#Data],3,FALSE)</f>
        <v>70</v>
      </c>
      <c r="L25" s="1">
        <f>VLOOKUP(characters[[#This Row],[Nama Karakter]],[1]!Stats_Data[#Data],4,FALSE)</f>
        <v>55</v>
      </c>
      <c r="M25" s="1">
        <f>VLOOKUP(characters[[#This Row],[Nama Karakter]],[1]!Stats_Data[#Data],5,FALSE)</f>
        <v>85</v>
      </c>
      <c r="N25" s="2">
        <f>VLOOKUP(characters[[#This Row],[Nama Karakter]],[1]!Stats_Data[#Data],6, FALSE)</f>
        <v>0.48</v>
      </c>
      <c r="O25" s="1">
        <f>VLOOKUP(characters[[#This Row],[Nama Karakter]],[1]!Stats_Data[#Data],7, FALSE)</f>
        <v>220</v>
      </c>
      <c r="P25" s="2">
        <f>VLOOKUP(characters[[#This Row],[Nama Karakter]],[1]!Stats_Data[#Data],8, FALSE)</f>
        <v>0.61</v>
      </c>
      <c r="Q25" s="3">
        <f>characters[[#This Row],[ATK]]*(1+characters[[#This Row],[Crit Rate]])</f>
        <v>103.6</v>
      </c>
      <c r="R25" s="1" t="str">
        <f>VLOOKUP(characters[[#This Row],[Nama Karakter]],[1]!Stats_Data[#Data],9, FALSE)</f>
        <v>Western Citadel</v>
      </c>
      <c r="S25" s="1">
        <f>SUM(characters[[#This Row],[HP]:[Win Rate]])</f>
        <v>546.09</v>
      </c>
      <c r="T25" s="1" t="str">
        <f>IF(characters[[#This Row],[ATK]]&gt;=88, "Attacker", IF(characters[[#This Row],[ATK]]&gt;=75, "Balanced", "Support"))</f>
        <v>Support</v>
      </c>
      <c r="U25" s="4">
        <v>38182</v>
      </c>
      <c r="V25" s="5">
        <f ca="1">(DATEDIF(characters[[#This Row],[Tanggal Lahir]],TODAY(), "Y"))</f>
        <v>21</v>
      </c>
      <c r="W25" s="1" t="str" cm="1">
        <f t="array" ref="W25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Elite Spy</v>
      </c>
    </row>
    <row r="26" spans="1:23" x14ac:dyDescent="0.3">
      <c r="A26" s="1" t="s">
        <v>92</v>
      </c>
      <c r="B26" s="1" t="s">
        <v>51</v>
      </c>
      <c r="C26" s="1">
        <v>21</v>
      </c>
      <c r="D26" s="1">
        <v>166</v>
      </c>
      <c r="E26" s="1" t="s">
        <v>25</v>
      </c>
      <c r="F26" s="1" t="s">
        <v>52</v>
      </c>
      <c r="G26" s="1" t="s">
        <v>93</v>
      </c>
      <c r="H26" s="1" t="str">
        <f>IF(characters[[#This Row],[Tinggi (cm)]]&gt;=175, "Tinggi", IF(characters[[#This Row],[Tinggi (cm)]]&gt;=168, "Normal", "Pendek"))</f>
        <v>Pendek</v>
      </c>
      <c r="I26" s="1" t="str">
        <f>characters[[#This Row],[Nama Karakter]] &amp; " [" &amp; B26 &amp; "]"</f>
        <v>Sonia Spade [INFJ]</v>
      </c>
      <c r="J26" s="1">
        <f>VLOOKUP(characters[[#This Row],[Nama Karakter]],[1]!Stats_Data[#Data],2,FALSE)</f>
        <v>110</v>
      </c>
      <c r="K26" s="1">
        <f>VLOOKUP(characters[[#This Row],[Nama Karakter]],[1]!Stats_Data[#Data],3,FALSE)</f>
        <v>60</v>
      </c>
      <c r="L26" s="1">
        <f>VLOOKUP(characters[[#This Row],[Nama Karakter]],[1]!Stats_Data[#Data],4,FALSE)</f>
        <v>65</v>
      </c>
      <c r="M26" s="1">
        <f>VLOOKUP(characters[[#This Row],[Nama Karakter]],[1]!Stats_Data[#Data],5,FALSE)</f>
        <v>80</v>
      </c>
      <c r="N26" s="2">
        <f>VLOOKUP(characters[[#This Row],[Nama Karakter]],[1]!Stats_Data[#Data],6, FALSE)</f>
        <v>0.38</v>
      </c>
      <c r="O26" s="1">
        <f>VLOOKUP(characters[[#This Row],[Nama Karakter]],[1]!Stats_Data[#Data],7, FALSE)</f>
        <v>380</v>
      </c>
      <c r="P26" s="2">
        <f>VLOOKUP(characters[[#This Row],[Nama Karakter]],[1]!Stats_Data[#Data],8, FALSE)</f>
        <v>0.55000000000000004</v>
      </c>
      <c r="Q26" s="3">
        <f>characters[[#This Row],[ATK]]*(1+characters[[#This Row],[Crit Rate]])</f>
        <v>82.8</v>
      </c>
      <c r="R26" s="1" t="str">
        <f>VLOOKUP(characters[[#This Row],[Nama Karakter]],[1]!Stats_Data[#Data],9, FALSE)</f>
        <v>Northern Tundra</v>
      </c>
      <c r="S26" s="1">
        <f>SUM(characters[[#This Row],[HP]:[Win Rate]])</f>
        <v>695.93</v>
      </c>
      <c r="T26" s="1" t="str">
        <f>IF(characters[[#This Row],[ATK]]&gt;=88, "Attacker", IF(characters[[#This Row],[ATK]]&gt;=75, "Balanced", "Support"))</f>
        <v>Support</v>
      </c>
      <c r="U26" s="4">
        <v>38044</v>
      </c>
      <c r="V26" s="5">
        <f ca="1">(DATEDIF(characters[[#This Row],[Tanggal Lahir]],TODAY(), "Y"))</f>
        <v>22</v>
      </c>
      <c r="W26" s="1" t="str" cm="1">
        <f t="array" ref="W26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  <row r="27" spans="1:23" x14ac:dyDescent="0.3">
      <c r="A27" s="1" t="s">
        <v>94</v>
      </c>
      <c r="B27" s="1" t="s">
        <v>95</v>
      </c>
      <c r="C27" s="1">
        <v>21</v>
      </c>
      <c r="D27" s="1">
        <v>167</v>
      </c>
      <c r="E27" s="1" t="s">
        <v>25</v>
      </c>
      <c r="F27" s="1" t="s">
        <v>52</v>
      </c>
      <c r="G27" s="1" t="s">
        <v>96</v>
      </c>
      <c r="H27" s="1" t="str">
        <f>IF(characters[[#This Row],[Tinggi (cm)]]&gt;=175, "Tinggi", IF(characters[[#This Row],[Tinggi (cm)]]&gt;=168, "Normal", "Pendek"))</f>
        <v>Pendek</v>
      </c>
      <c r="I27" s="1" t="str">
        <f>characters[[#This Row],[Nama Karakter]] &amp; " [" &amp; B27 &amp; "]"</f>
        <v>Emily Caddel [ENFP]</v>
      </c>
      <c r="J27" s="1">
        <f>VLOOKUP(characters[[#This Row],[Nama Karakter]],[1]!Stats_Data[#Data],2,FALSE)</f>
        <v>110</v>
      </c>
      <c r="K27" s="1">
        <f>VLOOKUP(characters[[#This Row],[Nama Karakter]],[1]!Stats_Data[#Data],3,FALSE)</f>
        <v>75</v>
      </c>
      <c r="L27" s="1">
        <f>VLOOKUP(characters[[#This Row],[Nama Karakter]],[1]!Stats_Data[#Data],4,FALSE)</f>
        <v>60</v>
      </c>
      <c r="M27" s="1">
        <f>VLOOKUP(characters[[#This Row],[Nama Karakter]],[1]!Stats_Data[#Data],5,FALSE)</f>
        <v>90</v>
      </c>
      <c r="N27" s="2">
        <f>VLOOKUP(characters[[#This Row],[Nama Karakter]],[1]!Stats_Data[#Data],6, FALSE)</f>
        <v>0.8</v>
      </c>
      <c r="O27" s="1">
        <f>VLOOKUP(characters[[#This Row],[Nama Karakter]],[1]!Stats_Data[#Data],7, FALSE)</f>
        <v>110</v>
      </c>
      <c r="P27" s="2">
        <f>VLOOKUP(characters[[#This Row],[Nama Karakter]],[1]!Stats_Data[#Data],8, FALSE)</f>
        <v>0.63</v>
      </c>
      <c r="Q27" s="3">
        <f>characters[[#This Row],[ATK]]*(1+characters[[#This Row],[Crit Rate]])</f>
        <v>135</v>
      </c>
      <c r="R27" s="1" t="str">
        <f>VLOOKUP(characters[[#This Row],[Nama Karakter]],[1]!Stats_Data[#Data],9, FALSE)</f>
        <v>Southern Isles</v>
      </c>
      <c r="S27" s="1">
        <f>SUM(characters[[#This Row],[HP]:[Win Rate]])</f>
        <v>446.43</v>
      </c>
      <c r="T27" s="1" t="str">
        <f>IF(characters[[#This Row],[ATK]]&gt;=88, "Attacker", IF(characters[[#This Row],[ATK]]&gt;=75, "Balanced", "Support"))</f>
        <v>Balanced</v>
      </c>
      <c r="U27" s="4">
        <v>38125</v>
      </c>
      <c r="V27" s="5">
        <f ca="1">(DATEDIF(characters[[#This Row],[Tanggal Lahir]],TODAY(), "Y"))</f>
        <v>22</v>
      </c>
      <c r="W27" s="1" t="str" cm="1">
        <f t="array" ref="W27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Elite Spy</v>
      </c>
    </row>
    <row r="28" spans="1:23" x14ac:dyDescent="0.3">
      <c r="A28" s="1" t="s">
        <v>97</v>
      </c>
      <c r="B28" s="1" t="s">
        <v>90</v>
      </c>
      <c r="C28" s="1">
        <v>21</v>
      </c>
      <c r="D28" s="1">
        <v>168</v>
      </c>
      <c r="E28" s="1" t="s">
        <v>43</v>
      </c>
      <c r="F28" s="1" t="s">
        <v>44</v>
      </c>
      <c r="G28" s="1" t="s">
        <v>98</v>
      </c>
      <c r="H28" s="1" t="str">
        <f>IF(characters[[#This Row],[Tinggi (cm)]]&gt;=175, "Tinggi", IF(characters[[#This Row],[Tinggi (cm)]]&gt;=168, "Normal", "Pendek"))</f>
        <v>Normal</v>
      </c>
      <c r="I28" s="1" t="str">
        <f>characters[[#This Row],[Nama Karakter]] &amp; " [" &amp; B28 &amp; "]"</f>
        <v>Mara Solene [ESFP]</v>
      </c>
      <c r="J28" s="1">
        <f>VLOOKUP(characters[[#This Row],[Nama Karakter]],[1]!Stats_Data[#Data],2,FALSE)</f>
        <v>115</v>
      </c>
      <c r="K28" s="1">
        <f>VLOOKUP(characters[[#This Row],[Nama Karakter]],[1]!Stats_Data[#Data],3,FALSE)</f>
        <v>70</v>
      </c>
      <c r="L28" s="1">
        <f>VLOOKUP(characters[[#This Row],[Nama Karakter]],[1]!Stats_Data[#Data],4,FALSE)</f>
        <v>60</v>
      </c>
      <c r="M28" s="1">
        <f>VLOOKUP(characters[[#This Row],[Nama Karakter]],[1]!Stats_Data[#Data],5,FALSE)</f>
        <v>82</v>
      </c>
      <c r="N28" s="2">
        <f>VLOOKUP(characters[[#This Row],[Nama Karakter]],[1]!Stats_Data[#Data],6, FALSE)</f>
        <v>0.6</v>
      </c>
      <c r="O28" s="1">
        <f>VLOOKUP(characters[[#This Row],[Nama Karakter]],[1]!Stats_Data[#Data],7, FALSE)</f>
        <v>220</v>
      </c>
      <c r="P28" s="2">
        <f>VLOOKUP(characters[[#This Row],[Nama Karakter]],[1]!Stats_Data[#Data],8, FALSE)</f>
        <v>0.71</v>
      </c>
      <c r="Q28" s="3">
        <f>characters[[#This Row],[ATK]]*(1+characters[[#This Row],[Crit Rate]])</f>
        <v>112</v>
      </c>
      <c r="R28" s="1" t="str">
        <f>VLOOKUP(characters[[#This Row],[Nama Karakter]],[1]!Stats_Data[#Data],9, FALSE)</f>
        <v>Eastern Sunrise</v>
      </c>
      <c r="S28" s="1">
        <f>SUM(characters[[#This Row],[HP]:[Win Rate]])</f>
        <v>548.31000000000006</v>
      </c>
      <c r="T28" s="1" t="str">
        <f>IF(characters[[#This Row],[ATK]]&gt;=88, "Attacker", IF(characters[[#This Row],[ATK]]&gt;=75, "Balanced", "Support"))</f>
        <v>Support</v>
      </c>
      <c r="U28" s="4">
        <v>38071</v>
      </c>
      <c r="V28" s="5">
        <f ca="1">(DATEDIF(characters[[#This Row],[Tanggal Lahir]],TODAY(), "Y"))</f>
        <v>22</v>
      </c>
      <c r="W28" s="1" t="str" cm="1">
        <f t="array" ref="W28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Ranger</v>
      </c>
    </row>
    <row r="29" spans="1:23" x14ac:dyDescent="0.3">
      <c r="A29" s="1" t="s">
        <v>99</v>
      </c>
      <c r="B29" s="1" t="s">
        <v>63</v>
      </c>
      <c r="C29" s="1">
        <v>21</v>
      </c>
      <c r="D29" s="1">
        <v>170</v>
      </c>
      <c r="E29" s="1" t="s">
        <v>43</v>
      </c>
      <c r="F29" s="1" t="s">
        <v>44</v>
      </c>
      <c r="G29" s="1" t="s">
        <v>100</v>
      </c>
      <c r="H29" s="1" t="str">
        <f>IF(characters[[#This Row],[Tinggi (cm)]]&gt;=175, "Tinggi", IF(characters[[#This Row],[Tinggi (cm)]]&gt;=168, "Normal", "Pendek"))</f>
        <v>Normal</v>
      </c>
      <c r="I29" s="1" t="str">
        <f>characters[[#This Row],[Nama Karakter]] &amp; " [" &amp; B29 &amp; "]"</f>
        <v>Luno Bright [ISFP]</v>
      </c>
      <c r="J29" s="1">
        <f>VLOOKUP(characters[[#This Row],[Nama Karakter]],[1]!Stats_Data[#Data],2,FALSE)</f>
        <v>110</v>
      </c>
      <c r="K29" s="1">
        <f>VLOOKUP(characters[[#This Row],[Nama Karakter]],[1]!Stats_Data[#Data],3,FALSE)</f>
        <v>75</v>
      </c>
      <c r="L29" s="1">
        <f>VLOOKUP(characters[[#This Row],[Nama Karakter]],[1]!Stats_Data[#Data],4,FALSE)</f>
        <v>65</v>
      </c>
      <c r="M29" s="1">
        <f>VLOOKUP(characters[[#This Row],[Nama Karakter]],[1]!Stats_Data[#Data],5,FALSE)</f>
        <v>75</v>
      </c>
      <c r="N29" s="2">
        <f>VLOOKUP(characters[[#This Row],[Nama Karakter]],[1]!Stats_Data[#Data],6, FALSE)</f>
        <v>0.7</v>
      </c>
      <c r="O29" s="1">
        <f>VLOOKUP(characters[[#This Row],[Nama Karakter]],[1]!Stats_Data[#Data],7, FALSE)</f>
        <v>210</v>
      </c>
      <c r="P29" s="2">
        <f>VLOOKUP(characters[[#This Row],[Nama Karakter]],[1]!Stats_Data[#Data],8, FALSE)</f>
        <v>0.48</v>
      </c>
      <c r="Q29" s="3">
        <f>characters[[#This Row],[ATK]]*(1+characters[[#This Row],[Crit Rate]])</f>
        <v>127.5</v>
      </c>
      <c r="R29" s="1" t="str">
        <f>VLOOKUP(characters[[#This Row],[Nama Karakter]],[1]!Stats_Data[#Data],9, FALSE)</f>
        <v>Southern Isles</v>
      </c>
      <c r="S29" s="1">
        <f>SUM(characters[[#This Row],[HP]:[Win Rate]])</f>
        <v>536.18000000000006</v>
      </c>
      <c r="T29" s="1" t="str">
        <f>IF(characters[[#This Row],[ATK]]&gt;=88, "Attacker", IF(characters[[#This Row],[ATK]]&gt;=75, "Balanced", "Support"))</f>
        <v>Balanced</v>
      </c>
      <c r="U29" s="4">
        <v>38180</v>
      </c>
      <c r="V29" s="5">
        <f ca="1">(DATEDIF(characters[[#This Row],[Tanggal Lahir]],TODAY(), "Y"))</f>
        <v>21</v>
      </c>
      <c r="W29" s="1" t="str" cm="1">
        <f t="array" ref="W29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Ranger</v>
      </c>
    </row>
    <row r="30" spans="1:23" x14ac:dyDescent="0.3">
      <c r="A30" s="1" t="s">
        <v>101</v>
      </c>
      <c r="B30" s="1" t="s">
        <v>85</v>
      </c>
      <c r="C30" s="1">
        <v>21</v>
      </c>
      <c r="D30" s="1">
        <v>180</v>
      </c>
      <c r="E30" s="1" t="s">
        <v>43</v>
      </c>
      <c r="F30" s="1" t="s">
        <v>26</v>
      </c>
      <c r="G30" s="1" t="s">
        <v>102</v>
      </c>
      <c r="H30" s="1" t="str">
        <f>IF(characters[[#This Row],[Tinggi (cm)]]&gt;=175, "Tinggi", IF(characters[[#This Row],[Tinggi (cm)]]&gt;=168, "Normal", "Pendek"))</f>
        <v>Tinggi</v>
      </c>
      <c r="I30" s="1" t="str">
        <f>characters[[#This Row],[Nama Karakter]] &amp; " [" &amp; B30 &amp; "]"</f>
        <v>Zivan Holt [ENTP]</v>
      </c>
      <c r="J30" s="1">
        <f>VLOOKUP(characters[[#This Row],[Nama Karakter]],[1]!Stats_Data[#Data],2,FALSE)</f>
        <v>118</v>
      </c>
      <c r="K30" s="1">
        <f>VLOOKUP(characters[[#This Row],[Nama Karakter]],[1]!Stats_Data[#Data],3,FALSE)</f>
        <v>85</v>
      </c>
      <c r="L30" s="1">
        <f>VLOOKUP(characters[[#This Row],[Nama Karakter]],[1]!Stats_Data[#Data],4,FALSE)</f>
        <v>70</v>
      </c>
      <c r="M30" s="1">
        <f>VLOOKUP(characters[[#This Row],[Nama Karakter]],[1]!Stats_Data[#Data],5,FALSE)</f>
        <v>75</v>
      </c>
      <c r="N30" s="2">
        <f>VLOOKUP(characters[[#This Row],[Nama Karakter]],[1]!Stats_Data[#Data],6, FALSE)</f>
        <v>0.2</v>
      </c>
      <c r="O30" s="1">
        <f>VLOOKUP(characters[[#This Row],[Nama Karakter]],[1]!Stats_Data[#Data],7, FALSE)</f>
        <v>340</v>
      </c>
      <c r="P30" s="2">
        <f>VLOOKUP(characters[[#This Row],[Nama Karakter]],[1]!Stats_Data[#Data],8, FALSE)</f>
        <v>0.52</v>
      </c>
      <c r="Q30" s="3">
        <f>characters[[#This Row],[ATK]]*(1+characters[[#This Row],[Crit Rate]])</f>
        <v>102</v>
      </c>
      <c r="R30" s="1" t="str">
        <f>VLOOKUP(characters[[#This Row],[Nama Karakter]],[1]!Stats_Data[#Data],9, FALSE)</f>
        <v>Eastern Sunrise</v>
      </c>
      <c r="S30" s="1">
        <f>SUM(characters[[#This Row],[HP]:[Win Rate]])</f>
        <v>688.72</v>
      </c>
      <c r="T30" s="1" t="str">
        <f>IF(characters[[#This Row],[ATK]]&gt;=88, "Attacker", IF(characters[[#This Row],[ATK]]&gt;=75, "Balanced", "Support"))</f>
        <v>Balanced</v>
      </c>
      <c r="U30" s="4">
        <v>38300</v>
      </c>
      <c r="V30" s="5">
        <f ca="1">(DATEDIF(characters[[#This Row],[Tanggal Lahir]],TODAY(), "Y"))</f>
        <v>21</v>
      </c>
      <c r="W30" s="1" t="str" cm="1">
        <f t="array" ref="W30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Tactician</v>
      </c>
    </row>
    <row r="31" spans="1:23" x14ac:dyDescent="0.3">
      <c r="A31" s="1" t="s">
        <v>103</v>
      </c>
      <c r="B31" s="1" t="s">
        <v>95</v>
      </c>
      <c r="C31" s="1">
        <v>21</v>
      </c>
      <c r="D31" s="1">
        <v>167</v>
      </c>
      <c r="E31" s="1" t="s">
        <v>43</v>
      </c>
      <c r="F31" s="1" t="s">
        <v>52</v>
      </c>
      <c r="G31" s="1" t="s">
        <v>104</v>
      </c>
      <c r="H31" s="1" t="str">
        <f>IF(characters[[#This Row],[Tinggi (cm)]]&gt;=175, "Tinggi", IF(characters[[#This Row],[Tinggi (cm)]]&gt;=168, "Normal", "Pendek"))</f>
        <v>Pendek</v>
      </c>
      <c r="I31" s="1" t="str">
        <f>characters[[#This Row],[Nama Karakter]] &amp; " [" &amp; B31 &amp; "]"</f>
        <v>Mira Vane [ENFP]</v>
      </c>
      <c r="J31" s="1">
        <f>VLOOKUP(characters[[#This Row],[Nama Karakter]],[1]!Stats_Data[#Data],2,FALSE)</f>
        <v>125</v>
      </c>
      <c r="K31" s="1">
        <f>VLOOKUP(characters[[#This Row],[Nama Karakter]],[1]!Stats_Data[#Data],3,FALSE)</f>
        <v>83</v>
      </c>
      <c r="L31" s="1">
        <f>VLOOKUP(characters[[#This Row],[Nama Karakter]],[1]!Stats_Data[#Data],4,FALSE)</f>
        <v>67</v>
      </c>
      <c r="M31" s="1">
        <f>VLOOKUP(characters[[#This Row],[Nama Karakter]],[1]!Stats_Data[#Data],5,FALSE)</f>
        <v>80</v>
      </c>
      <c r="N31" s="2">
        <f>VLOOKUP(characters[[#This Row],[Nama Karakter]],[1]!Stats_Data[#Data],6, FALSE)</f>
        <v>0.35</v>
      </c>
      <c r="O31" s="1">
        <f>VLOOKUP(characters[[#This Row],[Nama Karakter]],[1]!Stats_Data[#Data],7, FALSE)</f>
        <v>320</v>
      </c>
      <c r="P31" s="2">
        <f>VLOOKUP(characters[[#This Row],[Nama Karakter]],[1]!Stats_Data[#Data],8, FALSE)</f>
        <v>0.57999999999999996</v>
      </c>
      <c r="Q31" s="3">
        <f>characters[[#This Row],[ATK]]*(1+characters[[#This Row],[Crit Rate]])</f>
        <v>112.05000000000001</v>
      </c>
      <c r="R31" s="1" t="str">
        <f>VLOOKUP(characters[[#This Row],[Nama Karakter]],[1]!Stats_Data[#Data],9, FALSE)</f>
        <v>Southern Isles</v>
      </c>
      <c r="S31" s="1">
        <f>SUM(characters[[#This Row],[HP]:[Win Rate]])</f>
        <v>675.93000000000006</v>
      </c>
      <c r="T31" s="1" t="str">
        <f>IF(characters[[#This Row],[ATK]]&gt;=88, "Attacker", IF(characters[[#This Row],[ATK]]&gt;=75, "Balanced", "Support"))</f>
        <v>Balanced</v>
      </c>
      <c r="U31" s="4">
        <v>38111</v>
      </c>
      <c r="V31" s="5">
        <f ca="1">(DATEDIF(characters[[#This Row],[Tanggal Lahir]],TODAY(), "Y"))</f>
        <v>22</v>
      </c>
      <c r="W31" s="1" t="str" cm="1">
        <f t="array" ref="W31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Brawler</v>
      </c>
    </row>
    <row r="32" spans="1:23" x14ac:dyDescent="0.3">
      <c r="A32" s="1" t="s">
        <v>105</v>
      </c>
      <c r="B32" s="1" t="s">
        <v>74</v>
      </c>
      <c r="C32" s="1">
        <v>21</v>
      </c>
      <c r="D32" s="1">
        <v>168</v>
      </c>
      <c r="E32" s="1" t="s">
        <v>43</v>
      </c>
      <c r="F32" s="1" t="s">
        <v>52</v>
      </c>
      <c r="G32" s="1" t="s">
        <v>106</v>
      </c>
      <c r="H32" s="1" t="str">
        <f>IF(characters[[#This Row],[Tinggi (cm)]]&gt;=175, "Tinggi", IF(characters[[#This Row],[Tinggi (cm)]]&gt;=168, "Normal", "Pendek"))</f>
        <v>Normal</v>
      </c>
      <c r="I32" s="1" t="str">
        <f>characters[[#This Row],[Nama Karakter]] &amp; " [" &amp; B32 &amp; "]"</f>
        <v>Elara Moss [INFP]</v>
      </c>
      <c r="J32" s="1">
        <f>VLOOKUP(characters[[#This Row],[Nama Karakter]],[1]!Stats_Data[#Data],2,FALSE)</f>
        <v>115</v>
      </c>
      <c r="K32" s="1">
        <f>VLOOKUP(characters[[#This Row],[Nama Karakter]],[1]!Stats_Data[#Data],3,FALSE)</f>
        <v>76</v>
      </c>
      <c r="L32" s="1">
        <f>VLOOKUP(characters[[#This Row],[Nama Karakter]],[1]!Stats_Data[#Data],4,FALSE)</f>
        <v>62</v>
      </c>
      <c r="M32" s="1">
        <f>VLOOKUP(characters[[#This Row],[Nama Karakter]],[1]!Stats_Data[#Data],5,FALSE)</f>
        <v>72</v>
      </c>
      <c r="N32" s="2">
        <f>VLOOKUP(characters[[#This Row],[Nama Karakter]],[1]!Stats_Data[#Data],6, FALSE)</f>
        <v>0.65</v>
      </c>
      <c r="O32" s="1">
        <f>VLOOKUP(characters[[#This Row],[Nama Karakter]],[1]!Stats_Data[#Data],7, FALSE)</f>
        <v>150</v>
      </c>
      <c r="P32" s="2">
        <f>VLOOKUP(characters[[#This Row],[Nama Karakter]],[1]!Stats_Data[#Data],8, FALSE)</f>
        <v>0.59</v>
      </c>
      <c r="Q32" s="3">
        <f>characters[[#This Row],[ATK]]*(1+characters[[#This Row],[Crit Rate]])</f>
        <v>125.39999999999999</v>
      </c>
      <c r="R32" s="1" t="str">
        <f>VLOOKUP(characters[[#This Row],[Nama Karakter]],[1]!Stats_Data[#Data],9, FALSE)</f>
        <v>Western Citadel</v>
      </c>
      <c r="S32" s="1">
        <f>SUM(characters[[#This Row],[HP]:[Win Rate]])</f>
        <v>476.23999999999995</v>
      </c>
      <c r="T32" s="1" t="str">
        <f>IF(characters[[#This Row],[ATK]]&gt;=88, "Attacker", IF(characters[[#This Row],[ATK]]&gt;=75, "Balanced", "Support"))</f>
        <v>Balanced</v>
      </c>
      <c r="U32" s="4">
        <v>38248</v>
      </c>
      <c r="V32" s="5">
        <f ca="1">(DATEDIF(characters[[#This Row],[Tanggal Lahir]],TODAY(), "Y"))</f>
        <v>21</v>
      </c>
      <c r="W32" s="1" t="str" cm="1">
        <f t="array" ref="W32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  <row r="33" spans="1:23" x14ac:dyDescent="0.3">
      <c r="A33" s="1" t="s">
        <v>107</v>
      </c>
      <c r="B33" s="1" t="s">
        <v>66</v>
      </c>
      <c r="C33" s="1">
        <v>21</v>
      </c>
      <c r="D33" s="1">
        <v>168</v>
      </c>
      <c r="E33" s="1" t="s">
        <v>43</v>
      </c>
      <c r="F33" s="1" t="s">
        <v>36</v>
      </c>
      <c r="G33" s="1" t="s">
        <v>108</v>
      </c>
      <c r="H33" s="1" t="str">
        <f>IF(characters[[#This Row],[Tinggi (cm)]]&gt;=175, "Tinggi", IF(characters[[#This Row],[Tinggi (cm)]]&gt;=168, "Normal", "Pendek"))</f>
        <v>Normal</v>
      </c>
      <c r="I33" s="1" t="str">
        <f>characters[[#This Row],[Nama Karakter]] &amp; " [" &amp; B33 &amp; "]"</f>
        <v>Nora Voss [ISFJ]</v>
      </c>
      <c r="J33" s="1">
        <f>VLOOKUP(characters[[#This Row],[Nama Karakter]],[1]!Stats_Data[#Data],2,FALSE)</f>
        <v>120</v>
      </c>
      <c r="K33" s="1">
        <f>VLOOKUP(characters[[#This Row],[Nama Karakter]],[1]!Stats_Data[#Data],3,FALSE)</f>
        <v>55</v>
      </c>
      <c r="L33" s="1">
        <f>VLOOKUP(characters[[#This Row],[Nama Karakter]],[1]!Stats_Data[#Data],4,FALSE)</f>
        <v>85</v>
      </c>
      <c r="M33" s="1">
        <f>VLOOKUP(characters[[#This Row],[Nama Karakter]],[1]!Stats_Data[#Data],5,FALSE)</f>
        <v>55</v>
      </c>
      <c r="N33" s="2">
        <f>VLOOKUP(characters[[#This Row],[Nama Karakter]],[1]!Stats_Data[#Data],6, FALSE)</f>
        <v>0.52</v>
      </c>
      <c r="O33" s="1">
        <f>VLOOKUP(characters[[#This Row],[Nama Karakter]],[1]!Stats_Data[#Data],7, FALSE)</f>
        <v>175</v>
      </c>
      <c r="P33" s="2">
        <f>VLOOKUP(characters[[#This Row],[Nama Karakter]],[1]!Stats_Data[#Data],8, FALSE)</f>
        <v>0.53</v>
      </c>
      <c r="Q33" s="3">
        <f>characters[[#This Row],[ATK]]*(1+characters[[#This Row],[Crit Rate]])</f>
        <v>83.6</v>
      </c>
      <c r="R33" s="1" t="str">
        <f>VLOOKUP(characters[[#This Row],[Nama Karakter]],[1]!Stats_Data[#Data],9, FALSE)</f>
        <v>Southern Isles</v>
      </c>
      <c r="S33" s="1">
        <f>SUM(characters[[#This Row],[HP]:[Win Rate]])</f>
        <v>491.04999999999995</v>
      </c>
      <c r="T33" s="1" t="str">
        <f>IF(characters[[#This Row],[ATK]]&gt;=88, "Attacker", IF(characters[[#This Row],[ATK]]&gt;=75, "Balanced", "Support"))</f>
        <v>Support</v>
      </c>
      <c r="U33" s="4">
        <v>38028</v>
      </c>
      <c r="V33" s="5">
        <f ca="1">(DATEDIF(characters[[#This Row],[Tanggal Lahir]],TODAY(), "Y"))</f>
        <v>22</v>
      </c>
      <c r="W33" s="1" t="str" cm="1">
        <f t="array" ref="W33">_xlfn.IFS(AND(characters[[#This Row],[Total Stat]]&gt;=360, characters[[#This Row],[Role]]="Attacker"), "Squad Inti",  characters[[#This Row],[Sub-Kelompok]]="The Analysts", "Tactician", characters[[#This Row],[SPD]]&gt;=83, "Elite Spy",  AND(characters[[#This Row],[HP]]&gt;=130, characters[[#This Row],[DEF]]&gt;=80), "Tanker", AND(characters[[#This Row],[ATK]]&gt;=82, characters[[#This Row],[SPD]]&gt;=72), "Brawler", characters[[#This Row],[Sub-Kelompok]]="The Explorers", "Ranger",  TRUE, "Reguler")</f>
        <v>Reguler</v>
      </c>
    </row>
  </sheetData>
  <conditionalFormatting sqref="H2:M33 R2:T33">
    <cfRule type="containsText" dxfId="3" priority="10" operator="containsText" text="Normal">
      <formula>NOT(ISERROR(SEARCH("Normal",H2)))</formula>
    </cfRule>
    <cfRule type="containsText" dxfId="2" priority="11" operator="containsText" text="PEndek">
      <formula>NOT(ISERROR(SEARCH("PEndek",H2)))</formula>
    </cfRule>
    <cfRule type="containsText" dxfId="1" priority="12" operator="containsText" text="Tinggi">
      <formula>NOT(ISERROR(SEARCH("Tinggi",H2)))</formula>
    </cfRule>
  </conditionalFormatting>
  <conditionalFormatting sqref="J1:J3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{3C8D3667-B72A-4F3D-AFC6-1FD4A5CAE0CD}</x14:id>
        </ext>
      </extLst>
    </cfRule>
  </conditionalFormatting>
  <conditionalFormatting sqref="K1:K3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{17A3C631-AB22-4C2A-8253-98D89CE2C464}</x14:id>
        </ext>
      </extLst>
    </cfRule>
  </conditionalFormatting>
  <conditionalFormatting sqref="L1:L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{9D1E90A0-BA01-460C-9243-213E9758465D}</x14:id>
        </ext>
      </extLst>
    </cfRule>
  </conditionalFormatting>
  <conditionalFormatting sqref="M1:M33 R1:R3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{19C40A32-25D7-4BE6-B3FF-336180A28D52}</x14:id>
        </ext>
      </extLst>
    </cfRule>
  </conditionalFormatting>
  <conditionalFormatting sqref="N1:N3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{7394E6A8-6744-40CA-8E30-26CDD971F28D}</x14:id>
        </ext>
      </extLst>
    </cfRule>
  </conditionalFormatting>
  <conditionalFormatting sqref="O1:O33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{AA299251-251C-47CE-92EC-F0555B9AF613}</x14:id>
        </ext>
      </extLst>
    </cfRule>
  </conditionalFormatting>
  <conditionalFormatting sqref="P2:P3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{D1FCCB07-CCB7-4900-9D46-D2D1B218A5B0}</x14:id>
        </ext>
      </extLst>
    </cfRule>
  </conditionalFormatting>
  <conditionalFormatting sqref="P1:Q3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{5E0A4C71-A967-448D-A123-56CAC5E419C6}</x14:id>
        </ext>
      </extLst>
    </cfRule>
  </conditionalFormatting>
  <conditionalFormatting sqref="Q2:Q3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{020499F4-35D9-41BA-A572-594D61E8A55A}</x14:id>
        </ext>
      </extLst>
    </cfRule>
  </conditionalFormatting>
  <conditionalFormatting sqref="S1:W1 S2:T33">
    <cfRule type="top10" dxfId="0" priority="13" rank="3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8D3667-B72A-4F3D-AFC6-1FD4A5CAE0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J1:J33</xm:sqref>
        </x14:conditionalFormatting>
        <x14:conditionalFormatting xmlns:xm="http://schemas.microsoft.com/office/excel/2006/main">
          <x14:cfRule type="dataBar" id="{17A3C631-AB22-4C2A-8253-98D89CE2C4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K1:K33</xm:sqref>
        </x14:conditionalFormatting>
        <x14:conditionalFormatting xmlns:xm="http://schemas.microsoft.com/office/excel/2006/main">
          <x14:cfRule type="dataBar" id="{9D1E90A0-BA01-460C-9243-213E97584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L1:L33</xm:sqref>
        </x14:conditionalFormatting>
        <x14:conditionalFormatting xmlns:xm="http://schemas.microsoft.com/office/excel/2006/main">
          <x14:cfRule type="dataBar" id="{19C40A32-25D7-4BE6-B3FF-336180A28D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M1:M33 R1:R33</xm:sqref>
        </x14:conditionalFormatting>
        <x14:conditionalFormatting xmlns:xm="http://schemas.microsoft.com/office/excel/2006/main">
          <x14:cfRule type="dataBar" id="{7394E6A8-6744-40CA-8E30-26CDD971F2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N1:N33</xm:sqref>
        </x14:conditionalFormatting>
        <x14:conditionalFormatting xmlns:xm="http://schemas.microsoft.com/office/excel/2006/main">
          <x14:cfRule type="dataBar" id="{AA299251-251C-47CE-92EC-F0555B9AF6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O1:O33</xm:sqref>
        </x14:conditionalFormatting>
        <x14:conditionalFormatting xmlns:xm="http://schemas.microsoft.com/office/excel/2006/main">
          <x14:cfRule type="dataBar" id="{D1FCCB07-CCB7-4900-9D46-D2D1B218A5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P2:P33</xm:sqref>
        </x14:conditionalFormatting>
        <x14:conditionalFormatting xmlns:xm="http://schemas.microsoft.com/office/excel/2006/main">
          <x14:cfRule type="dataBar" id="{5E0A4C71-A967-448D-A123-56CAC5E419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P1:Q33</xm:sqref>
        </x14:conditionalFormatting>
        <x14:conditionalFormatting xmlns:xm="http://schemas.microsoft.com/office/excel/2006/main">
          <x14:cfRule type="dataBar" id="{020499F4-35D9-41BA-A572-594D61E8A5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Q2:Q33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0E75E4-8345-4E2A-8A74-C908BBEA35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2026-06-02T03:32:29Z</dcterms:created>
  <dcterms:modified xsi:type="dcterms:W3CDTF">2026-06-05T08:18:59Z</dcterms:modified>
</cp:coreProperties>
</file>