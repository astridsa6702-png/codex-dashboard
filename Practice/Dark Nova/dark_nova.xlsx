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gion\OneDrive\Documents\Practice\Dark Nova\"/>
    </mc:Choice>
  </mc:AlternateContent>
  <xr:revisionPtr revIDLastSave="0" documentId="8_{88F43435-F391-4FFC-9B7B-B3EB8FEDC4E7}" xr6:coauthVersionLast="47" xr6:coauthVersionMax="47" xr10:uidLastSave="{00000000-0000-0000-0000-000000000000}"/>
  <bookViews>
    <workbookView xWindow="6960" yWindow="156" windowWidth="14508" windowHeight="11916" xr2:uid="{8FB7DC9B-A550-466C-96F6-BF4A5B685D20}"/>
  </bookViews>
  <sheets>
    <sheet name="Sheet1" sheetId="1" r:id="rId1"/>
  </sheets>
  <definedNames>
    <definedName name="ExternalData_1" localSheetId="0" hidden="1">Sheet1!$A$1:$U$41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1" i="1" l="1" a="1"/>
  <c r="W41" i="1" s="1"/>
  <c r="V41" i="1"/>
  <c r="O41" i="1" a="1"/>
  <c r="O41" i="1" s="1"/>
  <c r="X41" i="1" s="1" a="1"/>
  <c r="X41" i="1" s="1"/>
  <c r="W40" i="1" a="1"/>
  <c r="W40" i="1" s="1"/>
  <c r="V40" i="1"/>
  <c r="O40" i="1" a="1"/>
  <c r="O40" i="1" s="1"/>
  <c r="X40" i="1" s="1" a="1"/>
  <c r="X40" i="1" s="1"/>
  <c r="W39" i="1" a="1"/>
  <c r="W39" i="1" s="1"/>
  <c r="V39" i="1"/>
  <c r="O39" i="1" a="1"/>
  <c r="O39" i="1" s="1"/>
  <c r="X39" i="1" s="1" a="1"/>
  <c r="X39" i="1" s="1"/>
  <c r="W38" i="1" a="1"/>
  <c r="W38" i="1" s="1"/>
  <c r="V38" i="1"/>
  <c r="O38" i="1" a="1"/>
  <c r="O38" i="1" s="1"/>
  <c r="X38" i="1" s="1" a="1"/>
  <c r="X38" i="1" s="1"/>
  <c r="X37" i="1" a="1"/>
  <c r="X37" i="1" s="1"/>
  <c r="W37" i="1" a="1"/>
  <c r="W37" i="1" s="1"/>
  <c r="V37" i="1"/>
  <c r="O37" i="1"/>
  <c r="O37" i="1" a="1"/>
  <c r="W36" i="1" a="1"/>
  <c r="W36" i="1" s="1"/>
  <c r="V36" i="1"/>
  <c r="O36" i="1"/>
  <c r="X36" i="1" s="1" a="1"/>
  <c r="X36" i="1" s="1"/>
  <c r="O36" i="1" a="1"/>
  <c r="W35" i="1" a="1"/>
  <c r="W35" i="1" s="1"/>
  <c r="V35" i="1"/>
  <c r="O35" i="1" a="1"/>
  <c r="O35" i="1" s="1"/>
  <c r="X35" i="1" s="1" a="1"/>
  <c r="X35" i="1" s="1"/>
  <c r="W34" i="1" a="1"/>
  <c r="W34" i="1" s="1"/>
  <c r="V34" i="1"/>
  <c r="O34" i="1"/>
  <c r="X34" i="1" s="1" a="1"/>
  <c r="X34" i="1" s="1"/>
  <c r="O34" i="1" a="1"/>
  <c r="W33" i="1" a="1"/>
  <c r="W33" i="1" s="1"/>
  <c r="V33" i="1"/>
  <c r="O33" i="1" a="1"/>
  <c r="O33" i="1" s="1"/>
  <c r="X33" i="1" s="1" a="1"/>
  <c r="X33" i="1" s="1"/>
  <c r="X32" i="1" a="1"/>
  <c r="X32" i="1" s="1"/>
  <c r="W32" i="1" a="1"/>
  <c r="W32" i="1" s="1"/>
  <c r="V32" i="1"/>
  <c r="O32" i="1"/>
  <c r="O32" i="1" a="1"/>
  <c r="W31" i="1" a="1"/>
  <c r="W31" i="1" s="1"/>
  <c r="V31" i="1"/>
  <c r="O31" i="1" a="1"/>
  <c r="O31" i="1" s="1"/>
  <c r="X31" i="1" s="1" a="1"/>
  <c r="X31" i="1" s="1"/>
  <c r="X30" i="1" a="1"/>
  <c r="X30" i="1" s="1"/>
  <c r="W30" i="1" a="1"/>
  <c r="W30" i="1" s="1"/>
  <c r="V30" i="1"/>
  <c r="O30" i="1"/>
  <c r="O30" i="1" a="1"/>
  <c r="W29" i="1"/>
  <c r="W29" i="1" a="1"/>
  <c r="V29" i="1"/>
  <c r="O29" i="1"/>
  <c r="X29" i="1" s="1" a="1"/>
  <c r="X29" i="1" s="1"/>
  <c r="O29" i="1" a="1"/>
  <c r="W28" i="1" a="1"/>
  <c r="W28" i="1" s="1"/>
  <c r="V28" i="1"/>
  <c r="O28" i="1"/>
  <c r="X28" i="1" s="1" a="1"/>
  <c r="X28" i="1" s="1"/>
  <c r="O28" i="1" a="1"/>
  <c r="W27" i="1" a="1"/>
  <c r="W27" i="1" s="1"/>
  <c r="V27" i="1"/>
  <c r="O27" i="1" a="1"/>
  <c r="O27" i="1" s="1"/>
  <c r="X27" i="1" s="1" a="1"/>
  <c r="X27" i="1" s="1"/>
  <c r="W26" i="1" a="1"/>
  <c r="W26" i="1" s="1"/>
  <c r="V26" i="1"/>
  <c r="O26" i="1" a="1"/>
  <c r="O26" i="1" s="1"/>
  <c r="X26" i="1" s="1" a="1"/>
  <c r="X26" i="1" s="1"/>
  <c r="W25" i="1" a="1"/>
  <c r="W25" i="1" s="1"/>
  <c r="V25" i="1"/>
  <c r="O25" i="1" a="1"/>
  <c r="O25" i="1" s="1"/>
  <c r="X25" i="1" s="1" a="1"/>
  <c r="X25" i="1" s="1"/>
  <c r="W24" i="1" a="1"/>
  <c r="W24" i="1" s="1"/>
  <c r="V24" i="1"/>
  <c r="O24" i="1" a="1"/>
  <c r="O24" i="1" s="1"/>
  <c r="X24" i="1" s="1" a="1"/>
  <c r="X24" i="1" s="1"/>
  <c r="W23" i="1"/>
  <c r="W23" i="1" a="1"/>
  <c r="V23" i="1"/>
  <c r="O23" i="1" a="1"/>
  <c r="O23" i="1" s="1"/>
  <c r="X23" i="1" s="1" a="1"/>
  <c r="X23" i="1" s="1"/>
  <c r="W22" i="1" a="1"/>
  <c r="W22" i="1" s="1"/>
  <c r="V22" i="1"/>
  <c r="O22" i="1" a="1"/>
  <c r="O22" i="1" s="1"/>
  <c r="X22" i="1" s="1" a="1"/>
  <c r="X22" i="1" s="1"/>
  <c r="W21" i="1" a="1"/>
  <c r="W21" i="1" s="1"/>
  <c r="V21" i="1"/>
  <c r="O21" i="1" a="1"/>
  <c r="O21" i="1" s="1"/>
  <c r="X21" i="1" s="1" a="1"/>
  <c r="X21" i="1" s="1"/>
  <c r="W20" i="1" a="1"/>
  <c r="W20" i="1" s="1"/>
  <c r="V20" i="1"/>
  <c r="O20" i="1"/>
  <c r="X20" i="1" s="1" a="1"/>
  <c r="X20" i="1" s="1"/>
  <c r="O20" i="1" a="1"/>
  <c r="W19" i="1" a="1"/>
  <c r="W19" i="1" s="1"/>
  <c r="V19" i="1"/>
  <c r="O19" i="1" a="1"/>
  <c r="O19" i="1" s="1"/>
  <c r="X19" i="1" s="1" a="1"/>
  <c r="X19" i="1" s="1"/>
  <c r="W18" i="1" a="1"/>
  <c r="W18" i="1" s="1"/>
  <c r="V18" i="1"/>
  <c r="O18" i="1"/>
  <c r="X18" i="1" s="1" a="1"/>
  <c r="X18" i="1" s="1"/>
  <c r="O18" i="1" a="1"/>
  <c r="W17" i="1" a="1"/>
  <c r="W17" i="1" s="1"/>
  <c r="V17" i="1"/>
  <c r="O17" i="1" a="1"/>
  <c r="O17" i="1" s="1"/>
  <c r="X17" i="1" s="1" a="1"/>
  <c r="X17" i="1" s="1"/>
  <c r="X16" i="1" a="1"/>
  <c r="X16" i="1" s="1"/>
  <c r="W16" i="1" a="1"/>
  <c r="W16" i="1" s="1"/>
  <c r="V16" i="1"/>
  <c r="O16" i="1"/>
  <c r="O16" i="1" a="1"/>
  <c r="W15" i="1" a="1"/>
  <c r="W15" i="1" s="1"/>
  <c r="V15" i="1"/>
  <c r="O15" i="1" a="1"/>
  <c r="O15" i="1" s="1"/>
  <c r="X15" i="1" s="1" a="1"/>
  <c r="X15" i="1" s="1"/>
  <c r="X14" i="1" a="1"/>
  <c r="X14" i="1" s="1"/>
  <c r="W14" i="1" a="1"/>
  <c r="W14" i="1" s="1"/>
  <c r="V14" i="1"/>
  <c r="O14" i="1"/>
  <c r="O14" i="1" a="1"/>
  <c r="W13" i="1"/>
  <c r="W13" i="1" a="1"/>
  <c r="V13" i="1"/>
  <c r="O13" i="1"/>
  <c r="X13" i="1" s="1" a="1"/>
  <c r="X13" i="1" s="1"/>
  <c r="O13" i="1" a="1"/>
  <c r="W12" i="1" a="1"/>
  <c r="W12" i="1" s="1"/>
  <c r="V12" i="1"/>
  <c r="O12" i="1"/>
  <c r="X12" i="1" s="1" a="1"/>
  <c r="X12" i="1" s="1"/>
  <c r="O12" i="1" a="1"/>
  <c r="W11" i="1" a="1"/>
  <c r="W11" i="1" s="1"/>
  <c r="V11" i="1"/>
  <c r="O11" i="1" a="1"/>
  <c r="O11" i="1" s="1"/>
  <c r="X11" i="1" s="1" a="1"/>
  <c r="X11" i="1" s="1"/>
  <c r="W10" i="1" a="1"/>
  <c r="W10" i="1" s="1"/>
  <c r="V10" i="1"/>
  <c r="O10" i="1" a="1"/>
  <c r="O10" i="1" s="1"/>
  <c r="X10" i="1" s="1" a="1"/>
  <c r="X10" i="1" s="1"/>
  <c r="W9" i="1" a="1"/>
  <c r="W9" i="1" s="1"/>
  <c r="V9" i="1"/>
  <c r="O9" i="1" a="1"/>
  <c r="O9" i="1" s="1"/>
  <c r="X9" i="1" s="1" a="1"/>
  <c r="X9" i="1" s="1"/>
  <c r="W8" i="1" a="1"/>
  <c r="W8" i="1" s="1"/>
  <c r="V8" i="1"/>
  <c r="O8" i="1" a="1"/>
  <c r="O8" i="1" s="1"/>
  <c r="X8" i="1" s="1" a="1"/>
  <c r="X8" i="1" s="1"/>
  <c r="X7" i="1" a="1"/>
  <c r="X7" i="1" s="1"/>
  <c r="W7" i="1"/>
  <c r="W7" i="1" a="1"/>
  <c r="V7" i="1"/>
  <c r="O7" i="1"/>
  <c r="O7" i="1" a="1"/>
  <c r="W6" i="1" a="1"/>
  <c r="W6" i="1" s="1"/>
  <c r="V6" i="1"/>
  <c r="O6" i="1" a="1"/>
  <c r="O6" i="1" s="1"/>
  <c r="X6" i="1" s="1" a="1"/>
  <c r="X6" i="1" s="1"/>
  <c r="X5" i="1" a="1"/>
  <c r="X5" i="1" s="1"/>
  <c r="W5" i="1" a="1"/>
  <c r="W5" i="1" s="1"/>
  <c r="V5" i="1"/>
  <c r="O5" i="1"/>
  <c r="O5" i="1" a="1"/>
  <c r="W4" i="1" a="1"/>
  <c r="W4" i="1" s="1"/>
  <c r="V4" i="1"/>
  <c r="O4" i="1" a="1"/>
  <c r="O4" i="1" s="1"/>
  <c r="X4" i="1" s="1" a="1"/>
  <c r="X4" i="1" s="1"/>
  <c r="W3" i="1" a="1"/>
  <c r="W3" i="1" s="1"/>
  <c r="V3" i="1"/>
  <c r="O3" i="1" a="1"/>
  <c r="O3" i="1" s="1"/>
  <c r="X3" i="1" s="1" a="1"/>
  <c r="X3" i="1" s="1"/>
  <c r="W2" i="1" a="1"/>
  <c r="W2" i="1" s="1"/>
  <c r="V2" i="1"/>
  <c r="O2" i="1"/>
  <c r="X2" i="1" s="1" a="1"/>
  <c r="X2" i="1" s="1"/>
  <c r="O2" i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C4C2ED-807A-4A09-A8BB-78FE26685039}" keepAlive="1" name="Query - dns_csv" description="Connection to the 'dns_csv' query in the workbook." type="5" refreshedVersion="8" background="1" saveData="1">
    <dbPr connection="Provider=Microsoft.Mashup.OleDb.1;Data Source=$Workbook$;Location=dns_csv;Extended Properties=&quot;&quot;" command="SELECT * FROM [dns_csv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<sst xmlns="http://schemas.openxmlformats.org/spreadsheetml/2006/main" count="584" uniqueCount="284">
  <si>
    <t>Name</t>
  </si>
  <si>
    <t>Pronouns</t>
  </si>
  <si>
    <t>Troupe</t>
  </si>
  <si>
    <t>Height (cm)</t>
  </si>
  <si>
    <t>Element</t>
  </si>
  <si>
    <t>Aspect</t>
  </si>
  <si>
    <t>MBTI</t>
  </si>
  <si>
    <t>MBTI Family</t>
  </si>
  <si>
    <t>IE</t>
  </si>
  <si>
    <t>Role</t>
  </si>
  <si>
    <t>Power</t>
  </si>
  <si>
    <t>Control</t>
  </si>
  <si>
    <t>Support</t>
  </si>
  <si>
    <t>Speed</t>
  </si>
  <si>
    <t>Defense</t>
  </si>
  <si>
    <t>Drawback Type</t>
  </si>
  <si>
    <t>Group</t>
  </si>
  <si>
    <t>Positive Traits</t>
  </si>
  <si>
    <t>Negative Traits</t>
  </si>
  <si>
    <t>Signature_Ability</t>
  </si>
  <si>
    <t>Drawback_Summary</t>
  </si>
  <si>
    <t>Total</t>
  </si>
  <si>
    <t>Power Tier</t>
  </si>
  <si>
    <t>Playstyle</t>
  </si>
  <si>
    <t>Addison Hart</t>
  </si>
  <si>
    <t>she/her</t>
  </si>
  <si>
    <t>Shadow</t>
  </si>
  <si>
    <t>Calm</t>
  </si>
  <si>
    <t>INFP</t>
  </si>
  <si>
    <t>Diplomat</t>
  </si>
  <si>
    <t>I</t>
  </si>
  <si>
    <t>Sensory</t>
  </si>
  <si>
    <t>VELVET CHAINSAW</t>
  </si>
  <si>
    <t>Observant / Adaptable / Loyal</t>
  </si>
  <si>
    <t>Dissociative / Avoidant / Secretive</t>
  </si>
  <si>
    <t>Quiet Eclipse</t>
  </si>
  <si>
    <t>Reality feels distant the longer she uses it — slips into her own world</t>
  </si>
  <si>
    <t>Akane Kazumi</t>
  </si>
  <si>
    <t>they/them</t>
  </si>
  <si>
    <t>Fire</t>
  </si>
  <si>
    <t>Storm</t>
  </si>
  <si>
    <t>ENTP</t>
  </si>
  <si>
    <t>Analyst</t>
  </si>
  <si>
    <t>E</t>
  </si>
  <si>
    <t>Attacker</t>
  </si>
  <si>
    <t>Physical</t>
  </si>
  <si>
    <t>ATOMIC LULLABY</t>
  </si>
  <si>
    <t>Charismatic / Resilient / Adventurous</t>
  </si>
  <si>
    <t>Impulsive / Undisciplined / Thrill-seeking</t>
  </si>
  <si>
    <t>Flarebound Rush</t>
  </si>
  <si>
    <t>Burns stamina fast — fire eats oxygen causing dizziness and hypoxia</t>
  </si>
  <si>
    <t>Akari Fujisaki</t>
  </si>
  <si>
    <t>Light</t>
  </si>
  <si>
    <t>Soul</t>
  </si>
  <si>
    <t>Emotional</t>
  </si>
  <si>
    <t>Empathetic / Protective / Idealistic</t>
  </si>
  <si>
    <t>Anxious / Self-doubting / Pessimistic</t>
  </si>
  <si>
    <t>Heartglow Ward</t>
  </si>
  <si>
    <t>Shields draw from emotional energy — overuse causes panic crash and exhaustion</t>
  </si>
  <si>
    <t>Akina Masayuki</t>
  </si>
  <si>
    <t>Water</t>
  </si>
  <si>
    <t>Silent</t>
  </si>
  <si>
    <t>ISFP</t>
  </si>
  <si>
    <t>Explorer</t>
  </si>
  <si>
    <t>Disruptor</t>
  </si>
  <si>
    <t>GHOST FOUNTAIN</t>
  </si>
  <si>
    <t>Grounded / Magnetic / Patient</t>
  </si>
  <si>
    <t>Vain / Oblivious / Disorganized</t>
  </si>
  <si>
    <t>Stillwater Shroud</t>
  </si>
  <si>
    <t>Feeds on focus — distraction collapses the water or causes it to splash everywhere</t>
  </si>
  <si>
    <t>Ana Crosby</t>
  </si>
  <si>
    <t>Decay</t>
  </si>
  <si>
    <t>ENFJ</t>
  </si>
  <si>
    <t>RUST PARADE</t>
  </si>
  <si>
    <t>Altruistic / Inspirational / Devoted</t>
  </si>
  <si>
    <t>Martyr complex / Possessive / Manipulative</t>
  </si>
  <si>
    <t>Ember Requiem</t>
  </si>
  <si>
    <t>More fire consumes the more drained she feels — burns alongside it</t>
  </si>
  <si>
    <t>Asuka Yoshida</t>
  </si>
  <si>
    <t>Forge</t>
  </si>
  <si>
    <t>ISTJ</t>
  </si>
  <si>
    <t>Sentinel</t>
  </si>
  <si>
    <t>STATIC CROWN</t>
  </si>
  <si>
    <t>Conscientious / Trustworthy / Meticulous</t>
  </si>
  <si>
    <t>Perfectionistic / Rigid / Inflexible</t>
  </si>
  <si>
    <t>Luminary Edge</t>
  </si>
  <si>
    <t>Self-doubt fractures light constructs — one crack means misfires and shattering blades</t>
  </si>
  <si>
    <t>Charlotte Ellis</t>
  </si>
  <si>
    <t>Echo</t>
  </si>
  <si>
    <t>INTP</t>
  </si>
  <si>
    <t>Ingenious / Analytical / Visionary</t>
  </si>
  <si>
    <t>Argumentative / Arrogant / Contrary</t>
  </si>
  <si>
    <t>Rebound Flame</t>
  </si>
  <si>
    <t>Echo-fire stores emotional traces — flustered state causes flames to go wild</t>
  </si>
  <si>
    <t>Chiyo Funai</t>
  </si>
  <si>
    <t>Metal</t>
  </si>
  <si>
    <t>Tank</t>
  </si>
  <si>
    <t>GLITCH GARDEN</t>
  </si>
  <si>
    <t>Punctual / Reliable / Thorough</t>
  </si>
  <si>
    <t>Suppressive / Timid / Resentful</t>
  </si>
  <si>
    <t>Ironbound Form</t>
  </si>
  <si>
    <t>Emotional stress locks up armor — anxiety becomes physical restraints</t>
  </si>
  <si>
    <t>Cindy Bentley</t>
  </si>
  <si>
    <t>Bloom</t>
  </si>
  <si>
    <t>ESFJ</t>
  </si>
  <si>
    <t>NEON GRAVEYARD</t>
  </si>
  <si>
    <t>Expressive / Vivacious / Passionate</t>
  </si>
  <si>
    <t>Moody / Histrionic / Envious</t>
  </si>
  <si>
    <t>Petalflame Burst</t>
  </si>
  <si>
    <t>Mood swings cause uncontrolled blooming or scattering of flames</t>
  </si>
  <si>
    <t>Claudia Bailey</t>
  </si>
  <si>
    <t>Nature</t>
  </si>
  <si>
    <t>ISFJ</t>
  </si>
  <si>
    <t>Diplomatic / Amiable / Facilitative</t>
  </si>
  <si>
    <t>Conflict-avoidant / Self-forgetting / Unassertive</t>
  </si>
  <si>
    <t>Lavender Bind</t>
  </si>
  <si>
    <t>Vines weaken in the presence of hostility — conflict literally makes her power wilt</t>
  </si>
  <si>
    <t>Emily Caddel</t>
  </si>
  <si>
    <t>ENFP</t>
  </si>
  <si>
    <t>Curious / Open-minded / Tolerant</t>
  </si>
  <si>
    <t>Procrastinating / Scattered / Overpromising</t>
  </si>
  <si>
    <t>Photon Surge</t>
  </si>
  <si>
    <t>Mental scatter mirrors beam scatter — unfocused mind means uncontrolled shots</t>
  </si>
  <si>
    <t>Eri Fujino</t>
  </si>
  <si>
    <t>Poetic / Genuine / Sensitive</t>
  </si>
  <si>
    <t>Melancholic / Brooding / Volatile</t>
  </si>
  <si>
    <t>Deepsea Shade</t>
  </si>
  <si>
    <t>Amplifies her own emotional weight — more shadow summoned means heavier she feels</t>
  </si>
  <si>
    <t>Fuyuko Kurihara</t>
  </si>
  <si>
    <t>Ice</t>
  </si>
  <si>
    <t>INFJ</t>
  </si>
  <si>
    <t>Discerning / Humanitarian / Symbolic</t>
  </si>
  <si>
    <t>Isolating / Esoteric / Solitary</t>
  </si>
  <si>
    <t>Glacian Memory</t>
  </si>
  <si>
    <t>Each shard erodes short-term memory — too many causes disorientation</t>
  </si>
  <si>
    <t>Gillian Wiley</t>
  </si>
  <si>
    <t>she/they</t>
  </si>
  <si>
    <t>ENTJ</t>
  </si>
  <si>
    <t>Strategic / Commanding / Ambitious</t>
  </si>
  <si>
    <t>Dominating / Intimidating / Demanding</t>
  </si>
  <si>
    <t>Ionbreak Armor</t>
  </si>
  <si>
    <t>Storm-metal overheats if pushed — fuses to skin causing intense pain and paralysis</t>
  </si>
  <si>
    <t>Hayami Amamiya</t>
  </si>
  <si>
    <t>Lightning</t>
  </si>
  <si>
    <t>ISTP</t>
  </si>
  <si>
    <t>Pragmatic / Dexterous / Efficacious</t>
  </si>
  <si>
    <t>Cynical / Belligerent / Distrustful</t>
  </si>
  <si>
    <t>Stormskin</t>
  </si>
  <si>
    <t>Emotional instability causes lightning to stop obeying and go wild</t>
  </si>
  <si>
    <t>Hibiki Masami</t>
  </si>
  <si>
    <t>Ideological / Rigorous / Conceptual</t>
  </si>
  <si>
    <t>Mistrustful / Self-deprecating / Intellectualizing</t>
  </si>
  <si>
    <t>Veilwalk</t>
  </si>
  <si>
    <t>Overuse causes dissociation — senses dull and emotions flatten</t>
  </si>
  <si>
    <t>Himari Kobayashi</t>
  </si>
  <si>
    <t>Generous / Fostering / Benevolent</t>
  </si>
  <si>
    <t>Co-dependent / Mercurial / Emotionally draining</t>
  </si>
  <si>
    <t>Luminous Tide</t>
  </si>
  <si>
    <t>Emotional state leaks into water — overwhelm causes instability or refusal</t>
  </si>
  <si>
    <t>Himiko Nakayama</t>
  </si>
  <si>
    <t>Earth</t>
  </si>
  <si>
    <t>Crest</t>
  </si>
  <si>
    <t>Invigorating / Constructive / Forthright</t>
  </si>
  <si>
    <t>Autocratic / Prone-to-anger / Easily-led</t>
  </si>
  <si>
    <t>Resolute Field</t>
  </si>
  <si>
    <t>Field collapses if confidence wavers — hesitation kills the ability instantly</t>
  </si>
  <si>
    <t>Hiromi Masaki</t>
  </si>
  <si>
    <t>Aether</t>
  </si>
  <si>
    <t>INTJ</t>
  </si>
  <si>
    <t>Logical / Systematic / Pioneering</t>
  </si>
  <si>
    <t>Pedantic / Unfeeling / Prone-to-stagnation</t>
  </si>
  <si>
    <t>Vector Lattice</t>
  </si>
  <si>
    <t>Overcalculating drains emotional bandwidth — goes blank and loses intuition</t>
  </si>
  <si>
    <t>Kamiko Handa</t>
  </si>
  <si>
    <t>ESFP</t>
  </si>
  <si>
    <t>Captivating / Engaging / Buoyant</t>
  </si>
  <si>
    <t>Distractible / Shallow / Easily bored</t>
  </si>
  <si>
    <t>Mirage Bloom</t>
  </si>
  <si>
    <t>Illusions bleed into own perception — hard to distinguish reality</t>
  </si>
  <si>
    <t>Katie Olson</t>
  </si>
  <si>
    <t>Air</t>
  </si>
  <si>
    <t>Principled / Earnest / Meticulous</t>
  </si>
  <si>
    <t>Neurotic / Inhibited / Apprehensive</t>
  </si>
  <si>
    <t>Whisper Spiral</t>
  </si>
  <si>
    <t>Own thoughts echo back — intrusive thoughts amplify with overuse</t>
  </si>
  <si>
    <t>Kirumi Suzuki</t>
  </si>
  <si>
    <t>Sympathetic / Faithful / Stabilizing</t>
  </si>
  <si>
    <t>Martyrish / Self-effacing / Risk-averse</t>
  </si>
  <si>
    <t>Mistbind Embrace</t>
  </si>
  <si>
    <t>Mist drains her warmth — overuse causes cold shaking and emotional numbness</t>
  </si>
  <si>
    <t>Koharu Ishii</t>
  </si>
  <si>
    <t>ESTJ</t>
  </si>
  <si>
    <t>Productive / Efficient / Credible</t>
  </si>
  <si>
    <t>Workaholic / Micromanaging / Punitive</t>
  </si>
  <si>
    <t>Terra Mandate</t>
  </si>
  <si>
    <t>Broken concentration or emotional spike instantly cracks all structures</t>
  </si>
  <si>
    <t>Lily Raven</t>
  </si>
  <si>
    <t>Hospitable / Effervescent / Communal</t>
  </si>
  <si>
    <t>Gossip-prone / Approval-seeking / Clinging</t>
  </si>
  <si>
    <t>Rippleburst Aura</t>
  </si>
  <si>
    <t>Power responds to whoever she focuses on — wrong target amplifies their emotions</t>
  </si>
  <si>
    <t>Maia Park</t>
  </si>
  <si>
    <t>Quick-witted / Clever / Entrepreneurial</t>
  </si>
  <si>
    <t>Abrasive / Reckless / Inconsistent</t>
  </si>
  <si>
    <t>Radiant Burst</t>
  </si>
  <si>
    <t>Post-burst energy crash — physical sluggishness after big output</t>
  </si>
  <si>
    <t>Maki Shigeno</t>
  </si>
  <si>
    <t>Compassionate / Spirited / Enthusiastic</t>
  </si>
  <si>
    <t>Melodramatic / Self-interrupting / Inconstant</t>
  </si>
  <si>
    <t>Emberheart Weave</t>
  </si>
  <si>
    <t>Emotional instability directly mirrors flame behavior — panic scatters fire</t>
  </si>
  <si>
    <t>Mayumi Sasaki</t>
  </si>
  <si>
    <t>Caring / Methodological / Prudent</t>
  </si>
  <si>
    <t>Reclusive / Catastrophizing / Self-limiting</t>
  </si>
  <si>
    <t>Snowglass Field</t>
  </si>
  <si>
    <t>Body temp drops dangerously fast — long use causes shaking fatigue and brain fog</t>
  </si>
  <si>
    <t>Mica Dwyer</t>
  </si>
  <si>
    <t>Fury</t>
  </si>
  <si>
    <t>Assertive / Compelling / Incisive</t>
  </si>
  <si>
    <t>Temperamental / Egotistical / Combative</t>
  </si>
  <si>
    <t>Crimson Overdrive</t>
  </si>
  <si>
    <t>Emotions directly fuel flames — anger causes uncontrollable flare-ups</t>
  </si>
  <si>
    <t>Mieko Ozawa</t>
  </si>
  <si>
    <t>Inspiring / Empowering / Magnanimous</t>
  </si>
  <si>
    <t>Image-obsessed / Self-aggrandizing / Fame-driven</t>
  </si>
  <si>
    <t>Sovereign Blaze</t>
  </si>
  <si>
    <t>Flames weaken if she isn't the center of attention — doubt or being ignored sputters her power</t>
  </si>
  <si>
    <t>Miki Naoki</t>
  </si>
  <si>
    <t>ESTP</t>
  </si>
  <si>
    <t>Vigorous / Action-oriented / Adroit</t>
  </si>
  <si>
    <t>Unpredictable / Crass / Self-serving</t>
  </si>
  <si>
    <t>Riptide Dash</t>
  </si>
  <si>
    <t>Body loses structure if pushed — starts dripping and must re-stabilize</t>
  </si>
  <si>
    <t>Mitsuki Nakamura</t>
  </si>
  <si>
    <t>Playful / Inventive / Zestful</t>
  </si>
  <si>
    <t>Manic / Hyperactive / Fear-of-missing-out</t>
  </si>
  <si>
    <t>Astral Spin</t>
  </si>
  <si>
    <t>Storm aether causes power-drunk state — jittery overload leads to burnout crash</t>
  </si>
  <si>
    <t>Natsume Uemura</t>
  </si>
  <si>
    <t>Authentic / Dazzling / Self-expressive</t>
  </si>
  <si>
    <t>Capricious / Attention-hungry / Erratic</t>
  </si>
  <si>
    <t>Heartvine Pulse</t>
  </si>
  <si>
    <t>Powers expose emotional state in real time — panic amplifies vines</t>
  </si>
  <si>
    <t>Paula Lopez</t>
  </si>
  <si>
    <t>Cerebral / Penetrating / Foresighted</t>
  </si>
  <si>
    <t>Condescending / Withdrawn / Ungregarious</t>
  </si>
  <si>
    <t>Frostline</t>
  </si>
  <si>
    <t>Long exposure slows heart rate and cognition — borders on emotionally frozen</t>
  </si>
  <si>
    <t>Reiko Adachi</t>
  </si>
  <si>
    <t>Dignified / Industrious / Scrupulous</t>
  </si>
  <si>
    <t>Emotionally guarded / Status-focused / Self-punishing</t>
  </si>
  <si>
    <t>Frostveil</t>
  </si>
  <si>
    <t>Silence spreads into senses — overuse causes auditory fading then emotional numbness</t>
  </si>
  <si>
    <t>Sakae Izumi</t>
  </si>
  <si>
    <t>Mechanical / Mastery-oriented / Vigilant</t>
  </si>
  <si>
    <t>Suspicious / Secretive / Emotionally reserved</t>
  </si>
  <si>
    <t>Analyzer Thread</t>
  </si>
  <si>
    <t>Senses overload from reading too much at once — migraines nausea collapse</t>
  </si>
  <si>
    <t>Shaye Kaylen</t>
  </si>
  <si>
    <t>Forceful / Hardy / Unflappable</t>
  </si>
  <si>
    <t>Short-tempered / Entitled / Irresponsible</t>
  </si>
  <si>
    <t>Wildflare</t>
  </si>
  <si>
    <t>Flames respond to impulse — completely unpredictable and hard to direct</t>
  </si>
  <si>
    <t>Shiina Ishioka</t>
  </si>
  <si>
    <t>Selfless / Magnanimous / Nurturing</t>
  </si>
  <si>
    <t>Boundaries-less / Submissive / Insecure</t>
  </si>
  <si>
    <t>Halo Surge</t>
  </si>
  <si>
    <t>Own defenses drop to zero when buffing — becomes the easiest target</t>
  </si>
  <si>
    <t>Shizuka Aikawa</t>
  </si>
  <si>
    <t>Authoritative / Tenacious / Dominant</t>
  </si>
  <si>
    <t>Dictatorial / Intolerant / Bossy</t>
  </si>
  <si>
    <t>Dominion Mantle</t>
  </si>
  <si>
    <t>Ego cracks destabilize constructs violently — doubt is her weakness</t>
  </si>
  <si>
    <t>Sonia Spade</t>
  </si>
  <si>
    <t>Introspective / Perceptive / Original</t>
  </si>
  <si>
    <t>Brooding / Incommunicative / Abstracted</t>
  </si>
  <si>
    <t>Liminal Replica</t>
  </si>
  <si>
    <t>Replicas pull fragments of thoughts — harder to stay grounded with overuse</t>
  </si>
  <si>
    <t>Theresa Felix</t>
  </si>
  <si>
    <t>Boundless</t>
  </si>
  <si>
    <t>Spirited / Buoyant / Sensory-focused</t>
  </si>
  <si>
    <t>Hedonistic / Overwhelmed / Escapist</t>
  </si>
  <si>
    <t>Tremor Bloom</t>
  </si>
  <si>
    <t>Can't stop once started — runaway feedback risks environment-damaging quakes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</si>
</sst>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26">
    <dxf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084388-B01A-4BC1-AD05-EB96EA522A36}" autoFormatId="16" applyNumberFormats="0" applyBorderFormats="0" applyFontFormats="0" applyPatternFormats="0" applyAlignmentFormats="0" applyWidthHeightFormats="0">
  <queryTableRefresh nextId="27" unboundColumnsRight="3">
    <queryTableFields count="24">
      <queryTableField id="1" name="Name" tableColumnId="1"/>
      <queryTableField id="2" name="Pronouns" tableColumnId="2"/>
      <queryTableField id="3" name="Troupe" tableColumnId="3"/>
      <queryTableField id="4" name="Height_cm" tableColumnId="4"/>
      <queryTableField id="5" name="Element" tableColumnId="5"/>
      <queryTableField id="6" name="Aspect" tableColumnId="6"/>
      <queryTableField id="7" name="MBTI" tableColumnId="7"/>
      <queryTableField id="8" name="MBTI_Family" tableColumnId="8"/>
      <queryTableField id="9" name="IE" tableColumnId="9"/>
      <queryTableField id="10" name="Role" tableColumnId="10"/>
      <queryTableField id="11" name="Power" tableColumnId="11"/>
      <queryTableField id="12" name="Control" tableColumnId="12"/>
      <queryTableField id="13" name="Support" tableColumnId="13"/>
      <queryTableField id="14" name="Speed" tableColumnId="14"/>
      <queryTableField id="26" dataBound="0" tableColumnId="28"/>
      <queryTableField id="15" name="Drawback_Type" tableColumnId="15"/>
      <queryTableField id="16" name="Cross_Troupe_Group" tableColumnId="16"/>
      <queryTableField id="17" name="Positive_Traits" tableColumnId="17"/>
      <queryTableField id="18" name="Negative_Traits" tableColumnId="18"/>
      <queryTableField id="19" name="Signature_Ability" tableColumnId="19"/>
      <queryTableField id="20" name="Drawback_Summary" tableColumnId="20"/>
      <queryTableField id="21" dataBound="0" tableColumnId="21"/>
      <queryTableField id="22" dataBound="0" tableColumnId="22"/>
      <queryTableField id="25" dataBound="0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1E458E-4535-491B-A077-DBAA53058C31}" name="dns_csv" displayName="dns_csv" ref="A1:X41" tableType="queryTable" totalsRowShown="0" headerRowDxfId="25" dataDxfId="24">
  <autoFilter ref="A1:X41" xr:uid="{1A1E458E-4535-491B-A077-DBAA53058C31}"/>
  <sortState xmlns:xlrd2="http://schemas.microsoft.com/office/spreadsheetml/2017/richdata2" ref="A2:W41">
    <sortCondition ref="A1:A41"/>
  </sortState>
  <tableColumns count="24">
    <tableColumn id="1" xr3:uid="{6B295C6A-08C3-4E61-A0F8-4F3FAF754582}" uniqueName="1" name="Name" queryTableFieldId="1" dataDxfId="23"/>
    <tableColumn id="2" xr3:uid="{26072273-DF7F-4280-BC7D-A48DAEBFB429}" uniqueName="2" name="Pronouns" queryTableFieldId="2" dataDxfId="22"/>
    <tableColumn id="3" xr3:uid="{7831DCBB-57A2-4566-A790-B3FEB67235B6}" uniqueName="3" name="Troupe" queryTableFieldId="3" dataDxfId="21"/>
    <tableColumn id="4" xr3:uid="{3847706C-2F2D-4F48-B625-02C687E2CF40}" uniqueName="4" name="Height (cm)" queryTableFieldId="4" dataDxfId="20"/>
    <tableColumn id="5" xr3:uid="{837F37C2-AA26-466E-A2FC-19E4095A3792}" uniqueName="5" name="Element" queryTableFieldId="5" dataDxfId="19"/>
    <tableColumn id="6" xr3:uid="{55971DFE-D428-4835-B052-362B77B96585}" uniqueName="6" name="Aspect" queryTableFieldId="6" dataDxfId="18"/>
    <tableColumn id="7" xr3:uid="{BC6C217A-7CBF-4FBF-862F-E989BB45AC8A}" uniqueName="7" name="MBTI" queryTableFieldId="7" dataDxfId="17"/>
    <tableColumn id="8" xr3:uid="{28EEE5BB-BD6B-49D7-9676-D58E5D9116A0}" uniqueName="8" name="MBTI Family" queryTableFieldId="8" dataDxfId="16"/>
    <tableColumn id="9" xr3:uid="{AEF284FC-8CBF-4F22-8F6A-20AFF3E9476B}" uniqueName="9" name="IE" queryTableFieldId="9" dataDxfId="15"/>
    <tableColumn id="10" xr3:uid="{BCFDC8A0-6107-458F-B827-EC5FDECAB303}" uniqueName="10" name="Role" queryTableFieldId="10" dataDxfId="14"/>
    <tableColumn id="11" xr3:uid="{16B481AE-EF46-4E89-9EDD-9A17555B3B74}" uniqueName="11" name="Power" queryTableFieldId="11" dataDxfId="13"/>
    <tableColumn id="12" xr3:uid="{DCB13956-FF16-4D5A-A4EA-960203700873}" uniqueName="12" name="Control" queryTableFieldId="12" dataDxfId="12"/>
    <tableColumn id="13" xr3:uid="{958248AE-161A-4536-B125-AC3423998333}" uniqueName="13" name="Support" queryTableFieldId="13" dataDxfId="11"/>
    <tableColumn id="14" xr3:uid="{B33A75FB-5EA1-40C5-B145-1FDB95ABB218}" uniqueName="14" name="Speed" queryTableFieldId="14" dataDxfId="10"/>
    <tableColumn id="28" xr3:uid="{EA7526FC-6645-477D-B3BF-5712D0C5E616}" uniqueName="28" name="Defense" queryTableFieldId="26" dataDxfId="9">
      <calculatedColumnFormula array="1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calculatedColumnFormula>
    </tableColumn>
    <tableColumn id="15" xr3:uid="{4091EEE4-A477-44EA-A2C7-758829D95F43}" uniqueName="15" name="Drawback Type" queryTableFieldId="15" dataDxfId="8"/>
    <tableColumn id="16" xr3:uid="{FF8015FB-8410-4754-A454-7CC93B23E9A4}" uniqueName="16" name="Group" queryTableFieldId="16" dataDxfId="7"/>
    <tableColumn id="17" xr3:uid="{4F81207C-B262-4560-B24F-E03D7527A4AF}" uniqueName="17" name="Positive Traits" queryTableFieldId="17" dataDxfId="6"/>
    <tableColumn id="18" xr3:uid="{6AC0DB3B-6F65-4D13-8709-BD50ED60471C}" uniqueName="18" name="Negative Traits" queryTableFieldId="18" dataDxfId="5"/>
    <tableColumn id="19" xr3:uid="{C6031203-15F8-4906-8ECC-71B6A6E7BE98}" uniqueName="19" name="Signature_Ability" queryTableFieldId="19" dataDxfId="4"/>
    <tableColumn id="20" xr3:uid="{48635BCF-98AB-4261-9DDD-D5BAF73D9ED9}" uniqueName="20" name="Drawback_Summary" queryTableFieldId="20" dataDxfId="3"/>
    <tableColumn id="21" xr3:uid="{FFBC7486-FFF1-45DC-8287-B4C796353837}" uniqueName="21" name="Total" queryTableFieldId="21" dataDxfId="2">
      <calculatedColumnFormula>SUM(dns_csv[[#This Row],[Power]:[Speed]])</calculatedColumnFormula>
    </tableColumn>
    <tableColumn id="22" xr3:uid="{B828E227-E600-4275-BD7F-6CF4E52EFE37}" uniqueName="22" name="Power Tier" queryTableFieldId="22" dataDxfId="1">
      <calculatedColumnFormula array="1">_xlfn.IFS(dns_csv[[#This Row],[Power]]&gt;=85,"S Tier", dns_csv[[#This Row],[Power]]&gt;=70,"A Tier", dns_csv[[#This Row],[Power]]&gt;=50,"B Tier", TRUE, "C Tier")</calculatedColumnFormula>
    </tableColumn>
    <tableColumn id="25" xr3:uid="{C9E0F603-1DC2-4EDA-98C2-478C6FC42534}" uniqueName="25" name="Playstyle" queryTableFieldId="25" dataDxfId="0">
      <calculatedColumnFormula array="1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2DB42-ADA2-4325-93D7-B833C664E679}">
  <dimension ref="A1:X41"/>
  <sheetViews>
    <sheetView tabSelected="1" topLeftCell="R27" zoomScale="82" zoomScaleNormal="130" workbookViewId="0">
      <selection activeCell="V31" sqref="V31"/>
    </sheetView>
  </sheetViews>
  <sheetFormatPr defaultRowHeight="14.4" x14ac:dyDescent="0.3"/>
  <cols>
    <col min="1" max="1" width="17.21875" customWidth="1"/>
    <col min="2" max="2" width="10.77734375" customWidth="1"/>
    <col min="16" max="16" width="10.88671875" customWidth="1"/>
    <col min="17" max="17" width="19.6640625" customWidth="1"/>
    <col min="18" max="19" width="26.77734375" style="6" customWidth="1"/>
    <col min="20" max="20" width="17.77734375" customWidth="1"/>
    <col min="21" max="21" width="46.88671875" style="6" customWidth="1"/>
    <col min="24" max="24" width="15.33203125" customWidth="1"/>
  </cols>
  <sheetData>
    <row r="1" spans="1:2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28.8" x14ac:dyDescent="0.3">
      <c r="A2" s="2" t="s">
        <v>24</v>
      </c>
      <c r="B2" s="2" t="s">
        <v>25</v>
      </c>
      <c r="C2" s="2">
        <v>8</v>
      </c>
      <c r="D2" s="2">
        <v>170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12</v>
      </c>
      <c r="K2" s="2">
        <v>38</v>
      </c>
      <c r="L2" s="2">
        <v>78</v>
      </c>
      <c r="M2" s="2">
        <v>65</v>
      </c>
      <c r="N2" s="2">
        <v>45</v>
      </c>
      <c r="O2" s="2" cm="1">
        <f t="array" ref="O2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61</v>
      </c>
      <c r="P2" s="2" t="s">
        <v>31</v>
      </c>
      <c r="Q2" s="2" t="s">
        <v>32</v>
      </c>
      <c r="R2" s="3" t="s">
        <v>33</v>
      </c>
      <c r="S2" s="3" t="s">
        <v>34</v>
      </c>
      <c r="T2" s="2" t="s">
        <v>35</v>
      </c>
      <c r="U2" s="3" t="s">
        <v>36</v>
      </c>
      <c r="V2" s="4">
        <f>SUM(dns_csv[[#This Row],[Power]:[Speed]])</f>
        <v>226</v>
      </c>
      <c r="W2" s="4" t="str" cm="1">
        <f t="array" ref="W2">_xlfn.IFS(dns_csv[[#This Row],[Power]]&gt;=85,"S Tier", dns_csv[[#This Row],[Power]]&gt;=70,"A Tier", dns_csv[[#This Row],[Power]]&gt;=50,"B Tier", TRUE, "C Tier")</f>
        <v>C Tier</v>
      </c>
      <c r="X2" s="4" t="str" cm="1">
        <f t="array" ref="X2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Battle Medic</v>
      </c>
    </row>
    <row r="3" spans="1:24" ht="28.8" x14ac:dyDescent="0.3">
      <c r="A3" s="2" t="s">
        <v>37</v>
      </c>
      <c r="B3" s="2" t="s">
        <v>38</v>
      </c>
      <c r="C3" s="2">
        <v>4</v>
      </c>
      <c r="D3" s="2">
        <v>163</v>
      </c>
      <c r="E3" s="2" t="s">
        <v>39</v>
      </c>
      <c r="F3" s="2" t="s">
        <v>40</v>
      </c>
      <c r="G3" s="2" t="s">
        <v>41</v>
      </c>
      <c r="H3" s="2" t="s">
        <v>42</v>
      </c>
      <c r="I3" s="2" t="s">
        <v>43</v>
      </c>
      <c r="J3" s="2" t="s">
        <v>44</v>
      </c>
      <c r="K3" s="2">
        <v>90</v>
      </c>
      <c r="L3" s="2">
        <v>22</v>
      </c>
      <c r="M3" s="2">
        <v>12</v>
      </c>
      <c r="N3" s="2">
        <v>93</v>
      </c>
      <c r="O3" s="2" cm="1">
        <f t="array" ref="O3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27</v>
      </c>
      <c r="P3" s="2" t="s">
        <v>45</v>
      </c>
      <c r="Q3" s="2" t="s">
        <v>46</v>
      </c>
      <c r="R3" s="3" t="s">
        <v>47</v>
      </c>
      <c r="S3" s="3" t="s">
        <v>48</v>
      </c>
      <c r="T3" s="2" t="s">
        <v>49</v>
      </c>
      <c r="U3" s="3" t="s">
        <v>50</v>
      </c>
      <c r="V3" s="2">
        <f>SUM(dns_csv[[#This Row],[Power]:[Speed]])</f>
        <v>217</v>
      </c>
      <c r="W3" s="2" t="str" cm="1">
        <f t="array" ref="W3">_xlfn.IFS(dns_csv[[#This Row],[Power]]&gt;=85,"S Tier", dns_csv[[#This Row],[Power]]&gt;=70,"A Tier", dns_csv[[#This Row],[Power]]&gt;=50,"B Tier", TRUE, "C Tier")</f>
        <v>S Tier</v>
      </c>
      <c r="X3" s="2" t="str" cm="1">
        <f t="array" ref="X3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Brawler</v>
      </c>
    </row>
    <row r="4" spans="1:24" ht="28.8" x14ac:dyDescent="0.3">
      <c r="A4" s="2" t="s">
        <v>51</v>
      </c>
      <c r="B4" s="2" t="s">
        <v>25</v>
      </c>
      <c r="C4" s="2">
        <v>5</v>
      </c>
      <c r="D4" s="2">
        <v>163</v>
      </c>
      <c r="E4" s="2" t="s">
        <v>52</v>
      </c>
      <c r="F4" s="2" t="s">
        <v>53</v>
      </c>
      <c r="G4" s="2" t="s">
        <v>28</v>
      </c>
      <c r="H4" s="2" t="s">
        <v>29</v>
      </c>
      <c r="I4" s="2" t="s">
        <v>30</v>
      </c>
      <c r="J4" s="2" t="s">
        <v>12</v>
      </c>
      <c r="K4" s="2">
        <v>40</v>
      </c>
      <c r="L4" s="2">
        <v>60</v>
      </c>
      <c r="M4" s="2">
        <v>90</v>
      </c>
      <c r="N4" s="2">
        <v>38</v>
      </c>
      <c r="O4" s="2" cm="1">
        <f t="array" ref="O4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59</v>
      </c>
      <c r="P4" s="2" t="s">
        <v>54</v>
      </c>
      <c r="Q4" s="2" t="s">
        <v>32</v>
      </c>
      <c r="R4" s="3" t="s">
        <v>55</v>
      </c>
      <c r="S4" s="3" t="s">
        <v>56</v>
      </c>
      <c r="T4" s="2" t="s">
        <v>57</v>
      </c>
      <c r="U4" s="3" t="s">
        <v>58</v>
      </c>
      <c r="V4" s="2">
        <f>SUM(dns_csv[[#This Row],[Power]:[Speed]])</f>
        <v>228</v>
      </c>
      <c r="W4" s="2" t="str" cm="1">
        <f t="array" ref="W4">_xlfn.IFS(dns_csv[[#This Row],[Power]]&gt;=85,"S Tier", dns_csv[[#This Row],[Power]]&gt;=70,"A Tier", dns_csv[[#This Row],[Power]]&gt;=50,"B Tier", TRUE, "C Tier")</f>
        <v>C Tier</v>
      </c>
      <c r="X4" s="2" t="str" cm="1">
        <f t="array" ref="X4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Full Support</v>
      </c>
    </row>
    <row r="5" spans="1:24" ht="28.8" x14ac:dyDescent="0.3">
      <c r="A5" s="2" t="s">
        <v>59</v>
      </c>
      <c r="B5" s="2" t="s">
        <v>25</v>
      </c>
      <c r="C5" s="2">
        <v>6</v>
      </c>
      <c r="D5" s="2">
        <v>171</v>
      </c>
      <c r="E5" s="2" t="s">
        <v>60</v>
      </c>
      <c r="F5" s="2" t="s">
        <v>61</v>
      </c>
      <c r="G5" s="2" t="s">
        <v>62</v>
      </c>
      <c r="H5" s="2" t="s">
        <v>63</v>
      </c>
      <c r="I5" s="2" t="s">
        <v>30</v>
      </c>
      <c r="J5" s="2" t="s">
        <v>64</v>
      </c>
      <c r="K5" s="2">
        <v>45</v>
      </c>
      <c r="L5" s="2">
        <v>80</v>
      </c>
      <c r="M5" s="2">
        <v>38</v>
      </c>
      <c r="N5" s="2">
        <v>70</v>
      </c>
      <c r="O5" s="2" cm="1">
        <f t="array" ref="O5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49</v>
      </c>
      <c r="P5" s="2" t="s">
        <v>45</v>
      </c>
      <c r="Q5" s="2" t="s">
        <v>65</v>
      </c>
      <c r="R5" s="3" t="s">
        <v>66</v>
      </c>
      <c r="S5" s="3" t="s">
        <v>67</v>
      </c>
      <c r="T5" s="2" t="s">
        <v>68</v>
      </c>
      <c r="U5" s="3" t="s">
        <v>69</v>
      </c>
      <c r="V5" s="2">
        <f>SUM(dns_csv[[#This Row],[Power]:[Speed]])</f>
        <v>233</v>
      </c>
      <c r="W5" s="2" t="str" cm="1">
        <f t="array" ref="W5">_xlfn.IFS(dns_csv[[#This Row],[Power]]&gt;=85,"S Tier", dns_csv[[#This Row],[Power]]&gt;=70,"A Tier", dns_csv[[#This Row],[Power]]&gt;=50,"B Tier", TRUE, "C Tier")</f>
        <v>C Tier</v>
      </c>
      <c r="X5" s="2" t="str" cm="1">
        <f t="array" ref="X5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Harasser</v>
      </c>
    </row>
    <row r="6" spans="1:24" ht="28.8" x14ac:dyDescent="0.3">
      <c r="A6" s="2" t="s">
        <v>70</v>
      </c>
      <c r="B6" s="2" t="s">
        <v>25</v>
      </c>
      <c r="C6" s="2">
        <v>5</v>
      </c>
      <c r="D6" s="2">
        <v>170</v>
      </c>
      <c r="E6" s="2" t="s">
        <v>39</v>
      </c>
      <c r="F6" s="2" t="s">
        <v>71</v>
      </c>
      <c r="G6" s="2" t="s">
        <v>72</v>
      </c>
      <c r="H6" s="2" t="s">
        <v>29</v>
      </c>
      <c r="I6" s="2" t="s">
        <v>43</v>
      </c>
      <c r="J6" s="2" t="s">
        <v>44</v>
      </c>
      <c r="K6" s="2">
        <v>68</v>
      </c>
      <c r="L6" s="2">
        <v>72</v>
      </c>
      <c r="M6" s="2">
        <v>25</v>
      </c>
      <c r="N6" s="2">
        <v>55</v>
      </c>
      <c r="O6" s="2" cm="1">
        <f t="array" ref="O6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34</v>
      </c>
      <c r="P6" s="2" t="s">
        <v>45</v>
      </c>
      <c r="Q6" s="2" t="s">
        <v>73</v>
      </c>
      <c r="R6" s="3" t="s">
        <v>74</v>
      </c>
      <c r="S6" s="3" t="s">
        <v>75</v>
      </c>
      <c r="T6" s="2" t="s">
        <v>76</v>
      </c>
      <c r="U6" s="3" t="s">
        <v>77</v>
      </c>
      <c r="V6" s="2">
        <f>SUM(dns_csv[[#This Row],[Power]:[Speed]])</f>
        <v>220</v>
      </c>
      <c r="W6" s="2" t="str" cm="1">
        <f t="array" ref="W6">_xlfn.IFS(dns_csv[[#This Row],[Power]]&gt;=85,"S Tier", dns_csv[[#This Row],[Power]]&gt;=70,"A Tier", dns_csv[[#This Row],[Power]]&gt;=50,"B Tier", TRUE, "C Tier")</f>
        <v>B Tier</v>
      </c>
      <c r="X6" s="2" t="str" cm="1">
        <f t="array" ref="X6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Skirmisher</v>
      </c>
    </row>
    <row r="7" spans="1:24" ht="28.8" x14ac:dyDescent="0.3">
      <c r="A7" s="2" t="s">
        <v>78</v>
      </c>
      <c r="B7" s="2" t="s">
        <v>25</v>
      </c>
      <c r="C7" s="2">
        <v>7</v>
      </c>
      <c r="D7" s="2">
        <v>175</v>
      </c>
      <c r="E7" s="2" t="s">
        <v>52</v>
      </c>
      <c r="F7" s="2" t="s">
        <v>79</v>
      </c>
      <c r="G7" s="2" t="s">
        <v>80</v>
      </c>
      <c r="H7" s="2" t="s">
        <v>81</v>
      </c>
      <c r="I7" s="2" t="s">
        <v>30</v>
      </c>
      <c r="J7" s="2" t="s">
        <v>44</v>
      </c>
      <c r="K7" s="2">
        <v>82</v>
      </c>
      <c r="L7" s="2">
        <v>90</v>
      </c>
      <c r="M7" s="2">
        <v>20</v>
      </c>
      <c r="N7" s="2">
        <v>60</v>
      </c>
      <c r="O7" s="2" cm="1">
        <f t="array" ref="O7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36</v>
      </c>
      <c r="P7" s="2" t="s">
        <v>54</v>
      </c>
      <c r="Q7" s="2" t="s">
        <v>82</v>
      </c>
      <c r="R7" s="3" t="s">
        <v>83</v>
      </c>
      <c r="S7" s="3" t="s">
        <v>84</v>
      </c>
      <c r="T7" s="2" t="s">
        <v>85</v>
      </c>
      <c r="U7" s="3" t="s">
        <v>86</v>
      </c>
      <c r="V7" s="2">
        <f>SUM(dns_csv[[#This Row],[Power]:[Speed]])</f>
        <v>252</v>
      </c>
      <c r="W7" s="2" t="str" cm="1">
        <f t="array" ref="W7">_xlfn.IFS(dns_csv[[#This Row],[Power]]&gt;=85,"S Tier", dns_csv[[#This Row],[Power]]&gt;=70,"A Tier", dns_csv[[#This Row],[Power]]&gt;=50,"B Tier", TRUE, "C Tier")</f>
        <v>A Tier</v>
      </c>
      <c r="X7" s="2" t="str" cm="1">
        <f t="array" ref="X7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Brawler</v>
      </c>
    </row>
    <row r="8" spans="1:24" ht="28.8" x14ac:dyDescent="0.3">
      <c r="A8" s="2" t="s">
        <v>87</v>
      </c>
      <c r="B8" s="2" t="s">
        <v>25</v>
      </c>
      <c r="C8" s="2">
        <v>7</v>
      </c>
      <c r="D8" s="2">
        <v>168</v>
      </c>
      <c r="E8" s="2" t="s">
        <v>39</v>
      </c>
      <c r="F8" s="2" t="s">
        <v>88</v>
      </c>
      <c r="G8" s="2" t="s">
        <v>89</v>
      </c>
      <c r="H8" s="2" t="s">
        <v>42</v>
      </c>
      <c r="I8" s="2" t="s">
        <v>30</v>
      </c>
      <c r="J8" s="2" t="s">
        <v>44</v>
      </c>
      <c r="K8" s="2">
        <v>78</v>
      </c>
      <c r="L8" s="2">
        <v>65</v>
      </c>
      <c r="M8" s="2">
        <v>18</v>
      </c>
      <c r="N8" s="2">
        <v>68</v>
      </c>
      <c r="O8" s="2" cm="1">
        <f t="array" ref="O8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34</v>
      </c>
      <c r="P8" s="2" t="s">
        <v>54</v>
      </c>
      <c r="Q8" s="2" t="s">
        <v>73</v>
      </c>
      <c r="R8" s="3" t="s">
        <v>90</v>
      </c>
      <c r="S8" s="3" t="s">
        <v>91</v>
      </c>
      <c r="T8" s="2" t="s">
        <v>92</v>
      </c>
      <c r="U8" s="3" t="s">
        <v>93</v>
      </c>
      <c r="V8" s="2">
        <f>SUM(dns_csv[[#This Row],[Power]:[Speed]])</f>
        <v>229</v>
      </c>
      <c r="W8" s="2" t="str" cm="1">
        <f t="array" ref="W8">_xlfn.IFS(dns_csv[[#This Row],[Power]]&gt;=85,"S Tier", dns_csv[[#This Row],[Power]]&gt;=70,"A Tier", dns_csv[[#This Row],[Power]]&gt;=50,"B Tier", TRUE, "C Tier")</f>
        <v>A Tier</v>
      </c>
      <c r="X8" s="2" t="str" cm="1">
        <f t="array" ref="X8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Skirmisher</v>
      </c>
    </row>
    <row r="9" spans="1:24" ht="28.8" x14ac:dyDescent="0.3">
      <c r="A9" s="2" t="s">
        <v>94</v>
      </c>
      <c r="B9" s="2" t="s">
        <v>25</v>
      </c>
      <c r="C9" s="2">
        <v>3</v>
      </c>
      <c r="D9" s="2">
        <v>173</v>
      </c>
      <c r="E9" s="2" t="s">
        <v>95</v>
      </c>
      <c r="F9" s="2" t="s">
        <v>79</v>
      </c>
      <c r="G9" s="2" t="s">
        <v>80</v>
      </c>
      <c r="H9" s="2" t="s">
        <v>81</v>
      </c>
      <c r="I9" s="2" t="s">
        <v>30</v>
      </c>
      <c r="J9" s="2" t="s">
        <v>96</v>
      </c>
      <c r="K9" s="2">
        <v>75</v>
      </c>
      <c r="L9" s="2">
        <v>80</v>
      </c>
      <c r="M9" s="2">
        <v>40</v>
      </c>
      <c r="N9" s="2">
        <v>45</v>
      </c>
      <c r="O9" s="2" cm="1">
        <f t="array" ref="O9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76</v>
      </c>
      <c r="P9" s="2" t="s">
        <v>54</v>
      </c>
      <c r="Q9" s="2" t="s">
        <v>97</v>
      </c>
      <c r="R9" s="3" t="s">
        <v>98</v>
      </c>
      <c r="S9" s="3" t="s">
        <v>99</v>
      </c>
      <c r="T9" s="2" t="s">
        <v>100</v>
      </c>
      <c r="U9" s="3" t="s">
        <v>101</v>
      </c>
      <c r="V9" s="2">
        <f>SUM(dns_csv[[#This Row],[Power]:[Speed]])</f>
        <v>240</v>
      </c>
      <c r="W9" s="2" t="str" cm="1">
        <f t="array" ref="W9">_xlfn.IFS(dns_csv[[#This Row],[Power]]&gt;=85,"S Tier", dns_csv[[#This Row],[Power]]&gt;=70,"A Tier", dns_csv[[#This Row],[Power]]&gt;=50,"B Tier", TRUE, "C Tier")</f>
        <v>A Tier</v>
      </c>
      <c r="X9" s="2" t="str" cm="1">
        <f t="array" ref="X9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Fortress</v>
      </c>
    </row>
    <row r="10" spans="1:24" ht="28.8" x14ac:dyDescent="0.3">
      <c r="A10" s="2" t="s">
        <v>102</v>
      </c>
      <c r="B10" s="2" t="s">
        <v>25</v>
      </c>
      <c r="C10" s="2">
        <v>8</v>
      </c>
      <c r="D10" s="2">
        <v>166</v>
      </c>
      <c r="E10" s="2" t="s">
        <v>39</v>
      </c>
      <c r="F10" s="2" t="s">
        <v>103</v>
      </c>
      <c r="G10" s="2" t="s">
        <v>104</v>
      </c>
      <c r="H10" s="2" t="s">
        <v>81</v>
      </c>
      <c r="I10" s="2" t="s">
        <v>43</v>
      </c>
      <c r="J10" s="2" t="s">
        <v>44</v>
      </c>
      <c r="K10" s="2">
        <v>72</v>
      </c>
      <c r="L10" s="2">
        <v>42</v>
      </c>
      <c r="M10" s="2">
        <v>35</v>
      </c>
      <c r="N10" s="2">
        <v>65</v>
      </c>
      <c r="O10" s="2" cm="1">
        <f t="array" ref="O10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31</v>
      </c>
      <c r="P10" s="2" t="s">
        <v>54</v>
      </c>
      <c r="Q10" s="2" t="s">
        <v>105</v>
      </c>
      <c r="R10" s="3" t="s">
        <v>106</v>
      </c>
      <c r="S10" s="3" t="s">
        <v>107</v>
      </c>
      <c r="T10" s="2" t="s">
        <v>108</v>
      </c>
      <c r="U10" s="3" t="s">
        <v>109</v>
      </c>
      <c r="V10" s="2">
        <f>SUM(dns_csv[[#This Row],[Power]:[Speed]])</f>
        <v>214</v>
      </c>
      <c r="W10" s="2" t="str" cm="1">
        <f t="array" ref="W10">_xlfn.IFS(dns_csv[[#This Row],[Power]]&gt;=85,"S Tier", dns_csv[[#This Row],[Power]]&gt;=70,"A Tier", dns_csv[[#This Row],[Power]]&gt;=50,"B Tier", TRUE, "C Tier")</f>
        <v>A Tier</v>
      </c>
      <c r="X10" s="2" t="str" cm="1">
        <f t="array" ref="X10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Skirmisher</v>
      </c>
    </row>
    <row r="11" spans="1:24" ht="28.8" x14ac:dyDescent="0.3">
      <c r="A11" s="2" t="s">
        <v>110</v>
      </c>
      <c r="B11" s="2" t="s">
        <v>25</v>
      </c>
      <c r="C11" s="2">
        <v>6</v>
      </c>
      <c r="D11" s="2">
        <v>168</v>
      </c>
      <c r="E11" s="2" t="s">
        <v>111</v>
      </c>
      <c r="F11" s="2" t="s">
        <v>27</v>
      </c>
      <c r="G11" s="2" t="s">
        <v>112</v>
      </c>
      <c r="H11" s="2" t="s">
        <v>81</v>
      </c>
      <c r="I11" s="2" t="s">
        <v>30</v>
      </c>
      <c r="J11" s="2" t="s">
        <v>12</v>
      </c>
      <c r="K11" s="2">
        <v>35</v>
      </c>
      <c r="L11" s="2">
        <v>75</v>
      </c>
      <c r="M11" s="2">
        <v>88</v>
      </c>
      <c r="N11" s="2">
        <v>42</v>
      </c>
      <c r="O11" s="2" cm="1">
        <f t="array" ref="O11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61</v>
      </c>
      <c r="P11" s="2" t="s">
        <v>54</v>
      </c>
      <c r="Q11" s="2" t="s">
        <v>65</v>
      </c>
      <c r="R11" s="3" t="s">
        <v>113</v>
      </c>
      <c r="S11" s="3" t="s">
        <v>114</v>
      </c>
      <c r="T11" s="2" t="s">
        <v>115</v>
      </c>
      <c r="U11" s="3" t="s">
        <v>116</v>
      </c>
      <c r="V11" s="2">
        <f>SUM(dns_csv[[#This Row],[Power]:[Speed]])</f>
        <v>240</v>
      </c>
      <c r="W11" s="2" t="str" cm="1">
        <f t="array" ref="W11">_xlfn.IFS(dns_csv[[#This Row],[Power]]&gt;=85,"S Tier", dns_csv[[#This Row],[Power]]&gt;=70,"A Tier", dns_csv[[#This Row],[Power]]&gt;=50,"B Tier", TRUE, "C Tier")</f>
        <v>C Tier</v>
      </c>
      <c r="X11" s="2" t="str" cm="1">
        <f t="array" ref="X11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Full Support</v>
      </c>
    </row>
    <row r="12" spans="1:24" ht="28.8" x14ac:dyDescent="0.3">
      <c r="A12" s="2" t="s">
        <v>117</v>
      </c>
      <c r="B12" s="2" t="s">
        <v>25</v>
      </c>
      <c r="C12" s="2">
        <v>6</v>
      </c>
      <c r="D12" s="2">
        <v>167</v>
      </c>
      <c r="E12" s="2" t="s">
        <v>52</v>
      </c>
      <c r="F12" s="2" t="s">
        <v>40</v>
      </c>
      <c r="G12" s="2" t="s">
        <v>118</v>
      </c>
      <c r="H12" s="2" t="s">
        <v>29</v>
      </c>
      <c r="I12" s="2" t="s">
        <v>43</v>
      </c>
      <c r="J12" s="2" t="s">
        <v>44</v>
      </c>
      <c r="K12" s="2">
        <v>80</v>
      </c>
      <c r="L12" s="2">
        <v>38</v>
      </c>
      <c r="M12" s="2">
        <v>22</v>
      </c>
      <c r="N12" s="2">
        <v>85</v>
      </c>
      <c r="O12" s="2" cm="1">
        <f t="array" ref="O12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30</v>
      </c>
      <c r="P12" s="2" t="s">
        <v>31</v>
      </c>
      <c r="Q12" s="2" t="s">
        <v>46</v>
      </c>
      <c r="R12" s="3" t="s">
        <v>119</v>
      </c>
      <c r="S12" s="3" t="s">
        <v>120</v>
      </c>
      <c r="T12" s="2" t="s">
        <v>121</v>
      </c>
      <c r="U12" s="3" t="s">
        <v>122</v>
      </c>
      <c r="V12" s="2">
        <f>SUM(dns_csv[[#This Row],[Power]:[Speed]])</f>
        <v>225</v>
      </c>
      <c r="W12" s="2" t="str" cm="1">
        <f t="array" ref="W12">_xlfn.IFS(dns_csv[[#This Row],[Power]]&gt;=85,"S Tier", dns_csv[[#This Row],[Power]]&gt;=70,"A Tier", dns_csv[[#This Row],[Power]]&gt;=50,"B Tier", TRUE, "C Tier")</f>
        <v>A Tier</v>
      </c>
      <c r="X12" s="2" t="str" cm="1">
        <f t="array" ref="X12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Brawler</v>
      </c>
    </row>
    <row r="13" spans="1:24" ht="28.8" x14ac:dyDescent="0.3">
      <c r="A13" s="2" t="s">
        <v>123</v>
      </c>
      <c r="B13" s="2" t="s">
        <v>25</v>
      </c>
      <c r="C13" s="2">
        <v>6</v>
      </c>
      <c r="D13" s="2">
        <v>171</v>
      </c>
      <c r="E13" s="2" t="s">
        <v>26</v>
      </c>
      <c r="F13" s="2" t="s">
        <v>53</v>
      </c>
      <c r="G13" s="2" t="s">
        <v>62</v>
      </c>
      <c r="H13" s="2" t="s">
        <v>63</v>
      </c>
      <c r="I13" s="2" t="s">
        <v>30</v>
      </c>
      <c r="J13" s="2" t="s">
        <v>12</v>
      </c>
      <c r="K13" s="2">
        <v>50</v>
      </c>
      <c r="L13" s="2">
        <v>60</v>
      </c>
      <c r="M13" s="2">
        <v>72</v>
      </c>
      <c r="N13" s="2">
        <v>45</v>
      </c>
      <c r="O13" s="2" cm="1">
        <f t="array" ref="O13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59</v>
      </c>
      <c r="P13" s="2" t="s">
        <v>45</v>
      </c>
      <c r="Q13" s="2" t="s">
        <v>65</v>
      </c>
      <c r="R13" s="3" t="s">
        <v>124</v>
      </c>
      <c r="S13" s="3" t="s">
        <v>125</v>
      </c>
      <c r="T13" s="2" t="s">
        <v>126</v>
      </c>
      <c r="U13" s="3" t="s">
        <v>127</v>
      </c>
      <c r="V13" s="2">
        <f>SUM(dns_csv[[#This Row],[Power]:[Speed]])</f>
        <v>227</v>
      </c>
      <c r="W13" s="2" t="str" cm="1">
        <f t="array" ref="W13">_xlfn.IFS(dns_csv[[#This Row],[Power]]&gt;=85,"S Tier", dns_csv[[#This Row],[Power]]&gt;=70,"A Tier", dns_csv[[#This Row],[Power]]&gt;=50,"B Tier", TRUE, "C Tier")</f>
        <v>B Tier</v>
      </c>
      <c r="X13" s="2" t="str" cm="1">
        <f t="array" ref="X13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Support</v>
      </c>
    </row>
    <row r="14" spans="1:24" ht="28.8" x14ac:dyDescent="0.3">
      <c r="A14" s="2" t="s">
        <v>128</v>
      </c>
      <c r="B14" s="2" t="s">
        <v>25</v>
      </c>
      <c r="C14" s="2">
        <v>6</v>
      </c>
      <c r="D14" s="2">
        <v>168</v>
      </c>
      <c r="E14" s="2" t="s">
        <v>129</v>
      </c>
      <c r="F14" s="2" t="s">
        <v>88</v>
      </c>
      <c r="G14" s="2" t="s">
        <v>130</v>
      </c>
      <c r="H14" s="2" t="s">
        <v>29</v>
      </c>
      <c r="I14" s="2" t="s">
        <v>30</v>
      </c>
      <c r="J14" s="2" t="s">
        <v>64</v>
      </c>
      <c r="K14" s="2">
        <v>45</v>
      </c>
      <c r="L14" s="2">
        <v>82</v>
      </c>
      <c r="M14" s="2">
        <v>48</v>
      </c>
      <c r="N14" s="2">
        <v>50</v>
      </c>
      <c r="O14" s="2" cm="1">
        <f t="array" ref="O14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50</v>
      </c>
      <c r="P14" s="2" t="s">
        <v>31</v>
      </c>
      <c r="Q14" s="2" t="s">
        <v>65</v>
      </c>
      <c r="R14" s="3" t="s">
        <v>131</v>
      </c>
      <c r="S14" s="3" t="s">
        <v>132</v>
      </c>
      <c r="T14" s="2" t="s">
        <v>133</v>
      </c>
      <c r="U14" s="3" t="s">
        <v>134</v>
      </c>
      <c r="V14" s="2">
        <f>SUM(dns_csv[[#This Row],[Power]:[Speed]])</f>
        <v>225</v>
      </c>
      <c r="W14" s="2" t="str" cm="1">
        <f t="array" ref="W14">_xlfn.IFS(dns_csv[[#This Row],[Power]]&gt;=85,"S Tier", dns_csv[[#This Row],[Power]]&gt;=70,"A Tier", dns_csv[[#This Row],[Power]]&gt;=50,"B Tier", TRUE, "C Tier")</f>
        <v>C Tier</v>
      </c>
      <c r="X14" s="2" t="str" cm="1">
        <f t="array" ref="X14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Disruptor</v>
      </c>
    </row>
    <row r="15" spans="1:24" ht="28.8" x14ac:dyDescent="0.3">
      <c r="A15" s="2" t="s">
        <v>135</v>
      </c>
      <c r="B15" s="2" t="s">
        <v>136</v>
      </c>
      <c r="C15" s="2">
        <v>7</v>
      </c>
      <c r="D15" s="2">
        <v>172</v>
      </c>
      <c r="E15" s="2" t="s">
        <v>95</v>
      </c>
      <c r="F15" s="2" t="s">
        <v>40</v>
      </c>
      <c r="G15" s="2" t="s">
        <v>137</v>
      </c>
      <c r="H15" s="2" t="s">
        <v>42</v>
      </c>
      <c r="I15" s="2" t="s">
        <v>43</v>
      </c>
      <c r="J15" s="2" t="s">
        <v>96</v>
      </c>
      <c r="K15" s="2">
        <v>85</v>
      </c>
      <c r="L15" s="2">
        <v>58</v>
      </c>
      <c r="M15" s="2">
        <v>15</v>
      </c>
      <c r="N15" s="2">
        <v>72</v>
      </c>
      <c r="O15" s="2" cm="1">
        <f t="array" ref="O15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72</v>
      </c>
      <c r="P15" s="2" t="s">
        <v>45</v>
      </c>
      <c r="Q15" s="2" t="s">
        <v>82</v>
      </c>
      <c r="R15" s="3" t="s">
        <v>138</v>
      </c>
      <c r="S15" s="3" t="s">
        <v>139</v>
      </c>
      <c r="T15" s="2" t="s">
        <v>140</v>
      </c>
      <c r="U15" s="3" t="s">
        <v>141</v>
      </c>
      <c r="V15" s="2">
        <f>SUM(dns_csv[[#This Row],[Power]:[Speed]])</f>
        <v>230</v>
      </c>
      <c r="W15" s="2" t="str" cm="1">
        <f t="array" ref="W15">_xlfn.IFS(dns_csv[[#This Row],[Power]]&gt;=85,"S Tier", dns_csv[[#This Row],[Power]]&gt;=70,"A Tier", dns_csv[[#This Row],[Power]]&gt;=50,"B Tier", TRUE, "C Tier")</f>
        <v>S Tier</v>
      </c>
      <c r="X15" s="2" t="str" cm="1">
        <f t="array" ref="X15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Vanguard</v>
      </c>
    </row>
    <row r="16" spans="1:24" ht="28.8" x14ac:dyDescent="0.3">
      <c r="A16" s="2" t="s">
        <v>142</v>
      </c>
      <c r="B16" s="2" t="s">
        <v>38</v>
      </c>
      <c r="C16" s="2">
        <v>2</v>
      </c>
      <c r="D16" s="2">
        <v>173</v>
      </c>
      <c r="E16" s="2" t="s">
        <v>143</v>
      </c>
      <c r="F16" s="2" t="s">
        <v>27</v>
      </c>
      <c r="G16" s="2" t="s">
        <v>144</v>
      </c>
      <c r="H16" s="2" t="s">
        <v>63</v>
      </c>
      <c r="I16" s="2" t="s">
        <v>30</v>
      </c>
      <c r="J16" s="2" t="s">
        <v>44</v>
      </c>
      <c r="K16" s="2">
        <v>95</v>
      </c>
      <c r="L16" s="2">
        <v>88</v>
      </c>
      <c r="M16" s="2">
        <v>15</v>
      </c>
      <c r="N16" s="2">
        <v>98</v>
      </c>
      <c r="O16" s="2" cm="1">
        <f t="array" ref="O16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34</v>
      </c>
      <c r="P16" s="2" t="s">
        <v>54</v>
      </c>
      <c r="Q16" s="2" t="s">
        <v>97</v>
      </c>
      <c r="R16" s="3" t="s">
        <v>145</v>
      </c>
      <c r="S16" s="3" t="s">
        <v>146</v>
      </c>
      <c r="T16" s="2" t="s">
        <v>147</v>
      </c>
      <c r="U16" s="3" t="s">
        <v>148</v>
      </c>
      <c r="V16" s="2">
        <f>SUM(dns_csv[[#This Row],[Power]:[Speed]])</f>
        <v>296</v>
      </c>
      <c r="W16" s="2" t="str" cm="1">
        <f t="array" ref="W16">_xlfn.IFS(dns_csv[[#This Row],[Power]]&gt;=85,"S Tier", dns_csv[[#This Row],[Power]]&gt;=70,"A Tier", dns_csv[[#This Row],[Power]]&gt;=50,"B Tier", TRUE, "C Tier")</f>
        <v>S Tier</v>
      </c>
      <c r="X16" s="2" t="str" cm="1">
        <f t="array" ref="X16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Blitz</v>
      </c>
    </row>
    <row r="17" spans="1:24" ht="28.8" x14ac:dyDescent="0.3">
      <c r="A17" s="2" t="s">
        <v>149</v>
      </c>
      <c r="B17" s="2" t="s">
        <v>25</v>
      </c>
      <c r="C17" s="2">
        <v>2</v>
      </c>
      <c r="D17" s="2">
        <v>167</v>
      </c>
      <c r="E17" s="2" t="s">
        <v>26</v>
      </c>
      <c r="F17" s="2" t="s">
        <v>61</v>
      </c>
      <c r="G17" s="2" t="s">
        <v>130</v>
      </c>
      <c r="H17" s="2" t="s">
        <v>29</v>
      </c>
      <c r="I17" s="2" t="s">
        <v>30</v>
      </c>
      <c r="J17" s="2" t="s">
        <v>12</v>
      </c>
      <c r="K17" s="2">
        <v>40</v>
      </c>
      <c r="L17" s="2">
        <v>78</v>
      </c>
      <c r="M17" s="2">
        <v>65</v>
      </c>
      <c r="N17" s="2">
        <v>60</v>
      </c>
      <c r="O17" s="2" cm="1">
        <f t="array" ref="O17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60</v>
      </c>
      <c r="P17" s="2" t="s">
        <v>31</v>
      </c>
      <c r="Q17" s="2" t="s">
        <v>32</v>
      </c>
      <c r="R17" s="3" t="s">
        <v>150</v>
      </c>
      <c r="S17" s="3" t="s">
        <v>151</v>
      </c>
      <c r="T17" s="2" t="s">
        <v>152</v>
      </c>
      <c r="U17" s="3" t="s">
        <v>153</v>
      </c>
      <c r="V17" s="2">
        <f>SUM(dns_csv[[#This Row],[Power]:[Speed]])</f>
        <v>243</v>
      </c>
      <c r="W17" s="2" t="str" cm="1">
        <f t="array" ref="W17">_xlfn.IFS(dns_csv[[#This Row],[Power]]&gt;=85,"S Tier", dns_csv[[#This Row],[Power]]&gt;=70,"A Tier", dns_csv[[#This Row],[Power]]&gt;=50,"B Tier", TRUE, "C Tier")</f>
        <v>C Tier</v>
      </c>
      <c r="X17" s="2" t="str" cm="1">
        <f t="array" ref="X17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Battle Medic</v>
      </c>
    </row>
    <row r="18" spans="1:24" ht="28.8" x14ac:dyDescent="0.3">
      <c r="A18" s="2" t="s">
        <v>154</v>
      </c>
      <c r="B18" s="2" t="s">
        <v>25</v>
      </c>
      <c r="C18" s="2">
        <v>4</v>
      </c>
      <c r="D18" s="2">
        <v>163</v>
      </c>
      <c r="E18" s="2" t="s">
        <v>60</v>
      </c>
      <c r="F18" s="2" t="s">
        <v>53</v>
      </c>
      <c r="G18" s="2" t="s">
        <v>62</v>
      </c>
      <c r="H18" s="2" t="s">
        <v>63</v>
      </c>
      <c r="I18" s="2" t="s">
        <v>30</v>
      </c>
      <c r="J18" s="2" t="s">
        <v>12</v>
      </c>
      <c r="K18" s="2">
        <v>55</v>
      </c>
      <c r="L18" s="2">
        <v>50</v>
      </c>
      <c r="M18" s="2">
        <v>80</v>
      </c>
      <c r="N18" s="2">
        <v>60</v>
      </c>
      <c r="O18" s="2" cm="1">
        <f t="array" ref="O18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57</v>
      </c>
      <c r="P18" s="2" t="s">
        <v>54</v>
      </c>
      <c r="Q18" s="2" t="s">
        <v>73</v>
      </c>
      <c r="R18" s="3" t="s">
        <v>155</v>
      </c>
      <c r="S18" s="3" t="s">
        <v>156</v>
      </c>
      <c r="T18" s="2" t="s">
        <v>157</v>
      </c>
      <c r="U18" s="3" t="s">
        <v>158</v>
      </c>
      <c r="V18" s="2">
        <f>SUM(dns_csv[[#This Row],[Power]:[Speed]])</f>
        <v>245</v>
      </c>
      <c r="W18" s="2" t="str" cm="1">
        <f t="array" ref="W18">_xlfn.IFS(dns_csv[[#This Row],[Power]]&gt;=85,"S Tier", dns_csv[[#This Row],[Power]]&gt;=70,"A Tier", dns_csv[[#This Row],[Power]]&gt;=50,"B Tier", TRUE, "C Tier")</f>
        <v>B Tier</v>
      </c>
      <c r="X18" s="2" t="str" cm="1">
        <f t="array" ref="X18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Support</v>
      </c>
    </row>
    <row r="19" spans="1:24" ht="28.8" x14ac:dyDescent="0.3">
      <c r="A19" s="2" t="s">
        <v>159</v>
      </c>
      <c r="B19" s="2" t="s">
        <v>38</v>
      </c>
      <c r="C19" s="2">
        <v>5</v>
      </c>
      <c r="D19" s="2">
        <v>169</v>
      </c>
      <c r="E19" s="2" t="s">
        <v>160</v>
      </c>
      <c r="F19" s="2" t="s">
        <v>161</v>
      </c>
      <c r="G19" s="2" t="s">
        <v>72</v>
      </c>
      <c r="H19" s="2" t="s">
        <v>29</v>
      </c>
      <c r="I19" s="2" t="s">
        <v>43</v>
      </c>
      <c r="J19" s="2" t="s">
        <v>12</v>
      </c>
      <c r="K19" s="2">
        <v>55</v>
      </c>
      <c r="L19" s="2">
        <v>70</v>
      </c>
      <c r="M19" s="2">
        <v>88</v>
      </c>
      <c r="N19" s="2">
        <v>62</v>
      </c>
      <c r="O19" s="2" cm="1">
        <f t="array" ref="O19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59</v>
      </c>
      <c r="P19" s="2" t="s">
        <v>54</v>
      </c>
      <c r="Q19" s="2" t="s">
        <v>97</v>
      </c>
      <c r="R19" s="3" t="s">
        <v>162</v>
      </c>
      <c r="S19" s="3" t="s">
        <v>163</v>
      </c>
      <c r="T19" s="2" t="s">
        <v>164</v>
      </c>
      <c r="U19" s="3" t="s">
        <v>165</v>
      </c>
      <c r="V19" s="2">
        <f>SUM(dns_csv[[#This Row],[Power]:[Speed]])</f>
        <v>275</v>
      </c>
      <c r="W19" s="2" t="str" cm="1">
        <f t="array" ref="W19">_xlfn.IFS(dns_csv[[#This Row],[Power]]&gt;=85,"S Tier", dns_csv[[#This Row],[Power]]&gt;=70,"A Tier", dns_csv[[#This Row],[Power]]&gt;=50,"B Tier", TRUE, "C Tier")</f>
        <v>B Tier</v>
      </c>
      <c r="X19" s="2" t="str" cm="1">
        <f t="array" ref="X19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Full Support</v>
      </c>
    </row>
    <row r="20" spans="1:24" ht="28.8" x14ac:dyDescent="0.3">
      <c r="A20" s="2" t="s">
        <v>166</v>
      </c>
      <c r="B20" s="2" t="s">
        <v>25</v>
      </c>
      <c r="C20" s="2">
        <v>1</v>
      </c>
      <c r="D20" s="2">
        <v>175</v>
      </c>
      <c r="E20" s="2" t="s">
        <v>167</v>
      </c>
      <c r="F20" s="2" t="s">
        <v>27</v>
      </c>
      <c r="G20" s="2" t="s">
        <v>168</v>
      </c>
      <c r="H20" s="2" t="s">
        <v>42</v>
      </c>
      <c r="I20" s="2" t="s">
        <v>30</v>
      </c>
      <c r="J20" s="2" t="s">
        <v>64</v>
      </c>
      <c r="K20" s="2">
        <v>72</v>
      </c>
      <c r="L20" s="2">
        <v>95</v>
      </c>
      <c r="M20" s="2">
        <v>30</v>
      </c>
      <c r="N20" s="2">
        <v>55</v>
      </c>
      <c r="O20" s="2" cm="1">
        <f t="array" ref="O20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52</v>
      </c>
      <c r="P20" s="2" t="s">
        <v>54</v>
      </c>
      <c r="Q20" s="2" t="s">
        <v>73</v>
      </c>
      <c r="R20" s="3" t="s">
        <v>169</v>
      </c>
      <c r="S20" s="3" t="s">
        <v>170</v>
      </c>
      <c r="T20" s="2" t="s">
        <v>171</v>
      </c>
      <c r="U20" s="3" t="s">
        <v>172</v>
      </c>
      <c r="V20" s="2">
        <f>SUM(dns_csv[[#This Row],[Power]:[Speed]])</f>
        <v>252</v>
      </c>
      <c r="W20" s="2" t="str" cm="1">
        <f t="array" ref="W20">_xlfn.IFS(dns_csv[[#This Row],[Power]]&gt;=85,"S Tier", dns_csv[[#This Row],[Power]]&gt;=70,"A Tier", dns_csv[[#This Row],[Power]]&gt;=50,"B Tier", TRUE, "C Tier")</f>
        <v>A Tier</v>
      </c>
      <c r="X20" s="2" t="str" cm="1">
        <f t="array" ref="X20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Tactician</v>
      </c>
    </row>
    <row r="21" spans="1:24" ht="28.8" x14ac:dyDescent="0.3">
      <c r="A21" s="2" t="s">
        <v>173</v>
      </c>
      <c r="B21" s="2" t="s">
        <v>25</v>
      </c>
      <c r="C21" s="2">
        <v>1</v>
      </c>
      <c r="D21" s="2">
        <v>167</v>
      </c>
      <c r="E21" s="2" t="s">
        <v>52</v>
      </c>
      <c r="F21" s="2" t="s">
        <v>88</v>
      </c>
      <c r="G21" s="2" t="s">
        <v>174</v>
      </c>
      <c r="H21" s="2" t="s">
        <v>63</v>
      </c>
      <c r="I21" s="2" t="s">
        <v>43</v>
      </c>
      <c r="J21" s="2" t="s">
        <v>64</v>
      </c>
      <c r="K21" s="2">
        <v>60</v>
      </c>
      <c r="L21" s="2">
        <v>70</v>
      </c>
      <c r="M21" s="2">
        <v>45</v>
      </c>
      <c r="N21" s="2">
        <v>80</v>
      </c>
      <c r="O21" s="2" cm="1">
        <f t="array" ref="O21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48</v>
      </c>
      <c r="P21" s="2" t="s">
        <v>31</v>
      </c>
      <c r="Q21" s="2" t="s">
        <v>97</v>
      </c>
      <c r="R21" s="3" t="s">
        <v>175</v>
      </c>
      <c r="S21" s="3" t="s">
        <v>176</v>
      </c>
      <c r="T21" s="2" t="s">
        <v>177</v>
      </c>
      <c r="U21" s="3" t="s">
        <v>178</v>
      </c>
      <c r="V21" s="2">
        <f>SUM(dns_csv[[#This Row],[Power]:[Speed]])</f>
        <v>255</v>
      </c>
      <c r="W21" s="2" t="str" cm="1">
        <f t="array" ref="W21">_xlfn.IFS(dns_csv[[#This Row],[Power]]&gt;=85,"S Tier", dns_csv[[#This Row],[Power]]&gt;=70,"A Tier", dns_csv[[#This Row],[Power]]&gt;=50,"B Tier", TRUE, "C Tier")</f>
        <v>B Tier</v>
      </c>
      <c r="X21" s="2" t="str" cm="1">
        <f t="array" ref="X21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Harasser</v>
      </c>
    </row>
    <row r="22" spans="1:24" ht="28.8" x14ac:dyDescent="0.3">
      <c r="A22" s="2" t="s">
        <v>179</v>
      </c>
      <c r="B22" s="2" t="s">
        <v>25</v>
      </c>
      <c r="C22" s="2">
        <v>3</v>
      </c>
      <c r="D22" s="2">
        <v>165</v>
      </c>
      <c r="E22" s="2" t="s">
        <v>180</v>
      </c>
      <c r="F22" s="2" t="s">
        <v>88</v>
      </c>
      <c r="G22" s="2" t="s">
        <v>28</v>
      </c>
      <c r="H22" s="2" t="s">
        <v>29</v>
      </c>
      <c r="I22" s="2" t="s">
        <v>30</v>
      </c>
      <c r="J22" s="2" t="s">
        <v>64</v>
      </c>
      <c r="K22" s="2">
        <v>45</v>
      </c>
      <c r="L22" s="2">
        <v>72</v>
      </c>
      <c r="M22" s="2">
        <v>58</v>
      </c>
      <c r="N22" s="2">
        <v>65</v>
      </c>
      <c r="O22" s="2" cm="1">
        <f t="array" ref="O22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49</v>
      </c>
      <c r="P22" s="2" t="s">
        <v>31</v>
      </c>
      <c r="Q22" s="2" t="s">
        <v>32</v>
      </c>
      <c r="R22" s="3" t="s">
        <v>181</v>
      </c>
      <c r="S22" s="3" t="s">
        <v>182</v>
      </c>
      <c r="T22" s="2" t="s">
        <v>183</v>
      </c>
      <c r="U22" s="3" t="s">
        <v>184</v>
      </c>
      <c r="V22" s="2">
        <f>SUM(dns_csv[[#This Row],[Power]:[Speed]])</f>
        <v>240</v>
      </c>
      <c r="W22" s="2" t="str" cm="1">
        <f t="array" ref="W22">_xlfn.IFS(dns_csv[[#This Row],[Power]]&gt;=85,"S Tier", dns_csv[[#This Row],[Power]]&gt;=70,"A Tier", dns_csv[[#This Row],[Power]]&gt;=50,"B Tier", TRUE, "C Tier")</f>
        <v>C Tier</v>
      </c>
      <c r="X22" s="2" t="str" cm="1">
        <f t="array" ref="X22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Disruptor</v>
      </c>
    </row>
    <row r="23" spans="1:24" ht="28.8" x14ac:dyDescent="0.3">
      <c r="A23" s="2" t="s">
        <v>185</v>
      </c>
      <c r="B23" s="2" t="s">
        <v>25</v>
      </c>
      <c r="C23" s="2">
        <v>8</v>
      </c>
      <c r="D23" s="2">
        <v>169</v>
      </c>
      <c r="E23" s="2" t="s">
        <v>60</v>
      </c>
      <c r="F23" s="2" t="s">
        <v>61</v>
      </c>
      <c r="G23" s="2" t="s">
        <v>112</v>
      </c>
      <c r="H23" s="2" t="s">
        <v>81</v>
      </c>
      <c r="I23" s="2" t="s">
        <v>30</v>
      </c>
      <c r="J23" s="2" t="s">
        <v>12</v>
      </c>
      <c r="K23" s="2">
        <v>35</v>
      </c>
      <c r="L23" s="2">
        <v>72</v>
      </c>
      <c r="M23" s="2">
        <v>85</v>
      </c>
      <c r="N23" s="2">
        <v>48</v>
      </c>
      <c r="O23" s="2" cm="1">
        <f t="array" ref="O23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60</v>
      </c>
      <c r="P23" s="2" t="s">
        <v>45</v>
      </c>
      <c r="Q23" s="2" t="s">
        <v>32</v>
      </c>
      <c r="R23" s="3" t="s">
        <v>186</v>
      </c>
      <c r="S23" s="3" t="s">
        <v>187</v>
      </c>
      <c r="T23" s="2" t="s">
        <v>188</v>
      </c>
      <c r="U23" s="3" t="s">
        <v>189</v>
      </c>
      <c r="V23" s="2">
        <f>SUM(dns_csv[[#This Row],[Power]:[Speed]])</f>
        <v>240</v>
      </c>
      <c r="W23" s="2" t="str" cm="1">
        <f t="array" ref="W23">_xlfn.IFS(dns_csv[[#This Row],[Power]]&gt;=85,"S Tier", dns_csv[[#This Row],[Power]]&gt;=70,"A Tier", dns_csv[[#This Row],[Power]]&gt;=50,"B Tier", TRUE, "C Tier")</f>
        <v>C Tier</v>
      </c>
      <c r="X23" s="2" t="str" cm="1">
        <f t="array" ref="X23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Full Support</v>
      </c>
    </row>
    <row r="24" spans="1:24" ht="28.8" x14ac:dyDescent="0.3">
      <c r="A24" s="2" t="s">
        <v>190</v>
      </c>
      <c r="B24" s="2" t="s">
        <v>25</v>
      </c>
      <c r="C24" s="2">
        <v>8</v>
      </c>
      <c r="D24" s="2">
        <v>165</v>
      </c>
      <c r="E24" s="2" t="s">
        <v>160</v>
      </c>
      <c r="F24" s="2" t="s">
        <v>79</v>
      </c>
      <c r="G24" s="2" t="s">
        <v>191</v>
      </c>
      <c r="H24" s="2" t="s">
        <v>81</v>
      </c>
      <c r="I24" s="2" t="s">
        <v>43</v>
      </c>
      <c r="J24" s="2" t="s">
        <v>96</v>
      </c>
      <c r="K24" s="2">
        <v>70</v>
      </c>
      <c r="L24" s="2">
        <v>88</v>
      </c>
      <c r="M24" s="2">
        <v>35</v>
      </c>
      <c r="N24" s="2">
        <v>48</v>
      </c>
      <c r="O24" s="2" cm="1">
        <f t="array" ref="O24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77</v>
      </c>
      <c r="P24" s="2" t="s">
        <v>54</v>
      </c>
      <c r="Q24" s="2" t="s">
        <v>82</v>
      </c>
      <c r="R24" s="3" t="s">
        <v>192</v>
      </c>
      <c r="S24" s="3" t="s">
        <v>193</v>
      </c>
      <c r="T24" s="2" t="s">
        <v>194</v>
      </c>
      <c r="U24" s="3" t="s">
        <v>195</v>
      </c>
      <c r="V24" s="2">
        <f>SUM(dns_csv[[#This Row],[Power]:[Speed]])</f>
        <v>241</v>
      </c>
      <c r="W24" s="2" t="str" cm="1">
        <f t="array" ref="W24">_xlfn.IFS(dns_csv[[#This Row],[Power]]&gt;=85,"S Tier", dns_csv[[#This Row],[Power]]&gt;=70,"A Tier", dns_csv[[#This Row],[Power]]&gt;=50,"B Tier", TRUE, "C Tier")</f>
        <v>A Tier</v>
      </c>
      <c r="X24" s="2" t="str" cm="1">
        <f t="array" ref="X24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Fortress</v>
      </c>
    </row>
    <row r="25" spans="1:24" ht="28.8" x14ac:dyDescent="0.3">
      <c r="A25" s="2" t="s">
        <v>196</v>
      </c>
      <c r="B25" s="2" t="s">
        <v>25</v>
      </c>
      <c r="C25" s="2">
        <v>5</v>
      </c>
      <c r="D25" s="2">
        <v>167</v>
      </c>
      <c r="E25" s="2" t="s">
        <v>60</v>
      </c>
      <c r="F25" s="2" t="s">
        <v>103</v>
      </c>
      <c r="G25" s="2" t="s">
        <v>104</v>
      </c>
      <c r="H25" s="2" t="s">
        <v>81</v>
      </c>
      <c r="I25" s="2" t="s">
        <v>43</v>
      </c>
      <c r="J25" s="2" t="s">
        <v>12</v>
      </c>
      <c r="K25" s="2">
        <v>50</v>
      </c>
      <c r="L25" s="2">
        <v>45</v>
      </c>
      <c r="M25" s="2">
        <v>85</v>
      </c>
      <c r="N25" s="2">
        <v>55</v>
      </c>
      <c r="O25" s="2" cm="1">
        <f t="array" ref="O25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57</v>
      </c>
      <c r="P25" s="2" t="s">
        <v>54</v>
      </c>
      <c r="Q25" s="2" t="s">
        <v>73</v>
      </c>
      <c r="R25" s="3" t="s">
        <v>197</v>
      </c>
      <c r="S25" s="3" t="s">
        <v>198</v>
      </c>
      <c r="T25" s="2" t="s">
        <v>199</v>
      </c>
      <c r="U25" s="3" t="s">
        <v>200</v>
      </c>
      <c r="V25" s="2">
        <f>SUM(dns_csv[[#This Row],[Power]:[Speed]])</f>
        <v>235</v>
      </c>
      <c r="W25" s="2" t="str" cm="1">
        <f t="array" ref="W25">_xlfn.IFS(dns_csv[[#This Row],[Power]]&gt;=85,"S Tier", dns_csv[[#This Row],[Power]]&gt;=70,"A Tier", dns_csv[[#This Row],[Power]]&gt;=50,"B Tier", TRUE, "C Tier")</f>
        <v>B Tier</v>
      </c>
      <c r="X25" s="2" t="str" cm="1">
        <f t="array" ref="X25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Full Support</v>
      </c>
    </row>
    <row r="26" spans="1:24" ht="28.8" x14ac:dyDescent="0.3">
      <c r="A26" s="2" t="s">
        <v>201</v>
      </c>
      <c r="B26" s="2" t="s">
        <v>25</v>
      </c>
      <c r="C26" s="2">
        <v>3</v>
      </c>
      <c r="D26" s="2">
        <v>167</v>
      </c>
      <c r="E26" s="2" t="s">
        <v>52</v>
      </c>
      <c r="F26" s="2" t="s">
        <v>103</v>
      </c>
      <c r="G26" s="2" t="s">
        <v>118</v>
      </c>
      <c r="H26" s="2" t="s">
        <v>29</v>
      </c>
      <c r="I26" s="2" t="s">
        <v>43</v>
      </c>
      <c r="J26" s="2" t="s">
        <v>44</v>
      </c>
      <c r="K26" s="2">
        <v>80</v>
      </c>
      <c r="L26" s="2">
        <v>55</v>
      </c>
      <c r="M26" s="2">
        <v>48</v>
      </c>
      <c r="N26" s="2">
        <v>78</v>
      </c>
      <c r="O26" s="2" cm="1">
        <f t="array" ref="O26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32</v>
      </c>
      <c r="P26" s="2" t="s">
        <v>45</v>
      </c>
      <c r="Q26" s="2" t="s">
        <v>46</v>
      </c>
      <c r="R26" s="3" t="s">
        <v>202</v>
      </c>
      <c r="S26" s="3" t="s">
        <v>203</v>
      </c>
      <c r="T26" s="2" t="s">
        <v>204</v>
      </c>
      <c r="U26" s="3" t="s">
        <v>205</v>
      </c>
      <c r="V26" s="2">
        <f>SUM(dns_csv[[#This Row],[Power]:[Speed]])</f>
        <v>261</v>
      </c>
      <c r="W26" s="2" t="str" cm="1">
        <f t="array" ref="W26">_xlfn.IFS(dns_csv[[#This Row],[Power]]&gt;=85,"S Tier", dns_csv[[#This Row],[Power]]&gt;=70,"A Tier", dns_csv[[#This Row],[Power]]&gt;=50,"B Tier", TRUE, "C Tier")</f>
        <v>A Tier</v>
      </c>
      <c r="X26" s="2" t="str" cm="1">
        <f t="array" ref="X26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Brawler</v>
      </c>
    </row>
    <row r="27" spans="1:24" ht="28.8" x14ac:dyDescent="0.3">
      <c r="A27" s="2" t="s">
        <v>206</v>
      </c>
      <c r="B27" s="2" t="s">
        <v>25</v>
      </c>
      <c r="C27" s="2">
        <v>3</v>
      </c>
      <c r="D27" s="2">
        <v>168</v>
      </c>
      <c r="E27" s="2" t="s">
        <v>39</v>
      </c>
      <c r="F27" s="2" t="s">
        <v>53</v>
      </c>
      <c r="G27" s="2" t="s">
        <v>118</v>
      </c>
      <c r="H27" s="2" t="s">
        <v>29</v>
      </c>
      <c r="I27" s="2" t="s">
        <v>43</v>
      </c>
      <c r="J27" s="2" t="s">
        <v>44</v>
      </c>
      <c r="K27" s="2">
        <v>82</v>
      </c>
      <c r="L27" s="2">
        <v>48</v>
      </c>
      <c r="M27" s="2">
        <v>35</v>
      </c>
      <c r="N27" s="2">
        <v>70</v>
      </c>
      <c r="O27" s="2" cm="1">
        <f t="array" ref="O27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31</v>
      </c>
      <c r="P27" s="2" t="s">
        <v>54</v>
      </c>
      <c r="Q27" s="2" t="s">
        <v>46</v>
      </c>
      <c r="R27" s="3" t="s">
        <v>207</v>
      </c>
      <c r="S27" s="3" t="s">
        <v>208</v>
      </c>
      <c r="T27" s="2" t="s">
        <v>209</v>
      </c>
      <c r="U27" s="3" t="s">
        <v>210</v>
      </c>
      <c r="V27" s="2">
        <f>SUM(dns_csv[[#This Row],[Power]:[Speed]])</f>
        <v>235</v>
      </c>
      <c r="W27" s="2" t="str" cm="1">
        <f t="array" ref="W27">_xlfn.IFS(dns_csv[[#This Row],[Power]]&gt;=85,"S Tier", dns_csv[[#This Row],[Power]]&gt;=70,"A Tier", dns_csv[[#This Row],[Power]]&gt;=50,"B Tier", TRUE, "C Tier")</f>
        <v>A Tier</v>
      </c>
      <c r="X27" s="2" t="str" cm="1">
        <f t="array" ref="X27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Brawler</v>
      </c>
    </row>
    <row r="28" spans="1:24" ht="28.8" x14ac:dyDescent="0.3">
      <c r="A28" s="2" t="s">
        <v>211</v>
      </c>
      <c r="B28" s="2" t="s">
        <v>25</v>
      </c>
      <c r="C28" s="2">
        <v>7</v>
      </c>
      <c r="D28" s="2">
        <v>168</v>
      </c>
      <c r="E28" s="2" t="s">
        <v>129</v>
      </c>
      <c r="F28" s="2" t="s">
        <v>61</v>
      </c>
      <c r="G28" s="2" t="s">
        <v>112</v>
      </c>
      <c r="H28" s="2" t="s">
        <v>81</v>
      </c>
      <c r="I28" s="2" t="s">
        <v>30</v>
      </c>
      <c r="J28" s="2" t="s">
        <v>64</v>
      </c>
      <c r="K28" s="2">
        <v>40</v>
      </c>
      <c r="L28" s="2">
        <v>88</v>
      </c>
      <c r="M28" s="2">
        <v>55</v>
      </c>
      <c r="N28" s="2">
        <v>38</v>
      </c>
      <c r="O28" s="2" cm="1">
        <f t="array" ref="O28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52</v>
      </c>
      <c r="P28" s="2" t="s">
        <v>45</v>
      </c>
      <c r="Q28" s="2" t="s">
        <v>65</v>
      </c>
      <c r="R28" s="3" t="s">
        <v>212</v>
      </c>
      <c r="S28" s="3" t="s">
        <v>213</v>
      </c>
      <c r="T28" s="2" t="s">
        <v>214</v>
      </c>
      <c r="U28" s="3" t="s">
        <v>215</v>
      </c>
      <c r="V28" s="2">
        <f>SUM(dns_csv[[#This Row],[Power]:[Speed]])</f>
        <v>221</v>
      </c>
      <c r="W28" s="2" t="str" cm="1">
        <f t="array" ref="W28">_xlfn.IFS(dns_csv[[#This Row],[Power]]&gt;=85,"S Tier", dns_csv[[#This Row],[Power]]&gt;=70,"A Tier", dns_csv[[#This Row],[Power]]&gt;=50,"B Tier", TRUE, "C Tier")</f>
        <v>C Tier</v>
      </c>
      <c r="X28" s="2" t="str" cm="1">
        <f t="array" ref="X28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Tactician</v>
      </c>
    </row>
    <row r="29" spans="1:24" ht="28.8" x14ac:dyDescent="0.3">
      <c r="A29" s="2" t="s">
        <v>216</v>
      </c>
      <c r="B29" s="2" t="s">
        <v>136</v>
      </c>
      <c r="C29" s="2">
        <v>1</v>
      </c>
      <c r="D29" s="2">
        <v>168</v>
      </c>
      <c r="E29" s="2" t="s">
        <v>39</v>
      </c>
      <c r="F29" s="2" t="s">
        <v>217</v>
      </c>
      <c r="G29" s="2" t="s">
        <v>41</v>
      </c>
      <c r="H29" s="2" t="s">
        <v>42</v>
      </c>
      <c r="I29" s="2" t="s">
        <v>43</v>
      </c>
      <c r="J29" s="2" t="s">
        <v>44</v>
      </c>
      <c r="K29" s="2">
        <v>92</v>
      </c>
      <c r="L29" s="2">
        <v>30</v>
      </c>
      <c r="M29" s="2">
        <v>10</v>
      </c>
      <c r="N29" s="2">
        <v>75</v>
      </c>
      <c r="O29" s="2" cm="1">
        <f t="array" ref="O29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29</v>
      </c>
      <c r="P29" s="2" t="s">
        <v>54</v>
      </c>
      <c r="Q29" s="2" t="s">
        <v>105</v>
      </c>
      <c r="R29" s="3" t="s">
        <v>218</v>
      </c>
      <c r="S29" s="3" t="s">
        <v>219</v>
      </c>
      <c r="T29" s="2" t="s">
        <v>220</v>
      </c>
      <c r="U29" s="3" t="s">
        <v>221</v>
      </c>
      <c r="V29" s="2">
        <f>SUM(dns_csv[[#This Row],[Power]:[Speed]])</f>
        <v>207</v>
      </c>
      <c r="W29" s="2" t="str" cm="1">
        <f t="array" ref="W29">_xlfn.IFS(dns_csv[[#This Row],[Power]]&gt;=85,"S Tier", dns_csv[[#This Row],[Power]]&gt;=70,"A Tier", dns_csv[[#This Row],[Power]]&gt;=50,"B Tier", TRUE, "C Tier")</f>
        <v>S Tier</v>
      </c>
      <c r="X29" s="2" t="str" cm="1">
        <f t="array" ref="X29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Brawler</v>
      </c>
    </row>
    <row r="30" spans="1:24" ht="28.8" x14ac:dyDescent="0.3">
      <c r="A30" s="2" t="s">
        <v>222</v>
      </c>
      <c r="B30" s="2" t="s">
        <v>25</v>
      </c>
      <c r="C30" s="2">
        <v>8</v>
      </c>
      <c r="D30" s="2">
        <v>170</v>
      </c>
      <c r="E30" s="2" t="s">
        <v>39</v>
      </c>
      <c r="F30" s="2" t="s">
        <v>161</v>
      </c>
      <c r="G30" s="2" t="s">
        <v>137</v>
      </c>
      <c r="H30" s="2" t="s">
        <v>42</v>
      </c>
      <c r="I30" s="2" t="s">
        <v>43</v>
      </c>
      <c r="J30" s="2" t="s">
        <v>12</v>
      </c>
      <c r="K30" s="2">
        <v>78</v>
      </c>
      <c r="L30" s="2">
        <v>65</v>
      </c>
      <c r="M30" s="2">
        <v>80</v>
      </c>
      <c r="N30" s="2">
        <v>60</v>
      </c>
      <c r="O30" s="2" cm="1">
        <f t="array" ref="O30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59</v>
      </c>
      <c r="P30" s="2" t="s">
        <v>54</v>
      </c>
      <c r="Q30" s="2" t="s">
        <v>82</v>
      </c>
      <c r="R30" s="3" t="s">
        <v>223</v>
      </c>
      <c r="S30" s="3" t="s">
        <v>224</v>
      </c>
      <c r="T30" s="2" t="s">
        <v>225</v>
      </c>
      <c r="U30" s="3" t="s">
        <v>226</v>
      </c>
      <c r="V30" s="2">
        <f>SUM(dns_csv[[#This Row],[Power]:[Speed]])</f>
        <v>283</v>
      </c>
      <c r="W30" s="2" t="str" cm="1">
        <f t="array" ref="W30">_xlfn.IFS(dns_csv[[#This Row],[Power]]&gt;=85,"S Tier", dns_csv[[#This Row],[Power]]&gt;=70,"A Tier", dns_csv[[#This Row],[Power]]&gt;=50,"B Tier", TRUE, "C Tier")</f>
        <v>A Tier</v>
      </c>
      <c r="X30" s="2" t="str" cm="1">
        <f t="array" ref="X30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Support</v>
      </c>
    </row>
    <row r="31" spans="1:24" ht="28.8" x14ac:dyDescent="0.3">
      <c r="A31" s="2" t="s">
        <v>227</v>
      </c>
      <c r="B31" s="2" t="s">
        <v>38</v>
      </c>
      <c r="C31" s="2">
        <v>1</v>
      </c>
      <c r="D31" s="2">
        <v>168</v>
      </c>
      <c r="E31" s="2" t="s">
        <v>60</v>
      </c>
      <c r="F31" s="2" t="s">
        <v>40</v>
      </c>
      <c r="G31" s="2" t="s">
        <v>228</v>
      </c>
      <c r="H31" s="2" t="s">
        <v>63</v>
      </c>
      <c r="I31" s="2" t="s">
        <v>43</v>
      </c>
      <c r="J31" s="2" t="s">
        <v>44</v>
      </c>
      <c r="K31" s="2">
        <v>78</v>
      </c>
      <c r="L31" s="2">
        <v>45</v>
      </c>
      <c r="M31" s="2">
        <v>20</v>
      </c>
      <c r="N31" s="2">
        <v>92</v>
      </c>
      <c r="O31" s="2" cm="1">
        <f t="array" ref="O31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30</v>
      </c>
      <c r="P31" s="2" t="s">
        <v>45</v>
      </c>
      <c r="Q31" s="2" t="s">
        <v>97</v>
      </c>
      <c r="R31" s="3" t="s">
        <v>229</v>
      </c>
      <c r="S31" s="3" t="s">
        <v>230</v>
      </c>
      <c r="T31" s="2" t="s">
        <v>231</v>
      </c>
      <c r="U31" s="3" t="s">
        <v>232</v>
      </c>
      <c r="V31" s="2">
        <f>SUM(dns_csv[[#This Row],[Power]:[Speed]])</f>
        <v>235</v>
      </c>
      <c r="W31" s="2" t="str" cm="1">
        <f t="array" ref="W31">_xlfn.IFS(dns_csv[[#This Row],[Power]]&gt;=85,"S Tier", dns_csv[[#This Row],[Power]]&gt;=70,"A Tier", dns_csv[[#This Row],[Power]]&gt;=50,"B Tier", TRUE, "C Tier")</f>
        <v>A Tier</v>
      </c>
      <c r="X31" s="2" t="str" cm="1">
        <f t="array" ref="X31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Striker</v>
      </c>
    </row>
    <row r="32" spans="1:24" ht="28.8" x14ac:dyDescent="0.3">
      <c r="A32" s="2" t="s">
        <v>233</v>
      </c>
      <c r="B32" s="2" t="s">
        <v>25</v>
      </c>
      <c r="C32" s="2">
        <v>5</v>
      </c>
      <c r="D32" s="2">
        <v>169</v>
      </c>
      <c r="E32" s="2" t="s">
        <v>167</v>
      </c>
      <c r="F32" s="2" t="s">
        <v>40</v>
      </c>
      <c r="G32" s="2" t="s">
        <v>118</v>
      </c>
      <c r="H32" s="2" t="s">
        <v>29</v>
      </c>
      <c r="I32" s="2" t="s">
        <v>43</v>
      </c>
      <c r="J32" s="2" t="s">
        <v>44</v>
      </c>
      <c r="K32" s="2">
        <v>75</v>
      </c>
      <c r="L32" s="2">
        <v>40</v>
      </c>
      <c r="M32" s="2">
        <v>30</v>
      </c>
      <c r="N32" s="2">
        <v>88</v>
      </c>
      <c r="O32" s="2" cm="1">
        <f t="array" ref="O32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30</v>
      </c>
      <c r="P32" s="2" t="s">
        <v>31</v>
      </c>
      <c r="Q32" s="2" t="s">
        <v>105</v>
      </c>
      <c r="R32" s="3" t="s">
        <v>234</v>
      </c>
      <c r="S32" s="3" t="s">
        <v>235</v>
      </c>
      <c r="T32" s="2" t="s">
        <v>236</v>
      </c>
      <c r="U32" s="3" t="s">
        <v>237</v>
      </c>
      <c r="V32" s="2">
        <f>SUM(dns_csv[[#This Row],[Power]:[Speed]])</f>
        <v>233</v>
      </c>
      <c r="W32" s="2" t="str" cm="1">
        <f t="array" ref="W32">_xlfn.IFS(dns_csv[[#This Row],[Power]]&gt;=85,"S Tier", dns_csv[[#This Row],[Power]]&gt;=70,"A Tier", dns_csv[[#This Row],[Power]]&gt;=50,"B Tier", TRUE, "C Tier")</f>
        <v>A Tier</v>
      </c>
      <c r="X32" s="2" t="str" cm="1">
        <f t="array" ref="X32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Striker</v>
      </c>
    </row>
    <row r="33" spans="1:24" ht="28.8" x14ac:dyDescent="0.3">
      <c r="A33" s="2" t="s">
        <v>238</v>
      </c>
      <c r="B33" s="2" t="s">
        <v>25</v>
      </c>
      <c r="C33" s="2">
        <v>1</v>
      </c>
      <c r="D33" s="2">
        <v>166</v>
      </c>
      <c r="E33" s="2" t="s">
        <v>111</v>
      </c>
      <c r="F33" s="2" t="s">
        <v>53</v>
      </c>
      <c r="G33" s="2" t="s">
        <v>174</v>
      </c>
      <c r="H33" s="2" t="s">
        <v>63</v>
      </c>
      <c r="I33" s="2" t="s">
        <v>43</v>
      </c>
      <c r="J33" s="2" t="s">
        <v>12</v>
      </c>
      <c r="K33" s="2">
        <v>50</v>
      </c>
      <c r="L33" s="2">
        <v>55</v>
      </c>
      <c r="M33" s="2">
        <v>82</v>
      </c>
      <c r="N33" s="2">
        <v>48</v>
      </c>
      <c r="O33" s="2" cm="1">
        <f t="array" ref="O33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59</v>
      </c>
      <c r="P33" s="2" t="s">
        <v>54</v>
      </c>
      <c r="Q33" s="2" t="s">
        <v>105</v>
      </c>
      <c r="R33" s="3" t="s">
        <v>239</v>
      </c>
      <c r="S33" s="3" t="s">
        <v>240</v>
      </c>
      <c r="T33" s="2" t="s">
        <v>241</v>
      </c>
      <c r="U33" s="3" t="s">
        <v>242</v>
      </c>
      <c r="V33" s="2">
        <f>SUM(dns_csv[[#This Row],[Power]:[Speed]])</f>
        <v>235</v>
      </c>
      <c r="W33" s="2" t="str" cm="1">
        <f t="array" ref="W33">_xlfn.IFS(dns_csv[[#This Row],[Power]]&gt;=85,"S Tier", dns_csv[[#This Row],[Power]]&gt;=70,"A Tier", dns_csv[[#This Row],[Power]]&gt;=50,"B Tier", TRUE, "C Tier")</f>
        <v>B Tier</v>
      </c>
      <c r="X33" s="2" t="str" cm="1">
        <f t="array" ref="X33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Support</v>
      </c>
    </row>
    <row r="34" spans="1:24" ht="28.8" x14ac:dyDescent="0.3">
      <c r="A34" s="2" t="s">
        <v>243</v>
      </c>
      <c r="B34" s="2" t="s">
        <v>25</v>
      </c>
      <c r="C34" s="2">
        <v>2</v>
      </c>
      <c r="D34" s="2">
        <v>171</v>
      </c>
      <c r="E34" s="2" t="s">
        <v>129</v>
      </c>
      <c r="F34" s="2" t="s">
        <v>27</v>
      </c>
      <c r="G34" s="2" t="s">
        <v>89</v>
      </c>
      <c r="H34" s="2" t="s">
        <v>42</v>
      </c>
      <c r="I34" s="2" t="s">
        <v>30</v>
      </c>
      <c r="J34" s="2" t="s">
        <v>64</v>
      </c>
      <c r="K34" s="2">
        <v>65</v>
      </c>
      <c r="L34" s="2">
        <v>92</v>
      </c>
      <c r="M34" s="2">
        <v>35</v>
      </c>
      <c r="N34" s="2">
        <v>42</v>
      </c>
      <c r="O34" s="2" cm="1">
        <f t="array" ref="O34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52</v>
      </c>
      <c r="P34" s="2" t="s">
        <v>45</v>
      </c>
      <c r="Q34" s="2" t="s">
        <v>105</v>
      </c>
      <c r="R34" s="3" t="s">
        <v>244</v>
      </c>
      <c r="S34" s="3" t="s">
        <v>245</v>
      </c>
      <c r="T34" s="2" t="s">
        <v>246</v>
      </c>
      <c r="U34" s="3" t="s">
        <v>247</v>
      </c>
      <c r="V34" s="2">
        <f>SUM(dns_csv[[#This Row],[Power]:[Speed]])</f>
        <v>234</v>
      </c>
      <c r="W34" s="2" t="str" cm="1">
        <f t="array" ref="W34">_xlfn.IFS(dns_csv[[#This Row],[Power]]&gt;=85,"S Tier", dns_csv[[#This Row],[Power]]&gt;=70,"A Tier", dns_csv[[#This Row],[Power]]&gt;=50,"B Tier", TRUE, "C Tier")</f>
        <v>B Tier</v>
      </c>
      <c r="X34" s="2" t="str" cm="1">
        <f t="array" ref="X34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Tactician</v>
      </c>
    </row>
    <row r="35" spans="1:24" ht="28.8" x14ac:dyDescent="0.3">
      <c r="A35" s="2" t="s">
        <v>248</v>
      </c>
      <c r="B35" s="2" t="s">
        <v>25</v>
      </c>
      <c r="C35" s="2">
        <v>4</v>
      </c>
      <c r="D35" s="2">
        <v>169</v>
      </c>
      <c r="E35" s="2" t="s">
        <v>129</v>
      </c>
      <c r="F35" s="2" t="s">
        <v>61</v>
      </c>
      <c r="G35" s="2" t="s">
        <v>168</v>
      </c>
      <c r="H35" s="2" t="s">
        <v>42</v>
      </c>
      <c r="I35" s="2" t="s">
        <v>30</v>
      </c>
      <c r="J35" s="2" t="s">
        <v>64</v>
      </c>
      <c r="K35" s="2">
        <v>55</v>
      </c>
      <c r="L35" s="2">
        <v>85</v>
      </c>
      <c r="M35" s="2">
        <v>30</v>
      </c>
      <c r="N35" s="2">
        <v>50</v>
      </c>
      <c r="O35" s="2" cm="1">
        <f t="array" ref="O35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51</v>
      </c>
      <c r="P35" s="2" t="s">
        <v>31</v>
      </c>
      <c r="Q35" s="2" t="s">
        <v>82</v>
      </c>
      <c r="R35" s="3" t="s">
        <v>249</v>
      </c>
      <c r="S35" s="3" t="s">
        <v>250</v>
      </c>
      <c r="T35" s="2" t="s">
        <v>251</v>
      </c>
      <c r="U35" s="3" t="s">
        <v>252</v>
      </c>
      <c r="V35" s="2">
        <f>SUM(dns_csv[[#This Row],[Power]:[Speed]])</f>
        <v>220</v>
      </c>
      <c r="W35" s="2" t="str" cm="1">
        <f t="array" ref="W35">_xlfn.IFS(dns_csv[[#This Row],[Power]]&gt;=85,"S Tier", dns_csv[[#This Row],[Power]]&gt;=70,"A Tier", dns_csv[[#This Row],[Power]]&gt;=50,"B Tier", TRUE, "C Tier")</f>
        <v>B Tier</v>
      </c>
      <c r="X35" s="2" t="str" cm="1">
        <f t="array" ref="X35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Tactician</v>
      </c>
    </row>
    <row r="36" spans="1:24" ht="28.8" x14ac:dyDescent="0.3">
      <c r="A36" s="2" t="s">
        <v>253</v>
      </c>
      <c r="B36" s="2" t="s">
        <v>38</v>
      </c>
      <c r="C36" s="2">
        <v>7</v>
      </c>
      <c r="D36" s="2">
        <v>174</v>
      </c>
      <c r="E36" s="2" t="s">
        <v>167</v>
      </c>
      <c r="F36" s="2" t="s">
        <v>27</v>
      </c>
      <c r="G36" s="2" t="s">
        <v>144</v>
      </c>
      <c r="H36" s="2" t="s">
        <v>63</v>
      </c>
      <c r="I36" s="2" t="s">
        <v>30</v>
      </c>
      <c r="J36" s="2" t="s">
        <v>64</v>
      </c>
      <c r="K36" s="2">
        <v>60</v>
      </c>
      <c r="L36" s="2">
        <v>95</v>
      </c>
      <c r="M36" s="2">
        <v>28</v>
      </c>
      <c r="N36" s="2">
        <v>58</v>
      </c>
      <c r="O36" s="2" cm="1">
        <f t="array" ref="O36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52</v>
      </c>
      <c r="P36" s="2" t="s">
        <v>31</v>
      </c>
      <c r="Q36" s="2" t="s">
        <v>82</v>
      </c>
      <c r="R36" s="3" t="s">
        <v>254</v>
      </c>
      <c r="S36" s="3" t="s">
        <v>255</v>
      </c>
      <c r="T36" s="2" t="s">
        <v>256</v>
      </c>
      <c r="U36" s="3" t="s">
        <v>257</v>
      </c>
      <c r="V36" s="2">
        <f>SUM(dns_csv[[#This Row],[Power]:[Speed]])</f>
        <v>241</v>
      </c>
      <c r="W36" s="2" t="str" cm="1">
        <f t="array" ref="W36">_xlfn.IFS(dns_csv[[#This Row],[Power]]&gt;=85,"S Tier", dns_csv[[#This Row],[Power]]&gt;=70,"A Tier", dns_csv[[#This Row],[Power]]&gt;=50,"B Tier", TRUE, "C Tier")</f>
        <v>B Tier</v>
      </c>
      <c r="X36" s="2" t="str" cm="1">
        <f t="array" ref="X36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Tactician</v>
      </c>
    </row>
    <row r="37" spans="1:24" ht="28.8" x14ac:dyDescent="0.3">
      <c r="A37" s="2" t="s">
        <v>258</v>
      </c>
      <c r="B37" s="2" t="s">
        <v>38</v>
      </c>
      <c r="C37" s="2">
        <v>2</v>
      </c>
      <c r="D37" s="2">
        <v>171</v>
      </c>
      <c r="E37" s="2" t="s">
        <v>39</v>
      </c>
      <c r="F37" s="2" t="s">
        <v>40</v>
      </c>
      <c r="G37" s="2" t="s">
        <v>228</v>
      </c>
      <c r="H37" s="2" t="s">
        <v>63</v>
      </c>
      <c r="I37" s="2" t="s">
        <v>43</v>
      </c>
      <c r="J37" s="2" t="s">
        <v>44</v>
      </c>
      <c r="K37" s="2">
        <v>88</v>
      </c>
      <c r="L37" s="2">
        <v>28</v>
      </c>
      <c r="M37" s="2">
        <v>10</v>
      </c>
      <c r="N37" s="2">
        <v>90</v>
      </c>
      <c r="O37" s="2" cm="1">
        <f t="array" ref="O37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28</v>
      </c>
      <c r="P37" s="2" t="s">
        <v>45</v>
      </c>
      <c r="Q37" s="2" t="s">
        <v>105</v>
      </c>
      <c r="R37" s="3" t="s">
        <v>259</v>
      </c>
      <c r="S37" s="3" t="s">
        <v>260</v>
      </c>
      <c r="T37" s="2" t="s">
        <v>261</v>
      </c>
      <c r="U37" s="3" t="s">
        <v>262</v>
      </c>
      <c r="V37" s="2">
        <f>SUM(dns_csv[[#This Row],[Power]:[Speed]])</f>
        <v>216</v>
      </c>
      <c r="W37" s="2" t="str" cm="1">
        <f t="array" ref="W37">_xlfn.IFS(dns_csv[[#This Row],[Power]]&gt;=85,"S Tier", dns_csv[[#This Row],[Power]]&gt;=70,"A Tier", dns_csv[[#This Row],[Power]]&gt;=50,"B Tier", TRUE, "C Tier")</f>
        <v>S Tier</v>
      </c>
      <c r="X37" s="2" t="str" cm="1">
        <f t="array" ref="X37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Brawler</v>
      </c>
    </row>
    <row r="38" spans="1:24" ht="28.8" x14ac:dyDescent="0.3">
      <c r="A38" s="2" t="s">
        <v>263</v>
      </c>
      <c r="B38" s="2" t="s">
        <v>25</v>
      </c>
      <c r="C38" s="2">
        <v>4</v>
      </c>
      <c r="D38" s="2">
        <v>165</v>
      </c>
      <c r="E38" s="2" t="s">
        <v>52</v>
      </c>
      <c r="F38" s="2" t="s">
        <v>161</v>
      </c>
      <c r="G38" s="2" t="s">
        <v>62</v>
      </c>
      <c r="H38" s="2" t="s">
        <v>63</v>
      </c>
      <c r="I38" s="2" t="s">
        <v>30</v>
      </c>
      <c r="J38" s="2" t="s">
        <v>12</v>
      </c>
      <c r="K38" s="2">
        <v>20</v>
      </c>
      <c r="L38" s="2">
        <v>65</v>
      </c>
      <c r="M38" s="2">
        <v>95</v>
      </c>
      <c r="N38" s="2">
        <v>35</v>
      </c>
      <c r="O38" s="2" cm="1">
        <f t="array" ref="O38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60</v>
      </c>
      <c r="P38" s="2" t="s">
        <v>45</v>
      </c>
      <c r="Q38" s="2" t="s">
        <v>97</v>
      </c>
      <c r="R38" s="3" t="s">
        <v>264</v>
      </c>
      <c r="S38" s="3" t="s">
        <v>265</v>
      </c>
      <c r="T38" s="2" t="s">
        <v>266</v>
      </c>
      <c r="U38" s="3" t="s">
        <v>267</v>
      </c>
      <c r="V38" s="2">
        <f>SUM(dns_csv[[#This Row],[Power]:[Speed]])</f>
        <v>215</v>
      </c>
      <c r="W38" s="2" t="str" cm="1">
        <f t="array" ref="W38">_xlfn.IFS(dns_csv[[#This Row],[Power]]&gt;=85,"S Tier", dns_csv[[#This Row],[Power]]&gt;=70,"A Tier", dns_csv[[#This Row],[Power]]&gt;=50,"B Tier", TRUE, "C Tier")</f>
        <v>C Tier</v>
      </c>
      <c r="X38" s="2" t="str" cm="1">
        <f t="array" ref="X38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Full Support</v>
      </c>
    </row>
    <row r="39" spans="1:24" ht="28.8" x14ac:dyDescent="0.3">
      <c r="A39" s="2" t="s">
        <v>268</v>
      </c>
      <c r="B39" s="2" t="s">
        <v>25</v>
      </c>
      <c r="C39" s="2">
        <v>2</v>
      </c>
      <c r="D39" s="2">
        <v>169</v>
      </c>
      <c r="E39" s="2" t="s">
        <v>167</v>
      </c>
      <c r="F39" s="2" t="s">
        <v>79</v>
      </c>
      <c r="G39" s="2" t="s">
        <v>191</v>
      </c>
      <c r="H39" s="2" t="s">
        <v>81</v>
      </c>
      <c r="I39" s="2" t="s">
        <v>43</v>
      </c>
      <c r="J39" s="2" t="s">
        <v>96</v>
      </c>
      <c r="K39" s="2">
        <v>70</v>
      </c>
      <c r="L39" s="2">
        <v>85</v>
      </c>
      <c r="M39" s="2">
        <v>50</v>
      </c>
      <c r="N39" s="2">
        <v>55</v>
      </c>
      <c r="O39" s="2" cm="1">
        <f t="array" ref="O39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76</v>
      </c>
      <c r="P39" s="2" t="s">
        <v>54</v>
      </c>
      <c r="Q39" s="2" t="s">
        <v>82</v>
      </c>
      <c r="R39" s="3" t="s">
        <v>269</v>
      </c>
      <c r="S39" s="3" t="s">
        <v>270</v>
      </c>
      <c r="T39" s="2" t="s">
        <v>271</v>
      </c>
      <c r="U39" s="3" t="s">
        <v>272</v>
      </c>
      <c r="V39" s="2">
        <f>SUM(dns_csv[[#This Row],[Power]:[Speed]])</f>
        <v>260</v>
      </c>
      <c r="W39" s="2" t="str" cm="1">
        <f t="array" ref="W39">_xlfn.IFS(dns_csv[[#This Row],[Power]]&gt;=85,"S Tier", dns_csv[[#This Row],[Power]]&gt;=70,"A Tier", dns_csv[[#This Row],[Power]]&gt;=50,"B Tier", TRUE, "C Tier")</f>
        <v>A Tier</v>
      </c>
      <c r="X39" s="2" t="str" cm="1">
        <f t="array" ref="X39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Fortress</v>
      </c>
    </row>
    <row r="40" spans="1:24" ht="28.8" x14ac:dyDescent="0.3">
      <c r="A40" s="2" t="s">
        <v>273</v>
      </c>
      <c r="B40" s="2" t="s">
        <v>25</v>
      </c>
      <c r="C40" s="2">
        <v>3</v>
      </c>
      <c r="D40" s="2">
        <v>166</v>
      </c>
      <c r="E40" s="2" t="s">
        <v>26</v>
      </c>
      <c r="F40" s="2" t="s">
        <v>88</v>
      </c>
      <c r="G40" s="2" t="s">
        <v>130</v>
      </c>
      <c r="H40" s="2" t="s">
        <v>29</v>
      </c>
      <c r="I40" s="2" t="s">
        <v>30</v>
      </c>
      <c r="J40" s="2" t="s">
        <v>64</v>
      </c>
      <c r="K40" s="2">
        <v>50</v>
      </c>
      <c r="L40" s="2">
        <v>68</v>
      </c>
      <c r="M40" s="2">
        <v>55</v>
      </c>
      <c r="N40" s="2">
        <v>52</v>
      </c>
      <c r="O40" s="2" cm="1">
        <f t="array" ref="O40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49</v>
      </c>
      <c r="P40" s="2" t="s">
        <v>31</v>
      </c>
      <c r="Q40" s="2" t="s">
        <v>65</v>
      </c>
      <c r="R40" s="3" t="s">
        <v>274</v>
      </c>
      <c r="S40" s="3" t="s">
        <v>275</v>
      </c>
      <c r="T40" s="2" t="s">
        <v>276</v>
      </c>
      <c r="U40" s="3" t="s">
        <v>277</v>
      </c>
      <c r="V40" s="2">
        <f>SUM(dns_csv[[#This Row],[Power]:[Speed]])</f>
        <v>225</v>
      </c>
      <c r="W40" s="2" t="str" cm="1">
        <f t="array" ref="W40">_xlfn.IFS(dns_csv[[#This Row],[Power]]&gt;=85,"S Tier", dns_csv[[#This Row],[Power]]&gt;=70,"A Tier", dns_csv[[#This Row],[Power]]&gt;=50,"B Tier", TRUE, "C Tier")</f>
        <v>B Tier</v>
      </c>
      <c r="X40" s="2" t="str" cm="1">
        <f t="array" ref="X40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Disruptor</v>
      </c>
    </row>
    <row r="41" spans="1:24" ht="28.8" x14ac:dyDescent="0.3">
      <c r="A41" s="2" t="s">
        <v>278</v>
      </c>
      <c r="B41" s="2" t="s">
        <v>136</v>
      </c>
      <c r="C41" s="2">
        <v>4</v>
      </c>
      <c r="D41" s="2">
        <v>167</v>
      </c>
      <c r="E41" s="2" t="s">
        <v>160</v>
      </c>
      <c r="F41" s="2" t="s">
        <v>279</v>
      </c>
      <c r="G41" s="2" t="s">
        <v>174</v>
      </c>
      <c r="H41" s="2" t="s">
        <v>63</v>
      </c>
      <c r="I41" s="2" t="s">
        <v>43</v>
      </c>
      <c r="J41" s="2" t="s">
        <v>96</v>
      </c>
      <c r="K41" s="2">
        <v>78</v>
      </c>
      <c r="L41" s="2">
        <v>35</v>
      </c>
      <c r="M41" s="2">
        <v>40</v>
      </c>
      <c r="N41" s="2">
        <v>70</v>
      </c>
      <c r="O41" s="2" cm="1">
        <f t="array" ref="O41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70</v>
      </c>
      <c r="P41" s="2" t="s">
        <v>45</v>
      </c>
      <c r="Q41" s="2" t="s">
        <v>46</v>
      </c>
      <c r="R41" s="3" t="s">
        <v>280</v>
      </c>
      <c r="S41" s="3" t="s">
        <v>281</v>
      </c>
      <c r="T41" s="2" t="s">
        <v>282</v>
      </c>
      <c r="U41" s="3" t="s">
        <v>283</v>
      </c>
      <c r="V41" s="5">
        <f>SUM(dns_csv[[#This Row],[Power]:[Speed]])</f>
        <v>223</v>
      </c>
      <c r="W41" s="5" t="str" cm="1">
        <f t="array" ref="W41">_xlfn.IFS(dns_csv[[#This Row],[Power]]&gt;=85,"S Tier", dns_csv[[#This Row],[Power]]&gt;=70,"A Tier", dns_csv[[#This Row],[Power]]&gt;=50,"B Tier", TRUE, "C Tier")</f>
        <v>A Tier</v>
      </c>
      <c r="X41" s="5" t="str" cm="1">
        <f t="array" ref="X41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Tank</v>
      </c>
    </row>
  </sheetData>
  <conditionalFormatting sqref="K1:O4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:V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B8C3F9-AE25-46E0-BC9D-9E8D564505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Shaina</dc:creator>
  <cp:lastModifiedBy>Astrid Shaina</cp:lastModifiedBy>
  <dcterms:created xsi:type="dcterms:W3CDTF">2026-03-18T08:50:34Z</dcterms:created>
  <dcterms:modified xsi:type="dcterms:W3CDTF">2026-03-18T09:31:41Z</dcterms:modified>
</cp:coreProperties>
</file>