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493edff0b5f7e/Documents/Practice/"/>
    </mc:Choice>
  </mc:AlternateContent>
  <xr:revisionPtr revIDLastSave="206" documentId="8_{B9C9F0D3-740E-4FDC-9EDB-850668F1D5D1}" xr6:coauthVersionLast="47" xr6:coauthVersionMax="47" xr10:uidLastSave="{BEA82A3E-91BB-4CCA-8D60-66D223B5E825}"/>
  <bookViews>
    <workbookView xWindow="11424" yWindow="0" windowWidth="11712" windowHeight="12336" xr2:uid="{ECA87B88-5C7B-4B0D-969A-76A12890E923}"/>
  </bookViews>
  <sheets>
    <sheet name="characters" sheetId="2" r:id="rId1"/>
    <sheet name="chart" sheetId="4" r:id="rId2"/>
    <sheet name="pivot" sheetId="3" r:id="rId3"/>
  </sheets>
  <definedNames>
    <definedName name="ExternalData_1" localSheetId="0" hidden="1">'characters'!$A$1:$I$17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2" l="1" a="1"/>
  <c r="E55" i="2" s="1"/>
  <c r="D55" i="2" a="1"/>
  <c r="D55" i="2" s="1"/>
  <c r="B55" i="2" a="1"/>
  <c r="B55" i="2" s="1"/>
  <c r="A55" i="2" a="1"/>
  <c r="A55" i="2" s="1"/>
  <c r="H35" i="2"/>
  <c r="H34" i="2"/>
  <c r="H33" i="2"/>
  <c r="B24" i="2"/>
  <c r="H32" i="2"/>
  <c r="H31" i="2"/>
  <c r="H3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G51" i="2"/>
  <c r="E28" i="2"/>
  <c r="E27" i="2"/>
  <c r="G48" i="2"/>
  <c r="I43" i="2"/>
  <c r="F39" i="2"/>
  <c r="J17" i="2"/>
  <c r="L17" i="2" s="1"/>
  <c r="N17" i="2" s="1"/>
  <c r="E35" i="2"/>
  <c r="E34" i="2"/>
  <c r="E33" i="2"/>
  <c r="G24" i="2" a="1"/>
  <c r="G24" i="2" s="1"/>
  <c r="F24" i="2"/>
  <c r="B25" i="2"/>
  <c r="B26" i="2"/>
  <c r="B27" i="2"/>
  <c r="B28" i="2"/>
  <c r="B29" i="2"/>
  <c r="B30" i="2"/>
  <c r="J2" i="2"/>
  <c r="L2" i="2" s="1"/>
  <c r="N2" i="2" s="1"/>
  <c r="K2" i="2"/>
  <c r="J3" i="2"/>
  <c r="L3" i="2" s="1"/>
  <c r="N3" i="2" s="1"/>
  <c r="K3" i="2"/>
  <c r="J4" i="2"/>
  <c r="L4" i="2" s="1"/>
  <c r="N4" i="2" s="1"/>
  <c r="K4" i="2"/>
  <c r="J5" i="2"/>
  <c r="L5" i="2" s="1"/>
  <c r="N5" i="2" s="1"/>
  <c r="K5" i="2"/>
  <c r="J6" i="2"/>
  <c r="L6" i="2" s="1"/>
  <c r="N6" i="2" s="1"/>
  <c r="K6" i="2"/>
  <c r="J7" i="2"/>
  <c r="L7" i="2" s="1"/>
  <c r="N7" i="2" s="1"/>
  <c r="K7" i="2"/>
  <c r="J8" i="2"/>
  <c r="L8" i="2" s="1"/>
  <c r="N8" i="2" s="1"/>
  <c r="K8" i="2"/>
  <c r="J9" i="2"/>
  <c r="L9" i="2" s="1"/>
  <c r="N9" i="2" s="1"/>
  <c r="K9" i="2"/>
  <c r="J10" i="2"/>
  <c r="L10" i="2" s="1"/>
  <c r="N10" i="2" s="1"/>
  <c r="K10" i="2"/>
  <c r="J11" i="2"/>
  <c r="L11" i="2" s="1"/>
  <c r="N11" i="2" s="1"/>
  <c r="K11" i="2"/>
  <c r="J12" i="2"/>
  <c r="L12" i="2" s="1"/>
  <c r="N12" i="2" s="1"/>
  <c r="K12" i="2"/>
  <c r="J13" i="2"/>
  <c r="L13" i="2" s="1"/>
  <c r="N13" i="2" s="1"/>
  <c r="K13" i="2"/>
  <c r="J14" i="2"/>
  <c r="L14" i="2" s="1"/>
  <c r="N14" i="2" s="1"/>
  <c r="K14" i="2"/>
  <c r="J15" i="2"/>
  <c r="L15" i="2" s="1"/>
  <c r="N15" i="2" s="1"/>
  <c r="K15" i="2"/>
  <c r="J16" i="2"/>
  <c r="L16" i="2" s="1"/>
  <c r="N16" i="2" s="1"/>
  <c r="K16" i="2"/>
  <c r="K17" i="2"/>
  <c r="H5" i="3"/>
  <c r="H6" i="3"/>
  <c r="H7" i="3"/>
  <c r="H4" i="3"/>
  <c r="G47" i="2" l="1"/>
  <c r="I44" i="2"/>
  <c r="F40" i="2"/>
  <c r="M11" i="2"/>
  <c r="M17" i="2"/>
  <c r="M13" i="2"/>
  <c r="M8" i="2"/>
  <c r="M15" i="2"/>
  <c r="M12" i="2"/>
  <c r="M10" i="2"/>
  <c r="M9" i="2"/>
  <c r="M7" i="2"/>
  <c r="M14" i="2"/>
  <c r="M5" i="2"/>
  <c r="M4" i="2"/>
  <c r="M16" i="2"/>
  <c r="M6" i="2"/>
  <c r="M3" i="2"/>
  <c r="M2" i="2"/>
  <c r="E36" i="2"/>
  <c r="B20" i="2"/>
  <c r="B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01A9B-249D-40C0-916E-BFC01A1F67A1}" keepAlive="1" name="Query - characters" description="Connection to the 'characters' query in the workbook." type="5" refreshedVersion="8" background="1" saveData="1">
    <dbPr connection="Provider=Microsoft.Mashup.OleDb.1;Data Source=$Workbook$;Location=characters;Extended Properties=&quot;&quot;" command="SELECT * FROM [characte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<sst xmlns="http://schemas.openxmlformats.org/spreadsheetml/2006/main" count="149" uniqueCount="113">
  <si>
    <t>Name</t>
  </si>
  <si>
    <t>Group</t>
  </si>
  <si>
    <t>MBTI</t>
  </si>
  <si>
    <t>Power</t>
  </si>
  <si>
    <t>Endurance</t>
  </si>
  <si>
    <t>Defense</t>
  </si>
  <si>
    <t>Agility</t>
  </si>
  <si>
    <t>Intelligence</t>
  </si>
  <si>
    <t>Perception</t>
  </si>
  <si>
    <t>Paula Lopez</t>
  </si>
  <si>
    <t>Analysts</t>
  </si>
  <si>
    <t>INTP</t>
  </si>
  <si>
    <t>Mica Dwyer</t>
  </si>
  <si>
    <t>ENTP</t>
  </si>
  <si>
    <t>Hiromi Masaki</t>
  </si>
  <si>
    <t>INTJ</t>
  </si>
  <si>
    <t>Gillian Wiley</t>
  </si>
  <si>
    <t>ENTJ</t>
  </si>
  <si>
    <t>Hayami Amamiya</t>
  </si>
  <si>
    <t>Explorers</t>
  </si>
  <si>
    <t>ISTP</t>
  </si>
  <si>
    <t>Shaye Kaylen</t>
  </si>
  <si>
    <t>ESTP</t>
  </si>
  <si>
    <t>Shiina Ishioka</t>
  </si>
  <si>
    <t>ISFP</t>
  </si>
  <si>
    <t>Theresa Felix</t>
  </si>
  <si>
    <t>ESFP</t>
  </si>
  <si>
    <t>Chiyo Funai</t>
  </si>
  <si>
    <t>Sentinels</t>
  </si>
  <si>
    <t>ISTJ</t>
  </si>
  <si>
    <t>Shizuka Aikawa</t>
  </si>
  <si>
    <t>ESTJ</t>
  </si>
  <si>
    <t>Mayumi Sasaki</t>
  </si>
  <si>
    <t>ISFJ</t>
  </si>
  <si>
    <t>Lily Raven</t>
  </si>
  <si>
    <t>ESFJ</t>
  </si>
  <si>
    <t>Sonia Spade</t>
  </si>
  <si>
    <t>Diplomats</t>
  </si>
  <si>
    <t>INFJ</t>
  </si>
  <si>
    <t>Himiko Nakayama</t>
  </si>
  <si>
    <t>ENFJ</t>
  </si>
  <si>
    <t>Katie Olson</t>
  </si>
  <si>
    <t>INFP</t>
  </si>
  <si>
    <t>Emily Caddel</t>
  </si>
  <si>
    <t>ENFP</t>
  </si>
  <si>
    <t>Total</t>
  </si>
  <si>
    <t>Average</t>
  </si>
  <si>
    <t>Min:</t>
  </si>
  <si>
    <t>Max:</t>
  </si>
  <si>
    <t>Row Labels</t>
  </si>
  <si>
    <t>Grand Total</t>
  </si>
  <si>
    <t>Average of Power</t>
  </si>
  <si>
    <t>Average of Endurance</t>
  </si>
  <si>
    <t>Average of Defense</t>
  </si>
  <si>
    <t>Average of Agility</t>
  </si>
  <si>
    <t>Average of Intelligence</t>
  </si>
  <si>
    <t>Average of Perception</t>
  </si>
  <si>
    <t>Group Avarage</t>
  </si>
  <si>
    <t>Most green cell:</t>
  </si>
  <si>
    <t>Most red cell:</t>
  </si>
  <si>
    <t>Hayami and Shizuka (3)</t>
  </si>
  <si>
    <t>Sonia (4)</t>
  </si>
  <si>
    <t>Search Name:</t>
  </si>
  <si>
    <t>Group:</t>
  </si>
  <si>
    <t>Power:</t>
  </si>
  <si>
    <t>Endurance:</t>
  </si>
  <si>
    <t>Defense:</t>
  </si>
  <si>
    <t>Intelligence:</t>
  </si>
  <si>
    <t>Perception:</t>
  </si>
  <si>
    <t>(Xlookup)</t>
  </si>
  <si>
    <t>(Xlookup spill)</t>
  </si>
  <si>
    <t>Characters with Power above 75:</t>
  </si>
  <si>
    <t>Average Intelligence of Analysts:</t>
  </si>
  <si>
    <t>Characters with Agility below 60:</t>
  </si>
  <si>
    <t>Avg Defense of characters above 440 total:</t>
  </si>
  <si>
    <t xml:space="preserve">Paula </t>
  </si>
  <si>
    <t xml:space="preserve">Mica </t>
  </si>
  <si>
    <t xml:space="preserve">Hiromi </t>
  </si>
  <si>
    <t xml:space="preserve">Gillian </t>
  </si>
  <si>
    <t xml:space="preserve">Hayami </t>
  </si>
  <si>
    <t xml:space="preserve">Shaye </t>
  </si>
  <si>
    <t xml:space="preserve">Shiina </t>
  </si>
  <si>
    <t xml:space="preserve">Theresa </t>
  </si>
  <si>
    <t xml:space="preserve">Chiyo </t>
  </si>
  <si>
    <t xml:space="preserve">Shizuka </t>
  </si>
  <si>
    <t xml:space="preserve">Mayumi </t>
  </si>
  <si>
    <t xml:space="preserve">Lily </t>
  </si>
  <si>
    <t xml:space="preserve">Sonia </t>
  </si>
  <si>
    <t xml:space="preserve">Himiko </t>
  </si>
  <si>
    <t xml:space="preserve">Katie </t>
  </si>
  <si>
    <t xml:space="preserve">Emily </t>
  </si>
  <si>
    <t>Stat</t>
  </si>
  <si>
    <t>Tier</t>
  </si>
  <si>
    <t>Power Rank</t>
  </si>
  <si>
    <t>(Sumif)</t>
  </si>
  <si>
    <t>What is the total combined Power of all Explorers?</t>
  </si>
  <si>
    <t>What is the total combined Intelligence of all S Tier characters?</t>
  </si>
  <si>
    <t>How many characters are in the Explorers group AND have Power above 75?</t>
  </si>
  <si>
    <t>What is the average Agility of characters who are A Tier AND have Perception above 80?</t>
  </si>
  <si>
    <t>COUNTIFS and AVERAGEIFS</t>
  </si>
  <si>
    <r>
      <t xml:space="preserve">What is the total Power of characters who are Explorers AND A Tier or higher? </t>
    </r>
    <r>
      <rPr>
        <i/>
        <sz val="11"/>
        <color theme="1"/>
        <rFont val="Calibri"/>
        <family val="2"/>
        <scheme val="minor"/>
      </rPr>
      <t>(hint: A Tier and S Tier both qualify — you'll need two separate SUMIFS added together)</t>
    </r>
  </si>
  <si>
    <t>What is the total Defense of Sentinels with Endurance above 75?</t>
  </si>
  <si>
    <t>SUMIFS</t>
  </si>
  <si>
    <t>Iferror</t>
  </si>
  <si>
    <t>Profile</t>
  </si>
  <si>
    <t>First Name</t>
  </si>
  <si>
    <t>4th MBTI Letter</t>
  </si>
  <si>
    <t>2nd, 3rd MBTI Letter</t>
  </si>
  <si>
    <t>Index Match</t>
  </si>
  <si>
    <t>If error</t>
  </si>
  <si>
    <t>COUNTIF and AVERAGEIF</t>
  </si>
  <si>
    <t>Unique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</si>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</sst>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40% - Accent1" xfId="1" builtinId="31"/>
    <cellStyle name="Normal" xfId="0" builtinId="0"/>
  </cellStyles>
  <dxfs count="7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Paula vs Hayami </a:t>
            </a:r>
            <a:r>
              <a:rPr lang="en-US" sz="1400" b="0" i="0" u="none" strike="noStrike" baseline="0"/>
              <a:t>— Stat Profile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Paula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Power</c:v>
                </c:pt>
                <c:pt idx="1">
                  <c:v>Endurance</c:v>
                </c:pt>
                <c:pt idx="2">
                  <c:v>Defense</c:v>
                </c:pt>
                <c:pt idx="3">
                  <c:v>Agility</c:v>
                </c:pt>
                <c:pt idx="4">
                  <c:v>Intelligence</c:v>
                </c:pt>
                <c:pt idx="5">
                  <c:v>Perception</c:v>
                </c:pt>
              </c:strCache>
            </c:strRef>
          </c:cat>
          <c:val>
            <c:numRef>
              <c:f>chart!$B$2:$B$7</c:f>
              <c:numCache>
                <c:formatCode>General</c:formatCode>
                <c:ptCount val="6"/>
                <c:pt idx="0">
                  <c:v>75</c:v>
                </c:pt>
                <c:pt idx="1">
                  <c:v>50</c:v>
                </c:pt>
                <c:pt idx="2">
                  <c:v>60</c:v>
                </c:pt>
                <c:pt idx="3">
                  <c:v>40</c:v>
                </c:pt>
                <c:pt idx="4">
                  <c:v>95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8-4F9A-AF9B-BCC2CC62E52F}"/>
            </c:ext>
          </c:extLst>
        </c:ser>
        <c:ser>
          <c:idx val="1"/>
          <c:order val="1"/>
          <c:tx>
            <c:strRef>
              <c:f>chart!$F$1</c:f>
              <c:strCache>
                <c:ptCount val="1"/>
                <c:pt idx="0">
                  <c:v>Hayami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Power</c:v>
                </c:pt>
                <c:pt idx="1">
                  <c:v>Endurance</c:v>
                </c:pt>
                <c:pt idx="2">
                  <c:v>Defense</c:v>
                </c:pt>
                <c:pt idx="3">
                  <c:v>Agility</c:v>
                </c:pt>
                <c:pt idx="4">
                  <c:v>Intelligence</c:v>
                </c:pt>
                <c:pt idx="5">
                  <c:v>Perception</c:v>
                </c:pt>
              </c:strCache>
            </c:strRef>
          </c:cat>
          <c:val>
            <c:numRef>
              <c:f>chart!$F$2:$F$7</c:f>
              <c:numCache>
                <c:formatCode>General</c:formatCode>
                <c:ptCount val="6"/>
                <c:pt idx="0">
                  <c:v>80</c:v>
                </c:pt>
                <c:pt idx="1">
                  <c:v>75</c:v>
                </c:pt>
                <c:pt idx="2">
                  <c:v>70</c:v>
                </c:pt>
                <c:pt idx="3">
                  <c:v>92</c:v>
                </c:pt>
                <c:pt idx="4">
                  <c:v>85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8-4F9A-AF9B-BCC2CC62E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180255"/>
        <c:axId val="425181215"/>
      </c:radarChart>
      <c:catAx>
        <c:axId val="42518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81215"/>
        <c:crosses val="autoZero"/>
        <c:auto val="1"/>
        <c:lblAlgn val="ctr"/>
        <c:lblOffset val="100"/>
        <c:noMultiLvlLbl val="0"/>
      </c:catAx>
      <c:valAx>
        <c:axId val="42518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[characters.xlsx]pivot!PivotTable2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Average of Power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Analysts</c:v>
                </c:pt>
                <c:pt idx="1">
                  <c:v>Diplomats</c:v>
                </c:pt>
                <c:pt idx="2">
                  <c:v>Explorers</c:v>
                </c:pt>
                <c:pt idx="3">
                  <c:v>Sentinels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78.75</c:v>
                </c:pt>
                <c:pt idx="1">
                  <c:v>61.25</c:v>
                </c:pt>
                <c:pt idx="2">
                  <c:v>73.75</c:v>
                </c:pt>
                <c:pt idx="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540-B764-F1C4C420A3CD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Average of Endurance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Analysts</c:v>
                </c:pt>
                <c:pt idx="1">
                  <c:v>Diplomats</c:v>
                </c:pt>
                <c:pt idx="2">
                  <c:v>Explorers</c:v>
                </c:pt>
                <c:pt idx="3">
                  <c:v>Sentinels</c:v>
                </c:pt>
              </c:strCache>
            </c:strRef>
          </c:cat>
          <c:val>
            <c:numRef>
              <c:f>pivot!$C$4:$C$8</c:f>
              <c:numCache>
                <c:formatCode>General</c:formatCode>
                <c:ptCount val="4"/>
                <c:pt idx="0">
                  <c:v>63.75</c:v>
                </c:pt>
                <c:pt idx="1">
                  <c:v>61.25</c:v>
                </c:pt>
                <c:pt idx="2">
                  <c:v>72.5</c:v>
                </c:pt>
                <c:pt idx="3">
                  <c:v>79.25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9-4540-B764-F1C4C420A3CD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Average of Defense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Analysts</c:v>
                </c:pt>
                <c:pt idx="1">
                  <c:v>Diplomats</c:v>
                </c:pt>
                <c:pt idx="2">
                  <c:v>Explorers</c:v>
                </c:pt>
                <c:pt idx="3">
                  <c:v>Sentinels</c:v>
                </c:pt>
              </c:strCache>
            </c:strRef>
          </c:cat>
          <c:val>
            <c:numRef>
              <c:f>pivot!$D$4:$D$8</c:f>
              <c:numCache>
                <c:formatCode>General</c:formatCode>
                <c:ptCount val="4"/>
                <c:pt idx="0">
                  <c:v>57.5</c:v>
                </c:pt>
                <c:pt idx="1">
                  <c:v>52</c:v>
                </c:pt>
                <c:pt idx="2">
                  <c:v>63.25</c:v>
                </c:pt>
                <c:pt idx="3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9-4540-B764-F1C4C420A3CD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Average of Agility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Analysts</c:v>
                </c:pt>
                <c:pt idx="1">
                  <c:v>Diplomats</c:v>
                </c:pt>
                <c:pt idx="2">
                  <c:v>Explorers</c:v>
                </c:pt>
                <c:pt idx="3">
                  <c:v>Sentinels</c:v>
                </c:pt>
              </c:strCache>
            </c:strRef>
          </c:cat>
          <c:val>
            <c:numRef>
              <c:f>pivot!$E$4:$E$8</c:f>
              <c:numCache>
                <c:formatCode>General</c:formatCode>
                <c:ptCount val="4"/>
                <c:pt idx="0">
                  <c:v>55.75</c:v>
                </c:pt>
                <c:pt idx="1">
                  <c:v>66.75</c:v>
                </c:pt>
                <c:pt idx="2">
                  <c:v>84.25</c:v>
                </c:pt>
                <c:pt idx="3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99-4540-B764-F1C4C420A3CD}"/>
            </c:ext>
          </c:extLst>
        </c:ser>
        <c:ser>
          <c:idx val="4"/>
          <c:order val="4"/>
          <c:tx>
            <c:strRef>
              <c:f>pivot!$F$3</c:f>
              <c:strCache>
                <c:ptCount val="1"/>
                <c:pt idx="0">
                  <c:v>Average of Intelligence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Analysts</c:v>
                </c:pt>
                <c:pt idx="1">
                  <c:v>Diplomats</c:v>
                </c:pt>
                <c:pt idx="2">
                  <c:v>Explorers</c:v>
                </c:pt>
                <c:pt idx="3">
                  <c:v>Sentinels</c:v>
                </c:pt>
              </c:strCache>
            </c:strRef>
          </c:cat>
          <c:val>
            <c:numRef>
              <c:f>pivot!$F$4:$F$8</c:f>
              <c:numCache>
                <c:formatCode>General</c:formatCode>
                <c:ptCount val="4"/>
                <c:pt idx="0">
                  <c:v>90</c:v>
                </c:pt>
                <c:pt idx="1">
                  <c:v>80.75</c:v>
                </c:pt>
                <c:pt idx="2">
                  <c:v>65</c:v>
                </c:pt>
                <c:pt idx="3">
                  <c:v>70.75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99-4540-B764-F1C4C420A3CD}"/>
            </c:ext>
          </c:extLst>
        </c:ser>
        <c:ser>
          <c:idx val="5"/>
          <c:order val="5"/>
          <c:tx>
            <c:strRef>
              <c:f>pivot!$G$3</c:f>
              <c:strCache>
                <c:ptCount val="1"/>
                <c:pt idx="0">
                  <c:v>Average of Perception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Analysts</c:v>
                </c:pt>
                <c:pt idx="1">
                  <c:v>Diplomats</c:v>
                </c:pt>
                <c:pt idx="2">
                  <c:v>Explorers</c:v>
                </c:pt>
                <c:pt idx="3">
                  <c:v>Sentinels</c:v>
                </c:pt>
              </c:strCache>
            </c:strRef>
          </c:cat>
          <c:val>
            <c:numRef>
              <c:f>pivot!$G$4:$G$8</c:f>
              <c:numCache>
                <c:formatCode>General</c:formatCode>
                <c:ptCount val="4"/>
                <c:pt idx="0">
                  <c:v>85</c:v>
                </c:pt>
                <c:pt idx="1">
                  <c:v>85</c:v>
                </c:pt>
                <c:pt idx="2">
                  <c:v>85.5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99-4540-B764-F1C4C420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091856"/>
        <c:axId val="600092336"/>
      </c:barChart>
      <c:catAx>
        <c:axId val="60009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92336"/>
        <c:crosses val="autoZero"/>
        <c:auto val="1"/>
        <c:lblAlgn val="ctr"/>
        <c:lblOffset val="100"/>
        <c:noMultiLvlLbl val="0"/>
      </c:catAx>
      <c:valAx>
        <c:axId val="60009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9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11430</xdr:rowOff>
    </xdr:from>
    <xdr:to>
      <xdr:col>7</xdr:col>
      <xdr:colOff>198120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263EEF-8CA0-D628-879E-9B5FA2200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148590</xdr:rowOff>
    </xdr:from>
    <xdr:to>
      <xdr:col>8</xdr:col>
      <xdr:colOff>350520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681AB-6372-179C-0899-2CA09FDB1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gion" refreshedDate="46097.674468865742" createdVersion="8" refreshedVersion="8" minRefreshableVersion="3" recordCount="16" xr:uid="{84EC45F4-1155-4DBC-A7D4-510515018CE5}">
  <cacheSource type="worksheet">
    <worksheetSource name="characters"/>
  </cacheSource>
  <cacheFields count="11">
    <cacheField name="Name" numFmtId="0">
      <sharedItems/>
    </cacheField>
    <cacheField name="Group" numFmtId="0">
      <sharedItems count="4">
        <s v="Analysts"/>
        <s v="Explorers"/>
        <s v="Sentinels"/>
        <s v="Diplomats"/>
      </sharedItems>
    </cacheField>
    <cacheField name="MBTI" numFmtId="0">
      <sharedItems/>
    </cacheField>
    <cacheField name="Power" numFmtId="0">
      <sharedItems containsSemiMixedTypes="0" containsString="0" containsNumber="1" containsInteger="1" minValue="50" maxValue="90"/>
    </cacheField>
    <cacheField name="Endurance" numFmtId="0">
      <sharedItems containsSemiMixedTypes="0" containsString="0" containsNumber="1" containsInteger="1" minValue="50" maxValue="85"/>
    </cacheField>
    <cacheField name="Defense" numFmtId="0">
      <sharedItems containsSemiMixedTypes="0" containsString="0" containsNumber="1" containsInteger="1" minValue="48" maxValue="88"/>
    </cacheField>
    <cacheField name="Agility" numFmtId="0">
      <sharedItems containsSemiMixedTypes="0" containsString="0" containsNumber="1" containsInteger="1" minValue="40" maxValue="92"/>
    </cacheField>
    <cacheField name="Intelligence" numFmtId="0">
      <sharedItems containsSemiMixedTypes="0" containsString="0" containsNumber="1" containsInteger="1" minValue="50" maxValue="95"/>
    </cacheField>
    <cacheField name="Perception" numFmtId="0">
      <sharedItems containsSemiMixedTypes="0" containsString="0" containsNumber="1" containsInteger="1" minValue="75" maxValue="95"/>
    </cacheField>
    <cacheField name="Total" numFmtId="0">
      <sharedItems containsSemiMixedTypes="0" containsString="0" containsNumber="1" containsInteger="1" minValue="395" maxValue="492"/>
    </cacheField>
    <cacheField name="Average" numFmtId="2">
      <sharedItems containsSemiMixedTypes="0" containsString="0" containsNumber="1" minValue="65.833333333333329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Paula Lopez"/>
    <x v="0"/>
    <s v="INTP"/>
    <n v="75"/>
    <n v="50"/>
    <n v="60"/>
    <n v="40"/>
    <n v="95"/>
    <n v="88"/>
    <n v="408"/>
    <n v="68"/>
  </r>
  <r>
    <s v="Mica Dwyer"/>
    <x v="0"/>
    <s v="ENTP"/>
    <n v="72"/>
    <n v="65"/>
    <n v="50"/>
    <n v="70"/>
    <n v="85"/>
    <n v="80"/>
    <n v="422"/>
    <n v="70.333333333333329"/>
  </r>
  <r>
    <s v="Hiromi Masaki"/>
    <x v="0"/>
    <s v="INTJ"/>
    <n v="78"/>
    <n v="60"/>
    <n v="55"/>
    <n v="45"/>
    <n v="92"/>
    <n v="90"/>
    <n v="420"/>
    <n v="70"/>
  </r>
  <r>
    <s v="Gillian Wiley"/>
    <x v="0"/>
    <s v="ENTJ"/>
    <n v="90"/>
    <n v="80"/>
    <n v="65"/>
    <n v="68"/>
    <n v="88"/>
    <n v="82"/>
    <n v="473"/>
    <n v="78.833333333333329"/>
  </r>
  <r>
    <s v="Hayami Amamiya"/>
    <x v="1"/>
    <s v="ISTP"/>
    <n v="80"/>
    <n v="75"/>
    <n v="70"/>
    <n v="92"/>
    <n v="85"/>
    <n v="90"/>
    <n v="492"/>
    <n v="82"/>
  </r>
  <r>
    <s v="Shaye Kaylen"/>
    <x v="1"/>
    <s v="ESTP"/>
    <n v="85"/>
    <n v="78"/>
    <n v="60"/>
    <n v="90"/>
    <n v="60"/>
    <n v="82"/>
    <n v="455"/>
    <n v="75.833333333333329"/>
  </r>
  <r>
    <s v="Shiina Ishioka"/>
    <x v="1"/>
    <s v="ISFP"/>
    <n v="70"/>
    <n v="72"/>
    <n v="68"/>
    <n v="75"/>
    <n v="65"/>
    <n v="78"/>
    <n v="428"/>
    <n v="71.333333333333329"/>
  </r>
  <r>
    <s v="Theresa Felix"/>
    <x v="1"/>
    <s v="ESFP"/>
    <n v="60"/>
    <n v="65"/>
    <n v="55"/>
    <n v="80"/>
    <n v="50"/>
    <n v="92"/>
    <n v="402"/>
    <n v="67"/>
  </r>
  <r>
    <s v="Chiyo Funai"/>
    <x v="2"/>
    <s v="ISTJ"/>
    <n v="68"/>
    <n v="80"/>
    <n v="78"/>
    <n v="60"/>
    <n v="72"/>
    <n v="85"/>
    <n v="443"/>
    <n v="73.833333333333329"/>
  </r>
  <r>
    <s v="Shizuka Aikawa"/>
    <x v="2"/>
    <s v="ESTJ"/>
    <n v="88"/>
    <n v="82"/>
    <n v="70"/>
    <n v="72"/>
    <n v="78"/>
    <n v="75"/>
    <n v="465"/>
    <n v="77.5"/>
  </r>
  <r>
    <s v="Mayumi Sasaki"/>
    <x v="2"/>
    <s v="ISFJ"/>
    <n v="50"/>
    <n v="85"/>
    <n v="88"/>
    <n v="55"/>
    <n v="68"/>
    <n v="80"/>
    <n v="426"/>
    <n v="71"/>
  </r>
  <r>
    <s v="Lily Raven"/>
    <x v="2"/>
    <s v="ESFJ"/>
    <n v="62"/>
    <n v="70"/>
    <n v="60"/>
    <n v="68"/>
    <n v="65"/>
    <n v="88"/>
    <n v="413"/>
    <n v="68.833333333333329"/>
  </r>
  <r>
    <s v="Sonia Spade"/>
    <x v="3"/>
    <s v="INFJ"/>
    <n v="50"/>
    <n v="58"/>
    <n v="50"/>
    <n v="55"/>
    <n v="90"/>
    <n v="95"/>
    <n v="398"/>
    <n v="66.333333333333329"/>
  </r>
  <r>
    <s v="Himiko Nakayama"/>
    <x v="3"/>
    <s v="ENFJ"/>
    <n v="65"/>
    <n v="72"/>
    <n v="58"/>
    <n v="70"/>
    <n v="85"/>
    <n v="88"/>
    <n v="438"/>
    <n v="73"/>
  </r>
  <r>
    <s v="Katie Olson"/>
    <x v="3"/>
    <s v="INFP"/>
    <n v="72"/>
    <n v="55"/>
    <n v="48"/>
    <n v="60"/>
    <n v="78"/>
    <n v="82"/>
    <n v="395"/>
    <n v="65.833333333333329"/>
  </r>
  <r>
    <s v="Emily Caddel"/>
    <x v="3"/>
    <s v="ENFP"/>
    <n v="58"/>
    <n v="60"/>
    <n v="52"/>
    <n v="82"/>
    <n v="70"/>
    <n v="75"/>
    <n v="397"/>
    <n v="66.1666666666666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33C4A-84D7-423C-9871-37B524B3EE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0" firstDataRow="1" firstDataCol="1"/>
  <pivotFields count="11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Power" fld="3" subtotal="average" baseField="1" baseItem="0"/>
    <dataField name="Average of Endurance" fld="4" subtotal="average" baseField="1" baseItem="0"/>
    <dataField name="Average of Defense" fld="5" subtotal="average" baseField="1" baseItem="0"/>
    <dataField name="Average of Agility" fld="6" subtotal="average" baseField="1" baseItem="0"/>
    <dataField name="Average of Intelligence" fld="7" subtotal="average" baseField="1" baseItem="0"/>
    <dataField name="Average of Perception" fld="8" subtotal="average" baseField="1" baseItem="0"/>
  </dataFields>
  <formats count="31">
    <format dxfId="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1"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AE3FC0-0B20-4C5A-B23A-9038FE3F1745}" autoFormatId="16" applyNumberFormats="0" applyBorderFormats="0" applyFontFormats="0" applyPatternFormats="0" applyAlignmentFormats="0" applyWidthHeightFormats="0">
  <queryTableRefresh nextId="18" unboundColumnsRight="8">
    <queryTableFields count="17">
      <queryTableField id="1" name="Name" tableColumnId="1"/>
      <queryTableField id="2" name="Group" tableColumnId="2"/>
      <queryTableField id="3" name="MBTI" tableColumnId="3"/>
      <queryTableField id="4" name="Power" tableColumnId="4"/>
      <queryTableField id="5" name="Endurance" tableColumnId="5"/>
      <queryTableField id="6" name="Defense" tableColumnId="6"/>
      <queryTableField id="7" name="Agility" tableColumnId="7"/>
      <queryTableField id="8" name="Intelligence" tableColumnId="8"/>
      <queryTableField id="9" name="Perception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894D4-9002-4660-9267-F0F5E23D10B3}" name="characters" displayName="characters" ref="A1:Q17" tableType="queryTable" totalsRowShown="0" headerRowDxfId="44" dataDxfId="43" headerRowBorderDxfId="78" tableBorderDxfId="77" totalsRowBorderDxfId="76">
  <autoFilter ref="A1:Q17" xr:uid="{2B0894D4-9002-4660-9267-F0F5E23D10B3}"/>
  <tableColumns count="17">
    <tableColumn id="1" xr3:uid="{053D5C5D-A312-4A3E-B93B-BF62C6013943}" uniqueName="1" name="Name" queryTableFieldId="1" dataDxfId="42"/>
    <tableColumn id="2" xr3:uid="{AFDF7971-D302-4BE5-8B83-6C8741382963}" uniqueName="2" name="Group" queryTableFieldId="2" dataDxfId="41"/>
    <tableColumn id="3" xr3:uid="{EA51CCF1-47DC-4C91-A5C4-A2DB6B7DA9BD}" uniqueName="3" name="MBTI" queryTableFieldId="3" dataDxfId="40"/>
    <tableColumn id="4" xr3:uid="{B2217D95-FBE6-4E28-8EB0-855BBD6DFE4B}" uniqueName="4" name="Power" queryTableFieldId="4" dataDxfId="39"/>
    <tableColumn id="5" xr3:uid="{B616DEBD-E504-4F2E-A05D-347241CD45F8}" uniqueName="5" name="Endurance" queryTableFieldId="5" dataDxfId="38"/>
    <tableColumn id="6" xr3:uid="{20D4AB6B-4CB0-464B-9325-C1D9B4E6B854}" uniqueName="6" name="Defense" queryTableFieldId="6" dataDxfId="37"/>
    <tableColumn id="7" xr3:uid="{01927BCE-73E0-4881-BC53-4FC2C0A43326}" uniqueName="7" name="Agility" queryTableFieldId="7" dataDxfId="36"/>
    <tableColumn id="8" xr3:uid="{D0B2D7FB-1612-4390-8FAE-F605546C91AE}" uniqueName="8" name="Intelligence" queryTableFieldId="8" dataDxfId="35"/>
    <tableColumn id="9" xr3:uid="{2CD8AD54-CCA9-4F6D-BA6C-259CE9E54605}" uniqueName="9" name="Perception" queryTableFieldId="9" dataDxfId="34"/>
    <tableColumn id="10" xr3:uid="{E09FBBE5-5006-45EB-8FAF-56537FD1E2E6}" uniqueName="10" name="Total" queryTableFieldId="10" dataDxfId="33">
      <calculatedColumnFormula>SUM(characters[[#This Row],[Power]:[Perception]])</calculatedColumnFormula>
    </tableColumn>
    <tableColumn id="11" xr3:uid="{A8354413-43FB-4EE4-B261-E43D033E5A53}" uniqueName="11" name="Average" queryTableFieldId="11" dataDxfId="32">
      <calculatedColumnFormula>AVERAGE(characters[[#This Row],[Power]:[Perception]])</calculatedColumnFormula>
    </tableColumn>
    <tableColumn id="12" xr3:uid="{A4930C7F-CAF2-4261-8558-FDCAE5777459}" uniqueName="12" name="Tier" queryTableFieldId="12" dataDxfId="31">
      <calculatedColumnFormula>IF(characters[[#This Row],[Total]] &gt; 460, "S", IF(AND(characters[[#This Row],[Total]] &gt; 430, characters[[#This Row],[Total]]&lt;=460), "A", IF(AND(characters[[#This Row],[Total]]&gt;400, characters[[#This Row],[Total]]&lt;=430), "B", "C")))</calculatedColumnFormula>
    </tableColumn>
    <tableColumn id="13" xr3:uid="{5968EECB-D31E-48A4-B874-C324BF3EABDC}" uniqueName="13" name="Power Rank" queryTableFieldId="13" dataDxfId="30">
      <calculatedColumnFormula>RANK(characters[[#This Row],[Total]],characters[Total],0)</calculatedColumnFormula>
    </tableColumn>
    <tableColumn id="14" xr3:uid="{E66A03A7-2043-4378-BFC9-E759ED77C8CA}" uniqueName="14" name="Profile" queryTableFieldId="14" dataDxfId="29">
      <calculatedColumnFormula>characters[[#This Row],[Name]] &amp; " is a member of " &amp; characters[[#This Row],[Group]] &amp; " with MBTI type " &amp; characters[[#This Row],[MBTI]] &amp; " and is " &amp; characters[[#This Row],[Tier]] &amp; " Tier"</calculatedColumnFormula>
    </tableColumn>
    <tableColumn id="15" xr3:uid="{D7CDB79C-5544-4F46-909E-8B5705267216}" uniqueName="15" name="First Name" queryTableFieldId="15" dataDxfId="26">
      <calculatedColumnFormula>LEFT(characters[[#This Row],[Name]], FIND(" ",characters[[#This Row],[Name]]) - 1)</calculatedColumnFormula>
    </tableColumn>
    <tableColumn id="16" xr3:uid="{98A63FF8-33CD-445C-BB7D-BD937FE1DBAE}" uniqueName="16" name="4th MBTI Letter" queryTableFieldId="16" dataDxfId="28">
      <calculatedColumnFormula>RIGHT(characters[[#This Row],[MBTI]],1)</calculatedColumnFormula>
    </tableColumn>
    <tableColumn id="17" xr3:uid="{9DAA2638-B57C-49CB-96CE-C716F38E7C6D}" uniqueName="17" name="2nd, 3rd MBTI Letter" queryTableFieldId="17" dataDxfId="27">
      <calculatedColumnFormula>MID(characters[[#This Row],[MBTI]],2,2)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AE1E-15B9-487B-A074-C9D7C5C809FE}">
  <dimension ref="A1:Q70"/>
  <sheetViews>
    <sheetView tabSelected="1" topLeftCell="A42" zoomScale="81" workbookViewId="0">
      <pane xSplit="1" topLeftCell="B1" activePane="topRight" state="frozen"/>
      <selection pane="topRight" activeCell="E55" sqref="E55:E56"/>
    </sheetView>
  </sheetViews>
  <sheetFormatPr defaultRowHeight="14.4" x14ac:dyDescent="0.3"/>
  <cols>
    <col min="1" max="1" width="15.88671875" bestFit="1" customWidth="1"/>
    <col min="2" max="2" width="9.21875" bestFit="1" customWidth="1"/>
    <col min="3" max="3" width="7.6640625" bestFit="1" customWidth="1"/>
    <col min="4" max="5" width="13.44140625" customWidth="1"/>
    <col min="6" max="6" width="10" bestFit="1" customWidth="1"/>
    <col min="7" max="7" width="9.44140625" customWidth="1"/>
    <col min="8" max="8" width="12.88671875" bestFit="1" customWidth="1"/>
    <col min="9" max="9" width="12.33203125" bestFit="1" customWidth="1"/>
    <col min="11" max="11" width="11.44140625" customWidth="1"/>
    <col min="12" max="12" width="10.88671875" customWidth="1"/>
    <col min="13" max="13" width="14.21875" customWidth="1"/>
    <col min="14" max="14" width="66" customWidth="1"/>
    <col min="15" max="15" width="12.88671875" customWidth="1"/>
    <col min="16" max="16" width="10.6640625" customWidth="1"/>
    <col min="17" max="17" width="13.44140625" customWidth="1"/>
    <col min="19" max="19" width="10.109375" customWidth="1"/>
  </cols>
  <sheetData>
    <row r="1" spans="1:17" s="15" customFormat="1" ht="51.6" customHeigh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45</v>
      </c>
      <c r="K1" s="25" t="s">
        <v>46</v>
      </c>
      <c r="L1" s="24" t="s">
        <v>92</v>
      </c>
      <c r="M1" s="24" t="s">
        <v>93</v>
      </c>
      <c r="N1" s="24" t="s">
        <v>104</v>
      </c>
      <c r="O1" s="24" t="s">
        <v>105</v>
      </c>
      <c r="P1" s="26" t="s">
        <v>106</v>
      </c>
      <c r="Q1" s="26" t="s">
        <v>107</v>
      </c>
    </row>
    <row r="2" spans="1:17" ht="15.6" customHeight="1" x14ac:dyDescent="0.3">
      <c r="A2" s="4" t="s">
        <v>9</v>
      </c>
      <c r="B2" s="4" t="s">
        <v>10</v>
      </c>
      <c r="C2" s="4" t="s">
        <v>11</v>
      </c>
      <c r="D2" s="4">
        <v>75</v>
      </c>
      <c r="E2" s="4">
        <v>50</v>
      </c>
      <c r="F2" s="4">
        <v>60</v>
      </c>
      <c r="G2" s="4">
        <v>40</v>
      </c>
      <c r="H2" s="4">
        <v>95</v>
      </c>
      <c r="I2" s="4">
        <v>88</v>
      </c>
      <c r="J2" s="4">
        <f>SUM(characters[[#This Row],[Power]:[Perception]])</f>
        <v>408</v>
      </c>
      <c r="K2" s="6">
        <f>AVERAGE(characters[[#This Row],[Power]:[Perception]])</f>
        <v>68</v>
      </c>
      <c r="L2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B</v>
      </c>
      <c r="M2" s="4">
        <f>RANK(characters[[#This Row],[Total]],characters[Total],0)</f>
        <v>12</v>
      </c>
      <c r="N2" s="4" t="str">
        <f>characters[[#This Row],[Name]] &amp; " is a member of " &amp; characters[[#This Row],[Group]] &amp; " with MBTI type " &amp; characters[[#This Row],[MBTI]] &amp; " and is " &amp; characters[[#This Row],[Tier]] &amp; " Tier"</f>
        <v>Paula Lopez is a member of Analysts with MBTI type INTP and is B Tier</v>
      </c>
      <c r="O2" s="4" t="str">
        <f>LEFT(characters[[#This Row],[Name]], FIND(" ",characters[[#This Row],[Name]]) - 1)</f>
        <v>Paula</v>
      </c>
      <c r="P2" s="4" t="str">
        <f>RIGHT(characters[[#This Row],[MBTI]],1)</f>
        <v>P</v>
      </c>
      <c r="Q2" s="27" t="str">
        <f>MID(characters[[#This Row],[MBTI]],2,2)</f>
        <v>NT</v>
      </c>
    </row>
    <row r="3" spans="1:17" ht="15.6" customHeight="1" x14ac:dyDescent="0.3">
      <c r="A3" s="4" t="s">
        <v>12</v>
      </c>
      <c r="B3" s="4" t="s">
        <v>10</v>
      </c>
      <c r="C3" s="4" t="s">
        <v>13</v>
      </c>
      <c r="D3" s="4">
        <v>72</v>
      </c>
      <c r="E3" s="4">
        <v>65</v>
      </c>
      <c r="F3" s="4">
        <v>50</v>
      </c>
      <c r="G3" s="4">
        <v>70</v>
      </c>
      <c r="H3" s="4">
        <v>85</v>
      </c>
      <c r="I3" s="4">
        <v>80</v>
      </c>
      <c r="J3" s="4">
        <f>SUM(characters[[#This Row],[Power]:[Perception]])</f>
        <v>422</v>
      </c>
      <c r="K3" s="6">
        <f>AVERAGE(characters[[#This Row],[Power]:[Perception]])</f>
        <v>70.333333333333329</v>
      </c>
      <c r="L3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B</v>
      </c>
      <c r="M3" s="4">
        <f>RANK(characters[[#This Row],[Total]],characters[Total],0)</f>
        <v>9</v>
      </c>
      <c r="N3" s="4" t="str">
        <f>characters[[#This Row],[Name]] &amp; " is a member of " &amp; characters[[#This Row],[Group]] &amp; " with MBTI type " &amp; characters[[#This Row],[MBTI]] &amp; " and is " &amp; characters[[#This Row],[Tier]] &amp; " Tier"</f>
        <v>Mica Dwyer is a member of Analysts with MBTI type ENTP and is B Tier</v>
      </c>
      <c r="O3" s="4" t="str">
        <f>LEFT(characters[[#This Row],[Name]], FIND(" ",characters[[#This Row],[Name]]) - 1)</f>
        <v>Mica</v>
      </c>
      <c r="P3" s="4" t="str">
        <f>RIGHT(characters[[#This Row],[MBTI]],1)</f>
        <v>P</v>
      </c>
      <c r="Q3" s="27" t="str">
        <f>MID(characters[[#This Row],[MBTI]],2,2)</f>
        <v>NT</v>
      </c>
    </row>
    <row r="4" spans="1:17" ht="15.6" customHeight="1" x14ac:dyDescent="0.3">
      <c r="A4" s="4" t="s">
        <v>14</v>
      </c>
      <c r="B4" s="4" t="s">
        <v>10</v>
      </c>
      <c r="C4" s="4" t="s">
        <v>15</v>
      </c>
      <c r="D4" s="4">
        <v>78</v>
      </c>
      <c r="E4" s="4">
        <v>60</v>
      </c>
      <c r="F4" s="4">
        <v>55</v>
      </c>
      <c r="G4" s="4">
        <v>45</v>
      </c>
      <c r="H4" s="4">
        <v>92</v>
      </c>
      <c r="I4" s="4">
        <v>90</v>
      </c>
      <c r="J4" s="4">
        <f>SUM(characters[[#This Row],[Power]:[Perception]])</f>
        <v>420</v>
      </c>
      <c r="K4" s="6">
        <f>AVERAGE(characters[[#This Row],[Power]:[Perception]])</f>
        <v>70</v>
      </c>
      <c r="L4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B</v>
      </c>
      <c r="M4" s="4">
        <f>RANK(characters[[#This Row],[Total]],characters[Total],0)</f>
        <v>10</v>
      </c>
      <c r="N4" s="4" t="str">
        <f>characters[[#This Row],[Name]] &amp; " is a member of " &amp; characters[[#This Row],[Group]] &amp; " with MBTI type " &amp; characters[[#This Row],[MBTI]] &amp; " and is " &amp; characters[[#This Row],[Tier]] &amp; " Tier"</f>
        <v>Hiromi Masaki is a member of Analysts with MBTI type INTJ and is B Tier</v>
      </c>
      <c r="O4" s="4" t="str">
        <f>LEFT(characters[[#This Row],[Name]], FIND(" ",characters[[#This Row],[Name]]) - 1)</f>
        <v>Hiromi</v>
      </c>
      <c r="P4" s="4" t="str">
        <f>RIGHT(characters[[#This Row],[MBTI]],1)</f>
        <v>J</v>
      </c>
      <c r="Q4" s="27" t="str">
        <f>MID(characters[[#This Row],[MBTI]],2,2)</f>
        <v>NT</v>
      </c>
    </row>
    <row r="5" spans="1:17" ht="15.6" customHeight="1" x14ac:dyDescent="0.3">
      <c r="A5" s="4" t="s">
        <v>16</v>
      </c>
      <c r="B5" s="4" t="s">
        <v>10</v>
      </c>
      <c r="C5" s="4" t="s">
        <v>17</v>
      </c>
      <c r="D5" s="4">
        <v>90</v>
      </c>
      <c r="E5" s="4">
        <v>80</v>
      </c>
      <c r="F5" s="4">
        <v>65</v>
      </c>
      <c r="G5" s="4">
        <v>68</v>
      </c>
      <c r="H5" s="4">
        <v>88</v>
      </c>
      <c r="I5" s="4">
        <v>82</v>
      </c>
      <c r="J5" s="4">
        <f>SUM(characters[[#This Row],[Power]:[Perception]])</f>
        <v>473</v>
      </c>
      <c r="K5" s="6">
        <f>AVERAGE(characters[[#This Row],[Power]:[Perception]])</f>
        <v>78.833333333333329</v>
      </c>
      <c r="L5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S</v>
      </c>
      <c r="M5" s="4">
        <f>RANK(characters[[#This Row],[Total]],characters[Total],0)</f>
        <v>2</v>
      </c>
      <c r="N5" s="4" t="str">
        <f>characters[[#This Row],[Name]] &amp; " is a member of " &amp; characters[[#This Row],[Group]] &amp; " with MBTI type " &amp; characters[[#This Row],[MBTI]] &amp; " and is " &amp; characters[[#This Row],[Tier]] &amp; " Tier"</f>
        <v>Gillian Wiley is a member of Analysts with MBTI type ENTJ and is S Tier</v>
      </c>
      <c r="O5" s="4" t="str">
        <f>LEFT(characters[[#This Row],[Name]], FIND(" ",characters[[#This Row],[Name]]) - 1)</f>
        <v>Gillian</v>
      </c>
      <c r="P5" s="4" t="str">
        <f>RIGHT(characters[[#This Row],[MBTI]],1)</f>
        <v>J</v>
      </c>
      <c r="Q5" s="27" t="str">
        <f>MID(characters[[#This Row],[MBTI]],2,2)</f>
        <v>NT</v>
      </c>
    </row>
    <row r="6" spans="1:17" ht="15.6" customHeight="1" x14ac:dyDescent="0.3">
      <c r="A6" s="4" t="s">
        <v>18</v>
      </c>
      <c r="B6" s="4" t="s">
        <v>19</v>
      </c>
      <c r="C6" s="4" t="s">
        <v>20</v>
      </c>
      <c r="D6" s="4">
        <v>80</v>
      </c>
      <c r="E6" s="4">
        <v>75</v>
      </c>
      <c r="F6" s="4">
        <v>70</v>
      </c>
      <c r="G6" s="4">
        <v>92</v>
      </c>
      <c r="H6" s="4">
        <v>85</v>
      </c>
      <c r="I6" s="4">
        <v>90</v>
      </c>
      <c r="J6" s="4">
        <f>SUM(characters[[#This Row],[Power]:[Perception]])</f>
        <v>492</v>
      </c>
      <c r="K6" s="6">
        <f>AVERAGE(characters[[#This Row],[Power]:[Perception]])</f>
        <v>82</v>
      </c>
      <c r="L6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S</v>
      </c>
      <c r="M6" s="4">
        <f>RANK(characters[[#This Row],[Total]],characters[Total],0)</f>
        <v>1</v>
      </c>
      <c r="N6" s="4" t="str">
        <f>characters[[#This Row],[Name]] &amp; " is a member of " &amp; characters[[#This Row],[Group]] &amp; " with MBTI type " &amp; characters[[#This Row],[MBTI]] &amp; " and is " &amp; characters[[#This Row],[Tier]] &amp; " Tier"</f>
        <v>Hayami Amamiya is a member of Explorers with MBTI type ISTP and is S Tier</v>
      </c>
      <c r="O6" s="4" t="str">
        <f>LEFT(characters[[#This Row],[Name]], FIND(" ",characters[[#This Row],[Name]]) - 1)</f>
        <v>Hayami</v>
      </c>
      <c r="P6" s="4" t="str">
        <f>RIGHT(characters[[#This Row],[MBTI]],1)</f>
        <v>P</v>
      </c>
      <c r="Q6" s="27" t="str">
        <f>MID(characters[[#This Row],[MBTI]],2,2)</f>
        <v>ST</v>
      </c>
    </row>
    <row r="7" spans="1:17" ht="15.6" customHeight="1" x14ac:dyDescent="0.3">
      <c r="A7" s="4" t="s">
        <v>21</v>
      </c>
      <c r="B7" s="4" t="s">
        <v>19</v>
      </c>
      <c r="C7" s="4" t="s">
        <v>22</v>
      </c>
      <c r="D7" s="4">
        <v>85</v>
      </c>
      <c r="E7" s="4">
        <v>78</v>
      </c>
      <c r="F7" s="4">
        <v>60</v>
      </c>
      <c r="G7" s="4">
        <v>90</v>
      </c>
      <c r="H7" s="4">
        <v>60</v>
      </c>
      <c r="I7" s="4">
        <v>82</v>
      </c>
      <c r="J7" s="4">
        <f>SUM(characters[[#This Row],[Power]:[Perception]])</f>
        <v>455</v>
      </c>
      <c r="K7" s="6">
        <f>AVERAGE(characters[[#This Row],[Power]:[Perception]])</f>
        <v>75.833333333333329</v>
      </c>
      <c r="L7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A</v>
      </c>
      <c r="M7" s="4">
        <f>RANK(characters[[#This Row],[Total]],characters[Total],0)</f>
        <v>4</v>
      </c>
      <c r="N7" s="4" t="str">
        <f>characters[[#This Row],[Name]] &amp; " is a member of " &amp; characters[[#This Row],[Group]] &amp; " with MBTI type " &amp; characters[[#This Row],[MBTI]] &amp; " and is " &amp; characters[[#This Row],[Tier]] &amp; " Tier"</f>
        <v>Shaye Kaylen is a member of Explorers with MBTI type ESTP and is A Tier</v>
      </c>
      <c r="O7" s="4" t="str">
        <f>LEFT(characters[[#This Row],[Name]], FIND(" ",characters[[#This Row],[Name]]) - 1)</f>
        <v>Shaye</v>
      </c>
      <c r="P7" s="4" t="str">
        <f>RIGHT(characters[[#This Row],[MBTI]],1)</f>
        <v>P</v>
      </c>
      <c r="Q7" s="27" t="str">
        <f>MID(characters[[#This Row],[MBTI]],2,2)</f>
        <v>ST</v>
      </c>
    </row>
    <row r="8" spans="1:17" ht="15.6" customHeight="1" x14ac:dyDescent="0.3">
      <c r="A8" s="4" t="s">
        <v>23</v>
      </c>
      <c r="B8" s="4" t="s">
        <v>19</v>
      </c>
      <c r="C8" s="4" t="s">
        <v>24</v>
      </c>
      <c r="D8" s="4">
        <v>70</v>
      </c>
      <c r="E8" s="4">
        <v>72</v>
      </c>
      <c r="F8" s="4">
        <v>68</v>
      </c>
      <c r="G8" s="4">
        <v>75</v>
      </c>
      <c r="H8" s="4">
        <v>65</v>
      </c>
      <c r="I8" s="4">
        <v>78</v>
      </c>
      <c r="J8" s="4">
        <f>SUM(characters[[#This Row],[Power]:[Perception]])</f>
        <v>428</v>
      </c>
      <c r="K8" s="6">
        <f>AVERAGE(characters[[#This Row],[Power]:[Perception]])</f>
        <v>71.333333333333329</v>
      </c>
      <c r="L8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B</v>
      </c>
      <c r="M8" s="4">
        <f>RANK(characters[[#This Row],[Total]],characters[Total],0)</f>
        <v>7</v>
      </c>
      <c r="N8" s="4" t="str">
        <f>characters[[#This Row],[Name]] &amp; " is a member of " &amp; characters[[#This Row],[Group]] &amp; " with MBTI type " &amp; characters[[#This Row],[MBTI]] &amp; " and is " &amp; characters[[#This Row],[Tier]] &amp; " Tier"</f>
        <v>Shiina Ishioka is a member of Explorers with MBTI type ISFP and is B Tier</v>
      </c>
      <c r="O8" s="4" t="str">
        <f>LEFT(characters[[#This Row],[Name]], FIND(" ",characters[[#This Row],[Name]]) - 1)</f>
        <v>Shiina</v>
      </c>
      <c r="P8" s="4" t="str">
        <f>RIGHT(characters[[#This Row],[MBTI]],1)</f>
        <v>P</v>
      </c>
      <c r="Q8" s="27" t="str">
        <f>MID(characters[[#This Row],[MBTI]],2,2)</f>
        <v>SF</v>
      </c>
    </row>
    <row r="9" spans="1:17" ht="15.6" customHeight="1" x14ac:dyDescent="0.3">
      <c r="A9" s="4" t="s">
        <v>25</v>
      </c>
      <c r="B9" s="4" t="s">
        <v>19</v>
      </c>
      <c r="C9" s="4" t="s">
        <v>26</v>
      </c>
      <c r="D9" s="4">
        <v>60</v>
      </c>
      <c r="E9" s="4">
        <v>65</v>
      </c>
      <c r="F9" s="4">
        <v>55</v>
      </c>
      <c r="G9" s="4">
        <v>80</v>
      </c>
      <c r="H9" s="4">
        <v>50</v>
      </c>
      <c r="I9" s="4">
        <v>92</v>
      </c>
      <c r="J9" s="4">
        <f>SUM(characters[[#This Row],[Power]:[Perception]])</f>
        <v>402</v>
      </c>
      <c r="K9" s="6">
        <f>AVERAGE(characters[[#This Row],[Power]:[Perception]])</f>
        <v>67</v>
      </c>
      <c r="L9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B</v>
      </c>
      <c r="M9" s="4">
        <f>RANK(characters[[#This Row],[Total]],characters[Total],0)</f>
        <v>13</v>
      </c>
      <c r="N9" s="4" t="str">
        <f>characters[[#This Row],[Name]] &amp; " is a member of " &amp; characters[[#This Row],[Group]] &amp; " with MBTI type " &amp; characters[[#This Row],[MBTI]] &amp; " and is " &amp; characters[[#This Row],[Tier]] &amp; " Tier"</f>
        <v>Theresa Felix is a member of Explorers with MBTI type ESFP and is B Tier</v>
      </c>
      <c r="O9" s="4" t="str">
        <f>LEFT(characters[[#This Row],[Name]], FIND(" ",characters[[#This Row],[Name]]) - 1)</f>
        <v>Theresa</v>
      </c>
      <c r="P9" s="4" t="str">
        <f>RIGHT(characters[[#This Row],[MBTI]],1)</f>
        <v>P</v>
      </c>
      <c r="Q9" s="27" t="str">
        <f>MID(characters[[#This Row],[MBTI]],2,2)</f>
        <v>SF</v>
      </c>
    </row>
    <row r="10" spans="1:17" ht="15.6" customHeight="1" x14ac:dyDescent="0.3">
      <c r="A10" s="4" t="s">
        <v>27</v>
      </c>
      <c r="B10" s="4" t="s">
        <v>28</v>
      </c>
      <c r="C10" s="4" t="s">
        <v>29</v>
      </c>
      <c r="D10" s="4">
        <v>68</v>
      </c>
      <c r="E10" s="4">
        <v>80</v>
      </c>
      <c r="F10" s="4">
        <v>78</v>
      </c>
      <c r="G10" s="4">
        <v>60</v>
      </c>
      <c r="H10" s="4">
        <v>72</v>
      </c>
      <c r="I10" s="4">
        <v>85</v>
      </c>
      <c r="J10" s="4">
        <f>SUM(characters[[#This Row],[Power]:[Perception]])</f>
        <v>443</v>
      </c>
      <c r="K10" s="6">
        <f>AVERAGE(characters[[#This Row],[Power]:[Perception]])</f>
        <v>73.833333333333329</v>
      </c>
      <c r="L10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A</v>
      </c>
      <c r="M10" s="4">
        <f>RANK(characters[[#This Row],[Total]],characters[Total],0)</f>
        <v>5</v>
      </c>
      <c r="N10" s="4" t="str">
        <f>characters[[#This Row],[Name]] &amp; " is a member of " &amp; characters[[#This Row],[Group]] &amp; " with MBTI type " &amp; characters[[#This Row],[MBTI]] &amp; " and is " &amp; characters[[#This Row],[Tier]] &amp; " Tier"</f>
        <v>Chiyo Funai is a member of Sentinels with MBTI type ISTJ and is A Tier</v>
      </c>
      <c r="O10" s="4" t="str">
        <f>LEFT(characters[[#This Row],[Name]], FIND(" ",characters[[#This Row],[Name]]) - 1)</f>
        <v>Chiyo</v>
      </c>
      <c r="P10" s="4" t="str">
        <f>RIGHT(characters[[#This Row],[MBTI]],1)</f>
        <v>J</v>
      </c>
      <c r="Q10" s="27" t="str">
        <f>MID(characters[[#This Row],[MBTI]],2,2)</f>
        <v>ST</v>
      </c>
    </row>
    <row r="11" spans="1:17" ht="15.6" customHeight="1" x14ac:dyDescent="0.3">
      <c r="A11" s="4" t="s">
        <v>30</v>
      </c>
      <c r="B11" s="4" t="s">
        <v>28</v>
      </c>
      <c r="C11" s="4" t="s">
        <v>31</v>
      </c>
      <c r="D11" s="4">
        <v>88</v>
      </c>
      <c r="E11" s="4">
        <v>82</v>
      </c>
      <c r="F11" s="4">
        <v>70</v>
      </c>
      <c r="G11" s="4">
        <v>72</v>
      </c>
      <c r="H11" s="4">
        <v>78</v>
      </c>
      <c r="I11" s="4">
        <v>75</v>
      </c>
      <c r="J11" s="4">
        <f>SUM(characters[[#This Row],[Power]:[Perception]])</f>
        <v>465</v>
      </c>
      <c r="K11" s="6">
        <f>AVERAGE(characters[[#This Row],[Power]:[Perception]])</f>
        <v>77.5</v>
      </c>
      <c r="L11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S</v>
      </c>
      <c r="M11" s="4">
        <f>RANK(characters[[#This Row],[Total]],characters[Total],0)</f>
        <v>3</v>
      </c>
      <c r="N11" s="4" t="str">
        <f>characters[[#This Row],[Name]] &amp; " is a member of " &amp; characters[[#This Row],[Group]] &amp; " with MBTI type " &amp; characters[[#This Row],[MBTI]] &amp; " and is " &amp; characters[[#This Row],[Tier]] &amp; " Tier"</f>
        <v>Shizuka Aikawa is a member of Sentinels with MBTI type ESTJ and is S Tier</v>
      </c>
      <c r="O11" s="4" t="str">
        <f>LEFT(characters[[#This Row],[Name]], FIND(" ",characters[[#This Row],[Name]]) - 1)</f>
        <v>Shizuka</v>
      </c>
      <c r="P11" s="4" t="str">
        <f>RIGHT(characters[[#This Row],[MBTI]],1)</f>
        <v>J</v>
      </c>
      <c r="Q11" s="27" t="str">
        <f>MID(characters[[#This Row],[MBTI]],2,2)</f>
        <v>ST</v>
      </c>
    </row>
    <row r="12" spans="1:17" ht="15.6" customHeight="1" x14ac:dyDescent="0.3">
      <c r="A12" s="4" t="s">
        <v>32</v>
      </c>
      <c r="B12" s="4" t="s">
        <v>28</v>
      </c>
      <c r="C12" s="4" t="s">
        <v>33</v>
      </c>
      <c r="D12" s="4">
        <v>50</v>
      </c>
      <c r="E12" s="4">
        <v>85</v>
      </c>
      <c r="F12" s="4">
        <v>88</v>
      </c>
      <c r="G12" s="4">
        <v>55</v>
      </c>
      <c r="H12" s="4">
        <v>68</v>
      </c>
      <c r="I12" s="4">
        <v>80</v>
      </c>
      <c r="J12" s="4">
        <f>SUM(characters[[#This Row],[Power]:[Perception]])</f>
        <v>426</v>
      </c>
      <c r="K12" s="6">
        <f>AVERAGE(characters[[#This Row],[Power]:[Perception]])</f>
        <v>71</v>
      </c>
      <c r="L12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B</v>
      </c>
      <c r="M12" s="4">
        <f>RANK(characters[[#This Row],[Total]],characters[Total],0)</f>
        <v>8</v>
      </c>
      <c r="N12" s="4" t="str">
        <f>characters[[#This Row],[Name]] &amp; " is a member of " &amp; characters[[#This Row],[Group]] &amp; " with MBTI type " &amp; characters[[#This Row],[MBTI]] &amp; " and is " &amp; characters[[#This Row],[Tier]] &amp; " Tier"</f>
        <v>Mayumi Sasaki is a member of Sentinels with MBTI type ISFJ and is B Tier</v>
      </c>
      <c r="O12" s="4" t="str">
        <f>LEFT(characters[[#This Row],[Name]], FIND(" ",characters[[#This Row],[Name]]) - 1)</f>
        <v>Mayumi</v>
      </c>
      <c r="P12" s="4" t="str">
        <f>RIGHT(characters[[#This Row],[MBTI]],1)</f>
        <v>J</v>
      </c>
      <c r="Q12" s="27" t="str">
        <f>MID(characters[[#This Row],[MBTI]],2,2)</f>
        <v>SF</v>
      </c>
    </row>
    <row r="13" spans="1:17" ht="15.6" customHeight="1" x14ac:dyDescent="0.3">
      <c r="A13" s="4" t="s">
        <v>34</v>
      </c>
      <c r="B13" s="4" t="s">
        <v>28</v>
      </c>
      <c r="C13" s="4" t="s">
        <v>35</v>
      </c>
      <c r="D13" s="4">
        <v>62</v>
      </c>
      <c r="E13" s="4">
        <v>70</v>
      </c>
      <c r="F13" s="4">
        <v>60</v>
      </c>
      <c r="G13" s="4">
        <v>68</v>
      </c>
      <c r="H13" s="4">
        <v>65</v>
      </c>
      <c r="I13" s="4">
        <v>88</v>
      </c>
      <c r="J13" s="4">
        <f>SUM(characters[[#This Row],[Power]:[Perception]])</f>
        <v>413</v>
      </c>
      <c r="K13" s="6">
        <f>AVERAGE(characters[[#This Row],[Power]:[Perception]])</f>
        <v>68.833333333333329</v>
      </c>
      <c r="L13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B</v>
      </c>
      <c r="M13" s="4">
        <f>RANK(characters[[#This Row],[Total]],characters[Total],0)</f>
        <v>11</v>
      </c>
      <c r="N13" s="4" t="str">
        <f>characters[[#This Row],[Name]] &amp; " is a member of " &amp; characters[[#This Row],[Group]] &amp; " with MBTI type " &amp; characters[[#This Row],[MBTI]] &amp; " and is " &amp; characters[[#This Row],[Tier]] &amp; " Tier"</f>
        <v>Lily Raven is a member of Sentinels with MBTI type ESFJ and is B Tier</v>
      </c>
      <c r="O13" s="4" t="str">
        <f>LEFT(characters[[#This Row],[Name]], FIND(" ",characters[[#This Row],[Name]]) - 1)</f>
        <v>Lily</v>
      </c>
      <c r="P13" s="4" t="str">
        <f>RIGHT(characters[[#This Row],[MBTI]],1)</f>
        <v>J</v>
      </c>
      <c r="Q13" s="27" t="str">
        <f>MID(characters[[#This Row],[MBTI]],2,2)</f>
        <v>SF</v>
      </c>
    </row>
    <row r="14" spans="1:17" ht="15.6" customHeight="1" x14ac:dyDescent="0.3">
      <c r="A14" s="4" t="s">
        <v>36</v>
      </c>
      <c r="B14" s="4" t="s">
        <v>37</v>
      </c>
      <c r="C14" s="4" t="s">
        <v>38</v>
      </c>
      <c r="D14" s="4">
        <v>50</v>
      </c>
      <c r="E14" s="4">
        <v>58</v>
      </c>
      <c r="F14" s="4">
        <v>50</v>
      </c>
      <c r="G14" s="4">
        <v>55</v>
      </c>
      <c r="H14" s="4">
        <v>90</v>
      </c>
      <c r="I14" s="4">
        <v>95</v>
      </c>
      <c r="J14" s="4">
        <f>SUM(characters[[#This Row],[Power]:[Perception]])</f>
        <v>398</v>
      </c>
      <c r="K14" s="6">
        <f>AVERAGE(characters[[#This Row],[Power]:[Perception]])</f>
        <v>66.333333333333329</v>
      </c>
      <c r="L14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C</v>
      </c>
      <c r="M14" s="4">
        <f>RANK(characters[[#This Row],[Total]],characters[Total],0)</f>
        <v>14</v>
      </c>
      <c r="N14" s="4" t="str">
        <f>characters[[#This Row],[Name]] &amp; " is a member of " &amp; characters[[#This Row],[Group]] &amp; " with MBTI type " &amp; characters[[#This Row],[MBTI]] &amp; " and is " &amp; characters[[#This Row],[Tier]] &amp; " Tier"</f>
        <v>Sonia Spade is a member of Diplomats with MBTI type INFJ and is C Tier</v>
      </c>
      <c r="O14" s="4" t="str">
        <f>LEFT(characters[[#This Row],[Name]], FIND(" ",characters[[#This Row],[Name]]) - 1)</f>
        <v>Sonia</v>
      </c>
      <c r="P14" s="4" t="str">
        <f>RIGHT(characters[[#This Row],[MBTI]],1)</f>
        <v>J</v>
      </c>
      <c r="Q14" s="27" t="str">
        <f>MID(characters[[#This Row],[MBTI]],2,2)</f>
        <v>NF</v>
      </c>
    </row>
    <row r="15" spans="1:17" ht="15.6" customHeight="1" x14ac:dyDescent="0.3">
      <c r="A15" s="4" t="s">
        <v>39</v>
      </c>
      <c r="B15" s="4" t="s">
        <v>37</v>
      </c>
      <c r="C15" s="4" t="s">
        <v>40</v>
      </c>
      <c r="D15" s="4">
        <v>65</v>
      </c>
      <c r="E15" s="4">
        <v>72</v>
      </c>
      <c r="F15" s="4">
        <v>58</v>
      </c>
      <c r="G15" s="4">
        <v>70</v>
      </c>
      <c r="H15" s="4">
        <v>85</v>
      </c>
      <c r="I15" s="4">
        <v>88</v>
      </c>
      <c r="J15" s="4">
        <f>SUM(characters[[#This Row],[Power]:[Perception]])</f>
        <v>438</v>
      </c>
      <c r="K15" s="6">
        <f>AVERAGE(characters[[#This Row],[Power]:[Perception]])</f>
        <v>73</v>
      </c>
      <c r="L15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A</v>
      </c>
      <c r="M15" s="4">
        <f>RANK(characters[[#This Row],[Total]],characters[Total],0)</f>
        <v>6</v>
      </c>
      <c r="N15" s="4" t="str">
        <f>characters[[#This Row],[Name]] &amp; " is a member of " &amp; characters[[#This Row],[Group]] &amp; " with MBTI type " &amp; characters[[#This Row],[MBTI]] &amp; " and is " &amp; characters[[#This Row],[Tier]] &amp; " Tier"</f>
        <v>Himiko Nakayama is a member of Diplomats with MBTI type ENFJ and is A Tier</v>
      </c>
      <c r="O15" s="4" t="str">
        <f>LEFT(characters[[#This Row],[Name]], FIND(" ",characters[[#This Row],[Name]]) - 1)</f>
        <v>Himiko</v>
      </c>
      <c r="P15" s="4" t="str">
        <f>RIGHT(characters[[#This Row],[MBTI]],1)</f>
        <v>J</v>
      </c>
      <c r="Q15" s="27" t="str">
        <f>MID(characters[[#This Row],[MBTI]],2,2)</f>
        <v>NF</v>
      </c>
    </row>
    <row r="16" spans="1:17" ht="15.6" customHeight="1" x14ac:dyDescent="0.3">
      <c r="A16" s="4" t="s">
        <v>41</v>
      </c>
      <c r="B16" s="4" t="s">
        <v>37</v>
      </c>
      <c r="C16" s="4" t="s">
        <v>42</v>
      </c>
      <c r="D16" s="4">
        <v>72</v>
      </c>
      <c r="E16" s="4">
        <v>55</v>
      </c>
      <c r="F16" s="4">
        <v>48</v>
      </c>
      <c r="G16" s="4">
        <v>60</v>
      </c>
      <c r="H16" s="4">
        <v>78</v>
      </c>
      <c r="I16" s="4">
        <v>82</v>
      </c>
      <c r="J16" s="4">
        <f>SUM(characters[[#This Row],[Power]:[Perception]])</f>
        <v>395</v>
      </c>
      <c r="K16" s="6">
        <f>AVERAGE(characters[[#This Row],[Power]:[Perception]])</f>
        <v>65.833333333333329</v>
      </c>
      <c r="L16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C</v>
      </c>
      <c r="M16" s="4">
        <f>RANK(characters[[#This Row],[Total]],characters[Total],0)</f>
        <v>16</v>
      </c>
      <c r="N16" s="4" t="str">
        <f>characters[[#This Row],[Name]] &amp; " is a member of " &amp; characters[[#This Row],[Group]] &amp; " with MBTI type " &amp; characters[[#This Row],[MBTI]] &amp; " and is " &amp; characters[[#This Row],[Tier]] &amp; " Tier"</f>
        <v>Katie Olson is a member of Diplomats with MBTI type INFP and is C Tier</v>
      </c>
      <c r="O16" s="4" t="str">
        <f>LEFT(characters[[#This Row],[Name]], FIND(" ",characters[[#This Row],[Name]]) - 1)</f>
        <v>Katie</v>
      </c>
      <c r="P16" s="4" t="str">
        <f>RIGHT(characters[[#This Row],[MBTI]],1)</f>
        <v>P</v>
      </c>
      <c r="Q16" s="27" t="str">
        <f>MID(characters[[#This Row],[MBTI]],2,2)</f>
        <v>NF</v>
      </c>
    </row>
    <row r="17" spans="1:17" ht="15.6" customHeight="1" x14ac:dyDescent="0.3">
      <c r="A17" s="4" t="s">
        <v>43</v>
      </c>
      <c r="B17" s="4" t="s">
        <v>37</v>
      </c>
      <c r="C17" s="4" t="s">
        <v>44</v>
      </c>
      <c r="D17" s="4">
        <v>58</v>
      </c>
      <c r="E17" s="4">
        <v>60</v>
      </c>
      <c r="F17" s="4">
        <v>52</v>
      </c>
      <c r="G17" s="4">
        <v>82</v>
      </c>
      <c r="H17" s="4">
        <v>70</v>
      </c>
      <c r="I17" s="4">
        <v>75</v>
      </c>
      <c r="J17" s="4">
        <f>SUM(characters[[#This Row],[Power]:[Perception]])</f>
        <v>397</v>
      </c>
      <c r="K17" s="6">
        <f>AVERAGE(characters[[#This Row],[Power]:[Perception]])</f>
        <v>66.166666666666671</v>
      </c>
      <c r="L17" s="4" t="str">
        <f>IF(characters[[#This Row],[Total]] &gt; 460, "S", IF(AND(characters[[#This Row],[Total]] &gt; 430, characters[[#This Row],[Total]]&lt;=460), "A", IF(AND(characters[[#This Row],[Total]]&gt;400, characters[[#This Row],[Total]]&lt;=430), "B", "C")))</f>
        <v>C</v>
      </c>
      <c r="M17" s="4">
        <f>RANK(characters[[#This Row],[Total]],characters[Total],0)</f>
        <v>15</v>
      </c>
      <c r="N17" s="4" t="str">
        <f>characters[[#This Row],[Name]] &amp; " is a member of " &amp; characters[[#This Row],[Group]] &amp; " with MBTI type " &amp; characters[[#This Row],[MBTI]] &amp; " and is " &amp; characters[[#This Row],[Tier]] &amp; " Tier"</f>
        <v>Emily Caddel is a member of Diplomats with MBTI type ENFP and is C Tier</v>
      </c>
      <c r="O17" s="4" t="str">
        <f>LEFT(characters[[#This Row],[Name]], FIND(" ",characters[[#This Row],[Name]]) - 1)</f>
        <v>Emily</v>
      </c>
      <c r="P17" s="4" t="str">
        <f>RIGHT(characters[[#This Row],[MBTI]],1)</f>
        <v>P</v>
      </c>
      <c r="Q17" s="27" t="str">
        <f>MID(characters[[#This Row],[MBTI]],2,2)</f>
        <v>NF</v>
      </c>
    </row>
    <row r="19" spans="1:17" x14ac:dyDescent="0.3">
      <c r="A19" s="4" t="s">
        <v>48</v>
      </c>
      <c r="B19" s="4">
        <f>MAX(characters[Total])</f>
        <v>492</v>
      </c>
      <c r="D19" s="11" t="s">
        <v>58</v>
      </c>
      <c r="E19" s="11"/>
      <c r="F19" s="12" t="s">
        <v>60</v>
      </c>
      <c r="G19" s="13"/>
      <c r="H19" s="14"/>
    </row>
    <row r="20" spans="1:17" x14ac:dyDescent="0.3">
      <c r="A20" s="4" t="s">
        <v>47</v>
      </c>
      <c r="B20" s="4">
        <f>MIN(characters[Total])</f>
        <v>395</v>
      </c>
      <c r="D20" s="11" t="s">
        <v>59</v>
      </c>
      <c r="E20" s="11"/>
      <c r="F20" s="12" t="s">
        <v>61</v>
      </c>
      <c r="G20" s="13"/>
      <c r="H20" s="14"/>
    </row>
    <row r="22" spans="1:17" x14ac:dyDescent="0.3">
      <c r="A22" t="s">
        <v>69</v>
      </c>
      <c r="E22" t="s">
        <v>70</v>
      </c>
    </row>
    <row r="23" spans="1:17" x14ac:dyDescent="0.3">
      <c r="A23" s="4" t="s">
        <v>62</v>
      </c>
      <c r="B23" s="11" t="s">
        <v>18</v>
      </c>
      <c r="C23" s="11"/>
      <c r="E23" s="4" t="s">
        <v>62</v>
      </c>
      <c r="F23" s="4" t="s">
        <v>63</v>
      </c>
      <c r="G23" s="4" t="s">
        <v>64</v>
      </c>
      <c r="H23" s="4" t="s">
        <v>65</v>
      </c>
      <c r="I23" s="4" t="s">
        <v>66</v>
      </c>
      <c r="J23" s="4" t="s">
        <v>6</v>
      </c>
      <c r="K23" s="4" t="s">
        <v>67</v>
      </c>
      <c r="L23" s="4" t="s">
        <v>68</v>
      </c>
    </row>
    <row r="24" spans="1:17" ht="28.8" x14ac:dyDescent="0.3">
      <c r="A24" s="4" t="s">
        <v>63</v>
      </c>
      <c r="B24" s="11" t="str">
        <f>INDEX(characters[Group],MATCH(B23,characters[Name],0))</f>
        <v>Explorers</v>
      </c>
      <c r="C24" s="11"/>
      <c r="E24" s="3" t="s">
        <v>18</v>
      </c>
      <c r="F24" s="4" t="str">
        <f>_xlfn.XLOOKUP(E24,characters[Name],characters[Group])</f>
        <v>Explorers</v>
      </c>
      <c r="G24" s="4" cm="1">
        <f t="array" ref="G24:L24">_xlfn.XLOOKUP(E24,characters[Name],characters[[Power]:[Perception]])</f>
        <v>80</v>
      </c>
      <c r="H24" s="4">
        <v>75</v>
      </c>
      <c r="I24" s="4">
        <v>70</v>
      </c>
      <c r="J24" s="4">
        <v>92</v>
      </c>
      <c r="K24" s="4">
        <v>85</v>
      </c>
      <c r="L24" s="4">
        <v>90</v>
      </c>
    </row>
    <row r="25" spans="1:17" x14ac:dyDescent="0.3">
      <c r="A25" s="4" t="s">
        <v>64</v>
      </c>
      <c r="B25" s="11">
        <f>_xlfn.XLOOKUP(B23,characters[Name],characters[Power])</f>
        <v>80</v>
      </c>
      <c r="C25" s="11"/>
      <c r="E25" s="7"/>
      <c r="F25" s="8"/>
      <c r="G25" s="8"/>
      <c r="H25" s="8"/>
      <c r="I25" s="8"/>
      <c r="J25" s="8"/>
      <c r="K25" s="8"/>
      <c r="L25" s="8"/>
    </row>
    <row r="26" spans="1:17" x14ac:dyDescent="0.3">
      <c r="A26" s="4" t="s">
        <v>65</v>
      </c>
      <c r="B26" s="11">
        <f>_xlfn.XLOOKUP(B23,characters[Name],characters[Endurance])</f>
        <v>75</v>
      </c>
      <c r="C26" s="11"/>
      <c r="E26" t="s">
        <v>109</v>
      </c>
    </row>
    <row r="27" spans="1:17" x14ac:dyDescent="0.3">
      <c r="A27" s="4" t="s">
        <v>66</v>
      </c>
      <c r="B27" s="11">
        <f>_xlfn.XLOOKUP(B23,characters[Name],characters[Defense])</f>
        <v>70</v>
      </c>
      <c r="C27" s="11"/>
      <c r="E27" s="16" t="str">
        <f>IFERROR(1/0, "Cannot divide by zero")</f>
        <v>Cannot divide by zero</v>
      </c>
      <c r="F27" s="16"/>
    </row>
    <row r="28" spans="1:17" x14ac:dyDescent="0.3">
      <c r="A28" s="4" t="s">
        <v>6</v>
      </c>
      <c r="B28" s="11">
        <f>_xlfn.XLOOKUP(B23,characters[Name],characters[Agility])</f>
        <v>92</v>
      </c>
      <c r="C28" s="11"/>
      <c r="E28" s="16" t="str">
        <f>IFERROR(1/0,"")</f>
        <v/>
      </c>
      <c r="F28" s="16"/>
    </row>
    <row r="29" spans="1:17" x14ac:dyDescent="0.3">
      <c r="A29" s="4" t="s">
        <v>67</v>
      </c>
      <c r="B29" s="11">
        <f>_xlfn.XLOOKUP(B23,characters[Name],characters[Intelligence])</f>
        <v>85</v>
      </c>
      <c r="C29" s="11"/>
      <c r="H29" t="s">
        <v>108</v>
      </c>
    </row>
    <row r="30" spans="1:17" ht="28.8" x14ac:dyDescent="0.3">
      <c r="A30" s="4" t="s">
        <v>68</v>
      </c>
      <c r="B30" s="11">
        <f>_xlfn.XLOOKUP(B23,characters[Name],characters[Perception])</f>
        <v>90</v>
      </c>
      <c r="C30" s="11"/>
      <c r="H30" s="3" t="str">
        <f>INDEX(characters[Name], 5)</f>
        <v>Hayami Amamiya</v>
      </c>
    </row>
    <row r="31" spans="1:17" x14ac:dyDescent="0.3">
      <c r="A31" s="28"/>
      <c r="B31" s="28"/>
      <c r="C31" s="28"/>
      <c r="H31" s="4">
        <f>MATCH("Sonia Spade", characters[Name], 0)</f>
        <v>13</v>
      </c>
    </row>
    <row r="32" spans="1:17" x14ac:dyDescent="0.3">
      <c r="A32" s="29" t="s">
        <v>110</v>
      </c>
      <c r="B32" s="29"/>
      <c r="H32" s="4" t="str">
        <f>INDEX(characters[Group],MATCH("Sonia Spade",characters[Name],0))</f>
        <v>Diplomats</v>
      </c>
    </row>
    <row r="33" spans="1:9" x14ac:dyDescent="0.3">
      <c r="A33" s="11" t="s">
        <v>71</v>
      </c>
      <c r="B33" s="11"/>
      <c r="C33" s="11"/>
      <c r="D33" s="11"/>
      <c r="E33" s="4">
        <f>COUNTIF(characters[Power], "&gt;75")</f>
        <v>5</v>
      </c>
      <c r="H33" s="4">
        <f>INDEX(characters[Power],MATCH("Sonia Spade",characters[Name],0))</f>
        <v>50</v>
      </c>
    </row>
    <row r="34" spans="1:9" x14ac:dyDescent="0.3">
      <c r="A34" s="11" t="s">
        <v>72</v>
      </c>
      <c r="B34" s="11"/>
      <c r="C34" s="11"/>
      <c r="D34" s="11"/>
      <c r="E34" s="4">
        <f>AVERAGEIF(characters[Group], "Analysts",characters[Intelligence])</f>
        <v>90</v>
      </c>
      <c r="H34" s="4">
        <f>INDEX(characters[Intelligence],MATCH("Sonia Spade",characters[Name],0))</f>
        <v>90</v>
      </c>
    </row>
    <row r="35" spans="1:9" x14ac:dyDescent="0.3">
      <c r="A35" s="11" t="s">
        <v>73</v>
      </c>
      <c r="B35" s="11"/>
      <c r="C35" s="11"/>
      <c r="D35" s="11"/>
      <c r="E35" s="4">
        <f>COUNTIF(characters[Agility], "&lt;60")</f>
        <v>4</v>
      </c>
      <c r="H35" s="4">
        <f>INDEX(characters[Perception],MATCH("Sonia Spade",characters[Name],0))</f>
        <v>95</v>
      </c>
    </row>
    <row r="36" spans="1:9" x14ac:dyDescent="0.3">
      <c r="A36" s="11" t="s">
        <v>74</v>
      </c>
      <c r="B36" s="11"/>
      <c r="C36" s="11"/>
      <c r="D36" s="11"/>
      <c r="E36" s="4">
        <f>AVERAGEIF(characters[Total], "&gt;440",characters[Defense])</f>
        <v>68.599999999999994</v>
      </c>
    </row>
    <row r="38" spans="1:9" x14ac:dyDescent="0.3">
      <c r="A38" t="s">
        <v>94</v>
      </c>
    </row>
    <row r="39" spans="1:9" x14ac:dyDescent="0.3">
      <c r="A39" s="16" t="s">
        <v>95</v>
      </c>
      <c r="B39" s="16"/>
      <c r="C39" s="16"/>
      <c r="D39" s="16"/>
      <c r="E39" s="16"/>
      <c r="F39" s="4">
        <f>SUMIF(characters[Group], "Explorers",characters[Power])</f>
        <v>295</v>
      </c>
    </row>
    <row r="40" spans="1:9" x14ac:dyDescent="0.3">
      <c r="A40" s="16" t="s">
        <v>96</v>
      </c>
      <c r="B40" s="16"/>
      <c r="C40" s="16"/>
      <c r="D40" s="16"/>
      <c r="E40" s="16"/>
      <c r="F40" s="4">
        <f>SUMIF(characters[Tier],"S",characters[Intelligence])</f>
        <v>251</v>
      </c>
    </row>
    <row r="42" spans="1:9" x14ac:dyDescent="0.3">
      <c r="A42" s="20" t="s">
        <v>99</v>
      </c>
      <c r="B42" s="20"/>
    </row>
    <row r="43" spans="1:9" x14ac:dyDescent="0.3">
      <c r="A43" s="16" t="s">
        <v>97</v>
      </c>
      <c r="B43" s="16"/>
      <c r="C43" s="16"/>
      <c r="D43" s="16"/>
      <c r="E43" s="16"/>
      <c r="F43" s="16"/>
      <c r="G43" s="16"/>
      <c r="H43" s="16"/>
      <c r="I43" s="4">
        <f>COUNTIFS(characters[Group], "Explorers", characters[Power], "&gt;75")</f>
        <v>2</v>
      </c>
    </row>
    <row r="44" spans="1:9" x14ac:dyDescent="0.3">
      <c r="A44" s="17" t="s">
        <v>98</v>
      </c>
      <c r="B44" s="18"/>
      <c r="C44" s="18"/>
      <c r="D44" s="18"/>
      <c r="E44" s="18"/>
      <c r="F44" s="18"/>
      <c r="G44" s="18"/>
      <c r="H44" s="19"/>
      <c r="I44" s="4">
        <f>AVERAGEIFS(characters[Agility],characters[Tier],"A", characters[Perception],"&gt;80")</f>
        <v>73.333333333333329</v>
      </c>
    </row>
    <row r="46" spans="1:9" ht="13.8" customHeight="1" x14ac:dyDescent="0.3">
      <c r="A46" t="s">
        <v>102</v>
      </c>
    </row>
    <row r="47" spans="1:9" ht="45" customHeight="1" x14ac:dyDescent="0.3">
      <c r="A47" s="21" t="s">
        <v>100</v>
      </c>
      <c r="B47" s="21"/>
      <c r="C47" s="21"/>
      <c r="D47" s="21"/>
      <c r="E47" s="21"/>
      <c r="F47" s="21"/>
      <c r="G47" s="4">
        <f>SUMIFS(characters[Power],characters[Group],"Explorers",characters[Tier],"A") + SUMIFS(characters[Power],characters[Group],"Explorers",characters[Tier],"S")</f>
        <v>165</v>
      </c>
    </row>
    <row r="48" spans="1:9" x14ac:dyDescent="0.3">
      <c r="A48" s="12" t="s">
        <v>101</v>
      </c>
      <c r="B48" s="13"/>
      <c r="C48" s="13"/>
      <c r="D48" s="13"/>
      <c r="E48" s="13"/>
      <c r="F48" s="14"/>
      <c r="G48" s="4">
        <f>SUMIFS(characters[Defense],characters[Group],"Sentinels",characters[Endurance], "&gt;75")</f>
        <v>236</v>
      </c>
    </row>
    <row r="50" spans="1:7" x14ac:dyDescent="0.3">
      <c r="A50" t="s">
        <v>103</v>
      </c>
    </row>
    <row r="51" spans="1:7" ht="45" customHeight="1" x14ac:dyDescent="0.3">
      <c r="A51" s="21" t="s">
        <v>100</v>
      </c>
      <c r="B51" s="21"/>
      <c r="C51" s="21"/>
      <c r="D51" s="21"/>
      <c r="E51" s="21"/>
      <c r="F51" s="21"/>
      <c r="G51" s="3">
        <f>IFERROR(AVERAGEIF(characters[Group], "Analysts", characters[Intelligence]), "No results found")</f>
        <v>90</v>
      </c>
    </row>
    <row r="53" spans="1:7" x14ac:dyDescent="0.3">
      <c r="A53" t="s">
        <v>111</v>
      </c>
      <c r="B53" s="22"/>
      <c r="D53" t="s">
        <v>112</v>
      </c>
    </row>
    <row r="54" spans="1:7" x14ac:dyDescent="0.3">
      <c r="A54" t="s">
        <v>1</v>
      </c>
      <c r="B54" t="s">
        <v>2</v>
      </c>
    </row>
    <row r="55" spans="1:7" ht="28.8" x14ac:dyDescent="0.3">
      <c r="A55" s="5" t="str" cm="1">
        <f t="array" ref="A55:A58">_xlfn.UNIQUE(characters[Group])</f>
        <v>Analysts</v>
      </c>
      <c r="B55" s="4" t="str" cm="1">
        <f t="array" ref="B55:B70">_xlfn.UNIQUE(characters[MBTI])</f>
        <v>INTP</v>
      </c>
      <c r="D55" s="3" t="str" cm="1">
        <f t="array" ref="D55:D58">_xlfn._xlws.FILTER(characters[Name],characters[Group]="Explorers")</f>
        <v>Hayami Amamiya</v>
      </c>
      <c r="E55" s="4" t="str" cm="1">
        <f t="array" ref="E55:E56">_xlfn._xlws.FILTER(characters[Name], (characters[Group]="Analysts") * (characters[Power]&gt;75))</f>
        <v>Hiromi Masaki</v>
      </c>
    </row>
    <row r="56" spans="1:7" x14ac:dyDescent="0.3">
      <c r="A56" s="5" t="str">
        <v>Explorers</v>
      </c>
      <c r="B56" s="4" t="str">
        <v>ENTP</v>
      </c>
      <c r="D56" s="3" t="str">
        <v>Shaye Kaylen</v>
      </c>
      <c r="E56" s="4" t="str">
        <v>Gillian Wiley</v>
      </c>
    </row>
    <row r="57" spans="1:7" x14ac:dyDescent="0.3">
      <c r="A57" s="5" t="str">
        <v>Sentinels</v>
      </c>
      <c r="B57" s="4" t="str">
        <v>INTJ</v>
      </c>
      <c r="D57" s="3" t="str">
        <v>Shiina Ishioka</v>
      </c>
    </row>
    <row r="58" spans="1:7" x14ac:dyDescent="0.3">
      <c r="A58" s="5" t="str">
        <v>Diplomats</v>
      </c>
      <c r="B58" s="4" t="str">
        <v>ENTJ</v>
      </c>
      <c r="D58" s="3" t="str">
        <v>Theresa Felix</v>
      </c>
    </row>
    <row r="59" spans="1:7" x14ac:dyDescent="0.3">
      <c r="A59" s="1"/>
      <c r="B59" s="4" t="str">
        <v>ISTP</v>
      </c>
    </row>
    <row r="60" spans="1:7" x14ac:dyDescent="0.3">
      <c r="A60" s="1"/>
      <c r="B60" s="4" t="str">
        <v>ESTP</v>
      </c>
    </row>
    <row r="61" spans="1:7" x14ac:dyDescent="0.3">
      <c r="A61" s="1"/>
      <c r="B61" s="4" t="str">
        <v>ISFP</v>
      </c>
    </row>
    <row r="62" spans="1:7" x14ac:dyDescent="0.3">
      <c r="A62" s="1"/>
      <c r="B62" s="4" t="str">
        <v>ESFP</v>
      </c>
    </row>
    <row r="63" spans="1:7" x14ac:dyDescent="0.3">
      <c r="A63" s="1"/>
      <c r="B63" s="4" t="str">
        <v>ISTJ</v>
      </c>
    </row>
    <row r="64" spans="1:7" x14ac:dyDescent="0.3">
      <c r="A64" s="1"/>
      <c r="B64" s="4" t="str">
        <v>ESTJ</v>
      </c>
    </row>
    <row r="65" spans="1:2" x14ac:dyDescent="0.3">
      <c r="A65" s="1"/>
      <c r="B65" s="4" t="str">
        <v>ISFJ</v>
      </c>
    </row>
    <row r="66" spans="1:2" x14ac:dyDescent="0.3">
      <c r="A66" s="1"/>
      <c r="B66" s="4" t="str">
        <v>ESFJ</v>
      </c>
    </row>
    <row r="67" spans="1:2" x14ac:dyDescent="0.3">
      <c r="A67" s="1"/>
      <c r="B67" s="4" t="str">
        <v>INFJ</v>
      </c>
    </row>
    <row r="68" spans="1:2" x14ac:dyDescent="0.3">
      <c r="A68" s="1"/>
      <c r="B68" s="4" t="str">
        <v>ENFJ</v>
      </c>
    </row>
    <row r="69" spans="1:2" x14ac:dyDescent="0.3">
      <c r="A69" s="1"/>
      <c r="B69" s="4" t="str">
        <v>INFP</v>
      </c>
    </row>
    <row r="70" spans="1:2" x14ac:dyDescent="0.3">
      <c r="A70" s="1"/>
      <c r="B70" s="4" t="str">
        <v>ENFP</v>
      </c>
    </row>
  </sheetData>
  <mergeCells count="27">
    <mergeCell ref="A47:F47"/>
    <mergeCell ref="A48:F48"/>
    <mergeCell ref="A51:F51"/>
    <mergeCell ref="A39:E39"/>
    <mergeCell ref="A40:E40"/>
    <mergeCell ref="A43:H43"/>
    <mergeCell ref="A44:H44"/>
    <mergeCell ref="A42:B42"/>
    <mergeCell ref="B29:C29"/>
    <mergeCell ref="D20:E20"/>
    <mergeCell ref="D19:E19"/>
    <mergeCell ref="F20:H20"/>
    <mergeCell ref="F19:H19"/>
    <mergeCell ref="B23:C23"/>
    <mergeCell ref="E27:F27"/>
    <mergeCell ref="E28:F28"/>
    <mergeCell ref="B24:C24"/>
    <mergeCell ref="B25:C25"/>
    <mergeCell ref="B26:C26"/>
    <mergeCell ref="B27:C27"/>
    <mergeCell ref="B28:C28"/>
    <mergeCell ref="A35:D35"/>
    <mergeCell ref="A34:D34"/>
    <mergeCell ref="A33:D33"/>
    <mergeCell ref="A36:D36"/>
    <mergeCell ref="B30:C30"/>
    <mergeCell ref="A32:B32"/>
  </mergeCells>
  <conditionalFormatting sqref="D2:D17">
    <cfRule type="top10" dxfId="25" priority="12" bottom="1" rank="3"/>
    <cfRule type="top10" dxfId="24" priority="22" rank="3"/>
  </conditionalFormatting>
  <conditionalFormatting sqref="E2:E17">
    <cfRule type="top10" dxfId="23" priority="11" bottom="1" rank="3"/>
    <cfRule type="top10" dxfId="22" priority="20" rank="3"/>
  </conditionalFormatting>
  <conditionalFormatting sqref="E2:H17">
    <cfRule type="top10" dxfId="21" priority="21" rank="3"/>
  </conditionalFormatting>
  <conditionalFormatting sqref="F2:F17">
    <cfRule type="top10" dxfId="20" priority="10" bottom="1" rank="3"/>
    <cfRule type="top10" dxfId="19" priority="19" rank="3"/>
  </conditionalFormatting>
  <conditionalFormatting sqref="G2:G17">
    <cfRule type="top10" dxfId="18" priority="9" bottom="1" rank="3"/>
    <cfRule type="top10" dxfId="17" priority="18" rank="3"/>
  </conditionalFormatting>
  <conditionalFormatting sqref="H2:H17">
    <cfRule type="top10" dxfId="16" priority="8" bottom="1" rank="3"/>
    <cfRule type="top10" dxfId="15" priority="17" rank="3"/>
  </conditionalFormatting>
  <conditionalFormatting sqref="I2:I17">
    <cfRule type="top10" dxfId="14" priority="7" bottom="1" rank="3"/>
    <cfRule type="top10" dxfId="13" priority="13" rank="3"/>
  </conditionalFormatting>
  <conditionalFormatting sqref="M2:M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B23:C23 E24:E25" xr:uid="{39D4524E-2D42-4611-990E-40716E9930EC}">
      <formula1>$A$2:$A$17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2826-045E-48F4-99EF-7A85B3EF8E52}">
  <dimension ref="A1:Q7"/>
  <sheetViews>
    <sheetView topLeftCell="A5" workbookViewId="0">
      <selection activeCell="G28" sqref="G28"/>
    </sheetView>
  </sheetViews>
  <sheetFormatPr defaultRowHeight="14.4" x14ac:dyDescent="0.3"/>
  <cols>
    <col min="1" max="1" width="10.44140625" style="1" customWidth="1"/>
    <col min="2" max="16384" width="8.88671875" style="1"/>
  </cols>
  <sheetData>
    <row r="1" spans="1:17" x14ac:dyDescent="0.3">
      <c r="A1" s="10" t="s">
        <v>91</v>
      </c>
      <c r="B1" s="9" t="s">
        <v>75</v>
      </c>
      <c r="C1" s="4" t="s">
        <v>76</v>
      </c>
      <c r="D1" s="9" t="s">
        <v>77</v>
      </c>
      <c r="E1" s="4" t="s">
        <v>78</v>
      </c>
      <c r="F1" s="9" t="s">
        <v>79</v>
      </c>
      <c r="G1" s="4" t="s">
        <v>80</v>
      </c>
      <c r="H1" s="9" t="s">
        <v>81</v>
      </c>
      <c r="I1" s="4" t="s">
        <v>82</v>
      </c>
      <c r="J1" s="9" t="s">
        <v>83</v>
      </c>
      <c r="K1" s="4" t="s">
        <v>84</v>
      </c>
      <c r="L1" s="9" t="s">
        <v>85</v>
      </c>
      <c r="M1" s="4" t="s">
        <v>86</v>
      </c>
      <c r="N1" s="9" t="s">
        <v>87</v>
      </c>
      <c r="O1" s="4" t="s">
        <v>88</v>
      </c>
      <c r="P1" s="9" t="s">
        <v>89</v>
      </c>
      <c r="Q1" s="4" t="s">
        <v>90</v>
      </c>
    </row>
    <row r="2" spans="1:17" x14ac:dyDescent="0.3">
      <c r="A2" s="10" t="s">
        <v>3</v>
      </c>
      <c r="B2" s="9">
        <v>75</v>
      </c>
      <c r="C2" s="4">
        <v>72</v>
      </c>
      <c r="D2" s="9">
        <v>78</v>
      </c>
      <c r="E2" s="4">
        <v>90</v>
      </c>
      <c r="F2" s="9">
        <v>80</v>
      </c>
      <c r="G2" s="4">
        <v>85</v>
      </c>
      <c r="H2" s="9">
        <v>70</v>
      </c>
      <c r="I2" s="4">
        <v>60</v>
      </c>
      <c r="J2" s="9">
        <v>68</v>
      </c>
      <c r="K2" s="4">
        <v>88</v>
      </c>
      <c r="L2" s="9">
        <v>50</v>
      </c>
      <c r="M2" s="4">
        <v>62</v>
      </c>
      <c r="N2" s="9">
        <v>50</v>
      </c>
      <c r="O2" s="4">
        <v>65</v>
      </c>
      <c r="P2" s="9">
        <v>72</v>
      </c>
      <c r="Q2" s="4">
        <v>58</v>
      </c>
    </row>
    <row r="3" spans="1:17" x14ac:dyDescent="0.3">
      <c r="A3" s="10" t="s">
        <v>4</v>
      </c>
      <c r="B3" s="9">
        <v>50</v>
      </c>
      <c r="C3" s="4">
        <v>65</v>
      </c>
      <c r="D3" s="9">
        <v>60</v>
      </c>
      <c r="E3" s="4">
        <v>80</v>
      </c>
      <c r="F3" s="9">
        <v>75</v>
      </c>
      <c r="G3" s="4">
        <v>78</v>
      </c>
      <c r="H3" s="9">
        <v>72</v>
      </c>
      <c r="I3" s="4">
        <v>65</v>
      </c>
      <c r="J3" s="9">
        <v>80</v>
      </c>
      <c r="K3" s="4">
        <v>82</v>
      </c>
      <c r="L3" s="9">
        <v>85</v>
      </c>
      <c r="M3" s="4">
        <v>70</v>
      </c>
      <c r="N3" s="9">
        <v>58</v>
      </c>
      <c r="O3" s="4">
        <v>72</v>
      </c>
      <c r="P3" s="9">
        <v>55</v>
      </c>
      <c r="Q3" s="4">
        <v>60</v>
      </c>
    </row>
    <row r="4" spans="1:17" x14ac:dyDescent="0.3">
      <c r="A4" s="10" t="s">
        <v>5</v>
      </c>
      <c r="B4" s="9">
        <v>60</v>
      </c>
      <c r="C4" s="4">
        <v>50</v>
      </c>
      <c r="D4" s="9">
        <v>55</v>
      </c>
      <c r="E4" s="4">
        <v>65</v>
      </c>
      <c r="F4" s="9">
        <v>70</v>
      </c>
      <c r="G4" s="4">
        <v>60</v>
      </c>
      <c r="H4" s="9">
        <v>68</v>
      </c>
      <c r="I4" s="4">
        <v>55</v>
      </c>
      <c r="J4" s="9">
        <v>78</v>
      </c>
      <c r="K4" s="4">
        <v>70</v>
      </c>
      <c r="L4" s="9">
        <v>88</v>
      </c>
      <c r="M4" s="4">
        <v>60</v>
      </c>
      <c r="N4" s="9">
        <v>50</v>
      </c>
      <c r="O4" s="4">
        <v>58</v>
      </c>
      <c r="P4" s="9">
        <v>48</v>
      </c>
      <c r="Q4" s="4">
        <v>52</v>
      </c>
    </row>
    <row r="5" spans="1:17" x14ac:dyDescent="0.3">
      <c r="A5" s="10" t="s">
        <v>6</v>
      </c>
      <c r="B5" s="9">
        <v>40</v>
      </c>
      <c r="C5" s="4">
        <v>70</v>
      </c>
      <c r="D5" s="9">
        <v>45</v>
      </c>
      <c r="E5" s="4">
        <v>68</v>
      </c>
      <c r="F5" s="9">
        <v>92</v>
      </c>
      <c r="G5" s="4">
        <v>90</v>
      </c>
      <c r="H5" s="9">
        <v>75</v>
      </c>
      <c r="I5" s="4">
        <v>80</v>
      </c>
      <c r="J5" s="9">
        <v>60</v>
      </c>
      <c r="K5" s="4">
        <v>72</v>
      </c>
      <c r="L5" s="9">
        <v>55</v>
      </c>
      <c r="M5" s="4">
        <v>68</v>
      </c>
      <c r="N5" s="9">
        <v>55</v>
      </c>
      <c r="O5" s="4">
        <v>70</v>
      </c>
      <c r="P5" s="9">
        <v>60</v>
      </c>
      <c r="Q5" s="4">
        <v>82</v>
      </c>
    </row>
    <row r="6" spans="1:17" x14ac:dyDescent="0.3">
      <c r="A6" s="10" t="s">
        <v>7</v>
      </c>
      <c r="B6" s="9">
        <v>95</v>
      </c>
      <c r="C6" s="4">
        <v>85</v>
      </c>
      <c r="D6" s="9">
        <v>92</v>
      </c>
      <c r="E6" s="4">
        <v>88</v>
      </c>
      <c r="F6" s="9">
        <v>85</v>
      </c>
      <c r="G6" s="4">
        <v>60</v>
      </c>
      <c r="H6" s="9">
        <v>65</v>
      </c>
      <c r="I6" s="4">
        <v>50</v>
      </c>
      <c r="J6" s="9">
        <v>72</v>
      </c>
      <c r="K6" s="4">
        <v>78</v>
      </c>
      <c r="L6" s="9">
        <v>68</v>
      </c>
      <c r="M6" s="4">
        <v>65</v>
      </c>
      <c r="N6" s="9">
        <v>90</v>
      </c>
      <c r="O6" s="4">
        <v>85</v>
      </c>
      <c r="P6" s="9">
        <v>78</v>
      </c>
      <c r="Q6" s="4">
        <v>70</v>
      </c>
    </row>
    <row r="7" spans="1:17" x14ac:dyDescent="0.3">
      <c r="A7" s="10" t="s">
        <v>8</v>
      </c>
      <c r="B7" s="9">
        <v>88</v>
      </c>
      <c r="C7" s="4">
        <v>80</v>
      </c>
      <c r="D7" s="9">
        <v>90</v>
      </c>
      <c r="E7" s="4">
        <v>82</v>
      </c>
      <c r="F7" s="9">
        <v>90</v>
      </c>
      <c r="G7" s="4">
        <v>82</v>
      </c>
      <c r="H7" s="9">
        <v>78</v>
      </c>
      <c r="I7" s="4">
        <v>92</v>
      </c>
      <c r="J7" s="9">
        <v>85</v>
      </c>
      <c r="K7" s="4">
        <v>75</v>
      </c>
      <c r="L7" s="9">
        <v>80</v>
      </c>
      <c r="M7" s="4">
        <v>88</v>
      </c>
      <c r="N7" s="9">
        <v>95</v>
      </c>
      <c r="O7" s="4">
        <v>88</v>
      </c>
      <c r="P7" s="9">
        <v>82</v>
      </c>
      <c r="Q7" s="4">
        <v>75</v>
      </c>
    </row>
  </sheetData>
  <conditionalFormatting sqref="B2:Q2">
    <cfRule type="top10" dxfId="12" priority="6" bottom="1" rank="3"/>
    <cfRule type="top10" dxfId="11" priority="13" rank="3"/>
  </conditionalFormatting>
  <conditionalFormatting sqref="B3:Q3">
    <cfRule type="top10" dxfId="10" priority="5" bottom="1" rank="3"/>
    <cfRule type="top10" dxfId="9" priority="11" rank="3"/>
  </conditionalFormatting>
  <conditionalFormatting sqref="B3:Q6">
    <cfRule type="top10" dxfId="8" priority="12" rank="3"/>
  </conditionalFormatting>
  <conditionalFormatting sqref="B4:Q4">
    <cfRule type="top10" dxfId="7" priority="4" bottom="1" rank="3"/>
    <cfRule type="top10" dxfId="6" priority="10" rank="3"/>
  </conditionalFormatting>
  <conditionalFormatting sqref="B5:Q5">
    <cfRule type="top10" dxfId="5" priority="3" bottom="1" rank="3"/>
    <cfRule type="top10" dxfId="4" priority="9" rank="3"/>
  </conditionalFormatting>
  <conditionalFormatting sqref="B6:Q6">
    <cfRule type="top10" dxfId="3" priority="2" bottom="1" rank="3"/>
    <cfRule type="top10" dxfId="2" priority="8" rank="3"/>
  </conditionalFormatting>
  <conditionalFormatting sqref="B7:Q7">
    <cfRule type="top10" dxfId="1" priority="1" bottom="1" rank="3"/>
    <cfRule type="top10" dxfId="0" priority="7" rank="3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A149-D84B-452A-9DD6-CE8DB8B3296F}">
  <dimension ref="A3:H8"/>
  <sheetViews>
    <sheetView topLeftCell="A5" workbookViewId="0">
      <selection activeCell="A3" sqref="A3:G8"/>
    </sheetView>
  </sheetViews>
  <sheetFormatPr defaultRowHeight="14.4" x14ac:dyDescent="0.3"/>
  <cols>
    <col min="1" max="1" width="12.5546875" style="1" bestFit="1" customWidth="1"/>
    <col min="2" max="7" width="11.33203125" style="1" customWidth="1"/>
    <col min="8" max="8" width="10.33203125" style="1" customWidth="1"/>
    <col min="9" max="16384" width="8.88671875" style="1"/>
  </cols>
  <sheetData>
    <row r="3" spans="1:8" ht="28.8" x14ac:dyDescent="0.3">
      <c r="A3" s="2" t="s">
        <v>49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</row>
    <row r="4" spans="1:8" x14ac:dyDescent="0.3">
      <c r="A4" s="4" t="s">
        <v>10</v>
      </c>
      <c r="B4" s="4">
        <v>78.75</v>
      </c>
      <c r="C4" s="4">
        <v>63.75</v>
      </c>
      <c r="D4" s="4">
        <v>57.5</v>
      </c>
      <c r="E4" s="4">
        <v>55.75</v>
      </c>
      <c r="F4" s="4">
        <v>90</v>
      </c>
      <c r="G4" s="4">
        <v>85</v>
      </c>
      <c r="H4" s="6">
        <f>AVERAGE(B4:G4)</f>
        <v>71.791666666666671</v>
      </c>
    </row>
    <row r="5" spans="1:8" x14ac:dyDescent="0.3">
      <c r="A5" s="4" t="s">
        <v>37</v>
      </c>
      <c r="B5" s="4">
        <v>61.25</v>
      </c>
      <c r="C5" s="4">
        <v>61.25</v>
      </c>
      <c r="D5" s="4">
        <v>52</v>
      </c>
      <c r="E5" s="4">
        <v>66.75</v>
      </c>
      <c r="F5" s="4">
        <v>80.75</v>
      </c>
      <c r="G5" s="4">
        <v>85</v>
      </c>
      <c r="H5" s="6">
        <f t="shared" ref="H5:H7" si="0">AVERAGE(B5:G5)</f>
        <v>67.833333333333329</v>
      </c>
    </row>
    <row r="6" spans="1:8" x14ac:dyDescent="0.3">
      <c r="A6" s="4" t="s">
        <v>19</v>
      </c>
      <c r="B6" s="4">
        <v>73.75</v>
      </c>
      <c r="C6" s="4">
        <v>72.5</v>
      </c>
      <c r="D6" s="4">
        <v>63.25</v>
      </c>
      <c r="E6" s="4">
        <v>84.25</v>
      </c>
      <c r="F6" s="4">
        <v>65</v>
      </c>
      <c r="G6" s="4">
        <v>85.5</v>
      </c>
      <c r="H6" s="6">
        <f t="shared" si="0"/>
        <v>74.041666666666671</v>
      </c>
    </row>
    <row r="7" spans="1:8" x14ac:dyDescent="0.3">
      <c r="A7" s="4" t="s">
        <v>28</v>
      </c>
      <c r="B7" s="4">
        <v>67</v>
      </c>
      <c r="C7" s="4">
        <v>79.25</v>
      </c>
      <c r="D7" s="4">
        <v>74</v>
      </c>
      <c r="E7" s="4">
        <v>63.75</v>
      </c>
      <c r="F7" s="4">
        <v>70.75</v>
      </c>
      <c r="G7" s="4">
        <v>82</v>
      </c>
      <c r="H7" s="6">
        <f t="shared" si="0"/>
        <v>72.791666666666671</v>
      </c>
    </row>
    <row r="8" spans="1:8" x14ac:dyDescent="0.3">
      <c r="A8" s="4" t="s">
        <v>50</v>
      </c>
      <c r="B8" s="4">
        <v>70.1875</v>
      </c>
      <c r="C8" s="4">
        <v>69.1875</v>
      </c>
      <c r="D8" s="4">
        <v>61.6875</v>
      </c>
      <c r="E8" s="4">
        <v>67.625</v>
      </c>
      <c r="F8" s="4">
        <v>76.625</v>
      </c>
      <c r="G8" s="4">
        <v>84.375</v>
      </c>
      <c r="H8" s="6"/>
    </row>
  </sheetData>
  <conditionalFormatting pivot="1" sqref="B4:G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90A903-887D-4939-9C54-A2CDC44C7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characters</vt:lpstr>
      <vt:lpstr>chart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Shaina</dc:creator>
  <cp:lastModifiedBy>Astrid Shaina</cp:lastModifiedBy>
  <dcterms:created xsi:type="dcterms:W3CDTF">2026-03-16T08:56:41Z</dcterms:created>
  <dcterms:modified xsi:type="dcterms:W3CDTF">2026-03-17T14:24:36Z</dcterms:modified>
</cp:coreProperties>
</file>