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493edff0b5f7e/Documents/New folder/HPHM/Character Sheet/"/>
    </mc:Choice>
  </mc:AlternateContent>
  <xr:revisionPtr revIDLastSave="13" documentId="8_{A89331FF-D251-449C-9F37-C20612D9C8ED}" xr6:coauthVersionLast="47" xr6:coauthVersionMax="47" xr10:uidLastSave="{A9A8BE61-9A10-4736-83BA-912501817439}"/>
  <bookViews>
    <workbookView xWindow="384" yWindow="384" windowWidth="11448" windowHeight="11904" xr2:uid="{A9709112-6C20-4719-812E-2B13ACA71918}"/>
  </bookViews>
  <sheets>
    <sheet name="Stats" sheetId="2" r:id="rId1"/>
  </sheets>
  <definedNames>
    <definedName name="ExternalData_1" localSheetId="0" hidden="1">Stats!$A$1:$AB$22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" i="2" l="1"/>
  <c r="AC13" i="2"/>
  <c r="AC20" i="2"/>
  <c r="AC17" i="2"/>
  <c r="AC10" i="2"/>
  <c r="AC9" i="2"/>
  <c r="AC16" i="2"/>
  <c r="AC4" i="2"/>
  <c r="AC2" i="2"/>
  <c r="AC18" i="2"/>
  <c r="AC21" i="2"/>
  <c r="AC12" i="2"/>
  <c r="AC22" i="2"/>
  <c r="AC7" i="2"/>
  <c r="AC6" i="2"/>
  <c r="AC8" i="2"/>
  <c r="AC3" i="2"/>
  <c r="AC5" i="2"/>
  <c r="AC14" i="2"/>
  <c r="AC19" i="2"/>
  <c r="AC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EF50AC-6719-422E-88C4-6F32786D809B}" keepAlive="1" name="Query - deepseek_csv_20260428_9c2eba" description="Connection to the 'deepseek_csv_20260428_9c2eba' query in the workbook." type="5" refreshedVersion="8" background="1" saveData="1">
    <dbPr connection="Provider=Microsoft.Mashup.OleDb.1;Data Source=$Workbook$;Location=deepseek_csv_20260428_9c2eba;Extended Properties=&quot;&quot;" command="SELECT * FROM [deepseek_csv_20260428_9c2eba]"/>
  </connection>
</connections>
</file>

<file path=xl/sharedStrings.xml><?xml version="1.0" encoding="utf-8"?>
<sst xmlns="http://schemas.openxmlformats.org/spreadsheetml/2006/main" count="92" uniqueCount="80">
  <si>
    <t>Name</t>
  </si>
  <si>
    <t>Rank</t>
  </si>
  <si>
    <t>STR</t>
  </si>
  <si>
    <t>SPD</t>
  </si>
  <si>
    <t>AGI</t>
  </si>
  <si>
    <t>END</t>
  </si>
  <si>
    <t>CON</t>
  </si>
  <si>
    <t>ATK</t>
  </si>
  <si>
    <t>DEF</t>
  </si>
  <si>
    <t>ACC</t>
  </si>
  <si>
    <t>EVA</t>
  </si>
  <si>
    <t>CRT</t>
  </si>
  <si>
    <t>CDR</t>
  </si>
  <si>
    <t>RNG</t>
  </si>
  <si>
    <t>AoE</t>
  </si>
  <si>
    <t>INT</t>
  </si>
  <si>
    <t>WIT</t>
  </si>
  <si>
    <t>PER</t>
  </si>
  <si>
    <t>FOC</t>
  </si>
  <si>
    <t>RES</t>
  </si>
  <si>
    <t>CHA</t>
  </si>
  <si>
    <t>LDR</t>
  </si>
  <si>
    <t>POT</t>
  </si>
  <si>
    <t>CTRL</t>
  </si>
  <si>
    <t>ENER</t>
  </si>
  <si>
    <t>VER</t>
  </si>
  <si>
    <t>RISK</t>
  </si>
  <si>
    <t>Liam Reed</t>
  </si>
  <si>
    <t>B</t>
  </si>
  <si>
    <t>Rowan Khanna</t>
  </si>
  <si>
    <t>Ben Copper</t>
  </si>
  <si>
    <t>B+</t>
  </si>
  <si>
    <t>Jae Kim</t>
  </si>
  <si>
    <t>C+</t>
  </si>
  <si>
    <t>Penny Haywood</t>
  </si>
  <si>
    <t>A</t>
  </si>
  <si>
    <t>Mayumi Sasaki</t>
  </si>
  <si>
    <t>A+</t>
  </si>
  <si>
    <t>Chiara Lobosca</t>
  </si>
  <si>
    <t>Tulip Karasu</t>
  </si>
  <si>
    <t>S</t>
  </si>
  <si>
    <t>Hayami Amamiya</t>
  </si>
  <si>
    <t>S+</t>
  </si>
  <si>
    <t>Talbott Winger</t>
  </si>
  <si>
    <t>Andre Egwu</t>
  </si>
  <si>
    <t>Barnaby Lee</t>
  </si>
  <si>
    <t>Merula Snyde</t>
  </si>
  <si>
    <t>C</t>
  </si>
  <si>
    <t>Erika Thunder</t>
  </si>
  <si>
    <t>Valeria Bolt</t>
  </si>
  <si>
    <t>Rima Rain</t>
  </si>
  <si>
    <t>Putri Storm</t>
  </si>
  <si>
    <t>Aria Typhoon</t>
  </si>
  <si>
    <t>Jacob Quinn</t>
  </si>
  <si>
    <t>B-</t>
  </si>
  <si>
    <t>Diego Caplan</t>
  </si>
  <si>
    <t>Viktor Ketsueki</t>
  </si>
  <si>
    <t>Power</t>
  </si>
  <si>
    <t>Super Speed</t>
  </si>
  <si>
    <t>Mind Reading</t>
  </si>
  <si>
    <t>Clairvoyance</t>
  </si>
  <si>
    <t>Sound &amp; Vibrations</t>
  </si>
  <si>
    <t>Emotional Energy Manipulation</t>
  </si>
  <si>
    <t>Illusions</t>
  </si>
  <si>
    <t>Healing</t>
  </si>
  <si>
    <t>Portals</t>
  </si>
  <si>
    <t>Elemental Mastery</t>
  </si>
  <si>
    <t>Chameleon</t>
  </si>
  <si>
    <t>Energy Blast</t>
  </si>
  <si>
    <t>Super Strength</t>
  </si>
  <si>
    <t>Item Duplication</t>
  </si>
  <si>
    <t>Phasing</t>
  </si>
  <si>
    <t>Telekinesis</t>
  </si>
  <si>
    <t>Barrier Creation</t>
  </si>
  <si>
    <t>Shadow &amp; Darkness</t>
  </si>
  <si>
    <t>Animal Creation &amp; Shifting</t>
  </si>
  <si>
    <t>Weapon Creation</t>
  </si>
  <si>
    <t>Marksman</t>
  </si>
  <si>
    <t>Telepathy</t>
  </si>
  <si>
    <t>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</si>
</sst>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03019A-DB03-4D0E-B62E-05955093AC78}" autoFormatId="16" applyNumberFormats="0" applyBorderFormats="0" applyFontFormats="0" applyPatternFormats="0" applyAlignmentFormats="0" applyWidthHeightFormats="0">
  <queryTableRefresh nextId="30" unboundColumnsRight="1">
    <queryTableFields count="29">
      <queryTableField id="1" name="Name" tableColumnId="1"/>
      <queryTableField id="28" dataBound="0" tableColumnId="28"/>
      <queryTableField id="2" name="Rank" tableColumnId="2"/>
      <queryTableField id="3" name="STR" tableColumnId="3"/>
      <queryTableField id="4" name="SPD" tableColumnId="4"/>
      <queryTableField id="5" name="AGI" tableColumnId="5"/>
      <queryTableField id="6" name="END" tableColumnId="6"/>
      <queryTableField id="7" name="CON" tableColumnId="7"/>
      <queryTableField id="8" name="ATK" tableColumnId="8"/>
      <queryTableField id="9" name="DEF" tableColumnId="9"/>
      <queryTableField id="10" name="ACC" tableColumnId="10"/>
      <queryTableField id="11" name="EVA" tableColumnId="11"/>
      <queryTableField id="12" name="CRT" tableColumnId="12"/>
      <queryTableField id="13" name="CDR" tableColumnId="13"/>
      <queryTableField id="14" name="RNG" tableColumnId="14"/>
      <queryTableField id="15" name="AoE" tableColumnId="15"/>
      <queryTableField id="16" name="INT" tableColumnId="16"/>
      <queryTableField id="17" name="WIT" tableColumnId="17"/>
      <queryTableField id="18" name="PER" tableColumnId="18"/>
      <queryTableField id="19" name="FOC" tableColumnId="19"/>
      <queryTableField id="20" name="RES" tableColumnId="20"/>
      <queryTableField id="21" name="CHA" tableColumnId="21"/>
      <queryTableField id="22" name="LDR" tableColumnId="22"/>
      <queryTableField id="23" name="POT" tableColumnId="23"/>
      <queryTableField id="24" name="CTRL" tableColumnId="24"/>
      <queryTableField id="25" name="ENER" tableColumnId="25"/>
      <queryTableField id="26" name="VER" tableColumnId="26"/>
      <queryTableField id="27" name="RISK" tableColumnId="27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7C151-F9DD-4CD1-B8AE-8E6DC70A0089}" name="Stats" displayName="Stats" ref="A1:AC22" tableType="queryTable" totalsRowShown="0" headerRowDxfId="5" dataDxfId="4">
  <autoFilter ref="A1:AC22" xr:uid="{B267C151-F9DD-4CD1-B8AE-8E6DC70A0089}"/>
  <sortState xmlns:xlrd2="http://schemas.microsoft.com/office/spreadsheetml/2017/richdata2" ref="A2:AC22">
    <sortCondition descending="1" ref="AC1:AC22"/>
  </sortState>
  <tableColumns count="29">
    <tableColumn id="1" xr3:uid="{DB0121A4-302A-4E09-9247-F06E750FCB04}" uniqueName="1" name="Name" queryTableFieldId="1" dataDxfId="3"/>
    <tableColumn id="28" xr3:uid="{5EE65B2D-152A-4B4A-8FE1-BF19F08C4862}" uniqueName="28" name="Power" queryTableFieldId="28" dataDxfId="1"/>
    <tableColumn id="2" xr3:uid="{F533AF63-45CB-48CD-AEC7-05022C141AA2}" uniqueName="2" name="Rank" queryTableFieldId="2" dataDxfId="2"/>
    <tableColumn id="3" xr3:uid="{B4002A79-38EE-41CE-A306-CF19638A7242}" uniqueName="3" name="STR" queryTableFieldId="3" dataDxfId="30"/>
    <tableColumn id="4" xr3:uid="{6F8D4B8A-369C-40D9-8327-56B55A774689}" uniqueName="4" name="SPD" queryTableFieldId="4" dataDxfId="29"/>
    <tableColumn id="5" xr3:uid="{40267660-D815-4907-9E11-49CFED487639}" uniqueName="5" name="AGI" queryTableFieldId="5" dataDxfId="28"/>
    <tableColumn id="6" xr3:uid="{AD370440-13C0-4041-9DB3-10A308062C3B}" uniqueName="6" name="END" queryTableFieldId="6" dataDxfId="27"/>
    <tableColumn id="7" xr3:uid="{C1222E74-A287-4721-B21E-586974E102A5}" uniqueName="7" name="CON" queryTableFieldId="7" dataDxfId="26"/>
    <tableColumn id="8" xr3:uid="{47151B1E-C9E5-4C97-A8D9-29267C4A7A09}" uniqueName="8" name="ATK" queryTableFieldId="8" dataDxfId="25"/>
    <tableColumn id="9" xr3:uid="{60BBEEBB-CC02-44CC-8590-595A9E55F0DC}" uniqueName="9" name="DEF" queryTableFieldId="9" dataDxfId="24"/>
    <tableColumn id="10" xr3:uid="{B2D2A344-5498-4E83-B660-B5FFB63096F4}" uniqueName="10" name="ACC" queryTableFieldId="10" dataDxfId="23"/>
    <tableColumn id="11" xr3:uid="{00818DEE-3DC2-4A45-8B05-4EAA999DB52F}" uniqueName="11" name="EVA" queryTableFieldId="11" dataDxfId="22"/>
    <tableColumn id="12" xr3:uid="{EF0287C0-4806-4594-B0FA-2D3A34CE7A89}" uniqueName="12" name="CRT" queryTableFieldId="12" dataDxfId="21"/>
    <tableColumn id="13" xr3:uid="{745BDE9D-D72A-4780-9E3B-289150659127}" uniqueName="13" name="CDR" queryTableFieldId="13" dataDxfId="20"/>
    <tableColumn id="14" xr3:uid="{B98B42F0-2C90-454D-8997-CCB0FF0DF984}" uniqueName="14" name="RNG" queryTableFieldId="14" dataDxfId="19"/>
    <tableColumn id="15" xr3:uid="{F6DE7825-466A-4712-8E4A-F4A2BEC12DAB}" uniqueName="15" name="AoE" queryTableFieldId="15" dataDxfId="18"/>
    <tableColumn id="16" xr3:uid="{DDF8CF60-1A35-4977-8627-5FB7CC11AE63}" uniqueName="16" name="INT" queryTableFieldId="16" dataDxfId="17"/>
    <tableColumn id="17" xr3:uid="{3DDAD47C-160A-40DF-845D-21486A7FE317}" uniqueName="17" name="WIT" queryTableFieldId="17" dataDxfId="16"/>
    <tableColumn id="18" xr3:uid="{CFFCC07F-8CE0-41B9-825E-5AA0B5535101}" uniqueName="18" name="PER" queryTableFieldId="18" dataDxfId="15"/>
    <tableColumn id="19" xr3:uid="{75E0BDB7-2178-4EAF-83B0-A7E3492D28DC}" uniqueName="19" name="FOC" queryTableFieldId="19" dataDxfId="14"/>
    <tableColumn id="20" xr3:uid="{471E91B2-BA94-47D7-AEE4-A80DCBE3C54E}" uniqueName="20" name="RES" queryTableFieldId="20" dataDxfId="13"/>
    <tableColumn id="21" xr3:uid="{8879AE66-FF48-46E1-B84E-92E258D39C6B}" uniqueName="21" name="CHA" queryTableFieldId="21" dataDxfId="12"/>
    <tableColumn id="22" xr3:uid="{EB120E25-1E9A-4369-BD76-64F747EA53AC}" uniqueName="22" name="LDR" queryTableFieldId="22" dataDxfId="11"/>
    <tableColumn id="23" xr3:uid="{160E1FB5-5287-4D37-B684-883441347368}" uniqueName="23" name="POT" queryTableFieldId="23" dataDxfId="10"/>
    <tableColumn id="24" xr3:uid="{CC225C29-43D6-4F86-A6B0-676EE5C87655}" uniqueName="24" name="CTRL" queryTableFieldId="24" dataDxfId="9"/>
    <tableColumn id="25" xr3:uid="{5809D85F-B67A-48C9-9E10-44C5CD7A6CA1}" uniqueName="25" name="ENER" queryTableFieldId="25" dataDxfId="8"/>
    <tableColumn id="26" xr3:uid="{C8D8F8B8-DA89-40FD-AE01-07A7CDEFA8A6}" uniqueName="26" name="VER" queryTableFieldId="26" dataDxfId="7"/>
    <tableColumn id="27" xr3:uid="{594CAE0F-CAC6-41E4-A10F-B8FE7CD0CD65}" uniqueName="27" name="RISK" queryTableFieldId="27" dataDxfId="6"/>
    <tableColumn id="29" xr3:uid="{B2D2A050-4F46-42DE-BEED-2F48E510817F}" uniqueName="29" name="AVR" queryTableFieldId="29" dataDxfId="0">
      <calculatedColumnFormula>AVERAGE(Stats[[#This Row],[STR]:[RISK]])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5377-0562-45D4-AD8C-A3F1DD1A662F}">
  <dimension ref="A1:AC22"/>
  <sheetViews>
    <sheetView tabSelected="1" workbookViewId="0">
      <pane xSplit="1" topLeftCell="AC1" activePane="topRight" state="frozen"/>
      <selection pane="topRight" activeCell="AD2" sqref="AD2"/>
    </sheetView>
  </sheetViews>
  <sheetFormatPr defaultRowHeight="14.4" x14ac:dyDescent="0.3"/>
  <cols>
    <col min="1" max="2" width="19.33203125" customWidth="1"/>
    <col min="3" max="3" width="7.44140625" bestFit="1" customWidth="1"/>
    <col min="4" max="4" width="6.33203125" bestFit="1" customWidth="1"/>
    <col min="5" max="5" width="6.5546875" bestFit="1" customWidth="1"/>
    <col min="6" max="6" width="6.21875" bestFit="1" customWidth="1"/>
    <col min="7" max="7" width="6.77734375" bestFit="1" customWidth="1"/>
    <col min="8" max="8" width="7" bestFit="1" customWidth="1"/>
    <col min="9" max="9" width="6.5546875" bestFit="1" customWidth="1"/>
    <col min="10" max="10" width="6.33203125" bestFit="1" customWidth="1"/>
    <col min="11" max="12" width="6.6640625" bestFit="1" customWidth="1"/>
    <col min="13" max="13" width="6.44140625" bestFit="1" customWidth="1"/>
    <col min="14" max="14" width="6.6640625" bestFit="1" customWidth="1"/>
    <col min="15" max="15" width="6.88671875" bestFit="1" customWidth="1"/>
    <col min="16" max="16" width="6.5546875" bestFit="1" customWidth="1"/>
    <col min="17" max="17" width="6.109375" bestFit="1" customWidth="1"/>
    <col min="18" max="18" width="6.5546875" bestFit="1" customWidth="1"/>
    <col min="19" max="19" width="6.44140625" bestFit="1" customWidth="1"/>
    <col min="20" max="20" width="6.5546875" bestFit="1" customWidth="1"/>
    <col min="21" max="21" width="6.33203125" bestFit="1" customWidth="1"/>
    <col min="22" max="22" width="6.77734375" bestFit="1" customWidth="1"/>
    <col min="23" max="23" width="6.44140625" bestFit="1" customWidth="1"/>
    <col min="24" max="24" width="6.6640625" bestFit="1" customWidth="1"/>
    <col min="25" max="25" width="7.33203125" bestFit="1" customWidth="1"/>
    <col min="26" max="26" width="7.6640625" bestFit="1" customWidth="1"/>
    <col min="27" max="27" width="6.5546875" bestFit="1" customWidth="1"/>
    <col min="28" max="28" width="7" bestFit="1" customWidth="1"/>
  </cols>
  <sheetData>
    <row r="1" spans="1:29" ht="15.6" x14ac:dyDescent="0.3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79</v>
      </c>
    </row>
    <row r="2" spans="1:29" ht="15.6" x14ac:dyDescent="0.3">
      <c r="A2" s="2" t="s">
        <v>41</v>
      </c>
      <c r="B2" s="3" t="s">
        <v>66</v>
      </c>
      <c r="C2" s="2" t="s">
        <v>42</v>
      </c>
      <c r="D2" s="1">
        <v>55</v>
      </c>
      <c r="E2" s="1">
        <v>91</v>
      </c>
      <c r="F2" s="1">
        <v>87</v>
      </c>
      <c r="G2" s="1">
        <v>85</v>
      </c>
      <c r="H2" s="1">
        <v>90</v>
      </c>
      <c r="I2" s="1">
        <v>95</v>
      </c>
      <c r="J2" s="1">
        <v>90</v>
      </c>
      <c r="K2" s="1">
        <v>85</v>
      </c>
      <c r="L2" s="1">
        <v>80</v>
      </c>
      <c r="M2" s="1">
        <v>80</v>
      </c>
      <c r="N2" s="1">
        <v>75</v>
      </c>
      <c r="O2" s="1">
        <v>90</v>
      </c>
      <c r="P2" s="1">
        <v>95</v>
      </c>
      <c r="Q2" s="1">
        <v>85</v>
      </c>
      <c r="R2" s="1">
        <v>80</v>
      </c>
      <c r="S2" s="1">
        <v>90</v>
      </c>
      <c r="T2" s="1">
        <v>85</v>
      </c>
      <c r="U2" s="1">
        <v>85</v>
      </c>
      <c r="V2" s="1">
        <v>55</v>
      </c>
      <c r="W2" s="1">
        <v>60</v>
      </c>
      <c r="X2" s="1">
        <v>98</v>
      </c>
      <c r="Y2" s="1">
        <v>90</v>
      </c>
      <c r="Z2" s="1">
        <v>85</v>
      </c>
      <c r="AA2" s="1">
        <v>100</v>
      </c>
      <c r="AB2" s="1">
        <v>40</v>
      </c>
      <c r="AC2" s="1">
        <f>AVERAGE(Stats[[#This Row],[STR]:[RISK]])</f>
        <v>82.04</v>
      </c>
    </row>
    <row r="3" spans="1:29" ht="15.6" x14ac:dyDescent="0.3">
      <c r="A3" s="2" t="s">
        <v>51</v>
      </c>
      <c r="B3" s="3" t="s">
        <v>74</v>
      </c>
      <c r="C3" s="2" t="s">
        <v>40</v>
      </c>
      <c r="D3" s="1">
        <v>45</v>
      </c>
      <c r="E3" s="1">
        <v>65</v>
      </c>
      <c r="F3" s="1">
        <v>70</v>
      </c>
      <c r="G3" s="1">
        <v>75</v>
      </c>
      <c r="H3" s="1">
        <v>80</v>
      </c>
      <c r="I3" s="1">
        <v>85</v>
      </c>
      <c r="J3" s="1">
        <v>85</v>
      </c>
      <c r="K3" s="1">
        <v>80</v>
      </c>
      <c r="L3" s="1">
        <v>85</v>
      </c>
      <c r="M3" s="1">
        <v>70</v>
      </c>
      <c r="N3" s="1">
        <v>80</v>
      </c>
      <c r="O3" s="1">
        <v>75</v>
      </c>
      <c r="P3" s="1">
        <v>85</v>
      </c>
      <c r="Q3" s="1">
        <v>90</v>
      </c>
      <c r="R3" s="1">
        <v>85</v>
      </c>
      <c r="S3" s="1">
        <v>90</v>
      </c>
      <c r="T3" s="1">
        <v>85</v>
      </c>
      <c r="U3" s="1">
        <v>80</v>
      </c>
      <c r="V3" s="1">
        <v>90</v>
      </c>
      <c r="W3" s="1">
        <v>85</v>
      </c>
      <c r="X3" s="1">
        <v>90</v>
      </c>
      <c r="Y3" s="1">
        <v>85</v>
      </c>
      <c r="Z3" s="1">
        <v>80</v>
      </c>
      <c r="AA3" s="1">
        <v>90</v>
      </c>
      <c r="AB3" s="1">
        <v>50</v>
      </c>
      <c r="AC3" s="1">
        <f>AVERAGE(Stats[[#This Row],[STR]:[RISK]])</f>
        <v>79.2</v>
      </c>
    </row>
    <row r="4" spans="1:29" ht="15.6" x14ac:dyDescent="0.3">
      <c r="A4" s="2" t="s">
        <v>39</v>
      </c>
      <c r="B4" s="3" t="s">
        <v>65</v>
      </c>
      <c r="C4" s="2" t="s">
        <v>40</v>
      </c>
      <c r="D4" s="1">
        <v>40</v>
      </c>
      <c r="E4" s="1">
        <v>95</v>
      </c>
      <c r="F4" s="1">
        <v>70</v>
      </c>
      <c r="G4" s="1">
        <v>65</v>
      </c>
      <c r="H4" s="1">
        <v>60</v>
      </c>
      <c r="I4" s="1">
        <v>85</v>
      </c>
      <c r="J4" s="1">
        <v>90</v>
      </c>
      <c r="K4" s="1">
        <v>80</v>
      </c>
      <c r="L4" s="1">
        <v>98</v>
      </c>
      <c r="M4" s="1">
        <v>75</v>
      </c>
      <c r="N4" s="1">
        <v>85</v>
      </c>
      <c r="O4" s="1">
        <v>95</v>
      </c>
      <c r="P4" s="1">
        <v>70</v>
      </c>
      <c r="Q4" s="1">
        <v>90</v>
      </c>
      <c r="R4" s="1">
        <v>95</v>
      </c>
      <c r="S4" s="1">
        <v>85</v>
      </c>
      <c r="T4" s="1">
        <v>85</v>
      </c>
      <c r="U4" s="1">
        <v>70</v>
      </c>
      <c r="V4" s="1">
        <v>75</v>
      </c>
      <c r="W4" s="1">
        <v>65</v>
      </c>
      <c r="X4" s="1">
        <v>90</v>
      </c>
      <c r="Y4" s="1">
        <v>85</v>
      </c>
      <c r="Z4" s="1">
        <v>70</v>
      </c>
      <c r="AA4" s="1">
        <v>95</v>
      </c>
      <c r="AB4" s="1">
        <v>50</v>
      </c>
      <c r="AC4" s="1">
        <f>AVERAGE(Stats[[#This Row],[STR]:[RISK]])</f>
        <v>78.52</v>
      </c>
    </row>
    <row r="5" spans="1:29" ht="31.2" x14ac:dyDescent="0.3">
      <c r="A5" s="2" t="s">
        <v>52</v>
      </c>
      <c r="B5" s="3" t="s">
        <v>75</v>
      </c>
      <c r="C5" s="2" t="s">
        <v>40</v>
      </c>
      <c r="D5" s="1">
        <v>60</v>
      </c>
      <c r="E5" s="1">
        <v>70</v>
      </c>
      <c r="F5" s="1">
        <v>75</v>
      </c>
      <c r="G5" s="1">
        <v>80</v>
      </c>
      <c r="H5" s="1">
        <v>75</v>
      </c>
      <c r="I5" s="1">
        <v>85</v>
      </c>
      <c r="J5" s="1">
        <v>80</v>
      </c>
      <c r="K5" s="1">
        <v>75</v>
      </c>
      <c r="L5" s="1">
        <v>80</v>
      </c>
      <c r="M5" s="1">
        <v>70</v>
      </c>
      <c r="N5" s="1">
        <v>75</v>
      </c>
      <c r="O5" s="1">
        <v>60</v>
      </c>
      <c r="P5" s="1">
        <v>85</v>
      </c>
      <c r="Q5" s="1">
        <v>85</v>
      </c>
      <c r="R5" s="1">
        <v>85</v>
      </c>
      <c r="S5" s="1">
        <v>85</v>
      </c>
      <c r="T5" s="1">
        <v>80</v>
      </c>
      <c r="U5" s="1">
        <v>75</v>
      </c>
      <c r="V5" s="1">
        <v>75</v>
      </c>
      <c r="W5" s="1">
        <v>80</v>
      </c>
      <c r="X5" s="1">
        <v>90</v>
      </c>
      <c r="Y5" s="1">
        <v>85</v>
      </c>
      <c r="Z5" s="1">
        <v>80</v>
      </c>
      <c r="AA5" s="1">
        <v>90</v>
      </c>
      <c r="AB5" s="1">
        <v>45</v>
      </c>
      <c r="AC5" s="1">
        <f>AVERAGE(Stats[[#This Row],[STR]:[RISK]])</f>
        <v>77</v>
      </c>
    </row>
    <row r="6" spans="1:29" ht="15.6" x14ac:dyDescent="0.3">
      <c r="A6" s="2" t="s">
        <v>49</v>
      </c>
      <c r="B6" s="3" t="s">
        <v>72</v>
      </c>
      <c r="C6" s="2" t="s">
        <v>37</v>
      </c>
      <c r="D6" s="1">
        <v>35</v>
      </c>
      <c r="E6" s="1">
        <v>45</v>
      </c>
      <c r="F6" s="1">
        <v>50</v>
      </c>
      <c r="G6" s="1">
        <v>55</v>
      </c>
      <c r="H6" s="1">
        <v>50</v>
      </c>
      <c r="I6" s="1">
        <v>85</v>
      </c>
      <c r="J6" s="1">
        <v>80</v>
      </c>
      <c r="K6" s="1">
        <v>90</v>
      </c>
      <c r="L6" s="1">
        <v>75</v>
      </c>
      <c r="M6" s="1">
        <v>70</v>
      </c>
      <c r="N6" s="1">
        <v>75</v>
      </c>
      <c r="O6" s="1">
        <v>85</v>
      </c>
      <c r="P6" s="1">
        <v>80</v>
      </c>
      <c r="Q6" s="1">
        <v>95</v>
      </c>
      <c r="R6" s="1">
        <v>85</v>
      </c>
      <c r="S6" s="1">
        <v>90</v>
      </c>
      <c r="T6" s="1">
        <v>90</v>
      </c>
      <c r="U6" s="1">
        <v>70</v>
      </c>
      <c r="V6" s="1">
        <v>65</v>
      </c>
      <c r="W6" s="1">
        <v>70</v>
      </c>
      <c r="X6" s="1">
        <v>85</v>
      </c>
      <c r="Y6" s="1">
        <v>95</v>
      </c>
      <c r="Z6" s="1">
        <v>75</v>
      </c>
      <c r="AA6" s="1">
        <v>80</v>
      </c>
      <c r="AB6" s="1">
        <v>35</v>
      </c>
      <c r="AC6" s="1">
        <f>AVERAGE(Stats[[#This Row],[STR]:[RISK]])</f>
        <v>72.400000000000006</v>
      </c>
    </row>
    <row r="7" spans="1:29" ht="15.6" x14ac:dyDescent="0.3">
      <c r="A7" s="2" t="s">
        <v>48</v>
      </c>
      <c r="B7" s="3" t="s">
        <v>71</v>
      </c>
      <c r="C7" s="2" t="s">
        <v>35</v>
      </c>
      <c r="D7" s="1">
        <v>65</v>
      </c>
      <c r="E7" s="1">
        <v>75</v>
      </c>
      <c r="F7" s="1">
        <v>80</v>
      </c>
      <c r="G7" s="1">
        <v>70</v>
      </c>
      <c r="H7" s="1">
        <v>75</v>
      </c>
      <c r="I7" s="1">
        <v>80</v>
      </c>
      <c r="J7" s="1">
        <v>85</v>
      </c>
      <c r="K7" s="1">
        <v>70</v>
      </c>
      <c r="L7" s="1">
        <v>90</v>
      </c>
      <c r="M7" s="1">
        <v>65</v>
      </c>
      <c r="N7" s="1">
        <v>75</v>
      </c>
      <c r="O7" s="1">
        <v>25</v>
      </c>
      <c r="P7" s="1">
        <v>45</v>
      </c>
      <c r="Q7" s="1">
        <v>65</v>
      </c>
      <c r="R7" s="1">
        <v>80</v>
      </c>
      <c r="S7" s="1">
        <v>85</v>
      </c>
      <c r="T7" s="1">
        <v>70</v>
      </c>
      <c r="U7" s="1">
        <v>60</v>
      </c>
      <c r="V7" s="1">
        <v>60</v>
      </c>
      <c r="W7" s="1">
        <v>65</v>
      </c>
      <c r="X7" s="1">
        <v>80</v>
      </c>
      <c r="Y7" s="1">
        <v>75</v>
      </c>
      <c r="Z7" s="1">
        <v>70</v>
      </c>
      <c r="AA7" s="1">
        <v>70</v>
      </c>
      <c r="AB7" s="1">
        <v>65</v>
      </c>
      <c r="AC7" s="1">
        <f>AVERAGE(Stats[[#This Row],[STR]:[RISK]])</f>
        <v>69.8</v>
      </c>
    </row>
    <row r="8" spans="1:29" ht="15.6" x14ac:dyDescent="0.3">
      <c r="A8" s="2" t="s">
        <v>50</v>
      </c>
      <c r="B8" s="3" t="s">
        <v>73</v>
      </c>
      <c r="C8" s="2" t="s">
        <v>35</v>
      </c>
      <c r="D8" s="1">
        <v>35</v>
      </c>
      <c r="E8" s="1">
        <v>45</v>
      </c>
      <c r="F8" s="1">
        <v>50</v>
      </c>
      <c r="G8" s="1">
        <v>65</v>
      </c>
      <c r="H8" s="1">
        <v>60</v>
      </c>
      <c r="I8" s="1">
        <v>55</v>
      </c>
      <c r="J8" s="1">
        <v>95</v>
      </c>
      <c r="K8" s="1">
        <v>70</v>
      </c>
      <c r="L8" s="1">
        <v>60</v>
      </c>
      <c r="M8" s="1">
        <v>45</v>
      </c>
      <c r="N8" s="1">
        <v>70</v>
      </c>
      <c r="O8" s="1">
        <v>70</v>
      </c>
      <c r="P8" s="1">
        <v>75</v>
      </c>
      <c r="Q8" s="1">
        <v>80</v>
      </c>
      <c r="R8" s="1">
        <v>75</v>
      </c>
      <c r="S8" s="1">
        <v>95</v>
      </c>
      <c r="T8" s="1">
        <v>85</v>
      </c>
      <c r="U8" s="1">
        <v>65</v>
      </c>
      <c r="V8" s="1">
        <v>60</v>
      </c>
      <c r="W8" s="1">
        <v>70</v>
      </c>
      <c r="X8" s="1">
        <v>80</v>
      </c>
      <c r="Y8" s="1">
        <v>85</v>
      </c>
      <c r="Z8" s="1">
        <v>70</v>
      </c>
      <c r="AA8" s="1">
        <v>75</v>
      </c>
      <c r="AB8" s="1">
        <v>40</v>
      </c>
      <c r="AC8" s="1">
        <f>AVERAGE(Stats[[#This Row],[STR]:[RISK]])</f>
        <v>67</v>
      </c>
    </row>
    <row r="9" spans="1:29" ht="15.6" x14ac:dyDescent="0.3">
      <c r="A9" s="2" t="s">
        <v>36</v>
      </c>
      <c r="B9" s="3" t="s">
        <v>63</v>
      </c>
      <c r="C9" s="2" t="s">
        <v>37</v>
      </c>
      <c r="D9" s="1">
        <v>30</v>
      </c>
      <c r="E9" s="1">
        <v>50</v>
      </c>
      <c r="F9" s="1">
        <v>55</v>
      </c>
      <c r="G9" s="1">
        <v>50</v>
      </c>
      <c r="H9" s="1">
        <v>50</v>
      </c>
      <c r="I9" s="1">
        <v>40</v>
      </c>
      <c r="J9" s="1">
        <v>80</v>
      </c>
      <c r="K9" s="1">
        <v>60</v>
      </c>
      <c r="L9" s="1">
        <v>85</v>
      </c>
      <c r="M9" s="1">
        <v>35</v>
      </c>
      <c r="N9" s="1">
        <v>75</v>
      </c>
      <c r="O9" s="1">
        <v>80</v>
      </c>
      <c r="P9" s="1">
        <v>85</v>
      </c>
      <c r="Q9" s="1">
        <v>80</v>
      </c>
      <c r="R9" s="1">
        <v>85</v>
      </c>
      <c r="S9" s="1">
        <v>95</v>
      </c>
      <c r="T9" s="1">
        <v>85</v>
      </c>
      <c r="U9" s="1">
        <v>80</v>
      </c>
      <c r="V9" s="1">
        <v>50</v>
      </c>
      <c r="W9" s="1">
        <v>40</v>
      </c>
      <c r="X9" s="1">
        <v>85</v>
      </c>
      <c r="Y9" s="1">
        <v>90</v>
      </c>
      <c r="Z9" s="1">
        <v>70</v>
      </c>
      <c r="AA9" s="1">
        <v>90</v>
      </c>
      <c r="AB9" s="1">
        <v>30</v>
      </c>
      <c r="AC9" s="1">
        <f>AVERAGE(Stats[[#This Row],[STR]:[RISK]])</f>
        <v>66.2</v>
      </c>
    </row>
    <row r="10" spans="1:29" ht="31.2" x14ac:dyDescent="0.3">
      <c r="A10" s="2" t="s">
        <v>34</v>
      </c>
      <c r="B10" s="3" t="s">
        <v>62</v>
      </c>
      <c r="C10" s="2" t="s">
        <v>35</v>
      </c>
      <c r="D10" s="1">
        <v>30</v>
      </c>
      <c r="E10" s="1">
        <v>45</v>
      </c>
      <c r="F10" s="1">
        <v>50</v>
      </c>
      <c r="G10" s="1">
        <v>55</v>
      </c>
      <c r="H10" s="1">
        <v>50</v>
      </c>
      <c r="I10" s="1">
        <v>60</v>
      </c>
      <c r="J10" s="1">
        <v>65</v>
      </c>
      <c r="K10" s="1">
        <v>70</v>
      </c>
      <c r="L10" s="1">
        <v>55</v>
      </c>
      <c r="M10" s="1">
        <v>40</v>
      </c>
      <c r="N10" s="1">
        <v>60</v>
      </c>
      <c r="O10" s="1">
        <v>65</v>
      </c>
      <c r="P10" s="1">
        <v>75</v>
      </c>
      <c r="Q10" s="1">
        <v>70</v>
      </c>
      <c r="R10" s="1">
        <v>80</v>
      </c>
      <c r="S10" s="1">
        <v>85</v>
      </c>
      <c r="T10" s="1">
        <v>75</v>
      </c>
      <c r="U10" s="1">
        <v>70</v>
      </c>
      <c r="V10" s="1">
        <v>95</v>
      </c>
      <c r="W10" s="1">
        <v>85</v>
      </c>
      <c r="X10" s="1">
        <v>80</v>
      </c>
      <c r="Y10" s="1">
        <v>75</v>
      </c>
      <c r="Z10" s="1">
        <v>70</v>
      </c>
      <c r="AA10" s="1">
        <v>75</v>
      </c>
      <c r="AB10" s="1">
        <v>45</v>
      </c>
      <c r="AC10" s="1">
        <f>AVERAGE(Stats[[#This Row],[STR]:[RISK]])</f>
        <v>65</v>
      </c>
    </row>
    <row r="11" spans="1:29" ht="15.6" x14ac:dyDescent="0.3">
      <c r="A11" s="2" t="s">
        <v>27</v>
      </c>
      <c r="B11" s="3" t="s">
        <v>58</v>
      </c>
      <c r="C11" s="2" t="s">
        <v>28</v>
      </c>
      <c r="D11" s="1">
        <v>45</v>
      </c>
      <c r="E11" s="1">
        <v>98</v>
      </c>
      <c r="F11" s="1">
        <v>92</v>
      </c>
      <c r="G11" s="1">
        <v>60</v>
      </c>
      <c r="H11" s="1">
        <v>55</v>
      </c>
      <c r="I11" s="1">
        <v>70</v>
      </c>
      <c r="J11" s="1">
        <v>40</v>
      </c>
      <c r="K11" s="1">
        <v>65</v>
      </c>
      <c r="L11" s="1">
        <v>95</v>
      </c>
      <c r="M11" s="1">
        <v>50</v>
      </c>
      <c r="N11" s="1">
        <v>75</v>
      </c>
      <c r="O11" s="1">
        <v>30</v>
      </c>
      <c r="P11" s="1">
        <v>20</v>
      </c>
      <c r="Q11" s="1">
        <v>60</v>
      </c>
      <c r="R11" s="1">
        <v>80</v>
      </c>
      <c r="S11" s="1">
        <v>55</v>
      </c>
      <c r="T11" s="1">
        <v>50</v>
      </c>
      <c r="U11" s="1">
        <v>45</v>
      </c>
      <c r="V11" s="1">
        <v>85</v>
      </c>
      <c r="W11" s="1">
        <v>65</v>
      </c>
      <c r="X11" s="1">
        <v>70</v>
      </c>
      <c r="Y11" s="1">
        <v>60</v>
      </c>
      <c r="Z11" s="1">
        <v>65</v>
      </c>
      <c r="AA11" s="1">
        <v>55</v>
      </c>
      <c r="AB11" s="1">
        <v>85</v>
      </c>
      <c r="AC11" s="1">
        <f>AVERAGE(Stats[[#This Row],[STR]:[RISK]])</f>
        <v>62.8</v>
      </c>
    </row>
    <row r="12" spans="1:29" ht="15.6" x14ac:dyDescent="0.3">
      <c r="A12" s="2" t="s">
        <v>45</v>
      </c>
      <c r="B12" s="3" t="s">
        <v>69</v>
      </c>
      <c r="C12" s="2" t="s">
        <v>28</v>
      </c>
      <c r="D12" s="1">
        <v>95</v>
      </c>
      <c r="E12" s="1">
        <v>50</v>
      </c>
      <c r="F12" s="1">
        <v>45</v>
      </c>
      <c r="G12" s="1">
        <v>80</v>
      </c>
      <c r="H12" s="1">
        <v>85</v>
      </c>
      <c r="I12" s="1">
        <v>85</v>
      </c>
      <c r="J12" s="1">
        <v>90</v>
      </c>
      <c r="K12" s="1">
        <v>55</v>
      </c>
      <c r="L12" s="1">
        <v>40</v>
      </c>
      <c r="M12" s="1">
        <v>50</v>
      </c>
      <c r="N12" s="1">
        <v>60</v>
      </c>
      <c r="O12" s="1">
        <v>35</v>
      </c>
      <c r="P12" s="1">
        <v>40</v>
      </c>
      <c r="Q12" s="1">
        <v>55</v>
      </c>
      <c r="R12" s="1">
        <v>50</v>
      </c>
      <c r="S12" s="1">
        <v>65</v>
      </c>
      <c r="T12" s="1">
        <v>70</v>
      </c>
      <c r="U12" s="1">
        <v>60</v>
      </c>
      <c r="V12" s="1">
        <v>75</v>
      </c>
      <c r="W12" s="1">
        <v>55</v>
      </c>
      <c r="X12" s="1">
        <v>70</v>
      </c>
      <c r="Y12" s="1">
        <v>80</v>
      </c>
      <c r="Z12" s="1">
        <v>70</v>
      </c>
      <c r="AA12" s="1">
        <v>50</v>
      </c>
      <c r="AB12" s="1">
        <v>30</v>
      </c>
      <c r="AC12" s="1">
        <f>AVERAGE(Stats[[#This Row],[STR]:[RISK]])</f>
        <v>61.6</v>
      </c>
    </row>
    <row r="13" spans="1:29" ht="15.6" x14ac:dyDescent="0.3">
      <c r="A13" s="2" t="s">
        <v>29</v>
      </c>
      <c r="B13" s="3" t="s">
        <v>59</v>
      </c>
      <c r="C13" s="2" t="s">
        <v>28</v>
      </c>
      <c r="D13" s="1">
        <v>35</v>
      </c>
      <c r="E13" s="1">
        <v>40</v>
      </c>
      <c r="F13" s="1">
        <v>45</v>
      </c>
      <c r="G13" s="1">
        <v>50</v>
      </c>
      <c r="H13" s="1">
        <v>50</v>
      </c>
      <c r="I13" s="1">
        <v>30</v>
      </c>
      <c r="J13" s="1">
        <v>35</v>
      </c>
      <c r="K13" s="1">
        <v>55</v>
      </c>
      <c r="L13" s="1">
        <v>50</v>
      </c>
      <c r="M13" s="1">
        <v>25</v>
      </c>
      <c r="N13" s="1">
        <v>70</v>
      </c>
      <c r="O13" s="1">
        <v>60</v>
      </c>
      <c r="P13" s="1">
        <v>65</v>
      </c>
      <c r="Q13" s="1">
        <v>90</v>
      </c>
      <c r="R13" s="1">
        <v>85</v>
      </c>
      <c r="S13" s="1">
        <v>95</v>
      </c>
      <c r="T13" s="1">
        <v>85</v>
      </c>
      <c r="U13" s="1">
        <v>90</v>
      </c>
      <c r="V13" s="1">
        <v>55</v>
      </c>
      <c r="W13" s="1">
        <v>70</v>
      </c>
      <c r="X13" s="1">
        <v>75</v>
      </c>
      <c r="Y13" s="1">
        <v>85</v>
      </c>
      <c r="Z13" s="1">
        <v>60</v>
      </c>
      <c r="AA13" s="1">
        <v>80</v>
      </c>
      <c r="AB13" s="1">
        <v>40</v>
      </c>
      <c r="AC13" s="1">
        <f>AVERAGE(Stats[[#This Row],[STR]:[RISK]])</f>
        <v>60.8</v>
      </c>
    </row>
    <row r="14" spans="1:29" ht="15.6" x14ac:dyDescent="0.3">
      <c r="A14" s="2" t="s">
        <v>53</v>
      </c>
      <c r="B14" s="3" t="s">
        <v>76</v>
      </c>
      <c r="C14" s="2" t="s">
        <v>54</v>
      </c>
      <c r="D14" s="1">
        <v>55</v>
      </c>
      <c r="E14" s="1">
        <v>60</v>
      </c>
      <c r="F14" s="1">
        <v>65</v>
      </c>
      <c r="G14" s="1">
        <v>55</v>
      </c>
      <c r="H14" s="1">
        <v>55</v>
      </c>
      <c r="I14" s="1">
        <v>70</v>
      </c>
      <c r="J14" s="1">
        <v>50</v>
      </c>
      <c r="K14" s="1">
        <v>65</v>
      </c>
      <c r="L14" s="1">
        <v>60</v>
      </c>
      <c r="M14" s="1">
        <v>60</v>
      </c>
      <c r="N14" s="1">
        <v>65</v>
      </c>
      <c r="O14" s="1">
        <v>40</v>
      </c>
      <c r="P14" s="1">
        <v>35</v>
      </c>
      <c r="Q14" s="1">
        <v>75</v>
      </c>
      <c r="R14" s="1">
        <v>70</v>
      </c>
      <c r="S14" s="1">
        <v>65</v>
      </c>
      <c r="T14" s="1">
        <v>70</v>
      </c>
      <c r="U14" s="1">
        <v>55</v>
      </c>
      <c r="V14" s="1">
        <v>70</v>
      </c>
      <c r="W14" s="1">
        <v>60</v>
      </c>
      <c r="X14" s="1">
        <v>60</v>
      </c>
      <c r="Y14" s="1">
        <v>70</v>
      </c>
      <c r="Z14" s="1">
        <v>60</v>
      </c>
      <c r="AA14" s="1">
        <v>65</v>
      </c>
      <c r="AB14" s="1">
        <v>55</v>
      </c>
      <c r="AC14" s="1">
        <f>AVERAGE(Stats[[#This Row],[STR]:[RISK]])</f>
        <v>60.4</v>
      </c>
    </row>
    <row r="15" spans="1:29" ht="15.6" x14ac:dyDescent="0.3">
      <c r="A15" s="2" t="s">
        <v>56</v>
      </c>
      <c r="B15" s="3" t="s">
        <v>78</v>
      </c>
      <c r="C15" s="2" t="s">
        <v>28</v>
      </c>
      <c r="D15" s="1">
        <v>35</v>
      </c>
      <c r="E15" s="1">
        <v>40</v>
      </c>
      <c r="F15" s="1">
        <v>45</v>
      </c>
      <c r="G15" s="1">
        <v>55</v>
      </c>
      <c r="H15" s="1">
        <v>55</v>
      </c>
      <c r="I15" s="1">
        <v>30</v>
      </c>
      <c r="J15" s="1">
        <v>40</v>
      </c>
      <c r="K15" s="1">
        <v>55</v>
      </c>
      <c r="L15" s="1">
        <v>50</v>
      </c>
      <c r="M15" s="1">
        <v>25</v>
      </c>
      <c r="N15" s="1">
        <v>70</v>
      </c>
      <c r="O15" s="1">
        <v>70</v>
      </c>
      <c r="P15" s="1">
        <v>60</v>
      </c>
      <c r="Q15" s="1">
        <v>85</v>
      </c>
      <c r="R15" s="1">
        <v>80</v>
      </c>
      <c r="S15" s="1">
        <v>85</v>
      </c>
      <c r="T15" s="1">
        <v>80</v>
      </c>
      <c r="U15" s="1">
        <v>80</v>
      </c>
      <c r="V15" s="1">
        <v>55</v>
      </c>
      <c r="W15" s="1">
        <v>60</v>
      </c>
      <c r="X15" s="1">
        <v>70</v>
      </c>
      <c r="Y15" s="1">
        <v>80</v>
      </c>
      <c r="Z15" s="1">
        <v>60</v>
      </c>
      <c r="AA15" s="1">
        <v>75</v>
      </c>
      <c r="AB15" s="1">
        <v>35</v>
      </c>
      <c r="AC15" s="1">
        <f>AVERAGE(Stats[[#This Row],[STR]:[RISK]])</f>
        <v>59</v>
      </c>
    </row>
    <row r="16" spans="1:29" ht="15.6" x14ac:dyDescent="0.3">
      <c r="A16" s="2" t="s">
        <v>38</v>
      </c>
      <c r="B16" s="3" t="s">
        <v>64</v>
      </c>
      <c r="C16" s="2" t="s">
        <v>35</v>
      </c>
      <c r="D16" s="1">
        <v>35</v>
      </c>
      <c r="E16" s="1">
        <v>45</v>
      </c>
      <c r="F16" s="1">
        <v>50</v>
      </c>
      <c r="G16" s="1">
        <v>65</v>
      </c>
      <c r="H16" s="1">
        <v>80</v>
      </c>
      <c r="I16" s="1">
        <v>25</v>
      </c>
      <c r="J16" s="1">
        <v>50</v>
      </c>
      <c r="K16" s="1">
        <v>60</v>
      </c>
      <c r="L16" s="1">
        <v>45</v>
      </c>
      <c r="M16" s="1">
        <v>10</v>
      </c>
      <c r="N16" s="1">
        <v>70</v>
      </c>
      <c r="O16" s="1">
        <v>15</v>
      </c>
      <c r="P16" s="1">
        <v>70</v>
      </c>
      <c r="Q16" s="1">
        <v>65</v>
      </c>
      <c r="R16" s="1">
        <v>60</v>
      </c>
      <c r="S16" s="1">
        <v>85</v>
      </c>
      <c r="T16" s="1">
        <v>75</v>
      </c>
      <c r="U16" s="1">
        <v>65</v>
      </c>
      <c r="V16" s="1">
        <v>80</v>
      </c>
      <c r="W16" s="1">
        <v>55</v>
      </c>
      <c r="X16" s="1">
        <v>75</v>
      </c>
      <c r="Y16" s="1">
        <v>85</v>
      </c>
      <c r="Z16" s="1">
        <v>65</v>
      </c>
      <c r="AA16" s="1">
        <v>60</v>
      </c>
      <c r="AB16" s="1">
        <v>70</v>
      </c>
      <c r="AC16" s="1">
        <f>AVERAGE(Stats[[#This Row],[STR]:[RISK]])</f>
        <v>58.4</v>
      </c>
    </row>
    <row r="17" spans="1:29" ht="15.6" x14ac:dyDescent="0.3">
      <c r="A17" s="2" t="s">
        <v>32</v>
      </c>
      <c r="B17" s="3" t="s">
        <v>61</v>
      </c>
      <c r="C17" s="2" t="s">
        <v>33</v>
      </c>
      <c r="D17" s="1">
        <v>40</v>
      </c>
      <c r="E17" s="1">
        <v>60</v>
      </c>
      <c r="F17" s="1">
        <v>70</v>
      </c>
      <c r="G17" s="1">
        <v>55</v>
      </c>
      <c r="H17" s="1">
        <v>50</v>
      </c>
      <c r="I17" s="1">
        <v>55</v>
      </c>
      <c r="J17" s="1">
        <v>40</v>
      </c>
      <c r="K17" s="1">
        <v>65</v>
      </c>
      <c r="L17" s="1">
        <v>65</v>
      </c>
      <c r="M17" s="1">
        <v>45</v>
      </c>
      <c r="N17" s="1">
        <v>70</v>
      </c>
      <c r="O17" s="1">
        <v>60</v>
      </c>
      <c r="P17" s="1">
        <v>55</v>
      </c>
      <c r="Q17" s="1">
        <v>60</v>
      </c>
      <c r="R17" s="1">
        <v>75</v>
      </c>
      <c r="S17" s="1">
        <v>65</v>
      </c>
      <c r="T17" s="1">
        <v>45</v>
      </c>
      <c r="U17" s="1">
        <v>50</v>
      </c>
      <c r="V17" s="1">
        <v>80</v>
      </c>
      <c r="W17" s="1">
        <v>45</v>
      </c>
      <c r="X17" s="1">
        <v>55</v>
      </c>
      <c r="Y17" s="1">
        <v>65</v>
      </c>
      <c r="Z17" s="1">
        <v>55</v>
      </c>
      <c r="AA17" s="1">
        <v>70</v>
      </c>
      <c r="AB17" s="1">
        <v>60</v>
      </c>
      <c r="AC17" s="1">
        <f>AVERAGE(Stats[[#This Row],[STR]:[RISK]])</f>
        <v>58.2</v>
      </c>
    </row>
    <row r="18" spans="1:29" ht="15.6" x14ac:dyDescent="0.3">
      <c r="A18" s="2" t="s">
        <v>43</v>
      </c>
      <c r="B18" s="3" t="s">
        <v>67</v>
      </c>
      <c r="C18" s="2" t="s">
        <v>33</v>
      </c>
      <c r="D18" s="1">
        <v>40</v>
      </c>
      <c r="E18" s="1">
        <v>55</v>
      </c>
      <c r="F18" s="1">
        <v>65</v>
      </c>
      <c r="G18" s="1">
        <v>50</v>
      </c>
      <c r="H18" s="1">
        <v>50</v>
      </c>
      <c r="I18" s="1">
        <v>50</v>
      </c>
      <c r="J18" s="1">
        <v>45</v>
      </c>
      <c r="K18" s="1">
        <v>70</v>
      </c>
      <c r="L18" s="1">
        <v>75</v>
      </c>
      <c r="M18" s="1">
        <v>60</v>
      </c>
      <c r="N18" s="1">
        <v>65</v>
      </c>
      <c r="O18" s="1">
        <v>25</v>
      </c>
      <c r="P18" s="1">
        <v>10</v>
      </c>
      <c r="Q18" s="1">
        <v>80</v>
      </c>
      <c r="R18" s="1">
        <v>75</v>
      </c>
      <c r="S18" s="1">
        <v>90</v>
      </c>
      <c r="T18" s="1">
        <v>80</v>
      </c>
      <c r="U18" s="1">
        <v>65</v>
      </c>
      <c r="V18" s="1">
        <v>45</v>
      </c>
      <c r="W18" s="1">
        <v>35</v>
      </c>
      <c r="X18" s="1">
        <v>55</v>
      </c>
      <c r="Y18" s="1">
        <v>75</v>
      </c>
      <c r="Z18" s="1">
        <v>55</v>
      </c>
      <c r="AA18" s="1">
        <v>60</v>
      </c>
      <c r="AB18" s="1">
        <v>35</v>
      </c>
      <c r="AC18" s="1">
        <f>AVERAGE(Stats[[#This Row],[STR]:[RISK]])</f>
        <v>56.4</v>
      </c>
    </row>
    <row r="19" spans="1:29" ht="15.6" x14ac:dyDescent="0.3">
      <c r="A19" s="2" t="s">
        <v>55</v>
      </c>
      <c r="B19" s="3" t="s">
        <v>77</v>
      </c>
      <c r="C19" s="2" t="s">
        <v>47</v>
      </c>
      <c r="D19" s="1">
        <v>45</v>
      </c>
      <c r="E19" s="1">
        <v>55</v>
      </c>
      <c r="F19" s="1">
        <v>60</v>
      </c>
      <c r="G19" s="1">
        <v>50</v>
      </c>
      <c r="H19" s="1">
        <v>50</v>
      </c>
      <c r="I19" s="1">
        <v>55</v>
      </c>
      <c r="J19" s="1">
        <v>35</v>
      </c>
      <c r="K19" s="1">
        <v>80</v>
      </c>
      <c r="L19" s="1">
        <v>50</v>
      </c>
      <c r="M19" s="1">
        <v>50</v>
      </c>
      <c r="N19" s="1">
        <v>65</v>
      </c>
      <c r="O19" s="1">
        <v>75</v>
      </c>
      <c r="P19" s="1">
        <v>30</v>
      </c>
      <c r="Q19" s="1">
        <v>60</v>
      </c>
      <c r="R19" s="1">
        <v>70</v>
      </c>
      <c r="S19" s="1">
        <v>65</v>
      </c>
      <c r="T19" s="1">
        <v>60</v>
      </c>
      <c r="U19" s="1">
        <v>50</v>
      </c>
      <c r="V19" s="1">
        <v>70</v>
      </c>
      <c r="W19" s="1">
        <v>55</v>
      </c>
      <c r="X19" s="1">
        <v>50</v>
      </c>
      <c r="Y19" s="1">
        <v>60</v>
      </c>
      <c r="Z19" s="1">
        <v>55</v>
      </c>
      <c r="AA19" s="1">
        <v>55</v>
      </c>
      <c r="AB19" s="1">
        <v>45</v>
      </c>
      <c r="AC19" s="1">
        <f>AVERAGE(Stats[[#This Row],[STR]:[RISK]])</f>
        <v>55.8</v>
      </c>
    </row>
    <row r="20" spans="1:29" ht="15.6" x14ac:dyDescent="0.3">
      <c r="A20" s="2" t="s">
        <v>30</v>
      </c>
      <c r="B20" s="3" t="s">
        <v>60</v>
      </c>
      <c r="C20" s="2" t="s">
        <v>31</v>
      </c>
      <c r="D20" s="1">
        <v>35</v>
      </c>
      <c r="E20" s="1">
        <v>40</v>
      </c>
      <c r="F20" s="1">
        <v>45</v>
      </c>
      <c r="G20" s="1">
        <v>45</v>
      </c>
      <c r="H20" s="1">
        <v>45</v>
      </c>
      <c r="I20" s="1">
        <v>25</v>
      </c>
      <c r="J20" s="1">
        <v>60</v>
      </c>
      <c r="K20" s="1">
        <v>50</v>
      </c>
      <c r="L20" s="1">
        <v>70</v>
      </c>
      <c r="M20" s="1">
        <v>20</v>
      </c>
      <c r="N20" s="1">
        <v>65</v>
      </c>
      <c r="O20" s="1">
        <v>80</v>
      </c>
      <c r="P20" s="1">
        <v>30</v>
      </c>
      <c r="Q20" s="1">
        <v>85</v>
      </c>
      <c r="R20" s="1">
        <v>75</v>
      </c>
      <c r="S20" s="1">
        <v>95</v>
      </c>
      <c r="T20" s="1">
        <v>70</v>
      </c>
      <c r="U20" s="1">
        <v>65</v>
      </c>
      <c r="V20" s="1">
        <v>40</v>
      </c>
      <c r="W20" s="1">
        <v>35</v>
      </c>
      <c r="X20" s="1">
        <v>80</v>
      </c>
      <c r="Y20" s="1">
        <v>60</v>
      </c>
      <c r="Z20" s="1">
        <v>50</v>
      </c>
      <c r="AA20" s="1">
        <v>70</v>
      </c>
      <c r="AB20" s="1">
        <v>55</v>
      </c>
      <c r="AC20" s="1">
        <f>AVERAGE(Stats[[#This Row],[STR]:[RISK]])</f>
        <v>55.6</v>
      </c>
    </row>
    <row r="21" spans="1:29" ht="15.6" x14ac:dyDescent="0.3">
      <c r="A21" s="2" t="s">
        <v>44</v>
      </c>
      <c r="B21" s="3" t="s">
        <v>68</v>
      </c>
      <c r="C21" s="2" t="s">
        <v>33</v>
      </c>
      <c r="D21" s="1">
        <v>40</v>
      </c>
      <c r="E21" s="1">
        <v>50</v>
      </c>
      <c r="F21" s="1">
        <v>55</v>
      </c>
      <c r="G21" s="1">
        <v>50</v>
      </c>
      <c r="H21" s="1">
        <v>50</v>
      </c>
      <c r="I21" s="1">
        <v>60</v>
      </c>
      <c r="J21" s="1">
        <v>35</v>
      </c>
      <c r="K21" s="1">
        <v>75</v>
      </c>
      <c r="L21" s="1">
        <v>45</v>
      </c>
      <c r="M21" s="1">
        <v>40</v>
      </c>
      <c r="N21" s="1">
        <v>65</v>
      </c>
      <c r="O21" s="1">
        <v>70</v>
      </c>
      <c r="P21" s="1">
        <v>55</v>
      </c>
      <c r="Q21" s="1">
        <v>55</v>
      </c>
      <c r="R21" s="1">
        <v>50</v>
      </c>
      <c r="S21" s="1">
        <v>60</v>
      </c>
      <c r="T21" s="1">
        <v>55</v>
      </c>
      <c r="U21" s="1">
        <v>45</v>
      </c>
      <c r="V21" s="1">
        <v>80</v>
      </c>
      <c r="W21" s="1">
        <v>50</v>
      </c>
      <c r="X21" s="1">
        <v>55</v>
      </c>
      <c r="Y21" s="1">
        <v>65</v>
      </c>
      <c r="Z21" s="1">
        <v>55</v>
      </c>
      <c r="AA21" s="1">
        <v>50</v>
      </c>
      <c r="AB21" s="1">
        <v>40</v>
      </c>
      <c r="AC21" s="1">
        <f>AVERAGE(Stats[[#This Row],[STR]:[RISK]])</f>
        <v>54</v>
      </c>
    </row>
    <row r="22" spans="1:29" ht="15.6" x14ac:dyDescent="0.3">
      <c r="A22" s="2" t="s">
        <v>46</v>
      </c>
      <c r="B22" s="3" t="s">
        <v>70</v>
      </c>
      <c r="C22" s="2" t="s">
        <v>47</v>
      </c>
      <c r="D22" s="1">
        <v>40</v>
      </c>
      <c r="E22" s="1">
        <v>55</v>
      </c>
      <c r="F22" s="1">
        <v>60</v>
      </c>
      <c r="G22" s="1">
        <v>50</v>
      </c>
      <c r="H22" s="1">
        <v>50</v>
      </c>
      <c r="I22" s="1">
        <v>45</v>
      </c>
      <c r="J22" s="1">
        <v>30</v>
      </c>
      <c r="K22" s="1">
        <v>50</v>
      </c>
      <c r="L22" s="1">
        <v>55</v>
      </c>
      <c r="M22" s="1">
        <v>35</v>
      </c>
      <c r="N22" s="1">
        <v>70</v>
      </c>
      <c r="O22" s="1">
        <v>50</v>
      </c>
      <c r="P22" s="1">
        <v>65</v>
      </c>
      <c r="Q22" s="1">
        <v>65</v>
      </c>
      <c r="R22" s="1">
        <v>75</v>
      </c>
      <c r="S22" s="1">
        <v>55</v>
      </c>
      <c r="T22" s="1">
        <v>45</v>
      </c>
      <c r="U22" s="1">
        <v>50</v>
      </c>
      <c r="V22" s="1">
        <v>60</v>
      </c>
      <c r="W22" s="1">
        <v>35</v>
      </c>
      <c r="X22" s="1">
        <v>45</v>
      </c>
      <c r="Y22" s="1">
        <v>55</v>
      </c>
      <c r="Z22" s="1">
        <v>55</v>
      </c>
      <c r="AA22" s="1">
        <v>65</v>
      </c>
      <c r="AB22" s="1">
        <v>70</v>
      </c>
      <c r="AC22" s="1">
        <f>AVERAGE(Stats[[#This Row],[STR]:[RISK]])</f>
        <v>53.2</v>
      </c>
    </row>
  </sheetData>
  <conditionalFormatting sqref="D2:AB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2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BF0C7-F78A-4F07-B4C1-4517614D3D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2026-04-28T08:02:41Z</dcterms:created>
  <dcterms:modified xsi:type="dcterms:W3CDTF">2026-04-28T08:20:48Z</dcterms:modified>
</cp:coreProperties>
</file>