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gion\OneDrive\Documents\New folder\HPHM\Character Sheet\"/>
    </mc:Choice>
  </mc:AlternateContent>
  <xr:revisionPtr revIDLastSave="0" documentId="13_ncr:1_{6C012207-D2A3-4DD7-970A-D73B82E85A71}" xr6:coauthVersionLast="47" xr6:coauthVersionMax="47" xr10:uidLastSave="{00000000-0000-0000-0000-000000000000}"/>
  <bookViews>
    <workbookView xWindow="-528" yWindow="1020" windowWidth="12288" windowHeight="10896" tabRatio="500" xr2:uid="{00000000-000D-0000-FFFF-FFFF00000000}"/>
  </bookViews>
  <sheets>
    <sheet name="Characters" sheetId="1" r:id="rId1"/>
    <sheet name="Condition Glossary" sheetId="2" r:id="rId2"/>
  </sheets>
  <definedNames>
    <definedName name="ExternalData_1" localSheetId="0" hidden="1">'Characters'!$A$1:$N$41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9" i="1" l="1" a="1"/>
  <c r="O39" i="1" s="1"/>
  <c r="V39" i="1" s="1" a="1"/>
  <c r="V39" i="1" s="1"/>
  <c r="O24" i="1" a="1"/>
  <c r="O24" i="1" s="1"/>
  <c r="V24" i="1" s="1" a="1"/>
  <c r="V24" i="1" s="1"/>
  <c r="O9" i="1" a="1"/>
  <c r="O9" i="1" s="1"/>
  <c r="V9" i="1" s="1" a="1"/>
  <c r="V9" i="1" s="1"/>
  <c r="O15" i="1" a="1"/>
  <c r="O15" i="1" s="1"/>
  <c r="S15" i="1" s="1"/>
  <c r="O41" i="1" a="1"/>
  <c r="O41" i="1" s="1"/>
  <c r="V41" i="1" s="1" a="1"/>
  <c r="V41" i="1" s="1"/>
  <c r="O11" i="1" a="1"/>
  <c r="O11" i="1" s="1"/>
  <c r="V11" i="1" s="1" a="1"/>
  <c r="V11" i="1" s="1"/>
  <c r="O2" i="1" a="1"/>
  <c r="O2" i="1" s="1"/>
  <c r="V2" i="1" s="1" a="1"/>
  <c r="V2" i="1" s="1"/>
  <c r="O23" i="1" a="1"/>
  <c r="O23" i="1" s="1"/>
  <c r="S23" i="1" s="1"/>
  <c r="O38" i="1" a="1"/>
  <c r="O38" i="1" s="1"/>
  <c r="S38" i="1" s="1"/>
  <c r="O17" i="1" a="1"/>
  <c r="O17" i="1" s="1"/>
  <c r="V17" i="1" s="1" a="1"/>
  <c r="V17" i="1" s="1"/>
  <c r="O19" i="1" a="1"/>
  <c r="O19" i="1" s="1"/>
  <c r="P19" i="1" s="1"/>
  <c r="O30" i="1" a="1"/>
  <c r="O30" i="1" s="1"/>
  <c r="S30" i="1" s="1"/>
  <c r="O4" i="1" a="1"/>
  <c r="O4" i="1" s="1"/>
  <c r="S4" i="1" s="1"/>
  <c r="O33" i="1" a="1"/>
  <c r="O33" i="1" s="1"/>
  <c r="V33" i="1" s="1" a="1"/>
  <c r="V33" i="1" s="1"/>
  <c r="O13" i="1" a="1"/>
  <c r="O13" i="1" s="1"/>
  <c r="V13" i="1" s="1" a="1"/>
  <c r="V13" i="1" s="1"/>
  <c r="O18" i="1" a="1"/>
  <c r="O18" i="1" s="1"/>
  <c r="V18" i="1" s="1" a="1"/>
  <c r="V18" i="1" s="1"/>
  <c r="O25" i="1" a="1"/>
  <c r="O25" i="1" s="1"/>
  <c r="V25" i="1" s="1" a="1"/>
  <c r="V25" i="1" s="1"/>
  <c r="O20" i="1" a="1"/>
  <c r="O20" i="1" s="1"/>
  <c r="P20" i="1" s="1"/>
  <c r="O34" i="1" a="1"/>
  <c r="O34" i="1" s="1"/>
  <c r="V34" i="1" s="1" a="1"/>
  <c r="V34" i="1" s="1"/>
  <c r="O36" i="1" a="1"/>
  <c r="O36" i="1" s="1"/>
  <c r="P36" i="1" s="1"/>
  <c r="O28" i="1" a="1"/>
  <c r="O28" i="1" s="1"/>
  <c r="V28" i="1" s="1" a="1"/>
  <c r="V28" i="1" s="1"/>
  <c r="O35" i="1" a="1"/>
  <c r="O35" i="1" s="1"/>
  <c r="V35" i="1" s="1" a="1"/>
  <c r="V35" i="1" s="1"/>
  <c r="O14" i="1" a="1"/>
  <c r="O14" i="1" s="1"/>
  <c r="S14" i="1" s="1"/>
  <c r="O22" i="1" a="1"/>
  <c r="O22" i="1" s="1"/>
  <c r="S22" i="1" s="1"/>
  <c r="O5" i="1" a="1"/>
  <c r="O5" i="1" s="1"/>
  <c r="V5" i="1" s="1" a="1"/>
  <c r="V5" i="1" s="1"/>
  <c r="O40" i="1" a="1"/>
  <c r="O40" i="1" s="1"/>
  <c r="V40" i="1" s="1" a="1"/>
  <c r="V40" i="1" s="1"/>
  <c r="O21" i="1" a="1"/>
  <c r="O21" i="1" s="1"/>
  <c r="V21" i="1" s="1" a="1"/>
  <c r="V21" i="1" s="1"/>
  <c r="O7" i="1" a="1"/>
  <c r="O7" i="1" s="1"/>
  <c r="S7" i="1" s="1"/>
  <c r="O6" i="1" a="1"/>
  <c r="O6" i="1" s="1"/>
  <c r="S6" i="1" s="1"/>
  <c r="O8" i="1" a="1"/>
  <c r="O8" i="1" s="1"/>
  <c r="V8" i="1" s="1" a="1"/>
  <c r="V8" i="1" s="1"/>
  <c r="O16" i="1" a="1"/>
  <c r="O16" i="1" s="1"/>
  <c r="V16" i="1" s="1" a="1"/>
  <c r="V16" i="1" s="1"/>
  <c r="O26" i="1" a="1"/>
  <c r="O26" i="1" s="1"/>
  <c r="V26" i="1" s="1" a="1"/>
  <c r="V26" i="1" s="1"/>
  <c r="O27" i="1" a="1"/>
  <c r="O27" i="1" s="1"/>
  <c r="P27" i="1" s="1"/>
  <c r="O10" i="1" a="1"/>
  <c r="O10" i="1" s="1"/>
  <c r="V10" i="1" s="1" a="1"/>
  <c r="V10" i="1" s="1"/>
  <c r="O31" i="1" a="1"/>
  <c r="O31" i="1" s="1"/>
  <c r="V31" i="1" s="1" a="1"/>
  <c r="V31" i="1" s="1"/>
  <c r="O32" i="1" a="1"/>
  <c r="O32" i="1" s="1"/>
  <c r="V32" i="1" s="1" a="1"/>
  <c r="V32" i="1" s="1"/>
  <c r="O12" i="1" a="1"/>
  <c r="O12" i="1" s="1"/>
  <c r="P12" i="1" s="1"/>
  <c r="O29" i="1" a="1"/>
  <c r="O29" i="1" s="1"/>
  <c r="V29" i="1" s="1" a="1"/>
  <c r="V29" i="1" s="1"/>
  <c r="O37" i="1" a="1"/>
  <c r="O37" i="1" s="1"/>
  <c r="V37" i="1" s="1" a="1"/>
  <c r="V37" i="1" s="1"/>
  <c r="O3" i="1" a="1"/>
  <c r="O3" i="1" s="1"/>
  <c r="V3" i="1" s="1" a="1"/>
  <c r="V3" i="1" s="1"/>
  <c r="R16" i="1"/>
  <c r="U41" i="1"/>
  <c r="R41" i="1"/>
  <c r="Q41" i="1"/>
  <c r="U40" i="1"/>
  <c r="R40" i="1"/>
  <c r="Q40" i="1"/>
  <c r="U39" i="1"/>
  <c r="R39" i="1"/>
  <c r="Q39" i="1"/>
  <c r="U38" i="1"/>
  <c r="R38" i="1"/>
  <c r="Q38" i="1"/>
  <c r="U37" i="1"/>
  <c r="R37" i="1"/>
  <c r="Q37" i="1"/>
  <c r="U36" i="1"/>
  <c r="R36" i="1"/>
  <c r="Q36" i="1"/>
  <c r="U35" i="1"/>
  <c r="R35" i="1"/>
  <c r="Q35" i="1"/>
  <c r="U34" i="1"/>
  <c r="R34" i="1"/>
  <c r="Q34" i="1"/>
  <c r="U33" i="1"/>
  <c r="R33" i="1"/>
  <c r="Q33" i="1"/>
  <c r="U32" i="1"/>
  <c r="R32" i="1"/>
  <c r="Q32" i="1"/>
  <c r="U31" i="1"/>
  <c r="R31" i="1"/>
  <c r="Q31" i="1"/>
  <c r="U30" i="1"/>
  <c r="R30" i="1"/>
  <c r="Q30" i="1"/>
  <c r="U29" i="1"/>
  <c r="R29" i="1"/>
  <c r="Q29" i="1"/>
  <c r="U28" i="1"/>
  <c r="R28" i="1"/>
  <c r="Q28" i="1"/>
  <c r="U27" i="1"/>
  <c r="R27" i="1"/>
  <c r="Q27" i="1"/>
  <c r="U26" i="1"/>
  <c r="R26" i="1"/>
  <c r="Q26" i="1"/>
  <c r="U25" i="1"/>
  <c r="R25" i="1"/>
  <c r="Q25" i="1"/>
  <c r="U24" i="1"/>
  <c r="R24" i="1"/>
  <c r="Q24" i="1"/>
  <c r="U23" i="1"/>
  <c r="R23" i="1"/>
  <c r="Q23" i="1"/>
  <c r="U22" i="1"/>
  <c r="R22" i="1"/>
  <c r="Q22" i="1"/>
  <c r="U21" i="1"/>
  <c r="R21" i="1"/>
  <c r="Q21" i="1"/>
  <c r="U20" i="1"/>
  <c r="R20" i="1"/>
  <c r="Q20" i="1"/>
  <c r="U19" i="1"/>
  <c r="R19" i="1"/>
  <c r="Q19" i="1"/>
  <c r="U18" i="1"/>
  <c r="R18" i="1"/>
  <c r="Q18" i="1"/>
  <c r="U17" i="1"/>
  <c r="R17" i="1"/>
  <c r="Q17" i="1"/>
  <c r="U16" i="1"/>
  <c r="Q16" i="1"/>
  <c r="U15" i="1"/>
  <c r="R15" i="1"/>
  <c r="Q15" i="1"/>
  <c r="U14" i="1"/>
  <c r="R14" i="1"/>
  <c r="Q14" i="1"/>
  <c r="U13" i="1"/>
  <c r="R13" i="1"/>
  <c r="Q13" i="1"/>
  <c r="U12" i="1"/>
  <c r="R12" i="1"/>
  <c r="Q12" i="1"/>
  <c r="U11" i="1"/>
  <c r="R11" i="1"/>
  <c r="Q11" i="1"/>
  <c r="U10" i="1"/>
  <c r="R10" i="1"/>
  <c r="Q10" i="1"/>
  <c r="U9" i="1"/>
  <c r="R9" i="1"/>
  <c r="Q9" i="1"/>
  <c r="U8" i="1"/>
  <c r="R8" i="1"/>
  <c r="Q8" i="1"/>
  <c r="U7" i="1"/>
  <c r="R7" i="1"/>
  <c r="Q7" i="1"/>
  <c r="U6" i="1"/>
  <c r="R6" i="1"/>
  <c r="Q6" i="1"/>
  <c r="U5" i="1"/>
  <c r="R5" i="1"/>
  <c r="Q5" i="1"/>
  <c r="U4" i="1"/>
  <c r="R4" i="1"/>
  <c r="Q4" i="1"/>
  <c r="U3" i="1"/>
  <c r="R3" i="1"/>
  <c r="Q3" i="1"/>
  <c r="U2" i="1"/>
  <c r="R2" i="1"/>
  <c r="Q2" i="1"/>
  <c r="V27" i="1" l="1" a="1"/>
  <c r="V27" i="1" s="1"/>
  <c r="V14" i="1" a="1"/>
  <c r="V14" i="1" s="1"/>
  <c r="V12" i="1" a="1"/>
  <c r="V12" i="1" s="1"/>
  <c r="V15" i="1" a="1"/>
  <c r="V15" i="1" s="1"/>
  <c r="V38" i="1" a="1"/>
  <c r="V38" i="1" s="1"/>
  <c r="V23" i="1" a="1"/>
  <c r="V23" i="1" s="1"/>
  <c r="V36" i="1" a="1"/>
  <c r="V36" i="1" s="1"/>
  <c r="V22" i="1" a="1"/>
  <c r="V22" i="1" s="1"/>
  <c r="V7" i="1" a="1"/>
  <c r="V7" i="1" s="1"/>
  <c r="V20" i="1" a="1"/>
  <c r="V20" i="1" s="1"/>
  <c r="V6" i="1" a="1"/>
  <c r="V6" i="1" s="1"/>
  <c r="V19" i="1" a="1"/>
  <c r="V19" i="1" s="1"/>
  <c r="V4" i="1" a="1"/>
  <c r="V4" i="1" s="1"/>
  <c r="V30" i="1" a="1"/>
  <c r="V30" i="1" s="1"/>
  <c r="P28" i="1"/>
  <c r="S31" i="1"/>
  <c r="P24" i="1"/>
  <c r="P35" i="1"/>
  <c r="S35" i="1"/>
  <c r="P32" i="1"/>
  <c r="S3" i="1"/>
  <c r="S11" i="1"/>
  <c r="S8" i="1"/>
  <c r="S27" i="1"/>
  <c r="T27" i="1" s="1"/>
  <c r="P8" i="1"/>
  <c r="P16" i="1"/>
  <c r="S19" i="1"/>
  <c r="T19" i="1" s="1"/>
  <c r="P4" i="1"/>
  <c r="T4" i="1" s="1"/>
  <c r="P29" i="1"/>
  <c r="S29" i="1"/>
  <c r="P21" i="1"/>
  <c r="S21" i="1"/>
  <c r="S37" i="1"/>
  <c r="P37" i="1"/>
  <c r="S33" i="1"/>
  <c r="P33" i="1"/>
  <c r="S9" i="1"/>
  <c r="P9" i="1"/>
  <c r="S41" i="1"/>
  <c r="P41" i="1"/>
  <c r="S13" i="1"/>
  <c r="P13" i="1"/>
  <c r="S25" i="1"/>
  <c r="P25" i="1"/>
  <c r="S17" i="1"/>
  <c r="P17" i="1"/>
  <c r="S5" i="1"/>
  <c r="P5" i="1"/>
  <c r="P40" i="1"/>
  <c r="S40" i="1"/>
  <c r="S16" i="1"/>
  <c r="P2" i="1"/>
  <c r="P10" i="1"/>
  <c r="P26" i="1"/>
  <c r="P34" i="1"/>
  <c r="S32" i="1"/>
  <c r="P18" i="1"/>
  <c r="P7" i="1"/>
  <c r="T7" i="1" s="1"/>
  <c r="P15" i="1"/>
  <c r="T15" i="1" s="1"/>
  <c r="P23" i="1"/>
  <c r="T23" i="1" s="1"/>
  <c r="P31" i="1"/>
  <c r="P39" i="1"/>
  <c r="S24" i="1"/>
  <c r="S2" i="1"/>
  <c r="S10" i="1"/>
  <c r="S18" i="1"/>
  <c r="S26" i="1"/>
  <c r="S34" i="1"/>
  <c r="S39" i="1"/>
  <c r="S12" i="1"/>
  <c r="T12" i="1" s="1"/>
  <c r="S20" i="1"/>
  <c r="T20" i="1" s="1"/>
  <c r="S28" i="1"/>
  <c r="S36" i="1"/>
  <c r="T36" i="1" s="1"/>
  <c r="P14" i="1"/>
  <c r="T14" i="1" s="1"/>
  <c r="P22" i="1"/>
  <c r="T22" i="1" s="1"/>
  <c r="P30" i="1"/>
  <c r="T30" i="1" s="1"/>
  <c r="P38" i="1"/>
  <c r="T38" i="1" s="1"/>
  <c r="P3" i="1"/>
  <c r="P11" i="1"/>
  <c r="P6" i="1"/>
  <c r="T6" i="1" s="1"/>
  <c r="T31" i="1" l="1"/>
  <c r="T33" i="1"/>
  <c r="T5" i="1"/>
  <c r="T37" i="1"/>
  <c r="T35" i="1"/>
  <c r="T17" i="1"/>
  <c r="T10" i="1"/>
  <c r="T11" i="1"/>
  <c r="T18" i="1"/>
  <c r="T41" i="1"/>
  <c r="T34" i="1"/>
  <c r="T2" i="1"/>
  <c r="T3" i="1"/>
  <c r="T9" i="1"/>
  <c r="T28" i="1"/>
  <c r="T13" i="1"/>
  <c r="T21" i="1"/>
  <c r="T32" i="1"/>
  <c r="T40" i="1"/>
  <c r="T16" i="1"/>
  <c r="T29" i="1"/>
  <c r="T25" i="1"/>
  <c r="T8" i="1"/>
  <c r="T26" i="1"/>
  <c r="T39" i="1"/>
  <c r="T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<sst xmlns="http://schemas.openxmlformats.org/spreadsheetml/2006/main" count="599" uniqueCount="251">
  <si>
    <t>Name</t>
  </si>
  <si>
    <t>Pronouns</t>
  </si>
  <si>
    <t>Troupe</t>
  </si>
  <si>
    <t>Height (cm)</t>
  </si>
  <si>
    <t>Group</t>
  </si>
  <si>
    <t>Element</t>
  </si>
  <si>
    <t>Aspect</t>
  </si>
  <si>
    <t>MBTI</t>
  </si>
  <si>
    <t>MBTI Family</t>
  </si>
  <si>
    <t>Role</t>
  </si>
  <si>
    <t>Power</t>
  </si>
  <si>
    <t>Control</t>
  </si>
  <si>
    <t>Support</t>
  </si>
  <si>
    <t>Speed</t>
  </si>
  <si>
    <t>Defense</t>
  </si>
  <si>
    <t>Playstyle</t>
  </si>
  <si>
    <t>HP</t>
  </si>
  <si>
    <t>Endurance</t>
  </si>
  <si>
    <t>Technique</t>
  </si>
  <si>
    <t>Resilience</t>
  </si>
  <si>
    <t>Range</t>
  </si>
  <si>
    <t>Total</t>
  </si>
  <si>
    <t>Addison Hart</t>
  </si>
  <si>
    <t>she/her</t>
  </si>
  <si>
    <t>Velvet Chainsaw</t>
  </si>
  <si>
    <t>Shadow</t>
  </si>
  <si>
    <t>Calm</t>
  </si>
  <si>
    <t>INFP</t>
  </si>
  <si>
    <t>Diplomat</t>
  </si>
  <si>
    <t>Akane Kazumi</t>
  </si>
  <si>
    <t>they/them</t>
  </si>
  <si>
    <t>Atomic Lullaby</t>
  </si>
  <si>
    <t>Fire</t>
  </si>
  <si>
    <t>Storm</t>
  </si>
  <si>
    <t>ENTP</t>
  </si>
  <si>
    <t>Analyst</t>
  </si>
  <si>
    <t>Attacker</t>
  </si>
  <si>
    <t>Akari Fujisaki</t>
  </si>
  <si>
    <t>Light</t>
  </si>
  <si>
    <t>Soul</t>
  </si>
  <si>
    <t>Akina Masayuki</t>
  </si>
  <si>
    <t>Ghost Fountain</t>
  </si>
  <si>
    <t>Water</t>
  </si>
  <si>
    <t>Silent</t>
  </si>
  <si>
    <t>ISFP</t>
  </si>
  <si>
    <t>Explorer</t>
  </si>
  <si>
    <t>Disruptor</t>
  </si>
  <si>
    <t>Ana Crosby</t>
  </si>
  <si>
    <t>Rust Parade</t>
  </si>
  <si>
    <t>Decay</t>
  </si>
  <si>
    <t>ENFJ</t>
  </si>
  <si>
    <t>Asuka Yoshida</t>
  </si>
  <si>
    <t>Static Crown</t>
  </si>
  <si>
    <t>Forge</t>
  </si>
  <si>
    <t>ISTJ</t>
  </si>
  <si>
    <t>Sentinel</t>
  </si>
  <si>
    <t>Charlotte Ellis</t>
  </si>
  <si>
    <t>Echo</t>
  </si>
  <si>
    <t>INTP</t>
  </si>
  <si>
    <t>Chiyo Funai</t>
  </si>
  <si>
    <t>Glitch Garden</t>
  </si>
  <si>
    <t>Metal</t>
  </si>
  <si>
    <t>Tank</t>
  </si>
  <si>
    <t>Cindy Bentley</t>
  </si>
  <si>
    <t>Neon Graveyard</t>
  </si>
  <si>
    <t>Bloom</t>
  </si>
  <si>
    <t>ESFJ</t>
  </si>
  <si>
    <t>Claudia Bailey</t>
  </si>
  <si>
    <t>Nature</t>
  </si>
  <si>
    <t>ISFJ</t>
  </si>
  <si>
    <t>Emily Caddel</t>
  </si>
  <si>
    <t>ENFP</t>
  </si>
  <si>
    <t>Eri Fujino</t>
  </si>
  <si>
    <t>Fuyuko Kurihara</t>
  </si>
  <si>
    <t>Ice</t>
  </si>
  <si>
    <t>INFJ</t>
  </si>
  <si>
    <t>Gillian Wiley</t>
  </si>
  <si>
    <t>she/they</t>
  </si>
  <si>
    <t>ENTJ</t>
  </si>
  <si>
    <t>Hayami Amamiya</t>
  </si>
  <si>
    <t>Lightning</t>
  </si>
  <si>
    <t>ISTP</t>
  </si>
  <si>
    <t>Hibiki Masami</t>
  </si>
  <si>
    <t>Himari Kobayashi</t>
  </si>
  <si>
    <t>Himiko Nakayama</t>
  </si>
  <si>
    <t>Earth</t>
  </si>
  <si>
    <t>Crest</t>
  </si>
  <si>
    <t>Hiromi Masaki</t>
  </si>
  <si>
    <t>Aether</t>
  </si>
  <si>
    <t>INTJ</t>
  </si>
  <si>
    <t>Kamiko Handa</t>
  </si>
  <si>
    <t>ESFP</t>
  </si>
  <si>
    <t>Katie Olson</t>
  </si>
  <si>
    <t>Air</t>
  </si>
  <si>
    <t>Kirumi Suzuki</t>
  </si>
  <si>
    <t>Koharu Ishii</t>
  </si>
  <si>
    <t>ESTJ</t>
  </si>
  <si>
    <t>Lily Raven</t>
  </si>
  <si>
    <t>Maia Park</t>
  </si>
  <si>
    <t>Maki Shigeno</t>
  </si>
  <si>
    <t>Mayumi Sasaki</t>
  </si>
  <si>
    <t>Mica Dwyer</t>
  </si>
  <si>
    <t>Fury</t>
  </si>
  <si>
    <t>Mieko Ozawa</t>
  </si>
  <si>
    <t>Miki Naoki</t>
  </si>
  <si>
    <t>ESTP</t>
  </si>
  <si>
    <t>Mitsuki Nakamura</t>
  </si>
  <si>
    <t>Natsume Uemura</t>
  </si>
  <si>
    <t>Paula Lopez</t>
  </si>
  <si>
    <t>Reiko Adachi</t>
  </si>
  <si>
    <t>Sakae Izumi</t>
  </si>
  <si>
    <t>Shaye Kaylen</t>
  </si>
  <si>
    <t>Shiina Ishioka</t>
  </si>
  <si>
    <t>Shizuka Aikawa</t>
  </si>
  <si>
    <t>Sonia Spade</t>
  </si>
  <si>
    <t>Theresa Felix</t>
  </si>
  <si>
    <t>Boundless</t>
  </si>
  <si>
    <t>Inflict</t>
  </si>
  <si>
    <t>Drain, Haze, Blind</t>
  </si>
  <si>
    <t>Burn, Corrode, Blind</t>
  </si>
  <si>
    <t>Blind, Drain, Haze</t>
  </si>
  <si>
    <t>Soak, Corrode, Chill</t>
  </si>
  <si>
    <t>Burn, Corrode, Drain</t>
  </si>
  <si>
    <t>Blind, Corrode, Burn</t>
  </si>
  <si>
    <t>Burn, Blind, Haze</t>
  </si>
  <si>
    <t>Fracture, Corrode, Anchor</t>
  </si>
  <si>
    <t>Burn, Blind, Soak</t>
  </si>
  <si>
    <t>Wither, Bloom, Root</t>
  </si>
  <si>
    <t>Blind, Burn, Haze</t>
  </si>
  <si>
    <t>Drain, Haze, Corrode</t>
  </si>
  <si>
    <t>Freeze, Chill, Corrode</t>
  </si>
  <si>
    <t>Fracture, Expose, Anchor</t>
  </si>
  <si>
    <t>Overload, Stagger, Rupture</t>
  </si>
  <si>
    <t>Soak, Chill, Drain</t>
  </si>
  <si>
    <t>Root, Fortify, Anchor</t>
  </si>
  <si>
    <t>Resonate, Expose, Fracture</t>
  </si>
  <si>
    <t>Blind, Haze, Drain</t>
  </si>
  <si>
    <t>Silence, Stagger, Nullify</t>
  </si>
  <si>
    <t>Soak, Drain, Chill</t>
  </si>
  <si>
    <t>Root, Anchor, Fortify</t>
  </si>
  <si>
    <t>Soak, Chill, Haze</t>
  </si>
  <si>
    <t>Blind, Haze, Soak</t>
  </si>
  <si>
    <t>Burn, Drain, Haze</t>
  </si>
  <si>
    <t>Freeze, Chill, Haze</t>
  </si>
  <si>
    <t>Burn, Corrode, Haze</t>
  </si>
  <si>
    <t>Burn, Haze, Drain</t>
  </si>
  <si>
    <t>Soak, Chill, Corrode</t>
  </si>
  <si>
    <t>Resonate, Fracture, Expose</t>
  </si>
  <si>
    <t>Wither, Bloom, Soak</t>
  </si>
  <si>
    <t>Freeze, Chill, Blind</t>
  </si>
  <si>
    <t>Blind, Haze, Corrode</t>
  </si>
  <si>
    <t>Resonate, Anchor, Fracture</t>
  </si>
  <si>
    <t>Drain, Corrode, Haze</t>
  </si>
  <si>
    <t>Root, Anchor, Expose</t>
  </si>
  <si>
    <t>Resist</t>
  </si>
  <si>
    <t>Blind, Corrode</t>
  </si>
  <si>
    <t>Chill, Freeze</t>
  </si>
  <si>
    <t>Haze, Corrode</t>
  </si>
  <si>
    <t>Burn, Blind</t>
  </si>
  <si>
    <t>Chill, Soak</t>
  </si>
  <si>
    <t>Haze, Freeze</t>
  </si>
  <si>
    <t>Freeze, Root</t>
  </si>
  <si>
    <t>Chill, Drain</t>
  </si>
  <si>
    <t>Drain, Corrode</t>
  </si>
  <si>
    <t>Haze, Drain</t>
  </si>
  <si>
    <t>Blind, Burn</t>
  </si>
  <si>
    <t>Burn, Drain</t>
  </si>
  <si>
    <t>Freeze, Drain</t>
  </si>
  <si>
    <t>Soak, Freeze</t>
  </si>
  <si>
    <t>Blind, Freeze</t>
  </si>
  <si>
    <t>Burn, Corrode</t>
  </si>
  <si>
    <t>Fracture, Wither</t>
  </si>
  <si>
    <t>Nullify, Drain</t>
  </si>
  <si>
    <t>Root, Soak</t>
  </si>
  <si>
    <t>Burn, Haze</t>
  </si>
  <si>
    <t>Fracture, Soak</t>
  </si>
  <si>
    <t>Chill, Blind</t>
  </si>
  <si>
    <t>Chill, Corrode</t>
  </si>
  <si>
    <t>Nullify, Blind</t>
  </si>
  <si>
    <t>Drain, Haze</t>
  </si>
  <si>
    <t>Burn, Soak</t>
  </si>
  <si>
    <t>Haze, Burn</t>
  </si>
  <si>
    <t>Nullify, Corrode</t>
  </si>
  <si>
    <t>Fracture, Drain</t>
  </si>
  <si>
    <t>Immune</t>
  </si>
  <si>
    <t>Drain</t>
  </si>
  <si>
    <t>Burn</t>
  </si>
  <si>
    <t>Blind</t>
  </si>
  <si>
    <t>Soak</t>
  </si>
  <si>
    <t>Fracture</t>
  </si>
  <si>
    <t>Wither</t>
  </si>
  <si>
    <t>Freeze</t>
  </si>
  <si>
    <t>Overload</t>
  </si>
  <si>
    <t>Root</t>
  </si>
  <si>
    <t>Resonate</t>
  </si>
  <si>
    <t>Silence</t>
  </si>
  <si>
    <t>CONDITION GLOSSARY — DARK NOVA SQUAD</t>
  </si>
  <si>
    <t>Condition</t>
  </si>
  <si>
    <t>Tier</t>
  </si>
  <si>
    <t>Effect</t>
  </si>
  <si>
    <t>Exclusive To</t>
  </si>
  <si>
    <t>⬡  COMMON CONDITIONS</t>
  </si>
  <si>
    <t>Common</t>
  </si>
  <si>
    <t>Deals continuous damage over time. Straightforward, widely known, easily cleansed. The most common condition in the roster — almost every Fire character inflicts it.</t>
  </si>
  <si>
    <t>—</t>
  </si>
  <si>
    <t>Chill</t>
  </si>
  <si>
    <t>Slightly reduces the target's Speed and reaction time. Mild and temporary on its own, but stacks directly into Freeze — a Chilled target freezes faster and for longer.</t>
  </si>
  <si>
    <t>Locks the target in place for a short duration. Stronger than Chill. Targets already afflicted with Chill or Soak freeze significantly faster and stay frozen longer.</t>
  </si>
  <si>
    <t>Drenches the target, amplifying incoming Chill and Freeze effects while weakening Fire-based defenses. Deals no damage on its own — purely a condition amplifier.</t>
  </si>
  <si>
    <t>Distorts the target's perception, degrading accuracy and spatial awareness. Doesn't stop movement, but precision-based attacks and techniques become unreliable.</t>
  </si>
  <si>
    <t>Haze</t>
  </si>
  <si>
    <t>Clouds the target's judgment, slowing decision-making and dulling reaction speed. Less about the body, more about the mind — and harder to shake than Blind.</t>
  </si>
  <si>
    <t>Corrode</t>
  </si>
  <si>
    <t>Degrades the target's Defense stat progressively over time, eating through armor and hardened barriers. Deals no direct damage — but makes everything else hit harder.</t>
  </si>
  <si>
    <t>Siphons the target's energy into the inflicting character, slowly recovering the inflict's own HP or stamina. The only Common condition with a self-benefit.</t>
  </si>
  <si>
    <t>◈  UNCOMMON CONDITIONS</t>
  </si>
  <si>
    <t>Uncommon</t>
  </si>
  <si>
    <t>Pins the target to their position entirely. Unlike Freeze, the target remains fully conscious and can still attack or use skills — they simply cannot move. Scarier in many ways.</t>
  </si>
  <si>
    <t>Anchor</t>
  </si>
  <si>
    <t>Suppresses the target's movement-based and evasion-based skills. They can still walk, but dashes, repositioning techniques, and escape moves are completely locked out.</t>
  </si>
  <si>
    <t>Fortify</t>
  </si>
  <si>
    <t>A protective condition applied to allies. Temporarily boosts Defense and Resilience. One of the few conditions in the system that is not a debuff.</t>
  </si>
  <si>
    <t>Expose</t>
  </si>
  <si>
    <t>Strips away the target's passive defenses and condition resistances entirely, leaving them wide open. Deals no damage, but every subsequent hit and status effect lands cleaner and harder.</t>
  </si>
  <si>
    <t>Cracks the structural integrity of the target — armor, barriers, reinforced stances, fortified buffs. Cuts through Fortify. Against an unprotected target, reduces Defense to near zero temporarily.</t>
  </si>
  <si>
    <t>Gradually suppresses the target's Power and Support stats, making attacks weaker and healing less effective over time. Slow-acting, but catastrophic in prolonged fights.</t>
  </si>
  <si>
    <t>A regenerative condition applied to allies. Restores HP over time and gradually cleanses one active debuff per tick. Nature's answer to Drain — gentler, non-aggressive, and purely protective.</t>
  </si>
  <si>
    <t>Tethers the target to an Aether frequency. Any damage or condition the tethered target receives is partially mirrored back to anyone nearby sharing the same tether. One hit becomes everyone's problem.</t>
  </si>
  <si>
    <t>◆  CROSS-TIER CONDITIONS</t>
  </si>
  <si>
    <t>Stagger</t>
  </si>
  <si>
    <t>Cross-Tier</t>
  </si>
  <si>
    <t>Interrupts the target mid-action, canceling whatever they were doing and leaving a brief window of vulnerability. Only Hayami and Katie can inflict this — making interrupt plays extremely rare.</t>
  </si>
  <si>
    <t>Hayami, Katie</t>
  </si>
  <si>
    <t>Nullify</t>
  </si>
  <si>
    <t>Cancels one active condition on the target — including positive ones like Fortify or Bloom. Neither purely offensive nor defensive. Only Aether and Air characters interact with it.</t>
  </si>
  <si>
    <t>Aether &amp; Air users</t>
  </si>
  <si>
    <t>Rupture</t>
  </si>
  <si>
    <t>Tears open the target's energy output, causing their own Power stat to work against them. High-Power characters take amplified self-damage when Ruptured. The harder they hit, the harder they bleed.</t>
  </si>
  <si>
    <t>Hayami only</t>
  </si>
  <si>
    <t>✦  RARE CONDITIONS  ✦</t>
  </si>
  <si>
    <t>Rare ✦</t>
  </si>
  <si>
    <t>Severs the target's connection to their element entirely. No techniques, no passive buffs, no condition infliction, no elemental resistance. Whatever they are without their element — that's all they get. A high-stat Attacker reduced to raw physicality. A Support who can no longer heal. Duration is short, but in that window they are functionally a different, lesser character. Cannot be resisted by any Common or Uncommon element character.</t>
  </si>
  <si>
    <t>Katie Olson only</t>
  </si>
  <si>
    <t>Weaponizes the target's own stats against them. Every point of Power becomes a liability. Every point of Speed becomes a detonator. The faster and harder they fight, the faster they collapse. A slow, low-stat target might survive it. A peak Attacker caught in Overload is being killed by their own ceiling. Stacks with every condition in the game — Soak amplifies it, Expose strips resistance to it, Rupture makes the feedback loop catastrophic. No other character inflicts it, resists it, or is immune to it except Hayami herself.</t>
  </si>
  <si>
    <t>Hayami Amamiya only</t>
  </si>
  <si>
    <t>Threat Level</t>
  </si>
  <si>
    <t>C</t>
  </si>
  <si>
    <t>B</t>
  </si>
  <si>
    <t>A</t>
  </si>
  <si>
    <t>SS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</si>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</sst>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sz val="11"/>
      <color theme="1"/>
      <name val="Calibri"/>
      <family val="2"/>
      <scheme val="minor"/>
    </font>
    <font>
      <sz val="9.5"/>
      <color theme="1"/>
      <name val="Comic Sans MS"/>
      <family val="4"/>
      <charset val="1"/>
    </font>
    <font>
      <sz val="9.5"/>
      <color theme="0"/>
      <name val="Comic Sans MS"/>
      <family val="4"/>
    </font>
    <font>
      <b/>
      <sz val="9.5"/>
      <name val="Comic Sans MS"/>
      <family val="4"/>
    </font>
    <font>
      <sz val="9.5"/>
      <name val="Comic Sans MS"/>
      <family val="4"/>
    </font>
    <font>
      <b/>
      <sz val="12"/>
      <color rgb="FFFFD700"/>
      <name val="Comic Sans MS"/>
      <family val="4"/>
    </font>
    <font>
      <b/>
      <sz val="9.5"/>
      <color rgb="FFFFFFFF"/>
      <name val="Comic Sans MS"/>
      <family val="4"/>
    </font>
    <font>
      <b/>
      <sz val="10"/>
      <color rgb="FFFFFFFF"/>
      <name val="Comic Sans MS"/>
      <family val="4"/>
    </font>
    <font>
      <b/>
      <sz val="9.5"/>
      <color rgb="FF1A3A5C"/>
      <name val="Comic Sans MS"/>
      <family val="4"/>
    </font>
    <font>
      <i/>
      <sz val="9.5"/>
      <color rgb="FF1A3A5C"/>
      <name val="Comic Sans MS"/>
      <family val="4"/>
    </font>
    <font>
      <sz val="9.5"/>
      <color rgb="FF000000"/>
      <name val="Comic Sans MS"/>
      <family val="4"/>
    </font>
    <font>
      <sz val="9.5"/>
      <color rgb="FF1A3A5C"/>
      <name val="Comic Sans MS"/>
      <family val="4"/>
    </font>
    <font>
      <b/>
      <sz val="9.5"/>
      <color rgb="FF3A1A5C"/>
      <name val="Comic Sans MS"/>
      <family val="4"/>
    </font>
    <font>
      <i/>
      <sz val="9.5"/>
      <color rgb="FF3A1A5C"/>
      <name val="Comic Sans MS"/>
      <family val="4"/>
    </font>
    <font>
      <sz val="9.5"/>
      <color rgb="FF3A1A5C"/>
      <name val="Comic Sans MS"/>
      <family val="4"/>
    </font>
    <font>
      <b/>
      <sz val="9.5"/>
      <color rgb="FF1A5C3A"/>
      <name val="Comic Sans MS"/>
      <family val="4"/>
    </font>
    <font>
      <i/>
      <sz val="9.5"/>
      <color rgb="FF1A5C3A"/>
      <name val="Comic Sans MS"/>
      <family val="4"/>
    </font>
    <font>
      <b/>
      <sz val="10"/>
      <color rgb="FFFFD700"/>
      <name val="Comic Sans MS"/>
      <family val="4"/>
    </font>
    <font>
      <b/>
      <sz val="9.5"/>
      <color rgb="FFFFD700"/>
      <name val="Comic Sans MS"/>
      <family val="4"/>
    </font>
    <font>
      <i/>
      <sz val="9.5"/>
      <color rgb="FFC8A8FF"/>
      <name val="Comic Sans MS"/>
      <family val="4"/>
    </font>
    <font>
      <sz val="9.5"/>
      <color rgb="FFC8A8FF"/>
      <name val="Comic Sans MS"/>
      <family val="4"/>
    </font>
    <font>
      <sz val="9.5"/>
      <color theme="1"/>
      <name val="Comic Sans MS"/>
      <family val="4"/>
    </font>
  </fonts>
  <fills count="10">
    <fill>
      <patternFill patternType="none"/>
    </fill>
    <fill>
      <patternFill patternType="gray125"/>
    </fill>
    <fill>
      <patternFill patternType="solid">
        <fgColor rgb="FF1A1A2E"/>
      </patternFill>
    </fill>
    <fill>
      <patternFill patternType="solid">
        <fgColor rgb="FF3A3A3A"/>
      </patternFill>
    </fill>
    <fill>
      <patternFill patternType="solid">
        <fgColor rgb="FF2E4057"/>
      </patternFill>
    </fill>
    <fill>
      <patternFill patternType="solid">
        <fgColor rgb="FFD6E4F0"/>
      </patternFill>
    </fill>
    <fill>
      <patternFill patternType="solid">
        <fgColor rgb="FF4A2060"/>
      </patternFill>
    </fill>
    <fill>
      <patternFill patternType="solid">
        <fgColor rgb="FFE8D6F0"/>
      </patternFill>
    </fill>
    <fill>
      <patternFill patternType="solid">
        <fgColor rgb="FF1C3A2A"/>
      </patternFill>
    </fill>
    <fill>
      <patternFill patternType="solid">
        <fgColor rgb="FFD6F0E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40">
    <xf numFmtId="0" fontId="0" fillId="0" borderId="0" xfId="0"/>
    <xf numFmtId="0" fontId="2" fillId="0" borderId="0" xfId="0" applyFont="1"/>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6" fillId="2" borderId="0" xfId="0" applyFont="1" applyFill="1" applyAlignment="1">
      <alignment horizontal="center" vertical="center" wrapText="1"/>
    </xf>
    <xf numFmtId="0" fontId="0" fillId="0" borderId="0" xfId="0"/>
    <xf numFmtId="0" fontId="7" fillId="3"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2" fillId="5"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1" fillId="7" borderId="7" xfId="0" applyFont="1" applyFill="1" applyBorder="1" applyAlignment="1">
      <alignment horizontal="left" vertical="center" wrapText="1"/>
    </xf>
    <xf numFmtId="0" fontId="15" fillId="7"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7" fillId="9" borderId="7" xfId="0" applyFont="1" applyFill="1" applyBorder="1" applyAlignment="1">
      <alignment horizontal="center" vertical="center" wrapText="1"/>
    </xf>
    <xf numFmtId="0" fontId="11" fillId="9" borderId="7" xfId="0" applyFont="1" applyFill="1" applyBorder="1" applyAlignment="1">
      <alignment horizontal="left" vertical="center" wrapText="1"/>
    </xf>
    <xf numFmtId="0" fontId="18" fillId="2" borderId="7"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22" fillId="0" borderId="5" xfId="0" applyFont="1" applyBorder="1" applyAlignment="1">
      <alignment horizontal="center" vertical="center"/>
    </xf>
    <xf numFmtId="0" fontId="22" fillId="0" borderId="1" xfId="0" applyFont="1" applyBorder="1" applyAlignment="1">
      <alignment horizontal="center" vertical="center"/>
    </xf>
    <xf numFmtId="0" fontId="5" fillId="0" borderId="1" xfId="0" applyFont="1" applyBorder="1" applyAlignment="1">
      <alignment horizontal="center" vertical="center"/>
    </xf>
    <xf numFmtId="0" fontId="22"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6" xfId="0" applyFont="1" applyBorder="1" applyAlignment="1">
      <alignment horizontal="center" vertical="center"/>
    </xf>
    <xf numFmtId="0" fontId="22" fillId="0" borderId="3"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3" fillId="0" borderId="2" xfId="1" applyFont="1" applyBorder="1" applyAlignment="1">
      <alignment horizontal="center" vertical="center" wrapText="1"/>
    </xf>
    <xf numFmtId="0" fontId="4" fillId="0" borderId="2" xfId="1" applyFont="1" applyFill="1" applyBorder="1" applyAlignment="1">
      <alignment horizontal="center" vertical="center"/>
    </xf>
    <xf numFmtId="0" fontId="4" fillId="0" borderId="1" xfId="1" applyFont="1" applyFill="1" applyBorder="1" applyAlignment="1">
      <alignment horizontal="center" vertical="center"/>
    </xf>
    <xf numFmtId="0" fontId="4" fillId="0" borderId="3" xfId="1" applyFont="1" applyFill="1" applyBorder="1" applyAlignment="1">
      <alignment horizontal="center" vertical="center"/>
    </xf>
  </cellXfs>
  <cellStyles count="2">
    <cellStyle name="Normal" xfId="0" builtinId="0"/>
    <cellStyle name="Normal 2" xfId="1" xr:uid="{56200B6A-C811-4614-A1DB-89FC47E17180}"/>
  </cellStyles>
  <dxfs count="31">
    <dxf>
      <font>
        <strike val="0"/>
        <outline val="0"/>
        <shadow val="0"/>
        <u val="none"/>
        <vertAlign val="baseline"/>
        <sz val="9.5"/>
        <color auto="1"/>
        <name val="Comic Sans MS"/>
        <family val="4"/>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9.5"/>
        <name val="Comic Sans MS"/>
        <family val="4"/>
        <scheme val="none"/>
      </font>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5"/>
        <color auto="1"/>
        <name val="Comic Sans MS"/>
        <family val="4"/>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name val="Comic Sans MS"/>
        <family val="4"/>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racters" displayName="characters" ref="A1:Z41" totalsRowShown="0" headerRowDxfId="30" dataDxfId="2" headerRowBorderDxfId="29" tableBorderDxfId="28" totalsRowBorderDxfId="27">
  <autoFilter ref="A1:Z41" xr:uid="{00000000-0009-0000-0100-000001000000}"/>
  <sortState xmlns:xlrd2="http://schemas.microsoft.com/office/spreadsheetml/2017/richdata2" ref="A2:V41">
    <sortCondition ref="A1:A41"/>
  </sortState>
  <tableColumns count="26">
    <tableColumn id="1" xr3:uid="{00000000-0010-0000-0000-000001000000}" name="Name" dataDxfId="26"/>
    <tableColumn id="2" xr3:uid="{00000000-0010-0000-0000-000002000000}" name="Pronouns" dataDxfId="25"/>
    <tableColumn id="3" xr3:uid="{00000000-0010-0000-0000-000003000000}" name="Troupe" dataDxfId="24"/>
    <tableColumn id="4" xr3:uid="{00000000-0010-0000-0000-000004000000}" name="Height (cm)" dataDxfId="23"/>
    <tableColumn id="5" xr3:uid="{00000000-0010-0000-0000-000005000000}" name="Group" dataDxfId="22"/>
    <tableColumn id="6" xr3:uid="{00000000-0010-0000-0000-000006000000}" name="Element" dataDxfId="21"/>
    <tableColumn id="7" xr3:uid="{00000000-0010-0000-0000-000007000000}" name="Aspect" dataDxfId="20"/>
    <tableColumn id="8" xr3:uid="{00000000-0010-0000-0000-000008000000}" name="MBTI" dataDxfId="19"/>
    <tableColumn id="9" xr3:uid="{00000000-0010-0000-0000-000009000000}" name="MBTI Family" dataDxfId="18"/>
    <tableColumn id="10" xr3:uid="{00000000-0010-0000-0000-00000A000000}" name="Role" dataDxfId="17"/>
    <tableColumn id="11" xr3:uid="{00000000-0010-0000-0000-00000B000000}" name="Power" dataDxfId="16"/>
    <tableColumn id="12" xr3:uid="{00000000-0010-0000-0000-00000C000000}" name="Control" dataDxfId="15"/>
    <tableColumn id="13" xr3:uid="{00000000-0010-0000-0000-00000D000000}" name="Support" dataDxfId="14"/>
    <tableColumn id="14" xr3:uid="{00000000-0010-0000-0000-00000E000000}" name="Speed" dataDxfId="13"/>
    <tableColumn id="15" xr3:uid="{00000000-0010-0000-0000-00000F000000}" name="Defense" dataDxfId="12">
      <calculatedColumnFormula array="1">_xlfn.IFS(
  characters[[#This Row],[Role]]="Tank",      120,
  characters[[#This Row],[Role]]="Support",   105,
  characters[[#This Row],[Role]]="Disruptor", 95,
  characters[[#This Row],[Role]]="Attacker",  80,
  TRUE(), 40
)
+ ROUND(characters[[#This Row],[Control]]*0.1, 0)
- ROUND(characters[[#This Row],[Speed]]*0.05, 0)</calculatedColumnFormula>
    </tableColumn>
    <tableColumn id="17" xr3:uid="{00000000-0010-0000-0000-000011000000}" name="HP" dataDxfId="11"/>
    <tableColumn id="18" xr3:uid="{00000000-0010-0000-0000-000012000000}" name="Endurance" dataDxfId="10"/>
    <tableColumn id="19" xr3:uid="{00000000-0010-0000-0000-000013000000}" name="Technique" dataDxfId="9"/>
    <tableColumn id="20" xr3:uid="{00000000-0010-0000-0000-000014000000}" name="Resilience" dataDxfId="8"/>
    <tableColumn id="23" xr3:uid="{D1826BD3-D557-4793-82FD-2CF6D1A748B9}" name="Total" dataDxfId="7">
      <calculatedColumnFormula>SUM(characters[[#This Row],[Power]:[Resilience]])</calculatedColumnFormula>
    </tableColumn>
    <tableColumn id="21" xr3:uid="{00000000-0010-0000-0000-000015000000}" name="Range" dataDxfId="6"/>
    <tableColumn id="16" xr3:uid="{250EA94C-D452-4765-ADD5-FA92EE33E2DA}" name="Playstyle" dataDxfId="5">
      <calculatedColumnFormula array="1">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calculatedColumnFormula>
    </tableColumn>
    <tableColumn id="22" xr3:uid="{2845E2AD-B24F-4D30-97AC-417D2774C71B}" name="Inflict" dataDxfId="4"/>
    <tableColumn id="24" xr3:uid="{3CB415B6-B220-414A-8178-D30C17D0788B}" name="Resist" dataDxfId="3"/>
    <tableColumn id="25" xr3:uid="{B2FCA47B-114C-419B-BD3A-FF7929133E0A}" name="Immune" dataDxfId="1"/>
    <tableColumn id="27" xr3:uid="{7448C404-2CB1-4AB2-91A8-C6244E9FF646}" name="Threat Lev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
  <sheetViews>
    <sheetView tabSelected="1" zoomScale="79" zoomScaleNormal="100" workbookViewId="0">
      <pane xSplit="1" topLeftCell="B1" activePane="topRight" state="frozen"/>
      <selection pane="topRight" activeCell="AC4" sqref="AC4"/>
    </sheetView>
  </sheetViews>
  <sheetFormatPr defaultColWidth="8.6640625" defaultRowHeight="14.4" x14ac:dyDescent="0.3"/>
  <cols>
    <col min="1" max="1" width="18.6640625" customWidth="1"/>
    <col min="2" max="2" width="10" customWidth="1"/>
    <col min="3" max="3" width="8.109375" customWidth="1"/>
    <col min="5" max="5" width="14.6640625" customWidth="1"/>
    <col min="10" max="10" width="10.33203125" customWidth="1"/>
    <col min="16" max="21" width="10" customWidth="1"/>
    <col min="22" max="22" width="13.33203125" customWidth="1"/>
    <col min="23" max="23" width="25.5546875" customWidth="1"/>
    <col min="24" max="24" width="16.88671875" customWidth="1"/>
    <col min="25" max="25" width="13.33203125" customWidth="1"/>
  </cols>
  <sheetData>
    <row r="1" spans="1:26" s="1" customFormat="1" ht="34.5" customHeight="1" x14ac:dyDescent="0.4">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4" t="s">
        <v>16</v>
      </c>
      <c r="Q1" s="4" t="s">
        <v>17</v>
      </c>
      <c r="R1" s="4" t="s">
        <v>18</v>
      </c>
      <c r="S1" s="4" t="s">
        <v>19</v>
      </c>
      <c r="T1" s="4" t="s">
        <v>21</v>
      </c>
      <c r="U1" s="4" t="s">
        <v>20</v>
      </c>
      <c r="V1" s="3" t="s">
        <v>15</v>
      </c>
      <c r="W1" s="4" t="s">
        <v>117</v>
      </c>
      <c r="X1" s="4" t="s">
        <v>154</v>
      </c>
      <c r="Y1" s="4" t="s">
        <v>184</v>
      </c>
      <c r="Z1" s="36" t="s">
        <v>245</v>
      </c>
    </row>
    <row r="2" spans="1:26" ht="28.5" customHeight="1" x14ac:dyDescent="0.3">
      <c r="A2" s="26" t="s">
        <v>22</v>
      </c>
      <c r="B2" s="27" t="s">
        <v>23</v>
      </c>
      <c r="C2" s="27">
        <v>8</v>
      </c>
      <c r="D2" s="27">
        <v>170</v>
      </c>
      <c r="E2" s="27" t="s">
        <v>24</v>
      </c>
      <c r="F2" s="27" t="s">
        <v>25</v>
      </c>
      <c r="G2" s="27" t="s">
        <v>26</v>
      </c>
      <c r="H2" s="27" t="s">
        <v>27</v>
      </c>
      <c r="I2" s="27" t="s">
        <v>28</v>
      </c>
      <c r="J2" s="27" t="s">
        <v>12</v>
      </c>
      <c r="K2" s="27">
        <v>38</v>
      </c>
      <c r="L2" s="27">
        <v>78</v>
      </c>
      <c r="M2" s="27">
        <v>65</v>
      </c>
      <c r="N2" s="27">
        <v>45</v>
      </c>
      <c r="O2" s="27" cm="1">
        <f t="array" ref="O2">_xlfn.IFS(
  characters[[#This Row],[Role]]="Tank",      120,
  characters[[#This Row],[Role]]="Support",   105,
  characters[[#This Row],[Role]]="Disruptor", 95,
  characters[[#This Row],[Role]]="Attacker",  80,
  TRUE(), 40
)
+ ROUND(characters[[#This Row],[Control]]*0.1, 0)
- ROUND(characters[[#This Row],[Speed]]*0.05, 0)</f>
        <v>111</v>
      </c>
      <c r="P2" s="28">
        <f>_xlfn.IFS(  characters[[#This Row],[Role]]="Tank",      120,  characters[[#This Row],[Role]]="Support",   90,  characters[[#This Row],[Role]]="Disruptor", 75,  characters[[#This Row],[Role]]="Attacker",  60,  TRUE(), 80)+ ROUND(characters[[#This Row],[Defense]]*0.3, 0)</f>
        <v>123</v>
      </c>
      <c r="Q2" s="28">
        <f>ROUND(  characters[[#This Row],[Control]] * 0.5  + characters[[#This Row],[Support]] * 0.3  - characters[[#This Row],[Speed]] * 0.1  + _xlfn.IFS(    characters[[#This Row],[Role]]="Tank",      20,    characters[[#This Row],[Role]]="Support",   15,    characters[[#This Row],[Role]]="Disruptor", 10,    characters[[#This Row],[Role]]="Attacker",  5,    TRUE(), 10  ), 0)</f>
        <v>69</v>
      </c>
      <c r="R2" s="28">
        <f>ROUND(  characters[[#This Row],[Control]] * 0.6  + characters[[#This Row],[Speed]] * 0.25  + characters[[#This Row],[Power]] * 0.1  - _xlfn.IFS(    characters[[#This Row],[Role]]="Attacker",  5,    characters[[#This Row],[Role]]="Tank",       8,    characters[[#This Row],[Role]]="Disruptor",  0,    characters[[#This Row],[Role]]="Support",    2,    TRUE(), 3  ), 0)</f>
        <v>60</v>
      </c>
      <c r="S2" s="28">
        <f>ROUND(  characters[[#This Row],[Defense]] * 0.5  + characters[[#This Row],[Control]] * 0.35  + characters[[#This Row],[Support]] * 0.1  + _xlfn.IFS(    characters[[#This Row],[Role]]="Tank",      10,    characters[[#This Row],[Role]]="Support",    5,    characters[[#This Row],[Role]]="Disruptor",  8,    characters[[#This Row],[Role]]="Attacker",   0,    TRUE(), 5  ), 0)</f>
        <v>94</v>
      </c>
      <c r="T2" s="28">
        <f>SUM(characters[[#This Row],[Power]:[Resilience]])</f>
        <v>683</v>
      </c>
      <c r="U2"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2" s="29" t="str" cm="1">
        <f t="array" ref="V2">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Battle Medic</v>
      </c>
      <c r="W2" s="30" t="s">
        <v>118</v>
      </c>
      <c r="X2" s="30" t="s">
        <v>155</v>
      </c>
      <c r="Y2" s="30" t="s">
        <v>185</v>
      </c>
      <c r="Z2" s="37" t="s">
        <v>246</v>
      </c>
    </row>
    <row r="3" spans="1:26" ht="28.5" customHeight="1" x14ac:dyDescent="0.3">
      <c r="A3" s="26" t="s">
        <v>29</v>
      </c>
      <c r="B3" s="27" t="s">
        <v>30</v>
      </c>
      <c r="C3" s="27">
        <v>4</v>
      </c>
      <c r="D3" s="27">
        <v>163</v>
      </c>
      <c r="E3" s="27" t="s">
        <v>31</v>
      </c>
      <c r="F3" s="27" t="s">
        <v>32</v>
      </c>
      <c r="G3" s="27" t="s">
        <v>33</v>
      </c>
      <c r="H3" s="27" t="s">
        <v>34</v>
      </c>
      <c r="I3" s="27" t="s">
        <v>35</v>
      </c>
      <c r="J3" s="27" t="s">
        <v>36</v>
      </c>
      <c r="K3" s="27">
        <v>125</v>
      </c>
      <c r="L3" s="27">
        <v>22</v>
      </c>
      <c r="M3" s="27">
        <v>15</v>
      </c>
      <c r="N3" s="27">
        <v>132</v>
      </c>
      <c r="O3" s="27" cm="1">
        <f t="array" ref="O3">_xlfn.IFS(
  characters[[#This Row],[Role]]="Tank",      120,
  characters[[#This Row],[Role]]="Support",   105,
  characters[[#This Row],[Role]]="Disruptor", 95,
  characters[[#This Row],[Role]]="Attacker",  80,
  TRUE(), 40
)
+ ROUND(characters[[#This Row],[Control]]*0.1, 0)
- ROUND(characters[[#This Row],[Speed]]*0.05, 0)</f>
        <v>75</v>
      </c>
      <c r="P3" s="28">
        <f>_xlfn.IFS(  characters[[#This Row],[Role]]="Tank",      120,  characters[[#This Row],[Role]]="Support",   90,  characters[[#This Row],[Role]]="Disruptor", 75,  characters[[#This Row],[Role]]="Attacker",  60,  TRUE(), 80)+ ROUND(characters[[#This Row],[Defense]]*0.3, 0)</f>
        <v>83</v>
      </c>
      <c r="Q3" s="28">
        <f>ROUND(  characters[[#This Row],[Control]] * 0.5  + characters[[#This Row],[Support]] * 0.3  - characters[[#This Row],[Speed]] * 0.1  + _xlfn.IFS(    characters[[#This Row],[Role]]="Tank",      20,    characters[[#This Row],[Role]]="Support",   15,    characters[[#This Row],[Role]]="Disruptor", 10,    characters[[#This Row],[Role]]="Attacker",  5,    TRUE(), 10  ), 0)</f>
        <v>7</v>
      </c>
      <c r="R3" s="28">
        <f>ROUND(  characters[[#This Row],[Control]] * 0.6  + characters[[#This Row],[Speed]] * 0.25  + characters[[#This Row],[Power]] * 0.1  - _xlfn.IFS(    characters[[#This Row],[Role]]="Attacker",  5,    characters[[#This Row],[Role]]="Tank",       8,    characters[[#This Row],[Role]]="Disruptor",  0,    characters[[#This Row],[Role]]="Support",    2,    TRUE(), 3  ), 0)</f>
        <v>54</v>
      </c>
      <c r="S3" s="28">
        <f>ROUND(  characters[[#This Row],[Defense]] * 0.5  + characters[[#This Row],[Control]] * 0.35  + characters[[#This Row],[Support]] * 0.1  + _xlfn.IFS(    characters[[#This Row],[Role]]="Tank",      10,    characters[[#This Row],[Role]]="Support",    5,    characters[[#This Row],[Role]]="Disruptor",  8,    characters[[#This Row],[Role]]="Attacker",   0,    TRUE(), 5  ), 0)</f>
        <v>47</v>
      </c>
      <c r="T3" s="28">
        <f>SUM(characters[[#This Row],[Power]:[Resilience]])</f>
        <v>560</v>
      </c>
      <c r="U3"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3" s="27" t="str" cm="1">
        <f t="array" ref="V3">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Blitz</v>
      </c>
      <c r="W3" s="31" t="s">
        <v>119</v>
      </c>
      <c r="X3" s="31" t="s">
        <v>156</v>
      </c>
      <c r="Y3" s="31" t="s">
        <v>186</v>
      </c>
      <c r="Z3" s="38" t="s">
        <v>247</v>
      </c>
    </row>
    <row r="4" spans="1:26" ht="28.5" customHeight="1" x14ac:dyDescent="0.3">
      <c r="A4" s="26" t="s">
        <v>37</v>
      </c>
      <c r="B4" s="27" t="s">
        <v>23</v>
      </c>
      <c r="C4" s="27">
        <v>5</v>
      </c>
      <c r="D4" s="27">
        <v>163</v>
      </c>
      <c r="E4" s="27" t="s">
        <v>24</v>
      </c>
      <c r="F4" s="27" t="s">
        <v>38</v>
      </c>
      <c r="G4" s="27" t="s">
        <v>39</v>
      </c>
      <c r="H4" s="27" t="s">
        <v>27</v>
      </c>
      <c r="I4" s="27" t="s">
        <v>28</v>
      </c>
      <c r="J4" s="27" t="s">
        <v>12</v>
      </c>
      <c r="K4" s="27">
        <v>40</v>
      </c>
      <c r="L4" s="27">
        <v>60</v>
      </c>
      <c r="M4" s="27">
        <v>123</v>
      </c>
      <c r="N4" s="27">
        <v>38</v>
      </c>
      <c r="O4" s="27" cm="1">
        <f t="array" ref="O4">_xlfn.IFS(
  characters[[#This Row],[Role]]="Tank",      120,
  characters[[#This Row],[Role]]="Support",   105,
  characters[[#This Row],[Role]]="Disruptor", 95,
  characters[[#This Row],[Role]]="Attacker",  80,
  TRUE(), 40
)
+ ROUND(characters[[#This Row],[Control]]*0.1, 0)
- ROUND(characters[[#This Row],[Speed]]*0.05, 0)</f>
        <v>109</v>
      </c>
      <c r="P4" s="28">
        <f>_xlfn.IFS(  characters[[#This Row],[Role]]="Tank",      120,  characters[[#This Row],[Role]]="Support",   90,  characters[[#This Row],[Role]]="Disruptor", 75,  characters[[#This Row],[Role]]="Attacker",  60,  TRUE(), 80)+ ROUND(characters[[#This Row],[Defense]]*0.3, 0)</f>
        <v>123</v>
      </c>
      <c r="Q4" s="28">
        <f>ROUND(  characters[[#This Row],[Control]] * 0.5  + characters[[#This Row],[Support]] * 0.3  - characters[[#This Row],[Speed]] * 0.1  + _xlfn.IFS(    characters[[#This Row],[Role]]="Tank",      20,    characters[[#This Row],[Role]]="Support",   15,    characters[[#This Row],[Role]]="Disruptor", 10,    characters[[#This Row],[Role]]="Attacker",  5,    TRUE(), 10  ), 0)</f>
        <v>78</v>
      </c>
      <c r="R4" s="28">
        <f>ROUND(  characters[[#This Row],[Control]] * 0.6  + characters[[#This Row],[Speed]] * 0.25  + characters[[#This Row],[Power]] * 0.1  - _xlfn.IFS(    characters[[#This Row],[Role]]="Attacker",  5,    characters[[#This Row],[Role]]="Tank",       8,    characters[[#This Row],[Role]]="Disruptor",  0,    characters[[#This Row],[Role]]="Support",    2,    TRUE(), 3  ), 0)</f>
        <v>48</v>
      </c>
      <c r="S4" s="28">
        <f>ROUND(  characters[[#This Row],[Defense]] * 0.5  + characters[[#This Row],[Control]] * 0.35  + characters[[#This Row],[Support]] * 0.1  + _xlfn.IFS(    characters[[#This Row],[Role]]="Tank",      10,    characters[[#This Row],[Role]]="Support",    5,    characters[[#This Row],[Role]]="Disruptor",  8,    characters[[#This Row],[Role]]="Attacker",   0,    TRUE(), 5  ), 0)</f>
        <v>93</v>
      </c>
      <c r="T4" s="28">
        <f>SUM(characters[[#This Row],[Power]:[Resilience]])</f>
        <v>712</v>
      </c>
      <c r="U4"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4" s="27" t="str" cm="1">
        <f t="array" ref="V4">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4" s="31" t="s">
        <v>120</v>
      </c>
      <c r="X4" s="31" t="s">
        <v>157</v>
      </c>
      <c r="Y4" s="31" t="s">
        <v>187</v>
      </c>
      <c r="Z4" s="38" t="s">
        <v>247</v>
      </c>
    </row>
    <row r="5" spans="1:26" ht="28.5" customHeight="1" x14ac:dyDescent="0.3">
      <c r="A5" s="26" t="s">
        <v>40</v>
      </c>
      <c r="B5" s="27" t="s">
        <v>23</v>
      </c>
      <c r="C5" s="27">
        <v>6</v>
      </c>
      <c r="D5" s="27">
        <v>171</v>
      </c>
      <c r="E5" s="27" t="s">
        <v>41</v>
      </c>
      <c r="F5" s="27" t="s">
        <v>42</v>
      </c>
      <c r="G5" s="27" t="s">
        <v>43</v>
      </c>
      <c r="H5" s="27" t="s">
        <v>44</v>
      </c>
      <c r="I5" s="27" t="s">
        <v>45</v>
      </c>
      <c r="J5" s="27" t="s">
        <v>46</v>
      </c>
      <c r="K5" s="27">
        <v>45</v>
      </c>
      <c r="L5" s="27">
        <v>80</v>
      </c>
      <c r="M5" s="27">
        <v>38</v>
      </c>
      <c r="N5" s="27">
        <v>70</v>
      </c>
      <c r="O5" s="27" cm="1">
        <f t="array" ref="O5">_xlfn.IFS(
  characters[[#This Row],[Role]]="Tank",      120,
  characters[[#This Row],[Role]]="Support",   105,
  characters[[#This Row],[Role]]="Disruptor", 95,
  characters[[#This Row],[Role]]="Attacker",  80,
  TRUE(), 40
)
+ ROUND(characters[[#This Row],[Control]]*0.1, 0)
- ROUND(characters[[#This Row],[Speed]]*0.05, 0)</f>
        <v>99</v>
      </c>
      <c r="P5" s="28">
        <f>_xlfn.IFS(  characters[[#This Row],[Role]]="Tank",      120,  characters[[#This Row],[Role]]="Support",   90,  characters[[#This Row],[Role]]="Disruptor", 75,  characters[[#This Row],[Role]]="Attacker",  60,  TRUE(), 80)+ ROUND(characters[[#This Row],[Defense]]*0.3, 0)</f>
        <v>105</v>
      </c>
      <c r="Q5" s="28">
        <f>ROUND(  characters[[#This Row],[Control]] * 0.5  + characters[[#This Row],[Support]] * 0.3  - characters[[#This Row],[Speed]] * 0.1  + _xlfn.IFS(    characters[[#This Row],[Role]]="Tank",      20,    characters[[#This Row],[Role]]="Support",   15,    characters[[#This Row],[Role]]="Disruptor", 10,    characters[[#This Row],[Role]]="Attacker",  5,    TRUE(), 10  ), 0)</f>
        <v>54</v>
      </c>
      <c r="R5" s="28">
        <f>ROUND(  characters[[#This Row],[Control]] * 0.6  + characters[[#This Row],[Speed]] * 0.25  + characters[[#This Row],[Power]] * 0.1  - _xlfn.IFS(    characters[[#This Row],[Role]]="Attacker",  5,    characters[[#This Row],[Role]]="Tank",       8,    characters[[#This Row],[Role]]="Disruptor",  0,    characters[[#This Row],[Role]]="Support",    2,    TRUE(), 3  ), 0)</f>
        <v>70</v>
      </c>
      <c r="S5" s="28">
        <f>ROUND(  characters[[#This Row],[Defense]] * 0.5  + characters[[#This Row],[Control]] * 0.35  + characters[[#This Row],[Support]] * 0.1  + _xlfn.IFS(    characters[[#This Row],[Role]]="Tank",      10,    characters[[#This Row],[Role]]="Support",    5,    characters[[#This Row],[Role]]="Disruptor",  8,    characters[[#This Row],[Role]]="Attacker",   0,    TRUE(), 5  ), 0)</f>
        <v>89</v>
      </c>
      <c r="T5" s="28">
        <f>SUM(characters[[#This Row],[Power]:[Resilience]])</f>
        <v>650</v>
      </c>
      <c r="U5"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5" s="27" t="str" cm="1">
        <f t="array" ref="V5">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Harasser</v>
      </c>
      <c r="W5" s="31" t="s">
        <v>121</v>
      </c>
      <c r="X5" s="31" t="s">
        <v>158</v>
      </c>
      <c r="Y5" s="31" t="s">
        <v>188</v>
      </c>
      <c r="Z5" s="38" t="s">
        <v>247</v>
      </c>
    </row>
    <row r="6" spans="1:26" ht="28.5" customHeight="1" x14ac:dyDescent="0.3">
      <c r="A6" s="26" t="s">
        <v>47</v>
      </c>
      <c r="B6" s="27" t="s">
        <v>23</v>
      </c>
      <c r="C6" s="27">
        <v>5</v>
      </c>
      <c r="D6" s="27">
        <v>170</v>
      </c>
      <c r="E6" s="27" t="s">
        <v>48</v>
      </c>
      <c r="F6" s="27" t="s">
        <v>32</v>
      </c>
      <c r="G6" s="27" t="s">
        <v>49</v>
      </c>
      <c r="H6" s="27" t="s">
        <v>50</v>
      </c>
      <c r="I6" s="27" t="s">
        <v>28</v>
      </c>
      <c r="J6" s="27" t="s">
        <v>36</v>
      </c>
      <c r="K6" s="27">
        <v>68</v>
      </c>
      <c r="L6" s="27">
        <v>72</v>
      </c>
      <c r="M6" s="27">
        <v>25</v>
      </c>
      <c r="N6" s="27">
        <v>55</v>
      </c>
      <c r="O6" s="27" cm="1">
        <f t="array" ref="O6">_xlfn.IFS(
  characters[[#This Row],[Role]]="Tank",      120,
  characters[[#This Row],[Role]]="Support",   105,
  characters[[#This Row],[Role]]="Disruptor", 95,
  characters[[#This Row],[Role]]="Attacker",  80,
  TRUE(), 40
)
+ ROUND(characters[[#This Row],[Control]]*0.1, 0)
- ROUND(characters[[#This Row],[Speed]]*0.05, 0)</f>
        <v>84</v>
      </c>
      <c r="P6" s="28">
        <f>_xlfn.IFS(  characters[[#This Row],[Role]]="Tank",      120,  characters[[#This Row],[Role]]="Support",   90,  characters[[#This Row],[Role]]="Disruptor", 75,  characters[[#This Row],[Role]]="Attacker",  60,  TRUE(), 80)+ ROUND(characters[[#This Row],[Defense]]*0.3, 0)</f>
        <v>85</v>
      </c>
      <c r="Q6" s="28">
        <f>ROUND(  characters[[#This Row],[Control]] * 0.5  + characters[[#This Row],[Support]] * 0.3  - characters[[#This Row],[Speed]] * 0.1  + _xlfn.IFS(    characters[[#This Row],[Role]]="Tank",      20,    characters[[#This Row],[Role]]="Support",   15,    characters[[#This Row],[Role]]="Disruptor", 10,    characters[[#This Row],[Role]]="Attacker",  5,    TRUE(), 10  ), 0)</f>
        <v>43</v>
      </c>
      <c r="R6" s="28">
        <f>ROUND(  characters[[#This Row],[Control]] * 0.6  + characters[[#This Row],[Speed]] * 0.25  + characters[[#This Row],[Power]] * 0.1  - _xlfn.IFS(    characters[[#This Row],[Role]]="Attacker",  5,    characters[[#This Row],[Role]]="Tank",       8,    characters[[#This Row],[Role]]="Disruptor",  0,    characters[[#This Row],[Role]]="Support",    2,    TRUE(), 3  ), 0)</f>
        <v>59</v>
      </c>
      <c r="S6" s="28">
        <f>ROUND(  characters[[#This Row],[Defense]] * 0.5  + characters[[#This Row],[Control]] * 0.35  + characters[[#This Row],[Support]] * 0.1  + _xlfn.IFS(    characters[[#This Row],[Role]]="Tank",      10,    characters[[#This Row],[Role]]="Support",    5,    characters[[#This Row],[Role]]="Disruptor",  8,    characters[[#This Row],[Role]]="Attacker",   0,    TRUE(), 5  ), 0)</f>
        <v>70</v>
      </c>
      <c r="T6" s="28">
        <f>SUM(characters[[#This Row],[Power]:[Resilience]])</f>
        <v>561</v>
      </c>
      <c r="U6"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6" s="27" t="str" cm="1">
        <f t="array" ref="V6">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Skirmisher</v>
      </c>
      <c r="W6" s="31" t="s">
        <v>122</v>
      </c>
      <c r="X6" s="31" t="s">
        <v>159</v>
      </c>
      <c r="Y6" s="31" t="s">
        <v>186</v>
      </c>
      <c r="Z6" s="38" t="s">
        <v>246</v>
      </c>
    </row>
    <row r="7" spans="1:26" ht="28.5" customHeight="1" x14ac:dyDescent="0.3">
      <c r="A7" s="26" t="s">
        <v>51</v>
      </c>
      <c r="B7" s="27" t="s">
        <v>23</v>
      </c>
      <c r="C7" s="27">
        <v>7</v>
      </c>
      <c r="D7" s="27">
        <v>175</v>
      </c>
      <c r="E7" s="27" t="s">
        <v>52</v>
      </c>
      <c r="F7" s="27" t="s">
        <v>38</v>
      </c>
      <c r="G7" s="27" t="s">
        <v>53</v>
      </c>
      <c r="H7" s="27" t="s">
        <v>54</v>
      </c>
      <c r="I7" s="27" t="s">
        <v>55</v>
      </c>
      <c r="J7" s="27" t="s">
        <v>36</v>
      </c>
      <c r="K7" s="27">
        <v>90</v>
      </c>
      <c r="L7" s="27">
        <v>101</v>
      </c>
      <c r="M7" s="27">
        <v>20</v>
      </c>
      <c r="N7" s="27">
        <v>60</v>
      </c>
      <c r="O7" s="27" cm="1">
        <f t="array" ref="O7">_xlfn.IFS(
  characters[[#This Row],[Role]]="Tank",      120,
  characters[[#This Row],[Role]]="Support",   105,
  characters[[#This Row],[Role]]="Disruptor", 95,
  characters[[#This Row],[Role]]="Attacker",  80,
  TRUE(), 40
)
+ ROUND(characters[[#This Row],[Control]]*0.1, 0)
- ROUND(characters[[#This Row],[Speed]]*0.05, 0)</f>
        <v>87</v>
      </c>
      <c r="P7" s="28">
        <f>_xlfn.IFS(  characters[[#This Row],[Role]]="Tank",      120,  characters[[#This Row],[Role]]="Support",   90,  characters[[#This Row],[Role]]="Disruptor", 75,  characters[[#This Row],[Role]]="Attacker",  60,  TRUE(), 80)+ ROUND(characters[[#This Row],[Defense]]*0.3, 0)</f>
        <v>86</v>
      </c>
      <c r="Q7" s="28">
        <f>ROUND(  characters[[#This Row],[Control]] * 0.5  + characters[[#This Row],[Support]] * 0.3  - characters[[#This Row],[Speed]] * 0.1  + _xlfn.IFS(    characters[[#This Row],[Role]]="Tank",      20,    characters[[#This Row],[Role]]="Support",   15,    characters[[#This Row],[Role]]="Disruptor", 10,    characters[[#This Row],[Role]]="Attacker",  5,    TRUE(), 10  ), 0)</f>
        <v>56</v>
      </c>
      <c r="R7" s="28">
        <f>ROUND(  characters[[#This Row],[Control]] * 0.6  + characters[[#This Row],[Speed]] * 0.25  + characters[[#This Row],[Power]] * 0.1  - _xlfn.IFS(    characters[[#This Row],[Role]]="Attacker",  5,    characters[[#This Row],[Role]]="Tank",       8,    characters[[#This Row],[Role]]="Disruptor",  0,    characters[[#This Row],[Role]]="Support",    2,    TRUE(), 3  ), 0)</f>
        <v>80</v>
      </c>
      <c r="S7" s="28">
        <f>ROUND(  characters[[#This Row],[Defense]] * 0.5  + characters[[#This Row],[Control]] * 0.35  + characters[[#This Row],[Support]] * 0.1  + _xlfn.IFS(    characters[[#This Row],[Role]]="Tank",      10,    characters[[#This Row],[Role]]="Support",    5,    characters[[#This Row],[Role]]="Disruptor",  8,    characters[[#This Row],[Role]]="Attacker",   0,    TRUE(), 5  ), 0)</f>
        <v>81</v>
      </c>
      <c r="T7" s="28">
        <f>SUM(characters[[#This Row],[Power]:[Resilience]])</f>
        <v>661</v>
      </c>
      <c r="U7"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7" s="27" t="str" cm="1">
        <f t="array" ref="V7">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7" s="31" t="s">
        <v>123</v>
      </c>
      <c r="X7" s="31" t="s">
        <v>160</v>
      </c>
      <c r="Y7" s="31" t="s">
        <v>187</v>
      </c>
      <c r="Z7" s="38" t="s">
        <v>247</v>
      </c>
    </row>
    <row r="8" spans="1:26" ht="28.5" customHeight="1" x14ac:dyDescent="0.3">
      <c r="A8" s="26" t="s">
        <v>56</v>
      </c>
      <c r="B8" s="27" t="s">
        <v>23</v>
      </c>
      <c r="C8" s="27">
        <v>7</v>
      </c>
      <c r="D8" s="27">
        <v>168</v>
      </c>
      <c r="E8" s="27" t="s">
        <v>48</v>
      </c>
      <c r="F8" s="27" t="s">
        <v>32</v>
      </c>
      <c r="G8" s="27" t="s">
        <v>57</v>
      </c>
      <c r="H8" s="27" t="s">
        <v>58</v>
      </c>
      <c r="I8" s="27" t="s">
        <v>35</v>
      </c>
      <c r="J8" s="27" t="s">
        <v>36</v>
      </c>
      <c r="K8" s="27">
        <v>78</v>
      </c>
      <c r="L8" s="27">
        <v>65</v>
      </c>
      <c r="M8" s="27">
        <v>18</v>
      </c>
      <c r="N8" s="27">
        <v>68</v>
      </c>
      <c r="O8" s="27" cm="1">
        <f t="array" ref="O8">_xlfn.IFS(
  characters[[#This Row],[Role]]="Tank",      120,
  characters[[#This Row],[Role]]="Support",   105,
  characters[[#This Row],[Role]]="Disruptor", 95,
  characters[[#This Row],[Role]]="Attacker",  80,
  TRUE(), 40
)
+ ROUND(characters[[#This Row],[Control]]*0.1, 0)
- ROUND(characters[[#This Row],[Speed]]*0.05, 0)</f>
        <v>84</v>
      </c>
      <c r="P8" s="28">
        <f>_xlfn.IFS(  characters[[#This Row],[Role]]="Tank",      120,  characters[[#This Row],[Role]]="Support",   90,  characters[[#This Row],[Role]]="Disruptor", 75,  characters[[#This Row],[Role]]="Attacker",  60,  TRUE(), 80)+ ROUND(characters[[#This Row],[Defense]]*0.3, 0)</f>
        <v>85</v>
      </c>
      <c r="Q8" s="28">
        <f>ROUND(  characters[[#This Row],[Control]] * 0.5  + characters[[#This Row],[Support]] * 0.3  - characters[[#This Row],[Speed]] * 0.1  + _xlfn.IFS(    characters[[#This Row],[Role]]="Tank",      20,    characters[[#This Row],[Role]]="Support",   15,    characters[[#This Row],[Role]]="Disruptor", 10,    characters[[#This Row],[Role]]="Attacker",  5,    TRUE(), 10  ), 0)</f>
        <v>36</v>
      </c>
      <c r="R8" s="28">
        <f>ROUND(  characters[[#This Row],[Control]] * 0.6  + characters[[#This Row],[Speed]] * 0.25  + characters[[#This Row],[Power]] * 0.1  - _xlfn.IFS(    characters[[#This Row],[Role]]="Attacker",  5,    characters[[#This Row],[Role]]="Tank",       8,    characters[[#This Row],[Role]]="Disruptor",  0,    characters[[#This Row],[Role]]="Support",    2,    TRUE(), 3  ), 0)</f>
        <v>59</v>
      </c>
      <c r="S8" s="28">
        <f>ROUND(  characters[[#This Row],[Defense]] * 0.5  + characters[[#This Row],[Control]] * 0.35  + characters[[#This Row],[Support]] * 0.1  + _xlfn.IFS(    characters[[#This Row],[Role]]="Tank",      10,    characters[[#This Row],[Role]]="Support",    5,    characters[[#This Row],[Role]]="Disruptor",  8,    characters[[#This Row],[Role]]="Attacker",   0,    TRUE(), 5  ), 0)</f>
        <v>67</v>
      </c>
      <c r="T8" s="28">
        <f>SUM(characters[[#This Row],[Power]:[Resilience]])</f>
        <v>560</v>
      </c>
      <c r="U8"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8" s="27" t="str" cm="1">
        <f t="array" ref="V8">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Skirmisher</v>
      </c>
      <c r="W8" s="31" t="s">
        <v>124</v>
      </c>
      <c r="X8" s="31" t="s">
        <v>156</v>
      </c>
      <c r="Y8" s="31" t="s">
        <v>186</v>
      </c>
      <c r="Z8" s="38" t="s">
        <v>247</v>
      </c>
    </row>
    <row r="9" spans="1:26" ht="28.5" customHeight="1" x14ac:dyDescent="0.3">
      <c r="A9" s="26" t="s">
        <v>59</v>
      </c>
      <c r="B9" s="27" t="s">
        <v>23</v>
      </c>
      <c r="C9" s="27">
        <v>3</v>
      </c>
      <c r="D9" s="27">
        <v>173</v>
      </c>
      <c r="E9" s="27" t="s">
        <v>60</v>
      </c>
      <c r="F9" s="27" t="s">
        <v>61</v>
      </c>
      <c r="G9" s="27" t="s">
        <v>53</v>
      </c>
      <c r="H9" s="27" t="s">
        <v>54</v>
      </c>
      <c r="I9" s="27" t="s">
        <v>55</v>
      </c>
      <c r="J9" s="27" t="s">
        <v>62</v>
      </c>
      <c r="K9" s="27">
        <v>75</v>
      </c>
      <c r="L9" s="27">
        <v>80</v>
      </c>
      <c r="M9" s="27">
        <v>40</v>
      </c>
      <c r="N9" s="27">
        <v>45</v>
      </c>
      <c r="O9" s="27" cm="1">
        <f t="array" ref="O9">_xlfn.IFS(
  characters[[#This Row],[Role]]="Tank",      120,
  characters[[#This Row],[Role]]="Support",   105,
  characters[[#This Row],[Role]]="Disruptor", 95,
  characters[[#This Row],[Role]]="Attacker",  80,
  TRUE(), 40
)
+ ROUND(characters[[#This Row],[Control]]*0.1, 0)
- ROUND(characters[[#This Row],[Speed]]*0.05, 0)</f>
        <v>126</v>
      </c>
      <c r="P9" s="28">
        <f>_xlfn.IFS(  characters[[#This Row],[Role]]="Tank",      120,  characters[[#This Row],[Role]]="Support",   90,  characters[[#This Row],[Role]]="Disruptor", 75,  characters[[#This Row],[Role]]="Attacker",  60,  TRUE(), 80)+ ROUND(characters[[#This Row],[Defense]]*0.3, 0)</f>
        <v>158</v>
      </c>
      <c r="Q9" s="28">
        <f>ROUND(  characters[[#This Row],[Control]] * 0.5  + characters[[#This Row],[Support]] * 0.3  - characters[[#This Row],[Speed]] * 0.1  + _xlfn.IFS(    characters[[#This Row],[Role]]="Tank",      20,    characters[[#This Row],[Role]]="Support",   15,    characters[[#This Row],[Role]]="Disruptor", 10,    characters[[#This Row],[Role]]="Attacker",  5,    TRUE(), 10  ), 0)</f>
        <v>68</v>
      </c>
      <c r="R9" s="28">
        <f>ROUND(  characters[[#This Row],[Control]] * 0.6  + characters[[#This Row],[Speed]] * 0.25  + characters[[#This Row],[Power]] * 0.1  - _xlfn.IFS(    characters[[#This Row],[Role]]="Attacker",  5,    characters[[#This Row],[Role]]="Tank",       8,    characters[[#This Row],[Role]]="Disruptor",  0,    characters[[#This Row],[Role]]="Support",    2,    TRUE(), 3  ), 0)</f>
        <v>59</v>
      </c>
      <c r="S9" s="28">
        <f>ROUND(  characters[[#This Row],[Defense]] * 0.5  + characters[[#This Row],[Control]] * 0.35  + characters[[#This Row],[Support]] * 0.1  + _xlfn.IFS(    characters[[#This Row],[Role]]="Tank",      10,    characters[[#This Row],[Role]]="Support",    5,    characters[[#This Row],[Role]]="Disruptor",  8,    characters[[#This Row],[Role]]="Attacker",   0,    TRUE(), 5  ), 0)</f>
        <v>105</v>
      </c>
      <c r="T9" s="28">
        <f>SUM(characters[[#This Row],[Power]:[Resilience]])</f>
        <v>756</v>
      </c>
      <c r="U9"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1</v>
      </c>
      <c r="V9" s="27" t="str" cm="1">
        <f t="array" ref="V9">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Fortress</v>
      </c>
      <c r="W9" s="31" t="s">
        <v>125</v>
      </c>
      <c r="X9" s="31" t="s">
        <v>161</v>
      </c>
      <c r="Y9" s="31" t="s">
        <v>189</v>
      </c>
      <c r="Z9" s="38" t="s">
        <v>248</v>
      </c>
    </row>
    <row r="10" spans="1:26" ht="28.5" customHeight="1" x14ac:dyDescent="0.3">
      <c r="A10" s="26" t="s">
        <v>63</v>
      </c>
      <c r="B10" s="27" t="s">
        <v>23</v>
      </c>
      <c r="C10" s="27">
        <v>8</v>
      </c>
      <c r="D10" s="27">
        <v>166</v>
      </c>
      <c r="E10" s="27" t="s">
        <v>64</v>
      </c>
      <c r="F10" s="27" t="s">
        <v>32</v>
      </c>
      <c r="G10" s="27" t="s">
        <v>65</v>
      </c>
      <c r="H10" s="27" t="s">
        <v>66</v>
      </c>
      <c r="I10" s="27" t="s">
        <v>55</v>
      </c>
      <c r="J10" s="27" t="s">
        <v>36</v>
      </c>
      <c r="K10" s="27">
        <v>72</v>
      </c>
      <c r="L10" s="27">
        <v>42</v>
      </c>
      <c r="M10" s="27">
        <v>35</v>
      </c>
      <c r="N10" s="27">
        <v>65</v>
      </c>
      <c r="O10" s="27" cm="1">
        <f t="array" ref="O10">_xlfn.IFS(
  characters[[#This Row],[Role]]="Tank",      120,
  characters[[#This Row],[Role]]="Support",   105,
  characters[[#This Row],[Role]]="Disruptor", 95,
  characters[[#This Row],[Role]]="Attacker",  80,
  TRUE(), 40
)
+ ROUND(characters[[#This Row],[Control]]*0.1, 0)
- ROUND(characters[[#This Row],[Speed]]*0.05, 0)</f>
        <v>81</v>
      </c>
      <c r="P10" s="28">
        <f>_xlfn.IFS(  characters[[#This Row],[Role]]="Tank",      120,  characters[[#This Row],[Role]]="Support",   90,  characters[[#This Row],[Role]]="Disruptor", 75,  characters[[#This Row],[Role]]="Attacker",  60,  TRUE(), 80)+ ROUND(characters[[#This Row],[Defense]]*0.3, 0)</f>
        <v>84</v>
      </c>
      <c r="Q10" s="28">
        <f>ROUND(  characters[[#This Row],[Control]] * 0.5  + characters[[#This Row],[Support]] * 0.3  - characters[[#This Row],[Speed]] * 0.1  + _xlfn.IFS(    characters[[#This Row],[Role]]="Tank",      20,    characters[[#This Row],[Role]]="Support",   15,    characters[[#This Row],[Role]]="Disruptor", 10,    characters[[#This Row],[Role]]="Attacker",  5,    TRUE(), 10  ), 0)</f>
        <v>30</v>
      </c>
      <c r="R10" s="28">
        <f>ROUND(  characters[[#This Row],[Control]] * 0.6  + characters[[#This Row],[Speed]] * 0.25  + characters[[#This Row],[Power]] * 0.1  - _xlfn.IFS(    characters[[#This Row],[Role]]="Attacker",  5,    characters[[#This Row],[Role]]="Tank",       8,    characters[[#This Row],[Role]]="Disruptor",  0,    characters[[#This Row],[Role]]="Support",    2,    TRUE(), 3  ), 0)</f>
        <v>44</v>
      </c>
      <c r="S10" s="28">
        <f>ROUND(  characters[[#This Row],[Defense]] * 0.5  + characters[[#This Row],[Control]] * 0.35  + characters[[#This Row],[Support]] * 0.1  + _xlfn.IFS(    characters[[#This Row],[Role]]="Tank",      10,    characters[[#This Row],[Role]]="Support",    5,    characters[[#This Row],[Role]]="Disruptor",  8,    characters[[#This Row],[Role]]="Attacker",   0,    TRUE(), 5  ), 0)</f>
        <v>59</v>
      </c>
      <c r="T10" s="28">
        <f>SUM(characters[[#This Row],[Power]:[Resilience]])</f>
        <v>512</v>
      </c>
      <c r="U10"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10" s="27" t="str" cm="1">
        <f t="array" ref="V10">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Skirmisher</v>
      </c>
      <c r="W10" s="31" t="s">
        <v>126</v>
      </c>
      <c r="X10" s="31" t="s">
        <v>162</v>
      </c>
      <c r="Y10" s="31" t="s">
        <v>186</v>
      </c>
      <c r="Z10" s="38" t="s">
        <v>246</v>
      </c>
    </row>
    <row r="11" spans="1:26" ht="28.5" customHeight="1" x14ac:dyDescent="0.3">
      <c r="A11" s="26" t="s">
        <v>67</v>
      </c>
      <c r="B11" s="27" t="s">
        <v>23</v>
      </c>
      <c r="C11" s="27">
        <v>6</v>
      </c>
      <c r="D11" s="27">
        <v>168</v>
      </c>
      <c r="E11" s="27" t="s">
        <v>41</v>
      </c>
      <c r="F11" s="27" t="s">
        <v>68</v>
      </c>
      <c r="G11" s="27" t="s">
        <v>26</v>
      </c>
      <c r="H11" s="27" t="s">
        <v>69</v>
      </c>
      <c r="I11" s="27" t="s">
        <v>55</v>
      </c>
      <c r="J11" s="27" t="s">
        <v>12</v>
      </c>
      <c r="K11" s="27">
        <v>35</v>
      </c>
      <c r="L11" s="27">
        <v>75</v>
      </c>
      <c r="M11" s="27">
        <v>117</v>
      </c>
      <c r="N11" s="27">
        <v>42</v>
      </c>
      <c r="O11" s="27" cm="1">
        <f t="array" ref="O11">_xlfn.IFS(
  characters[[#This Row],[Role]]="Tank",      120,
  characters[[#This Row],[Role]]="Support",   105,
  characters[[#This Row],[Role]]="Disruptor", 95,
  characters[[#This Row],[Role]]="Attacker",  80,
  TRUE(), 40
)
+ ROUND(characters[[#This Row],[Control]]*0.1, 0)
- ROUND(characters[[#This Row],[Speed]]*0.05, 0)</f>
        <v>111</v>
      </c>
      <c r="P11" s="28">
        <f>_xlfn.IFS(  characters[[#This Row],[Role]]="Tank",      120,  characters[[#This Row],[Role]]="Support",   90,  characters[[#This Row],[Role]]="Disruptor", 75,  characters[[#This Row],[Role]]="Attacker",  60,  TRUE(), 80)+ ROUND(characters[[#This Row],[Defense]]*0.3, 0)</f>
        <v>123</v>
      </c>
      <c r="Q11" s="28">
        <f>ROUND(  characters[[#This Row],[Control]] * 0.5  + characters[[#This Row],[Support]] * 0.3  - characters[[#This Row],[Speed]] * 0.1  + _xlfn.IFS(    characters[[#This Row],[Role]]="Tank",      20,    characters[[#This Row],[Role]]="Support",   15,    characters[[#This Row],[Role]]="Disruptor", 10,    characters[[#This Row],[Role]]="Attacker",  5,    TRUE(), 10  ), 0)</f>
        <v>83</v>
      </c>
      <c r="R11" s="28">
        <f>ROUND(  characters[[#This Row],[Control]] * 0.6  + characters[[#This Row],[Speed]] * 0.25  + characters[[#This Row],[Power]] * 0.1  - _xlfn.IFS(    characters[[#This Row],[Role]]="Attacker",  5,    characters[[#This Row],[Role]]="Tank",       8,    characters[[#This Row],[Role]]="Disruptor",  0,    characters[[#This Row],[Role]]="Support",    2,    TRUE(), 3  ), 0)</f>
        <v>57</v>
      </c>
      <c r="S11" s="28">
        <f>ROUND(  characters[[#This Row],[Defense]] * 0.5  + characters[[#This Row],[Control]] * 0.35  + characters[[#This Row],[Support]] * 0.1  + _xlfn.IFS(    characters[[#This Row],[Role]]="Tank",      10,    characters[[#This Row],[Role]]="Support",    5,    characters[[#This Row],[Role]]="Disruptor",  8,    characters[[#This Row],[Role]]="Attacker",   0,    TRUE(), 5  ), 0)</f>
        <v>98</v>
      </c>
      <c r="T11" s="28">
        <f>SUM(characters[[#This Row],[Power]:[Resilience]])</f>
        <v>741</v>
      </c>
      <c r="U11"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11" s="27" t="str" cm="1">
        <f t="array" ref="V11">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11" s="31" t="s">
        <v>127</v>
      </c>
      <c r="X11" s="31" t="s">
        <v>163</v>
      </c>
      <c r="Y11" s="31" t="s">
        <v>190</v>
      </c>
      <c r="Z11" s="38" t="s">
        <v>248</v>
      </c>
    </row>
    <row r="12" spans="1:26" ht="28.5" customHeight="1" x14ac:dyDescent="0.3">
      <c r="A12" s="26" t="s">
        <v>70</v>
      </c>
      <c r="B12" s="27" t="s">
        <v>23</v>
      </c>
      <c r="C12" s="27">
        <v>6</v>
      </c>
      <c r="D12" s="27">
        <v>167</v>
      </c>
      <c r="E12" s="27" t="s">
        <v>31</v>
      </c>
      <c r="F12" s="27" t="s">
        <v>38</v>
      </c>
      <c r="G12" s="27" t="s">
        <v>33</v>
      </c>
      <c r="H12" s="27" t="s">
        <v>71</v>
      </c>
      <c r="I12" s="27" t="s">
        <v>28</v>
      </c>
      <c r="J12" s="27" t="s">
        <v>36</v>
      </c>
      <c r="K12" s="27">
        <v>80</v>
      </c>
      <c r="L12" s="27">
        <v>38</v>
      </c>
      <c r="M12" s="27">
        <v>22</v>
      </c>
      <c r="N12" s="27">
        <v>98</v>
      </c>
      <c r="O12" s="27" cm="1">
        <f t="array" ref="O12">_xlfn.IFS(
  characters[[#This Row],[Role]]="Tank",      120,
  characters[[#This Row],[Role]]="Support",   105,
  characters[[#This Row],[Role]]="Disruptor", 95,
  characters[[#This Row],[Role]]="Attacker",  80,
  TRUE(), 40
)
+ ROUND(characters[[#This Row],[Control]]*0.1, 0)
- ROUND(characters[[#This Row],[Speed]]*0.05, 0)</f>
        <v>79</v>
      </c>
      <c r="P12" s="28">
        <f>_xlfn.IFS(  characters[[#This Row],[Role]]="Tank",      120,  characters[[#This Row],[Role]]="Support",   90,  characters[[#This Row],[Role]]="Disruptor", 75,  characters[[#This Row],[Role]]="Attacker",  60,  TRUE(), 80)+ ROUND(characters[[#This Row],[Defense]]*0.3, 0)</f>
        <v>84</v>
      </c>
      <c r="Q12" s="28">
        <f>ROUND(  characters[[#This Row],[Control]] * 0.5  + characters[[#This Row],[Support]] * 0.3  - characters[[#This Row],[Speed]] * 0.1  + _xlfn.IFS(    characters[[#This Row],[Role]]="Tank",      20,    characters[[#This Row],[Role]]="Support",   15,    characters[[#This Row],[Role]]="Disruptor", 10,    characters[[#This Row],[Role]]="Attacker",  5,    TRUE(), 10  ), 0)</f>
        <v>21</v>
      </c>
      <c r="R12" s="28">
        <f>ROUND(  characters[[#This Row],[Control]] * 0.6  + characters[[#This Row],[Speed]] * 0.25  + characters[[#This Row],[Power]] * 0.1  - _xlfn.IFS(    characters[[#This Row],[Role]]="Attacker",  5,    characters[[#This Row],[Role]]="Tank",       8,    characters[[#This Row],[Role]]="Disruptor",  0,    characters[[#This Row],[Role]]="Support",    2,    TRUE(), 3  ), 0)</f>
        <v>50</v>
      </c>
      <c r="S12" s="28">
        <f>ROUND(  characters[[#This Row],[Defense]] * 0.5  + characters[[#This Row],[Control]] * 0.35  + characters[[#This Row],[Support]] * 0.1  + _xlfn.IFS(    characters[[#This Row],[Role]]="Tank",      10,    characters[[#This Row],[Role]]="Support",    5,    characters[[#This Row],[Role]]="Disruptor",  8,    characters[[#This Row],[Role]]="Attacker",   0,    TRUE(), 5  ), 0)</f>
        <v>55</v>
      </c>
      <c r="T12" s="28">
        <f>SUM(characters[[#This Row],[Power]:[Resilience]])</f>
        <v>527</v>
      </c>
      <c r="U12"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12" s="27" t="str" cm="1">
        <f t="array" ref="V12">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12" s="31" t="s">
        <v>128</v>
      </c>
      <c r="X12" s="31" t="s">
        <v>164</v>
      </c>
      <c r="Y12" s="31" t="s">
        <v>187</v>
      </c>
      <c r="Z12" s="38" t="s">
        <v>247</v>
      </c>
    </row>
    <row r="13" spans="1:26" ht="28.5" customHeight="1" x14ac:dyDescent="0.3">
      <c r="A13" s="26" t="s">
        <v>72</v>
      </c>
      <c r="B13" s="27" t="s">
        <v>23</v>
      </c>
      <c r="C13" s="27">
        <v>6</v>
      </c>
      <c r="D13" s="27">
        <v>171</v>
      </c>
      <c r="E13" s="27" t="s">
        <v>41</v>
      </c>
      <c r="F13" s="27" t="s">
        <v>25</v>
      </c>
      <c r="G13" s="27" t="s">
        <v>39</v>
      </c>
      <c r="H13" s="27" t="s">
        <v>44</v>
      </c>
      <c r="I13" s="27" t="s">
        <v>45</v>
      </c>
      <c r="J13" s="27" t="s">
        <v>12</v>
      </c>
      <c r="K13" s="27">
        <v>50</v>
      </c>
      <c r="L13" s="27">
        <v>60</v>
      </c>
      <c r="M13" s="27">
        <v>72</v>
      </c>
      <c r="N13" s="27">
        <v>45</v>
      </c>
      <c r="O13" s="27" cm="1">
        <f t="array" ref="O13">_xlfn.IFS(
  characters[[#This Row],[Role]]="Tank",      120,
  characters[[#This Row],[Role]]="Support",   105,
  characters[[#This Row],[Role]]="Disruptor", 95,
  characters[[#This Row],[Role]]="Attacker",  80,
  TRUE(), 40
)
+ ROUND(characters[[#This Row],[Control]]*0.1, 0)
- ROUND(characters[[#This Row],[Speed]]*0.05, 0)</f>
        <v>109</v>
      </c>
      <c r="P13" s="28">
        <f>_xlfn.IFS(  characters[[#This Row],[Role]]="Tank",      120,  characters[[#This Row],[Role]]="Support",   90,  characters[[#This Row],[Role]]="Disruptor", 75,  characters[[#This Row],[Role]]="Attacker",  60,  TRUE(), 80)+ ROUND(characters[[#This Row],[Defense]]*0.3, 0)</f>
        <v>123</v>
      </c>
      <c r="Q13" s="28">
        <f>ROUND(  characters[[#This Row],[Control]] * 0.5  + characters[[#This Row],[Support]] * 0.3  - characters[[#This Row],[Speed]] * 0.1  + _xlfn.IFS(    characters[[#This Row],[Role]]="Tank",      20,    characters[[#This Row],[Role]]="Support",   15,    characters[[#This Row],[Role]]="Disruptor", 10,    characters[[#This Row],[Role]]="Attacker",  5,    TRUE(), 10  ), 0)</f>
        <v>62</v>
      </c>
      <c r="R13" s="28">
        <f>ROUND(  characters[[#This Row],[Control]] * 0.6  + characters[[#This Row],[Speed]] * 0.25  + characters[[#This Row],[Power]] * 0.1  - _xlfn.IFS(    characters[[#This Row],[Role]]="Attacker",  5,    characters[[#This Row],[Role]]="Tank",       8,    characters[[#This Row],[Role]]="Disruptor",  0,    characters[[#This Row],[Role]]="Support",    2,    TRUE(), 3  ), 0)</f>
        <v>50</v>
      </c>
      <c r="S13" s="28">
        <f>ROUND(  characters[[#This Row],[Defense]] * 0.5  + characters[[#This Row],[Control]] * 0.35  + characters[[#This Row],[Support]] * 0.1  + _xlfn.IFS(    characters[[#This Row],[Role]]="Tank",      10,    characters[[#This Row],[Role]]="Support",    5,    characters[[#This Row],[Role]]="Disruptor",  8,    characters[[#This Row],[Role]]="Attacker",   0,    TRUE(), 5  ), 0)</f>
        <v>88</v>
      </c>
      <c r="T13" s="28">
        <f>SUM(characters[[#This Row],[Power]:[Resilience]])</f>
        <v>659</v>
      </c>
      <c r="U13"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13" s="27" t="str" cm="1">
        <f t="array" ref="V13">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Support</v>
      </c>
      <c r="W13" s="31" t="s">
        <v>129</v>
      </c>
      <c r="X13" s="31" t="s">
        <v>165</v>
      </c>
      <c r="Y13" s="31" t="s">
        <v>185</v>
      </c>
      <c r="Z13" s="38" t="s">
        <v>246</v>
      </c>
    </row>
    <row r="14" spans="1:26" ht="28.5" customHeight="1" x14ac:dyDescent="0.3">
      <c r="A14" s="26" t="s">
        <v>73</v>
      </c>
      <c r="B14" s="27" t="s">
        <v>23</v>
      </c>
      <c r="C14" s="27">
        <v>6</v>
      </c>
      <c r="D14" s="27">
        <v>168</v>
      </c>
      <c r="E14" s="27" t="s">
        <v>41</v>
      </c>
      <c r="F14" s="27" t="s">
        <v>74</v>
      </c>
      <c r="G14" s="27" t="s">
        <v>57</v>
      </c>
      <c r="H14" s="27" t="s">
        <v>75</v>
      </c>
      <c r="I14" s="27" t="s">
        <v>28</v>
      </c>
      <c r="J14" s="27" t="s">
        <v>46</v>
      </c>
      <c r="K14" s="27">
        <v>45</v>
      </c>
      <c r="L14" s="27">
        <v>82</v>
      </c>
      <c r="M14" s="27">
        <v>48</v>
      </c>
      <c r="N14" s="27">
        <v>50</v>
      </c>
      <c r="O14" s="27" cm="1">
        <f t="array" ref="O14">_xlfn.IFS(
  characters[[#This Row],[Role]]="Tank",      120,
  characters[[#This Row],[Role]]="Support",   105,
  characters[[#This Row],[Role]]="Disruptor", 95,
  characters[[#This Row],[Role]]="Attacker",  80,
  TRUE(), 40
)
+ ROUND(characters[[#This Row],[Control]]*0.1, 0)
- ROUND(characters[[#This Row],[Speed]]*0.05, 0)</f>
        <v>100</v>
      </c>
      <c r="P14" s="28">
        <f>_xlfn.IFS(  characters[[#This Row],[Role]]="Tank",      120,  characters[[#This Row],[Role]]="Support",   90,  characters[[#This Row],[Role]]="Disruptor", 75,  characters[[#This Row],[Role]]="Attacker",  60,  TRUE(), 80)+ ROUND(characters[[#This Row],[Defense]]*0.3, 0)</f>
        <v>105</v>
      </c>
      <c r="Q14" s="28">
        <f>ROUND(  characters[[#This Row],[Control]] * 0.5  + characters[[#This Row],[Support]] * 0.3  - characters[[#This Row],[Speed]] * 0.1  + _xlfn.IFS(    characters[[#This Row],[Role]]="Tank",      20,    characters[[#This Row],[Role]]="Support",   15,    characters[[#This Row],[Role]]="Disruptor", 10,    characters[[#This Row],[Role]]="Attacker",  5,    TRUE(), 10  ), 0)</f>
        <v>60</v>
      </c>
      <c r="R14" s="28">
        <f>ROUND(  characters[[#This Row],[Control]] * 0.6  + characters[[#This Row],[Speed]] * 0.25  + characters[[#This Row],[Power]] * 0.1  - _xlfn.IFS(    characters[[#This Row],[Role]]="Attacker",  5,    characters[[#This Row],[Role]]="Tank",       8,    characters[[#This Row],[Role]]="Disruptor",  0,    characters[[#This Row],[Role]]="Support",    2,    TRUE(), 3  ), 0)</f>
        <v>66</v>
      </c>
      <c r="S14" s="28">
        <f>ROUND(  characters[[#This Row],[Defense]] * 0.5  + characters[[#This Row],[Control]] * 0.35  + characters[[#This Row],[Support]] * 0.1  + _xlfn.IFS(    characters[[#This Row],[Role]]="Tank",      10,    characters[[#This Row],[Role]]="Support",    5,    characters[[#This Row],[Role]]="Disruptor",  8,    characters[[#This Row],[Role]]="Attacker",   0,    TRUE(), 5  ), 0)</f>
        <v>92</v>
      </c>
      <c r="T14" s="28">
        <f>SUM(characters[[#This Row],[Power]:[Resilience]])</f>
        <v>648</v>
      </c>
      <c r="U14"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14" s="27" t="str" cm="1">
        <f t="array" ref="V14">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Disruptor</v>
      </c>
      <c r="W14" s="31" t="s">
        <v>130</v>
      </c>
      <c r="X14" s="31" t="s">
        <v>166</v>
      </c>
      <c r="Y14" s="31" t="s">
        <v>191</v>
      </c>
      <c r="Z14" s="38" t="s">
        <v>247</v>
      </c>
    </row>
    <row r="15" spans="1:26" ht="28.5" customHeight="1" x14ac:dyDescent="0.3">
      <c r="A15" s="26" t="s">
        <v>76</v>
      </c>
      <c r="B15" s="27" t="s">
        <v>77</v>
      </c>
      <c r="C15" s="27">
        <v>7</v>
      </c>
      <c r="D15" s="27">
        <v>172</v>
      </c>
      <c r="E15" s="27" t="s">
        <v>52</v>
      </c>
      <c r="F15" s="27" t="s">
        <v>61</v>
      </c>
      <c r="G15" s="27" t="s">
        <v>33</v>
      </c>
      <c r="H15" s="27" t="s">
        <v>78</v>
      </c>
      <c r="I15" s="27" t="s">
        <v>35</v>
      </c>
      <c r="J15" s="27" t="s">
        <v>62</v>
      </c>
      <c r="K15" s="27">
        <v>103</v>
      </c>
      <c r="L15" s="27">
        <v>58</v>
      </c>
      <c r="M15" s="27">
        <v>15</v>
      </c>
      <c r="N15" s="27">
        <v>72</v>
      </c>
      <c r="O15" s="27" cm="1">
        <f t="array" ref="O15">_xlfn.IFS(
  characters[[#This Row],[Role]]="Tank",      120,
  characters[[#This Row],[Role]]="Support",   105,
  characters[[#This Row],[Role]]="Disruptor", 95,
  characters[[#This Row],[Role]]="Attacker",  80,
  TRUE(), 40
)
+ ROUND(characters[[#This Row],[Control]]*0.1, 0)
- ROUND(characters[[#This Row],[Speed]]*0.05, 0)</f>
        <v>122</v>
      </c>
      <c r="P15" s="28">
        <f>_xlfn.IFS(  characters[[#This Row],[Role]]="Tank",      120,  characters[[#This Row],[Role]]="Support",   90,  characters[[#This Row],[Role]]="Disruptor", 75,  characters[[#This Row],[Role]]="Attacker",  60,  TRUE(), 80)+ ROUND(characters[[#This Row],[Defense]]*0.3, 0)</f>
        <v>157</v>
      </c>
      <c r="Q15" s="28">
        <f>ROUND(  characters[[#This Row],[Control]] * 0.5  + characters[[#This Row],[Support]] * 0.3  - characters[[#This Row],[Speed]] * 0.1  + _xlfn.IFS(    characters[[#This Row],[Role]]="Tank",      20,    characters[[#This Row],[Role]]="Support",   15,    characters[[#This Row],[Role]]="Disruptor", 10,    characters[[#This Row],[Role]]="Attacker",  5,    TRUE(), 10  ), 0)</f>
        <v>46</v>
      </c>
      <c r="R15" s="28">
        <f>ROUND(  characters[[#This Row],[Control]] * 0.6  + characters[[#This Row],[Speed]] * 0.25  + characters[[#This Row],[Power]] * 0.1  - _xlfn.IFS(    characters[[#This Row],[Role]]="Attacker",  5,    characters[[#This Row],[Role]]="Tank",       8,    characters[[#This Row],[Role]]="Disruptor",  0,    characters[[#This Row],[Role]]="Support",    2,    TRUE(), 3  ), 0)</f>
        <v>55</v>
      </c>
      <c r="S15" s="28">
        <f>ROUND(  characters[[#This Row],[Defense]] * 0.5  + characters[[#This Row],[Control]] * 0.35  + characters[[#This Row],[Support]] * 0.1  + _xlfn.IFS(    characters[[#This Row],[Role]]="Tank",      10,    characters[[#This Row],[Role]]="Support",    5,    characters[[#This Row],[Role]]="Disruptor",  8,    characters[[#This Row],[Role]]="Attacker",   0,    TRUE(), 5  ), 0)</f>
        <v>93</v>
      </c>
      <c r="T15" s="28">
        <f>SUM(characters[[#This Row],[Power]:[Resilience]])</f>
        <v>721</v>
      </c>
      <c r="U15"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1</v>
      </c>
      <c r="V15" s="27" t="str" cm="1">
        <f t="array" ref="V15">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Vanguard</v>
      </c>
      <c r="W15" s="31" t="s">
        <v>131</v>
      </c>
      <c r="X15" s="31" t="s">
        <v>167</v>
      </c>
      <c r="Y15" s="31" t="s">
        <v>189</v>
      </c>
      <c r="Z15" s="38" t="s">
        <v>248</v>
      </c>
    </row>
    <row r="16" spans="1:26" ht="28.5" customHeight="1" x14ac:dyDescent="0.3">
      <c r="A16" s="26" t="s">
        <v>79</v>
      </c>
      <c r="B16" s="27" t="s">
        <v>30</v>
      </c>
      <c r="C16" s="27">
        <v>2</v>
      </c>
      <c r="D16" s="27">
        <v>173</v>
      </c>
      <c r="E16" s="27" t="s">
        <v>60</v>
      </c>
      <c r="F16" s="27" t="s">
        <v>80</v>
      </c>
      <c r="G16" s="27" t="s">
        <v>26</v>
      </c>
      <c r="H16" s="27" t="s">
        <v>81</v>
      </c>
      <c r="I16" s="27" t="s">
        <v>45</v>
      </c>
      <c r="J16" s="27" t="s">
        <v>36</v>
      </c>
      <c r="K16" s="27">
        <v>150</v>
      </c>
      <c r="L16" s="27">
        <v>90</v>
      </c>
      <c r="M16" s="27">
        <v>24</v>
      </c>
      <c r="N16" s="27">
        <v>142</v>
      </c>
      <c r="O16" s="27" cm="1">
        <f t="array" ref="O16">_xlfn.IFS(
  characters[[#This Row],[Role]]="Tank",      120,
  characters[[#This Row],[Role]]="Support",   105,
  characters[[#This Row],[Role]]="Disruptor", 95,
  characters[[#This Row],[Role]]="Attacker",  80,
  TRUE(), 40
)
+ ROUND(characters[[#This Row],[Control]]*0.1, 0)
- ROUND(characters[[#This Row],[Speed]]*0.05, 0)</f>
        <v>82</v>
      </c>
      <c r="P16" s="28">
        <f>_xlfn.IFS(  characters[[#This Row],[Role]]="Tank",      120,  characters[[#This Row],[Role]]="Support",   90,  characters[[#This Row],[Role]]="Disruptor", 75,  characters[[#This Row],[Role]]="Attacker",  60,  TRUE(), 80)+ ROUND(characters[[#This Row],[Defense]]*0.3, 0)</f>
        <v>85</v>
      </c>
      <c r="Q16" s="28">
        <f>ROUND(  characters[[#This Row],[Control]] * 0.5  + characters[[#This Row],[Support]] * 0.3  - characters[[#This Row],[Speed]] * 0.1  + _xlfn.IFS(    characters[[#This Row],[Role]]="Tank",      20,    characters[[#This Row],[Role]]="Support",   15,    characters[[#This Row],[Role]]="Disruptor", 10,    characters[[#This Row],[Role]]="Attacker",  5,    TRUE(), 10  ), 0)</f>
        <v>43</v>
      </c>
      <c r="R16" s="28">
        <f>ROUND(  characters[[#This Row],[Control]] * 0.6  + characters[[#This Row],[Speed]] * 0.25  + characters[[#This Row],[Power]] * 0.1  - _xlfn.IFS(    characters[[#This Row],[Role]]="Attacker",  5,    characters[[#This Row],[Role]]="Tank",       8,    characters[[#This Row],[Role]]="Disruptor",  0,    characters[[#This Row],[Role]]="Support",    2,    TRUE(), 3  ), 0)</f>
        <v>100</v>
      </c>
      <c r="S16" s="28">
        <f>ROUND(  characters[[#This Row],[Defense]] * 0.5  + characters[[#This Row],[Control]] * 0.35  + characters[[#This Row],[Support]] * 0.1  + _xlfn.IFS(    characters[[#This Row],[Role]]="Tank",      10,    characters[[#This Row],[Role]]="Support",    5,    characters[[#This Row],[Role]]="Disruptor",  8,    characters[[#This Row],[Role]]="Attacker",   0,    TRUE(), 5  ), 0)</f>
        <v>75</v>
      </c>
      <c r="T16" s="28">
        <f>SUM(characters[[#This Row],[Power]:[Resilience]])</f>
        <v>791</v>
      </c>
      <c r="U16"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5</v>
      </c>
      <c r="V16" s="27" t="str" cm="1">
        <f t="array" ref="V16">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Blitz</v>
      </c>
      <c r="W16" s="31" t="s">
        <v>132</v>
      </c>
      <c r="X16" s="31" t="s">
        <v>168</v>
      </c>
      <c r="Y16" s="31" t="s">
        <v>192</v>
      </c>
      <c r="Z16" s="38" t="s">
        <v>249</v>
      </c>
    </row>
    <row r="17" spans="1:26" ht="28.5" customHeight="1" x14ac:dyDescent="0.3">
      <c r="A17" s="26" t="s">
        <v>82</v>
      </c>
      <c r="B17" s="27" t="s">
        <v>23</v>
      </c>
      <c r="C17" s="27">
        <v>2</v>
      </c>
      <c r="D17" s="27">
        <v>167</v>
      </c>
      <c r="E17" s="27" t="s">
        <v>24</v>
      </c>
      <c r="F17" s="27" t="s">
        <v>25</v>
      </c>
      <c r="G17" s="27" t="s">
        <v>43</v>
      </c>
      <c r="H17" s="27" t="s">
        <v>75</v>
      </c>
      <c r="I17" s="27" t="s">
        <v>28</v>
      </c>
      <c r="J17" s="27" t="s">
        <v>12</v>
      </c>
      <c r="K17" s="27">
        <v>40</v>
      </c>
      <c r="L17" s="27">
        <v>78</v>
      </c>
      <c r="M17" s="27">
        <v>65</v>
      </c>
      <c r="N17" s="27">
        <v>60</v>
      </c>
      <c r="O17" s="27" cm="1">
        <f t="array" ref="O17">_xlfn.IFS(
  characters[[#This Row],[Role]]="Tank",      120,
  characters[[#This Row],[Role]]="Support",   105,
  characters[[#This Row],[Role]]="Disruptor", 95,
  characters[[#This Row],[Role]]="Attacker",  80,
  TRUE(), 40
)
+ ROUND(characters[[#This Row],[Control]]*0.1, 0)
- ROUND(characters[[#This Row],[Speed]]*0.05, 0)</f>
        <v>110</v>
      </c>
      <c r="P17" s="28">
        <f>_xlfn.IFS(  characters[[#This Row],[Role]]="Tank",      120,  characters[[#This Row],[Role]]="Support",   90,  characters[[#This Row],[Role]]="Disruptor", 75,  characters[[#This Row],[Role]]="Attacker",  60,  TRUE(), 80)+ ROUND(characters[[#This Row],[Defense]]*0.3, 0)</f>
        <v>123</v>
      </c>
      <c r="Q17" s="28">
        <f>ROUND(  characters[[#This Row],[Control]] * 0.5  + characters[[#This Row],[Support]] * 0.3  - characters[[#This Row],[Speed]] * 0.1  + _xlfn.IFS(    characters[[#This Row],[Role]]="Tank",      20,    characters[[#This Row],[Role]]="Support",   15,    characters[[#This Row],[Role]]="Disruptor", 10,    characters[[#This Row],[Role]]="Attacker",  5,    TRUE(), 10  ), 0)</f>
        <v>68</v>
      </c>
      <c r="R17" s="28">
        <f>ROUND(  characters[[#This Row],[Control]] * 0.6  + characters[[#This Row],[Speed]] * 0.25  + characters[[#This Row],[Power]] * 0.1  - _xlfn.IFS(    characters[[#This Row],[Role]]="Attacker",  5,    characters[[#This Row],[Role]]="Tank",       8,    characters[[#This Row],[Role]]="Disruptor",  0,    characters[[#This Row],[Role]]="Support",    2,    TRUE(), 3  ), 0)</f>
        <v>64</v>
      </c>
      <c r="S17" s="28">
        <f>ROUND(  characters[[#This Row],[Defense]] * 0.5  + characters[[#This Row],[Control]] * 0.35  + characters[[#This Row],[Support]] * 0.1  + _xlfn.IFS(    characters[[#This Row],[Role]]="Tank",      10,    characters[[#This Row],[Role]]="Support",    5,    characters[[#This Row],[Role]]="Disruptor",  8,    characters[[#This Row],[Role]]="Attacker",   0,    TRUE(), 5  ), 0)</f>
        <v>94</v>
      </c>
      <c r="T17" s="28">
        <f>SUM(characters[[#This Row],[Power]:[Resilience]])</f>
        <v>702</v>
      </c>
      <c r="U17"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17" s="27" t="str" cm="1">
        <f t="array" ref="V17">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Battle Medic</v>
      </c>
      <c r="W17" s="31" t="s">
        <v>118</v>
      </c>
      <c r="X17" s="31" t="s">
        <v>169</v>
      </c>
      <c r="Y17" s="31" t="s">
        <v>185</v>
      </c>
      <c r="Z17" s="38" t="s">
        <v>246</v>
      </c>
    </row>
    <row r="18" spans="1:26" ht="28.5" customHeight="1" x14ac:dyDescent="0.3">
      <c r="A18" s="26" t="s">
        <v>83</v>
      </c>
      <c r="B18" s="27" t="s">
        <v>23</v>
      </c>
      <c r="C18" s="27">
        <v>4</v>
      </c>
      <c r="D18" s="27">
        <v>163</v>
      </c>
      <c r="E18" s="27" t="s">
        <v>48</v>
      </c>
      <c r="F18" s="27" t="s">
        <v>42</v>
      </c>
      <c r="G18" s="27" t="s">
        <v>39</v>
      </c>
      <c r="H18" s="27" t="s">
        <v>44</v>
      </c>
      <c r="I18" s="27" t="s">
        <v>45</v>
      </c>
      <c r="J18" s="27" t="s">
        <v>12</v>
      </c>
      <c r="K18" s="27">
        <v>55</v>
      </c>
      <c r="L18" s="27">
        <v>50</v>
      </c>
      <c r="M18" s="27">
        <v>80</v>
      </c>
      <c r="N18" s="27">
        <v>60</v>
      </c>
      <c r="O18" s="27" cm="1">
        <f t="array" ref="O18">_xlfn.IFS(
  characters[[#This Row],[Role]]="Tank",      120,
  characters[[#This Row],[Role]]="Support",   105,
  characters[[#This Row],[Role]]="Disruptor", 95,
  characters[[#This Row],[Role]]="Attacker",  80,
  TRUE(), 40
)
+ ROUND(characters[[#This Row],[Control]]*0.1, 0)
- ROUND(characters[[#This Row],[Speed]]*0.05, 0)</f>
        <v>107</v>
      </c>
      <c r="P18" s="28">
        <f>_xlfn.IFS(  characters[[#This Row],[Role]]="Tank",      120,  characters[[#This Row],[Role]]="Support",   90,  characters[[#This Row],[Role]]="Disruptor", 75,  characters[[#This Row],[Role]]="Attacker",  60,  TRUE(), 80)+ ROUND(characters[[#This Row],[Defense]]*0.3, 0)</f>
        <v>122</v>
      </c>
      <c r="Q18" s="28">
        <f>ROUND(  characters[[#This Row],[Control]] * 0.5  + characters[[#This Row],[Support]] * 0.3  - characters[[#This Row],[Speed]] * 0.1  + _xlfn.IFS(    characters[[#This Row],[Role]]="Tank",      20,    characters[[#This Row],[Role]]="Support",   15,    characters[[#This Row],[Role]]="Disruptor", 10,    characters[[#This Row],[Role]]="Attacker",  5,    TRUE(), 10  ), 0)</f>
        <v>58</v>
      </c>
      <c r="R18" s="28">
        <f>ROUND(  characters[[#This Row],[Control]] * 0.6  + characters[[#This Row],[Speed]] * 0.25  + characters[[#This Row],[Power]] * 0.1  - _xlfn.IFS(    characters[[#This Row],[Role]]="Attacker",  5,    characters[[#This Row],[Role]]="Tank",       8,    characters[[#This Row],[Role]]="Disruptor",  0,    characters[[#This Row],[Role]]="Support",    2,    TRUE(), 3  ), 0)</f>
        <v>49</v>
      </c>
      <c r="S18" s="28">
        <f>ROUND(  characters[[#This Row],[Defense]] * 0.5  + characters[[#This Row],[Control]] * 0.35  + characters[[#This Row],[Support]] * 0.1  + _xlfn.IFS(    characters[[#This Row],[Role]]="Tank",      10,    characters[[#This Row],[Role]]="Support",    5,    characters[[#This Row],[Role]]="Disruptor",  8,    characters[[#This Row],[Role]]="Attacker",   0,    TRUE(), 5  ), 0)</f>
        <v>84</v>
      </c>
      <c r="T18" s="28">
        <f>SUM(characters[[#This Row],[Power]:[Resilience]])</f>
        <v>665</v>
      </c>
      <c r="U18"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18" s="27" t="str" cm="1">
        <f t="array" ref="V18">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Support</v>
      </c>
      <c r="W18" s="31" t="s">
        <v>133</v>
      </c>
      <c r="X18" s="31" t="s">
        <v>170</v>
      </c>
      <c r="Y18" s="31" t="s">
        <v>188</v>
      </c>
      <c r="Z18" s="38" t="s">
        <v>246</v>
      </c>
    </row>
    <row r="19" spans="1:26" ht="28.5" customHeight="1" x14ac:dyDescent="0.3">
      <c r="A19" s="26" t="s">
        <v>84</v>
      </c>
      <c r="B19" s="27" t="s">
        <v>30</v>
      </c>
      <c r="C19" s="27">
        <v>5</v>
      </c>
      <c r="D19" s="27">
        <v>169</v>
      </c>
      <c r="E19" s="27" t="s">
        <v>60</v>
      </c>
      <c r="F19" s="27" t="s">
        <v>85</v>
      </c>
      <c r="G19" s="27" t="s">
        <v>86</v>
      </c>
      <c r="H19" s="27" t="s">
        <v>50</v>
      </c>
      <c r="I19" s="27" t="s">
        <v>28</v>
      </c>
      <c r="J19" s="27" t="s">
        <v>12</v>
      </c>
      <c r="K19" s="27">
        <v>55</v>
      </c>
      <c r="L19" s="27">
        <v>70</v>
      </c>
      <c r="M19" s="27">
        <v>106</v>
      </c>
      <c r="N19" s="27">
        <v>62</v>
      </c>
      <c r="O19" s="27" cm="1">
        <f t="array" ref="O19">_xlfn.IFS(
  characters[[#This Row],[Role]]="Tank",      120,
  characters[[#This Row],[Role]]="Support",   105,
  characters[[#This Row],[Role]]="Disruptor", 95,
  characters[[#This Row],[Role]]="Attacker",  80,
  TRUE(), 40
)
+ ROUND(characters[[#This Row],[Control]]*0.1, 0)
- ROUND(characters[[#This Row],[Speed]]*0.05, 0)</f>
        <v>109</v>
      </c>
      <c r="P19" s="28">
        <f>_xlfn.IFS(  characters[[#This Row],[Role]]="Tank",      120,  characters[[#This Row],[Role]]="Support",   90,  characters[[#This Row],[Role]]="Disruptor", 75,  characters[[#This Row],[Role]]="Attacker",  60,  TRUE(), 80)+ ROUND(characters[[#This Row],[Defense]]*0.3, 0)</f>
        <v>123</v>
      </c>
      <c r="Q19" s="28">
        <f>ROUND(  characters[[#This Row],[Control]] * 0.5  + characters[[#This Row],[Support]] * 0.3  - characters[[#This Row],[Speed]] * 0.1  + _xlfn.IFS(    characters[[#This Row],[Role]]="Tank",      20,    characters[[#This Row],[Role]]="Support",   15,    characters[[#This Row],[Role]]="Disruptor", 10,    characters[[#This Row],[Role]]="Attacker",  5,    TRUE(), 10  ), 0)</f>
        <v>76</v>
      </c>
      <c r="R19" s="28">
        <f>ROUND(  characters[[#This Row],[Control]] * 0.6  + characters[[#This Row],[Speed]] * 0.25  + characters[[#This Row],[Power]] * 0.1  - _xlfn.IFS(    characters[[#This Row],[Role]]="Attacker",  5,    characters[[#This Row],[Role]]="Tank",       8,    characters[[#This Row],[Role]]="Disruptor",  0,    characters[[#This Row],[Role]]="Support",    2,    TRUE(), 3  ), 0)</f>
        <v>61</v>
      </c>
      <c r="S19" s="28">
        <f>ROUND(  characters[[#This Row],[Defense]] * 0.5  + characters[[#This Row],[Control]] * 0.35  + characters[[#This Row],[Support]] * 0.1  + _xlfn.IFS(    characters[[#This Row],[Role]]="Tank",      10,    characters[[#This Row],[Role]]="Support",    5,    characters[[#This Row],[Role]]="Disruptor",  8,    characters[[#This Row],[Role]]="Attacker",   0,    TRUE(), 5  ), 0)</f>
        <v>95</v>
      </c>
      <c r="T19" s="28">
        <f>SUM(characters[[#This Row],[Power]:[Resilience]])</f>
        <v>757</v>
      </c>
      <c r="U19"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19" s="27" t="str" cm="1">
        <f t="array" ref="V19">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19" s="31" t="s">
        <v>134</v>
      </c>
      <c r="X19" s="31" t="s">
        <v>171</v>
      </c>
      <c r="Y19" s="31" t="s">
        <v>193</v>
      </c>
      <c r="Z19" s="38" t="s">
        <v>248</v>
      </c>
    </row>
    <row r="20" spans="1:26" ht="28.5" customHeight="1" x14ac:dyDescent="0.3">
      <c r="A20" s="26" t="s">
        <v>87</v>
      </c>
      <c r="B20" s="27" t="s">
        <v>23</v>
      </c>
      <c r="C20" s="27">
        <v>1</v>
      </c>
      <c r="D20" s="27">
        <v>175</v>
      </c>
      <c r="E20" s="27" t="s">
        <v>48</v>
      </c>
      <c r="F20" s="27" t="s">
        <v>88</v>
      </c>
      <c r="G20" s="27" t="s">
        <v>26</v>
      </c>
      <c r="H20" s="27" t="s">
        <v>89</v>
      </c>
      <c r="I20" s="27" t="s">
        <v>35</v>
      </c>
      <c r="J20" s="27" t="s">
        <v>46</v>
      </c>
      <c r="K20" s="27">
        <v>72</v>
      </c>
      <c r="L20" s="27">
        <v>120</v>
      </c>
      <c r="M20" s="27">
        <v>30</v>
      </c>
      <c r="N20" s="27">
        <v>55</v>
      </c>
      <c r="O20" s="27" cm="1">
        <f t="array" ref="O20">_xlfn.IFS(
  characters[[#This Row],[Role]]="Tank",      120,
  characters[[#This Row],[Role]]="Support",   105,
  characters[[#This Row],[Role]]="Disruptor", 95,
  characters[[#This Row],[Role]]="Attacker",  80,
  TRUE(), 40
)
+ ROUND(characters[[#This Row],[Control]]*0.1, 0)
- ROUND(characters[[#This Row],[Speed]]*0.05, 0)</f>
        <v>104</v>
      </c>
      <c r="P20" s="28">
        <f>_xlfn.IFS(  characters[[#This Row],[Role]]="Tank",      120,  characters[[#This Row],[Role]]="Support",   90,  characters[[#This Row],[Role]]="Disruptor", 75,  characters[[#This Row],[Role]]="Attacker",  60,  TRUE(), 80)+ ROUND(characters[[#This Row],[Defense]]*0.3, 0)</f>
        <v>106</v>
      </c>
      <c r="Q20" s="28">
        <f>ROUND(  characters[[#This Row],[Control]] * 0.5  + characters[[#This Row],[Support]] * 0.3  - characters[[#This Row],[Speed]] * 0.1  + _xlfn.IFS(    characters[[#This Row],[Role]]="Tank",      20,    characters[[#This Row],[Role]]="Support",   15,    characters[[#This Row],[Role]]="Disruptor", 10,    characters[[#This Row],[Role]]="Attacker",  5,    TRUE(), 10  ), 0)</f>
        <v>74</v>
      </c>
      <c r="R20" s="28">
        <f>ROUND(  characters[[#This Row],[Control]] * 0.6  + characters[[#This Row],[Speed]] * 0.25  + characters[[#This Row],[Power]] * 0.1  - _xlfn.IFS(    characters[[#This Row],[Role]]="Attacker",  5,    characters[[#This Row],[Role]]="Tank",       8,    characters[[#This Row],[Role]]="Disruptor",  0,    characters[[#This Row],[Role]]="Support",    2,    TRUE(), 3  ), 0)</f>
        <v>93</v>
      </c>
      <c r="S20" s="28">
        <f>ROUND(  characters[[#This Row],[Defense]] * 0.5  + characters[[#This Row],[Control]] * 0.35  + characters[[#This Row],[Support]] * 0.1  + _xlfn.IFS(    characters[[#This Row],[Role]]="Tank",      10,    characters[[#This Row],[Role]]="Support",    5,    characters[[#This Row],[Role]]="Disruptor",  8,    characters[[#This Row],[Role]]="Attacker",   0,    TRUE(), 5  ), 0)</f>
        <v>105</v>
      </c>
      <c r="T20" s="28">
        <f>SUM(characters[[#This Row],[Power]:[Resilience]])</f>
        <v>759</v>
      </c>
      <c r="U20"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5</v>
      </c>
      <c r="V20" s="27" t="str" cm="1">
        <f t="array" ref="V20">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Tactician</v>
      </c>
      <c r="W20" s="31" t="s">
        <v>135</v>
      </c>
      <c r="X20" s="31" t="s">
        <v>172</v>
      </c>
      <c r="Y20" s="31" t="s">
        <v>194</v>
      </c>
      <c r="Z20" s="38" t="s">
        <v>248</v>
      </c>
    </row>
    <row r="21" spans="1:26" ht="28.5" customHeight="1" x14ac:dyDescent="0.3">
      <c r="A21" s="26" t="s">
        <v>90</v>
      </c>
      <c r="B21" s="27" t="s">
        <v>23</v>
      </c>
      <c r="C21" s="27">
        <v>1</v>
      </c>
      <c r="D21" s="27">
        <v>167</v>
      </c>
      <c r="E21" s="27" t="s">
        <v>60</v>
      </c>
      <c r="F21" s="27" t="s">
        <v>38</v>
      </c>
      <c r="G21" s="27" t="s">
        <v>57</v>
      </c>
      <c r="H21" s="27" t="s">
        <v>91</v>
      </c>
      <c r="I21" s="27" t="s">
        <v>45</v>
      </c>
      <c r="J21" s="27" t="s">
        <v>46</v>
      </c>
      <c r="K21" s="27">
        <v>60</v>
      </c>
      <c r="L21" s="27">
        <v>70</v>
      </c>
      <c r="M21" s="27">
        <v>45</v>
      </c>
      <c r="N21" s="27">
        <v>91</v>
      </c>
      <c r="O21" s="27" cm="1">
        <f t="array" ref="O21">_xlfn.IFS(
  characters[[#This Row],[Role]]="Tank",      120,
  characters[[#This Row],[Role]]="Support",   105,
  characters[[#This Row],[Role]]="Disruptor", 95,
  characters[[#This Row],[Role]]="Attacker",  80,
  TRUE(), 40
)
+ ROUND(characters[[#This Row],[Control]]*0.1, 0)
- ROUND(characters[[#This Row],[Speed]]*0.05, 0)</f>
        <v>97</v>
      </c>
      <c r="P21" s="28">
        <f>_xlfn.IFS(  characters[[#This Row],[Role]]="Tank",      120,  characters[[#This Row],[Role]]="Support",   90,  characters[[#This Row],[Role]]="Disruptor", 75,  characters[[#This Row],[Role]]="Attacker",  60,  TRUE(), 80)+ ROUND(characters[[#This Row],[Defense]]*0.3, 0)</f>
        <v>104</v>
      </c>
      <c r="Q21" s="28">
        <f>ROUND(  characters[[#This Row],[Control]] * 0.5  + characters[[#This Row],[Support]] * 0.3  - characters[[#This Row],[Speed]] * 0.1  + _xlfn.IFS(    characters[[#This Row],[Role]]="Tank",      20,    characters[[#This Row],[Role]]="Support",   15,    characters[[#This Row],[Role]]="Disruptor", 10,    characters[[#This Row],[Role]]="Attacker",  5,    TRUE(), 10  ), 0)</f>
        <v>49</v>
      </c>
      <c r="R21" s="28">
        <f>ROUND(  characters[[#This Row],[Control]] * 0.6  + characters[[#This Row],[Speed]] * 0.25  + characters[[#This Row],[Power]] * 0.1  - _xlfn.IFS(    characters[[#This Row],[Role]]="Attacker",  5,    characters[[#This Row],[Role]]="Tank",       8,    characters[[#This Row],[Role]]="Disruptor",  0,    characters[[#This Row],[Role]]="Support",    2,    TRUE(), 3  ), 0)</f>
        <v>71</v>
      </c>
      <c r="S21" s="28">
        <f>ROUND(  characters[[#This Row],[Defense]] * 0.5  + characters[[#This Row],[Control]] * 0.35  + characters[[#This Row],[Support]] * 0.1  + _xlfn.IFS(    characters[[#This Row],[Role]]="Tank",      10,    characters[[#This Row],[Role]]="Support",    5,    characters[[#This Row],[Role]]="Disruptor",  8,    characters[[#This Row],[Role]]="Attacker",   0,    TRUE(), 5  ), 0)</f>
        <v>86</v>
      </c>
      <c r="T21" s="28">
        <f>SUM(characters[[#This Row],[Power]:[Resilience]])</f>
        <v>673</v>
      </c>
      <c r="U21"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21" s="27" t="str" cm="1">
        <f t="array" ref="V21">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Harasser</v>
      </c>
      <c r="W21" s="31" t="s">
        <v>136</v>
      </c>
      <c r="X21" s="31" t="s">
        <v>157</v>
      </c>
      <c r="Y21" s="31" t="s">
        <v>187</v>
      </c>
      <c r="Z21" s="38" t="s">
        <v>247</v>
      </c>
    </row>
    <row r="22" spans="1:26" ht="28.5" customHeight="1" x14ac:dyDescent="0.3">
      <c r="A22" s="26" t="s">
        <v>92</v>
      </c>
      <c r="B22" s="27" t="s">
        <v>23</v>
      </c>
      <c r="C22" s="27">
        <v>3</v>
      </c>
      <c r="D22" s="27">
        <v>165</v>
      </c>
      <c r="E22" s="27" t="s">
        <v>24</v>
      </c>
      <c r="F22" s="27" t="s">
        <v>93</v>
      </c>
      <c r="G22" s="27" t="s">
        <v>57</v>
      </c>
      <c r="H22" s="27" t="s">
        <v>27</v>
      </c>
      <c r="I22" s="27" t="s">
        <v>28</v>
      </c>
      <c r="J22" s="27" t="s">
        <v>46</v>
      </c>
      <c r="K22" s="27">
        <v>45</v>
      </c>
      <c r="L22" s="27">
        <v>72</v>
      </c>
      <c r="M22" s="27">
        <v>58</v>
      </c>
      <c r="N22" s="27">
        <v>65</v>
      </c>
      <c r="O22" s="27" cm="1">
        <f t="array" ref="O22">_xlfn.IFS(
  characters[[#This Row],[Role]]="Tank",      120,
  characters[[#This Row],[Role]]="Support",   105,
  characters[[#This Row],[Role]]="Disruptor", 95,
  characters[[#This Row],[Role]]="Attacker",  80,
  TRUE(), 40
)
+ ROUND(characters[[#This Row],[Control]]*0.1, 0)
- ROUND(characters[[#This Row],[Speed]]*0.05, 0)</f>
        <v>99</v>
      </c>
      <c r="P22" s="28">
        <f>_xlfn.IFS(  characters[[#This Row],[Role]]="Tank",      120,  characters[[#This Row],[Role]]="Support",   90,  characters[[#This Row],[Role]]="Disruptor", 75,  characters[[#This Row],[Role]]="Attacker",  60,  TRUE(), 80)+ ROUND(characters[[#This Row],[Defense]]*0.3, 0)</f>
        <v>105</v>
      </c>
      <c r="Q22" s="28">
        <f>ROUND(  characters[[#This Row],[Control]] * 0.5  + characters[[#This Row],[Support]] * 0.3  - characters[[#This Row],[Speed]] * 0.1  + _xlfn.IFS(    characters[[#This Row],[Role]]="Tank",      20,    characters[[#This Row],[Role]]="Support",   15,    characters[[#This Row],[Role]]="Disruptor", 10,    characters[[#This Row],[Role]]="Attacker",  5,    TRUE(), 10  ), 0)</f>
        <v>57</v>
      </c>
      <c r="R22" s="28">
        <f>ROUND(  characters[[#This Row],[Control]] * 0.6  + characters[[#This Row],[Speed]] * 0.25  + characters[[#This Row],[Power]] * 0.1  - _xlfn.IFS(    characters[[#This Row],[Role]]="Attacker",  5,    characters[[#This Row],[Role]]="Tank",       8,    characters[[#This Row],[Role]]="Disruptor",  0,    characters[[#This Row],[Role]]="Support",    2,    TRUE(), 3  ), 0)</f>
        <v>64</v>
      </c>
      <c r="S22" s="28">
        <f>ROUND(  characters[[#This Row],[Defense]] * 0.5  + characters[[#This Row],[Control]] * 0.35  + characters[[#This Row],[Support]] * 0.1  + _xlfn.IFS(    characters[[#This Row],[Role]]="Tank",      10,    characters[[#This Row],[Role]]="Support",    5,    characters[[#This Row],[Role]]="Disruptor",  8,    characters[[#This Row],[Role]]="Attacker",   0,    TRUE(), 5  ), 0)</f>
        <v>89</v>
      </c>
      <c r="T22" s="28">
        <f>SUM(characters[[#This Row],[Power]:[Resilience]])</f>
        <v>654</v>
      </c>
      <c r="U22"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22" s="27" t="str" cm="1">
        <f t="array" ref="V22">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Disruptor</v>
      </c>
      <c r="W22" s="31" t="s">
        <v>137</v>
      </c>
      <c r="X22" s="31" t="s">
        <v>173</v>
      </c>
      <c r="Y22" s="31" t="s">
        <v>195</v>
      </c>
      <c r="Z22" s="38" t="s">
        <v>250</v>
      </c>
    </row>
    <row r="23" spans="1:26" ht="28.5" customHeight="1" x14ac:dyDescent="0.3">
      <c r="A23" s="26" t="s">
        <v>94</v>
      </c>
      <c r="B23" s="27" t="s">
        <v>23</v>
      </c>
      <c r="C23" s="27">
        <v>8</v>
      </c>
      <c r="D23" s="27">
        <v>169</v>
      </c>
      <c r="E23" s="27" t="s">
        <v>24</v>
      </c>
      <c r="F23" s="27" t="s">
        <v>42</v>
      </c>
      <c r="G23" s="27" t="s">
        <v>43</v>
      </c>
      <c r="H23" s="27" t="s">
        <v>69</v>
      </c>
      <c r="I23" s="27" t="s">
        <v>55</v>
      </c>
      <c r="J23" s="27" t="s">
        <v>12</v>
      </c>
      <c r="K23" s="27">
        <v>35</v>
      </c>
      <c r="L23" s="27">
        <v>72</v>
      </c>
      <c r="M23" s="27">
        <v>101</v>
      </c>
      <c r="N23" s="27">
        <v>48</v>
      </c>
      <c r="O23" s="27" cm="1">
        <f t="array" ref="O23">_xlfn.IFS(
  characters[[#This Row],[Role]]="Tank",      120,
  characters[[#This Row],[Role]]="Support",   105,
  characters[[#This Row],[Role]]="Disruptor", 95,
  characters[[#This Row],[Role]]="Attacker",  80,
  TRUE(), 40
)
+ ROUND(characters[[#This Row],[Control]]*0.1, 0)
- ROUND(characters[[#This Row],[Speed]]*0.05, 0)</f>
        <v>110</v>
      </c>
      <c r="P23" s="28">
        <f>_xlfn.IFS(  characters[[#This Row],[Role]]="Tank",      120,  characters[[#This Row],[Role]]="Support",   90,  characters[[#This Row],[Role]]="Disruptor", 75,  characters[[#This Row],[Role]]="Attacker",  60,  TRUE(), 80)+ ROUND(characters[[#This Row],[Defense]]*0.3, 0)</f>
        <v>123</v>
      </c>
      <c r="Q23" s="28">
        <f>ROUND(  characters[[#This Row],[Control]] * 0.5  + characters[[#This Row],[Support]] * 0.3  - characters[[#This Row],[Speed]] * 0.1  + _xlfn.IFS(    characters[[#This Row],[Role]]="Tank",      20,    characters[[#This Row],[Role]]="Support",   15,    characters[[#This Row],[Role]]="Disruptor", 10,    characters[[#This Row],[Role]]="Attacker",  5,    TRUE(), 10  ), 0)</f>
        <v>77</v>
      </c>
      <c r="R23" s="28">
        <f>ROUND(  characters[[#This Row],[Control]] * 0.6  + characters[[#This Row],[Speed]] * 0.25  + characters[[#This Row],[Power]] * 0.1  - _xlfn.IFS(    characters[[#This Row],[Role]]="Attacker",  5,    characters[[#This Row],[Role]]="Tank",       8,    characters[[#This Row],[Role]]="Disruptor",  0,    characters[[#This Row],[Role]]="Support",    2,    TRUE(), 3  ), 0)</f>
        <v>57</v>
      </c>
      <c r="S23" s="28">
        <f>ROUND(  characters[[#This Row],[Defense]] * 0.5  + characters[[#This Row],[Control]] * 0.35  + characters[[#This Row],[Support]] * 0.1  + _xlfn.IFS(    characters[[#This Row],[Role]]="Tank",      10,    characters[[#This Row],[Role]]="Support",    5,    characters[[#This Row],[Role]]="Disruptor",  8,    characters[[#This Row],[Role]]="Attacker",   0,    TRUE(), 5  ), 0)</f>
        <v>95</v>
      </c>
      <c r="T23" s="28">
        <f>SUM(characters[[#This Row],[Power]:[Resilience]])</f>
        <v>718</v>
      </c>
      <c r="U23"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23" s="27" t="str" cm="1">
        <f t="array" ref="V23">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23" s="31" t="s">
        <v>138</v>
      </c>
      <c r="X23" s="31" t="s">
        <v>174</v>
      </c>
      <c r="Y23" s="31" t="s">
        <v>188</v>
      </c>
      <c r="Z23" s="38" t="s">
        <v>247</v>
      </c>
    </row>
    <row r="24" spans="1:26" ht="28.5" customHeight="1" x14ac:dyDescent="0.3">
      <c r="A24" s="26" t="s">
        <v>95</v>
      </c>
      <c r="B24" s="27" t="s">
        <v>23</v>
      </c>
      <c r="C24" s="27">
        <v>8</v>
      </c>
      <c r="D24" s="27">
        <v>165</v>
      </c>
      <c r="E24" s="27" t="s">
        <v>52</v>
      </c>
      <c r="F24" s="27" t="s">
        <v>85</v>
      </c>
      <c r="G24" s="27" t="s">
        <v>53</v>
      </c>
      <c r="H24" s="27" t="s">
        <v>96</v>
      </c>
      <c r="I24" s="27" t="s">
        <v>55</v>
      </c>
      <c r="J24" s="27" t="s">
        <v>62</v>
      </c>
      <c r="K24" s="27">
        <v>70</v>
      </c>
      <c r="L24" s="27">
        <v>88</v>
      </c>
      <c r="M24" s="27">
        <v>35</v>
      </c>
      <c r="N24" s="27">
        <v>48</v>
      </c>
      <c r="O24" s="27" cm="1">
        <f t="array" ref="O24">_xlfn.IFS(
  characters[[#This Row],[Role]]="Tank",      120,
  characters[[#This Row],[Role]]="Support",   105,
  characters[[#This Row],[Role]]="Disruptor", 95,
  characters[[#This Row],[Role]]="Attacker",  80,
  TRUE(), 40
)
+ ROUND(characters[[#This Row],[Control]]*0.1, 0)
- ROUND(characters[[#This Row],[Speed]]*0.05, 0)</f>
        <v>127</v>
      </c>
      <c r="P24" s="28">
        <f>_xlfn.IFS(  characters[[#This Row],[Role]]="Tank",      120,  characters[[#This Row],[Role]]="Support",   90,  characters[[#This Row],[Role]]="Disruptor", 75,  characters[[#This Row],[Role]]="Attacker",  60,  TRUE(), 80)+ ROUND(characters[[#This Row],[Defense]]*0.3, 0)</f>
        <v>158</v>
      </c>
      <c r="Q24" s="28">
        <f>ROUND(  characters[[#This Row],[Control]] * 0.5  + characters[[#This Row],[Support]] * 0.3  - characters[[#This Row],[Speed]] * 0.1  + _xlfn.IFS(    characters[[#This Row],[Role]]="Tank",      20,    characters[[#This Row],[Role]]="Support",   15,    characters[[#This Row],[Role]]="Disruptor", 10,    characters[[#This Row],[Role]]="Attacker",  5,    TRUE(), 10  ), 0)</f>
        <v>70</v>
      </c>
      <c r="R24" s="28">
        <f>ROUND(  characters[[#This Row],[Control]] * 0.6  + characters[[#This Row],[Speed]] * 0.25  + characters[[#This Row],[Power]] * 0.1  - _xlfn.IFS(    characters[[#This Row],[Role]]="Attacker",  5,    characters[[#This Row],[Role]]="Tank",       8,    characters[[#This Row],[Role]]="Disruptor",  0,    characters[[#This Row],[Role]]="Support",    2,    TRUE(), 3  ), 0)</f>
        <v>64</v>
      </c>
      <c r="S24" s="28">
        <f>ROUND(  characters[[#This Row],[Defense]] * 0.5  + characters[[#This Row],[Control]] * 0.35  + characters[[#This Row],[Support]] * 0.1  + _xlfn.IFS(    characters[[#This Row],[Role]]="Tank",      10,    characters[[#This Row],[Role]]="Support",    5,    characters[[#This Row],[Role]]="Disruptor",  8,    characters[[#This Row],[Role]]="Attacker",   0,    TRUE(), 5  ), 0)</f>
        <v>108</v>
      </c>
      <c r="T24" s="28">
        <f>SUM(characters[[#This Row],[Power]:[Resilience]])</f>
        <v>768</v>
      </c>
      <c r="U24"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24" s="27" t="str" cm="1">
        <f t="array" ref="V24">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Fortress</v>
      </c>
      <c r="W24" s="31" t="s">
        <v>139</v>
      </c>
      <c r="X24" s="31" t="s">
        <v>175</v>
      </c>
      <c r="Y24" s="31" t="s">
        <v>193</v>
      </c>
      <c r="Z24" s="38" t="s">
        <v>248</v>
      </c>
    </row>
    <row r="25" spans="1:26" ht="28.5" customHeight="1" x14ac:dyDescent="0.3">
      <c r="A25" s="26" t="s">
        <v>97</v>
      </c>
      <c r="B25" s="27" t="s">
        <v>23</v>
      </c>
      <c r="C25" s="27">
        <v>5</v>
      </c>
      <c r="D25" s="27">
        <v>167</v>
      </c>
      <c r="E25" s="27" t="s">
        <v>48</v>
      </c>
      <c r="F25" s="27" t="s">
        <v>42</v>
      </c>
      <c r="G25" s="27" t="s">
        <v>65</v>
      </c>
      <c r="H25" s="27" t="s">
        <v>66</v>
      </c>
      <c r="I25" s="27" t="s">
        <v>55</v>
      </c>
      <c r="J25" s="27" t="s">
        <v>12</v>
      </c>
      <c r="K25" s="27">
        <v>50</v>
      </c>
      <c r="L25" s="27">
        <v>45</v>
      </c>
      <c r="M25" s="27">
        <v>97</v>
      </c>
      <c r="N25" s="27">
        <v>55</v>
      </c>
      <c r="O25" s="27" cm="1">
        <f t="array" ref="O25">_xlfn.IFS(
  characters[[#This Row],[Role]]="Tank",      120,
  characters[[#This Row],[Role]]="Support",   105,
  characters[[#This Row],[Role]]="Disruptor", 95,
  characters[[#This Row],[Role]]="Attacker",  80,
  TRUE(), 40
)
+ ROUND(characters[[#This Row],[Control]]*0.1, 0)
- ROUND(characters[[#This Row],[Speed]]*0.05, 0)</f>
        <v>107</v>
      </c>
      <c r="P25" s="28">
        <f>_xlfn.IFS(  characters[[#This Row],[Role]]="Tank",      120,  characters[[#This Row],[Role]]="Support",   90,  characters[[#This Row],[Role]]="Disruptor", 75,  characters[[#This Row],[Role]]="Attacker",  60,  TRUE(), 80)+ ROUND(characters[[#This Row],[Defense]]*0.3, 0)</f>
        <v>122</v>
      </c>
      <c r="Q25" s="28">
        <f>ROUND(  characters[[#This Row],[Control]] * 0.5  + characters[[#This Row],[Support]] * 0.3  - characters[[#This Row],[Speed]] * 0.1  + _xlfn.IFS(    characters[[#This Row],[Role]]="Tank",      20,    characters[[#This Row],[Role]]="Support",   15,    characters[[#This Row],[Role]]="Disruptor", 10,    characters[[#This Row],[Role]]="Attacker",  5,    TRUE(), 10  ), 0)</f>
        <v>61</v>
      </c>
      <c r="R25" s="28">
        <f>ROUND(  characters[[#This Row],[Control]] * 0.6  + characters[[#This Row],[Speed]] * 0.25  + characters[[#This Row],[Power]] * 0.1  - _xlfn.IFS(    characters[[#This Row],[Role]]="Attacker",  5,    characters[[#This Row],[Role]]="Tank",       8,    characters[[#This Row],[Role]]="Disruptor",  0,    characters[[#This Row],[Role]]="Support",    2,    TRUE(), 3  ), 0)</f>
        <v>44</v>
      </c>
      <c r="S25" s="28">
        <f>ROUND(  characters[[#This Row],[Defense]] * 0.5  + characters[[#This Row],[Control]] * 0.35  + characters[[#This Row],[Support]] * 0.1  + _xlfn.IFS(    characters[[#This Row],[Role]]="Tank",      10,    characters[[#This Row],[Role]]="Support",    5,    characters[[#This Row],[Role]]="Disruptor",  8,    characters[[#This Row],[Role]]="Attacker",   0,    TRUE(), 5  ), 0)</f>
        <v>84</v>
      </c>
      <c r="T25" s="28">
        <f>SUM(characters[[#This Row],[Power]:[Resilience]])</f>
        <v>665</v>
      </c>
      <c r="U25"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25" s="27" t="str" cm="1">
        <f t="array" ref="V25">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25" s="31" t="s">
        <v>140</v>
      </c>
      <c r="X25" s="31" t="s">
        <v>170</v>
      </c>
      <c r="Y25" s="31" t="s">
        <v>188</v>
      </c>
      <c r="Z25" s="38" t="s">
        <v>246</v>
      </c>
    </row>
    <row r="26" spans="1:26" ht="28.5" customHeight="1" x14ac:dyDescent="0.3">
      <c r="A26" s="26" t="s">
        <v>98</v>
      </c>
      <c r="B26" s="27" t="s">
        <v>23</v>
      </c>
      <c r="C26" s="27">
        <v>3</v>
      </c>
      <c r="D26" s="27">
        <v>167</v>
      </c>
      <c r="E26" s="27" t="s">
        <v>31</v>
      </c>
      <c r="F26" s="27" t="s">
        <v>38</v>
      </c>
      <c r="G26" s="27" t="s">
        <v>65</v>
      </c>
      <c r="H26" s="27" t="s">
        <v>71</v>
      </c>
      <c r="I26" s="27" t="s">
        <v>28</v>
      </c>
      <c r="J26" s="27" t="s">
        <v>36</v>
      </c>
      <c r="K26" s="27">
        <v>86</v>
      </c>
      <c r="L26" s="27">
        <v>55</v>
      </c>
      <c r="M26" s="27">
        <v>48</v>
      </c>
      <c r="N26" s="27">
        <v>86</v>
      </c>
      <c r="O26" s="27" cm="1">
        <f t="array" ref="O26">_xlfn.IFS(
  characters[[#This Row],[Role]]="Tank",      120,
  characters[[#This Row],[Role]]="Support",   105,
  characters[[#This Row],[Role]]="Disruptor", 95,
  characters[[#This Row],[Role]]="Attacker",  80,
  TRUE(), 40
)
+ ROUND(characters[[#This Row],[Control]]*0.1, 0)
- ROUND(characters[[#This Row],[Speed]]*0.05, 0)</f>
        <v>82</v>
      </c>
      <c r="P26" s="28">
        <f>_xlfn.IFS(  characters[[#This Row],[Role]]="Tank",      120,  characters[[#This Row],[Role]]="Support",   90,  characters[[#This Row],[Role]]="Disruptor", 75,  characters[[#This Row],[Role]]="Attacker",  60,  TRUE(), 80)+ ROUND(characters[[#This Row],[Defense]]*0.3, 0)</f>
        <v>85</v>
      </c>
      <c r="Q26" s="28">
        <f>ROUND(  characters[[#This Row],[Control]] * 0.5  + characters[[#This Row],[Support]] * 0.3  - characters[[#This Row],[Speed]] * 0.1  + _xlfn.IFS(    characters[[#This Row],[Role]]="Tank",      20,    characters[[#This Row],[Role]]="Support",   15,    characters[[#This Row],[Role]]="Disruptor", 10,    characters[[#This Row],[Role]]="Attacker",  5,    TRUE(), 10  ), 0)</f>
        <v>38</v>
      </c>
      <c r="R26" s="28">
        <f>ROUND(  characters[[#This Row],[Control]] * 0.6  + characters[[#This Row],[Speed]] * 0.25  + characters[[#This Row],[Power]] * 0.1  - _xlfn.IFS(    characters[[#This Row],[Role]]="Attacker",  5,    characters[[#This Row],[Role]]="Tank",       8,    characters[[#This Row],[Role]]="Disruptor",  0,    characters[[#This Row],[Role]]="Support",    2,    TRUE(), 3  ), 0)</f>
        <v>58</v>
      </c>
      <c r="S26" s="28">
        <f>ROUND(  characters[[#This Row],[Defense]] * 0.5  + characters[[#This Row],[Control]] * 0.35  + characters[[#This Row],[Support]] * 0.1  + _xlfn.IFS(    characters[[#This Row],[Role]]="Tank",      10,    characters[[#This Row],[Role]]="Support",    5,    characters[[#This Row],[Role]]="Disruptor",  8,    characters[[#This Row],[Role]]="Attacker",   0,    TRUE(), 5  ), 0)</f>
        <v>65</v>
      </c>
      <c r="T26" s="28">
        <f>SUM(characters[[#This Row],[Power]:[Resilience]])</f>
        <v>603</v>
      </c>
      <c r="U26"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26" s="27" t="str" cm="1">
        <f t="array" ref="V26">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26" s="31" t="s">
        <v>141</v>
      </c>
      <c r="X26" s="31" t="s">
        <v>164</v>
      </c>
      <c r="Y26" s="31" t="s">
        <v>187</v>
      </c>
      <c r="Z26" s="38" t="s">
        <v>247</v>
      </c>
    </row>
    <row r="27" spans="1:26" ht="28.5" customHeight="1" x14ac:dyDescent="0.3">
      <c r="A27" s="26" t="s">
        <v>99</v>
      </c>
      <c r="B27" s="27" t="s">
        <v>23</v>
      </c>
      <c r="C27" s="27">
        <v>3</v>
      </c>
      <c r="D27" s="27">
        <v>168</v>
      </c>
      <c r="E27" s="27" t="s">
        <v>31</v>
      </c>
      <c r="F27" s="27" t="s">
        <v>32</v>
      </c>
      <c r="G27" s="27" t="s">
        <v>39</v>
      </c>
      <c r="H27" s="27" t="s">
        <v>71</v>
      </c>
      <c r="I27" s="27" t="s">
        <v>28</v>
      </c>
      <c r="J27" s="27" t="s">
        <v>36</v>
      </c>
      <c r="K27" s="27">
        <v>96</v>
      </c>
      <c r="L27" s="27">
        <v>48</v>
      </c>
      <c r="M27" s="27">
        <v>35</v>
      </c>
      <c r="N27" s="27">
        <v>70</v>
      </c>
      <c r="O27" s="27" cm="1">
        <f t="array" ref="O27">_xlfn.IFS(
  characters[[#This Row],[Role]]="Tank",      120,
  characters[[#This Row],[Role]]="Support",   105,
  characters[[#This Row],[Role]]="Disruptor", 95,
  characters[[#This Row],[Role]]="Attacker",  80,
  TRUE(), 40
)
+ ROUND(characters[[#This Row],[Control]]*0.1, 0)
- ROUND(characters[[#This Row],[Speed]]*0.05, 0)</f>
        <v>81</v>
      </c>
      <c r="P27" s="28">
        <f>_xlfn.IFS(  characters[[#This Row],[Role]]="Tank",      120,  characters[[#This Row],[Role]]="Support",   90,  characters[[#This Row],[Role]]="Disruptor", 75,  characters[[#This Row],[Role]]="Attacker",  60,  TRUE(), 80)+ ROUND(characters[[#This Row],[Defense]]*0.3, 0)</f>
        <v>84</v>
      </c>
      <c r="Q27" s="28">
        <f>ROUND(  characters[[#This Row],[Control]] * 0.5  + characters[[#This Row],[Support]] * 0.3  - characters[[#This Row],[Speed]] * 0.1  + _xlfn.IFS(    characters[[#This Row],[Role]]="Tank",      20,    characters[[#This Row],[Role]]="Support",   15,    characters[[#This Row],[Role]]="Disruptor", 10,    characters[[#This Row],[Role]]="Attacker",  5,    TRUE(), 10  ), 0)</f>
        <v>33</v>
      </c>
      <c r="R27" s="28">
        <f>ROUND(  characters[[#This Row],[Control]] * 0.6  + characters[[#This Row],[Speed]] * 0.25  + characters[[#This Row],[Power]] * 0.1  - _xlfn.IFS(    characters[[#This Row],[Role]]="Attacker",  5,    characters[[#This Row],[Role]]="Tank",       8,    characters[[#This Row],[Role]]="Disruptor",  0,    characters[[#This Row],[Role]]="Support",    2,    TRUE(), 3  ), 0)</f>
        <v>51</v>
      </c>
      <c r="S27" s="28">
        <f>ROUND(  characters[[#This Row],[Defense]] * 0.5  + characters[[#This Row],[Control]] * 0.35  + characters[[#This Row],[Support]] * 0.1  + _xlfn.IFS(    characters[[#This Row],[Role]]="Tank",      10,    characters[[#This Row],[Role]]="Support",    5,    characters[[#This Row],[Role]]="Disruptor",  8,    characters[[#This Row],[Role]]="Attacker",   0,    TRUE(), 5  ), 0)</f>
        <v>61</v>
      </c>
      <c r="T27" s="28">
        <f>SUM(characters[[#This Row],[Power]:[Resilience]])</f>
        <v>559</v>
      </c>
      <c r="U27"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27" s="27" t="str" cm="1">
        <f t="array" ref="V27">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27" s="31" t="s">
        <v>142</v>
      </c>
      <c r="X27" s="31" t="s">
        <v>156</v>
      </c>
      <c r="Y27" s="31" t="s">
        <v>186</v>
      </c>
      <c r="Z27" s="38" t="s">
        <v>247</v>
      </c>
    </row>
    <row r="28" spans="1:26" ht="28.5" customHeight="1" x14ac:dyDescent="0.3">
      <c r="A28" s="26" t="s">
        <v>100</v>
      </c>
      <c r="B28" s="27" t="s">
        <v>23</v>
      </c>
      <c r="C28" s="27">
        <v>7</v>
      </c>
      <c r="D28" s="27">
        <v>168</v>
      </c>
      <c r="E28" s="27" t="s">
        <v>41</v>
      </c>
      <c r="F28" s="27" t="s">
        <v>74</v>
      </c>
      <c r="G28" s="27" t="s">
        <v>43</v>
      </c>
      <c r="H28" s="27" t="s">
        <v>69</v>
      </c>
      <c r="I28" s="27" t="s">
        <v>55</v>
      </c>
      <c r="J28" s="27" t="s">
        <v>46</v>
      </c>
      <c r="K28" s="27">
        <v>40</v>
      </c>
      <c r="L28" s="27">
        <v>96</v>
      </c>
      <c r="M28" s="27">
        <v>55</v>
      </c>
      <c r="N28" s="27">
        <v>38</v>
      </c>
      <c r="O28" s="27" cm="1">
        <f t="array" ref="O28">_xlfn.IFS(
  characters[[#This Row],[Role]]="Tank",      120,
  characters[[#This Row],[Role]]="Support",   105,
  characters[[#This Row],[Role]]="Disruptor", 95,
  characters[[#This Row],[Role]]="Attacker",  80,
  TRUE(), 40
)
+ ROUND(characters[[#This Row],[Control]]*0.1, 0)
- ROUND(characters[[#This Row],[Speed]]*0.05, 0)</f>
        <v>103</v>
      </c>
      <c r="P28" s="28">
        <f>_xlfn.IFS(  characters[[#This Row],[Role]]="Tank",      120,  characters[[#This Row],[Role]]="Support",   90,  characters[[#This Row],[Role]]="Disruptor", 75,  characters[[#This Row],[Role]]="Attacker",  60,  TRUE(), 80)+ ROUND(characters[[#This Row],[Defense]]*0.3, 0)</f>
        <v>106</v>
      </c>
      <c r="Q28" s="28">
        <f>ROUND(  characters[[#This Row],[Control]] * 0.5  + characters[[#This Row],[Support]] * 0.3  - characters[[#This Row],[Speed]] * 0.1  + _xlfn.IFS(    characters[[#This Row],[Role]]="Tank",      20,    characters[[#This Row],[Role]]="Support",   15,    characters[[#This Row],[Role]]="Disruptor", 10,    characters[[#This Row],[Role]]="Attacker",  5,    TRUE(), 10  ), 0)</f>
        <v>71</v>
      </c>
      <c r="R28" s="28">
        <f>ROUND(  characters[[#This Row],[Control]] * 0.6  + characters[[#This Row],[Speed]] * 0.25  + characters[[#This Row],[Power]] * 0.1  - _xlfn.IFS(    characters[[#This Row],[Role]]="Attacker",  5,    characters[[#This Row],[Role]]="Tank",       8,    characters[[#This Row],[Role]]="Disruptor",  0,    characters[[#This Row],[Role]]="Support",    2,    TRUE(), 3  ), 0)</f>
        <v>71</v>
      </c>
      <c r="S28" s="28">
        <f>ROUND(  characters[[#This Row],[Defense]] * 0.5  + characters[[#This Row],[Control]] * 0.35  + characters[[#This Row],[Support]] * 0.1  + _xlfn.IFS(    characters[[#This Row],[Role]]="Tank",      10,    characters[[#This Row],[Role]]="Support",    5,    characters[[#This Row],[Role]]="Disruptor",  8,    characters[[#This Row],[Role]]="Attacker",   0,    TRUE(), 5  ), 0)</f>
        <v>99</v>
      </c>
      <c r="T28" s="28">
        <f>SUM(characters[[#This Row],[Power]:[Resilience]])</f>
        <v>679</v>
      </c>
      <c r="U28"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28" s="27" t="str" cm="1">
        <f t="array" ref="V28">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Tactician</v>
      </c>
      <c r="W28" s="31" t="s">
        <v>143</v>
      </c>
      <c r="X28" s="31" t="s">
        <v>170</v>
      </c>
      <c r="Y28" s="31" t="s">
        <v>191</v>
      </c>
      <c r="Z28" s="38" t="s">
        <v>246</v>
      </c>
    </row>
    <row r="29" spans="1:26" ht="28.5" customHeight="1" x14ac:dyDescent="0.3">
      <c r="A29" s="26" t="s">
        <v>101</v>
      </c>
      <c r="B29" s="27" t="s">
        <v>77</v>
      </c>
      <c r="C29" s="27">
        <v>1</v>
      </c>
      <c r="D29" s="27">
        <v>168</v>
      </c>
      <c r="E29" s="27" t="s">
        <v>64</v>
      </c>
      <c r="F29" s="27" t="s">
        <v>32</v>
      </c>
      <c r="G29" s="27" t="s">
        <v>102</v>
      </c>
      <c r="H29" s="27" t="s">
        <v>34</v>
      </c>
      <c r="I29" s="27" t="s">
        <v>35</v>
      </c>
      <c r="J29" s="27" t="s">
        <v>36</v>
      </c>
      <c r="K29" s="27">
        <v>137</v>
      </c>
      <c r="L29" s="27">
        <v>30</v>
      </c>
      <c r="M29" s="27">
        <v>10</v>
      </c>
      <c r="N29" s="27">
        <v>75</v>
      </c>
      <c r="O29" s="27" cm="1">
        <f t="array" ref="O29">_xlfn.IFS(
  characters[[#This Row],[Role]]="Tank",      120,
  characters[[#This Row],[Role]]="Support",   105,
  characters[[#This Row],[Role]]="Disruptor", 95,
  characters[[#This Row],[Role]]="Attacker",  80,
  TRUE(), 40
)
+ ROUND(characters[[#This Row],[Control]]*0.1, 0)
- ROUND(characters[[#This Row],[Speed]]*0.05, 0)</f>
        <v>79</v>
      </c>
      <c r="P29" s="28">
        <f>_xlfn.IFS(  characters[[#This Row],[Role]]="Tank",      120,  characters[[#This Row],[Role]]="Support",   90,  characters[[#This Row],[Role]]="Disruptor", 75,  characters[[#This Row],[Role]]="Attacker",  60,  TRUE(), 80)+ ROUND(characters[[#This Row],[Defense]]*0.3, 0)</f>
        <v>84</v>
      </c>
      <c r="Q29" s="28">
        <f>ROUND(  characters[[#This Row],[Control]] * 0.5  + characters[[#This Row],[Support]] * 0.3  - characters[[#This Row],[Speed]] * 0.1  + _xlfn.IFS(    characters[[#This Row],[Role]]="Tank",      20,    characters[[#This Row],[Role]]="Support",   15,    characters[[#This Row],[Role]]="Disruptor", 10,    characters[[#This Row],[Role]]="Attacker",  5,    TRUE(), 10  ), 0)</f>
        <v>16</v>
      </c>
      <c r="R29" s="28">
        <f>ROUND(  characters[[#This Row],[Control]] * 0.6  + characters[[#This Row],[Speed]] * 0.25  + characters[[#This Row],[Power]] * 0.1  - _xlfn.IFS(    characters[[#This Row],[Role]]="Attacker",  5,    characters[[#This Row],[Role]]="Tank",       8,    characters[[#This Row],[Role]]="Disruptor",  0,    characters[[#This Row],[Role]]="Support",    2,    TRUE(), 3  ), 0)</f>
        <v>45</v>
      </c>
      <c r="S29" s="28">
        <f>ROUND(  characters[[#This Row],[Defense]] * 0.5  + characters[[#This Row],[Control]] * 0.35  + characters[[#This Row],[Support]] * 0.1  + _xlfn.IFS(    characters[[#This Row],[Role]]="Tank",      10,    characters[[#This Row],[Role]]="Support",    5,    characters[[#This Row],[Role]]="Disruptor",  8,    characters[[#This Row],[Role]]="Attacker",   0,    TRUE(), 5  ), 0)</f>
        <v>51</v>
      </c>
      <c r="T29" s="28">
        <f>SUM(characters[[#This Row],[Power]:[Resilience]])</f>
        <v>527</v>
      </c>
      <c r="U29"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29" s="27" t="str" cm="1">
        <f t="array" ref="V29">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29" s="31" t="s">
        <v>144</v>
      </c>
      <c r="X29" s="31" t="s">
        <v>176</v>
      </c>
      <c r="Y29" s="31" t="s">
        <v>186</v>
      </c>
      <c r="Z29" s="38" t="s">
        <v>247</v>
      </c>
    </row>
    <row r="30" spans="1:26" ht="28.5" customHeight="1" x14ac:dyDescent="0.3">
      <c r="A30" s="26" t="s">
        <v>103</v>
      </c>
      <c r="B30" s="27" t="s">
        <v>23</v>
      </c>
      <c r="C30" s="27">
        <v>8</v>
      </c>
      <c r="D30" s="27">
        <v>170</v>
      </c>
      <c r="E30" s="27" t="s">
        <v>52</v>
      </c>
      <c r="F30" s="27" t="s">
        <v>32</v>
      </c>
      <c r="G30" s="27" t="s">
        <v>86</v>
      </c>
      <c r="H30" s="27" t="s">
        <v>78</v>
      </c>
      <c r="I30" s="27" t="s">
        <v>35</v>
      </c>
      <c r="J30" s="27" t="s">
        <v>12</v>
      </c>
      <c r="K30" s="27">
        <v>75</v>
      </c>
      <c r="L30" s="27">
        <v>65</v>
      </c>
      <c r="M30" s="27">
        <v>86</v>
      </c>
      <c r="N30" s="27">
        <v>60</v>
      </c>
      <c r="O30" s="27" cm="1">
        <f t="array" ref="O30">_xlfn.IFS(
  characters[[#This Row],[Role]]="Tank",      120,
  characters[[#This Row],[Role]]="Support",   105,
  characters[[#This Row],[Role]]="Disruptor", 95,
  characters[[#This Row],[Role]]="Attacker",  80,
  TRUE(), 40
)
+ ROUND(characters[[#This Row],[Control]]*0.1, 0)
- ROUND(characters[[#This Row],[Speed]]*0.05, 0)</f>
        <v>109</v>
      </c>
      <c r="P30" s="28">
        <f>_xlfn.IFS(  characters[[#This Row],[Role]]="Tank",      120,  characters[[#This Row],[Role]]="Support",   90,  characters[[#This Row],[Role]]="Disruptor", 75,  characters[[#This Row],[Role]]="Attacker",  60,  TRUE(), 80)+ ROUND(characters[[#This Row],[Defense]]*0.3, 0)</f>
        <v>123</v>
      </c>
      <c r="Q30" s="28">
        <f>ROUND(  characters[[#This Row],[Control]] * 0.5  + characters[[#This Row],[Support]] * 0.3  - characters[[#This Row],[Speed]] * 0.1  + _xlfn.IFS(    characters[[#This Row],[Role]]="Tank",      20,    characters[[#This Row],[Role]]="Support",   15,    characters[[#This Row],[Role]]="Disruptor", 10,    characters[[#This Row],[Role]]="Attacker",  5,    TRUE(), 10  ), 0)</f>
        <v>67</v>
      </c>
      <c r="R30" s="28">
        <f>ROUND(  characters[[#This Row],[Control]] * 0.6  + characters[[#This Row],[Speed]] * 0.25  + characters[[#This Row],[Power]] * 0.1  - _xlfn.IFS(    characters[[#This Row],[Role]]="Attacker",  5,    characters[[#This Row],[Role]]="Tank",       8,    characters[[#This Row],[Role]]="Disruptor",  0,    characters[[#This Row],[Role]]="Support",    2,    TRUE(), 3  ), 0)</f>
        <v>60</v>
      </c>
      <c r="S30" s="28">
        <f>ROUND(  characters[[#This Row],[Defense]] * 0.5  + characters[[#This Row],[Control]] * 0.35  + characters[[#This Row],[Support]] * 0.1  + _xlfn.IFS(    characters[[#This Row],[Role]]="Tank",      10,    characters[[#This Row],[Role]]="Support",    5,    characters[[#This Row],[Role]]="Disruptor",  8,    characters[[#This Row],[Role]]="Attacker",   0,    TRUE(), 5  ), 0)</f>
        <v>91</v>
      </c>
      <c r="T30" s="28">
        <f>SUM(characters[[#This Row],[Power]:[Resilience]])</f>
        <v>736</v>
      </c>
      <c r="U30"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30" s="27" t="str" cm="1">
        <f t="array" ref="V30">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30" s="31" t="s">
        <v>145</v>
      </c>
      <c r="X30" s="31" t="s">
        <v>177</v>
      </c>
      <c r="Y30" s="31" t="s">
        <v>186</v>
      </c>
      <c r="Z30" s="38" t="s">
        <v>247</v>
      </c>
    </row>
    <row r="31" spans="1:26" ht="28.5" customHeight="1" x14ac:dyDescent="0.3">
      <c r="A31" s="26" t="s">
        <v>104</v>
      </c>
      <c r="B31" s="27" t="s">
        <v>30</v>
      </c>
      <c r="C31" s="27">
        <v>1</v>
      </c>
      <c r="D31" s="27">
        <v>168</v>
      </c>
      <c r="E31" s="27" t="s">
        <v>60</v>
      </c>
      <c r="F31" s="27" t="s">
        <v>42</v>
      </c>
      <c r="G31" s="27" t="s">
        <v>33</v>
      </c>
      <c r="H31" s="27" t="s">
        <v>105</v>
      </c>
      <c r="I31" s="27" t="s">
        <v>45</v>
      </c>
      <c r="J31" s="27" t="s">
        <v>36</v>
      </c>
      <c r="K31" s="27">
        <v>78</v>
      </c>
      <c r="L31" s="27">
        <v>45</v>
      </c>
      <c r="M31" s="27">
        <v>20</v>
      </c>
      <c r="N31" s="27">
        <v>127</v>
      </c>
      <c r="O31" s="27" cm="1">
        <f t="array" ref="O31">_xlfn.IFS(
  characters[[#This Row],[Role]]="Tank",      120,
  characters[[#This Row],[Role]]="Support",   105,
  characters[[#This Row],[Role]]="Disruptor", 95,
  characters[[#This Row],[Role]]="Attacker",  80,
  TRUE(), 40
)
+ ROUND(characters[[#This Row],[Control]]*0.1, 0)
- ROUND(characters[[#This Row],[Speed]]*0.05, 0)</f>
        <v>79</v>
      </c>
      <c r="P31" s="28">
        <f>_xlfn.IFS(  characters[[#This Row],[Role]]="Tank",      120,  characters[[#This Row],[Role]]="Support",   90,  characters[[#This Row],[Role]]="Disruptor", 75,  characters[[#This Row],[Role]]="Attacker",  60,  TRUE(), 80)+ ROUND(characters[[#This Row],[Defense]]*0.3, 0)</f>
        <v>84</v>
      </c>
      <c r="Q31" s="28">
        <f>ROUND(  characters[[#This Row],[Control]] * 0.5  + characters[[#This Row],[Support]] * 0.3  - characters[[#This Row],[Speed]] * 0.1  + _xlfn.IFS(    characters[[#This Row],[Role]]="Tank",      20,    characters[[#This Row],[Role]]="Support",   15,    characters[[#This Row],[Role]]="Disruptor", 10,    characters[[#This Row],[Role]]="Attacker",  5,    TRUE(), 10  ), 0)</f>
        <v>21</v>
      </c>
      <c r="R31" s="28">
        <f>ROUND(  characters[[#This Row],[Control]] * 0.6  + characters[[#This Row],[Speed]] * 0.25  + characters[[#This Row],[Power]] * 0.1  - _xlfn.IFS(    characters[[#This Row],[Role]]="Attacker",  5,    characters[[#This Row],[Role]]="Tank",       8,    characters[[#This Row],[Role]]="Disruptor",  0,    characters[[#This Row],[Role]]="Support",    2,    TRUE(), 3  ), 0)</f>
        <v>62</v>
      </c>
      <c r="S31" s="28">
        <f>ROUND(  characters[[#This Row],[Defense]] * 0.5  + characters[[#This Row],[Control]] * 0.35  + characters[[#This Row],[Support]] * 0.1  + _xlfn.IFS(    characters[[#This Row],[Role]]="Tank",      10,    characters[[#This Row],[Role]]="Support",    5,    characters[[#This Row],[Role]]="Disruptor",  8,    characters[[#This Row],[Role]]="Attacker",   0,    TRUE(), 5  ), 0)</f>
        <v>57</v>
      </c>
      <c r="T31" s="28">
        <f>SUM(characters[[#This Row],[Power]:[Resilience]])</f>
        <v>573</v>
      </c>
      <c r="U31"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31" s="27" t="str" cm="1">
        <f t="array" ref="V31">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Striker</v>
      </c>
      <c r="W31" s="31" t="s">
        <v>146</v>
      </c>
      <c r="X31" s="31" t="s">
        <v>158</v>
      </c>
      <c r="Y31" s="31" t="s">
        <v>188</v>
      </c>
      <c r="Z31" s="38" t="s">
        <v>247</v>
      </c>
    </row>
    <row r="32" spans="1:26" ht="28.5" customHeight="1" x14ac:dyDescent="0.3">
      <c r="A32" s="26" t="s">
        <v>106</v>
      </c>
      <c r="B32" s="27" t="s">
        <v>23</v>
      </c>
      <c r="C32" s="27">
        <v>5</v>
      </c>
      <c r="D32" s="27">
        <v>169</v>
      </c>
      <c r="E32" s="27" t="s">
        <v>64</v>
      </c>
      <c r="F32" s="27" t="s">
        <v>88</v>
      </c>
      <c r="G32" s="27" t="s">
        <v>33</v>
      </c>
      <c r="H32" s="27" t="s">
        <v>71</v>
      </c>
      <c r="I32" s="27" t="s">
        <v>28</v>
      </c>
      <c r="J32" s="27" t="s">
        <v>36</v>
      </c>
      <c r="K32" s="27">
        <v>75</v>
      </c>
      <c r="L32" s="27">
        <v>40</v>
      </c>
      <c r="M32" s="27">
        <v>30</v>
      </c>
      <c r="N32" s="27">
        <v>108</v>
      </c>
      <c r="O32" s="27" cm="1">
        <f t="array" ref="O32">_xlfn.IFS(
  characters[[#This Row],[Role]]="Tank",      120,
  characters[[#This Row],[Role]]="Support",   105,
  characters[[#This Row],[Role]]="Disruptor", 95,
  characters[[#This Row],[Role]]="Attacker",  80,
  TRUE(), 40
)
+ ROUND(characters[[#This Row],[Control]]*0.1, 0)
- ROUND(characters[[#This Row],[Speed]]*0.05, 0)</f>
        <v>79</v>
      </c>
      <c r="P32" s="28">
        <f>_xlfn.IFS(  characters[[#This Row],[Role]]="Tank",      120,  characters[[#This Row],[Role]]="Support",   90,  characters[[#This Row],[Role]]="Disruptor", 75,  characters[[#This Row],[Role]]="Attacker",  60,  TRUE(), 80)+ ROUND(characters[[#This Row],[Defense]]*0.3, 0)</f>
        <v>84</v>
      </c>
      <c r="Q32" s="28">
        <f>ROUND(  characters[[#This Row],[Control]] * 0.5  + characters[[#This Row],[Support]] * 0.3  - characters[[#This Row],[Speed]] * 0.1  + _xlfn.IFS(    characters[[#This Row],[Role]]="Tank",      20,    characters[[#This Row],[Role]]="Support",   15,    characters[[#This Row],[Role]]="Disruptor", 10,    characters[[#This Row],[Role]]="Attacker",  5,    TRUE(), 10  ), 0)</f>
        <v>23</v>
      </c>
      <c r="R32" s="28">
        <f>ROUND(  characters[[#This Row],[Control]] * 0.6  + characters[[#This Row],[Speed]] * 0.25  + characters[[#This Row],[Power]] * 0.1  - _xlfn.IFS(    characters[[#This Row],[Role]]="Attacker",  5,    characters[[#This Row],[Role]]="Tank",       8,    characters[[#This Row],[Role]]="Disruptor",  0,    characters[[#This Row],[Role]]="Support",    2,    TRUE(), 3  ), 0)</f>
        <v>54</v>
      </c>
      <c r="S32" s="28">
        <f>ROUND(  characters[[#This Row],[Defense]] * 0.5  + characters[[#This Row],[Control]] * 0.35  + characters[[#This Row],[Support]] * 0.1  + _xlfn.IFS(    characters[[#This Row],[Role]]="Tank",      10,    characters[[#This Row],[Role]]="Support",    5,    characters[[#This Row],[Role]]="Disruptor",  8,    characters[[#This Row],[Role]]="Attacker",   0,    TRUE(), 5  ), 0)</f>
        <v>57</v>
      </c>
      <c r="T32" s="28">
        <f>SUM(characters[[#This Row],[Power]:[Resilience]])</f>
        <v>550</v>
      </c>
      <c r="U32"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5</v>
      </c>
      <c r="V32" s="27" t="str" cm="1">
        <f t="array" ref="V32">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Striker</v>
      </c>
      <c r="W32" s="31" t="s">
        <v>147</v>
      </c>
      <c r="X32" s="31" t="s">
        <v>178</v>
      </c>
      <c r="Y32" s="31" t="s">
        <v>194</v>
      </c>
      <c r="Z32" s="38" t="s">
        <v>248</v>
      </c>
    </row>
    <row r="33" spans="1:26" ht="28.5" customHeight="1" x14ac:dyDescent="0.3">
      <c r="A33" s="26" t="s">
        <v>107</v>
      </c>
      <c r="B33" s="27" t="s">
        <v>23</v>
      </c>
      <c r="C33" s="27">
        <v>1</v>
      </c>
      <c r="D33" s="27">
        <v>166</v>
      </c>
      <c r="E33" s="27" t="s">
        <v>64</v>
      </c>
      <c r="F33" s="27" t="s">
        <v>68</v>
      </c>
      <c r="G33" s="27" t="s">
        <v>39</v>
      </c>
      <c r="H33" s="27" t="s">
        <v>91</v>
      </c>
      <c r="I33" s="27" t="s">
        <v>45</v>
      </c>
      <c r="J33" s="27" t="s">
        <v>12</v>
      </c>
      <c r="K33" s="27">
        <v>50</v>
      </c>
      <c r="L33" s="27">
        <v>55</v>
      </c>
      <c r="M33" s="27">
        <v>95</v>
      </c>
      <c r="N33" s="27">
        <v>48</v>
      </c>
      <c r="O33" s="27" cm="1">
        <f t="array" ref="O33">_xlfn.IFS(
  characters[[#This Row],[Role]]="Tank",      120,
  characters[[#This Row],[Role]]="Support",   105,
  characters[[#This Row],[Role]]="Disruptor", 95,
  characters[[#This Row],[Role]]="Attacker",  80,
  TRUE(), 40
)
+ ROUND(characters[[#This Row],[Control]]*0.1, 0)
- ROUND(characters[[#This Row],[Speed]]*0.05, 0)</f>
        <v>109</v>
      </c>
      <c r="P33" s="28">
        <f>_xlfn.IFS(  characters[[#This Row],[Role]]="Tank",      120,  characters[[#This Row],[Role]]="Support",   90,  characters[[#This Row],[Role]]="Disruptor", 75,  characters[[#This Row],[Role]]="Attacker",  60,  TRUE(), 80)+ ROUND(characters[[#This Row],[Defense]]*0.3, 0)</f>
        <v>123</v>
      </c>
      <c r="Q33" s="28">
        <f>ROUND(  characters[[#This Row],[Control]] * 0.5  + characters[[#This Row],[Support]] * 0.3  - characters[[#This Row],[Speed]] * 0.1  + _xlfn.IFS(    characters[[#This Row],[Role]]="Tank",      20,    characters[[#This Row],[Role]]="Support",   15,    characters[[#This Row],[Role]]="Disruptor", 10,    characters[[#This Row],[Role]]="Attacker",  5,    TRUE(), 10  ), 0)</f>
        <v>66</v>
      </c>
      <c r="R33" s="28">
        <f>ROUND(  characters[[#This Row],[Control]] * 0.6  + characters[[#This Row],[Speed]] * 0.25  + characters[[#This Row],[Power]] * 0.1  - _xlfn.IFS(    characters[[#This Row],[Role]]="Attacker",  5,    characters[[#This Row],[Role]]="Tank",       8,    characters[[#This Row],[Role]]="Disruptor",  0,    characters[[#This Row],[Role]]="Support",    2,    TRUE(), 3  ), 0)</f>
        <v>48</v>
      </c>
      <c r="S33" s="28">
        <f>ROUND(  characters[[#This Row],[Defense]] * 0.5  + characters[[#This Row],[Control]] * 0.35  + characters[[#This Row],[Support]] * 0.1  + _xlfn.IFS(    characters[[#This Row],[Role]]="Tank",      10,    characters[[#This Row],[Role]]="Support",    5,    characters[[#This Row],[Role]]="Disruptor",  8,    characters[[#This Row],[Role]]="Attacker",   0,    TRUE(), 5  ), 0)</f>
        <v>88</v>
      </c>
      <c r="T33" s="28">
        <f>SUM(characters[[#This Row],[Power]:[Resilience]])</f>
        <v>682</v>
      </c>
      <c r="U33"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33" s="27" t="str" cm="1">
        <f t="array" ref="V33">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33" s="31" t="s">
        <v>148</v>
      </c>
      <c r="X33" s="31" t="s">
        <v>179</v>
      </c>
      <c r="Y33" s="31" t="s">
        <v>190</v>
      </c>
      <c r="Z33" s="38" t="s">
        <v>248</v>
      </c>
    </row>
    <row r="34" spans="1:26" ht="28.5" customHeight="1" x14ac:dyDescent="0.3">
      <c r="A34" s="26" t="s">
        <v>108</v>
      </c>
      <c r="B34" s="27" t="s">
        <v>23</v>
      </c>
      <c r="C34" s="27">
        <v>2</v>
      </c>
      <c r="D34" s="27">
        <v>171</v>
      </c>
      <c r="E34" s="27" t="s">
        <v>64</v>
      </c>
      <c r="F34" s="27" t="s">
        <v>74</v>
      </c>
      <c r="G34" s="27" t="s">
        <v>26</v>
      </c>
      <c r="H34" s="27" t="s">
        <v>58</v>
      </c>
      <c r="I34" s="27" t="s">
        <v>35</v>
      </c>
      <c r="J34" s="27" t="s">
        <v>46</v>
      </c>
      <c r="K34" s="27">
        <v>65</v>
      </c>
      <c r="L34" s="27">
        <v>105</v>
      </c>
      <c r="M34" s="27">
        <v>35</v>
      </c>
      <c r="N34" s="27">
        <v>42</v>
      </c>
      <c r="O34" s="27" cm="1">
        <f t="array" ref="O34">_xlfn.IFS(
  characters[[#This Row],[Role]]="Tank",      120,
  characters[[#This Row],[Role]]="Support",   105,
  characters[[#This Row],[Role]]="Disruptor", 95,
  characters[[#This Row],[Role]]="Attacker",  80,
  TRUE(), 40
)
+ ROUND(characters[[#This Row],[Control]]*0.1, 0)
- ROUND(characters[[#This Row],[Speed]]*0.05, 0)</f>
        <v>104</v>
      </c>
      <c r="P34" s="28">
        <f>_xlfn.IFS(  characters[[#This Row],[Role]]="Tank",      120,  characters[[#This Row],[Role]]="Support",   90,  characters[[#This Row],[Role]]="Disruptor", 75,  characters[[#This Row],[Role]]="Attacker",  60,  TRUE(), 80)+ ROUND(characters[[#This Row],[Defense]]*0.3, 0)</f>
        <v>106</v>
      </c>
      <c r="Q34" s="28">
        <f>ROUND(  characters[[#This Row],[Control]] * 0.5  + characters[[#This Row],[Support]] * 0.3  - characters[[#This Row],[Speed]] * 0.1  + _xlfn.IFS(    characters[[#This Row],[Role]]="Tank",      20,    characters[[#This Row],[Role]]="Support",   15,    characters[[#This Row],[Role]]="Disruptor", 10,    characters[[#This Row],[Role]]="Attacker",  5,    TRUE(), 10  ), 0)</f>
        <v>69</v>
      </c>
      <c r="R34" s="28">
        <f>ROUND(  characters[[#This Row],[Control]] * 0.6  + characters[[#This Row],[Speed]] * 0.25  + characters[[#This Row],[Power]] * 0.1  - _xlfn.IFS(    characters[[#This Row],[Role]]="Attacker",  5,    characters[[#This Row],[Role]]="Tank",       8,    characters[[#This Row],[Role]]="Disruptor",  0,    characters[[#This Row],[Role]]="Support",    2,    TRUE(), 3  ), 0)</f>
        <v>80</v>
      </c>
      <c r="S34" s="28">
        <f>ROUND(  characters[[#This Row],[Defense]] * 0.5  + characters[[#This Row],[Control]] * 0.35  + characters[[#This Row],[Support]] * 0.1  + _xlfn.IFS(    characters[[#This Row],[Role]]="Tank",      10,    characters[[#This Row],[Role]]="Support",    5,    characters[[#This Row],[Role]]="Disruptor",  8,    characters[[#This Row],[Role]]="Attacker",   0,    TRUE(), 5  ), 0)</f>
        <v>100</v>
      </c>
      <c r="T34" s="28">
        <f>SUM(characters[[#This Row],[Power]:[Resilience]])</f>
        <v>706</v>
      </c>
      <c r="U34"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34" s="27" t="str" cm="1">
        <f t="array" ref="V34">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Tactician</v>
      </c>
      <c r="W34" s="31" t="s">
        <v>149</v>
      </c>
      <c r="X34" s="31" t="s">
        <v>180</v>
      </c>
      <c r="Y34" s="31" t="s">
        <v>191</v>
      </c>
      <c r="Z34" s="38" t="s">
        <v>247</v>
      </c>
    </row>
    <row r="35" spans="1:26" ht="28.5" customHeight="1" x14ac:dyDescent="0.3">
      <c r="A35" s="26" t="s">
        <v>109</v>
      </c>
      <c r="B35" s="27" t="s">
        <v>23</v>
      </c>
      <c r="C35" s="27">
        <v>4</v>
      </c>
      <c r="D35" s="27">
        <v>169</v>
      </c>
      <c r="E35" s="27" t="s">
        <v>52</v>
      </c>
      <c r="F35" s="27" t="s">
        <v>74</v>
      </c>
      <c r="G35" s="27" t="s">
        <v>43</v>
      </c>
      <c r="H35" s="27" t="s">
        <v>89</v>
      </c>
      <c r="I35" s="27" t="s">
        <v>35</v>
      </c>
      <c r="J35" s="27" t="s">
        <v>46</v>
      </c>
      <c r="K35" s="27">
        <v>55</v>
      </c>
      <c r="L35" s="27">
        <v>85</v>
      </c>
      <c r="M35" s="27">
        <v>30</v>
      </c>
      <c r="N35" s="27">
        <v>50</v>
      </c>
      <c r="O35" s="27" cm="1">
        <f t="array" ref="O35">_xlfn.IFS(
  characters[[#This Row],[Role]]="Tank",      120,
  characters[[#This Row],[Role]]="Support",   105,
  characters[[#This Row],[Role]]="Disruptor", 95,
  characters[[#This Row],[Role]]="Attacker",  80,
  TRUE(), 40
)
+ ROUND(characters[[#This Row],[Control]]*0.1, 0)
- ROUND(characters[[#This Row],[Speed]]*0.05, 0)</f>
        <v>101</v>
      </c>
      <c r="P35" s="28">
        <f>_xlfn.IFS(  characters[[#This Row],[Role]]="Tank",      120,  characters[[#This Row],[Role]]="Support",   90,  characters[[#This Row],[Role]]="Disruptor", 75,  characters[[#This Row],[Role]]="Attacker",  60,  TRUE(), 80)+ ROUND(characters[[#This Row],[Defense]]*0.3, 0)</f>
        <v>105</v>
      </c>
      <c r="Q35" s="28">
        <f>ROUND(  characters[[#This Row],[Control]] * 0.5  + characters[[#This Row],[Support]] * 0.3  - characters[[#This Row],[Speed]] * 0.1  + _xlfn.IFS(    characters[[#This Row],[Role]]="Tank",      20,    characters[[#This Row],[Role]]="Support",   15,    characters[[#This Row],[Role]]="Disruptor", 10,    characters[[#This Row],[Role]]="Attacker",  5,    TRUE(), 10  ), 0)</f>
        <v>57</v>
      </c>
      <c r="R35" s="28">
        <f>ROUND(  characters[[#This Row],[Control]] * 0.6  + characters[[#This Row],[Speed]] * 0.25  + characters[[#This Row],[Power]] * 0.1  - _xlfn.IFS(    characters[[#This Row],[Role]]="Attacker",  5,    characters[[#This Row],[Role]]="Tank",       8,    characters[[#This Row],[Role]]="Disruptor",  0,    characters[[#This Row],[Role]]="Support",    2,    TRUE(), 3  ), 0)</f>
        <v>69</v>
      </c>
      <c r="S35" s="28">
        <f>ROUND(  characters[[#This Row],[Defense]] * 0.5  + characters[[#This Row],[Control]] * 0.35  + characters[[#This Row],[Support]] * 0.1  + _xlfn.IFS(    characters[[#This Row],[Role]]="Tank",      10,    characters[[#This Row],[Role]]="Support",    5,    characters[[#This Row],[Role]]="Disruptor",  8,    characters[[#This Row],[Role]]="Attacker",   0,    TRUE(), 5  ), 0)</f>
        <v>91</v>
      </c>
      <c r="T35" s="28">
        <f>SUM(characters[[#This Row],[Power]:[Resilience]])</f>
        <v>643</v>
      </c>
      <c r="U35"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35" s="27" t="str" cm="1">
        <f t="array" ref="V35">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Tactician</v>
      </c>
      <c r="W35" s="31" t="s">
        <v>143</v>
      </c>
      <c r="X35" s="31" t="s">
        <v>170</v>
      </c>
      <c r="Y35" s="31" t="s">
        <v>191</v>
      </c>
      <c r="Z35" s="38" t="s">
        <v>247</v>
      </c>
    </row>
    <row r="36" spans="1:26" ht="28.5" customHeight="1" x14ac:dyDescent="0.3">
      <c r="A36" s="26" t="s">
        <v>110</v>
      </c>
      <c r="B36" s="27" t="s">
        <v>30</v>
      </c>
      <c r="C36" s="27">
        <v>7</v>
      </c>
      <c r="D36" s="27">
        <v>174</v>
      </c>
      <c r="E36" s="27" t="s">
        <v>24</v>
      </c>
      <c r="F36" s="27" t="s">
        <v>88</v>
      </c>
      <c r="G36" s="27" t="s">
        <v>26</v>
      </c>
      <c r="H36" s="27" t="s">
        <v>81</v>
      </c>
      <c r="I36" s="27" t="s">
        <v>45</v>
      </c>
      <c r="J36" s="27" t="s">
        <v>46</v>
      </c>
      <c r="K36" s="27">
        <v>60</v>
      </c>
      <c r="L36" s="27">
        <v>113</v>
      </c>
      <c r="M36" s="27">
        <v>28</v>
      </c>
      <c r="N36" s="27">
        <v>58</v>
      </c>
      <c r="O36" s="27" cm="1">
        <f t="array" ref="O36">_xlfn.IFS(
  characters[[#This Row],[Role]]="Tank",      120,
  characters[[#This Row],[Role]]="Support",   105,
  characters[[#This Row],[Role]]="Disruptor", 95,
  characters[[#This Row],[Role]]="Attacker",  80,
  TRUE(), 40
)
+ ROUND(characters[[#This Row],[Control]]*0.1, 0)
- ROUND(characters[[#This Row],[Speed]]*0.05, 0)</f>
        <v>103</v>
      </c>
      <c r="P36" s="28">
        <f>_xlfn.IFS(  characters[[#This Row],[Role]]="Tank",      120,  characters[[#This Row],[Role]]="Support",   90,  characters[[#This Row],[Role]]="Disruptor", 75,  characters[[#This Row],[Role]]="Attacker",  60,  TRUE(), 80)+ ROUND(characters[[#This Row],[Defense]]*0.3, 0)</f>
        <v>106</v>
      </c>
      <c r="Q36" s="28">
        <f>ROUND(  characters[[#This Row],[Control]] * 0.5  + characters[[#This Row],[Support]] * 0.3  - characters[[#This Row],[Speed]] * 0.1  + _xlfn.IFS(    characters[[#This Row],[Role]]="Tank",      20,    characters[[#This Row],[Role]]="Support",   15,    characters[[#This Row],[Role]]="Disruptor", 10,    characters[[#This Row],[Role]]="Attacker",  5,    TRUE(), 10  ), 0)</f>
        <v>69</v>
      </c>
      <c r="R36" s="28">
        <f>ROUND(  characters[[#This Row],[Control]] * 0.6  + characters[[#This Row],[Speed]] * 0.25  + characters[[#This Row],[Power]] * 0.1  - _xlfn.IFS(    characters[[#This Row],[Role]]="Attacker",  5,    characters[[#This Row],[Role]]="Tank",       8,    characters[[#This Row],[Role]]="Disruptor",  0,    characters[[#This Row],[Role]]="Support",    2,    TRUE(), 3  ), 0)</f>
        <v>88</v>
      </c>
      <c r="S36" s="28">
        <f>ROUND(  characters[[#This Row],[Defense]] * 0.5  + characters[[#This Row],[Control]] * 0.35  + characters[[#This Row],[Support]] * 0.1  + _xlfn.IFS(    characters[[#This Row],[Role]]="Tank",      10,    characters[[#This Row],[Role]]="Support",    5,    characters[[#This Row],[Role]]="Disruptor",  8,    characters[[#This Row],[Role]]="Attacker",   0,    TRUE(), 5  ), 0)</f>
        <v>102</v>
      </c>
      <c r="T36" s="28">
        <f>SUM(characters[[#This Row],[Power]:[Resilience]])</f>
        <v>727</v>
      </c>
      <c r="U36"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5</v>
      </c>
      <c r="V36" s="27" t="str" cm="1">
        <f t="array" ref="V36">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Tactician</v>
      </c>
      <c r="W36" s="31" t="s">
        <v>135</v>
      </c>
      <c r="X36" s="31" t="s">
        <v>172</v>
      </c>
      <c r="Y36" s="31" t="s">
        <v>194</v>
      </c>
      <c r="Z36" s="38" t="s">
        <v>248</v>
      </c>
    </row>
    <row r="37" spans="1:26" ht="28.5" customHeight="1" x14ac:dyDescent="0.3">
      <c r="A37" s="26" t="s">
        <v>111</v>
      </c>
      <c r="B37" s="27" t="s">
        <v>30</v>
      </c>
      <c r="C37" s="27">
        <v>2</v>
      </c>
      <c r="D37" s="27">
        <v>171</v>
      </c>
      <c r="E37" s="27" t="s">
        <v>64</v>
      </c>
      <c r="F37" s="27" t="s">
        <v>32</v>
      </c>
      <c r="G37" s="27" t="s">
        <v>33</v>
      </c>
      <c r="H37" s="27" t="s">
        <v>105</v>
      </c>
      <c r="I37" s="27" t="s">
        <v>45</v>
      </c>
      <c r="J37" s="27" t="s">
        <v>36</v>
      </c>
      <c r="K37" s="27">
        <v>113</v>
      </c>
      <c r="L37" s="27">
        <v>28</v>
      </c>
      <c r="M37" s="27">
        <v>10</v>
      </c>
      <c r="N37" s="27">
        <v>114</v>
      </c>
      <c r="O37" s="27" cm="1">
        <f t="array" ref="O37">_xlfn.IFS(
  characters[[#This Row],[Role]]="Tank",      120,
  characters[[#This Row],[Role]]="Support",   105,
  characters[[#This Row],[Role]]="Disruptor", 95,
  characters[[#This Row],[Role]]="Attacker",  80,
  TRUE(), 40
)
+ ROUND(characters[[#This Row],[Control]]*0.1, 0)
- ROUND(characters[[#This Row],[Speed]]*0.05, 0)</f>
        <v>77</v>
      </c>
      <c r="P37" s="28">
        <f>_xlfn.IFS(  characters[[#This Row],[Role]]="Tank",      120,  characters[[#This Row],[Role]]="Support",   90,  characters[[#This Row],[Role]]="Disruptor", 75,  characters[[#This Row],[Role]]="Attacker",  60,  TRUE(), 80)+ ROUND(characters[[#This Row],[Defense]]*0.3, 0)</f>
        <v>83</v>
      </c>
      <c r="Q37" s="28">
        <f>ROUND(  characters[[#This Row],[Control]] * 0.5  + characters[[#This Row],[Support]] * 0.3  - characters[[#This Row],[Speed]] * 0.1  + _xlfn.IFS(    characters[[#This Row],[Role]]="Tank",      20,    characters[[#This Row],[Role]]="Support",   15,    characters[[#This Row],[Role]]="Disruptor", 10,    characters[[#This Row],[Role]]="Attacker",  5,    TRUE(), 10  ), 0)</f>
        <v>11</v>
      </c>
      <c r="R37" s="28">
        <f>ROUND(  characters[[#This Row],[Control]] * 0.6  + characters[[#This Row],[Speed]] * 0.25  + characters[[#This Row],[Power]] * 0.1  - _xlfn.IFS(    characters[[#This Row],[Role]]="Attacker",  5,    characters[[#This Row],[Role]]="Tank",       8,    characters[[#This Row],[Role]]="Disruptor",  0,    characters[[#This Row],[Role]]="Support",    2,    TRUE(), 3  ), 0)</f>
        <v>52</v>
      </c>
      <c r="S37" s="28">
        <f>ROUND(  characters[[#This Row],[Defense]] * 0.5  + characters[[#This Row],[Control]] * 0.35  + characters[[#This Row],[Support]] * 0.1  + _xlfn.IFS(    characters[[#This Row],[Role]]="Tank",      10,    characters[[#This Row],[Role]]="Support",    5,    characters[[#This Row],[Role]]="Disruptor",  8,    characters[[#This Row],[Role]]="Attacker",   0,    TRUE(), 5  ), 0)</f>
        <v>49</v>
      </c>
      <c r="T37" s="28">
        <f>SUM(characters[[#This Row],[Power]:[Resilience]])</f>
        <v>537</v>
      </c>
      <c r="U37"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37" s="27" t="str" cm="1">
        <f t="array" ref="V37">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Brawler</v>
      </c>
      <c r="W37" s="31" t="s">
        <v>119</v>
      </c>
      <c r="X37" s="31" t="s">
        <v>156</v>
      </c>
      <c r="Y37" s="31" t="s">
        <v>186</v>
      </c>
      <c r="Z37" s="38" t="s">
        <v>247</v>
      </c>
    </row>
    <row r="38" spans="1:26" ht="28.5" customHeight="1" x14ac:dyDescent="0.3">
      <c r="A38" s="26" t="s">
        <v>112</v>
      </c>
      <c r="B38" s="27" t="s">
        <v>23</v>
      </c>
      <c r="C38" s="27">
        <v>4</v>
      </c>
      <c r="D38" s="27">
        <v>165</v>
      </c>
      <c r="E38" s="27" t="s">
        <v>60</v>
      </c>
      <c r="F38" s="27" t="s">
        <v>38</v>
      </c>
      <c r="G38" s="27" t="s">
        <v>86</v>
      </c>
      <c r="H38" s="27" t="s">
        <v>44</v>
      </c>
      <c r="I38" s="27" t="s">
        <v>45</v>
      </c>
      <c r="J38" s="27" t="s">
        <v>12</v>
      </c>
      <c r="K38" s="27">
        <v>20</v>
      </c>
      <c r="L38" s="27">
        <v>65</v>
      </c>
      <c r="M38" s="27">
        <v>130</v>
      </c>
      <c r="N38" s="27">
        <v>35</v>
      </c>
      <c r="O38" s="27" cm="1">
        <f t="array" ref="O38">_xlfn.IFS(
  characters[[#This Row],[Role]]="Tank",      120,
  characters[[#This Row],[Role]]="Support",   105,
  characters[[#This Row],[Role]]="Disruptor", 95,
  characters[[#This Row],[Role]]="Attacker",  80,
  TRUE(), 40
)
+ ROUND(characters[[#This Row],[Control]]*0.1, 0)
- ROUND(characters[[#This Row],[Speed]]*0.05, 0)</f>
        <v>110</v>
      </c>
      <c r="P38" s="28">
        <f>_xlfn.IFS(  characters[[#This Row],[Role]]="Tank",      120,  characters[[#This Row],[Role]]="Support",   90,  characters[[#This Row],[Role]]="Disruptor", 75,  characters[[#This Row],[Role]]="Attacker",  60,  TRUE(), 80)+ ROUND(characters[[#This Row],[Defense]]*0.3, 0)</f>
        <v>123</v>
      </c>
      <c r="Q38" s="28">
        <f>ROUND(  characters[[#This Row],[Control]] * 0.5  + characters[[#This Row],[Support]] * 0.3  - characters[[#This Row],[Speed]] * 0.1  + _xlfn.IFS(    characters[[#This Row],[Role]]="Tank",      20,    characters[[#This Row],[Role]]="Support",   15,    characters[[#This Row],[Role]]="Disruptor", 10,    characters[[#This Row],[Role]]="Attacker",  5,    TRUE(), 10  ), 0)</f>
        <v>83</v>
      </c>
      <c r="R38" s="28">
        <f>ROUND(  characters[[#This Row],[Control]] * 0.6  + characters[[#This Row],[Speed]] * 0.25  + characters[[#This Row],[Power]] * 0.1  - _xlfn.IFS(    characters[[#This Row],[Role]]="Attacker",  5,    characters[[#This Row],[Role]]="Tank",       8,    characters[[#This Row],[Role]]="Disruptor",  0,    characters[[#This Row],[Role]]="Support",    2,    TRUE(), 3  ), 0)</f>
        <v>48</v>
      </c>
      <c r="S38" s="28">
        <f>ROUND(  characters[[#This Row],[Defense]] * 0.5  + characters[[#This Row],[Control]] * 0.35  + characters[[#This Row],[Support]] * 0.1  + _xlfn.IFS(    characters[[#This Row],[Role]]="Tank",      10,    characters[[#This Row],[Role]]="Support",    5,    characters[[#This Row],[Role]]="Disruptor",  8,    characters[[#This Row],[Role]]="Attacker",   0,    TRUE(), 5  ), 0)</f>
        <v>96</v>
      </c>
      <c r="T38" s="28">
        <f>SUM(characters[[#This Row],[Power]:[Resilience]])</f>
        <v>710</v>
      </c>
      <c r="U38"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4</v>
      </c>
      <c r="V38" s="27" t="str" cm="1">
        <f t="array" ref="V38">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Full Support</v>
      </c>
      <c r="W38" s="31" t="s">
        <v>150</v>
      </c>
      <c r="X38" s="31" t="s">
        <v>181</v>
      </c>
      <c r="Y38" s="31" t="s">
        <v>187</v>
      </c>
      <c r="Z38" s="38" t="s">
        <v>247</v>
      </c>
    </row>
    <row r="39" spans="1:26" ht="28.5" customHeight="1" x14ac:dyDescent="0.3">
      <c r="A39" s="26" t="s">
        <v>113</v>
      </c>
      <c r="B39" s="27" t="s">
        <v>23</v>
      </c>
      <c r="C39" s="27">
        <v>2</v>
      </c>
      <c r="D39" s="27">
        <v>169</v>
      </c>
      <c r="E39" s="27" t="s">
        <v>52</v>
      </c>
      <c r="F39" s="27" t="s">
        <v>88</v>
      </c>
      <c r="G39" s="27" t="s">
        <v>53</v>
      </c>
      <c r="H39" s="27" t="s">
        <v>96</v>
      </c>
      <c r="I39" s="27" t="s">
        <v>55</v>
      </c>
      <c r="J39" s="27" t="s">
        <v>62</v>
      </c>
      <c r="K39" s="27">
        <v>70</v>
      </c>
      <c r="L39" s="27">
        <v>85</v>
      </c>
      <c r="M39" s="27">
        <v>50</v>
      </c>
      <c r="N39" s="27">
        <v>40</v>
      </c>
      <c r="O39" s="27" cm="1">
        <f t="array" ref="O39">_xlfn.IFS(
  characters[[#This Row],[Role]]="Tank",      120,
  characters[[#This Row],[Role]]="Support",   105,
  characters[[#This Row],[Role]]="Disruptor", 95,
  characters[[#This Row],[Role]]="Attacker",  80,
  TRUE(), 40
)
+ ROUND(characters[[#This Row],[Control]]*0.1, 0)
- ROUND(characters[[#This Row],[Speed]]*0.05, 0)</f>
        <v>127</v>
      </c>
      <c r="P39" s="28">
        <f>_xlfn.IFS(  characters[[#This Row],[Role]]="Tank",      120,  characters[[#This Row],[Role]]="Support",   90,  characters[[#This Row],[Role]]="Disruptor", 75,  characters[[#This Row],[Role]]="Attacker",  60,  TRUE(), 80)+ ROUND(characters[[#This Row],[Defense]]*0.3, 0)</f>
        <v>158</v>
      </c>
      <c r="Q39" s="28">
        <f>ROUND(  characters[[#This Row],[Control]] * 0.5  + characters[[#This Row],[Support]] * 0.3  - characters[[#This Row],[Speed]] * 0.1  + _xlfn.IFS(    characters[[#This Row],[Role]]="Tank",      20,    characters[[#This Row],[Role]]="Support",   15,    characters[[#This Row],[Role]]="Disruptor", 10,    characters[[#This Row],[Role]]="Attacker",  5,    TRUE(), 10  ), 0)</f>
        <v>74</v>
      </c>
      <c r="R39" s="28">
        <f>ROUND(  characters[[#This Row],[Control]] * 0.6  + characters[[#This Row],[Speed]] * 0.25  + characters[[#This Row],[Power]] * 0.1  - _xlfn.IFS(    characters[[#This Row],[Role]]="Attacker",  5,    characters[[#This Row],[Role]]="Tank",       8,    characters[[#This Row],[Role]]="Disruptor",  0,    characters[[#This Row],[Role]]="Support",    2,    TRUE(), 3  ), 0)</f>
        <v>60</v>
      </c>
      <c r="S39" s="28">
        <f>ROUND(  characters[[#This Row],[Defense]] * 0.5  + characters[[#This Row],[Control]] * 0.35  + characters[[#This Row],[Support]] * 0.1  + _xlfn.IFS(    characters[[#This Row],[Role]]="Tank",      10,    characters[[#This Row],[Role]]="Support",    5,    characters[[#This Row],[Role]]="Disruptor",  8,    characters[[#This Row],[Role]]="Attacker",   0,    TRUE(), 5  ), 0)</f>
        <v>108</v>
      </c>
      <c r="T39" s="28">
        <f>SUM(characters[[#This Row],[Power]:[Resilience]])</f>
        <v>772</v>
      </c>
      <c r="U39"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5</v>
      </c>
      <c r="V39" s="27" t="str" cm="1">
        <f t="array" ref="V39">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Fortress</v>
      </c>
      <c r="W39" s="31" t="s">
        <v>151</v>
      </c>
      <c r="X39" s="31" t="s">
        <v>182</v>
      </c>
      <c r="Y39" s="31" t="s">
        <v>194</v>
      </c>
      <c r="Z39" s="38" t="s">
        <v>248</v>
      </c>
    </row>
    <row r="40" spans="1:26" ht="28.5" customHeight="1" x14ac:dyDescent="0.3">
      <c r="A40" s="26" t="s">
        <v>114</v>
      </c>
      <c r="B40" s="27" t="s">
        <v>23</v>
      </c>
      <c r="C40" s="27">
        <v>3</v>
      </c>
      <c r="D40" s="27">
        <v>166</v>
      </c>
      <c r="E40" s="27" t="s">
        <v>41</v>
      </c>
      <c r="F40" s="27" t="s">
        <v>25</v>
      </c>
      <c r="G40" s="27" t="s">
        <v>57</v>
      </c>
      <c r="H40" s="27" t="s">
        <v>75</v>
      </c>
      <c r="I40" s="27" t="s">
        <v>28</v>
      </c>
      <c r="J40" s="27" t="s">
        <v>46</v>
      </c>
      <c r="K40" s="27">
        <v>50</v>
      </c>
      <c r="L40" s="27">
        <v>68</v>
      </c>
      <c r="M40" s="27">
        <v>55</v>
      </c>
      <c r="N40" s="27">
        <v>52</v>
      </c>
      <c r="O40" s="27" cm="1">
        <f t="array" ref="O40">_xlfn.IFS(
  characters[[#This Row],[Role]]="Tank",      120,
  characters[[#This Row],[Role]]="Support",   105,
  characters[[#This Row],[Role]]="Disruptor", 95,
  characters[[#This Row],[Role]]="Attacker",  80,
  TRUE(), 40
)
+ ROUND(characters[[#This Row],[Control]]*0.1, 0)
- ROUND(characters[[#This Row],[Speed]]*0.05, 0)</f>
        <v>99</v>
      </c>
      <c r="P40" s="28">
        <f>_xlfn.IFS(  characters[[#This Row],[Role]]="Tank",      120,  characters[[#This Row],[Role]]="Support",   90,  characters[[#This Row],[Role]]="Disruptor", 75,  characters[[#This Row],[Role]]="Attacker",  60,  TRUE(), 80)+ ROUND(characters[[#This Row],[Defense]]*0.3, 0)</f>
        <v>105</v>
      </c>
      <c r="Q40" s="28">
        <f>ROUND(  characters[[#This Row],[Control]] * 0.5  + characters[[#This Row],[Support]] * 0.3  - characters[[#This Row],[Speed]] * 0.1  + _xlfn.IFS(    characters[[#This Row],[Role]]="Tank",      20,    characters[[#This Row],[Role]]="Support",   15,    characters[[#This Row],[Role]]="Disruptor", 10,    characters[[#This Row],[Role]]="Attacker",  5,    TRUE(), 10  ), 0)</f>
        <v>55</v>
      </c>
      <c r="R40" s="28">
        <f>ROUND(  characters[[#This Row],[Control]] * 0.6  + characters[[#This Row],[Speed]] * 0.25  + characters[[#This Row],[Power]] * 0.1  - _xlfn.IFS(    characters[[#This Row],[Role]]="Attacker",  5,    characters[[#This Row],[Role]]="Tank",       8,    characters[[#This Row],[Role]]="Disruptor",  0,    characters[[#This Row],[Role]]="Support",    2,    TRUE(), 3  ), 0)</f>
        <v>59</v>
      </c>
      <c r="S40" s="28">
        <f>ROUND(  characters[[#This Row],[Defense]] * 0.5  + characters[[#This Row],[Control]] * 0.35  + characters[[#This Row],[Support]] * 0.1  + _xlfn.IFS(    characters[[#This Row],[Role]]="Tank",      10,    characters[[#This Row],[Role]]="Support",    5,    characters[[#This Row],[Role]]="Disruptor",  8,    characters[[#This Row],[Role]]="Attacker",   0,    TRUE(), 5  ), 0)</f>
        <v>87</v>
      </c>
      <c r="T40" s="28">
        <f>SUM(characters[[#This Row],[Power]:[Resilience]])</f>
        <v>630</v>
      </c>
      <c r="U40" s="28">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3</v>
      </c>
      <c r="V40" s="27" t="str" cm="1">
        <f t="array" ref="V40">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Disruptor</v>
      </c>
      <c r="W40" s="31" t="s">
        <v>152</v>
      </c>
      <c r="X40" s="31" t="s">
        <v>165</v>
      </c>
      <c r="Y40" s="31" t="s">
        <v>185</v>
      </c>
      <c r="Z40" s="38" t="s">
        <v>246</v>
      </c>
    </row>
    <row r="41" spans="1:26" ht="28.5" customHeight="1" x14ac:dyDescent="0.3">
      <c r="A41" s="32" t="s">
        <v>115</v>
      </c>
      <c r="B41" s="33" t="s">
        <v>77</v>
      </c>
      <c r="C41" s="33">
        <v>4</v>
      </c>
      <c r="D41" s="33">
        <v>167</v>
      </c>
      <c r="E41" s="33" t="s">
        <v>31</v>
      </c>
      <c r="F41" s="33" t="s">
        <v>85</v>
      </c>
      <c r="G41" s="33" t="s">
        <v>116</v>
      </c>
      <c r="H41" s="33" t="s">
        <v>91</v>
      </c>
      <c r="I41" s="33" t="s">
        <v>45</v>
      </c>
      <c r="J41" s="33" t="s">
        <v>62</v>
      </c>
      <c r="K41" s="33">
        <v>78</v>
      </c>
      <c r="L41" s="33">
        <v>35</v>
      </c>
      <c r="M41" s="33">
        <v>40</v>
      </c>
      <c r="N41" s="33">
        <v>70</v>
      </c>
      <c r="O41" s="27" cm="1">
        <f t="array" ref="O41">_xlfn.IFS(
  characters[[#This Row],[Role]]="Tank",      120,
  characters[[#This Row],[Role]]="Support",   105,
  characters[[#This Row],[Role]]="Disruptor", 95,
  characters[[#This Row],[Role]]="Attacker",  80,
  TRUE(), 40
)
+ ROUND(characters[[#This Row],[Control]]*0.1, 0)
- ROUND(characters[[#This Row],[Speed]]*0.05, 0)</f>
        <v>120</v>
      </c>
      <c r="P41" s="34">
        <f>_xlfn.IFS(  characters[[#This Row],[Role]]="Tank",      120,  characters[[#This Row],[Role]]="Support",   90,  characters[[#This Row],[Role]]="Disruptor", 75,  characters[[#This Row],[Role]]="Attacker",  60,  TRUE(), 80)+ ROUND(characters[[#This Row],[Defense]]*0.3, 0)</f>
        <v>156</v>
      </c>
      <c r="Q41" s="34">
        <f>ROUND(  characters[[#This Row],[Control]] * 0.5  + characters[[#This Row],[Support]] * 0.3  - characters[[#This Row],[Speed]] * 0.1  + _xlfn.IFS(    characters[[#This Row],[Role]]="Tank",      20,    characters[[#This Row],[Role]]="Support",   15,    characters[[#This Row],[Role]]="Disruptor", 10,    characters[[#This Row],[Role]]="Attacker",  5,    TRUE(), 10  ), 0)</f>
        <v>43</v>
      </c>
      <c r="R41" s="34">
        <f>ROUND(  characters[[#This Row],[Control]] * 0.6  + characters[[#This Row],[Speed]] * 0.25  + characters[[#This Row],[Power]] * 0.1  - _xlfn.IFS(    characters[[#This Row],[Role]]="Attacker",  5,    characters[[#This Row],[Role]]="Tank",       8,    characters[[#This Row],[Role]]="Disruptor",  0,    characters[[#This Row],[Role]]="Support",    2,    TRUE(), 3  ), 0)</f>
        <v>38</v>
      </c>
      <c r="S41" s="34">
        <f>ROUND(  characters[[#This Row],[Defense]] * 0.5  + characters[[#This Row],[Control]] * 0.35  + characters[[#This Row],[Support]] * 0.1  + _xlfn.IFS(    characters[[#This Row],[Role]]="Tank",      10,    characters[[#This Row],[Role]]="Support",    5,    characters[[#This Row],[Role]]="Disruptor",  8,    characters[[#This Row],[Role]]="Attacker",   0,    TRUE(), 5  ), 0)</f>
        <v>86</v>
      </c>
      <c r="T41" s="34">
        <f>SUM(characters[[#This Row],[Power]:[Resilience]])</f>
        <v>666</v>
      </c>
      <c r="U41" s="34">
        <f>_xlfn.IFS(  characters[[#This Row],[Element]]="Lightning", 5,  characters[[#This Row],[Element]]="Aether",    5,  characters[[#This Row],[Element]]="Air",       4,  characters[[#This Row],[Element]]="Light",     4,  characters[[#This Row],[Element]]="Ice",       3,  characters[[#This Row],[Element]]="Shadow",    3,  characters[[#This Row],[Element]]="Fire",      3,  characters[[#This Row],[Element]]="Water",     2,  characters[[#This Row],[Element]]="Nature",    2,  characters[[#This Row],[Element]]="Earth",     2,  characters[[#This Row],[Element]]="Metal",     1,  TRUE(), 2)</f>
        <v>2</v>
      </c>
      <c r="V41" s="33" t="str" cm="1">
        <f t="array" ref="V41">_xlfn.IFS(
  AND(characters[[#This Row],[Role]]="Attacker", characters[[#This Row],[Power]]&gt;=85, characters[[#This Row],[Speed]]&gt;=130), "Blitz",
  AND(characters[[#This Row],[Role]]="Attacker", characters[[#This Row],[Power]]&gt;=80, characters[[#This Row],[Speed]]&lt;130), "Brawler",
  AND(characters[[#This Row],[Role]]="Attacker", characters[[#This Row],[Speed]]&gt;=80, characters[[#This Row],[Power]]&lt;80), "Striker",
  characters[[#This Row],[Role]]="Attacker", "Skirmisher",
  AND(characters[[#This Row],[Role]]="Disruptor", characters[[#This Row],[Control]]&gt;=85), "Tactician",
  AND(characters[[#This Row],[Role]]="Disruptor", characters[[#This Row],[Speed]]&gt;=70), "Harasser",
  characters[[#This Row],[Role]]="Disruptor", "Disruptor",
  AND(characters[[#This Row],[Role]]="Support", characters[[#This Row],[Support]]&gt;=85), "Full Support",
  AND(characters[[#This Row],[Role]]="Support", characters[[#This Row],[Control]]&gt;=70), "Battle Medic",
  characters[[#This Row],[Role]]="Support", "Support",
  AND(characters[[#This Row],[Role]]="Tank", characters[[#This Row],[Defense]]&gt;=75, characters[[#This Row],[Control]]&gt;=80), "Fortress",
  AND(characters[[#This Row],[Role]]="Tank", characters[[#This Row],[Defense]]&gt;70), "Vanguard",
  TRUE(), "Tank"
)</f>
        <v>Vanguard</v>
      </c>
      <c r="W41" s="35" t="s">
        <v>153</v>
      </c>
      <c r="X41" s="35" t="s">
        <v>183</v>
      </c>
      <c r="Y41" s="35" t="s">
        <v>193</v>
      </c>
      <c r="Z41" s="39" t="s">
        <v>248</v>
      </c>
    </row>
  </sheetData>
  <conditionalFormatting sqref="K1:K1048576">
    <cfRule type="colorScale" priority="10">
      <colorScale>
        <cfvo type="min"/>
        <cfvo type="percentile" val="50"/>
        <cfvo type="max"/>
        <color rgb="FFF8696B"/>
        <color rgb="FFFFEB84"/>
        <color rgb="FF63BE7B"/>
      </colorScale>
    </cfRule>
  </conditionalFormatting>
  <conditionalFormatting sqref="L1:L1048576">
    <cfRule type="colorScale" priority="9">
      <colorScale>
        <cfvo type="min"/>
        <cfvo type="percentile" val="50"/>
        <cfvo type="max"/>
        <color rgb="FFF8696B"/>
        <color rgb="FFFFEB84"/>
        <color rgb="FF63BE7B"/>
      </colorScale>
    </cfRule>
  </conditionalFormatting>
  <conditionalFormatting sqref="M1:M1048576">
    <cfRule type="colorScale" priority="8">
      <colorScale>
        <cfvo type="min"/>
        <cfvo type="percentile" val="50"/>
        <cfvo type="max"/>
        <color rgb="FFF8696B"/>
        <color rgb="FFFFEB84"/>
        <color rgb="FF63BE7B"/>
      </colorScale>
    </cfRule>
  </conditionalFormatting>
  <conditionalFormatting sqref="N1:N1048576">
    <cfRule type="colorScale" priority="7">
      <colorScale>
        <cfvo type="min"/>
        <cfvo type="percentile" val="50"/>
        <cfvo type="max"/>
        <color rgb="FFF8696B"/>
        <color rgb="FFFFEB84"/>
        <color rgb="FF63BE7B"/>
      </colorScale>
    </cfRule>
  </conditionalFormatting>
  <conditionalFormatting sqref="O1:O1048576">
    <cfRule type="colorScale" priority="6">
      <colorScale>
        <cfvo type="min"/>
        <cfvo type="percentile" val="50"/>
        <cfvo type="max"/>
        <color rgb="FFF8696B"/>
        <color rgb="FFFFEB84"/>
        <color rgb="FF63BE7B"/>
      </colorScale>
    </cfRule>
  </conditionalFormatting>
  <conditionalFormatting sqref="P1:P1048576">
    <cfRule type="colorScale" priority="5">
      <colorScale>
        <cfvo type="min"/>
        <cfvo type="percentile" val="50"/>
        <cfvo type="max"/>
        <color rgb="FFF8696B"/>
        <color rgb="FFFFEB84"/>
        <color rgb="FF63BE7B"/>
      </colorScale>
    </cfRule>
  </conditionalFormatting>
  <conditionalFormatting sqref="Q1:Q1048576">
    <cfRule type="colorScale" priority="4">
      <colorScale>
        <cfvo type="min"/>
        <cfvo type="percentile" val="50"/>
        <cfvo type="max"/>
        <color rgb="FFF8696B"/>
        <color rgb="FFFFEB84"/>
        <color rgb="FF63BE7B"/>
      </colorScale>
    </cfRule>
  </conditionalFormatting>
  <conditionalFormatting sqref="R1:R1048576">
    <cfRule type="colorScale" priority="3">
      <colorScale>
        <cfvo type="min"/>
        <cfvo type="percentile" val="50"/>
        <cfvo type="max"/>
        <color rgb="FFF8696B"/>
        <color rgb="FFFFEB84"/>
        <color rgb="FF63BE7B"/>
      </colorScale>
    </cfRule>
  </conditionalFormatting>
  <conditionalFormatting sqref="S1:S1048576">
    <cfRule type="colorScale" priority="2">
      <colorScale>
        <cfvo type="min"/>
        <cfvo type="percentile" val="50"/>
        <cfvo type="max"/>
        <color rgb="FFF8696B"/>
        <color rgb="FFFFEB84"/>
        <color rgb="FF63BE7B"/>
      </colorScale>
    </cfRule>
  </conditionalFormatting>
  <conditionalFormatting sqref="T1:T1048576">
    <cfRule type="colorScale" priority="1">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6D07-D072-45B6-8A87-17ED2151DEB6}">
  <dimension ref="A1:D27"/>
  <sheetViews>
    <sheetView topLeftCell="A11" workbookViewId="0">
      <selection activeCell="C14" sqref="C14"/>
    </sheetView>
  </sheetViews>
  <sheetFormatPr defaultRowHeight="14.4" x14ac:dyDescent="0.3"/>
  <cols>
    <col min="2" max="2" width="12" customWidth="1"/>
    <col min="3" max="3" width="81.77734375" customWidth="1"/>
    <col min="4" max="4" width="14" customWidth="1"/>
  </cols>
  <sheetData>
    <row r="1" spans="1:4" x14ac:dyDescent="0.3">
      <c r="A1" s="5" t="s">
        <v>196</v>
      </c>
      <c r="B1" s="6"/>
      <c r="C1" s="6"/>
      <c r="D1" s="6"/>
    </row>
    <row r="2" spans="1:4" ht="31.2" x14ac:dyDescent="0.3">
      <c r="A2" s="7" t="s">
        <v>197</v>
      </c>
      <c r="B2" s="7" t="s">
        <v>198</v>
      </c>
      <c r="C2" s="7" t="s">
        <v>199</v>
      </c>
      <c r="D2" s="7" t="s">
        <v>200</v>
      </c>
    </row>
    <row r="3" spans="1:4" x14ac:dyDescent="0.3">
      <c r="A3" s="8" t="s">
        <v>201</v>
      </c>
      <c r="B3" s="6"/>
      <c r="C3" s="6"/>
      <c r="D3" s="6"/>
    </row>
    <row r="4" spans="1:4" ht="43.8" customHeight="1" x14ac:dyDescent="0.3">
      <c r="A4" s="9" t="s">
        <v>186</v>
      </c>
      <c r="B4" s="10" t="s">
        <v>202</v>
      </c>
      <c r="C4" s="11" t="s">
        <v>203</v>
      </c>
      <c r="D4" s="12" t="s">
        <v>204</v>
      </c>
    </row>
    <row r="5" spans="1:4" ht="43.8" customHeight="1" x14ac:dyDescent="0.3">
      <c r="A5" s="9" t="s">
        <v>205</v>
      </c>
      <c r="B5" s="10" t="s">
        <v>202</v>
      </c>
      <c r="C5" s="11" t="s">
        <v>206</v>
      </c>
      <c r="D5" s="12" t="s">
        <v>204</v>
      </c>
    </row>
    <row r="6" spans="1:4" ht="43.8" customHeight="1" x14ac:dyDescent="0.3">
      <c r="A6" s="9" t="s">
        <v>191</v>
      </c>
      <c r="B6" s="10" t="s">
        <v>202</v>
      </c>
      <c r="C6" s="11" t="s">
        <v>207</v>
      </c>
      <c r="D6" s="12" t="s">
        <v>204</v>
      </c>
    </row>
    <row r="7" spans="1:4" ht="43.8" customHeight="1" x14ac:dyDescent="0.3">
      <c r="A7" s="9" t="s">
        <v>188</v>
      </c>
      <c r="B7" s="10" t="s">
        <v>202</v>
      </c>
      <c r="C7" s="11" t="s">
        <v>208</v>
      </c>
      <c r="D7" s="12" t="s">
        <v>204</v>
      </c>
    </row>
    <row r="8" spans="1:4" ht="43.8" customHeight="1" x14ac:dyDescent="0.3">
      <c r="A8" s="9" t="s">
        <v>187</v>
      </c>
      <c r="B8" s="10" t="s">
        <v>202</v>
      </c>
      <c r="C8" s="11" t="s">
        <v>209</v>
      </c>
      <c r="D8" s="12" t="s">
        <v>204</v>
      </c>
    </row>
    <row r="9" spans="1:4" ht="43.8" customHeight="1" x14ac:dyDescent="0.3">
      <c r="A9" s="9" t="s">
        <v>210</v>
      </c>
      <c r="B9" s="10" t="s">
        <v>202</v>
      </c>
      <c r="C9" s="11" t="s">
        <v>211</v>
      </c>
      <c r="D9" s="12" t="s">
        <v>204</v>
      </c>
    </row>
    <row r="10" spans="1:4" ht="43.8" customHeight="1" x14ac:dyDescent="0.3">
      <c r="A10" s="9" t="s">
        <v>212</v>
      </c>
      <c r="B10" s="10" t="s">
        <v>202</v>
      </c>
      <c r="C10" s="11" t="s">
        <v>213</v>
      </c>
      <c r="D10" s="12" t="s">
        <v>204</v>
      </c>
    </row>
    <row r="11" spans="1:4" ht="43.8" customHeight="1" x14ac:dyDescent="0.3">
      <c r="A11" s="9" t="s">
        <v>185</v>
      </c>
      <c r="B11" s="10" t="s">
        <v>202</v>
      </c>
      <c r="C11" s="11" t="s">
        <v>214</v>
      </c>
      <c r="D11" s="12" t="s">
        <v>204</v>
      </c>
    </row>
    <row r="12" spans="1:4" ht="56.4" customHeight="1" x14ac:dyDescent="0.3">
      <c r="A12" s="13" t="s">
        <v>215</v>
      </c>
      <c r="B12" s="6"/>
      <c r="C12" s="6"/>
      <c r="D12" s="6"/>
    </row>
    <row r="13" spans="1:4" ht="43.8" customHeight="1" x14ac:dyDescent="0.3">
      <c r="A13" s="14" t="s">
        <v>193</v>
      </c>
      <c r="B13" s="15" t="s">
        <v>216</v>
      </c>
      <c r="C13" s="16" t="s">
        <v>217</v>
      </c>
      <c r="D13" s="17" t="s">
        <v>204</v>
      </c>
    </row>
    <row r="14" spans="1:4" ht="43.8" customHeight="1" x14ac:dyDescent="0.3">
      <c r="A14" s="14" t="s">
        <v>218</v>
      </c>
      <c r="B14" s="15" t="s">
        <v>216</v>
      </c>
      <c r="C14" s="16" t="s">
        <v>219</v>
      </c>
      <c r="D14" s="17" t="s">
        <v>204</v>
      </c>
    </row>
    <row r="15" spans="1:4" ht="43.8" customHeight="1" x14ac:dyDescent="0.3">
      <c r="A15" s="14" t="s">
        <v>220</v>
      </c>
      <c r="B15" s="15" t="s">
        <v>216</v>
      </c>
      <c r="C15" s="16" t="s">
        <v>221</v>
      </c>
      <c r="D15" s="17" t="s">
        <v>204</v>
      </c>
    </row>
    <row r="16" spans="1:4" ht="43.8" customHeight="1" x14ac:dyDescent="0.3">
      <c r="A16" s="14" t="s">
        <v>222</v>
      </c>
      <c r="B16" s="15" t="s">
        <v>216</v>
      </c>
      <c r="C16" s="16" t="s">
        <v>223</v>
      </c>
      <c r="D16" s="17" t="s">
        <v>204</v>
      </c>
    </row>
    <row r="17" spans="1:4" ht="43.8" customHeight="1" x14ac:dyDescent="0.3">
      <c r="A17" s="14" t="s">
        <v>189</v>
      </c>
      <c r="B17" s="15" t="s">
        <v>216</v>
      </c>
      <c r="C17" s="16" t="s">
        <v>224</v>
      </c>
      <c r="D17" s="17" t="s">
        <v>204</v>
      </c>
    </row>
    <row r="18" spans="1:4" ht="43.8" customHeight="1" x14ac:dyDescent="0.3">
      <c r="A18" s="14" t="s">
        <v>190</v>
      </c>
      <c r="B18" s="15" t="s">
        <v>216</v>
      </c>
      <c r="C18" s="16" t="s">
        <v>225</v>
      </c>
      <c r="D18" s="17" t="s">
        <v>204</v>
      </c>
    </row>
    <row r="19" spans="1:4" ht="43.8" customHeight="1" x14ac:dyDescent="0.3">
      <c r="A19" s="14" t="s">
        <v>65</v>
      </c>
      <c r="B19" s="15" t="s">
        <v>216</v>
      </c>
      <c r="C19" s="16" t="s">
        <v>226</v>
      </c>
      <c r="D19" s="17" t="s">
        <v>204</v>
      </c>
    </row>
    <row r="20" spans="1:4" ht="56.4" customHeight="1" x14ac:dyDescent="0.3">
      <c r="A20" s="14" t="s">
        <v>194</v>
      </c>
      <c r="B20" s="15" t="s">
        <v>216</v>
      </c>
      <c r="C20" s="16" t="s">
        <v>227</v>
      </c>
      <c r="D20" s="17" t="s">
        <v>204</v>
      </c>
    </row>
    <row r="21" spans="1:4" ht="56.4" customHeight="1" x14ac:dyDescent="0.3">
      <c r="A21" s="18" t="s">
        <v>228</v>
      </c>
      <c r="B21" s="6"/>
      <c r="C21" s="6"/>
      <c r="D21" s="6"/>
    </row>
    <row r="22" spans="1:4" ht="45.6" customHeight="1" x14ac:dyDescent="0.3">
      <c r="A22" s="19" t="s">
        <v>229</v>
      </c>
      <c r="B22" s="20" t="s">
        <v>230</v>
      </c>
      <c r="C22" s="21" t="s">
        <v>231</v>
      </c>
      <c r="D22" s="19" t="s">
        <v>232</v>
      </c>
    </row>
    <row r="23" spans="1:4" ht="45.6" customHeight="1" x14ac:dyDescent="0.3">
      <c r="A23" s="19" t="s">
        <v>233</v>
      </c>
      <c r="B23" s="20" t="s">
        <v>230</v>
      </c>
      <c r="C23" s="21" t="s">
        <v>234</v>
      </c>
      <c r="D23" s="19" t="s">
        <v>235</v>
      </c>
    </row>
    <row r="24" spans="1:4" ht="45.6" customHeight="1" x14ac:dyDescent="0.3">
      <c r="A24" s="19" t="s">
        <v>236</v>
      </c>
      <c r="B24" s="20" t="s">
        <v>230</v>
      </c>
      <c r="C24" s="21" t="s">
        <v>237</v>
      </c>
      <c r="D24" s="19" t="s">
        <v>238</v>
      </c>
    </row>
    <row r="25" spans="1:4" ht="56.4" customHeight="1" x14ac:dyDescent="0.3">
      <c r="A25" s="22" t="s">
        <v>239</v>
      </c>
      <c r="B25" s="6"/>
      <c r="C25" s="6"/>
      <c r="D25" s="6"/>
    </row>
    <row r="26" spans="1:4" ht="96.6" customHeight="1" x14ac:dyDescent="0.3">
      <c r="A26" s="23" t="s">
        <v>195</v>
      </c>
      <c r="B26" s="24" t="s">
        <v>240</v>
      </c>
      <c r="C26" s="25" t="s">
        <v>241</v>
      </c>
      <c r="D26" s="23" t="s">
        <v>242</v>
      </c>
    </row>
    <row r="27" spans="1:4" ht="96.6" customHeight="1" x14ac:dyDescent="0.3">
      <c r="A27" s="23" t="s">
        <v>192</v>
      </c>
      <c r="B27" s="24" t="s">
        <v>240</v>
      </c>
      <c r="C27" s="25" t="s">
        <v>243</v>
      </c>
      <c r="D27" s="23" t="s">
        <v>244</v>
      </c>
    </row>
  </sheetData>
  <mergeCells count="5">
    <mergeCell ref="A1:D1"/>
    <mergeCell ref="A3:D3"/>
    <mergeCell ref="A12:D12"/>
    <mergeCell ref="A21:D21"/>
    <mergeCell ref="A25: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Characters</vt:lpstr>
      <vt:lpstr>Condition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Astrid Shaina</dc:creator>
  <dc:description/>
  <cp:lastModifiedBy>Astrid Shaina</cp:lastModifiedBy>
  <cp:revision>0</cp:revision>
  <dcterms:created xsi:type="dcterms:W3CDTF">2026-03-18T09:33:20Z</dcterms:created>
  <dcterms:modified xsi:type="dcterms:W3CDTF">2026-03-18T11:27:37Z</dcterms:modified>
  <dc:language>en-US</dc:language>
</cp:coreProperties>
</file>